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MS" sheetId="1" r:id="rId5"/>
    <sheet state="hidden" name="Hoja4" sheetId="2" r:id="rId6"/>
    <sheet state="hidden" name="Hoja2" sheetId="3" r:id="rId7"/>
    <sheet state="hidden" name="Hoja3" sheetId="4" r:id="rId8"/>
  </sheets>
  <definedNames/>
  <calcPr/>
</workbook>
</file>

<file path=xl/sharedStrings.xml><?xml version="1.0" encoding="utf-8"?>
<sst xmlns="http://schemas.openxmlformats.org/spreadsheetml/2006/main" count="73" uniqueCount="68">
  <si>
    <t>PERFIL DE LOS ESTADOS DE ÁNIMO (POMS)</t>
  </si>
  <si>
    <t>Elige cómo te encuentras de los 52 estados siguientes:</t>
  </si>
  <si>
    <t>1. Tenso</t>
  </si>
  <si>
    <t>14. Inquieto</t>
  </si>
  <si>
    <t>27. Nervioso</t>
  </si>
  <si>
    <t>40. Alerta</t>
  </si>
  <si>
    <t>2. Enfadado</t>
  </si>
  <si>
    <t>15. Irritable</t>
  </si>
  <si>
    <t>28. Solo</t>
  </si>
  <si>
    <t>41. Decepcionado</t>
  </si>
  <si>
    <t>3. Agotado</t>
  </si>
  <si>
    <t>16. Abatido</t>
  </si>
  <si>
    <t>29. Desdichado</t>
  </si>
  <si>
    <t>42. Furioso</t>
  </si>
  <si>
    <t>4. Infeliz</t>
  </si>
  <si>
    <t>17. Enérgico</t>
  </si>
  <si>
    <t>30. Aturdido</t>
  </si>
  <si>
    <t>43. Eficiente</t>
  </si>
  <si>
    <t>5. Animado</t>
  </si>
  <si>
    <t>18. Desesperanzado</t>
  </si>
  <si>
    <t>31. Alegre</t>
  </si>
  <si>
    <t>44. Lleno de energía</t>
  </si>
  <si>
    <t>6. Confundido</t>
  </si>
  <si>
    <t>19. Relajado</t>
  </si>
  <si>
    <t>32. Amargado</t>
  </si>
  <si>
    <t>45. De mal genio</t>
  </si>
  <si>
    <t>7. Dolido por actos pasados</t>
  </si>
  <si>
    <t>20. Rencoroso</t>
  </si>
  <si>
    <t>33. Exhausto</t>
  </si>
  <si>
    <t>46. Inútil</t>
  </si>
  <si>
    <t>8. Agitado</t>
  </si>
  <si>
    <t>21. Intranquilo</t>
  </si>
  <si>
    <t>34. Ansioso</t>
  </si>
  <si>
    <t>47. Aterrorizado</t>
  </si>
  <si>
    <t>9. Enojado</t>
  </si>
  <si>
    <t>22. Fatigado</t>
  </si>
  <si>
    <t>35. Luchador</t>
  </si>
  <si>
    <t>48. Culpable</t>
  </si>
  <si>
    <t>10. Triste</t>
  </si>
  <si>
    <t>23. Molesto</t>
  </si>
  <si>
    <t>36. Deprimido</t>
  </si>
  <si>
    <t>49. Vigoroso</t>
  </si>
  <si>
    <t>11. Activo</t>
  </si>
  <si>
    <t>24. Desanimado</t>
  </si>
  <si>
    <t>37. Desesperado</t>
  </si>
  <si>
    <t>50. Inseguro</t>
  </si>
  <si>
    <t>12. A punto de estallar</t>
  </si>
  <si>
    <t>25. Resentido</t>
  </si>
  <si>
    <t>38. Rebelde</t>
  </si>
  <si>
    <t>51. Cansado</t>
  </si>
  <si>
    <t>13. Desamparado</t>
  </si>
  <si>
    <t>26. Sin fuerzas</t>
  </si>
  <si>
    <t>39. Desorientado</t>
  </si>
  <si>
    <t>52. A punto de estallar</t>
  </si>
  <si>
    <t>Gráficas con forma de pico o montaña (“perfil de iceberg”) indican un buen estado físico y de ánimo. No hay peligro de sobreentrenamiento a corto plazo</t>
  </si>
  <si>
    <t>GRÁFICA</t>
  </si>
  <si>
    <t>Gráficas con forma más plana, sin nada muy destacado (“perfil llano”) indican estados aceptables, aunque algo preocupantes, de físico y de ánimo. Puede haber peligro de sobreentrenamiento a corto plazo</t>
  </si>
  <si>
    <t>Gráficas con forma de pico o montaña invertida, (“perfil de iceberg invertido”) indican un aceptable estado físico y malo de ánimo. Ya hay sobreentrenamiento o es muy probable a muy corto plazo</t>
  </si>
  <si>
    <t>Nada</t>
  </si>
  <si>
    <t>Un poco</t>
  </si>
  <si>
    <t>Moderadamente</t>
  </si>
  <si>
    <t>Bastante</t>
  </si>
  <si>
    <t>Muchísimo</t>
  </si>
  <si>
    <t>DEPRESIÓN</t>
  </si>
  <si>
    <t>VIGOR</t>
  </si>
  <si>
    <t>COLERA</t>
  </si>
  <si>
    <t>TENSIÓN</t>
  </si>
  <si>
    <t>FATIGA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</si>
</sst>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Montserrat"/>
    </font>
    <font>
      <sz val="11.0"/>
      <color rgb="FF548DD4"/>
      <name val="Montserrat"/>
    </font>
    <font>
      <b/>
      <sz val="18.0"/>
      <color theme="0"/>
      <name val="Montserrat"/>
    </font>
    <font/>
    <font>
      <b/>
      <sz val="18.0"/>
      <color theme="1"/>
      <name val="Montserrat"/>
    </font>
    <font>
      <b/>
      <sz val="14.0"/>
      <color theme="1"/>
      <name val="Montserrat"/>
    </font>
    <font>
      <sz val="12.0"/>
      <color theme="1"/>
      <name val="Montserrat"/>
    </font>
    <font>
      <sz val="14.0"/>
      <color theme="1"/>
      <name val="Montserrat"/>
    </font>
    <font>
      <sz val="16.0"/>
      <color theme="1"/>
      <name val="Montserrat"/>
    </font>
    <font>
      <sz val="11.0"/>
      <color theme="0"/>
      <name val="Montserrat"/>
    </font>
    <font>
      <b/>
      <sz val="14.0"/>
      <color rgb="FFC00000"/>
      <name val="Montserrat"/>
    </font>
    <font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</fills>
  <borders count="16">
    <border/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Border="1" applyFont="1"/>
    <xf borderId="1" fillId="2" fontId="2" numFmtId="0" xfId="0" applyAlignment="1" applyBorder="1" applyFont="1">
      <alignment vertical="center"/>
    </xf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1" fillId="2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vertical="center"/>
    </xf>
    <xf borderId="1" fillId="2" fontId="8" numFmtId="0" xfId="0" applyBorder="1" applyFont="1"/>
    <xf borderId="1" fillId="2" fontId="6" numFmtId="0" xfId="0" applyBorder="1" applyFont="1"/>
    <xf borderId="8" fillId="2" fontId="9" numFmtId="0" xfId="0" applyAlignment="1" applyBorder="1" applyFont="1">
      <alignment horizontal="center" shrinkToFit="0" wrapText="1"/>
    </xf>
    <xf borderId="9" fillId="0" fontId="4" numFmtId="0" xfId="0" applyBorder="1" applyFont="1"/>
    <xf borderId="10" fillId="0" fontId="4" numFmtId="0" xfId="0" applyBorder="1" applyFont="1"/>
    <xf borderId="1" fillId="2" fontId="10" numFmtId="0" xfId="0" applyBorder="1" applyFont="1"/>
    <xf borderId="1" fillId="2" fontId="11" numFmtId="0" xfId="0" applyAlignment="1" applyBorder="1" applyFont="1">
      <alignment vertical="center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0" fillId="0" fontId="1" numFmtId="0" xfId="0" applyFont="1"/>
    <xf borderId="5" fillId="2" fontId="1" numFmtId="0" xfId="0" applyAlignment="1" applyBorder="1" applyFont="1">
      <alignment horizontal="right" vertical="center"/>
    </xf>
    <xf borderId="0" fillId="0" fontId="12" numFmtId="0" xfId="0" applyFont="1"/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POMS!$R$32:$R$36</c:f>
              <c:numCache/>
            </c:numRef>
          </c:val>
          <c:smooth val="0"/>
        </c:ser>
        <c:axId val="119172175"/>
        <c:axId val="992979602"/>
      </c:lineChart>
      <c:catAx>
        <c:axId val="119172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2979602"/>
      </c:catAx>
      <c:valAx>
        <c:axId val="992979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7217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Hoja2!$A$14:$A$18</c:f>
            </c:strRef>
          </c:cat>
          <c:val>
            <c:numRef>
              <c:f>Hoja2!$B$14:$B$18</c:f>
              <c:numCache/>
            </c:numRef>
          </c:val>
          <c:smooth val="0"/>
        </c:ser>
        <c:axId val="1162487567"/>
        <c:axId val="2132301137"/>
      </c:lineChart>
      <c:catAx>
        <c:axId val="1162487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301137"/>
      </c:catAx>
      <c:valAx>
        <c:axId val="2132301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248756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POMS!$R$42:$R$46</c:f>
              <c:numCache/>
            </c:numRef>
          </c:val>
          <c:smooth val="0"/>
        </c:ser>
        <c:axId val="308965105"/>
        <c:axId val="45595420"/>
      </c:lineChart>
      <c:catAx>
        <c:axId val="308965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595420"/>
      </c:catAx>
      <c:valAx>
        <c:axId val="45595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96510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POMS!$R$52:$R$56</c:f>
              <c:numCache/>
            </c:numRef>
          </c:val>
          <c:smooth val="0"/>
        </c:ser>
        <c:axId val="2022554603"/>
        <c:axId val="1074384274"/>
      </c:lineChart>
      <c:catAx>
        <c:axId val="2022554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4384274"/>
      </c:catAx>
      <c:valAx>
        <c:axId val="1074384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55460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723900</xdr:colOff>
      <xdr:row>29</xdr:row>
      <xdr:rowOff>95250</xdr:rowOff>
    </xdr:from>
    <xdr:ext cx="3743325" cy="16097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752475</xdr:colOff>
      <xdr:row>33</xdr:row>
      <xdr:rowOff>114300</xdr:rowOff>
    </xdr:from>
    <xdr:ext cx="10525125" cy="40100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0</xdr:colOff>
      <xdr:row>39</xdr:row>
      <xdr:rowOff>152400</xdr:rowOff>
    </xdr:from>
    <xdr:ext cx="3733800" cy="19145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9525</xdr:colOff>
      <xdr:row>49</xdr:row>
      <xdr:rowOff>114300</xdr:rowOff>
    </xdr:from>
    <xdr:ext cx="3733800" cy="19907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171450</xdr:colOff>
      <xdr:row>1</xdr:row>
      <xdr:rowOff>19050</xdr:rowOff>
    </xdr:from>
    <xdr:ext cx="3514725" cy="19812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4.71"/>
    <col customWidth="1" min="3" max="3" width="19.29"/>
    <col customWidth="1" min="4" max="4" width="20.71"/>
    <col customWidth="1" min="5" max="5" width="16.71"/>
    <col customWidth="1" min="6" max="6" width="19.14"/>
    <col customWidth="1" min="7" max="7" width="16.71"/>
    <col customWidth="1" min="8" max="8" width="24.0"/>
    <col customWidth="1" min="9" max="9" width="19.0"/>
    <col customWidth="1" min="10" max="26" width="11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3"/>
      <c r="B2" s="4" t="s">
        <v>0</v>
      </c>
      <c r="C2" s="5"/>
      <c r="D2" s="5"/>
      <c r="E2" s="5"/>
      <c r="F2" s="5"/>
      <c r="G2" s="5"/>
      <c r="H2" s="5"/>
      <c r="I2" s="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3"/>
      <c r="B3" s="1"/>
      <c r="C3" s="7"/>
      <c r="D3" s="7"/>
      <c r="E3" s="7"/>
      <c r="F3" s="7"/>
      <c r="G3" s="7"/>
      <c r="H3" s="7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/>
      <c r="B4" s="1"/>
      <c r="C4" s="8" t="s">
        <v>1</v>
      </c>
      <c r="D4" s="9"/>
      <c r="E4" s="9"/>
      <c r="F4" s="9"/>
      <c r="G4" s="9"/>
      <c r="H4" s="10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1"/>
      <c r="B6" s="11" t="s">
        <v>2</v>
      </c>
      <c r="C6" s="12"/>
      <c r="D6" s="11" t="s">
        <v>3</v>
      </c>
      <c r="E6" s="12"/>
      <c r="F6" s="11" t="s">
        <v>4</v>
      </c>
      <c r="G6" s="12"/>
      <c r="H6" s="11" t="s">
        <v>5</v>
      </c>
      <c r="I6" s="12"/>
      <c r="J6" s="13"/>
      <c r="K6" s="1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1"/>
      <c r="B7" s="11"/>
      <c r="C7" s="12"/>
      <c r="D7" s="11"/>
      <c r="E7" s="12"/>
      <c r="F7" s="11"/>
      <c r="G7" s="12"/>
      <c r="H7" s="11"/>
      <c r="I7" s="12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1"/>
      <c r="B8" s="11" t="s">
        <v>6</v>
      </c>
      <c r="C8" s="12"/>
      <c r="D8" s="11" t="s">
        <v>7</v>
      </c>
      <c r="E8" s="12"/>
      <c r="F8" s="11" t="s">
        <v>8</v>
      </c>
      <c r="G8" s="12"/>
      <c r="H8" s="11" t="s">
        <v>9</v>
      </c>
      <c r="I8" s="12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1"/>
      <c r="B9" s="11"/>
      <c r="C9" s="12"/>
      <c r="D9" s="11"/>
      <c r="E9" s="12"/>
      <c r="F9" s="11"/>
      <c r="G9" s="12"/>
      <c r="H9" s="11"/>
      <c r="I9" s="12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1"/>
      <c r="B10" s="11" t="s">
        <v>10</v>
      </c>
      <c r="C10" s="12"/>
      <c r="D10" s="11" t="s">
        <v>11</v>
      </c>
      <c r="E10" s="12"/>
      <c r="F10" s="11" t="s">
        <v>12</v>
      </c>
      <c r="G10" s="12"/>
      <c r="H10" s="11" t="s">
        <v>13</v>
      </c>
      <c r="I10" s="12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1"/>
      <c r="B11" s="11"/>
      <c r="C11" s="12"/>
      <c r="D11" s="11"/>
      <c r="E11" s="12"/>
      <c r="F11" s="11"/>
      <c r="G11" s="12"/>
      <c r="H11" s="11"/>
      <c r="I11" s="12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1" t="s">
        <v>14</v>
      </c>
      <c r="C12" s="12"/>
      <c r="D12" s="11" t="s">
        <v>15</v>
      </c>
      <c r="E12" s="12"/>
      <c r="F12" s="11" t="s">
        <v>16</v>
      </c>
      <c r="G12" s="12"/>
      <c r="H12" s="11" t="s">
        <v>17</v>
      </c>
      <c r="I12" s="12"/>
      <c r="J12" s="13"/>
      <c r="K12" s="1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1"/>
      <c r="B13" s="11"/>
      <c r="C13" s="12"/>
      <c r="D13" s="11"/>
      <c r="E13" s="12"/>
      <c r="F13" s="11"/>
      <c r="G13" s="12"/>
      <c r="H13" s="11"/>
      <c r="I13" s="12"/>
      <c r="J13" s="13"/>
      <c r="K13" s="1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1"/>
      <c r="B14" s="11" t="s">
        <v>18</v>
      </c>
      <c r="C14" s="12"/>
      <c r="D14" s="11" t="s">
        <v>19</v>
      </c>
      <c r="E14" s="12"/>
      <c r="F14" s="11" t="s">
        <v>20</v>
      </c>
      <c r="G14" s="12"/>
      <c r="H14" s="11" t="s">
        <v>21</v>
      </c>
      <c r="I14" s="12"/>
      <c r="J14" s="13"/>
      <c r="K14" s="1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1"/>
      <c r="B15" s="11"/>
      <c r="C15" s="12"/>
      <c r="D15" s="11"/>
      <c r="E15" s="12"/>
      <c r="F15" s="11"/>
      <c r="G15" s="12"/>
      <c r="H15" s="11"/>
      <c r="I15" s="12"/>
      <c r="J15" s="13"/>
      <c r="K15" s="1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1"/>
      <c r="B16" s="11" t="s">
        <v>22</v>
      </c>
      <c r="C16" s="12"/>
      <c r="D16" s="11" t="s">
        <v>23</v>
      </c>
      <c r="E16" s="12"/>
      <c r="F16" s="11" t="s">
        <v>24</v>
      </c>
      <c r="G16" s="12"/>
      <c r="H16" s="11" t="s">
        <v>25</v>
      </c>
      <c r="I16" s="12"/>
      <c r="J16" s="13"/>
      <c r="K16" s="1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1"/>
      <c r="B17" s="11"/>
      <c r="C17" s="12"/>
      <c r="D17" s="11"/>
      <c r="E17" s="12"/>
      <c r="F17" s="11"/>
      <c r="G17" s="12"/>
      <c r="H17" s="11"/>
      <c r="I17" s="12"/>
      <c r="J17" s="13"/>
      <c r="K17" s="1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"/>
      <c r="B18" s="11" t="s">
        <v>26</v>
      </c>
      <c r="C18" s="12"/>
      <c r="D18" s="11" t="s">
        <v>27</v>
      </c>
      <c r="E18" s="12"/>
      <c r="F18" s="11" t="s">
        <v>28</v>
      </c>
      <c r="G18" s="12"/>
      <c r="H18" s="11" t="s">
        <v>29</v>
      </c>
      <c r="I18" s="12"/>
      <c r="J18" s="13"/>
      <c r="K18" s="1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1"/>
      <c r="B19" s="11"/>
      <c r="C19" s="12"/>
      <c r="D19" s="11"/>
      <c r="E19" s="12"/>
      <c r="F19" s="11"/>
      <c r="G19" s="12"/>
      <c r="H19" s="11"/>
      <c r="I19" s="12"/>
      <c r="J19" s="13"/>
      <c r="K19" s="1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1"/>
      <c r="B20" s="11" t="s">
        <v>30</v>
      </c>
      <c r="C20" s="12"/>
      <c r="D20" s="11" t="s">
        <v>31</v>
      </c>
      <c r="E20" s="12"/>
      <c r="F20" s="11" t="s">
        <v>32</v>
      </c>
      <c r="G20" s="12"/>
      <c r="H20" s="11" t="s">
        <v>33</v>
      </c>
      <c r="I20" s="12"/>
      <c r="J20" s="13"/>
      <c r="K20" s="1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1"/>
      <c r="B21" s="11"/>
      <c r="C21" s="12"/>
      <c r="D21" s="11"/>
      <c r="E21" s="12"/>
      <c r="F21" s="11"/>
      <c r="G21" s="12"/>
      <c r="H21" s="11"/>
      <c r="I21" s="12"/>
      <c r="J21" s="13"/>
      <c r="K21" s="1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1"/>
      <c r="B22" s="11" t="s">
        <v>34</v>
      </c>
      <c r="C22" s="12"/>
      <c r="D22" s="11" t="s">
        <v>35</v>
      </c>
      <c r="E22" s="12"/>
      <c r="F22" s="11" t="s">
        <v>36</v>
      </c>
      <c r="G22" s="12"/>
      <c r="H22" s="11" t="s">
        <v>37</v>
      </c>
      <c r="I22" s="12"/>
      <c r="J22" s="13"/>
      <c r="K22" s="1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1"/>
      <c r="B23" s="11"/>
      <c r="C23" s="12"/>
      <c r="D23" s="11"/>
      <c r="E23" s="12"/>
      <c r="F23" s="11"/>
      <c r="G23" s="12"/>
      <c r="H23" s="11"/>
      <c r="I23" s="12"/>
      <c r="J23" s="13"/>
      <c r="K23" s="1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1"/>
      <c r="B24" s="11" t="s">
        <v>38</v>
      </c>
      <c r="C24" s="12"/>
      <c r="D24" s="11" t="s">
        <v>39</v>
      </c>
      <c r="E24" s="12"/>
      <c r="F24" s="11" t="s">
        <v>40</v>
      </c>
      <c r="G24" s="12"/>
      <c r="H24" s="11" t="s">
        <v>41</v>
      </c>
      <c r="I24" s="12"/>
      <c r="J24" s="13"/>
      <c r="K24" s="1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1"/>
      <c r="B25" s="11"/>
      <c r="C25" s="12"/>
      <c r="D25" s="11"/>
      <c r="E25" s="12"/>
      <c r="F25" s="11"/>
      <c r="G25" s="12"/>
      <c r="H25" s="11"/>
      <c r="I25" s="12"/>
      <c r="J25" s="13"/>
      <c r="K25" s="1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1"/>
      <c r="B26" s="11" t="s">
        <v>42</v>
      </c>
      <c r="C26" s="12"/>
      <c r="D26" s="11" t="s">
        <v>43</v>
      </c>
      <c r="E26" s="12"/>
      <c r="F26" s="11" t="s">
        <v>44</v>
      </c>
      <c r="G26" s="12"/>
      <c r="H26" s="11" t="s">
        <v>45</v>
      </c>
      <c r="I26" s="12"/>
      <c r="J26" s="13"/>
      <c r="K26" s="1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1"/>
      <c r="B27" s="12"/>
      <c r="C27" s="12"/>
      <c r="D27" s="11"/>
      <c r="E27" s="12"/>
      <c r="F27" s="11"/>
      <c r="G27" s="12"/>
      <c r="H27" s="11"/>
      <c r="I27" s="12"/>
      <c r="J27" s="13"/>
      <c r="K27" s="1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1"/>
      <c r="B28" s="11" t="s">
        <v>46</v>
      </c>
      <c r="C28" s="12"/>
      <c r="D28" s="11" t="s">
        <v>47</v>
      </c>
      <c r="E28" s="12"/>
      <c r="F28" s="11" t="s">
        <v>48</v>
      </c>
      <c r="G28" s="12"/>
      <c r="H28" s="11" t="s">
        <v>49</v>
      </c>
      <c r="I28" s="12"/>
      <c r="J28" s="13"/>
      <c r="K28" s="1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1"/>
      <c r="B29" s="12"/>
      <c r="C29" s="12"/>
      <c r="D29" s="12"/>
      <c r="E29" s="12"/>
      <c r="F29" s="11"/>
      <c r="G29" s="12"/>
      <c r="H29" s="11"/>
      <c r="I29" s="12"/>
      <c r="J29" s="13"/>
      <c r="K29" s="1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1"/>
      <c r="B30" s="11" t="s">
        <v>50</v>
      </c>
      <c r="C30" s="11"/>
      <c r="D30" s="11" t="s">
        <v>51</v>
      </c>
      <c r="E30" s="12"/>
      <c r="F30" s="11" t="s">
        <v>52</v>
      </c>
      <c r="G30" s="12"/>
      <c r="H30" s="11" t="s">
        <v>53</v>
      </c>
      <c r="I30" s="12"/>
      <c r="J30" s="13"/>
      <c r="K30" s="1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15" t="s">
        <v>54</v>
      </c>
      <c r="L32" s="16"/>
      <c r="M32" s="16"/>
      <c r="N32" s="16"/>
      <c r="O32" s="17"/>
      <c r="P32" s="2"/>
      <c r="Q32" s="2"/>
      <c r="R32" s="18">
        <v>5.0</v>
      </c>
      <c r="S32" s="2"/>
      <c r="T32" s="2"/>
      <c r="U32" s="2"/>
      <c r="V32" s="2"/>
      <c r="W32" s="2"/>
      <c r="X32" s="2"/>
      <c r="Y32" s="2"/>
      <c r="Z32" s="2"/>
    </row>
    <row r="33" ht="13.5" customHeight="1">
      <c r="A33" s="1"/>
      <c r="B33" s="19" t="s">
        <v>55</v>
      </c>
      <c r="C33" s="1"/>
      <c r="D33" s="1"/>
      <c r="E33" s="1"/>
      <c r="F33" s="1"/>
      <c r="G33" s="1"/>
      <c r="H33" s="1"/>
      <c r="I33" s="1"/>
      <c r="J33" s="2"/>
      <c r="K33" s="20"/>
      <c r="O33" s="21"/>
      <c r="P33" s="2"/>
      <c r="Q33" s="2"/>
      <c r="R33" s="18">
        <v>3.0</v>
      </c>
      <c r="S33" s="2"/>
      <c r="T33" s="2"/>
      <c r="U33" s="2"/>
      <c r="V33" s="2"/>
      <c r="W33" s="2"/>
      <c r="X33" s="2"/>
      <c r="Y33" s="2"/>
      <c r="Z33" s="2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0"/>
      <c r="O34" s="21"/>
      <c r="P34" s="2"/>
      <c r="Q34" s="2"/>
      <c r="R34" s="18">
        <v>25.0</v>
      </c>
      <c r="S34" s="2"/>
      <c r="T34" s="2"/>
      <c r="U34" s="2"/>
      <c r="V34" s="2"/>
      <c r="W34" s="2"/>
      <c r="X34" s="2"/>
      <c r="Y34" s="2"/>
      <c r="Z34" s="2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0"/>
      <c r="O35" s="21"/>
      <c r="P35" s="2"/>
      <c r="Q35" s="2"/>
      <c r="R35" s="18">
        <v>10.0</v>
      </c>
      <c r="S35" s="2"/>
      <c r="T35" s="2"/>
      <c r="U35" s="2"/>
      <c r="V35" s="2"/>
      <c r="W35" s="2"/>
      <c r="X35" s="2"/>
      <c r="Y35" s="2"/>
      <c r="Z35" s="2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0"/>
      <c r="O36" s="21"/>
      <c r="P36" s="2"/>
      <c r="Q36" s="2"/>
      <c r="R36" s="18">
        <v>2.0</v>
      </c>
      <c r="S36" s="2"/>
      <c r="T36" s="2"/>
      <c r="U36" s="2"/>
      <c r="V36" s="2"/>
      <c r="W36" s="2"/>
      <c r="X36" s="2"/>
      <c r="Y36" s="2"/>
      <c r="Z36" s="2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2"/>
      <c r="L37" s="23"/>
      <c r="M37" s="23"/>
      <c r="N37" s="23"/>
      <c r="O37" s="2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5"/>
      <c r="U41" s="2"/>
      <c r="V41" s="2"/>
      <c r="W41" s="2"/>
      <c r="X41" s="2"/>
      <c r="Y41" s="2"/>
      <c r="Z41" s="2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15" t="s">
        <v>56</v>
      </c>
      <c r="L42" s="16"/>
      <c r="M42" s="16"/>
      <c r="N42" s="16"/>
      <c r="O42" s="17"/>
      <c r="P42" s="2"/>
      <c r="Q42" s="2"/>
      <c r="R42" s="18">
        <v>10.0</v>
      </c>
      <c r="S42" s="2"/>
      <c r="T42" s="2"/>
      <c r="U42" s="2"/>
      <c r="V42" s="2"/>
      <c r="W42" s="2"/>
      <c r="X42" s="2"/>
      <c r="Y42" s="2"/>
      <c r="Z42" s="2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0"/>
      <c r="O43" s="21"/>
      <c r="P43" s="2"/>
      <c r="Q43" s="2"/>
      <c r="R43" s="18">
        <v>15.0</v>
      </c>
      <c r="S43" s="2"/>
      <c r="T43" s="2"/>
      <c r="U43" s="2"/>
      <c r="V43" s="2"/>
      <c r="W43" s="2"/>
      <c r="X43" s="2"/>
      <c r="Y43" s="2"/>
      <c r="Z43" s="2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0"/>
      <c r="O44" s="21"/>
      <c r="P44" s="2"/>
      <c r="Q44" s="2"/>
      <c r="R44" s="18">
        <v>15.0</v>
      </c>
      <c r="S44" s="2"/>
      <c r="T44" s="2"/>
      <c r="U44" s="2"/>
      <c r="V44" s="2"/>
      <c r="W44" s="2"/>
      <c r="X44" s="2"/>
      <c r="Y44" s="2"/>
      <c r="Z44" s="2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0"/>
      <c r="O45" s="21"/>
      <c r="P45" s="2"/>
      <c r="Q45" s="2"/>
      <c r="R45" s="18">
        <v>12.0</v>
      </c>
      <c r="S45" s="2"/>
      <c r="T45" s="2"/>
      <c r="U45" s="2"/>
      <c r="V45" s="2"/>
      <c r="W45" s="2"/>
      <c r="X45" s="2"/>
      <c r="Y45" s="2"/>
      <c r="Z45" s="2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0"/>
      <c r="O46" s="21"/>
      <c r="P46" s="2"/>
      <c r="Q46" s="2"/>
      <c r="R46" s="18">
        <v>10.0</v>
      </c>
      <c r="S46" s="2"/>
      <c r="T46" s="2"/>
      <c r="U46" s="2"/>
      <c r="V46" s="2"/>
      <c r="W46" s="2"/>
      <c r="X46" s="2"/>
      <c r="Y46" s="2"/>
      <c r="Z46" s="2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2"/>
      <c r="L47" s="23"/>
      <c r="M47" s="23"/>
      <c r="N47" s="23"/>
      <c r="O47" s="2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15" t="s">
        <v>57</v>
      </c>
      <c r="L51" s="16"/>
      <c r="M51" s="16"/>
      <c r="N51" s="16"/>
      <c r="O51" s="17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0"/>
      <c r="O52" s="21"/>
      <c r="P52" s="2"/>
      <c r="Q52" s="2"/>
      <c r="R52" s="18">
        <v>20.0</v>
      </c>
      <c r="S52" s="2"/>
      <c r="T52" s="2"/>
      <c r="U52" s="2"/>
      <c r="V52" s="2"/>
      <c r="W52" s="2"/>
      <c r="X52" s="2"/>
      <c r="Y52" s="2"/>
      <c r="Z52" s="2"/>
    </row>
    <row r="53" ht="16.5" customHeight="1">
      <c r="A53" s="1"/>
      <c r="B53" s="1"/>
      <c r="C53" s="1"/>
      <c r="D53" s="1"/>
      <c r="E53" s="1"/>
      <c r="F53" s="1"/>
      <c r="G53" s="1"/>
      <c r="H53" s="26"/>
      <c r="I53" s="10"/>
      <c r="J53" s="2"/>
      <c r="K53" s="20"/>
      <c r="O53" s="21"/>
      <c r="P53" s="2"/>
      <c r="Q53" s="2"/>
      <c r="R53" s="18">
        <v>25.0</v>
      </c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0"/>
      <c r="O54" s="21"/>
      <c r="P54" s="2"/>
      <c r="Q54" s="2"/>
      <c r="R54" s="18">
        <v>5.0</v>
      </c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0"/>
      <c r="O55" s="21"/>
      <c r="P55" s="2"/>
      <c r="Q55" s="2"/>
      <c r="R55" s="18">
        <v>20.0</v>
      </c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0"/>
      <c r="O56" s="21"/>
      <c r="P56" s="2"/>
      <c r="Q56" s="2"/>
      <c r="R56" s="18">
        <v>20.0</v>
      </c>
      <c r="S56" s="2"/>
      <c r="T56" s="2"/>
      <c r="U56" s="2"/>
      <c r="V56" s="2"/>
      <c r="W56" s="2"/>
      <c r="X56" s="2"/>
      <c r="Y56" s="2"/>
      <c r="Z56" s="2"/>
    </row>
    <row r="57" ht="36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2"/>
      <c r="L57" s="23"/>
      <c r="M57" s="23"/>
      <c r="N57" s="23"/>
      <c r="O57" s="2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B2:I2"/>
    <mergeCell ref="C4:H4"/>
    <mergeCell ref="K32:O37"/>
    <mergeCell ref="K42:O47"/>
    <mergeCell ref="K51:O57"/>
    <mergeCell ref="H53:I5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6" width="10.71"/>
  </cols>
  <sheetData>
    <row r="1">
      <c r="A1" s="27" t="s">
        <v>58</v>
      </c>
    </row>
    <row r="2">
      <c r="A2" s="27" t="s">
        <v>59</v>
      </c>
    </row>
    <row r="3">
      <c r="A3" s="27" t="s">
        <v>60</v>
      </c>
    </row>
    <row r="4">
      <c r="A4" s="27" t="s">
        <v>61</v>
      </c>
    </row>
    <row r="5">
      <c r="A5" s="27" t="s">
        <v>62</v>
      </c>
    </row>
    <row r="8">
      <c r="A8" s="28" t="s">
        <v>63</v>
      </c>
      <c r="B8" s="27">
        <v>1.0</v>
      </c>
      <c r="C8" s="27">
        <v>1.0</v>
      </c>
      <c r="D8" s="27">
        <v>1.0</v>
      </c>
      <c r="E8" s="27">
        <v>1.0</v>
      </c>
      <c r="F8" s="27">
        <v>1.0</v>
      </c>
      <c r="G8" s="27">
        <v>1.0</v>
      </c>
      <c r="H8" s="27">
        <v>3.0</v>
      </c>
      <c r="I8" s="27">
        <v>1.0</v>
      </c>
      <c r="J8" s="27">
        <v>1.0</v>
      </c>
      <c r="K8" s="27">
        <v>1.0</v>
      </c>
      <c r="L8" s="27">
        <v>2.0</v>
      </c>
      <c r="M8" s="27">
        <v>1.0</v>
      </c>
      <c r="N8" s="27">
        <v>1.0</v>
      </c>
      <c r="O8" s="27">
        <v>1.0</v>
      </c>
      <c r="P8" s="27">
        <v>1.0</v>
      </c>
      <c r="Q8" s="27">
        <v>2.0</v>
      </c>
      <c r="R8" s="27">
        <v>1.0</v>
      </c>
      <c r="S8" s="27">
        <v>1.0</v>
      </c>
      <c r="T8" s="27">
        <v>1.0</v>
      </c>
      <c r="U8" s="27">
        <v>2.0</v>
      </c>
      <c r="V8" s="27">
        <v>1.0</v>
      </c>
      <c r="W8" s="27">
        <f>SUM(B8+C8+D8+E8+F8+G8+H8+I8+J8+K8+L8+M8+N8+O8+P8+Q8+R8+S8+T8+U8+V8)-21</f>
        <v>5</v>
      </c>
    </row>
    <row r="9">
      <c r="A9" s="28" t="s">
        <v>64</v>
      </c>
      <c r="B9" s="27">
        <v>4.0</v>
      </c>
      <c r="C9" s="27">
        <v>4.0</v>
      </c>
      <c r="D9" s="27">
        <v>4.0</v>
      </c>
      <c r="E9" s="27">
        <v>4.0</v>
      </c>
      <c r="F9" s="27">
        <v>4.0</v>
      </c>
      <c r="G9" s="27">
        <v>4.0</v>
      </c>
      <c r="H9" s="27">
        <v>4.0</v>
      </c>
      <c r="I9" s="27">
        <v>3.0</v>
      </c>
      <c r="J9" s="27">
        <v>3.0</v>
      </c>
      <c r="K9" s="27">
        <f t="shared" ref="K9:K10" si="1">SUM(B9+C9+D9+E9+F9+G9+H9+I9+J9)-9</f>
        <v>25</v>
      </c>
    </row>
    <row r="10">
      <c r="A10" s="28" t="s">
        <v>65</v>
      </c>
      <c r="B10" s="27">
        <v>1.0</v>
      </c>
      <c r="C10" s="27">
        <v>1.0</v>
      </c>
      <c r="D10" s="27">
        <v>1.0</v>
      </c>
      <c r="E10" s="27">
        <v>1.0</v>
      </c>
      <c r="F10" s="27">
        <v>1.0</v>
      </c>
      <c r="G10" s="27">
        <v>1.0</v>
      </c>
      <c r="H10" s="27">
        <v>1.0</v>
      </c>
      <c r="I10" s="27">
        <v>1.0</v>
      </c>
      <c r="J10" s="27">
        <v>4.0</v>
      </c>
      <c r="K10" s="27">
        <f t="shared" si="1"/>
        <v>3</v>
      </c>
    </row>
    <row r="11">
      <c r="A11" s="28" t="s">
        <v>66</v>
      </c>
      <c r="B11" s="27">
        <v>1.0</v>
      </c>
      <c r="C11" s="27">
        <v>2.0</v>
      </c>
      <c r="D11" s="27">
        <v>2.0</v>
      </c>
      <c r="E11" s="27">
        <v>2.0</v>
      </c>
      <c r="F11" s="27">
        <v>1.0</v>
      </c>
      <c r="G11" s="27">
        <v>4.0</v>
      </c>
      <c r="H11" s="27">
        <v>2.0</v>
      </c>
      <c r="I11" s="27">
        <v>1.0</v>
      </c>
      <c r="J11" s="27">
        <f>SUM(B11+C11+D11+E11+F11+G11+H11+I11)-8</f>
        <v>7</v>
      </c>
    </row>
    <row r="12">
      <c r="A12" s="28" t="s">
        <v>67</v>
      </c>
      <c r="B12" s="27">
        <v>2.0</v>
      </c>
      <c r="C12" s="27">
        <v>1.0</v>
      </c>
      <c r="D12" s="27">
        <v>1.0</v>
      </c>
      <c r="E12" s="27">
        <v>1.0</v>
      </c>
      <c r="F12" s="27">
        <v>1.0</v>
      </c>
      <c r="G12" s="27">
        <f>SUM(B12+C12+D12+E12+F12)-5</f>
        <v>1</v>
      </c>
    </row>
    <row r="14">
      <c r="A14" s="28" t="s">
        <v>63</v>
      </c>
      <c r="B14" s="27">
        <f t="shared" ref="B14:B18" si="2">IF(C14&lt;0,0,C14)</f>
        <v>5</v>
      </c>
      <c r="C14" s="27">
        <f>W8</f>
        <v>5</v>
      </c>
    </row>
    <row r="15">
      <c r="A15" s="28" t="s">
        <v>65</v>
      </c>
      <c r="B15" s="27">
        <f t="shared" si="2"/>
        <v>3</v>
      </c>
      <c r="C15" s="27">
        <f>K10</f>
        <v>3</v>
      </c>
    </row>
    <row r="16">
      <c r="A16" s="28" t="s">
        <v>64</v>
      </c>
      <c r="B16" s="27">
        <f t="shared" si="2"/>
        <v>25</v>
      </c>
      <c r="C16" s="27">
        <f>K9</f>
        <v>25</v>
      </c>
    </row>
    <row r="17">
      <c r="A17" s="28" t="s">
        <v>66</v>
      </c>
      <c r="B17" s="27">
        <f t="shared" si="2"/>
        <v>7</v>
      </c>
      <c r="C17" s="27">
        <f>J11</f>
        <v>7</v>
      </c>
    </row>
    <row r="18">
      <c r="A18" s="28" t="s">
        <v>67</v>
      </c>
      <c r="B18" s="27">
        <f t="shared" si="2"/>
        <v>1</v>
      </c>
      <c r="C18" s="27">
        <f>G12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