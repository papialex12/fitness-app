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il F-v PRESS BANCA" sheetId="1" r:id="rId5"/>
    <sheet state="visible" name="Perfil F-v SENTADILLA" sheetId="2" r:id="rId6"/>
    <sheet state="visible" name="Perfil F-v PESO MUERTO" sheetId="3" r:id="rId7"/>
    <sheet state="visible" name="Perfil F-v DOMINADAS" sheetId="4" r:id="rId8"/>
  </sheets>
  <definedNames/>
  <calcPr/>
</workbook>
</file>

<file path=xl/sharedStrings.xml><?xml version="1.0" encoding="utf-8"?>
<sst xmlns="http://schemas.openxmlformats.org/spreadsheetml/2006/main" count="460" uniqueCount="146">
  <si>
    <t>1 RM DIARIO Y CARGA DE TRABAJO</t>
  </si>
  <si>
    <t>EVOLUCIÓN 1RM</t>
  </si>
  <si>
    <t>CELDAS EN COLOR AZUL EDITABLES</t>
  </si>
  <si>
    <t>ANALISIS LEVANTAMIENTO</t>
  </si>
  <si>
    <t>PRESS BANCA</t>
  </si>
  <si>
    <t>FECHA</t>
  </si>
  <si>
    <t>Levantamiento (kg)</t>
  </si>
  <si>
    <t>Velocidad (m/s)</t>
  </si>
  <si>
    <t>%1RM</t>
  </si>
  <si>
    <t>1RM (kg)</t>
  </si>
  <si>
    <t>PESO (Kg)</t>
  </si>
  <si>
    <t>VELOCIDAD (m/s)</t>
  </si>
  <si>
    <t>% 1RM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</si>
  <si>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</si>
  <si>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t>1RM</t>
  </si>
  <si>
    <t>CÁLCULO PESO DE TRABAJO</t>
  </si>
  <si>
    <t>% 1RM de trabajo</t>
  </si>
  <si>
    <t>Peso a utilizar</t>
  </si>
  <si>
    <t>PESO BARRA</t>
  </si>
  <si>
    <t>PESO MINIMO DISCO</t>
  </si>
  <si>
    <t>PESO POR EXTREMO BARRA</t>
  </si>
  <si>
    <t>GRÁFICAS</t>
  </si>
  <si>
    <t>PERFIL</t>
  </si>
  <si>
    <t>DATOS (no editable)</t>
  </si>
  <si>
    <t>EJERCICIO</t>
  </si>
  <si>
    <t>CONSTANTE TEST PERFIL</t>
  </si>
  <si>
    <t>% 1RM conservador</t>
  </si>
  <si>
    <t>VELOCIDAD UMBRAL</t>
  </si>
  <si>
    <t>PENDIENTE TEST PERFIL</t>
  </si>
  <si>
    <t>aconsejado para</t>
  </si>
  <si>
    <t>TEST</t>
  </si>
  <si>
    <t>ECUACIÓN TEST PERFIL</t>
  </si>
  <si>
    <t>realizar el test</t>
  </si>
  <si>
    <t>PESO</t>
  </si>
  <si>
    <t>VELOCIDAD</t>
  </si>
  <si>
    <t>Se sustituye Y por V. Umbral:</t>
  </si>
  <si>
    <t>1 RM (se despeja la x)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</si>
  <si>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TEST PERFIL</t>
    </r>
  </si>
  <si>
    <t>RELACION VELOCIDAD - %1RM</t>
  </si>
  <si>
    <t>PESO (kg)</t>
  </si>
  <si>
    <t>%1RM (X)</t>
  </si>
  <si>
    <t>VELOCIDAD (Y)</t>
  </si>
  <si>
    <t>Descanso: 3'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</si>
  <si>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</si>
  <si>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t>Levantar con velocidad intencional máxima y técnica idéntica</t>
  </si>
  <si>
    <t>R2 superiores 0,99 ofrecen mediciones de 1RM muy precisas</t>
  </si>
  <si>
    <t>R2 entre 0,99-0,98 pueden sesgar el 1RM hasta un 5%</t>
  </si>
  <si>
    <t>R2 inferior a 0,98 aconsejan repetir el test</t>
  </si>
  <si>
    <t>CONSTANTE FINAL</t>
  </si>
  <si>
    <t>PENDIENTE FINAL</t>
  </si>
  <si>
    <t>ECUACIÓN FINAL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</si>
  <si>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FINAL</t>
    </r>
  </si>
  <si>
    <t>RELACIÓN INDIVIDUAL ENTRE VARIABLES DE CUANTIFICACIÓN DE LA CARGA EN PRESS BANCA (no editable)</t>
  </si>
  <si>
    <t>Niveles de esfuerzo percibido</t>
  </si>
  <si>
    <t>Máximo</t>
  </si>
  <si>
    <t>Muy alto</t>
  </si>
  <si>
    <t>Alto</t>
  </si>
  <si>
    <t>Medio</t>
  </si>
  <si>
    <t>Escalas</t>
  </si>
  <si>
    <t>RPE</t>
  </si>
  <si>
    <t>19 - 20</t>
  </si>
  <si>
    <t>17 - 18</t>
  </si>
  <si>
    <t>16 - 17</t>
  </si>
  <si>
    <t>15 - 16</t>
  </si>
  <si>
    <t>14 - 15</t>
  </si>
  <si>
    <t>13 - 14</t>
  </si>
  <si>
    <t>12 - 13</t>
  </si>
  <si>
    <t>CR-10</t>
  </si>
  <si>
    <t>9.5 - 10</t>
  </si>
  <si>
    <t>8.5 - 9</t>
  </si>
  <si>
    <t>8 - 8.5</t>
  </si>
  <si>
    <t>7.5 - 8</t>
  </si>
  <si>
    <t>7 - 7.5</t>
  </si>
  <si>
    <t>6.5 - 7</t>
  </si>
  <si>
    <t>6 - 6.5</t>
  </si>
  <si>
    <t>RIR</t>
  </si>
  <si>
    <t>Niveles de intensidad</t>
  </si>
  <si>
    <t>Velocidad fase propulsiva 1ª repetición (m/s)</t>
  </si>
  <si>
    <r>
      <rPr>
        <rFont val="Calibri"/>
        <b/>
        <color theme="1"/>
        <sz val="10.0"/>
      </rPr>
      <t>Press banca (V</t>
    </r>
    <r>
      <rPr>
        <rFont val="Calibri"/>
        <b/>
        <color theme="1"/>
        <sz val="10.0"/>
        <vertAlign val="subscript"/>
      </rPr>
      <t>MP)</t>
    </r>
  </si>
  <si>
    <t>Clasificación</t>
  </si>
  <si>
    <r>
      <rPr>
        <rFont val="Calibri"/>
        <b/>
        <color theme="1"/>
        <sz val="10.0"/>
      </rPr>
      <t>Press banca (V</t>
    </r>
    <r>
      <rPr>
        <rFont val="Calibri"/>
        <b/>
        <color theme="1"/>
        <sz val="10.0"/>
        <vertAlign val="subscript"/>
      </rPr>
      <t>MP</t>
    </r>
    <r>
      <rPr>
        <rFont val="Calibri"/>
        <b/>
        <color theme="1"/>
        <sz val="10.0"/>
      </rPr>
      <t>)</t>
    </r>
  </si>
  <si>
    <t>REPETICIONES REALIZABLES</t>
  </si>
  <si>
    <t>Muy pesado</t>
  </si>
  <si>
    <t>98-100%</t>
  </si>
  <si>
    <t>Muy lenta</t>
  </si>
  <si>
    <t>95-97%</t>
  </si>
  <si>
    <t>92-94%</t>
  </si>
  <si>
    <t>Pesado</t>
  </si>
  <si>
    <t>89-91%</t>
  </si>
  <si>
    <t>85-88%</t>
  </si>
  <si>
    <t>83-84%</t>
  </si>
  <si>
    <t>81-82%</t>
  </si>
  <si>
    <t>Lenta</t>
  </si>
  <si>
    <t>78-80%</t>
  </si>
  <si>
    <t>75-77%</t>
  </si>
  <si>
    <t>72-74%</t>
  </si>
  <si>
    <t>69-71%</t>
  </si>
  <si>
    <t>66-68%</t>
  </si>
  <si>
    <t>Liviano</t>
  </si>
  <si>
    <t>64-65%</t>
  </si>
  <si>
    <t>61-63%</t>
  </si>
  <si>
    <t>58-60%</t>
  </si>
  <si>
    <t>Media</t>
  </si>
  <si>
    <t>55-57%</t>
  </si>
  <si>
    <t>52-54%</t>
  </si>
  <si>
    <t>50-51%</t>
  </si>
  <si>
    <t>App MyLift® for iOS edición EXCEL. SENTADILLA</t>
  </si>
  <si>
    <r>
      <rPr>
        <rFont val="Calibri"/>
        <b/>
        <color theme="1"/>
        <sz val="11.0"/>
        <u/>
      </rPr>
      <t>Editado y desarrollado por</t>
    </r>
    <r>
      <rPr>
        <rFont val="Calibri"/>
        <color theme="1"/>
        <sz val="11.0"/>
      </rPr>
      <t>:</t>
    </r>
  </si>
  <si>
    <t>Dr. Carlos Balsalobre Fernández</t>
  </si>
  <si>
    <t>David Marchante Domingo</t>
  </si>
  <si>
    <t>Carlos Bustillo García</t>
  </si>
  <si>
    <t>Pedro Juan Spain</t>
  </si>
  <si>
    <t>Mario Muñoz López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</si>
  <si>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</si>
  <si>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t>App Mylift for iOS</t>
  </si>
  <si>
    <t>SENTADILLA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</si>
  <si>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TEST PERFIL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</si>
  <si>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</si>
  <si>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FINAL</t>
    </r>
  </si>
  <si>
    <t>RELACIÓN INDIVIDUAL ENTRE VARIABLES DE CUANTIFICACIÓN DE LA CARGA EN SENTADILLA (no editable)</t>
  </si>
  <si>
    <r>
      <rPr>
        <rFont val="Calibri"/>
        <b/>
        <color theme="1"/>
        <sz val="10.0"/>
      </rPr>
      <t>Sentadilla (V</t>
    </r>
    <r>
      <rPr>
        <rFont val="Calibri"/>
        <b/>
        <color theme="1"/>
        <sz val="10.0"/>
        <vertAlign val="subscript"/>
      </rPr>
      <t>MP)</t>
    </r>
  </si>
  <si>
    <r>
      <rPr>
        <rFont val="Calibri"/>
        <b/>
        <color theme="1"/>
        <sz val="10.0"/>
      </rPr>
      <t>Sentadilla (V</t>
    </r>
    <r>
      <rPr>
        <rFont val="Calibri"/>
        <b/>
        <color theme="1"/>
        <sz val="10.0"/>
        <vertAlign val="subscript"/>
      </rPr>
      <t>MP</t>
    </r>
    <r>
      <rPr>
        <rFont val="Calibri"/>
        <b/>
        <color theme="1"/>
        <sz val="10.0"/>
      </rPr>
      <t>)</t>
    </r>
  </si>
  <si>
    <t>App MyLift® for iOS edición EXCEL. PESO MUERTO</t>
  </si>
  <si>
    <r>
      <rPr>
        <rFont val="Calibri"/>
        <b/>
        <color theme="1"/>
        <sz val="11.0"/>
        <u/>
      </rPr>
      <t>Editado y desarrollado por</t>
    </r>
    <r>
      <rPr>
        <rFont val="Calibri"/>
        <color theme="1"/>
        <sz val="11.0"/>
      </rPr>
      <t>: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</si>
  <si>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</si>
  <si>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t>PESO MUERTO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</si>
  <si>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TEST PERFIL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</si>
  <si>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</si>
  <si>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FINAL</t>
    </r>
  </si>
  <si>
    <t>RELACIÓN INDIVIDUAL ENTRE VARIABLES DE CUANTIFICACIÓN DE LA CARGA EN PESO MUERTO (no editable)</t>
  </si>
  <si>
    <r>
      <rPr>
        <rFont val="Calibri"/>
        <b/>
        <color theme="1"/>
        <sz val="10.0"/>
      </rPr>
      <t>Peso muerto (V</t>
    </r>
    <r>
      <rPr>
        <rFont val="Calibri"/>
        <b/>
        <color theme="1"/>
        <sz val="10.0"/>
        <vertAlign val="subscript"/>
      </rPr>
      <t>MP)</t>
    </r>
  </si>
  <si>
    <r>
      <rPr>
        <rFont val="Calibri"/>
        <b/>
        <color theme="1"/>
        <sz val="10.0"/>
      </rPr>
      <t>Peso muerto (V</t>
    </r>
    <r>
      <rPr>
        <rFont val="Calibri"/>
        <b/>
        <color theme="1"/>
        <sz val="10.0"/>
        <vertAlign val="subscript"/>
      </rPr>
      <t>MP</t>
    </r>
    <r>
      <rPr>
        <rFont val="Calibri"/>
        <b/>
        <color theme="1"/>
        <sz val="10.0"/>
      </rPr>
      <t>)</t>
    </r>
  </si>
  <si>
    <t>ELABORA TU PERFIL DE FUERZA / VELOCIDAD (PRESS DE BANCA)</t>
  </si>
  <si>
    <t>CELDAS EN COLOR ROJO EDITABLES</t>
  </si>
  <si>
    <t>CELDAS EN COLOR ROJO</t>
  </si>
  <si>
    <t>Peso corporal (kg)</t>
  </si>
  <si>
    <t>RPE Sesión</t>
  </si>
  <si>
    <t>Levantamiento total (kg)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</si>
  <si>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</si>
  <si>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t>PRESS DE BANCA</t>
  </si>
  <si>
    <t>Peso (kg)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</si>
  <si>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TEST PERFIL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</si>
  <si>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>2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</si>
  <si>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  <vertAlign val="superscript"/>
      </rPr>
      <t xml:space="preserve">2 </t>
    </r>
    <r>
      <rPr>
        <rFont val="Calibri"/>
        <b/>
        <color theme="1"/>
        <sz val="11.0"/>
      </rPr>
      <t>FINAL</t>
    </r>
  </si>
  <si>
    <t>RELACIÓN INDIVIDUAL ENTRE VARIABLES DE CUANTIFICACIÓN DE LA CARGA EN DOMINADAS (no editable)</t>
  </si>
  <si>
    <t>Press banca (VMP)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</si>
</sst>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\-m\-yy"/>
    <numFmt numFmtId="165" formatCode="0.00\ &quot;Kg&quot;"/>
    <numFmt numFmtId="166" formatCode="0.00\ &quot;m/s&quot;"/>
    <numFmt numFmtId="167" formatCode="0.000"/>
    <numFmt numFmtId="168" formatCode="0.00\ &quot;%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theme="0"/>
      <name val="Calibri"/>
    </font>
    <font/>
    <font>
      <b/>
      <sz val="22.0"/>
      <color theme="0"/>
      <name val="Calibri"/>
    </font>
    <font>
      <b/>
      <sz val="11.0"/>
      <color rgb="FFFF0000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i/>
      <sz val="9.0"/>
      <color theme="1"/>
      <name val="Calibri"/>
    </font>
    <font>
      <b/>
      <sz val="36.0"/>
      <color theme="1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2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>
      <b/>
      <sz val="10.0"/>
      <color theme="0"/>
      <name val="Calibri"/>
    </font>
    <font>
      <sz val="10.0"/>
      <color theme="0"/>
      <name val="Calibri"/>
    </font>
    <font>
      <sz val="11.0"/>
      <color theme="0"/>
      <name val="Calibri"/>
    </font>
    <font>
      <i/>
      <sz val="9.0"/>
      <color theme="0"/>
      <name val="Calibri"/>
    </font>
    <font>
      <b/>
      <sz val="28.0"/>
      <color theme="1"/>
      <name val="Calibri"/>
    </font>
    <font>
      <b/>
      <sz val="10.0"/>
      <color rgb="FF000000"/>
      <name val="Calibri"/>
    </font>
  </fonts>
  <fills count="2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99"/>
        <bgColor rgb="FFFFFF99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FFCC"/>
        <bgColor rgb="FFFFFFCC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9CC2E5"/>
        <bgColor rgb="FF9CC2E5"/>
      </patternFill>
    </fill>
    <fill>
      <patternFill patternType="solid">
        <fgColor rgb="FFDDDDDD"/>
        <bgColor rgb="FFDDDDDD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</fills>
  <borders count="121">
    <border/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505050"/>
      </right>
      <top style="thin">
        <color rgb="FF50505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</border>
    <border>
      <right style="medium">
        <color rgb="FF000000"/>
      </right>
    </border>
    <border>
      <left/>
      <top/>
      <bottom style="thin">
        <color rgb="FF505050"/>
      </bottom>
    </border>
    <border>
      <top/>
      <bottom style="thin">
        <color rgb="FF505050"/>
      </bottom>
    </border>
    <border>
      <right/>
      <top/>
      <bottom style="thin">
        <color rgb="FF50505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505050"/>
      </left>
      <right style="thin">
        <color rgb="FF505050"/>
      </right>
      <top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top style="thin">
        <color rgb="FF505050"/>
      </top>
      <bottom/>
    </border>
    <border>
      <top style="thin">
        <color rgb="FF505050"/>
      </top>
      <bottom/>
    </border>
    <border>
      <right style="thin">
        <color rgb="FF505050"/>
      </right>
      <top style="thin">
        <color rgb="FF505050"/>
      </top>
      <bottom/>
    </border>
    <border>
      <left style="thin">
        <color rgb="FF505050"/>
      </left>
      <top style="thin">
        <color rgb="FF505050"/>
      </top>
      <bottom style="medium">
        <color rgb="FF000000"/>
      </bottom>
    </border>
    <border>
      <top style="thin">
        <color rgb="FF505050"/>
      </top>
      <bottom style="medium">
        <color rgb="FF000000"/>
      </bottom>
    </border>
    <border>
      <right style="thin">
        <color rgb="FF505050"/>
      </right>
      <top style="thin">
        <color rgb="FF50505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medium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70C0"/>
      </bottom>
    </border>
    <border>
      <top style="medium">
        <color rgb="FF000000"/>
      </top>
      <bottom style="medium">
        <color rgb="FF0070C0"/>
      </bottom>
    </border>
    <border>
      <right style="medium">
        <color rgb="FF000000"/>
      </right>
      <top style="medium">
        <color rgb="FF000000"/>
      </top>
      <bottom style="medium">
        <color rgb="FF0070C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50505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FF0000"/>
      </bottom>
    </border>
    <border>
      <top style="medium">
        <color rgb="FF000000"/>
      </top>
      <bottom style="thin">
        <color rgb="FFFF0000"/>
      </bottom>
    </border>
    <border>
      <right style="medium">
        <color rgb="FF000000"/>
      </right>
      <top style="medium">
        <color rgb="FF000000"/>
      </top>
      <bottom style="thin">
        <color rgb="FFFF0000"/>
      </bottom>
    </border>
    <border>
      <top/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3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4" fillId="3" fontId="4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/>
    </xf>
    <xf borderId="8" fillId="0" fontId="3" numFmtId="0" xfId="0" applyBorder="1" applyFont="1"/>
    <xf borderId="9" fillId="2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7" fillId="4" fontId="5" numFmtId="0" xfId="0" applyAlignment="1" applyBorder="1" applyFill="1" applyFont="1">
      <alignment horizontal="center"/>
    </xf>
    <xf borderId="12" fillId="4" fontId="5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2" fontId="6" numFmtId="0" xfId="0" applyAlignment="1" applyBorder="1" applyFont="1">
      <alignment horizontal="center"/>
    </xf>
    <xf borderId="16" fillId="0" fontId="3" numFmtId="0" xfId="0" applyBorder="1" applyFont="1"/>
    <xf borderId="17" fillId="2" fontId="7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7" fillId="2" fontId="1" numFmtId="0" xfId="0" applyAlignment="1" applyBorder="1" applyFont="1">
      <alignment horizontal="left" vertical="center"/>
    </xf>
    <xf borderId="7" fillId="2" fontId="1" numFmtId="0" xfId="0" applyAlignment="1" applyBorder="1" applyFont="1">
      <alignment horizontal="left"/>
    </xf>
    <xf borderId="20" fillId="2" fontId="8" numFmtId="0" xfId="0" applyAlignment="1" applyBorder="1" applyFont="1">
      <alignment horizontal="center"/>
    </xf>
    <xf borderId="21" fillId="2" fontId="8" numFmtId="0" xfId="0" applyAlignment="1" applyBorder="1" applyFont="1">
      <alignment horizontal="center"/>
    </xf>
    <xf borderId="22" fillId="2" fontId="8" numFmtId="0" xfId="0" applyAlignment="1" applyBorder="1" applyFont="1">
      <alignment horizontal="center"/>
    </xf>
    <xf borderId="0" fillId="0" fontId="1" numFmtId="0" xfId="0" applyAlignment="1" applyFont="1">
      <alignment vertical="center"/>
    </xf>
    <xf borderId="20" fillId="4" fontId="1" numFmtId="164" xfId="0" applyAlignment="1" applyBorder="1" applyFont="1" applyNumberFormat="1">
      <alignment horizontal="center"/>
    </xf>
    <xf borderId="21" fillId="4" fontId="1" numFmtId="0" xfId="0" applyAlignment="1" applyBorder="1" applyFont="1">
      <alignment horizontal="center"/>
    </xf>
    <xf borderId="21" fillId="2" fontId="8" numFmtId="2" xfId="0" applyAlignment="1" applyBorder="1" applyFont="1" applyNumberFormat="1">
      <alignment horizontal="center"/>
    </xf>
    <xf borderId="22" fillId="5" fontId="8" numFmtId="2" xfId="0" applyAlignment="1" applyBorder="1" applyFill="1" applyFont="1" applyNumberFormat="1">
      <alignment horizontal="center"/>
    </xf>
    <xf borderId="2" fillId="2" fontId="1" numFmtId="0" xfId="0" applyAlignment="1" applyBorder="1" applyFont="1">
      <alignment vertical="center"/>
    </xf>
    <xf borderId="20" fillId="4" fontId="8" numFmtId="165" xfId="0" applyAlignment="1" applyBorder="1" applyFont="1" applyNumberFormat="1">
      <alignment horizontal="center"/>
    </xf>
    <xf borderId="22" fillId="4" fontId="8" numFmtId="166" xfId="0" applyAlignment="1" applyBorder="1" applyFont="1" applyNumberFormat="1">
      <alignment horizontal="center"/>
    </xf>
    <xf borderId="23" fillId="2" fontId="8" numFmtId="0" xfId="0" applyAlignment="1" applyBorder="1" applyFont="1">
      <alignment horizontal="center"/>
    </xf>
    <xf borderId="24" fillId="2" fontId="8" numFmtId="167" xfId="0" applyAlignment="1" applyBorder="1" applyFont="1" applyNumberFormat="1">
      <alignment horizontal="center"/>
    </xf>
    <xf borderId="25" fillId="2" fontId="7" numFmtId="0" xfId="0" applyAlignment="1" applyBorder="1" applyFont="1">
      <alignment horizontal="center"/>
    </xf>
    <xf borderId="26" fillId="2" fontId="7" numFmtId="165" xfId="0" applyAlignment="1" applyBorder="1" applyFont="1" applyNumberFormat="1">
      <alignment horizontal="center"/>
    </xf>
    <xf borderId="2" fillId="2" fontId="7" numFmtId="0" xfId="0" applyAlignment="1" applyBorder="1" applyFont="1">
      <alignment horizontal="center"/>
    </xf>
    <xf borderId="2" fillId="2" fontId="7" numFmtId="165" xfId="0" applyAlignment="1" applyBorder="1" applyFont="1" applyNumberFormat="1">
      <alignment horizontal="center"/>
    </xf>
    <xf borderId="22" fillId="2" fontId="8" numFmtId="165" xfId="0" applyAlignment="1" applyBorder="1" applyFont="1" applyNumberFormat="1">
      <alignment horizontal="center"/>
    </xf>
    <xf borderId="27" fillId="4" fontId="7" numFmtId="168" xfId="0" applyAlignment="1" applyBorder="1" applyFont="1" applyNumberFormat="1">
      <alignment horizontal="center"/>
    </xf>
    <xf borderId="28" fillId="2" fontId="7" numFmtId="165" xfId="0" applyAlignment="1" applyBorder="1" applyFont="1" applyNumberFormat="1">
      <alignment horizontal="center"/>
    </xf>
    <xf borderId="29" fillId="2" fontId="8" numFmtId="0" xfId="0" applyAlignment="1" applyBorder="1" applyFont="1">
      <alignment horizontal="center"/>
    </xf>
    <xf borderId="30" fillId="2" fontId="8" numFmtId="0" xfId="0" applyAlignment="1" applyBorder="1" applyFont="1">
      <alignment horizontal="center"/>
    </xf>
    <xf borderId="20" fillId="4" fontId="7" numFmtId="165" xfId="0" applyAlignment="1" applyBorder="1" applyFont="1" applyNumberFormat="1">
      <alignment horizontal="center"/>
    </xf>
    <xf borderId="22" fillId="4" fontId="7" numFmtId="165" xfId="0" applyAlignment="1" applyBorder="1" applyFont="1" applyNumberFormat="1">
      <alignment horizontal="center"/>
    </xf>
    <xf borderId="17" fillId="2" fontId="8" numFmtId="0" xfId="0" applyAlignment="1" applyBorder="1" applyFont="1">
      <alignment horizontal="center"/>
    </xf>
    <xf borderId="2" fillId="2" fontId="9" numFmtId="0" xfId="0" applyAlignment="1" applyBorder="1" applyFont="1">
      <alignment horizontal="center" vertical="center"/>
    </xf>
    <xf borderId="31" fillId="2" fontId="1" numFmtId="0" xfId="0" applyBorder="1" applyFont="1"/>
    <xf borderId="32" fillId="2" fontId="7" numFmtId="165" xfId="0" applyAlignment="1" applyBorder="1" applyFont="1" applyNumberFormat="1">
      <alignment horizontal="center"/>
    </xf>
    <xf borderId="33" fillId="0" fontId="3" numFmtId="0" xfId="0" applyBorder="1" applyFont="1"/>
    <xf borderId="34" fillId="2" fontId="1" numFmtId="0" xfId="0" applyBorder="1" applyFont="1"/>
    <xf borderId="35" fillId="2" fontId="1" numFmtId="0" xfId="0" applyBorder="1" applyFont="1"/>
    <xf borderId="2" fillId="2" fontId="10" numFmtId="0" xfId="0" applyBorder="1" applyFont="1"/>
    <xf borderId="2" fillId="2" fontId="10" numFmtId="0" xfId="0" applyAlignment="1" applyBorder="1" applyFont="1">
      <alignment horizontal="right"/>
    </xf>
    <xf borderId="36" fillId="4" fontId="1" numFmtId="164" xfId="0" applyAlignment="1" applyBorder="1" applyFont="1" applyNumberFormat="1">
      <alignment horizontal="center"/>
    </xf>
    <xf borderId="37" fillId="4" fontId="1" numFmtId="0" xfId="0" applyAlignment="1" applyBorder="1" applyFont="1">
      <alignment horizontal="center"/>
    </xf>
    <xf borderId="37" fillId="2" fontId="8" numFmtId="2" xfId="0" applyAlignment="1" applyBorder="1" applyFont="1" applyNumberFormat="1">
      <alignment horizontal="center"/>
    </xf>
    <xf borderId="28" fillId="5" fontId="8" numFmtId="2" xfId="0" applyAlignment="1" applyBorder="1" applyFont="1" applyNumberFormat="1">
      <alignment horizontal="center"/>
    </xf>
    <xf borderId="2" fillId="2" fontId="11" numFmtId="0" xfId="0" applyAlignment="1" applyBorder="1" applyFont="1">
      <alignment vertical="center"/>
    </xf>
    <xf borderId="4" fillId="3" fontId="4" numFmtId="0" xfId="0" applyAlignment="1" applyBorder="1" applyFont="1">
      <alignment horizontal="center"/>
    </xf>
    <xf borderId="38" fillId="2" fontId="12" numFmtId="0" xfId="0" applyAlignment="1" applyBorder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4" fontId="5" numFmtId="0" xfId="0" applyAlignment="1" applyBorder="1" applyFont="1">
      <alignment horizontal="center"/>
    </xf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2" fontId="7" numFmtId="0" xfId="0" applyAlignment="1" applyBorder="1" applyFont="1">
      <alignment horizontal="center"/>
    </xf>
    <xf borderId="50" fillId="0" fontId="3" numFmtId="0" xfId="0" applyBorder="1" applyFont="1"/>
    <xf borderId="51" fillId="0" fontId="3" numFmtId="0" xfId="0" applyBorder="1" applyFont="1"/>
    <xf borderId="52" fillId="2" fontId="8" numFmtId="0" xfId="0" applyAlignment="1" applyBorder="1" applyFont="1">
      <alignment horizontal="center" vertical="center"/>
    </xf>
    <xf borderId="53" fillId="0" fontId="3" numFmtId="0" xfId="0" applyBorder="1" applyFont="1"/>
    <xf borderId="3" fillId="2" fontId="11" numFmtId="0" xfId="0" applyAlignment="1" applyBorder="1" applyFont="1">
      <alignment vertical="center"/>
    </xf>
    <xf borderId="54" fillId="2" fontId="7" numFmtId="0" xfId="0" applyAlignment="1" applyBorder="1" applyFont="1">
      <alignment horizontal="center"/>
    </xf>
    <xf borderId="55" fillId="2" fontId="8" numFmtId="0" xfId="0" applyAlignment="1" applyBorder="1" applyFont="1">
      <alignment horizontal="center"/>
    </xf>
    <xf borderId="56" fillId="4" fontId="8" numFmtId="0" xfId="0" applyAlignment="1" applyBorder="1" applyFont="1">
      <alignment horizontal="center"/>
    </xf>
    <xf borderId="52" fillId="2" fontId="8" numFmtId="0" xfId="0" applyAlignment="1" applyBorder="1" applyFont="1">
      <alignment horizontal="center"/>
    </xf>
    <xf borderId="54" fillId="2" fontId="8" numFmtId="0" xfId="0" applyAlignment="1" applyBorder="1" applyFont="1">
      <alignment horizontal="center" vertical="center"/>
    </xf>
    <xf borderId="56" fillId="4" fontId="8" numFmtId="166" xfId="0" applyAlignment="1" applyBorder="1" applyFont="1" applyNumberFormat="1">
      <alignment horizontal="center"/>
    </xf>
    <xf borderId="57" fillId="2" fontId="8" numFmtId="0" xfId="0" applyAlignment="1" applyBorder="1" applyFont="1">
      <alignment horizontal="center"/>
    </xf>
    <xf borderId="58" fillId="0" fontId="3" numFmtId="0" xfId="0" applyBorder="1" applyFont="1"/>
    <xf borderId="59" fillId="2" fontId="8" numFmtId="0" xfId="0" applyAlignment="1" applyBorder="1" applyFont="1">
      <alignment horizontal="center" vertical="center"/>
    </xf>
    <xf borderId="60" fillId="2" fontId="8" numFmtId="0" xfId="0" applyAlignment="1" applyBorder="1" applyFont="1">
      <alignment horizontal="center"/>
    </xf>
    <xf borderId="61" fillId="0" fontId="3" numFmtId="0" xfId="0" applyBorder="1" applyFont="1"/>
    <xf borderId="4" fillId="2" fontId="13" numFmtId="0" xfId="0" applyAlignment="1" applyBorder="1" applyFont="1">
      <alignment horizontal="center"/>
    </xf>
    <xf borderId="62" fillId="2" fontId="8" numFmtId="0" xfId="0" applyAlignment="1" applyBorder="1" applyFont="1">
      <alignment horizontal="center"/>
    </xf>
    <xf borderId="63" fillId="2" fontId="8" numFmtId="0" xfId="0" applyAlignment="1" applyBorder="1" applyFont="1">
      <alignment horizontal="center"/>
    </xf>
    <xf borderId="64" fillId="0" fontId="3" numFmtId="0" xfId="0" applyBorder="1" applyFont="1"/>
    <xf borderId="65" fillId="2" fontId="8" numFmtId="9" xfId="0" applyAlignment="1" applyBorder="1" applyFont="1" applyNumberFormat="1">
      <alignment horizontal="center" vertical="center"/>
    </xf>
    <xf borderId="62" fillId="4" fontId="8" numFmtId="165" xfId="0" applyAlignment="1" applyBorder="1" applyFont="1" applyNumberFormat="1">
      <alignment horizontal="center"/>
    </xf>
    <xf borderId="21" fillId="4" fontId="8" numFmtId="166" xfId="0" applyAlignment="1" applyBorder="1" applyFont="1" applyNumberFormat="1">
      <alignment horizontal="center"/>
    </xf>
    <xf borderId="52" fillId="2" fontId="8" numFmtId="2" xfId="0" applyAlignment="1" applyBorder="1" applyFont="1" applyNumberFormat="1">
      <alignment horizontal="center"/>
    </xf>
    <xf borderId="52" fillId="2" fontId="8" numFmtId="167" xfId="0" applyAlignment="1" applyBorder="1" applyFont="1" applyNumberFormat="1">
      <alignment horizontal="center"/>
    </xf>
    <xf borderId="52" fillId="2" fontId="13" numFmtId="0" xfId="0" applyAlignment="1" applyBorder="1" applyFont="1">
      <alignment horizontal="center"/>
    </xf>
    <xf borderId="2" fillId="2" fontId="8" numFmtId="0" xfId="0" applyAlignment="1" applyBorder="1" applyFont="1">
      <alignment horizontal="center"/>
    </xf>
    <xf borderId="21" fillId="2" fontId="8" numFmtId="167" xfId="0" applyAlignment="1" applyBorder="1" applyFont="1" applyNumberFormat="1">
      <alignment horizontal="center"/>
    </xf>
    <xf borderId="21" fillId="2" fontId="8" numFmtId="165" xfId="0" applyAlignment="1" applyBorder="1" applyFont="1" applyNumberFormat="1">
      <alignment horizontal="center"/>
    </xf>
    <xf borderId="21" fillId="2" fontId="8" numFmtId="166" xfId="0" applyAlignment="1" applyBorder="1" applyFont="1" applyNumberFormat="1">
      <alignment horizontal="center"/>
    </xf>
    <xf borderId="49" fillId="2" fontId="14" numFmtId="0" xfId="0" applyAlignment="1" applyBorder="1" applyFont="1">
      <alignment horizontal="center"/>
    </xf>
    <xf borderId="66" fillId="2" fontId="14" numFmtId="0" xfId="0" applyAlignment="1" applyBorder="1" applyFont="1">
      <alignment horizontal="center"/>
    </xf>
    <xf borderId="67" fillId="0" fontId="3" numFmtId="0" xfId="0" applyBorder="1" applyFont="1"/>
    <xf borderId="68" fillId="0" fontId="3" numFmtId="0" xfId="0" applyBorder="1" applyFont="1"/>
    <xf borderId="69" fillId="2" fontId="14" numFmtId="0" xfId="0" applyAlignment="1" applyBorder="1" applyFont="1">
      <alignment horizontal="center"/>
    </xf>
    <xf borderId="70" fillId="0" fontId="3" numFmtId="0" xfId="0" applyBorder="1" applyFont="1"/>
    <xf borderId="71" fillId="0" fontId="3" numFmtId="0" xfId="0" applyBorder="1" applyFont="1"/>
    <xf borderId="21" fillId="2" fontId="8" numFmtId="0" xfId="0" applyBorder="1" applyFont="1"/>
    <xf borderId="72" fillId="2" fontId="8" numFmtId="0" xfId="0" applyAlignment="1" applyBorder="1" applyFont="1">
      <alignment horizontal="center"/>
    </xf>
    <xf borderId="73" fillId="2" fontId="8" numFmtId="0" xfId="0" applyBorder="1" applyFont="1"/>
    <xf borderId="74" fillId="2" fontId="6" numFmtId="0" xfId="0" applyAlignment="1" applyBorder="1" applyFont="1">
      <alignment horizontal="center" vertical="center"/>
    </xf>
    <xf borderId="37" fillId="2" fontId="8" numFmtId="0" xfId="0" applyBorder="1" applyFont="1"/>
    <xf borderId="37" fillId="2" fontId="8" numFmtId="167" xfId="0" applyAlignment="1" applyBorder="1" applyFont="1" applyNumberFormat="1">
      <alignment horizontal="center"/>
    </xf>
    <xf borderId="4" fillId="6" fontId="15" numFmtId="0" xfId="0" applyAlignment="1" applyBorder="1" applyFill="1" applyFont="1">
      <alignment horizontal="center"/>
    </xf>
    <xf borderId="75" fillId="0" fontId="16" numFmtId="0" xfId="0" applyAlignment="1" applyBorder="1" applyFont="1">
      <alignment horizontal="center" vertical="center"/>
    </xf>
    <xf borderId="76" fillId="0" fontId="16" numFmtId="0" xfId="0" applyAlignment="1" applyBorder="1" applyFont="1">
      <alignment horizontal="center" vertical="center"/>
    </xf>
    <xf borderId="77" fillId="0" fontId="16" numFmtId="0" xfId="0" applyAlignment="1" applyBorder="1" applyFont="1">
      <alignment horizontal="center" vertical="center"/>
    </xf>
    <xf borderId="12" fillId="3" fontId="17" numFmtId="0" xfId="0" applyAlignment="1" applyBorder="1" applyFont="1">
      <alignment horizontal="center" vertical="center"/>
    </xf>
    <xf borderId="78" fillId="0" fontId="16" numFmtId="0" xfId="0" applyAlignment="1" applyBorder="1" applyFont="1">
      <alignment horizontal="center" vertical="center"/>
    </xf>
    <xf borderId="79" fillId="0" fontId="16" numFmtId="0" xfId="0" applyAlignment="1" applyBorder="1" applyFont="1">
      <alignment horizontal="center" vertical="center"/>
    </xf>
    <xf borderId="80" fillId="0" fontId="16" numFmtId="0" xfId="0" applyAlignment="1" applyBorder="1" applyFont="1">
      <alignment horizontal="center" vertical="center"/>
    </xf>
    <xf borderId="81" fillId="0" fontId="16" numFmtId="0" xfId="0" applyAlignment="1" applyBorder="1" applyFont="1">
      <alignment horizontal="center" vertical="center"/>
    </xf>
    <xf borderId="20" fillId="3" fontId="18" numFmtId="0" xfId="0" applyAlignment="1" applyBorder="1" applyFont="1">
      <alignment horizontal="center" vertical="center"/>
    </xf>
    <xf borderId="52" fillId="7" fontId="18" numFmtId="0" xfId="0" applyAlignment="1" applyBorder="1" applyFill="1" applyFont="1">
      <alignment horizontal="center" vertical="center"/>
    </xf>
    <xf borderId="52" fillId="8" fontId="14" numFmtId="0" xfId="0" applyAlignment="1" applyBorder="1" applyFill="1" applyFont="1">
      <alignment horizontal="center" vertical="center"/>
    </xf>
    <xf borderId="52" fillId="9" fontId="14" numFmtId="0" xfId="0" applyAlignment="1" applyBorder="1" applyFill="1" applyFont="1">
      <alignment horizontal="center" vertical="center"/>
    </xf>
    <xf borderId="78" fillId="0" fontId="16" numFmtId="0" xfId="0" applyAlignment="1" applyBorder="1" applyFont="1">
      <alignment horizontal="center" shrinkToFit="0" vertical="center" wrapText="1"/>
    </xf>
    <xf borderId="79" fillId="0" fontId="16" numFmtId="0" xfId="0" applyAlignment="1" applyBorder="1" applyFont="1">
      <alignment horizontal="center" shrinkToFit="0" vertical="center" wrapText="1"/>
    </xf>
    <xf borderId="82" fillId="3" fontId="17" numFmtId="0" xfId="0" applyAlignment="1" applyBorder="1" applyFont="1">
      <alignment horizontal="center" shrinkToFit="0" vertical="center" wrapText="1"/>
    </xf>
    <xf borderId="56" fillId="3" fontId="18" numFmtId="0" xfId="0" applyAlignment="1" applyBorder="1" applyFont="1">
      <alignment horizontal="center" shrinkToFit="0" vertical="center" wrapText="1"/>
    </xf>
    <xf borderId="21" fillId="3" fontId="19" numFmtId="0" xfId="0" applyAlignment="1" applyBorder="1" applyFont="1">
      <alignment horizontal="center" vertical="center"/>
    </xf>
    <xf borderId="21" fillId="7" fontId="19" numFmtId="0" xfId="0" applyAlignment="1" applyBorder="1" applyFont="1">
      <alignment horizontal="center" vertical="center"/>
    </xf>
    <xf borderId="21" fillId="8" fontId="16" numFmtId="0" xfId="0" applyAlignment="1" applyBorder="1" applyFont="1">
      <alignment horizontal="center" vertical="center"/>
    </xf>
    <xf borderId="21" fillId="9" fontId="16" numFmtId="0" xfId="0" applyAlignment="1" applyBorder="1" applyFont="1">
      <alignment horizontal="center" vertical="center"/>
    </xf>
    <xf borderId="22" fillId="9" fontId="16" numFmtId="49" xfId="0" applyAlignment="1" applyBorder="1" applyFont="1" applyNumberFormat="1">
      <alignment horizontal="center" vertical="center"/>
    </xf>
    <xf borderId="83" fillId="0" fontId="3" numFmtId="0" xfId="0" applyBorder="1" applyFont="1"/>
    <xf borderId="21" fillId="3" fontId="18" numFmtId="0" xfId="0" applyAlignment="1" applyBorder="1" applyFont="1">
      <alignment horizontal="center" shrinkToFit="0" vertical="center" wrapText="1"/>
    </xf>
    <xf borderId="22" fillId="9" fontId="16" numFmtId="0" xfId="0" applyAlignment="1" applyBorder="1" applyFont="1">
      <alignment horizontal="center" vertical="center"/>
    </xf>
    <xf borderId="84" fillId="0" fontId="16" numFmtId="0" xfId="0" applyAlignment="1" applyBorder="1" applyFont="1">
      <alignment horizontal="center" shrinkToFit="0" vertical="center" wrapText="1"/>
    </xf>
    <xf borderId="80" fillId="0" fontId="16" numFmtId="0" xfId="0" applyAlignment="1" applyBorder="1" applyFont="1">
      <alignment horizontal="center" shrinkToFit="0" vertical="center" wrapText="1"/>
    </xf>
    <xf borderId="85" fillId="3" fontId="18" numFmtId="0" xfId="0" applyAlignment="1" applyBorder="1" applyFont="1">
      <alignment horizontal="center" shrinkToFit="0" vertical="center" wrapText="1"/>
    </xf>
    <xf borderId="85" fillId="3" fontId="19" numFmtId="0" xfId="0" applyAlignment="1" applyBorder="1" applyFont="1">
      <alignment horizontal="center" vertical="center"/>
    </xf>
    <xf borderId="85" fillId="7" fontId="19" numFmtId="0" xfId="0" applyAlignment="1" applyBorder="1" applyFont="1">
      <alignment horizontal="center" vertical="center"/>
    </xf>
    <xf borderId="85" fillId="8" fontId="16" numFmtId="0" xfId="0" applyAlignment="1" applyBorder="1" applyFont="1">
      <alignment horizontal="center" vertical="center"/>
    </xf>
    <xf borderId="85" fillId="9" fontId="16" numFmtId="0" xfId="0" applyAlignment="1" applyBorder="1" applyFont="1">
      <alignment horizontal="center" vertical="center"/>
    </xf>
    <xf borderId="86" fillId="9" fontId="16" numFmtId="0" xfId="0" applyAlignment="1" applyBorder="1" applyFont="1">
      <alignment horizontal="center" vertical="center"/>
    </xf>
    <xf borderId="31" fillId="2" fontId="16" numFmtId="0" xfId="0" applyAlignment="1" applyBorder="1" applyFont="1">
      <alignment horizontal="center" shrinkToFit="0" vertical="center" wrapText="1"/>
    </xf>
    <xf borderId="34" fillId="2" fontId="16" numFmtId="0" xfId="0" applyAlignment="1" applyBorder="1" applyFont="1">
      <alignment horizontal="center" shrinkToFit="0" vertical="center" wrapText="1"/>
    </xf>
    <xf borderId="87" fillId="0" fontId="3" numFmtId="0" xfId="0" applyBorder="1" applyFont="1"/>
    <xf borderId="88" fillId="0" fontId="3" numFmtId="0" xfId="0" applyBorder="1" applyFont="1"/>
    <xf borderId="89" fillId="0" fontId="3" numFmtId="0" xfId="0" applyBorder="1" applyFont="1"/>
    <xf borderId="90" fillId="3" fontId="17" numFmtId="0" xfId="0" applyAlignment="1" applyBorder="1" applyFont="1">
      <alignment horizontal="center" shrinkToFit="0" vertical="center" wrapText="1"/>
    </xf>
    <xf borderId="63" fillId="3" fontId="17" numFmtId="0" xfId="0" applyAlignment="1" applyBorder="1" applyFont="1">
      <alignment horizontal="center" vertical="center"/>
    </xf>
    <xf borderId="21" fillId="6" fontId="14" numFmtId="0" xfId="0" applyAlignment="1" applyBorder="1" applyFont="1">
      <alignment horizontal="center" shrinkToFit="0" vertical="center" wrapText="1"/>
    </xf>
    <xf borderId="21" fillId="10" fontId="16" numFmtId="2" xfId="0" applyAlignment="1" applyBorder="1" applyFill="1" applyFont="1" applyNumberFormat="1">
      <alignment horizontal="center" vertical="center"/>
    </xf>
    <xf borderId="22" fillId="10" fontId="16" numFmtId="2" xfId="0" applyAlignment="1" applyBorder="1" applyFont="1" applyNumberFormat="1">
      <alignment horizontal="center" vertical="center"/>
    </xf>
    <xf borderId="21" fillId="11" fontId="14" numFmtId="0" xfId="0" applyAlignment="1" applyBorder="1" applyFill="1" applyFont="1">
      <alignment horizontal="center" shrinkToFit="0" vertical="center" wrapText="1"/>
    </xf>
    <xf borderId="52" fillId="6" fontId="14" numFmtId="0" xfId="0" applyAlignment="1" applyBorder="1" applyFont="1">
      <alignment horizontal="center" shrinkToFit="0" vertical="center" wrapText="1"/>
    </xf>
    <xf borderId="52" fillId="12" fontId="14" numFmtId="0" xfId="0" applyAlignment="1" applyBorder="1" applyFill="1" applyFont="1">
      <alignment horizontal="center" vertical="center"/>
    </xf>
    <xf borderId="91" fillId="13" fontId="16" numFmtId="0" xfId="0" applyAlignment="1" applyBorder="1" applyFill="1" applyFont="1">
      <alignment horizontal="center" shrinkToFit="0" vertical="center" wrapText="1"/>
    </xf>
    <xf borderId="21" fillId="13" fontId="16" numFmtId="9" xfId="0" applyAlignment="1" applyBorder="1" applyFont="1" applyNumberFormat="1">
      <alignment horizontal="center" shrinkToFit="0" vertical="center" wrapText="1"/>
    </xf>
    <xf borderId="85" fillId="9" fontId="16" numFmtId="9" xfId="0" applyAlignment="1" applyBorder="1" applyFont="1" applyNumberFormat="1">
      <alignment horizontal="center" shrinkToFit="0" vertical="center" wrapText="1"/>
    </xf>
    <xf borderId="52" fillId="10" fontId="16" numFmtId="2" xfId="0" applyAlignment="1" applyBorder="1" applyFont="1" applyNumberFormat="1">
      <alignment horizontal="center" vertical="center"/>
    </xf>
    <xf borderId="92" fillId="14" fontId="16" numFmtId="0" xfId="0" applyAlignment="1" applyBorder="1" applyFill="1" applyFont="1">
      <alignment horizontal="center" vertical="center"/>
    </xf>
    <xf borderId="73" fillId="15" fontId="16" numFmtId="0" xfId="0" applyAlignment="1" applyBorder="1" applyFill="1" applyFont="1">
      <alignment horizontal="center" vertical="center"/>
    </xf>
    <xf borderId="2" fillId="15" fontId="16" numFmtId="0" xfId="0" applyAlignment="1" applyBorder="1" applyFont="1">
      <alignment horizontal="center" vertical="center"/>
    </xf>
    <xf borderId="3" fillId="15" fontId="16" numFmtId="0" xfId="0" applyAlignment="1" applyBorder="1" applyFont="1">
      <alignment horizontal="center" vertical="center"/>
    </xf>
    <xf borderId="21" fillId="13" fontId="16" numFmtId="9" xfId="0" applyAlignment="1" applyBorder="1" applyFont="1" applyNumberFormat="1">
      <alignment horizontal="center" vertical="center"/>
    </xf>
    <xf borderId="93" fillId="0" fontId="3" numFmtId="0" xfId="0" applyBorder="1" applyFont="1"/>
    <xf borderId="21" fillId="14" fontId="16" numFmtId="0" xfId="0" applyAlignment="1" applyBorder="1" applyFont="1">
      <alignment horizontal="center" vertical="center"/>
    </xf>
    <xf borderId="21" fillId="16" fontId="16" numFmtId="0" xfId="0" applyAlignment="1" applyBorder="1" applyFill="1" applyFont="1">
      <alignment horizontal="center" vertical="center"/>
    </xf>
    <xf borderId="91" fillId="5" fontId="16" numFmtId="0" xfId="0" applyAlignment="1" applyBorder="1" applyFont="1">
      <alignment horizontal="center" vertical="center"/>
    </xf>
    <xf borderId="21" fillId="5" fontId="16" numFmtId="9" xfId="0" applyAlignment="1" applyBorder="1" applyFont="1" applyNumberFormat="1">
      <alignment horizontal="center" vertical="center"/>
    </xf>
    <xf borderId="21" fillId="4" fontId="16" numFmtId="0" xfId="0" applyAlignment="1" applyBorder="1" applyFont="1">
      <alignment horizontal="center" vertical="center"/>
    </xf>
    <xf borderId="21" fillId="0" fontId="16" numFmtId="0" xfId="0" applyAlignment="1" applyBorder="1" applyFont="1">
      <alignment horizontal="center" vertical="center"/>
    </xf>
    <xf borderId="85" fillId="17" fontId="16" numFmtId="9" xfId="0" applyAlignment="1" applyBorder="1" applyFill="1" applyFont="1" applyNumberFormat="1">
      <alignment horizontal="center" vertical="center"/>
    </xf>
    <xf borderId="22" fillId="0" fontId="16" numFmtId="0" xfId="0" applyAlignment="1" applyBorder="1" applyFont="1">
      <alignment horizontal="center" vertical="center"/>
    </xf>
    <xf borderId="91" fillId="18" fontId="16" numFmtId="0" xfId="0" applyAlignment="1" applyBorder="1" applyFill="1" applyFont="1">
      <alignment horizontal="center" vertical="center"/>
    </xf>
    <xf borderId="21" fillId="18" fontId="16" numFmtId="9" xfId="0" applyAlignment="1" applyBorder="1" applyFont="1" applyNumberFormat="1">
      <alignment horizontal="center" vertical="center"/>
    </xf>
    <xf borderId="91" fillId="19" fontId="16" numFmtId="0" xfId="0" applyAlignment="1" applyBorder="1" applyFill="1" applyFont="1">
      <alignment horizontal="center" vertical="center"/>
    </xf>
    <xf borderId="21" fillId="19" fontId="16" numFmtId="9" xfId="0" applyAlignment="1" applyBorder="1" applyFont="1" applyNumberFormat="1">
      <alignment horizontal="center" vertical="center"/>
    </xf>
    <xf borderId="1" fillId="2" fontId="10" numFmtId="0" xfId="0" applyBorder="1" applyFont="1"/>
    <xf borderId="3" fillId="2" fontId="10" numFmtId="0" xfId="0" applyAlignment="1" applyBorder="1" applyFont="1">
      <alignment horizontal="right"/>
    </xf>
    <xf borderId="85" fillId="20" fontId="16" numFmtId="9" xfId="0" applyAlignment="1" applyBorder="1" applyFill="1" applyFont="1" applyNumberFormat="1">
      <alignment horizontal="center" vertical="center"/>
    </xf>
    <xf borderId="31" fillId="2" fontId="10" numFmtId="0" xfId="0" applyBorder="1" applyFont="1"/>
    <xf borderId="35" fillId="2" fontId="10" numFmtId="0" xfId="0" applyAlignment="1" applyBorder="1" applyFont="1">
      <alignment horizontal="right"/>
    </xf>
    <xf borderId="94" fillId="0" fontId="3" numFmtId="0" xfId="0" applyBorder="1" applyFont="1"/>
    <xf borderId="37" fillId="19" fontId="16" numFmtId="9" xfId="0" applyAlignment="1" applyBorder="1" applyFont="1" applyNumberFormat="1">
      <alignment horizontal="center" vertical="center"/>
    </xf>
    <xf borderId="95" fillId="0" fontId="3" numFmtId="0" xfId="0" applyBorder="1" applyFont="1"/>
    <xf borderId="96" fillId="10" fontId="16" numFmtId="2" xfId="0" applyAlignment="1" applyBorder="1" applyFont="1" applyNumberFormat="1">
      <alignment horizontal="center" vertical="center"/>
    </xf>
    <xf borderId="97" fillId="0" fontId="3" numFmtId="0" xfId="0" applyBorder="1" applyFont="1"/>
    <xf borderId="37" fillId="14" fontId="16" numFmtId="0" xfId="0" applyAlignment="1" applyBorder="1" applyFont="1">
      <alignment horizontal="center" vertical="center"/>
    </xf>
    <xf borderId="37" fillId="16" fontId="16" numFmtId="0" xfId="0" applyAlignment="1" applyBorder="1" applyFont="1">
      <alignment horizontal="center" vertical="center"/>
    </xf>
    <xf borderId="37" fillId="4" fontId="16" numFmtId="0" xfId="0" applyAlignment="1" applyBorder="1" applyFont="1">
      <alignment horizontal="center" vertical="center"/>
    </xf>
    <xf borderId="37" fillId="0" fontId="16" numFmtId="0" xfId="0" applyAlignment="1" applyBorder="1" applyFont="1">
      <alignment horizontal="center" vertical="center"/>
    </xf>
    <xf borderId="28" fillId="0" fontId="16" numFmtId="0" xfId="0" applyAlignment="1" applyBorder="1" applyFont="1">
      <alignment horizontal="center" vertical="center"/>
    </xf>
    <xf borderId="2" fillId="2" fontId="20" numFmtId="0" xfId="0" applyBorder="1" applyFont="1"/>
    <xf borderId="2" fillId="2" fontId="21" numFmtId="0" xfId="0" applyBorder="1" applyFont="1"/>
    <xf borderId="98" fillId="2" fontId="22" numFmtId="0" xfId="0" applyAlignment="1" applyBorder="1" applyFont="1">
      <alignment horizontal="center"/>
    </xf>
    <xf borderId="99" fillId="0" fontId="3" numFmtId="0" xfId="0" applyBorder="1" applyFont="1"/>
    <xf borderId="100" fillId="0" fontId="3" numFmtId="0" xfId="0" applyBorder="1" applyFont="1"/>
    <xf borderId="4" fillId="6" fontId="15" numFmtId="0" xfId="0" applyAlignment="1" applyBorder="1" applyFont="1">
      <alignment horizontal="center" vertical="center"/>
    </xf>
    <xf borderId="101" fillId="4" fontId="8" numFmtId="0" xfId="0" applyAlignment="1" applyBorder="1" applyFont="1">
      <alignment horizontal="center"/>
    </xf>
    <xf borderId="102" fillId="0" fontId="3" numFmtId="0" xfId="0" applyBorder="1" applyFont="1"/>
    <xf borderId="12" fillId="4" fontId="8" numFmtId="0" xfId="0" applyAlignment="1" applyBorder="1" applyFont="1">
      <alignment horizontal="center"/>
    </xf>
    <xf borderId="2" fillId="2" fontId="15" numFmtId="0" xfId="0" applyAlignment="1" applyBorder="1" applyFont="1">
      <alignment horizontal="center"/>
    </xf>
    <xf borderId="2" fillId="2" fontId="12" numFmtId="0" xfId="0" applyAlignment="1" applyBorder="1" applyFont="1">
      <alignment horizontal="center" vertical="center"/>
    </xf>
    <xf borderId="103" fillId="2" fontId="1" numFmtId="0" xfId="0" applyAlignment="1" applyBorder="1" applyFont="1">
      <alignment horizontal="center"/>
    </xf>
    <xf borderId="104" fillId="0" fontId="3" numFmtId="0" xfId="0" applyBorder="1" applyFont="1"/>
    <xf borderId="105" fillId="0" fontId="3" numFmtId="0" xfId="0" applyBorder="1" applyFont="1"/>
    <xf borderId="43" fillId="4" fontId="8" numFmtId="0" xfId="0" applyAlignment="1" applyBorder="1" applyFont="1">
      <alignment horizontal="center"/>
    </xf>
    <xf borderId="55" fillId="2" fontId="8" numFmtId="0" xfId="0" applyAlignment="1" applyBorder="1" applyFont="1">
      <alignment horizontal="center" vertical="center"/>
    </xf>
    <xf borderId="56" fillId="4" fontId="8" numFmtId="0" xfId="0" applyAlignment="1" applyBorder="1" applyFont="1">
      <alignment horizontal="center" vertical="center"/>
    </xf>
    <xf borderId="62" fillId="2" fontId="8" numFmtId="0" xfId="0" applyAlignment="1" applyBorder="1" applyFont="1">
      <alignment horizontal="center" vertical="center"/>
    </xf>
    <xf borderId="106" fillId="2" fontId="8" numFmtId="0" xfId="0" applyAlignment="1" applyBorder="1" applyFont="1">
      <alignment horizontal="center" vertical="center"/>
    </xf>
    <xf borderId="107" fillId="2" fontId="8" numFmtId="0" xfId="0" applyAlignment="1" applyBorder="1" applyFont="1">
      <alignment horizontal="center"/>
    </xf>
    <xf borderId="74" fillId="2" fontId="13" numFmtId="0" xfId="0" applyAlignment="1" applyBorder="1" applyFont="1">
      <alignment horizontal="center" vertical="center"/>
    </xf>
    <xf borderId="62" fillId="2" fontId="8" numFmtId="2" xfId="0" applyAlignment="1" applyBorder="1" applyFont="1" applyNumberFormat="1">
      <alignment horizontal="center" vertical="center"/>
    </xf>
    <xf borderId="62" fillId="2" fontId="8" numFmtId="167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21" fillId="2" fontId="8" numFmtId="0" xfId="0" applyAlignment="1" applyBorder="1" applyFont="1">
      <alignment horizontal="center" vertical="center"/>
    </xf>
    <xf borderId="21" fillId="2" fontId="8" numFmtId="165" xfId="0" applyAlignment="1" applyBorder="1" applyFont="1" applyNumberFormat="1">
      <alignment horizontal="center" vertical="center"/>
    </xf>
    <xf borderId="21" fillId="2" fontId="8" numFmtId="2" xfId="0" applyAlignment="1" applyBorder="1" applyFont="1" applyNumberFormat="1">
      <alignment horizontal="center" vertical="center"/>
    </xf>
    <xf borderId="21" fillId="2" fontId="8" numFmtId="166" xfId="0" applyAlignment="1" applyBorder="1" applyFont="1" applyNumberFormat="1">
      <alignment horizontal="center" vertical="center"/>
    </xf>
    <xf borderId="34" fillId="2" fontId="21" numFmtId="0" xfId="0" applyBorder="1" applyFont="1"/>
    <xf borderId="34" fillId="2" fontId="20" numFmtId="0" xfId="0" applyBorder="1" applyFont="1"/>
    <xf borderId="2" fillId="2" fontId="8" numFmtId="0" xfId="0" applyAlignment="1" applyBorder="1" applyFont="1">
      <alignment horizontal="center" vertical="center"/>
    </xf>
    <xf borderId="72" fillId="2" fontId="8" numFmtId="0" xfId="0" applyAlignment="1" applyBorder="1" applyFont="1">
      <alignment horizontal="center" vertical="center"/>
    </xf>
    <xf borderId="73" fillId="2" fontId="8" numFmtId="0" xfId="0" applyAlignment="1" applyBorder="1" applyFont="1">
      <alignment horizontal="center" vertical="center"/>
    </xf>
    <xf borderId="37" fillId="2" fontId="8" numFmtId="0" xfId="0" applyAlignment="1" applyBorder="1" applyFont="1">
      <alignment horizontal="center" vertical="center"/>
    </xf>
    <xf borderId="37" fillId="2" fontId="8" numFmtId="167" xfId="0" applyAlignment="1" applyBorder="1" applyFont="1" applyNumberFormat="1">
      <alignment horizontal="center" vertical="center"/>
    </xf>
    <xf borderId="34" fillId="2" fontId="1" numFmtId="0" xfId="0" applyAlignment="1" applyBorder="1" applyFont="1">
      <alignment horizontal="center" vertical="center"/>
    </xf>
    <xf borderId="12" fillId="21" fontId="17" numFmtId="0" xfId="0" applyAlignment="1" applyBorder="1" applyFill="1" applyFont="1">
      <alignment horizontal="center" vertical="center"/>
    </xf>
    <xf borderId="20" fillId="14" fontId="14" numFmtId="0" xfId="0" applyAlignment="1" applyBorder="1" applyFont="1">
      <alignment horizontal="center" vertical="center"/>
    </xf>
    <xf borderId="52" fillId="16" fontId="14" numFmtId="0" xfId="0" applyAlignment="1" applyBorder="1" applyFont="1">
      <alignment horizontal="center" vertical="center"/>
    </xf>
    <xf borderId="52" fillId="4" fontId="14" numFmtId="0" xfId="0" applyAlignment="1" applyBorder="1" applyFont="1">
      <alignment horizontal="center" vertical="center"/>
    </xf>
    <xf borderId="52" fillId="0" fontId="14" numFmtId="0" xfId="0" applyAlignment="1" applyBorder="1" applyFont="1">
      <alignment horizontal="center" vertical="center"/>
    </xf>
    <xf borderId="82" fillId="21" fontId="17" numFmtId="0" xfId="0" applyAlignment="1" applyBorder="1" applyFont="1">
      <alignment horizontal="center" shrinkToFit="0" vertical="center" wrapText="1"/>
    </xf>
    <xf borderId="56" fillId="21" fontId="14" numFmtId="0" xfId="0" applyAlignment="1" applyBorder="1" applyFont="1">
      <alignment horizontal="center" shrinkToFit="0" vertical="center" wrapText="1"/>
    </xf>
    <xf borderId="22" fillId="0" fontId="16" numFmtId="49" xfId="0" applyAlignment="1" applyBorder="1" applyFont="1" applyNumberFormat="1">
      <alignment horizontal="center" vertical="center"/>
    </xf>
    <xf borderId="21" fillId="21" fontId="14" numFmtId="0" xfId="0" applyAlignment="1" applyBorder="1" applyFont="1">
      <alignment horizontal="center" shrinkToFit="0" vertical="center" wrapText="1"/>
    </xf>
    <xf borderId="85" fillId="21" fontId="14" numFmtId="0" xfId="0" applyAlignment="1" applyBorder="1" applyFont="1">
      <alignment horizontal="center" shrinkToFit="0" vertical="center" wrapText="1"/>
    </xf>
    <xf borderId="85" fillId="14" fontId="16" numFmtId="0" xfId="0" applyAlignment="1" applyBorder="1" applyFont="1">
      <alignment horizontal="center" vertical="center"/>
    </xf>
    <xf borderId="85" fillId="16" fontId="16" numFmtId="0" xfId="0" applyAlignment="1" applyBorder="1" applyFont="1">
      <alignment horizontal="center" vertical="center"/>
    </xf>
    <xf borderId="85" fillId="4" fontId="16" numFmtId="0" xfId="0" applyAlignment="1" applyBorder="1" applyFont="1">
      <alignment horizontal="center" vertical="center"/>
    </xf>
    <xf borderId="85" fillId="0" fontId="16" numFmtId="0" xfId="0" applyAlignment="1" applyBorder="1" applyFont="1">
      <alignment horizontal="center" vertical="center"/>
    </xf>
    <xf borderId="86" fillId="0" fontId="16" numFmtId="0" xfId="0" applyAlignment="1" applyBorder="1" applyFont="1">
      <alignment horizontal="center" vertical="center"/>
    </xf>
    <xf borderId="90" fillId="21" fontId="17" numFmtId="0" xfId="0" applyAlignment="1" applyBorder="1" applyFont="1">
      <alignment horizontal="center" shrinkToFit="0" vertical="center" wrapText="1"/>
    </xf>
    <xf borderId="63" fillId="21" fontId="17" numFmtId="0" xfId="0" applyAlignment="1" applyBorder="1" applyFont="1">
      <alignment horizontal="center" vertical="center"/>
    </xf>
    <xf borderId="1" fillId="2" fontId="21" numFmtId="0" xfId="0" applyBorder="1" applyFont="1"/>
    <xf borderId="2" fillId="2" fontId="21" numFmtId="0" xfId="0" applyAlignment="1" applyBorder="1" applyFont="1">
      <alignment horizontal="right"/>
    </xf>
    <xf borderId="2" fillId="2" fontId="16" numFmtId="0" xfId="0" applyAlignment="1" applyBorder="1" applyFont="1">
      <alignment horizontal="center" vertical="center"/>
    </xf>
    <xf borderId="2" fillId="2" fontId="1" numFmtId="2" xfId="0" applyBorder="1" applyFont="1" applyNumberFormat="1"/>
    <xf borderId="2" fillId="2" fontId="20" numFmtId="2" xfId="0" applyBorder="1" applyFont="1" applyNumberFormat="1"/>
    <xf borderId="108" fillId="2" fontId="22" numFmtId="0" xfId="0" applyAlignment="1" applyBorder="1" applyFont="1">
      <alignment horizontal="center"/>
    </xf>
    <xf borderId="109" fillId="0" fontId="3" numFmtId="0" xfId="0" applyBorder="1" applyFont="1"/>
    <xf borderId="110" fillId="0" fontId="3" numFmtId="0" xfId="0" applyBorder="1" applyFont="1"/>
    <xf borderId="101" fillId="22" fontId="8" numFmtId="0" xfId="0" applyAlignment="1" applyBorder="1" applyFill="1" applyFont="1">
      <alignment horizontal="center"/>
    </xf>
    <xf borderId="111" fillId="0" fontId="3" numFmtId="0" xfId="0" applyBorder="1" applyFont="1"/>
    <xf borderId="12" fillId="22" fontId="8" numFmtId="0" xfId="0" applyAlignment="1" applyBorder="1" applyFont="1">
      <alignment horizontal="center"/>
    </xf>
    <xf borderId="112" fillId="0" fontId="3" numFmtId="0" xfId="0" applyBorder="1" applyFont="1"/>
    <xf borderId="9" fillId="2" fontId="10" numFmtId="0" xfId="0" applyAlignment="1" applyBorder="1" applyFont="1">
      <alignment horizontal="center" vertical="center"/>
    </xf>
    <xf borderId="20" fillId="22" fontId="1" numFmtId="164" xfId="0" applyAlignment="1" applyBorder="1" applyFont="1" applyNumberFormat="1">
      <alignment horizontal="center"/>
    </xf>
    <xf borderId="62" fillId="22" fontId="1" numFmtId="2" xfId="0" applyAlignment="1" applyBorder="1" applyFont="1" applyNumberFormat="1">
      <alignment horizontal="center"/>
    </xf>
    <xf borderId="21" fillId="22" fontId="1" numFmtId="2" xfId="0" applyAlignment="1" applyBorder="1" applyFont="1" applyNumberFormat="1">
      <alignment horizontal="center"/>
    </xf>
    <xf borderId="21" fillId="22" fontId="1" numFmtId="0" xfId="0" applyAlignment="1" applyBorder="1" applyFont="1">
      <alignment horizontal="center"/>
    </xf>
    <xf borderId="17" fillId="22" fontId="8" numFmtId="165" xfId="0" applyAlignment="1" applyBorder="1" applyFont="1" applyNumberFormat="1">
      <alignment horizontal="center"/>
    </xf>
    <xf borderId="22" fillId="22" fontId="8" numFmtId="166" xfId="0" applyAlignment="1" applyBorder="1" applyFont="1" applyNumberFormat="1">
      <alignment horizontal="center"/>
    </xf>
    <xf borderId="113" fillId="2" fontId="8" numFmtId="0" xfId="0" applyAlignment="1" applyBorder="1" applyFont="1">
      <alignment horizontal="center"/>
    </xf>
    <xf borderId="4" fillId="2" fontId="7" numFmtId="0" xfId="0" applyAlignment="1" applyBorder="1" applyFont="1">
      <alignment horizontal="center"/>
    </xf>
    <xf borderId="114" fillId="0" fontId="3" numFmtId="0" xfId="0" applyBorder="1" applyFont="1"/>
    <xf borderId="32" fillId="22" fontId="7" numFmtId="168" xfId="0" applyAlignment="1" applyBorder="1" applyFont="1" applyNumberFormat="1">
      <alignment horizontal="center"/>
    </xf>
    <xf borderId="15" fillId="2" fontId="8" numFmtId="0" xfId="0" applyAlignment="1" applyBorder="1" applyFont="1">
      <alignment horizontal="center"/>
    </xf>
    <xf borderId="115" fillId="0" fontId="3" numFmtId="0" xfId="0" applyBorder="1" applyFont="1"/>
    <xf borderId="32" fillId="22" fontId="7" numFmtId="165" xfId="0" applyAlignment="1" applyBorder="1" applyFont="1" applyNumberFormat="1">
      <alignment horizontal="center"/>
    </xf>
    <xf borderId="28" fillId="22" fontId="7" numFmtId="165" xfId="0" applyAlignment="1" applyBorder="1" applyFont="1" applyNumberFormat="1">
      <alignment horizontal="center"/>
    </xf>
    <xf borderId="7" fillId="2" fontId="8" numFmtId="0" xfId="0" applyAlignment="1" applyBorder="1" applyFont="1">
      <alignment horizontal="center"/>
    </xf>
    <xf borderId="101" fillId="2" fontId="7" numFmtId="165" xfId="0" applyAlignment="1" applyBorder="1" applyFont="1" applyNumberFormat="1">
      <alignment horizontal="center"/>
    </xf>
    <xf borderId="22" fillId="23" fontId="8" numFmtId="2" xfId="0" applyAlignment="1" applyBorder="1" applyFill="1" applyFont="1" applyNumberFormat="1">
      <alignment horizontal="center"/>
    </xf>
    <xf borderId="36" fillId="22" fontId="1" numFmtId="164" xfId="0" applyAlignment="1" applyBorder="1" applyFont="1" applyNumberFormat="1">
      <alignment horizontal="center"/>
    </xf>
    <xf borderId="116" fillId="22" fontId="1" numFmtId="2" xfId="0" applyAlignment="1" applyBorder="1" applyFont="1" applyNumberFormat="1">
      <alignment horizontal="center"/>
    </xf>
    <xf borderId="37" fillId="22" fontId="1" numFmtId="2" xfId="0" applyAlignment="1" applyBorder="1" applyFont="1" applyNumberFormat="1">
      <alignment horizontal="center"/>
    </xf>
    <xf borderId="37" fillId="22" fontId="1" numFmtId="0" xfId="0" applyAlignment="1" applyBorder="1" applyFont="1">
      <alignment horizontal="center"/>
    </xf>
    <xf borderId="43" fillId="22" fontId="8" numFmtId="0" xfId="0" applyAlignment="1" applyBorder="1" applyFont="1">
      <alignment horizontal="center"/>
    </xf>
    <xf borderId="56" fillId="22" fontId="8" numFmtId="0" xfId="0" applyAlignment="1" applyBorder="1" applyFont="1">
      <alignment horizontal="center" vertical="center"/>
    </xf>
    <xf borderId="56" fillId="22" fontId="8" numFmtId="166" xfId="0" applyAlignment="1" applyBorder="1" applyFont="1" applyNumberFormat="1">
      <alignment horizontal="center"/>
    </xf>
    <xf borderId="62" fillId="22" fontId="8" numFmtId="165" xfId="0" applyAlignment="1" applyBorder="1" applyFont="1" applyNumberFormat="1">
      <alignment horizontal="center"/>
    </xf>
    <xf borderId="21" fillId="22" fontId="8" numFmtId="166" xfId="0" applyAlignment="1" applyBorder="1" applyFont="1" applyNumberFormat="1">
      <alignment horizontal="center"/>
    </xf>
    <xf borderId="2" fillId="2" fontId="15" numFmtId="0" xfId="0" applyBorder="1" applyFont="1"/>
    <xf borderId="52" fillId="24" fontId="18" numFmtId="0" xfId="0" applyAlignment="1" applyBorder="1" applyFill="1" applyFont="1">
      <alignment horizontal="center" vertical="center"/>
    </xf>
    <xf borderId="52" fillId="25" fontId="14" numFmtId="0" xfId="0" applyAlignment="1" applyBorder="1" applyFill="1" applyFont="1">
      <alignment horizontal="center" vertical="center"/>
    </xf>
    <xf borderId="52" fillId="22" fontId="14" numFmtId="0" xfId="0" applyAlignment="1" applyBorder="1" applyFont="1">
      <alignment horizontal="center" vertical="center"/>
    </xf>
    <xf borderId="21" fillId="24" fontId="19" numFmtId="0" xfId="0" applyAlignment="1" applyBorder="1" applyFont="1">
      <alignment horizontal="center" vertical="center"/>
    </xf>
    <xf borderId="21" fillId="25" fontId="16" numFmtId="0" xfId="0" applyAlignment="1" applyBorder="1" applyFont="1">
      <alignment horizontal="center" vertical="center"/>
    </xf>
    <xf borderId="21" fillId="22" fontId="16" numFmtId="0" xfId="0" applyAlignment="1" applyBorder="1" applyFont="1">
      <alignment horizontal="center" vertical="center"/>
    </xf>
    <xf borderId="22" fillId="22" fontId="16" numFmtId="49" xfId="0" applyAlignment="1" applyBorder="1" applyFont="1" applyNumberFormat="1">
      <alignment horizontal="center" vertical="center"/>
    </xf>
    <xf borderId="22" fillId="22" fontId="16" numFmtId="0" xfId="0" applyAlignment="1" applyBorder="1" applyFont="1">
      <alignment horizontal="center" vertical="center"/>
    </xf>
    <xf borderId="85" fillId="24" fontId="19" numFmtId="0" xfId="0" applyAlignment="1" applyBorder="1" applyFont="1">
      <alignment horizontal="center" vertical="center"/>
    </xf>
    <xf borderId="85" fillId="25" fontId="16" numFmtId="0" xfId="0" applyAlignment="1" applyBorder="1" applyFont="1">
      <alignment horizontal="center" vertical="center"/>
    </xf>
    <xf borderId="85" fillId="22" fontId="16" numFmtId="0" xfId="0" applyAlignment="1" applyBorder="1" applyFont="1">
      <alignment horizontal="center" vertical="center"/>
    </xf>
    <xf borderId="86" fillId="22" fontId="16" numFmtId="0" xfId="0" applyAlignment="1" applyBorder="1" applyFont="1">
      <alignment horizontal="center" vertical="center"/>
    </xf>
    <xf borderId="74" fillId="6" fontId="23" numFmtId="0" xfId="0" applyAlignment="1" applyBorder="1" applyFont="1">
      <alignment horizontal="center" shrinkToFit="0" vertical="center" wrapText="1"/>
    </xf>
    <xf borderId="117" fillId="10" fontId="16" numFmtId="0" xfId="0" applyAlignment="1" applyBorder="1" applyFont="1">
      <alignment horizontal="center" shrinkToFit="0" vertical="center" wrapText="1"/>
    </xf>
    <xf borderId="118" fillId="10" fontId="16" numFmtId="0" xfId="0" applyAlignment="1" applyBorder="1" applyFont="1">
      <alignment horizontal="center" shrinkToFit="0" vertical="center" wrapText="1"/>
    </xf>
    <xf borderId="4" fillId="6" fontId="23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92" fillId="3" fontId="19" numFmtId="0" xfId="0" applyAlignment="1" applyBorder="1" applyFont="1">
      <alignment horizontal="center" vertical="center"/>
    </xf>
    <xf borderId="119" fillId="10" fontId="16" numFmtId="0" xfId="0" applyAlignment="1" applyBorder="1" applyFont="1">
      <alignment horizontal="center" shrinkToFit="0" vertical="center" wrapText="1"/>
    </xf>
    <xf borderId="120" fillId="0" fontId="3" numFmtId="0" xfId="0" applyBorder="1" applyFont="1"/>
    <xf borderId="37" fillId="3" fontId="19" numFmtId="0" xfId="0" applyAlignment="1" applyBorder="1" applyFont="1">
      <alignment horizontal="center" vertical="center"/>
    </xf>
    <xf borderId="37" fillId="24" fontId="19" numFmtId="0" xfId="0" applyAlignment="1" applyBorder="1" applyFont="1">
      <alignment horizontal="center" vertical="center"/>
    </xf>
    <xf borderId="37" fillId="25" fontId="16" numFmtId="0" xfId="0" applyAlignment="1" applyBorder="1" applyFont="1">
      <alignment horizontal="center" vertical="center"/>
    </xf>
    <xf borderId="37" fillId="22" fontId="16" numFmtId="0" xfId="0" applyAlignment="1" applyBorder="1" applyFont="1">
      <alignment horizontal="center" vertical="center"/>
    </xf>
    <xf borderId="28" fillId="22" fontId="16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color rgb="FFBFBFBF"/>
      </font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Relación velocidad - peso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PRESS BANCA'!$I$44:$I$48</c:f>
            </c:numRef>
          </c:xVal>
          <c:yVal>
            <c:numRef>
              <c:f>'Perfil F-v PRESS BANCA'!$J$44:$J$48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557758"/>
        <c:axId val="265371656"/>
      </c:scatterChart>
      <c:valAx>
        <c:axId val="11605577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5371656"/>
      </c:valAx>
      <c:valAx>
        <c:axId val="265371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Velocidad (m/s)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055775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Relación velocidad - %1RM</a:t>
            </a:r>
          </a:p>
        </c:rich>
      </c:tx>
      <c:layout>
        <c:manualLayout>
          <c:xMode val="edge"/>
          <c:yMode val="edge"/>
          <c:x val="0.21933333333333332"/>
          <c:y val="0.027777827705931166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 (Y)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 (Y))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PRESS BANCA'!$O$49:$O$54</c:f>
            </c:numRef>
          </c:xVal>
          <c:yVal>
            <c:numRef>
              <c:f>'Perfil F-v PRESS BANCA'!$P$49:$P$54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40028"/>
        <c:axId val="1795069106"/>
      </c:scatterChart>
      <c:valAx>
        <c:axId val="78404002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% 1RM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95069106"/>
      </c:valAx>
      <c:valAx>
        <c:axId val="1795069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Velocidad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84040028"/>
      </c:valAx>
    </c:plotArea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500">
                <a:solidFill>
                  <a:schemeClr val="lt1"/>
                </a:solidFill>
                <a:latin typeface="+mn-lt"/>
              </a:defRPr>
            </a:pPr>
            <a:r>
              <a:rPr b="1" i="0" sz="1500">
                <a:solidFill>
                  <a:schemeClr val="lt1"/>
                </a:solidFill>
                <a:latin typeface="+mn-lt"/>
              </a:rPr>
              <a:t>EVOLUCIÓN 1RM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1RM (kg)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'Perfil F-v PRESS BANCA'!$G$7:$G$32</c:f>
            </c:strRef>
          </c:cat>
          <c:val>
            <c:numRef>
              <c:f>'Perfil F-v PRESS BANCA'!$K$7:$K$32</c:f>
              <c:numCache/>
            </c:numRef>
          </c:val>
          <c:smooth val="1"/>
        </c:ser>
        <c:axId val="1896564207"/>
        <c:axId val="597011637"/>
      </c:lineChart>
      <c:catAx>
        <c:axId val="189656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97011637"/>
      </c:catAx>
      <c:valAx>
        <c:axId val="597011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96564207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Relación velociad - peso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SENTADILLA'!$J$45:$J$49</c:f>
            </c:numRef>
          </c:xVal>
          <c:yVal>
            <c:numRef>
              <c:f>'Perfil F-v SENTADILLA'!$K$45:$K$49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02787"/>
        <c:axId val="1162232362"/>
      </c:scatterChart>
      <c:valAx>
        <c:axId val="29402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2232362"/>
      </c:valAx>
      <c:valAx>
        <c:axId val="1162232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Velocidad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402787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Relación velocidad - %1RM</a:t>
            </a:r>
          </a:p>
        </c:rich>
      </c:tx>
      <c:layout>
        <c:manualLayout>
          <c:xMode val="edge"/>
          <c:yMode val="edge"/>
          <c:x val="0.2454585462027116"/>
          <c:y val="0.02777786103456482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 (Y)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 (Y))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SENTADILLA'!$P$50:$P$55</c:f>
            </c:numRef>
          </c:xVal>
          <c:yVal>
            <c:numRef>
              <c:f>'Perfil F-v SENTADILLA'!$Q$50:$Q$55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206006"/>
        <c:axId val="832665489"/>
      </c:scatterChart>
      <c:valAx>
        <c:axId val="124120600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% 1RM (X)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32665489"/>
      </c:valAx>
      <c:valAx>
        <c:axId val="832665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Velocidad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41206006"/>
      </c:valAx>
    </c:plotArea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500">
                <a:solidFill>
                  <a:schemeClr val="lt1"/>
                </a:solidFill>
                <a:latin typeface="+mn-lt"/>
              </a:defRPr>
            </a:pPr>
            <a:r>
              <a:rPr b="1" i="0" sz="1500">
                <a:solidFill>
                  <a:schemeClr val="lt1"/>
                </a:solidFill>
                <a:latin typeface="+mn-lt"/>
              </a:rPr>
              <a:t>EVOLUCIÓN 1RM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1RM (kg)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'Perfil F-v SENTADILLA'!$L$8:$L$33</c:f>
              <c:numCache/>
            </c:numRef>
          </c:val>
          <c:smooth val="1"/>
        </c:ser>
        <c:axId val="57886714"/>
        <c:axId val="1245428794"/>
      </c:lineChart>
      <c:catAx>
        <c:axId val="57886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45428794"/>
      </c:catAx>
      <c:valAx>
        <c:axId val="1245428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7886714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Relación velociad - peso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PESO MUERTO'!$J$45:$J$49</c:f>
            </c:numRef>
          </c:xVal>
          <c:yVal>
            <c:numRef>
              <c:f>'Perfil F-v PESO MUERTO'!$K$45:$K$49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191993"/>
        <c:axId val="1615613301"/>
      </c:scatterChart>
      <c:valAx>
        <c:axId val="13901919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5613301"/>
      </c:valAx>
      <c:valAx>
        <c:axId val="1615613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Velocidad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0191993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Relación velocidad - %1RM</a:t>
            </a:r>
          </a:p>
        </c:rich>
      </c:tx>
      <c:layout>
        <c:manualLayout>
          <c:xMode val="edge"/>
          <c:yMode val="edge"/>
          <c:x val="0.2454585462027116"/>
          <c:y val="0.02777786103456482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 (Y)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 (Y))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PESO MUERTO'!$P$50:$P$55</c:f>
            </c:numRef>
          </c:xVal>
          <c:yVal>
            <c:numRef>
              <c:f>'Perfil F-v PESO MUERTO'!$Q$50:$Q$55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083702"/>
        <c:axId val="1991414000"/>
      </c:scatterChart>
      <c:valAx>
        <c:axId val="129608370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% 1RM (X)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91414000"/>
      </c:valAx>
      <c:valAx>
        <c:axId val="1991414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Velocidad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96083702"/>
      </c:valAx>
    </c:plotArea>
    <c:plotVisOnly val="1"/>
  </c:chart>
  <c:spPr>
    <a:solidFill>
      <a:schemeClr val="dk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500">
                <a:solidFill>
                  <a:schemeClr val="lt1"/>
                </a:solidFill>
                <a:latin typeface="+mn-lt"/>
              </a:defRPr>
            </a:pPr>
            <a:r>
              <a:rPr b="1" i="0" sz="1500">
                <a:solidFill>
                  <a:schemeClr val="lt1"/>
                </a:solidFill>
                <a:latin typeface="+mn-lt"/>
              </a:rPr>
              <a:t>EVOLUCIÓN 1RM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1RM (kg)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'Perfil F-v PESO MUERTO'!$L$8:$L$33</c:f>
              <c:numCache/>
            </c:numRef>
          </c:val>
          <c:smooth val="1"/>
        </c:ser>
        <c:axId val="820286396"/>
        <c:axId val="1274458714"/>
      </c:lineChart>
      <c:catAx>
        <c:axId val="820286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74458714"/>
      </c:catAx>
      <c:valAx>
        <c:axId val="1274458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20286396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3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Relación velociad - peso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DOMINADAS'!$L$46:$L$50</c:f>
            </c:numRef>
          </c:xVal>
          <c:yVal>
            <c:numRef>
              <c:f>'Perfil F-v DOMINADAS'!$M$46:$M$50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828115"/>
        <c:axId val="127347083"/>
      </c:scatterChart>
      <c:valAx>
        <c:axId val="9968281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347083"/>
      </c:valAx>
      <c:valAx>
        <c:axId val="127347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Velocidad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6828115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Relación velocidad - %1RM</a:t>
            </a:r>
          </a:p>
        </c:rich>
      </c:tx>
      <c:layout>
        <c:manualLayout>
          <c:xMode val="edge"/>
          <c:yMode val="edge"/>
          <c:x val="0.2454585462027116"/>
          <c:y val="0.02777786103456482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VELOCIDAD (Y)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(VELOCIDAD (Y))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'Perfil F-v DOMINADAS'!$S$50:$S$55</c:f>
            </c:numRef>
          </c:xVal>
          <c:yVal>
            <c:numRef>
              <c:f>'Perfil F-v DOMINADAS'!$T$50:$T$55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060914"/>
        <c:axId val="25714771"/>
      </c:scatterChart>
      <c:valAx>
        <c:axId val="1650060914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% 1RM </a:t>
                </a:r>
              </a:p>
            </c:rich>
          </c:tx>
          <c:layout>
            <c:manualLayout>
              <c:xMode val="edge"/>
              <c:yMode val="edge"/>
              <c:x val="0.4651480492214955"/>
              <c:y val="0.912923831197752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5714771"/>
      </c:valAx>
      <c:valAx>
        <c:axId val="25714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Velocidad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50060914"/>
      </c:valAx>
    </c:plotArea>
    <c:plotVisOnly val="1"/>
  </c:chart>
  <c:spPr>
    <a:solidFill>
      <a:schemeClr val="dk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500">
                <a:solidFill>
                  <a:schemeClr val="lt1"/>
                </a:solidFill>
                <a:latin typeface="+mn-lt"/>
              </a:defRPr>
            </a:pPr>
            <a:r>
              <a:rPr b="1" i="0" sz="1500">
                <a:solidFill>
                  <a:schemeClr val="lt1"/>
                </a:solidFill>
                <a:latin typeface="+mn-lt"/>
              </a:rPr>
              <a:t>EVOLUCIÓN 1RM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1RM (kg)</c:v>
          </c:tx>
          <c:spPr>
            <a:ln cmpd="sng" w="28575">
              <a:solidFill>
                <a:srgbClr val="C00000">
                  <a:alpha val="49411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'Perfil F-v DOMINADAS'!$O$8:$O$33</c:f>
              <c:numCache/>
            </c:numRef>
          </c:val>
          <c:smooth val="1"/>
        </c:ser>
        <c:axId val="1248543772"/>
        <c:axId val="1078991760"/>
      </c:lineChart>
      <c:catAx>
        <c:axId val="1248543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78991760"/>
      </c:catAx>
      <c:valAx>
        <c:axId val="1078991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Peso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48543772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jpg"/><Relationship Id="rId5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image" Target="../media/image8.png"/><Relationship Id="rId5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38</xdr:row>
      <xdr:rowOff>95250</xdr:rowOff>
    </xdr:from>
    <xdr:ext cx="2933700" cy="3076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504825</xdr:colOff>
      <xdr:row>38</xdr:row>
      <xdr:rowOff>114300</xdr:rowOff>
    </xdr:from>
    <xdr:ext cx="3238500" cy="3095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133350</xdr:rowOff>
    </xdr:from>
    <xdr:ext cx="6753225" cy="5286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304800</xdr:colOff>
      <xdr:row>8</xdr:row>
      <xdr:rowOff>85725</xdr:rowOff>
    </xdr:from>
    <xdr:ext cx="1885950" cy="1638300"/>
    <xdr:pic>
      <xdr:nvPicPr>
        <xdr:cNvPr descr="Resultado de imagen de bench press"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838200</xdr:colOff>
      <xdr:row>9</xdr:row>
      <xdr:rowOff>123825</xdr:rowOff>
    </xdr:from>
    <xdr:ext cx="3228975" cy="20383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39</xdr:row>
      <xdr:rowOff>95250</xdr:rowOff>
    </xdr:from>
    <xdr:ext cx="3457575" cy="31908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990600</xdr:colOff>
      <xdr:row>39</xdr:row>
      <xdr:rowOff>114300</xdr:rowOff>
    </xdr:from>
    <xdr:ext cx="3543300" cy="3209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38100</xdr:colOff>
      <xdr:row>54</xdr:row>
      <xdr:rowOff>180975</xdr:rowOff>
    </xdr:from>
    <xdr:ext cx="7029450" cy="57912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342900</xdr:colOff>
      <xdr:row>11</xdr:row>
      <xdr:rowOff>180975</xdr:rowOff>
    </xdr:from>
    <xdr:ext cx="2133600" cy="1400175"/>
    <xdr:pic>
      <xdr:nvPicPr>
        <xdr:cNvPr descr="Power Explosiv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1543050</xdr:colOff>
      <xdr:row>10</xdr:row>
      <xdr:rowOff>266700</xdr:rowOff>
    </xdr:from>
    <xdr:ext cx="1885950" cy="1819275"/>
    <xdr:pic>
      <xdr:nvPicPr>
        <xdr:cNvPr descr="http://www.carlos-balsalobre.com/images/PowerLift.png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781050</xdr:colOff>
      <xdr:row>5</xdr:row>
      <xdr:rowOff>200025</xdr:rowOff>
    </xdr:from>
    <xdr:ext cx="2114550" cy="2705100"/>
    <xdr:pic>
      <xdr:nvPicPr>
        <xdr:cNvPr descr="Resultado de imagen de squat"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39</xdr:row>
      <xdr:rowOff>95250</xdr:rowOff>
    </xdr:from>
    <xdr:ext cx="3457575" cy="31908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990600</xdr:colOff>
      <xdr:row>39</xdr:row>
      <xdr:rowOff>114300</xdr:rowOff>
    </xdr:from>
    <xdr:ext cx="3543300" cy="32099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38100</xdr:colOff>
      <xdr:row>54</xdr:row>
      <xdr:rowOff>180975</xdr:rowOff>
    </xdr:from>
    <xdr:ext cx="7029450" cy="57912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342900</xdr:colOff>
      <xdr:row>11</xdr:row>
      <xdr:rowOff>180975</xdr:rowOff>
    </xdr:from>
    <xdr:ext cx="2133600" cy="1400175"/>
    <xdr:pic>
      <xdr:nvPicPr>
        <xdr:cNvPr descr="Power Explosiv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1543050</xdr:colOff>
      <xdr:row>10</xdr:row>
      <xdr:rowOff>266700</xdr:rowOff>
    </xdr:from>
    <xdr:ext cx="1885950" cy="1819275"/>
    <xdr:pic>
      <xdr:nvPicPr>
        <xdr:cNvPr descr="http://www.carlos-balsalobre.com/images/PowerLift.png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6</xdr:row>
      <xdr:rowOff>95250</xdr:rowOff>
    </xdr:from>
    <xdr:ext cx="2895600" cy="2762250"/>
    <xdr:pic>
      <xdr:nvPicPr>
        <xdr:cNvPr descr="Resultado de imagen de deadlift"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39</xdr:row>
      <xdr:rowOff>95250</xdr:rowOff>
    </xdr:from>
    <xdr:ext cx="4667250" cy="31908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895350</xdr:colOff>
      <xdr:row>39</xdr:row>
      <xdr:rowOff>114300</xdr:rowOff>
    </xdr:from>
    <xdr:ext cx="4991100" cy="32099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38100</xdr:colOff>
      <xdr:row>54</xdr:row>
      <xdr:rowOff>180975</xdr:rowOff>
    </xdr:from>
    <xdr:ext cx="9677400" cy="57912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466725</xdr:colOff>
      <xdr:row>17</xdr:row>
      <xdr:rowOff>114300</xdr:rowOff>
    </xdr:from>
    <xdr:ext cx="3886200" cy="387667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704850</xdr:colOff>
      <xdr:row>7</xdr:row>
      <xdr:rowOff>66675</xdr:rowOff>
    </xdr:from>
    <xdr:ext cx="3495675" cy="18573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tunes.apple.com/es/app/powerlift-mide-tu-fuerza-maxima/id1104432787?mt=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tunes.apple.com/es/app/powerlift-mide-tu-fuerza-maxima/id1104432787?mt=8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19.43"/>
    <col customWidth="1" min="3" max="3" width="20.43"/>
    <col customWidth="1" min="4" max="4" width="23.0"/>
    <col customWidth="1" min="5" max="5" width="13.43"/>
    <col customWidth="1" min="6" max="6" width="11.43"/>
    <col customWidth="1" min="7" max="7" width="19.0"/>
    <col customWidth="1" min="8" max="8" width="23.0"/>
    <col customWidth="1" min="9" max="9" width="20.57"/>
    <col customWidth="1" min="10" max="10" width="28.43"/>
    <col customWidth="1" min="11" max="11" width="21.86"/>
    <col customWidth="1" min="12" max="12" width="11.86"/>
    <col customWidth="1" min="13" max="13" width="11.43"/>
    <col customWidth="1" min="14" max="14" width="21.86"/>
    <col customWidth="1" min="15" max="15" width="22.57"/>
    <col customWidth="1" min="16" max="16" width="16.14"/>
    <col customWidth="1" min="17" max="17" width="11.43"/>
    <col customWidth="1" min="18" max="18" width="11.57"/>
    <col customWidth="1" min="19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5"/>
      <c r="D2" s="5"/>
      <c r="E2" s="6"/>
      <c r="F2" s="2"/>
      <c r="G2" s="7" t="s">
        <v>1</v>
      </c>
      <c r="H2" s="5"/>
      <c r="I2" s="5"/>
      <c r="J2" s="5"/>
      <c r="K2" s="6"/>
      <c r="L2" s="2"/>
      <c r="M2" s="2"/>
      <c r="N2" s="2"/>
      <c r="O2" s="2"/>
      <c r="P2" s="2"/>
      <c r="Q2" s="2"/>
      <c r="R2" s="2"/>
      <c r="S2" s="3"/>
      <c r="T2" s="2"/>
      <c r="U2" s="2"/>
      <c r="V2" s="2"/>
      <c r="W2" s="2"/>
      <c r="X2" s="2"/>
      <c r="Y2" s="2"/>
      <c r="Z2" s="2"/>
    </row>
    <row r="3">
      <c r="A3" s="1"/>
      <c r="B3" s="8"/>
      <c r="C3" s="9"/>
      <c r="D3" s="2"/>
      <c r="E3" s="3"/>
      <c r="F3" s="2"/>
      <c r="G3" s="10"/>
      <c r="H3" s="11"/>
      <c r="I3" s="11"/>
      <c r="J3" s="11"/>
      <c r="K3" s="12"/>
      <c r="L3" s="2"/>
      <c r="M3" s="2"/>
      <c r="N3" s="2"/>
      <c r="O3" s="2"/>
      <c r="P3" s="2"/>
      <c r="Q3" s="2"/>
      <c r="R3" s="2"/>
      <c r="S3" s="3"/>
      <c r="T3" s="2"/>
      <c r="U3" s="2"/>
      <c r="V3" s="2"/>
      <c r="W3" s="2"/>
      <c r="X3" s="2"/>
      <c r="Y3" s="2"/>
      <c r="Z3" s="2"/>
    </row>
    <row r="4">
      <c r="A4" s="1"/>
      <c r="B4" s="13" t="s">
        <v>2</v>
      </c>
      <c r="C4" s="9"/>
      <c r="D4" s="2"/>
      <c r="E4" s="3"/>
      <c r="F4" s="2"/>
      <c r="G4" s="14" t="s">
        <v>2</v>
      </c>
      <c r="H4" s="15"/>
      <c r="I4" s="15"/>
      <c r="J4" s="15"/>
      <c r="K4" s="16"/>
      <c r="L4" s="2"/>
      <c r="M4" s="2"/>
      <c r="N4" s="2"/>
      <c r="O4" s="2"/>
      <c r="P4" s="2"/>
      <c r="Q4" s="2"/>
      <c r="R4" s="2"/>
      <c r="S4" s="3"/>
      <c r="T4" s="2"/>
      <c r="U4" s="2"/>
      <c r="V4" s="2"/>
      <c r="W4" s="2"/>
      <c r="X4" s="2"/>
      <c r="Y4" s="2"/>
      <c r="Z4" s="2"/>
    </row>
    <row r="5">
      <c r="A5" s="1"/>
      <c r="B5" s="17" t="s">
        <v>3</v>
      </c>
      <c r="C5" s="18"/>
      <c r="D5" s="2"/>
      <c r="E5" s="3"/>
      <c r="F5" s="2"/>
      <c r="G5" s="19" t="str">
        <f>"EVOLUCIÓN 1RM"&amp;"-"&amp;'Perfil F-v PRESS BANCA'!J40</f>
        <v>EVOLUCIÓN 1RM-PRESS BANCA</v>
      </c>
      <c r="H5" s="20"/>
      <c r="I5" s="20"/>
      <c r="J5" s="20"/>
      <c r="K5" s="21"/>
      <c r="L5" s="2"/>
      <c r="M5" s="22"/>
      <c r="N5" s="9"/>
      <c r="O5" s="23"/>
      <c r="P5" s="11"/>
      <c r="Q5" s="9"/>
      <c r="R5" s="2"/>
      <c r="S5" s="3"/>
      <c r="T5" s="2"/>
      <c r="U5" s="2"/>
      <c r="V5" s="2"/>
      <c r="W5" s="2"/>
      <c r="X5" s="2"/>
      <c r="Y5" s="2"/>
      <c r="Z5" s="2"/>
    </row>
    <row r="6">
      <c r="A6" s="1"/>
      <c r="B6" s="19" t="s">
        <v>4</v>
      </c>
      <c r="C6" s="21"/>
      <c r="D6" s="2"/>
      <c r="E6" s="3"/>
      <c r="F6" s="2"/>
      <c r="G6" s="24" t="s">
        <v>5</v>
      </c>
      <c r="H6" s="25" t="s">
        <v>6</v>
      </c>
      <c r="I6" s="25" t="s">
        <v>7</v>
      </c>
      <c r="J6" s="25" t="s">
        <v>8</v>
      </c>
      <c r="K6" s="26" t="s">
        <v>9</v>
      </c>
      <c r="L6" s="2"/>
      <c r="M6" s="2"/>
      <c r="N6" s="27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</row>
    <row r="7">
      <c r="A7" s="1"/>
      <c r="B7" s="24" t="s">
        <v>10</v>
      </c>
      <c r="C7" s="26" t="s">
        <v>11</v>
      </c>
      <c r="D7" s="2"/>
      <c r="E7" s="3"/>
      <c r="F7" s="2"/>
      <c r="G7" s="28">
        <v>43924.0</v>
      </c>
      <c r="H7" s="29">
        <v>120.0</v>
      </c>
      <c r="I7" s="29">
        <v>0.2</v>
      </c>
      <c r="J7" s="30">
        <f>IF((I7=""),(""),((('Perfil F-v PRESS BANCA'!$O$55-I7)/-'Perfil F-v PRESS BANCA'!$O$56)))</f>
        <v>98.3908046</v>
      </c>
      <c r="K7" s="31">
        <f t="shared" ref="K7:K8" si="1">IF((I7=""),(NA()),((H7*100)/J7))</f>
        <v>121.9626168</v>
      </c>
      <c r="L7" s="2"/>
      <c r="M7" s="32"/>
      <c r="N7" s="32"/>
      <c r="O7" s="2"/>
      <c r="P7" s="2"/>
      <c r="Q7" s="2"/>
      <c r="R7" s="2"/>
      <c r="S7" s="3"/>
      <c r="T7" s="2"/>
      <c r="U7" s="2"/>
      <c r="V7" s="2"/>
      <c r="W7" s="2"/>
      <c r="X7" s="2"/>
      <c r="Y7" s="2"/>
      <c r="Z7" s="2"/>
    </row>
    <row r="8">
      <c r="A8" s="1"/>
      <c r="B8" s="33">
        <v>120.0</v>
      </c>
      <c r="C8" s="34">
        <v>0.16</v>
      </c>
      <c r="D8" s="2"/>
      <c r="E8" s="3"/>
      <c r="F8" s="2"/>
      <c r="G8" s="28">
        <v>43925.0</v>
      </c>
      <c r="H8" s="29">
        <v>100.0</v>
      </c>
      <c r="I8" s="29">
        <v>0.35</v>
      </c>
      <c r="J8" s="30">
        <f>IF((I8=""),(""),((('Perfil F-v PRESS BANCA'!$O$55-I8)/-'Perfil F-v PRESS BANCA'!$O$56)))</f>
        <v>81.14942529</v>
      </c>
      <c r="K8" s="31">
        <f t="shared" si="1"/>
        <v>123.2294618</v>
      </c>
      <c r="L8" s="2"/>
      <c r="M8" s="32"/>
      <c r="N8" s="32"/>
      <c r="O8" s="2"/>
      <c r="P8" s="2"/>
      <c r="Q8" s="2"/>
      <c r="R8" s="2"/>
      <c r="S8" s="3"/>
      <c r="T8" s="2"/>
      <c r="U8" s="2"/>
      <c r="V8" s="2"/>
      <c r="W8" s="2"/>
      <c r="X8" s="2"/>
      <c r="Y8" s="2"/>
      <c r="Z8" s="2"/>
    </row>
    <row r="9" ht="15.0" customHeight="1">
      <c r="A9" s="1"/>
      <c r="B9" s="24" t="s">
        <v>12</v>
      </c>
      <c r="C9" s="26" t="str">
        <f>(FIXED((('Perfil F-v PRESS BANCA'!O55-C8)/-'Perfil F-v PRESS BANCA'!O56),2))</f>
        <v>102,99</v>
      </c>
      <c r="D9" s="2"/>
      <c r="E9" s="3"/>
      <c r="F9" s="2"/>
      <c r="G9" s="28"/>
      <c r="H9" s="29"/>
      <c r="I9" s="29"/>
      <c r="J9" s="30"/>
      <c r="K9" s="31"/>
      <c r="L9" s="2"/>
      <c r="M9" s="32"/>
      <c r="N9" s="2"/>
      <c r="O9" s="2"/>
      <c r="P9" s="2"/>
      <c r="Q9" s="2"/>
      <c r="R9" s="2"/>
      <c r="S9" s="3"/>
      <c r="T9" s="2"/>
      <c r="U9" s="2"/>
      <c r="V9" s="2"/>
      <c r="W9" s="2"/>
      <c r="X9" s="2"/>
      <c r="Y9" s="2"/>
      <c r="Z9" s="2"/>
    </row>
    <row r="10" ht="21.75" customHeight="1">
      <c r="A10" s="1"/>
      <c r="B10" s="35" t="s">
        <v>13</v>
      </c>
      <c r="C10" s="36">
        <f>'Perfil F-v PRESS BANCA'!O58</f>
        <v>0.9970848057</v>
      </c>
      <c r="D10" s="2"/>
      <c r="E10" s="3"/>
      <c r="F10" s="2"/>
      <c r="G10" s="28"/>
      <c r="H10" s="29"/>
      <c r="I10" s="29"/>
      <c r="J10" s="30"/>
      <c r="K10" s="31"/>
      <c r="L10" s="2"/>
      <c r="M10" s="2"/>
      <c r="N10" s="2"/>
      <c r="O10" s="2"/>
      <c r="P10" s="2"/>
      <c r="Q10" s="2"/>
      <c r="R10" s="2"/>
      <c r="S10" s="3"/>
      <c r="T10" s="2"/>
      <c r="U10" s="2"/>
      <c r="V10" s="2"/>
      <c r="W10" s="2"/>
      <c r="X10" s="2"/>
      <c r="Y10" s="2"/>
      <c r="Z10" s="2"/>
    </row>
    <row r="11" ht="21.75" customHeight="1">
      <c r="A11" s="1"/>
      <c r="B11" s="37" t="s">
        <v>14</v>
      </c>
      <c r="C11" s="38">
        <f>(((B8*100)/C9))</f>
        <v>116.5161666</v>
      </c>
      <c r="D11" s="2"/>
      <c r="E11" s="3"/>
      <c r="F11" s="2"/>
      <c r="G11" s="28"/>
      <c r="H11" s="29"/>
      <c r="I11" s="29"/>
      <c r="J11" s="30"/>
      <c r="K11" s="31"/>
      <c r="L11" s="2"/>
      <c r="M11" s="2"/>
      <c r="N11" s="2"/>
      <c r="O11" s="2"/>
      <c r="P11" s="2"/>
      <c r="Q11" s="2"/>
      <c r="R11" s="2"/>
      <c r="S11" s="3"/>
      <c r="T11" s="2"/>
      <c r="U11" s="2"/>
      <c r="V11" s="2"/>
      <c r="W11" s="2"/>
      <c r="X11" s="2"/>
      <c r="Y11" s="2"/>
      <c r="Z11" s="2"/>
    </row>
    <row r="12" ht="16.5" customHeight="1">
      <c r="A12" s="1"/>
      <c r="B12" s="39"/>
      <c r="C12" s="40"/>
      <c r="D12" s="2"/>
      <c r="E12" s="3"/>
      <c r="F12" s="2"/>
      <c r="G12" s="28"/>
      <c r="H12" s="29"/>
      <c r="I12" s="29"/>
      <c r="J12" s="30"/>
      <c r="K12" s="31"/>
      <c r="L12" s="2"/>
      <c r="M12" s="2"/>
      <c r="N12" s="2"/>
      <c r="O12" s="2"/>
      <c r="P12" s="2"/>
      <c r="Q12" s="2"/>
      <c r="R12" s="2"/>
      <c r="S12" s="3"/>
      <c r="T12" s="2"/>
      <c r="U12" s="2"/>
      <c r="V12" s="2"/>
      <c r="W12" s="2"/>
      <c r="X12" s="2"/>
      <c r="Y12" s="2"/>
      <c r="Z12" s="2"/>
    </row>
    <row r="13" ht="16.5" customHeight="1">
      <c r="A13" s="1"/>
      <c r="B13" s="17" t="s">
        <v>15</v>
      </c>
      <c r="C13" s="18"/>
      <c r="D13" s="2"/>
      <c r="E13" s="3"/>
      <c r="F13" s="2"/>
      <c r="G13" s="28"/>
      <c r="H13" s="29"/>
      <c r="I13" s="29"/>
      <c r="J13" s="30"/>
      <c r="K13" s="31"/>
      <c r="L13" s="2"/>
      <c r="M13" s="2"/>
      <c r="N13" s="2"/>
      <c r="O13" s="2"/>
      <c r="P13" s="2"/>
      <c r="Q13" s="2"/>
      <c r="R13" s="2"/>
      <c r="S13" s="3"/>
      <c r="T13" s="2"/>
      <c r="U13" s="2"/>
      <c r="V13" s="2"/>
      <c r="W13" s="2"/>
      <c r="X13" s="2"/>
      <c r="Y13" s="2"/>
      <c r="Z13" s="2"/>
    </row>
    <row r="14" ht="21.0" customHeight="1">
      <c r="A14" s="1"/>
      <c r="B14" s="24" t="s">
        <v>16</v>
      </c>
      <c r="C14" s="41" t="s">
        <v>17</v>
      </c>
      <c r="D14" s="2"/>
      <c r="E14" s="3"/>
      <c r="F14" s="2"/>
      <c r="G14" s="28"/>
      <c r="H14" s="29"/>
      <c r="I14" s="29"/>
      <c r="J14" s="30"/>
      <c r="K14" s="31"/>
      <c r="L14" s="2"/>
      <c r="M14" s="2"/>
      <c r="N14" s="2"/>
      <c r="O14" s="2"/>
      <c r="P14" s="2"/>
      <c r="Q14" s="2"/>
      <c r="R14" s="2"/>
      <c r="S14" s="3"/>
      <c r="T14" s="2"/>
      <c r="U14" s="2"/>
      <c r="V14" s="2"/>
      <c r="W14" s="2"/>
      <c r="X14" s="2"/>
      <c r="Y14" s="2"/>
      <c r="Z14" s="2"/>
    </row>
    <row r="15">
      <c r="A15" s="1"/>
      <c r="B15" s="42">
        <v>95.0</v>
      </c>
      <c r="C15" s="43">
        <f>(C11*B15)/100</f>
        <v>110.6903583</v>
      </c>
      <c r="D15" s="2"/>
      <c r="E15" s="3"/>
      <c r="F15" s="2"/>
      <c r="G15" s="28"/>
      <c r="H15" s="29"/>
      <c r="I15" s="29"/>
      <c r="J15" s="30"/>
      <c r="K15" s="31"/>
      <c r="L15" s="2"/>
      <c r="M15" s="2"/>
      <c r="N15" s="2"/>
      <c r="O15" s="2"/>
      <c r="P15" s="2"/>
      <c r="Q15" s="2"/>
      <c r="R15" s="2"/>
      <c r="S15" s="3"/>
      <c r="T15" s="2"/>
      <c r="U15" s="2"/>
      <c r="V15" s="2"/>
      <c r="W15" s="2"/>
      <c r="X15" s="2"/>
      <c r="Y15" s="2"/>
      <c r="Z15" s="2"/>
    </row>
    <row r="16">
      <c r="A16" s="1"/>
      <c r="B16" s="2"/>
      <c r="C16" s="2"/>
      <c r="D16" s="2"/>
      <c r="E16" s="3"/>
      <c r="F16" s="2"/>
      <c r="G16" s="28"/>
      <c r="H16" s="29"/>
      <c r="I16" s="29"/>
      <c r="J16" s="30"/>
      <c r="K16" s="31"/>
      <c r="L16" s="2"/>
      <c r="M16" s="2"/>
      <c r="N16" s="2"/>
      <c r="O16" s="2"/>
      <c r="P16" s="2"/>
      <c r="Q16" s="2"/>
      <c r="R16" s="2"/>
      <c r="S16" s="3"/>
      <c r="T16" s="2"/>
      <c r="U16" s="2"/>
      <c r="V16" s="2"/>
      <c r="W16" s="2"/>
      <c r="X16" s="2"/>
      <c r="Y16" s="2"/>
      <c r="Z16" s="2"/>
    </row>
    <row r="17">
      <c r="A17" s="1"/>
      <c r="B17" s="44" t="s">
        <v>18</v>
      </c>
      <c r="C17" s="45" t="s">
        <v>19</v>
      </c>
      <c r="D17" s="2"/>
      <c r="E17" s="3"/>
      <c r="F17" s="2"/>
      <c r="G17" s="28"/>
      <c r="H17" s="29"/>
      <c r="I17" s="29"/>
      <c r="J17" s="30"/>
      <c r="K17" s="31"/>
      <c r="L17" s="2"/>
      <c r="M17" s="2"/>
      <c r="N17" s="2"/>
      <c r="O17" s="2"/>
      <c r="Q17" s="2"/>
      <c r="R17" s="2"/>
      <c r="S17" s="3"/>
      <c r="T17" s="2"/>
      <c r="U17" s="2"/>
      <c r="V17" s="2"/>
      <c r="W17" s="2"/>
      <c r="X17" s="2"/>
      <c r="Y17" s="2"/>
      <c r="Z17" s="2"/>
    </row>
    <row r="18">
      <c r="A18" s="1"/>
      <c r="B18" s="46">
        <v>20.0</v>
      </c>
      <c r="C18" s="47">
        <v>1.25</v>
      </c>
      <c r="D18" s="2"/>
      <c r="E18" s="3"/>
      <c r="F18" s="2"/>
      <c r="G18" s="28"/>
      <c r="H18" s="29"/>
      <c r="I18" s="29"/>
      <c r="J18" s="30"/>
      <c r="K18" s="31"/>
      <c r="L18" s="2"/>
      <c r="M18" s="2"/>
      <c r="N18" s="2"/>
      <c r="O18" s="2"/>
      <c r="P18" s="2"/>
      <c r="Q18" s="2"/>
      <c r="R18" s="2"/>
      <c r="S18" s="3"/>
      <c r="T18" s="2"/>
      <c r="U18" s="2"/>
      <c r="V18" s="2"/>
      <c r="W18" s="2"/>
      <c r="X18" s="2"/>
      <c r="Y18" s="2"/>
      <c r="Z18" s="2"/>
    </row>
    <row r="19">
      <c r="A19" s="1"/>
      <c r="B19" s="48" t="s">
        <v>20</v>
      </c>
      <c r="C19" s="21"/>
      <c r="D19" s="2"/>
      <c r="E19" s="3"/>
      <c r="F19" s="2"/>
      <c r="G19" s="28"/>
      <c r="H19" s="29"/>
      <c r="I19" s="29"/>
      <c r="J19" s="30"/>
      <c r="K19" s="31"/>
      <c r="L19" s="2"/>
      <c r="M19" s="2"/>
      <c r="N19" s="2"/>
      <c r="O19" s="2"/>
      <c r="P19" s="49"/>
      <c r="Q19" s="2"/>
      <c r="R19" s="2"/>
      <c r="S19" s="3"/>
      <c r="T19" s="2"/>
      <c r="U19" s="2"/>
      <c r="V19" s="2"/>
      <c r="W19" s="2"/>
      <c r="X19" s="2"/>
      <c r="Y19" s="2"/>
      <c r="Z19" s="2"/>
    </row>
    <row r="20" ht="21.75" customHeight="1">
      <c r="A20" s="50"/>
      <c r="B20" s="51">
        <f>(CEILING(((C15-B18)/2),C18))</f>
        <v>46.25</v>
      </c>
      <c r="C20" s="52"/>
      <c r="D20" s="53"/>
      <c r="E20" s="54"/>
      <c r="F20" s="2"/>
      <c r="G20" s="28"/>
      <c r="H20" s="29"/>
      <c r="I20" s="29"/>
      <c r="J20" s="30"/>
      <c r="K20" s="31"/>
      <c r="L20" s="2"/>
      <c r="M20" s="2"/>
      <c r="N20" s="2"/>
      <c r="O20" s="2"/>
      <c r="P20" s="2"/>
      <c r="Q20" s="2"/>
      <c r="R20" s="2"/>
      <c r="S20" s="3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55"/>
      <c r="C21" s="56"/>
      <c r="D21" s="2"/>
      <c r="E21" s="2"/>
      <c r="F21" s="2"/>
      <c r="G21" s="28"/>
      <c r="H21" s="29"/>
      <c r="I21" s="29"/>
      <c r="J21" s="30"/>
      <c r="K21" s="31"/>
      <c r="L21" s="2"/>
      <c r="M21" s="2"/>
      <c r="N21" s="2"/>
      <c r="O21" s="2"/>
      <c r="P21" s="2"/>
      <c r="Q21" s="2"/>
      <c r="R21" s="2"/>
      <c r="S21" s="3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55"/>
      <c r="C22" s="56"/>
      <c r="D22" s="2"/>
      <c r="E22" s="2"/>
      <c r="F22" s="2"/>
      <c r="G22" s="28"/>
      <c r="H22" s="29"/>
      <c r="I22" s="29"/>
      <c r="J22" s="30"/>
      <c r="K22" s="31"/>
      <c r="L22" s="2"/>
      <c r="M22" s="2"/>
      <c r="N22" s="2"/>
      <c r="O22" s="2"/>
      <c r="P22" s="2"/>
      <c r="Q22" s="2"/>
      <c r="R22" s="2"/>
      <c r="S22" s="3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2"/>
      <c r="C23" s="2"/>
      <c r="D23" s="2"/>
      <c r="E23" s="2"/>
      <c r="F23" s="2"/>
      <c r="G23" s="28"/>
      <c r="H23" s="29"/>
      <c r="I23" s="29"/>
      <c r="J23" s="30"/>
      <c r="K23" s="31"/>
      <c r="L23" s="2"/>
      <c r="M23" s="2"/>
      <c r="N23" s="2"/>
      <c r="O23" s="2"/>
      <c r="P23" s="2"/>
      <c r="Q23" s="2"/>
      <c r="R23" s="2"/>
      <c r="S23" s="3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8"/>
      <c r="H24" s="29"/>
      <c r="I24" s="29"/>
      <c r="J24" s="30"/>
      <c r="K24" s="31"/>
      <c r="L24" s="2"/>
      <c r="M24" s="2"/>
      <c r="N24" s="2"/>
      <c r="O24" s="2"/>
      <c r="P24" s="2"/>
      <c r="Q24" s="2"/>
      <c r="R24" s="2"/>
      <c r="S24" s="3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8"/>
      <c r="H25" s="29"/>
      <c r="I25" s="29"/>
      <c r="J25" s="30"/>
      <c r="K25" s="31"/>
      <c r="L25" s="2"/>
      <c r="M25" s="2"/>
      <c r="N25" s="2"/>
      <c r="O25" s="2"/>
      <c r="P25" s="2"/>
      <c r="Q25" s="2"/>
      <c r="R25" s="2"/>
      <c r="S25" s="3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8"/>
      <c r="H26" s="29"/>
      <c r="I26" s="29"/>
      <c r="J26" s="30"/>
      <c r="K26" s="31"/>
      <c r="L26" s="2"/>
      <c r="M26" s="2"/>
      <c r="N26" s="2"/>
      <c r="O26" s="2"/>
      <c r="P26" s="2"/>
      <c r="Q26" s="2"/>
      <c r="R26" s="2"/>
      <c r="S26" s="3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8"/>
      <c r="H27" s="29"/>
      <c r="I27" s="29"/>
      <c r="J27" s="30"/>
      <c r="K27" s="31"/>
      <c r="L27" s="2"/>
      <c r="M27" s="2"/>
      <c r="N27" s="2"/>
      <c r="O27" s="2"/>
      <c r="P27" s="2"/>
      <c r="Q27" s="2"/>
      <c r="R27" s="2"/>
      <c r="S27" s="3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8"/>
      <c r="H28" s="29"/>
      <c r="I28" s="29"/>
      <c r="J28" s="30"/>
      <c r="K28" s="31"/>
      <c r="L28" s="2"/>
      <c r="M28" s="2"/>
      <c r="N28" s="2"/>
      <c r="O28" s="2"/>
      <c r="P28" s="2"/>
      <c r="Q28" s="2"/>
      <c r="R28" s="2"/>
      <c r="S28" s="3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8"/>
      <c r="H29" s="29"/>
      <c r="I29" s="29"/>
      <c r="J29" s="30"/>
      <c r="K29" s="31"/>
      <c r="L29" s="2"/>
      <c r="M29" s="2"/>
      <c r="N29" s="2"/>
      <c r="O29" s="2"/>
      <c r="P29" s="2"/>
      <c r="Q29" s="2"/>
      <c r="R29" s="2"/>
      <c r="S29" s="3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8"/>
      <c r="H30" s="29"/>
      <c r="I30" s="29"/>
      <c r="J30" s="30"/>
      <c r="K30" s="31"/>
      <c r="L30" s="2"/>
      <c r="M30" s="2"/>
      <c r="N30" s="2"/>
      <c r="O30" s="2"/>
      <c r="P30" s="2"/>
      <c r="Q30" s="2"/>
      <c r="R30" s="2"/>
      <c r="S30" s="3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8"/>
      <c r="H31" s="29"/>
      <c r="I31" s="29"/>
      <c r="J31" s="30"/>
      <c r="K31" s="31"/>
      <c r="L31" s="2"/>
      <c r="M31" s="2"/>
      <c r="N31" s="2"/>
      <c r="O31" s="2"/>
      <c r="P31" s="2"/>
      <c r="Q31" s="2"/>
      <c r="R31" s="2"/>
      <c r="S31" s="3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57"/>
      <c r="H32" s="58"/>
      <c r="I32" s="58"/>
      <c r="J32" s="59"/>
      <c r="K32" s="60"/>
      <c r="L32" s="2"/>
      <c r="M32" s="2"/>
      <c r="N32" s="2"/>
      <c r="O32" s="2"/>
      <c r="P32" s="2"/>
      <c r="Q32" s="2"/>
      <c r="R32" s="2"/>
      <c r="S32" s="3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 t="str">
        <f>IF(('Perfil F-v PRESS BANCA'!C47=""),(""),(FIXED((('Perfil F-v PRESS BANCA'!$O$55-'Perfil F-v PRESS BANCA'!C47)/-'Perfil F-v PRESS BANCA'!$O$56),2)))</f>
        <v/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2"/>
      <c r="U35" s="2"/>
      <c r="V35" s="2"/>
      <c r="W35" s="2"/>
      <c r="X35" s="2"/>
      <c r="Y35" s="2"/>
      <c r="Z35" s="2"/>
    </row>
    <row r="36" ht="28.5" customHeight="1">
      <c r="A36" s="7" t="s">
        <v>21</v>
      </c>
      <c r="B36" s="5"/>
      <c r="C36" s="5"/>
      <c r="D36" s="5"/>
      <c r="E36" s="6"/>
      <c r="F36" s="61"/>
      <c r="G36" s="7" t="s">
        <v>22</v>
      </c>
      <c r="H36" s="5"/>
      <c r="I36" s="5"/>
      <c r="J36" s="5"/>
      <c r="K36" s="6"/>
      <c r="L36" s="2"/>
      <c r="M36" s="62" t="s">
        <v>23</v>
      </c>
      <c r="N36" s="5"/>
      <c r="O36" s="5"/>
      <c r="P36" s="5"/>
      <c r="Q36" s="5"/>
      <c r="R36" s="6"/>
      <c r="S36" s="3"/>
      <c r="T36" s="2"/>
      <c r="U36" s="2"/>
      <c r="V36" s="2"/>
      <c r="W36" s="2"/>
      <c r="X36" s="2"/>
      <c r="Y36" s="2"/>
      <c r="Z36" s="2"/>
    </row>
    <row r="37" ht="15.75" customHeight="1">
      <c r="A37" s="63" t="s">
        <v>4</v>
      </c>
      <c r="B37" s="64"/>
      <c r="C37" s="64"/>
      <c r="D37" s="64"/>
      <c r="E37" s="65"/>
      <c r="F37" s="2"/>
      <c r="G37" s="1"/>
      <c r="H37" s="8"/>
      <c r="I37" s="11"/>
      <c r="J37" s="9"/>
      <c r="K37" s="3"/>
      <c r="L37" s="2"/>
      <c r="M37" s="1"/>
      <c r="N37" s="8"/>
      <c r="O37" s="11"/>
      <c r="P37" s="9"/>
      <c r="Q37" s="2"/>
      <c r="R37" s="3"/>
      <c r="S37" s="3"/>
      <c r="T37" s="2"/>
      <c r="U37" s="2"/>
      <c r="V37" s="2"/>
      <c r="W37" s="2"/>
      <c r="X37" s="2"/>
      <c r="Y37" s="2"/>
      <c r="Z37" s="2"/>
    </row>
    <row r="38" ht="15.0" customHeight="1">
      <c r="A38" s="66"/>
      <c r="E38" s="67"/>
      <c r="F38" s="61"/>
      <c r="G38" s="1"/>
      <c r="H38" s="68" t="s">
        <v>2</v>
      </c>
      <c r="I38" s="69"/>
      <c r="J38" s="70"/>
      <c r="K38" s="3"/>
      <c r="L38" s="2"/>
      <c r="M38" s="1"/>
      <c r="N38" s="8"/>
      <c r="O38" s="11"/>
      <c r="P38" s="9"/>
      <c r="Q38" s="2"/>
      <c r="R38" s="3"/>
      <c r="S38" s="3"/>
      <c r="T38" s="2"/>
      <c r="U38" s="2"/>
      <c r="V38" s="2"/>
      <c r="W38" s="2"/>
      <c r="X38" s="2"/>
      <c r="Y38" s="2"/>
      <c r="Z38" s="2"/>
    </row>
    <row r="39" ht="24.0" customHeight="1">
      <c r="A39" s="71"/>
      <c r="B39" s="72"/>
      <c r="C39" s="72"/>
      <c r="D39" s="72"/>
      <c r="E39" s="73"/>
      <c r="F39" s="2"/>
      <c r="G39" s="1"/>
      <c r="H39" s="74" t="str">
        <f>"PERFIL"&amp;" "&amp; J40</f>
        <v>PERFIL PRESS BANCA</v>
      </c>
      <c r="I39" s="75"/>
      <c r="J39" s="76"/>
      <c r="K39" s="3"/>
      <c r="L39" s="2"/>
      <c r="M39" s="1"/>
      <c r="N39" s="77" t="str">
        <f>'Perfil F-v PRESS BANCA'!J40</f>
        <v>PRESS BANCA</v>
      </c>
      <c r="O39" s="20"/>
      <c r="P39" s="20"/>
      <c r="Q39" s="78"/>
      <c r="R39" s="3"/>
      <c r="S39" s="3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61"/>
      <c r="D40" s="61"/>
      <c r="E40" s="79"/>
      <c r="F40" s="2"/>
      <c r="G40" s="1"/>
      <c r="H40" s="80"/>
      <c r="I40" s="81" t="s">
        <v>24</v>
      </c>
      <c r="J40" s="82" t="s">
        <v>4</v>
      </c>
      <c r="K40" s="3"/>
      <c r="L40" s="2"/>
      <c r="M40" s="1"/>
      <c r="N40" s="83" t="s">
        <v>25</v>
      </c>
      <c r="O40" s="78"/>
      <c r="P40" s="83" t="str">
        <f>FIXED(INTERCEPT('Perfil F-v PRESS BANCA'!J44:J48,'Perfil F-v PRESS BANCA'!I44:I48),4)</f>
        <v>1,0560</v>
      </c>
      <c r="Q40" s="78"/>
      <c r="R40" s="3"/>
      <c r="S40" s="3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3"/>
      <c r="F41" s="2"/>
      <c r="G41" s="1"/>
      <c r="H41" s="84" t="s">
        <v>26</v>
      </c>
      <c r="I41" s="81" t="s">
        <v>27</v>
      </c>
      <c r="J41" s="85">
        <v>0.19</v>
      </c>
      <c r="K41" s="3"/>
      <c r="L41" s="2"/>
      <c r="M41" s="1"/>
      <c r="N41" s="83" t="s">
        <v>28</v>
      </c>
      <c r="O41" s="78"/>
      <c r="P41" s="86" t="str">
        <f>FIXED(SLOPE('Perfil F-v PRESS BANCA'!J44:J48,'Perfil F-v PRESS BANCA'!I44:I48),4)</f>
        <v>-0,0078</v>
      </c>
      <c r="Q41" s="87"/>
      <c r="R41" s="3"/>
      <c r="S41" s="3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3"/>
      <c r="F42" s="2"/>
      <c r="G42" s="1"/>
      <c r="H42" s="88" t="s">
        <v>29</v>
      </c>
      <c r="I42" s="89" t="s">
        <v>30</v>
      </c>
      <c r="J42" s="78"/>
      <c r="K42" s="3"/>
      <c r="L42" s="2"/>
      <c r="M42" s="1"/>
      <c r="N42" s="83" t="s">
        <v>31</v>
      </c>
      <c r="O42" s="90"/>
      <c r="P42" s="91" t="str">
        <f>CONCATENATE("Y=",P41,"x +  ",P40)</f>
        <v>Y=-0,0078x +  1,0560</v>
      </c>
      <c r="Q42" s="6"/>
      <c r="R42" s="3"/>
      <c r="S42" s="3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3"/>
      <c r="F43" s="2"/>
      <c r="G43" s="1"/>
      <c r="H43" s="88" t="s">
        <v>32</v>
      </c>
      <c r="I43" s="92" t="s">
        <v>33</v>
      </c>
      <c r="J43" s="25" t="s">
        <v>34</v>
      </c>
      <c r="K43" s="3"/>
      <c r="L43" s="2"/>
      <c r="M43" s="1"/>
      <c r="N43" s="83" t="s">
        <v>35</v>
      </c>
      <c r="O43" s="78"/>
      <c r="P43" s="93" t="str">
        <f>CONCATENATE("X=((",P40,"-",'Perfil F-v PRESS BANCA'!$J$41,")/",-P41,")")</f>
        <v>X=((1,0560-0,19)/0,0078)</v>
      </c>
      <c r="Q43" s="94"/>
      <c r="R43" s="3"/>
      <c r="S43" s="3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3"/>
      <c r="F44" s="2"/>
      <c r="G44" s="1"/>
      <c r="H44" s="95">
        <v>0.75</v>
      </c>
      <c r="I44" s="96">
        <v>80.0</v>
      </c>
      <c r="J44" s="97">
        <v>0.43</v>
      </c>
      <c r="K44" s="3"/>
      <c r="L44" s="2"/>
      <c r="M44" s="1"/>
      <c r="N44" s="83" t="s">
        <v>36</v>
      </c>
      <c r="O44" s="78"/>
      <c r="P44" s="98">
        <f>-(P40-'Perfil F-v PRESS BANCA'!J41)/P41</f>
        <v>111.025641</v>
      </c>
      <c r="Q44" s="78"/>
      <c r="R44" s="3"/>
      <c r="S44" s="3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3"/>
      <c r="F45" s="2"/>
      <c r="G45" s="1"/>
      <c r="H45" s="95">
        <v>0.8</v>
      </c>
      <c r="I45" s="96">
        <v>85.0</v>
      </c>
      <c r="J45" s="97">
        <v>0.39</v>
      </c>
      <c r="K45" s="3"/>
      <c r="L45" s="2"/>
      <c r="M45" s="1"/>
      <c r="N45" s="83" t="s">
        <v>37</v>
      </c>
      <c r="O45" s="78"/>
      <c r="P45" s="99">
        <f>RSQ('Perfil F-v PRESS BANCA'!J44:J48,'Perfil F-v PRESS BANCA'!I44:I48)</f>
        <v>0.9928198433</v>
      </c>
      <c r="Q45" s="78"/>
      <c r="R45" s="3"/>
      <c r="S45" s="3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3"/>
      <c r="F46" s="2"/>
      <c r="G46" s="1"/>
      <c r="H46" s="95">
        <v>0.85</v>
      </c>
      <c r="I46" s="96">
        <v>90.0</v>
      </c>
      <c r="J46" s="97">
        <v>0.36</v>
      </c>
      <c r="K46" s="3"/>
      <c r="L46" s="2"/>
      <c r="M46" s="1"/>
      <c r="N46" s="2"/>
      <c r="O46" s="2"/>
      <c r="P46" s="2"/>
      <c r="Q46" s="2"/>
      <c r="R46" s="3"/>
      <c r="S46" s="3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3"/>
      <c r="F47" s="2"/>
      <c r="G47" s="1"/>
      <c r="H47" s="95">
        <v>0.9</v>
      </c>
      <c r="I47" s="96">
        <v>95.0</v>
      </c>
      <c r="J47" s="97">
        <v>0.32</v>
      </c>
      <c r="K47" s="3"/>
      <c r="L47" s="2"/>
      <c r="M47" s="1"/>
      <c r="N47" s="100" t="s">
        <v>38</v>
      </c>
      <c r="O47" s="20"/>
      <c r="P47" s="78"/>
      <c r="Q47" s="2"/>
      <c r="R47" s="3"/>
      <c r="S47" s="3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3"/>
      <c r="F48" s="2"/>
      <c r="G48" s="1"/>
      <c r="H48" s="95">
        <v>0.95</v>
      </c>
      <c r="I48" s="96">
        <v>100.0</v>
      </c>
      <c r="J48" s="97">
        <v>0.27</v>
      </c>
      <c r="K48" s="3"/>
      <c r="L48" s="2"/>
      <c r="M48" s="1"/>
      <c r="N48" s="25" t="s">
        <v>39</v>
      </c>
      <c r="O48" s="25" t="s">
        <v>40</v>
      </c>
      <c r="P48" s="25" t="s">
        <v>41</v>
      </c>
      <c r="Q48" s="2"/>
      <c r="R48" s="3"/>
      <c r="S48" s="3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3"/>
      <c r="F49" s="2"/>
      <c r="G49" s="1"/>
      <c r="H49" s="101" t="s">
        <v>42</v>
      </c>
      <c r="I49" s="25" t="s">
        <v>43</v>
      </c>
      <c r="J49" s="102">
        <f>'Perfil F-v PRESS BANCA'!P45</f>
        <v>0.9928198433</v>
      </c>
      <c r="K49" s="3"/>
      <c r="L49" s="2"/>
      <c r="M49" s="1"/>
      <c r="N49" s="103">
        <f>'Perfil F-v PRESS BANCA'!I44</f>
        <v>80</v>
      </c>
      <c r="O49" s="30">
        <f>(100*N49)/'Perfil F-v PRESS BANCA'!$P$44</f>
        <v>72.05542725</v>
      </c>
      <c r="P49" s="104">
        <f>'Perfil F-v PRESS BANCA'!J44</f>
        <v>0.43</v>
      </c>
      <c r="Q49" s="2"/>
      <c r="R49" s="3"/>
      <c r="S49" s="3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3"/>
      <c r="F50" s="2"/>
      <c r="G50" s="1"/>
      <c r="H50" s="2"/>
      <c r="I50" s="2"/>
      <c r="J50" s="2"/>
      <c r="K50" s="3"/>
      <c r="L50" s="2"/>
      <c r="M50" s="1"/>
      <c r="N50" s="103">
        <f>'Perfil F-v PRESS BANCA'!I45</f>
        <v>85</v>
      </c>
      <c r="O50" s="30">
        <f>(100*N50)/'Perfil F-v PRESS BANCA'!$P$44</f>
        <v>76.55889145</v>
      </c>
      <c r="P50" s="104">
        <f>'Perfil F-v PRESS BANCA'!J45</f>
        <v>0.39</v>
      </c>
      <c r="Q50" s="2"/>
      <c r="R50" s="3"/>
      <c r="S50" s="3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3"/>
      <c r="F51" s="2"/>
      <c r="G51" s="1"/>
      <c r="H51" s="105" t="s">
        <v>44</v>
      </c>
      <c r="I51" s="75"/>
      <c r="J51" s="76"/>
      <c r="K51" s="3"/>
      <c r="L51" s="2"/>
      <c r="M51" s="1"/>
      <c r="N51" s="103">
        <f>'Perfil F-v PRESS BANCA'!I46</f>
        <v>90</v>
      </c>
      <c r="O51" s="30">
        <f>(100*N51)/'Perfil F-v PRESS BANCA'!$P$44</f>
        <v>81.06235566</v>
      </c>
      <c r="P51" s="104">
        <f>'Perfil F-v PRESS BANCA'!J46</f>
        <v>0.36</v>
      </c>
      <c r="Q51" s="2"/>
      <c r="R51" s="3"/>
      <c r="S51" s="3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3"/>
      <c r="F52" s="2"/>
      <c r="G52" s="1"/>
      <c r="H52" s="105" t="s">
        <v>45</v>
      </c>
      <c r="I52" s="75"/>
      <c r="J52" s="76"/>
      <c r="K52" s="3"/>
      <c r="L52" s="2"/>
      <c r="M52" s="1"/>
      <c r="N52" s="103">
        <f>'Perfil F-v PRESS BANCA'!I47</f>
        <v>95</v>
      </c>
      <c r="O52" s="30">
        <f>(100*N52)/'Perfil F-v PRESS BANCA'!$P$44</f>
        <v>85.56581986</v>
      </c>
      <c r="P52" s="104">
        <f>'Perfil F-v PRESS BANCA'!J47</f>
        <v>0.32</v>
      </c>
      <c r="Q52" s="2"/>
      <c r="R52" s="3"/>
      <c r="S52" s="3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3"/>
      <c r="F53" s="2"/>
      <c r="G53" s="1"/>
      <c r="H53" s="106" t="s">
        <v>46</v>
      </c>
      <c r="I53" s="107"/>
      <c r="J53" s="108"/>
      <c r="K53" s="3"/>
      <c r="L53" s="2"/>
      <c r="M53" s="1"/>
      <c r="N53" s="103">
        <f>'Perfil F-v PRESS BANCA'!I48</f>
        <v>100</v>
      </c>
      <c r="O53" s="30">
        <f>(100*N53)/'Perfil F-v PRESS BANCA'!$P$44</f>
        <v>90.06928406</v>
      </c>
      <c r="P53" s="104">
        <f>'Perfil F-v PRESS BANCA'!J48</f>
        <v>0.27</v>
      </c>
      <c r="Q53" s="2"/>
      <c r="R53" s="3"/>
      <c r="S53" s="3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3"/>
      <c r="F54" s="2"/>
      <c r="G54" s="50"/>
      <c r="H54" s="109" t="s">
        <v>47</v>
      </c>
      <c r="I54" s="110"/>
      <c r="J54" s="111"/>
      <c r="K54" s="54"/>
      <c r="L54" s="2"/>
      <c r="M54" s="1"/>
      <c r="N54" s="30">
        <f>'Perfil F-v PRESS BANCA'!P44</f>
        <v>111.025641</v>
      </c>
      <c r="O54" s="25">
        <f>(100*N54)/'Perfil F-v PRESS BANCA'!$P$44</f>
        <v>100</v>
      </c>
      <c r="P54" s="104">
        <f>'Perfil F-v PRESS BANCA'!J41</f>
        <v>0.19</v>
      </c>
      <c r="Q54" s="2"/>
      <c r="R54" s="3"/>
      <c r="S54" s="3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1"/>
      <c r="N55" s="112" t="s">
        <v>48</v>
      </c>
      <c r="O55" s="25" t="str">
        <f>FIXED(INTERCEPT(P49:P54,O49:O54),4)</f>
        <v>1,0560</v>
      </c>
      <c r="P55" s="101"/>
      <c r="Q55" s="2"/>
      <c r="R55" s="3"/>
      <c r="S55" s="3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1"/>
      <c r="N56" s="112" t="s">
        <v>49</v>
      </c>
      <c r="O56" s="113" t="str">
        <f>FIXED(SLOPE(P49:P54,O49:O54),4)</f>
        <v>-0,0087</v>
      </c>
      <c r="P56" s="101"/>
      <c r="Q56" s="2"/>
      <c r="R56" s="3"/>
      <c r="S56" s="3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1"/>
      <c r="N57" s="114" t="s">
        <v>50</v>
      </c>
      <c r="O57" s="115" t="str">
        <f>CONCATENATE("Y=",O56,"x +  ",O55)</f>
        <v>Y=-0,0087x +  1,0560</v>
      </c>
      <c r="P57" s="101"/>
      <c r="Q57" s="2"/>
      <c r="R57" s="3"/>
      <c r="S57" s="3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50"/>
      <c r="N58" s="116" t="s">
        <v>51</v>
      </c>
      <c r="O58" s="117">
        <f>RSQ(P49:P54,O49:O54)</f>
        <v>0.9970848057</v>
      </c>
      <c r="P58" s="53"/>
      <c r="Q58" s="53"/>
      <c r="R58" s="54"/>
      <c r="S58" s="3"/>
      <c r="T58" s="2"/>
      <c r="U58" s="2"/>
      <c r="V58" s="2"/>
      <c r="W58" s="2"/>
      <c r="X58" s="2"/>
      <c r="Y58" s="2"/>
      <c r="Z58" s="2"/>
    </row>
    <row r="59" ht="13.5" customHeight="1">
      <c r="A59" s="1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2"/>
      <c r="U59" s="2"/>
      <c r="V59" s="2"/>
      <c r="W59" s="2"/>
      <c r="X59" s="2"/>
      <c r="Y59" s="2"/>
      <c r="Z59" s="2"/>
    </row>
    <row r="60" ht="15.0" customHeight="1">
      <c r="A60" s="1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2"/>
      <c r="U60" s="2"/>
      <c r="V60" s="2"/>
      <c r="W60" s="2"/>
      <c r="X60" s="2"/>
      <c r="Y60" s="2"/>
      <c r="Z60" s="2"/>
    </row>
    <row r="61" ht="25.5" customHeight="1">
      <c r="A61" s="1"/>
      <c r="B61" s="2"/>
      <c r="C61" s="2"/>
      <c r="D61" s="2"/>
      <c r="E61" s="3"/>
      <c r="F61" s="2"/>
      <c r="G61" s="118" t="s">
        <v>52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6"/>
      <c r="S61" s="3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3"/>
      <c r="F62" s="2"/>
      <c r="G62" s="119"/>
      <c r="H62" s="120"/>
      <c r="I62" s="120"/>
      <c r="J62" s="120"/>
      <c r="K62" s="121"/>
      <c r="L62" s="122" t="s">
        <v>53</v>
      </c>
      <c r="M62" s="15"/>
      <c r="N62" s="15"/>
      <c r="O62" s="15"/>
      <c r="P62" s="15"/>
      <c r="Q62" s="15"/>
      <c r="R62" s="16"/>
      <c r="S62" s="3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3"/>
      <c r="F63" s="2"/>
      <c r="G63" s="123"/>
      <c r="H63" s="124"/>
      <c r="I63" s="124"/>
      <c r="J63" s="125"/>
      <c r="K63" s="126"/>
      <c r="L63" s="127" t="s">
        <v>54</v>
      </c>
      <c r="M63" s="128" t="s">
        <v>55</v>
      </c>
      <c r="N63" s="78"/>
      <c r="O63" s="129" t="s">
        <v>56</v>
      </c>
      <c r="P63" s="78"/>
      <c r="Q63" s="130" t="s">
        <v>57</v>
      </c>
      <c r="R63" s="21"/>
      <c r="S63" s="3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3"/>
      <c r="F64" s="2"/>
      <c r="G64" s="131"/>
      <c r="H64" s="132"/>
      <c r="I64" s="132"/>
      <c r="J64" s="133" t="s">
        <v>58</v>
      </c>
      <c r="K64" s="134" t="s">
        <v>59</v>
      </c>
      <c r="L64" s="135" t="s">
        <v>60</v>
      </c>
      <c r="M64" s="136" t="s">
        <v>61</v>
      </c>
      <c r="N64" s="136" t="s">
        <v>62</v>
      </c>
      <c r="O64" s="137" t="s">
        <v>63</v>
      </c>
      <c r="P64" s="137" t="s">
        <v>64</v>
      </c>
      <c r="Q64" s="138" t="s">
        <v>65</v>
      </c>
      <c r="R64" s="139" t="s">
        <v>66</v>
      </c>
      <c r="S64" s="3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3"/>
      <c r="F65" s="2"/>
      <c r="G65" s="131"/>
      <c r="H65" s="132"/>
      <c r="I65" s="132"/>
      <c r="J65" s="140"/>
      <c r="K65" s="141" t="s">
        <v>67</v>
      </c>
      <c r="L65" s="135" t="s">
        <v>68</v>
      </c>
      <c r="M65" s="136" t="s">
        <v>69</v>
      </c>
      <c r="N65" s="136" t="s">
        <v>70</v>
      </c>
      <c r="O65" s="137" t="s">
        <v>71</v>
      </c>
      <c r="P65" s="137" t="s">
        <v>72</v>
      </c>
      <c r="Q65" s="138" t="s">
        <v>73</v>
      </c>
      <c r="R65" s="142" t="s">
        <v>74</v>
      </c>
      <c r="S65" s="3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3"/>
      <c r="F66" s="2"/>
      <c r="G66" s="143"/>
      <c r="H66" s="144"/>
      <c r="I66" s="144"/>
      <c r="J66" s="140"/>
      <c r="K66" s="145" t="s">
        <v>75</v>
      </c>
      <c r="L66" s="146">
        <v>0.0</v>
      </c>
      <c r="M66" s="147">
        <v>1.0</v>
      </c>
      <c r="N66" s="147">
        <v>2.0</v>
      </c>
      <c r="O66" s="148">
        <v>3.0</v>
      </c>
      <c r="P66" s="148">
        <v>4.0</v>
      </c>
      <c r="Q66" s="149">
        <v>5.0</v>
      </c>
      <c r="R66" s="150">
        <v>6.0</v>
      </c>
      <c r="S66" s="3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3"/>
      <c r="F67" s="2"/>
      <c r="G67" s="151"/>
      <c r="H67" s="152"/>
      <c r="I67" s="152"/>
      <c r="J67" s="153"/>
      <c r="K67" s="154"/>
      <c r="L67" s="154"/>
      <c r="M67" s="154"/>
      <c r="N67" s="154"/>
      <c r="O67" s="154"/>
      <c r="P67" s="154"/>
      <c r="Q67" s="154"/>
      <c r="R67" s="155"/>
      <c r="S67" s="3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3"/>
      <c r="F68" s="2"/>
      <c r="G68" s="133" t="s">
        <v>76</v>
      </c>
      <c r="H68" s="156" t="s">
        <v>8</v>
      </c>
      <c r="I68" s="157" t="s">
        <v>77</v>
      </c>
      <c r="J68" s="94"/>
      <c r="K68" s="158" t="s">
        <v>78</v>
      </c>
      <c r="L68" s="159">
        <f>J70</f>
        <v>0.19</v>
      </c>
      <c r="M68" s="159">
        <f>J71</f>
        <v>0.2375</v>
      </c>
      <c r="N68" s="159">
        <f>J72</f>
        <v>0.296875</v>
      </c>
      <c r="O68" s="159">
        <f>J73</f>
        <v>0.35625</v>
      </c>
      <c r="P68" s="159">
        <f>J74</f>
        <v>0.40375</v>
      </c>
      <c r="Q68" s="159">
        <f>J75</f>
        <v>0.463125</v>
      </c>
      <c r="R68" s="160">
        <f>J76</f>
        <v>0.49875</v>
      </c>
      <c r="S68" s="3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3"/>
      <c r="F69" s="2"/>
      <c r="G69" s="153"/>
      <c r="H69" s="154"/>
      <c r="I69" s="161" t="s">
        <v>79</v>
      </c>
      <c r="J69" s="162" t="s">
        <v>80</v>
      </c>
      <c r="K69" s="78"/>
      <c r="L69" s="163" t="s">
        <v>81</v>
      </c>
      <c r="M69" s="20"/>
      <c r="N69" s="20"/>
      <c r="O69" s="20"/>
      <c r="P69" s="20"/>
      <c r="Q69" s="20"/>
      <c r="R69" s="21"/>
      <c r="S69" s="3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3"/>
      <c r="F70" s="2"/>
      <c r="G70" s="164" t="s">
        <v>82</v>
      </c>
      <c r="H70" s="165" t="s">
        <v>83</v>
      </c>
      <c r="I70" s="166" t="s">
        <v>84</v>
      </c>
      <c r="J70" s="167">
        <f>J41</f>
        <v>0.19</v>
      </c>
      <c r="K70" s="78"/>
      <c r="L70" s="168">
        <v>1.0</v>
      </c>
      <c r="M70" s="169"/>
      <c r="N70" s="170"/>
      <c r="O70" s="170"/>
      <c r="P70" s="170"/>
      <c r="Q70" s="170"/>
      <c r="R70" s="171"/>
      <c r="S70" s="3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3"/>
      <c r="F71" s="2"/>
      <c r="G71" s="140"/>
      <c r="H71" s="172" t="s">
        <v>85</v>
      </c>
      <c r="I71" s="173"/>
      <c r="J71" s="167">
        <f>J70*J93</f>
        <v>0.2375</v>
      </c>
      <c r="K71" s="78"/>
      <c r="L71" s="174">
        <v>2.0</v>
      </c>
      <c r="M71" s="175">
        <v>1.0</v>
      </c>
      <c r="N71" s="170"/>
      <c r="O71" s="170"/>
      <c r="P71" s="170"/>
      <c r="Q71" s="170"/>
      <c r="R71" s="171"/>
      <c r="S71" s="3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3"/>
      <c r="F72" s="2"/>
      <c r="G72" s="153"/>
      <c r="H72" s="172" t="s">
        <v>86</v>
      </c>
      <c r="I72" s="173"/>
      <c r="J72" s="167">
        <f>J70*J94</f>
        <v>0.296875</v>
      </c>
      <c r="K72" s="78"/>
      <c r="L72" s="174">
        <v>3.0</v>
      </c>
      <c r="M72" s="175">
        <v>2.0</v>
      </c>
      <c r="N72" s="175">
        <v>1.0</v>
      </c>
      <c r="O72" s="170"/>
      <c r="P72" s="170"/>
      <c r="Q72" s="170"/>
      <c r="R72" s="171"/>
      <c r="S72" s="3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3"/>
      <c r="F73" s="2"/>
      <c r="G73" s="176" t="s">
        <v>87</v>
      </c>
      <c r="H73" s="177" t="s">
        <v>88</v>
      </c>
      <c r="I73" s="173"/>
      <c r="J73" s="167">
        <f>J70*J95</f>
        <v>0.35625</v>
      </c>
      <c r="K73" s="78"/>
      <c r="L73" s="174">
        <v>4.0</v>
      </c>
      <c r="M73" s="175">
        <v>3.0</v>
      </c>
      <c r="N73" s="175">
        <v>2.0</v>
      </c>
      <c r="O73" s="178">
        <v>1.0</v>
      </c>
      <c r="P73" s="170"/>
      <c r="Q73" s="170"/>
      <c r="R73" s="171"/>
      <c r="S73" s="3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3"/>
      <c r="F74" s="2"/>
      <c r="G74" s="140"/>
      <c r="H74" s="177" t="s">
        <v>89</v>
      </c>
      <c r="I74" s="173"/>
      <c r="J74" s="167">
        <f>J70*J96</f>
        <v>0.40375</v>
      </c>
      <c r="K74" s="78"/>
      <c r="L74" s="174">
        <v>5.0</v>
      </c>
      <c r="M74" s="175">
        <v>4.0</v>
      </c>
      <c r="N74" s="175">
        <v>3.0</v>
      </c>
      <c r="O74" s="178">
        <v>2.0</v>
      </c>
      <c r="P74" s="178">
        <v>1.0</v>
      </c>
      <c r="Q74" s="170"/>
      <c r="R74" s="171"/>
      <c r="S74" s="3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3"/>
      <c r="F75" s="2"/>
      <c r="G75" s="140"/>
      <c r="H75" s="177" t="s">
        <v>90</v>
      </c>
      <c r="I75" s="154"/>
      <c r="J75" s="167">
        <f>J70*J97</f>
        <v>0.463125</v>
      </c>
      <c r="K75" s="78"/>
      <c r="L75" s="174">
        <v>6.0</v>
      </c>
      <c r="M75" s="175">
        <v>5.0</v>
      </c>
      <c r="N75" s="175">
        <v>4.0</v>
      </c>
      <c r="O75" s="178">
        <v>3.0</v>
      </c>
      <c r="P75" s="178">
        <v>2.0</v>
      </c>
      <c r="Q75" s="179">
        <v>1.0</v>
      </c>
      <c r="R75" s="171"/>
      <c r="S75" s="3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3"/>
      <c r="F76" s="2"/>
      <c r="G76" s="153"/>
      <c r="H76" s="177" t="s">
        <v>91</v>
      </c>
      <c r="I76" s="180" t="s">
        <v>92</v>
      </c>
      <c r="J76" s="167">
        <f>J70*J98</f>
        <v>0.49875</v>
      </c>
      <c r="K76" s="78"/>
      <c r="L76" s="174">
        <v>7.0</v>
      </c>
      <c r="M76" s="175">
        <v>6.0</v>
      </c>
      <c r="N76" s="175">
        <v>5.0</v>
      </c>
      <c r="O76" s="178">
        <v>4.0</v>
      </c>
      <c r="P76" s="178">
        <v>3.0</v>
      </c>
      <c r="Q76" s="179">
        <v>2.0</v>
      </c>
      <c r="R76" s="181">
        <v>1.0</v>
      </c>
      <c r="S76" s="3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3"/>
      <c r="F77" s="2"/>
      <c r="G77" s="182" t="s">
        <v>57</v>
      </c>
      <c r="H77" s="183" t="s">
        <v>93</v>
      </c>
      <c r="I77" s="173"/>
      <c r="J77" s="167">
        <f>J70*J99</f>
        <v>0.54625</v>
      </c>
      <c r="K77" s="78"/>
      <c r="L77" s="174">
        <v>8.0</v>
      </c>
      <c r="M77" s="175">
        <v>7.0</v>
      </c>
      <c r="N77" s="175">
        <v>6.0</v>
      </c>
      <c r="O77" s="178">
        <v>5.0</v>
      </c>
      <c r="P77" s="178">
        <v>4.0</v>
      </c>
      <c r="Q77" s="179">
        <v>3.0</v>
      </c>
      <c r="R77" s="181">
        <v>2.0</v>
      </c>
      <c r="S77" s="3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3"/>
      <c r="F78" s="2"/>
      <c r="G78" s="140"/>
      <c r="H78" s="183" t="s">
        <v>94</v>
      </c>
      <c r="I78" s="173"/>
      <c r="J78" s="167">
        <f>J70*J100</f>
        <v>0.605625</v>
      </c>
      <c r="K78" s="78"/>
      <c r="L78" s="174">
        <v>9.0</v>
      </c>
      <c r="M78" s="175">
        <v>8.0</v>
      </c>
      <c r="N78" s="175">
        <v>7.0</v>
      </c>
      <c r="O78" s="178">
        <v>6.0</v>
      </c>
      <c r="P78" s="178">
        <v>5.0</v>
      </c>
      <c r="Q78" s="179">
        <v>4.0</v>
      </c>
      <c r="R78" s="181">
        <v>3.0</v>
      </c>
      <c r="S78" s="3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3"/>
      <c r="F79" s="2"/>
      <c r="G79" s="140"/>
      <c r="H79" s="183" t="s">
        <v>95</v>
      </c>
      <c r="I79" s="173"/>
      <c r="J79" s="167">
        <f>J70*J101</f>
        <v>0.665</v>
      </c>
      <c r="K79" s="78"/>
      <c r="L79" s="174">
        <v>10.0</v>
      </c>
      <c r="M79" s="175">
        <v>9.0</v>
      </c>
      <c r="N79" s="175">
        <v>8.0</v>
      </c>
      <c r="O79" s="178">
        <v>7.0</v>
      </c>
      <c r="P79" s="178">
        <v>6.0</v>
      </c>
      <c r="Q79" s="179">
        <v>5.0</v>
      </c>
      <c r="R79" s="181">
        <v>4.0</v>
      </c>
      <c r="S79" s="3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3"/>
      <c r="F80" s="2"/>
      <c r="G80" s="140"/>
      <c r="H80" s="183" t="s">
        <v>96</v>
      </c>
      <c r="I80" s="173"/>
      <c r="J80" s="167">
        <f>J70*J102</f>
        <v>0.7125</v>
      </c>
      <c r="K80" s="78"/>
      <c r="L80" s="174">
        <v>11.0</v>
      </c>
      <c r="M80" s="175">
        <v>10.0</v>
      </c>
      <c r="N80" s="175">
        <v>9.0</v>
      </c>
      <c r="O80" s="178">
        <v>8.0</v>
      </c>
      <c r="P80" s="178">
        <v>7.0</v>
      </c>
      <c r="Q80" s="179">
        <v>6.0</v>
      </c>
      <c r="R80" s="181">
        <v>5.0</v>
      </c>
      <c r="S80" s="3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3"/>
      <c r="F81" s="2"/>
      <c r="G81" s="153"/>
      <c r="H81" s="183" t="s">
        <v>97</v>
      </c>
      <c r="I81" s="173"/>
      <c r="J81" s="167">
        <f>J70*J103</f>
        <v>0.78375</v>
      </c>
      <c r="K81" s="78"/>
      <c r="L81" s="174">
        <v>12.0</v>
      </c>
      <c r="M81" s="175">
        <v>11.0</v>
      </c>
      <c r="N81" s="175">
        <v>10.0</v>
      </c>
      <c r="O81" s="178">
        <v>9.0</v>
      </c>
      <c r="P81" s="178">
        <v>8.0</v>
      </c>
      <c r="Q81" s="179">
        <v>7.0</v>
      </c>
      <c r="R81" s="181">
        <v>6.0</v>
      </c>
      <c r="S81" s="3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3"/>
      <c r="F82" s="2"/>
      <c r="G82" s="184" t="s">
        <v>98</v>
      </c>
      <c r="H82" s="185" t="s">
        <v>99</v>
      </c>
      <c r="I82" s="173"/>
      <c r="J82" s="167">
        <f>J70*J104</f>
        <v>0.83125</v>
      </c>
      <c r="K82" s="78"/>
      <c r="L82" s="174">
        <v>13.0</v>
      </c>
      <c r="M82" s="175">
        <v>12.0</v>
      </c>
      <c r="N82" s="175">
        <v>11.0</v>
      </c>
      <c r="O82" s="178">
        <v>10.0</v>
      </c>
      <c r="P82" s="178">
        <v>9.0</v>
      </c>
      <c r="Q82" s="179">
        <v>8.0</v>
      </c>
      <c r="R82" s="181">
        <v>7.0</v>
      </c>
      <c r="S82" s="3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3"/>
      <c r="F83" s="2"/>
      <c r="G83" s="140"/>
      <c r="H83" s="185" t="s">
        <v>100</v>
      </c>
      <c r="I83" s="154"/>
      <c r="J83" s="167">
        <f>J70*J105</f>
        <v>0.87875</v>
      </c>
      <c r="K83" s="78"/>
      <c r="L83" s="174">
        <v>14.0</v>
      </c>
      <c r="M83" s="175">
        <v>13.0</v>
      </c>
      <c r="N83" s="175">
        <v>12.0</v>
      </c>
      <c r="O83" s="178">
        <v>11.0</v>
      </c>
      <c r="P83" s="178">
        <v>10.0</v>
      </c>
      <c r="Q83" s="179">
        <v>9.0</v>
      </c>
      <c r="R83" s="181">
        <v>8.0</v>
      </c>
      <c r="S83" s="3"/>
      <c r="T83" s="2"/>
      <c r="U83" s="2"/>
      <c r="V83" s="2"/>
      <c r="W83" s="2"/>
      <c r="X83" s="2"/>
      <c r="Y83" s="2"/>
      <c r="Z83" s="2"/>
    </row>
    <row r="84" ht="15.75" customHeight="1">
      <c r="A84" s="186" t="str">
        <f>'Perfil F-v PRESS BANCA'!$B$21</f>
        <v/>
      </c>
      <c r="B84" s="2"/>
      <c r="C84" s="2"/>
      <c r="D84" s="2"/>
      <c r="E84" s="187" t="str">
        <f>'Perfil F-v PRESS BANCA'!$C$21</f>
        <v/>
      </c>
      <c r="F84" s="2"/>
      <c r="G84" s="140"/>
      <c r="H84" s="185" t="s">
        <v>101</v>
      </c>
      <c r="I84" s="188" t="s">
        <v>102</v>
      </c>
      <c r="J84" s="167">
        <f>J70*J106</f>
        <v>0.938125</v>
      </c>
      <c r="K84" s="78"/>
      <c r="L84" s="174">
        <v>15.0</v>
      </c>
      <c r="M84" s="175">
        <v>14.0</v>
      </c>
      <c r="N84" s="175">
        <v>13.0</v>
      </c>
      <c r="O84" s="178">
        <v>12.0</v>
      </c>
      <c r="P84" s="178">
        <v>11.0</v>
      </c>
      <c r="Q84" s="179">
        <v>10.0</v>
      </c>
      <c r="R84" s="181">
        <v>9.0</v>
      </c>
      <c r="S84" s="3"/>
      <c r="T84" s="2"/>
      <c r="U84" s="2"/>
      <c r="V84" s="2"/>
      <c r="W84" s="2"/>
      <c r="X84" s="2"/>
      <c r="Y84" s="2"/>
      <c r="Z84" s="2"/>
    </row>
    <row r="85" ht="15.75" customHeight="1">
      <c r="A85" s="189"/>
      <c r="B85" s="53"/>
      <c r="C85" s="53"/>
      <c r="D85" s="53"/>
      <c r="E85" s="190"/>
      <c r="F85" s="2"/>
      <c r="G85" s="140"/>
      <c r="H85" s="185" t="s">
        <v>103</v>
      </c>
      <c r="I85" s="173"/>
      <c r="J85" s="167">
        <f>J70*J107</f>
        <v>0.9975</v>
      </c>
      <c r="K85" s="78"/>
      <c r="L85" s="174">
        <v>16.0</v>
      </c>
      <c r="M85" s="175">
        <v>15.0</v>
      </c>
      <c r="N85" s="175">
        <v>14.0</v>
      </c>
      <c r="O85" s="178">
        <v>13.0</v>
      </c>
      <c r="P85" s="178">
        <v>12.0</v>
      </c>
      <c r="Q85" s="179">
        <v>11.0</v>
      </c>
      <c r="R85" s="181">
        <v>10.0</v>
      </c>
      <c r="S85" s="3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140"/>
      <c r="H86" s="185" t="s">
        <v>104</v>
      </c>
      <c r="I86" s="173"/>
      <c r="J86" s="167">
        <f>J70*J108</f>
        <v>1.056875</v>
      </c>
      <c r="K86" s="78"/>
      <c r="L86" s="174">
        <v>17.0</v>
      </c>
      <c r="M86" s="175">
        <v>16.0</v>
      </c>
      <c r="N86" s="175">
        <v>15.0</v>
      </c>
      <c r="O86" s="178">
        <v>14.0</v>
      </c>
      <c r="P86" s="178">
        <v>13.0</v>
      </c>
      <c r="Q86" s="179">
        <v>12.0</v>
      </c>
      <c r="R86" s="181">
        <v>11.0</v>
      </c>
      <c r="S86" s="3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191"/>
      <c r="H87" s="192" t="s">
        <v>105</v>
      </c>
      <c r="I87" s="193"/>
      <c r="J87" s="194">
        <f>J70*J109</f>
        <v>1.104375</v>
      </c>
      <c r="K87" s="195"/>
      <c r="L87" s="196">
        <v>18.0</v>
      </c>
      <c r="M87" s="197">
        <v>17.0</v>
      </c>
      <c r="N87" s="197">
        <v>16.0</v>
      </c>
      <c r="O87" s="198">
        <v>15.0</v>
      </c>
      <c r="P87" s="198">
        <v>14.0</v>
      </c>
      <c r="Q87" s="199">
        <v>13.0</v>
      </c>
      <c r="R87" s="200">
        <v>12.0</v>
      </c>
      <c r="S87" s="3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2"/>
      <c r="U88" s="2"/>
      <c r="V88" s="2"/>
      <c r="W88" s="2"/>
      <c r="X88" s="2"/>
      <c r="Y88" s="2"/>
      <c r="Z88" s="2"/>
    </row>
    <row r="89" ht="15.75" customHeight="1">
      <c r="A89" s="50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4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01">
        <v>1.25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01">
        <v>1.5625</v>
      </c>
      <c r="K94" s="2"/>
      <c r="L94" s="2"/>
      <c r="M94" s="2"/>
      <c r="N94" s="2"/>
      <c r="O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01">
        <v>1.875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01">
        <v>2.125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01">
        <v>2.4375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01">
        <v>2.625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01">
        <v>2.875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01">
        <v>3.1875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01">
        <v>3.5000000000000004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01">
        <v>3.75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01">
        <v>4.125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01">
        <v>4.375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01">
        <v>4.625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02" t="str">
        <f>'Perfil F-v PRESS BANCA'!$B$21</f>
        <v/>
      </c>
      <c r="C106" s="201"/>
      <c r="D106" s="202" t="str">
        <f>'Perfil F-v PRESS BANCA'!$C$21</f>
        <v/>
      </c>
      <c r="E106" s="2"/>
      <c r="F106" s="2"/>
      <c r="G106" s="2"/>
      <c r="H106" s="2"/>
      <c r="I106" s="2"/>
      <c r="J106" s="201">
        <v>4.9375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01">
        <v>5.25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01">
        <v>5.5625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01">
        <v>5.8125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02" t="str">
        <f>'Perfil F-v PRESS BANCA'!$B$21</f>
        <v/>
      </c>
      <c r="C131" s="2"/>
      <c r="D131" s="5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6">
    <mergeCell ref="G5:K5"/>
    <mergeCell ref="M5:N5"/>
    <mergeCell ref="O5:Q5"/>
    <mergeCell ref="A2:E2"/>
    <mergeCell ref="G2:K2"/>
    <mergeCell ref="B3:C3"/>
    <mergeCell ref="G3:K3"/>
    <mergeCell ref="B4:C4"/>
    <mergeCell ref="G4:K4"/>
    <mergeCell ref="B5:C5"/>
    <mergeCell ref="G36:K36"/>
    <mergeCell ref="H37:J37"/>
    <mergeCell ref="N37:P37"/>
    <mergeCell ref="H38:J38"/>
    <mergeCell ref="N38:P38"/>
    <mergeCell ref="B6:C6"/>
    <mergeCell ref="B13:C13"/>
    <mergeCell ref="B19:C19"/>
    <mergeCell ref="B20:C20"/>
    <mergeCell ref="A36:E36"/>
    <mergeCell ref="M36:R36"/>
    <mergeCell ref="A37:E39"/>
    <mergeCell ref="H39:J39"/>
    <mergeCell ref="N39:Q39"/>
    <mergeCell ref="N40:O40"/>
    <mergeCell ref="P40:Q40"/>
    <mergeCell ref="N41:O41"/>
    <mergeCell ref="P41:Q41"/>
    <mergeCell ref="I42:J42"/>
    <mergeCell ref="N42:O42"/>
    <mergeCell ref="P42:Q42"/>
    <mergeCell ref="N43:O43"/>
    <mergeCell ref="P43:Q43"/>
    <mergeCell ref="N44:O44"/>
    <mergeCell ref="P44:Q44"/>
    <mergeCell ref="P45:Q45"/>
    <mergeCell ref="J85:K85"/>
    <mergeCell ref="J86:K86"/>
    <mergeCell ref="J78:K78"/>
    <mergeCell ref="J79:K79"/>
    <mergeCell ref="J80:K80"/>
    <mergeCell ref="J81:K81"/>
    <mergeCell ref="J82:K82"/>
    <mergeCell ref="J83:K83"/>
    <mergeCell ref="J84:K84"/>
    <mergeCell ref="N45:O45"/>
    <mergeCell ref="N47:P47"/>
    <mergeCell ref="H51:J51"/>
    <mergeCell ref="H52:J52"/>
    <mergeCell ref="H53:J53"/>
    <mergeCell ref="H54:J54"/>
    <mergeCell ref="G61:R61"/>
    <mergeCell ref="O66:O67"/>
    <mergeCell ref="P66:P67"/>
    <mergeCell ref="Q66:Q67"/>
    <mergeCell ref="R66:R67"/>
    <mergeCell ref="L62:R62"/>
    <mergeCell ref="M63:N63"/>
    <mergeCell ref="O63:P63"/>
    <mergeCell ref="Q63:R63"/>
    <mergeCell ref="J64:J67"/>
    <mergeCell ref="K66:K67"/>
    <mergeCell ref="L66:L67"/>
    <mergeCell ref="I68:J68"/>
    <mergeCell ref="I70:I75"/>
    <mergeCell ref="G73:G76"/>
    <mergeCell ref="I76:I83"/>
    <mergeCell ref="G77:G81"/>
    <mergeCell ref="G82:G87"/>
    <mergeCell ref="I84:I87"/>
    <mergeCell ref="M66:M67"/>
    <mergeCell ref="N66:N67"/>
    <mergeCell ref="G68:G69"/>
    <mergeCell ref="H68:H69"/>
    <mergeCell ref="J69:K69"/>
    <mergeCell ref="L69:R69"/>
    <mergeCell ref="G70:G72"/>
    <mergeCell ref="J72:K72"/>
    <mergeCell ref="J70:K70"/>
    <mergeCell ref="J71:K71"/>
    <mergeCell ref="J73:K73"/>
    <mergeCell ref="J74:K74"/>
    <mergeCell ref="J75:K75"/>
    <mergeCell ref="J76:K76"/>
    <mergeCell ref="J77:K77"/>
    <mergeCell ref="J87:K87"/>
  </mergeCells>
  <conditionalFormatting sqref="K7:K32">
    <cfRule type="expression" dxfId="0" priority="1">
      <formula>ISERROR(K7)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19.43"/>
    <col customWidth="1" min="3" max="3" width="19.57"/>
    <col customWidth="1" min="4" max="4" width="19.86"/>
    <col customWidth="1" min="5" max="5" width="11.43"/>
    <col customWidth="1" min="6" max="7" width="17.43"/>
    <col customWidth="1" min="8" max="8" width="15.43"/>
    <col customWidth="1" min="9" max="9" width="24.57"/>
    <col customWidth="1" min="10" max="10" width="22.43"/>
    <col customWidth="1" min="11" max="11" width="14.86"/>
    <col customWidth="1" min="12" max="12" width="16.43"/>
    <col customWidth="1" min="13" max="13" width="11.86"/>
    <col customWidth="1" min="14" max="14" width="11.43"/>
    <col customWidth="1" min="15" max="15" width="17.43"/>
    <col customWidth="1" min="16" max="16" width="24.43"/>
    <col customWidth="1" min="17" max="17" width="25.43"/>
    <col customWidth="1" min="18" max="26" width="11.43"/>
  </cols>
  <sheetData>
    <row r="1">
      <c r="A1" s="203" t="s">
        <v>106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5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2"/>
      <c r="W2" s="2"/>
      <c r="X2" s="2"/>
      <c r="Y2" s="2"/>
      <c r="Z2" s="2"/>
    </row>
    <row r="3">
      <c r="A3" s="206" t="s">
        <v>0</v>
      </c>
      <c r="B3" s="5"/>
      <c r="C3" s="5"/>
      <c r="D3" s="5"/>
      <c r="E3" s="5"/>
      <c r="F3" s="6"/>
      <c r="G3" s="2"/>
      <c r="H3" s="206" t="s">
        <v>1</v>
      </c>
      <c r="I3" s="5"/>
      <c r="J3" s="5"/>
      <c r="K3" s="5"/>
      <c r="L3" s="6"/>
      <c r="M3" s="2"/>
      <c r="N3" s="2"/>
      <c r="O3" s="2"/>
      <c r="P3" s="2"/>
      <c r="Q3" s="2"/>
      <c r="R3" s="2"/>
      <c r="S3" s="2"/>
      <c r="T3" s="3"/>
      <c r="U3" s="2"/>
      <c r="V3" s="2"/>
      <c r="W3" s="2"/>
      <c r="X3" s="2"/>
      <c r="Y3" s="2"/>
      <c r="Z3" s="2"/>
    </row>
    <row r="4">
      <c r="A4" s="1"/>
      <c r="B4" s="8"/>
      <c r="C4" s="9"/>
      <c r="D4" s="2"/>
      <c r="E4" s="2"/>
      <c r="F4" s="3"/>
      <c r="G4" s="2"/>
      <c r="H4" s="10"/>
      <c r="I4" s="11"/>
      <c r="J4" s="11"/>
      <c r="K4" s="11"/>
      <c r="L4" s="12"/>
      <c r="M4" s="2"/>
      <c r="N4" s="2" t="s">
        <v>107</v>
      </c>
      <c r="O4" s="2"/>
      <c r="P4" s="2"/>
      <c r="Q4" s="2"/>
      <c r="R4" s="2"/>
      <c r="S4" s="2"/>
      <c r="T4" s="3"/>
      <c r="U4" s="2"/>
      <c r="V4" s="2"/>
      <c r="W4" s="2"/>
      <c r="X4" s="2"/>
      <c r="Y4" s="2"/>
      <c r="Z4" s="2"/>
    </row>
    <row r="5">
      <c r="A5" s="1"/>
      <c r="B5" s="207" t="s">
        <v>2</v>
      </c>
      <c r="C5" s="208"/>
      <c r="D5" s="2"/>
      <c r="E5" s="2"/>
      <c r="F5" s="3"/>
      <c r="G5" s="2"/>
      <c r="H5" s="209" t="s">
        <v>2</v>
      </c>
      <c r="I5" s="15"/>
      <c r="J5" s="15"/>
      <c r="K5" s="15"/>
      <c r="L5" s="16"/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</row>
    <row r="6">
      <c r="A6" s="1"/>
      <c r="B6" s="17" t="s">
        <v>3</v>
      </c>
      <c r="C6" s="18"/>
      <c r="D6" s="2"/>
      <c r="E6" s="2"/>
      <c r="F6" s="3"/>
      <c r="G6" s="2"/>
      <c r="H6" s="19" t="str">
        <f>"EVOLUCIÓN 1RM"&amp;"-"&amp;'Perfil F-v SENTADILLA'!K41</f>
        <v>EVOLUCIÓN 1RM-SENTADILLA</v>
      </c>
      <c r="I6" s="20"/>
      <c r="J6" s="20"/>
      <c r="K6" s="20"/>
      <c r="L6" s="21"/>
      <c r="M6" s="2"/>
      <c r="N6" s="22" t="s">
        <v>108</v>
      </c>
      <c r="O6" s="9"/>
      <c r="P6" s="23"/>
      <c r="Q6" s="11"/>
      <c r="R6" s="9"/>
      <c r="S6" s="2"/>
      <c r="T6" s="3"/>
      <c r="U6" s="2"/>
      <c r="V6" s="2"/>
      <c r="W6" s="2"/>
      <c r="X6" s="2"/>
      <c r="Y6" s="2"/>
      <c r="Z6" s="2"/>
    </row>
    <row r="7">
      <c r="A7" s="1"/>
      <c r="B7" s="19" t="str">
        <f>'Perfil F-v SENTADILLA'!K41</f>
        <v>SENTADILLA</v>
      </c>
      <c r="C7" s="21"/>
      <c r="D7" s="2"/>
      <c r="E7" s="2"/>
      <c r="F7" s="3"/>
      <c r="G7" s="2"/>
      <c r="H7" s="24" t="s">
        <v>5</v>
      </c>
      <c r="I7" s="25" t="s">
        <v>6</v>
      </c>
      <c r="J7" s="25" t="s">
        <v>7</v>
      </c>
      <c r="K7" s="25" t="s">
        <v>8</v>
      </c>
      <c r="L7" s="26" t="s">
        <v>9</v>
      </c>
      <c r="M7" s="2"/>
      <c r="N7" s="2" t="s">
        <v>109</v>
      </c>
      <c r="O7" s="27"/>
      <c r="P7" s="2"/>
      <c r="Q7" s="2"/>
      <c r="R7" s="2"/>
      <c r="S7" s="2"/>
      <c r="T7" s="3"/>
      <c r="U7" s="2"/>
      <c r="V7" s="2"/>
      <c r="W7" s="2"/>
      <c r="X7" s="2"/>
      <c r="Y7" s="2"/>
      <c r="Z7" s="2"/>
    </row>
    <row r="8">
      <c r="A8" s="1"/>
      <c r="B8" s="24" t="s">
        <v>10</v>
      </c>
      <c r="C8" s="26" t="s">
        <v>11</v>
      </c>
      <c r="D8" s="2"/>
      <c r="E8" s="2"/>
      <c r="F8" s="3"/>
      <c r="G8" s="2"/>
      <c r="H8" s="28">
        <v>43924.0</v>
      </c>
      <c r="I8" s="29">
        <v>85.0</v>
      </c>
      <c r="J8" s="29">
        <v>0.69</v>
      </c>
      <c r="K8" s="30">
        <f>IF((J8=""),(""),((('Perfil F-v SENTADILLA'!$P$56-J8)/-'Perfil F-v SENTADILLA'!$P$57)))</f>
        <v>64.0776699</v>
      </c>
      <c r="L8" s="31">
        <f t="shared" ref="L8:L33" si="1">IF((J8=""),(NA()),((I8*100)/K8))</f>
        <v>132.6515152</v>
      </c>
      <c r="M8" s="2"/>
      <c r="N8" s="32" t="s">
        <v>110</v>
      </c>
      <c r="O8" s="32"/>
      <c r="P8" s="2"/>
      <c r="Q8" s="2"/>
      <c r="R8" s="2"/>
      <c r="S8" s="2"/>
      <c r="T8" s="3"/>
      <c r="U8" s="2"/>
      <c r="V8" s="2"/>
      <c r="W8" s="2"/>
      <c r="X8" s="2"/>
      <c r="Y8" s="2"/>
      <c r="Z8" s="2"/>
    </row>
    <row r="9">
      <c r="A9" s="1"/>
      <c r="B9" s="33">
        <v>85.0</v>
      </c>
      <c r="C9" s="34">
        <v>0.69</v>
      </c>
      <c r="D9" s="2"/>
      <c r="E9" s="2"/>
      <c r="F9" s="3"/>
      <c r="G9" s="2"/>
      <c r="H9" s="28">
        <v>43925.0</v>
      </c>
      <c r="I9" s="29">
        <v>85.0</v>
      </c>
      <c r="J9" s="29">
        <v>0.74</v>
      </c>
      <c r="K9" s="30">
        <f>IF((J9=""),(""),((('Perfil F-v SENTADILLA'!$P$56-J9)/-'Perfil F-v SENTADILLA'!$P$57)))</f>
        <v>59.22330097</v>
      </c>
      <c r="L9" s="31">
        <f t="shared" si="1"/>
        <v>143.5245902</v>
      </c>
      <c r="M9" s="2"/>
      <c r="N9" s="32" t="s">
        <v>111</v>
      </c>
      <c r="O9" s="32"/>
      <c r="P9" s="2"/>
      <c r="Q9" s="2"/>
      <c r="R9" s="2"/>
      <c r="S9" s="2"/>
      <c r="T9" s="3"/>
      <c r="U9" s="2"/>
      <c r="V9" s="2"/>
      <c r="W9" s="2"/>
      <c r="X9" s="2"/>
      <c r="Y9" s="2"/>
      <c r="Z9" s="2"/>
    </row>
    <row r="10" ht="15.0" customHeight="1">
      <c r="A10" s="1"/>
      <c r="B10" s="24" t="s">
        <v>12</v>
      </c>
      <c r="C10" s="26" t="str">
        <f>(FIXED((('Perfil F-v SENTADILLA'!P56-C9)/-'Perfil F-v SENTADILLA'!P57),2))</f>
        <v>64,08</v>
      </c>
      <c r="D10" s="2"/>
      <c r="E10" s="2"/>
      <c r="F10" s="3"/>
      <c r="G10" s="2"/>
      <c r="H10" s="28"/>
      <c r="I10" s="29"/>
      <c r="J10" s="29"/>
      <c r="K10" s="30" t="str">
        <f>IF((J10=""),(""),((('Perfil F-v SENTADILLA'!$P$56-J10)/-'Perfil F-v SENTADILLA'!$P$57)))</f>
        <v/>
      </c>
      <c r="L10" s="31" t="str">
        <f t="shared" si="1"/>
        <v>#N/A</v>
      </c>
      <c r="M10" s="2"/>
      <c r="N10" s="32" t="s">
        <v>112</v>
      </c>
      <c r="O10" s="2"/>
      <c r="P10" s="2"/>
      <c r="Q10" s="2"/>
      <c r="R10" s="2"/>
      <c r="S10" s="2"/>
      <c r="T10" s="3"/>
      <c r="U10" s="2"/>
      <c r="V10" s="2"/>
      <c r="W10" s="2"/>
      <c r="X10" s="2"/>
      <c r="Y10" s="2"/>
      <c r="Z10" s="2"/>
    </row>
    <row r="11" ht="21.75" customHeight="1">
      <c r="A11" s="1"/>
      <c r="B11" s="35" t="s">
        <v>113</v>
      </c>
      <c r="C11" s="36">
        <f>'Perfil F-v SENTADILLA'!P59</f>
        <v>1</v>
      </c>
      <c r="D11" s="2"/>
      <c r="E11" s="2"/>
      <c r="F11" s="3"/>
      <c r="G11" s="2"/>
      <c r="H11" s="28"/>
      <c r="I11" s="29"/>
      <c r="J11" s="29"/>
      <c r="K11" s="30" t="str">
        <f>IF((J11=""),(""),((('Perfil F-v SENTADILLA'!$P$56-J11)/-'Perfil F-v SENTADILLA'!$P$57)))</f>
        <v/>
      </c>
      <c r="L11" s="31" t="str">
        <f t="shared" si="1"/>
        <v>#N/A</v>
      </c>
      <c r="M11" s="2"/>
      <c r="N11" s="2"/>
      <c r="O11" s="2"/>
      <c r="P11" s="2"/>
      <c r="Q11" s="2"/>
      <c r="R11" s="2"/>
      <c r="S11" s="2"/>
      <c r="T11" s="3"/>
      <c r="U11" s="2"/>
      <c r="V11" s="2"/>
      <c r="W11" s="2"/>
      <c r="X11" s="2"/>
      <c r="Y11" s="2"/>
      <c r="Z11" s="2"/>
    </row>
    <row r="12" ht="21.75" customHeight="1">
      <c r="A12" s="1"/>
      <c r="B12" s="37" t="s">
        <v>14</v>
      </c>
      <c r="C12" s="38">
        <f>(((B9*100)/C10))</f>
        <v>132.6466916</v>
      </c>
      <c r="D12" s="2"/>
      <c r="E12" s="2"/>
      <c r="F12" s="3"/>
      <c r="G12" s="2"/>
      <c r="H12" s="28"/>
      <c r="I12" s="29"/>
      <c r="J12" s="29"/>
      <c r="K12" s="30" t="str">
        <f>IF((J12=""),(""),((('Perfil F-v SENTADILLA'!$P$56-J12)/-'Perfil F-v SENTADILLA'!$P$57)))</f>
        <v/>
      </c>
      <c r="L12" s="31" t="str">
        <f t="shared" si="1"/>
        <v>#N/A</v>
      </c>
      <c r="M12" s="2"/>
      <c r="N12" s="2"/>
      <c r="O12" s="2"/>
      <c r="P12" s="2"/>
      <c r="Q12" s="2"/>
      <c r="R12" s="2"/>
      <c r="S12" s="2"/>
      <c r="T12" s="3"/>
      <c r="U12" s="2"/>
      <c r="V12" s="2"/>
      <c r="W12" s="2"/>
      <c r="X12" s="2"/>
      <c r="Y12" s="2"/>
      <c r="Z12" s="2"/>
    </row>
    <row r="13" ht="16.5" customHeight="1">
      <c r="A13" s="1"/>
      <c r="B13" s="39"/>
      <c r="C13" s="40"/>
      <c r="D13" s="2"/>
      <c r="E13" s="2"/>
      <c r="F13" s="3"/>
      <c r="G13" s="2"/>
      <c r="H13" s="28"/>
      <c r="I13" s="29"/>
      <c r="J13" s="29"/>
      <c r="K13" s="30" t="str">
        <f>IF((J13=""),(""),((('Perfil F-v SENTADILLA'!$P$56-J13)/-'Perfil F-v SENTADILLA'!$P$57)))</f>
        <v/>
      </c>
      <c r="L13" s="31" t="str">
        <f t="shared" si="1"/>
        <v>#N/A</v>
      </c>
      <c r="M13" s="2"/>
      <c r="N13" s="2"/>
      <c r="O13" s="2"/>
      <c r="P13" s="2"/>
      <c r="Q13" s="2"/>
      <c r="R13" s="2"/>
      <c r="S13" s="2"/>
      <c r="T13" s="3"/>
      <c r="U13" s="2"/>
      <c r="V13" s="2"/>
      <c r="W13" s="2"/>
      <c r="X13" s="2"/>
      <c r="Y13" s="2"/>
      <c r="Z13" s="2"/>
    </row>
    <row r="14" ht="16.5" customHeight="1">
      <c r="A14" s="1"/>
      <c r="B14" s="17" t="s">
        <v>15</v>
      </c>
      <c r="C14" s="18"/>
      <c r="D14" s="2"/>
      <c r="E14" s="2"/>
      <c r="F14" s="3"/>
      <c r="G14" s="2"/>
      <c r="H14" s="28"/>
      <c r="I14" s="29"/>
      <c r="J14" s="29"/>
      <c r="K14" s="30" t="str">
        <f>IF((J14=""),(""),((('Perfil F-v SENTADILLA'!$P$56-J14)/-'Perfil F-v SENTADILLA'!$P$57)))</f>
        <v/>
      </c>
      <c r="L14" s="31" t="str">
        <f t="shared" si="1"/>
        <v>#N/A</v>
      </c>
      <c r="M14" s="2"/>
      <c r="N14" s="2"/>
      <c r="O14" s="2"/>
      <c r="P14" s="2"/>
      <c r="Q14" s="2"/>
      <c r="R14" s="2"/>
      <c r="S14" s="2"/>
      <c r="T14" s="3"/>
      <c r="U14" s="2"/>
      <c r="V14" s="2"/>
      <c r="W14" s="2"/>
      <c r="X14" s="2"/>
      <c r="Y14" s="2"/>
      <c r="Z14" s="2"/>
    </row>
    <row r="15" ht="21.0" customHeight="1">
      <c r="A15" s="1"/>
      <c r="B15" s="24" t="s">
        <v>16</v>
      </c>
      <c r="C15" s="41" t="s">
        <v>17</v>
      </c>
      <c r="D15" s="2"/>
      <c r="E15" s="2"/>
      <c r="F15" s="3"/>
      <c r="G15" s="2"/>
      <c r="H15" s="28"/>
      <c r="I15" s="29"/>
      <c r="J15" s="29"/>
      <c r="K15" s="30" t="str">
        <f>IF((J15=""),(""),((('Perfil F-v SENTADILLA'!$P$56-J15)/-'Perfil F-v SENTADILLA'!$P$57)))</f>
        <v/>
      </c>
      <c r="L15" s="31" t="str">
        <f t="shared" si="1"/>
        <v>#N/A</v>
      </c>
      <c r="M15" s="2"/>
      <c r="N15" s="2"/>
      <c r="O15" s="2"/>
      <c r="P15" s="2"/>
      <c r="Q15" s="2"/>
      <c r="R15" s="2"/>
      <c r="S15" s="2"/>
      <c r="T15" s="3"/>
      <c r="U15" s="2"/>
      <c r="V15" s="2"/>
      <c r="W15" s="2"/>
      <c r="X15" s="2"/>
      <c r="Y15" s="2"/>
      <c r="Z15" s="2"/>
    </row>
    <row r="16">
      <c r="A16" s="1"/>
      <c r="B16" s="42">
        <v>65.0</v>
      </c>
      <c r="C16" s="43">
        <f>(C12*B16)/100</f>
        <v>86.22034956</v>
      </c>
      <c r="D16" s="2"/>
      <c r="E16" s="2"/>
      <c r="F16" s="3"/>
      <c r="G16" s="2"/>
      <c r="H16" s="28"/>
      <c r="I16" s="29"/>
      <c r="J16" s="29"/>
      <c r="K16" s="30" t="str">
        <f>IF((J16=""),(""),((('Perfil F-v SENTADILLA'!$P$56-J16)/-'Perfil F-v SENTADILLA'!$P$57)))</f>
        <v/>
      </c>
      <c r="L16" s="31" t="str">
        <f t="shared" si="1"/>
        <v>#N/A</v>
      </c>
      <c r="M16" s="2"/>
      <c r="N16" s="2"/>
      <c r="O16" s="2"/>
      <c r="P16" s="2"/>
      <c r="Q16" s="2"/>
      <c r="R16" s="2"/>
      <c r="S16" s="2"/>
      <c r="T16" s="3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3"/>
      <c r="G17" s="2"/>
      <c r="H17" s="28"/>
      <c r="I17" s="29"/>
      <c r="J17" s="29"/>
      <c r="K17" s="30" t="str">
        <f>IF((J17=""),(""),((('Perfil F-v SENTADILLA'!$P$56-J17)/-'Perfil F-v SENTADILLA'!$P$57)))</f>
        <v/>
      </c>
      <c r="L17" s="31" t="str">
        <f t="shared" si="1"/>
        <v>#N/A</v>
      </c>
      <c r="M17" s="2"/>
      <c r="N17" s="2"/>
      <c r="O17" s="2"/>
      <c r="P17" s="2"/>
      <c r="Q17" s="2"/>
      <c r="R17" s="2"/>
      <c r="S17" s="2"/>
      <c r="T17" s="3"/>
      <c r="U17" s="2"/>
      <c r="V17" s="2"/>
      <c r="W17" s="2"/>
      <c r="X17" s="2"/>
      <c r="Y17" s="2"/>
      <c r="Z17" s="2"/>
    </row>
    <row r="18">
      <c r="A18" s="1"/>
      <c r="B18" s="44" t="s">
        <v>18</v>
      </c>
      <c r="C18" s="45" t="s">
        <v>19</v>
      </c>
      <c r="D18" s="2"/>
      <c r="E18" s="2"/>
      <c r="F18" s="3"/>
      <c r="G18" s="2"/>
      <c r="H18" s="28"/>
      <c r="I18" s="29"/>
      <c r="J18" s="29"/>
      <c r="K18" s="30" t="str">
        <f>IF((J18=""),(""),((('Perfil F-v SENTADILLA'!$P$56-J18)/-'Perfil F-v SENTADILLA'!$P$57)))</f>
        <v/>
      </c>
      <c r="L18" s="31" t="str">
        <f t="shared" si="1"/>
        <v>#N/A</v>
      </c>
      <c r="M18" s="2"/>
      <c r="N18" s="2"/>
      <c r="O18" s="2"/>
      <c r="P18" s="2"/>
      <c r="R18" s="2"/>
      <c r="S18" s="2"/>
      <c r="T18" s="3"/>
      <c r="U18" s="2"/>
      <c r="V18" s="2"/>
      <c r="W18" s="2"/>
      <c r="X18" s="2"/>
      <c r="Y18" s="2"/>
      <c r="Z18" s="2"/>
    </row>
    <row r="19">
      <c r="A19" s="1"/>
      <c r="B19" s="46">
        <v>20.0</v>
      </c>
      <c r="C19" s="47">
        <v>1.25</v>
      </c>
      <c r="D19" s="2"/>
      <c r="E19" s="2"/>
      <c r="F19" s="3"/>
      <c r="G19" s="2"/>
      <c r="H19" s="28"/>
      <c r="I19" s="29"/>
      <c r="J19" s="29"/>
      <c r="K19" s="30" t="str">
        <f>IF((J19=""),(""),((('Perfil F-v SENTADILLA'!$P$56-J19)/-'Perfil F-v SENTADILLA'!$P$57)))</f>
        <v/>
      </c>
      <c r="L19" s="31" t="str">
        <f t="shared" si="1"/>
        <v>#N/A</v>
      </c>
      <c r="M19" s="2"/>
      <c r="N19" s="2"/>
      <c r="O19" s="2"/>
      <c r="P19" s="2"/>
      <c r="Q19" s="2"/>
      <c r="R19" s="2"/>
      <c r="S19" s="2"/>
      <c r="T19" s="3"/>
      <c r="U19" s="2"/>
      <c r="V19" s="2"/>
      <c r="W19" s="2"/>
      <c r="X19" s="2"/>
      <c r="Y19" s="2"/>
      <c r="Z19" s="2"/>
    </row>
    <row r="20">
      <c r="A20" s="1"/>
      <c r="B20" s="48" t="s">
        <v>20</v>
      </c>
      <c r="C20" s="21"/>
      <c r="D20" s="2"/>
      <c r="E20" s="2"/>
      <c r="F20" s="3"/>
      <c r="G20" s="2"/>
      <c r="H20" s="28"/>
      <c r="I20" s="29"/>
      <c r="J20" s="29"/>
      <c r="K20" s="30" t="str">
        <f>IF((J20=""),(""),((('Perfil F-v SENTADILLA'!$P$56-J20)/-'Perfil F-v SENTADILLA'!$P$57)))</f>
        <v/>
      </c>
      <c r="L20" s="31" t="str">
        <f t="shared" si="1"/>
        <v>#N/A</v>
      </c>
      <c r="M20" s="2"/>
      <c r="N20" s="2"/>
      <c r="O20" s="2"/>
      <c r="P20" s="2"/>
      <c r="Q20" s="49" t="s">
        <v>114</v>
      </c>
      <c r="R20" s="2"/>
      <c r="S20" s="2"/>
      <c r="T20" s="3"/>
      <c r="U20" s="2"/>
      <c r="V20" s="2"/>
      <c r="W20" s="2"/>
      <c r="X20" s="2"/>
      <c r="Y20" s="2"/>
      <c r="Z20" s="2"/>
    </row>
    <row r="21" ht="15.75" customHeight="1">
      <c r="A21" s="50"/>
      <c r="B21" s="51">
        <f>(CEILING(((C16-B19)/2),C19))</f>
        <v>33.75</v>
      </c>
      <c r="C21" s="52"/>
      <c r="D21" s="53"/>
      <c r="E21" s="53"/>
      <c r="F21" s="54"/>
      <c r="G21" s="2"/>
      <c r="H21" s="28"/>
      <c r="I21" s="29"/>
      <c r="J21" s="29"/>
      <c r="K21" s="30" t="str">
        <f>IF((J21=""),(""),((('Perfil F-v SENTADILLA'!$P$56-J21)/-'Perfil F-v SENTADILLA'!$P$57)))</f>
        <v/>
      </c>
      <c r="L21" s="31" t="str">
        <f t="shared" si="1"/>
        <v>#N/A</v>
      </c>
      <c r="M21" s="2"/>
      <c r="N21" s="2"/>
      <c r="O21" s="2"/>
      <c r="P21" s="2"/>
      <c r="Q21" s="2"/>
      <c r="R21" s="2"/>
      <c r="S21" s="2"/>
      <c r="T21" s="3"/>
      <c r="U21" s="2"/>
      <c r="V21" s="2"/>
      <c r="W21" s="2"/>
      <c r="X21" s="2"/>
      <c r="Y21" s="2"/>
      <c r="Z21" s="2"/>
    </row>
    <row r="22" ht="15.75" customHeight="1">
      <c r="A22" s="1"/>
      <c r="B22" s="202" t="str">
        <f>'Perfil F-v PRESS BANCA'!B21</f>
        <v/>
      </c>
      <c r="C22" s="202" t="str">
        <f>'Perfil F-v PRESS BANCA'!C21</f>
        <v/>
      </c>
      <c r="D22" s="2"/>
      <c r="E22" s="2"/>
      <c r="F22" s="2"/>
      <c r="G22" s="2"/>
      <c r="H22" s="28"/>
      <c r="I22" s="29"/>
      <c r="J22" s="29"/>
      <c r="K22" s="30" t="str">
        <f>IF((J22=""),(""),((('Perfil F-v SENTADILLA'!$P$56-J22)/-'Perfil F-v SENTADILLA'!$P$57)))</f>
        <v/>
      </c>
      <c r="L22" s="31" t="str">
        <f t="shared" si="1"/>
        <v>#N/A</v>
      </c>
      <c r="M22" s="2"/>
      <c r="N22" s="2"/>
      <c r="O22" s="2"/>
      <c r="P22" s="2"/>
      <c r="Q22" s="2"/>
      <c r="R22" s="2"/>
      <c r="S22" s="2"/>
      <c r="T22" s="3"/>
      <c r="U22" s="2"/>
      <c r="V22" s="2"/>
      <c r="W22" s="2"/>
      <c r="X22" s="2"/>
      <c r="Y22" s="2"/>
      <c r="Z22" s="2"/>
    </row>
    <row r="23" ht="15.75" customHeight="1">
      <c r="A23" s="1"/>
      <c r="B23" s="55"/>
      <c r="C23" s="56"/>
      <c r="D23" s="2"/>
      <c r="E23" s="2"/>
      <c r="F23" s="2"/>
      <c r="G23" s="2"/>
      <c r="H23" s="28"/>
      <c r="I23" s="29"/>
      <c r="J23" s="29"/>
      <c r="K23" s="30" t="str">
        <f>IF((J23=""),(""),((('Perfil F-v SENTADILLA'!$P$56-J23)/-'Perfil F-v SENTADILLA'!$P$57)))</f>
        <v/>
      </c>
      <c r="L23" s="31" t="str">
        <f t="shared" si="1"/>
        <v>#N/A</v>
      </c>
      <c r="M23" s="2"/>
      <c r="N23" s="2"/>
      <c r="O23" s="2"/>
      <c r="P23" s="2"/>
      <c r="Q23" s="2"/>
      <c r="R23" s="2"/>
      <c r="S23" s="2"/>
      <c r="T23" s="3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8"/>
      <c r="I24" s="29"/>
      <c r="J24" s="29"/>
      <c r="K24" s="30" t="str">
        <f>IF((J24=""),(""),((('Perfil F-v SENTADILLA'!$P$56-J24)/-'Perfil F-v SENTADILLA'!$P$57)))</f>
        <v/>
      </c>
      <c r="L24" s="31" t="str">
        <f t="shared" si="1"/>
        <v>#N/A</v>
      </c>
      <c r="M24" s="2"/>
      <c r="N24" s="2"/>
      <c r="O24" s="2"/>
      <c r="P24" s="2"/>
      <c r="Q24" s="2"/>
      <c r="R24" s="2"/>
      <c r="S24" s="2"/>
      <c r="T24" s="3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8"/>
      <c r="I25" s="29"/>
      <c r="J25" s="29"/>
      <c r="K25" s="30" t="str">
        <f>IF((J25=""),(""),((('Perfil F-v SENTADILLA'!$P$56-J25)/-'Perfil F-v SENTADILLA'!$P$57)))</f>
        <v/>
      </c>
      <c r="L25" s="31" t="str">
        <f t="shared" si="1"/>
        <v>#N/A</v>
      </c>
      <c r="M25" s="2"/>
      <c r="N25" s="2"/>
      <c r="O25" s="2"/>
      <c r="P25" s="2"/>
      <c r="Q25" s="2"/>
      <c r="R25" s="2"/>
      <c r="S25" s="2"/>
      <c r="T25" s="3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8"/>
      <c r="I26" s="29"/>
      <c r="J26" s="29"/>
      <c r="K26" s="30" t="str">
        <f>IF((J26=""),(""),((('Perfil F-v SENTADILLA'!$P$56-J26)/-'Perfil F-v SENTADILLA'!$P$57)))</f>
        <v/>
      </c>
      <c r="L26" s="31" t="str">
        <f t="shared" si="1"/>
        <v>#N/A</v>
      </c>
      <c r="M26" s="2"/>
      <c r="N26" s="2"/>
      <c r="O26" s="2"/>
      <c r="P26" s="2"/>
      <c r="Q26" s="2"/>
      <c r="R26" s="2"/>
      <c r="S26" s="2"/>
      <c r="T26" s="3"/>
      <c r="U26" s="2"/>
      <c r="V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8"/>
      <c r="I27" s="29"/>
      <c r="J27" s="29"/>
      <c r="K27" s="30" t="str">
        <f>IF((J27=""),(""),((('Perfil F-v SENTADILLA'!$P$56-J27)/-'Perfil F-v SENTADILLA'!$P$57)))</f>
        <v/>
      </c>
      <c r="L27" s="31" t="str">
        <f t="shared" si="1"/>
        <v>#N/A</v>
      </c>
      <c r="M27" s="2"/>
      <c r="N27" s="2"/>
      <c r="O27" s="2"/>
      <c r="P27" s="2"/>
      <c r="Q27" s="2"/>
      <c r="R27" s="2"/>
      <c r="S27" s="2"/>
      <c r="T27" s="3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8"/>
      <c r="I28" s="29"/>
      <c r="J28" s="29"/>
      <c r="K28" s="30" t="str">
        <f>IF((J28=""),(""),((('Perfil F-v SENTADILLA'!$P$56-J28)/-'Perfil F-v SENTADILLA'!$P$57)))</f>
        <v/>
      </c>
      <c r="L28" s="31" t="str">
        <f t="shared" si="1"/>
        <v>#N/A</v>
      </c>
      <c r="M28" s="2"/>
      <c r="N28" s="2"/>
      <c r="O28" s="2"/>
      <c r="P28" s="2"/>
      <c r="Q28" s="2"/>
      <c r="R28" s="2"/>
      <c r="S28" s="2"/>
      <c r="T28" s="3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8"/>
      <c r="I29" s="29"/>
      <c r="J29" s="29"/>
      <c r="K29" s="30" t="str">
        <f>IF((J29=""),(""),((('Perfil F-v SENTADILLA'!$P$56-J29)/-'Perfil F-v SENTADILLA'!$P$57)))</f>
        <v/>
      </c>
      <c r="L29" s="31" t="str">
        <f t="shared" si="1"/>
        <v>#N/A</v>
      </c>
      <c r="M29" s="2"/>
      <c r="N29" s="2"/>
      <c r="O29" s="2"/>
      <c r="P29" s="2"/>
      <c r="Q29" s="2"/>
      <c r="R29" s="2"/>
      <c r="S29" s="2"/>
      <c r="T29" s="3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8"/>
      <c r="I30" s="29"/>
      <c r="J30" s="29"/>
      <c r="K30" s="30" t="str">
        <f>IF((J30=""),(""),((('Perfil F-v SENTADILLA'!$P$56-J30)/-'Perfil F-v SENTADILLA'!$P$57)))</f>
        <v/>
      </c>
      <c r="L30" s="31" t="str">
        <f t="shared" si="1"/>
        <v>#N/A</v>
      </c>
      <c r="M30" s="2"/>
      <c r="N30" s="2"/>
      <c r="O30" s="2"/>
      <c r="P30" s="2"/>
      <c r="Q30" s="2"/>
      <c r="R30" s="2"/>
      <c r="S30" s="2"/>
      <c r="T30" s="3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8"/>
      <c r="I31" s="29"/>
      <c r="J31" s="29"/>
      <c r="K31" s="30" t="str">
        <f>IF((J31=""),(""),((('Perfil F-v SENTADILLA'!$P$56-J31)/-'Perfil F-v SENTADILLA'!$P$57)))</f>
        <v/>
      </c>
      <c r="L31" s="31" t="str">
        <f t="shared" si="1"/>
        <v>#N/A</v>
      </c>
      <c r="M31" s="2"/>
      <c r="N31" s="2"/>
      <c r="O31" s="2"/>
      <c r="P31" s="2"/>
      <c r="Q31" s="2"/>
      <c r="R31" s="2"/>
      <c r="S31" s="2"/>
      <c r="T31" s="3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8"/>
      <c r="I32" s="29"/>
      <c r="J32" s="29"/>
      <c r="K32" s="30" t="str">
        <f>IF((J32=""),(""),((('Perfil F-v SENTADILLA'!$P$56-J32)/-'Perfil F-v SENTADILLA'!$P$57)))</f>
        <v/>
      </c>
      <c r="L32" s="31" t="str">
        <f t="shared" si="1"/>
        <v>#N/A</v>
      </c>
      <c r="M32" s="2"/>
      <c r="N32" s="2"/>
      <c r="O32" s="2"/>
      <c r="P32" s="2"/>
      <c r="Q32" s="2"/>
      <c r="R32" s="2"/>
      <c r="S32" s="2"/>
      <c r="T32" s="3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57"/>
      <c r="I33" s="58"/>
      <c r="J33" s="58"/>
      <c r="K33" s="59" t="str">
        <f>IF((J33=""),(""),((('Perfil F-v SENTADILLA'!$P$56-J33)/-'Perfil F-v SENTADILLA'!$P$57)))</f>
        <v/>
      </c>
      <c r="L33" s="60" t="str">
        <f t="shared" si="1"/>
        <v>#N/A</v>
      </c>
      <c r="M33" s="2"/>
      <c r="N33" s="2"/>
      <c r="O33" s="2"/>
      <c r="P33" s="2"/>
      <c r="Q33" s="2"/>
      <c r="R33" s="2"/>
      <c r="S33" s="2"/>
      <c r="T33" s="3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U36" s="2"/>
      <c r="V36" s="2"/>
      <c r="W36" s="2"/>
      <c r="X36" s="2"/>
      <c r="Y36" s="2"/>
      <c r="Z36" s="2"/>
    </row>
    <row r="37" ht="27.0" customHeight="1">
      <c r="A37" s="206" t="s">
        <v>21</v>
      </c>
      <c r="B37" s="5"/>
      <c r="C37" s="5"/>
      <c r="D37" s="5"/>
      <c r="E37" s="5"/>
      <c r="F37" s="6"/>
      <c r="G37" s="210"/>
      <c r="H37" s="206" t="s">
        <v>22</v>
      </c>
      <c r="I37" s="5"/>
      <c r="J37" s="5"/>
      <c r="K37" s="5"/>
      <c r="L37" s="6"/>
      <c r="M37" s="2"/>
      <c r="N37" s="206" t="s">
        <v>23</v>
      </c>
      <c r="O37" s="5"/>
      <c r="P37" s="5"/>
      <c r="Q37" s="5"/>
      <c r="R37" s="6"/>
      <c r="S37" s="2"/>
      <c r="T37" s="3"/>
      <c r="U37" s="2"/>
      <c r="V37" s="2"/>
      <c r="W37" s="2"/>
      <c r="X37" s="2"/>
      <c r="Y37" s="2"/>
      <c r="Z37" s="2"/>
    </row>
    <row r="38" ht="15.0" customHeight="1">
      <c r="A38" s="63" t="str">
        <f>'Perfil F-v SENTADILLA'!K41</f>
        <v>SENTADILLA</v>
      </c>
      <c r="B38" s="64"/>
      <c r="C38" s="64"/>
      <c r="D38" s="64"/>
      <c r="E38" s="64"/>
      <c r="F38" s="65"/>
      <c r="G38" s="211"/>
      <c r="H38" s="1"/>
      <c r="I38" s="212"/>
      <c r="J38" s="213"/>
      <c r="K38" s="214"/>
      <c r="L38" s="3"/>
      <c r="M38" s="2"/>
      <c r="N38" s="1"/>
      <c r="O38" s="8"/>
      <c r="P38" s="11"/>
      <c r="Q38" s="9"/>
      <c r="R38" s="3"/>
      <c r="S38" s="2"/>
      <c r="T38" s="3"/>
      <c r="U38" s="2"/>
      <c r="V38" s="2"/>
      <c r="W38" s="2"/>
      <c r="X38" s="2"/>
      <c r="Y38" s="2"/>
      <c r="Z38" s="2"/>
    </row>
    <row r="39" ht="15.0" customHeight="1">
      <c r="A39" s="66"/>
      <c r="F39" s="67"/>
      <c r="G39" s="211"/>
      <c r="H39" s="1"/>
      <c r="I39" s="215" t="s">
        <v>2</v>
      </c>
      <c r="J39" s="69"/>
      <c r="K39" s="70"/>
      <c r="L39" s="3"/>
      <c r="M39" s="2"/>
      <c r="N39" s="1"/>
      <c r="O39" s="8"/>
      <c r="P39" s="11"/>
      <c r="Q39" s="9"/>
      <c r="R39" s="3"/>
      <c r="S39" s="2"/>
      <c r="T39" s="3"/>
      <c r="U39" s="2"/>
      <c r="V39" s="2"/>
      <c r="W39" s="2"/>
      <c r="X39" s="2"/>
      <c r="Y39" s="2"/>
      <c r="Z39" s="2"/>
    </row>
    <row r="40" ht="24.75" customHeight="1">
      <c r="A40" s="71"/>
      <c r="B40" s="72"/>
      <c r="C40" s="72"/>
      <c r="D40" s="72"/>
      <c r="E40" s="72"/>
      <c r="F40" s="73"/>
      <c r="G40" s="211"/>
      <c r="H40" s="1"/>
      <c r="I40" s="74" t="str">
        <f>"PERFIL"&amp;" "&amp; K41</f>
        <v>PERFIL SENTADILLA</v>
      </c>
      <c r="J40" s="75"/>
      <c r="K40" s="76"/>
      <c r="L40" s="3"/>
      <c r="M40" s="2"/>
      <c r="N40" s="1"/>
      <c r="O40" s="77" t="str">
        <f>'Perfil F-v SENTADILLA'!K41</f>
        <v>SENTADILLA</v>
      </c>
      <c r="P40" s="20"/>
      <c r="Q40" s="78"/>
      <c r="R40" s="3"/>
      <c r="S40" s="2"/>
      <c r="T40" s="3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61"/>
      <c r="D41" s="61"/>
      <c r="E41" s="61"/>
      <c r="F41" s="3"/>
      <c r="G41" s="2"/>
      <c r="H41" s="1"/>
      <c r="I41" s="80"/>
      <c r="J41" s="216" t="s">
        <v>24</v>
      </c>
      <c r="K41" s="217" t="s">
        <v>115</v>
      </c>
      <c r="L41" s="3"/>
      <c r="M41" s="2"/>
      <c r="N41" s="1"/>
      <c r="O41" s="77" t="s">
        <v>25</v>
      </c>
      <c r="P41" s="78"/>
      <c r="Q41" s="218" t="str">
        <f>FIXED(INTERCEPT('Perfil F-v SENTADILLA'!K45:K49,'Perfil F-v SENTADILLA'!J45:J49),4)</f>
        <v>1,3500</v>
      </c>
      <c r="R41" s="3"/>
      <c r="S41" s="2"/>
      <c r="T41" s="3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3"/>
      <c r="G42" s="2"/>
      <c r="H42" s="1"/>
      <c r="I42" s="84" t="s">
        <v>26</v>
      </c>
      <c r="J42" s="81" t="s">
        <v>27</v>
      </c>
      <c r="K42" s="85">
        <v>0.32</v>
      </c>
      <c r="L42" s="3"/>
      <c r="M42" s="2"/>
      <c r="N42" s="1"/>
      <c r="O42" s="77" t="s">
        <v>28</v>
      </c>
      <c r="P42" s="78"/>
      <c r="Q42" s="219" t="str">
        <f>FIXED(SLOPE('Perfil F-v SENTADILLA'!K45:K49,'Perfil F-v SENTADILLA'!J45:J49),4)</f>
        <v>-0,0100</v>
      </c>
      <c r="R42" s="3"/>
      <c r="S42" s="2"/>
      <c r="T42" s="3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3"/>
      <c r="G43" s="2"/>
      <c r="H43" s="1"/>
      <c r="I43" s="88" t="s">
        <v>29</v>
      </c>
      <c r="J43" s="220" t="s">
        <v>30</v>
      </c>
      <c r="K43" s="78"/>
      <c r="L43" s="3"/>
      <c r="M43" s="2"/>
      <c r="N43" s="1"/>
      <c r="O43" s="77" t="s">
        <v>31</v>
      </c>
      <c r="P43" s="90"/>
      <c r="Q43" s="221" t="str">
        <f>CONCATENATE("Y=",Q42,"x +  ",Q41)</f>
        <v>Y=-0,0100x +  1,3500</v>
      </c>
      <c r="R43" s="3"/>
      <c r="S43" s="2"/>
      <c r="T43" s="3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3"/>
      <c r="G44" s="2"/>
      <c r="H44" s="1"/>
      <c r="I44" s="88" t="s">
        <v>32</v>
      </c>
      <c r="J44" s="92" t="s">
        <v>33</v>
      </c>
      <c r="K44" s="25" t="s">
        <v>34</v>
      </c>
      <c r="L44" s="3"/>
      <c r="M44" s="2"/>
      <c r="N44" s="1"/>
      <c r="O44" s="77" t="s">
        <v>35</v>
      </c>
      <c r="P44" s="78"/>
      <c r="Q44" s="216" t="str">
        <f>CONCATENATE("X=((",Q41,"-",'Perfil F-v SENTADILLA'!$K$42,")/",-Q42,")")</f>
        <v>X=((1,3500-0,32)/0,01)</v>
      </c>
      <c r="R44" s="3"/>
      <c r="S44" s="2"/>
      <c r="T44" s="3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3"/>
      <c r="G45" s="2"/>
      <c r="H45" s="1"/>
      <c r="I45" s="95">
        <v>0.75</v>
      </c>
      <c r="J45" s="96">
        <v>75.0</v>
      </c>
      <c r="K45" s="97">
        <v>0.6</v>
      </c>
      <c r="L45" s="3"/>
      <c r="M45" s="2"/>
      <c r="N45" s="1"/>
      <c r="O45" s="77" t="s">
        <v>36</v>
      </c>
      <c r="P45" s="78"/>
      <c r="Q45" s="222">
        <f>-(Q41-'Perfil F-v SENTADILLA'!K42)/Q42</f>
        <v>103</v>
      </c>
      <c r="R45" s="3"/>
      <c r="S45" s="2"/>
      <c r="T45" s="3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3"/>
      <c r="G46" s="2"/>
      <c r="H46" s="1"/>
      <c r="I46" s="95">
        <v>0.8</v>
      </c>
      <c r="J46" s="96">
        <v>80.0</v>
      </c>
      <c r="K46" s="97">
        <v>0.55</v>
      </c>
      <c r="L46" s="3"/>
      <c r="M46" s="2"/>
      <c r="N46" s="1"/>
      <c r="O46" s="77" t="s">
        <v>116</v>
      </c>
      <c r="P46" s="78"/>
      <c r="Q46" s="223">
        <f>RSQ('Perfil F-v SENTADILLA'!K45:K49,'Perfil F-v SENTADILLA'!J45:J49)</f>
        <v>1</v>
      </c>
      <c r="R46" s="3"/>
      <c r="S46" s="2"/>
      <c r="T46" s="3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3"/>
      <c r="G47" s="2"/>
      <c r="H47" s="1"/>
      <c r="I47" s="95">
        <v>0.85</v>
      </c>
      <c r="J47" s="96">
        <v>85.0</v>
      </c>
      <c r="K47" s="97">
        <v>0.5</v>
      </c>
      <c r="L47" s="3"/>
      <c r="M47" s="2"/>
      <c r="N47" s="1"/>
      <c r="O47" s="224"/>
      <c r="P47" s="224"/>
      <c r="Q47" s="224"/>
      <c r="R47" s="3"/>
      <c r="S47" s="2"/>
      <c r="T47" s="3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3"/>
      <c r="G48" s="2"/>
      <c r="H48" s="1"/>
      <c r="I48" s="95">
        <v>0.9</v>
      </c>
      <c r="J48" s="96">
        <v>90.0</v>
      </c>
      <c r="K48" s="97">
        <v>0.45</v>
      </c>
      <c r="L48" s="3"/>
      <c r="M48" s="2"/>
      <c r="N48" s="1"/>
      <c r="O48" s="100" t="s">
        <v>38</v>
      </c>
      <c r="P48" s="20"/>
      <c r="Q48" s="78"/>
      <c r="R48" s="3"/>
      <c r="S48" s="2"/>
      <c r="T48" s="3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3"/>
      <c r="G49" s="2"/>
      <c r="H49" s="1"/>
      <c r="I49" s="95">
        <v>0.95</v>
      </c>
      <c r="J49" s="96">
        <v>95.0</v>
      </c>
      <c r="K49" s="97">
        <v>0.4</v>
      </c>
      <c r="L49" s="3"/>
      <c r="M49" s="2"/>
      <c r="N49" s="1"/>
      <c r="O49" s="225" t="s">
        <v>39</v>
      </c>
      <c r="P49" s="225" t="s">
        <v>40</v>
      </c>
      <c r="Q49" s="225" t="s">
        <v>41</v>
      </c>
      <c r="R49" s="3"/>
      <c r="S49" s="2"/>
      <c r="T49" s="3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3"/>
      <c r="G50" s="2"/>
      <c r="H50" s="1"/>
      <c r="I50" s="101" t="s">
        <v>42</v>
      </c>
      <c r="J50" s="25" t="s">
        <v>117</v>
      </c>
      <c r="K50" s="102">
        <f>'Perfil F-v SENTADILLA'!Q46</f>
        <v>1</v>
      </c>
      <c r="L50" s="3"/>
      <c r="M50" s="2"/>
      <c r="N50" s="1"/>
      <c r="O50" s="226">
        <f>'Perfil F-v SENTADILLA'!J45</f>
        <v>75</v>
      </c>
      <c r="P50" s="227">
        <f>(100*O50)/'Perfil F-v SENTADILLA'!$Q$45</f>
        <v>72.81553398</v>
      </c>
      <c r="Q50" s="228">
        <f>'Perfil F-v SENTADILLA'!K45</f>
        <v>0.6</v>
      </c>
      <c r="R50" s="3"/>
      <c r="S50" s="2"/>
      <c r="T50" s="3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3"/>
      <c r="G51" s="2"/>
      <c r="H51" s="1"/>
      <c r="I51" s="2"/>
      <c r="J51" s="2"/>
      <c r="K51" s="2"/>
      <c r="L51" s="3"/>
      <c r="M51" s="2"/>
      <c r="N51" s="1"/>
      <c r="O51" s="226">
        <f>'Perfil F-v SENTADILLA'!J46</f>
        <v>80</v>
      </c>
      <c r="P51" s="227">
        <f>(100*O51)/'Perfil F-v SENTADILLA'!$Q$45</f>
        <v>77.66990291</v>
      </c>
      <c r="Q51" s="228">
        <f>'Perfil F-v SENTADILLA'!K46</f>
        <v>0.55</v>
      </c>
      <c r="R51" s="3"/>
      <c r="S51" s="2"/>
      <c r="T51" s="3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3"/>
      <c r="G52" s="2"/>
      <c r="H52" s="1"/>
      <c r="I52" s="105" t="s">
        <v>44</v>
      </c>
      <c r="J52" s="75"/>
      <c r="K52" s="76"/>
      <c r="L52" s="3"/>
      <c r="M52" s="2"/>
      <c r="N52" s="1"/>
      <c r="O52" s="226">
        <f>'Perfil F-v SENTADILLA'!J47</f>
        <v>85</v>
      </c>
      <c r="P52" s="227">
        <f>(100*O52)/'Perfil F-v SENTADILLA'!$Q$45</f>
        <v>82.52427184</v>
      </c>
      <c r="Q52" s="228">
        <f>'Perfil F-v SENTADILLA'!K47</f>
        <v>0.5</v>
      </c>
      <c r="R52" s="3"/>
      <c r="S52" s="2"/>
      <c r="T52" s="3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3"/>
      <c r="G53" s="2"/>
      <c r="H53" s="1"/>
      <c r="I53" s="105" t="s">
        <v>45</v>
      </c>
      <c r="J53" s="75"/>
      <c r="K53" s="76"/>
      <c r="L53" s="3"/>
      <c r="M53" s="2"/>
      <c r="N53" s="1"/>
      <c r="O53" s="226">
        <f>'Perfil F-v SENTADILLA'!J48</f>
        <v>90</v>
      </c>
      <c r="P53" s="227">
        <f>(100*O53)/'Perfil F-v SENTADILLA'!$Q$45</f>
        <v>87.37864078</v>
      </c>
      <c r="Q53" s="228">
        <f>'Perfil F-v SENTADILLA'!K48</f>
        <v>0.45</v>
      </c>
      <c r="R53" s="3"/>
      <c r="S53" s="2"/>
      <c r="T53" s="3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3"/>
      <c r="G54" s="2"/>
      <c r="H54" s="1"/>
      <c r="I54" s="105" t="s">
        <v>46</v>
      </c>
      <c r="J54" s="75"/>
      <c r="K54" s="76"/>
      <c r="L54" s="3"/>
      <c r="M54" s="2"/>
      <c r="N54" s="1"/>
      <c r="O54" s="226">
        <f>'Perfil F-v SENTADILLA'!J49</f>
        <v>95</v>
      </c>
      <c r="P54" s="227">
        <f>(100*O54)/'Perfil F-v SENTADILLA'!$Q$45</f>
        <v>92.23300971</v>
      </c>
      <c r="Q54" s="228">
        <f>'Perfil F-v SENTADILLA'!K49</f>
        <v>0.4</v>
      </c>
      <c r="R54" s="3"/>
      <c r="S54" s="2"/>
      <c r="T54" s="3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3"/>
      <c r="G55" s="2"/>
      <c r="H55" s="1"/>
      <c r="I55" s="105" t="s">
        <v>47</v>
      </c>
      <c r="J55" s="75"/>
      <c r="K55" s="76"/>
      <c r="L55" s="3"/>
      <c r="M55" s="2"/>
      <c r="N55" s="1"/>
      <c r="O55" s="227">
        <f>'Perfil F-v SENTADILLA'!Q45</f>
        <v>103</v>
      </c>
      <c r="P55" s="225">
        <f>(100*O55)/'Perfil F-v SENTADILLA'!$Q$45</f>
        <v>100</v>
      </c>
      <c r="Q55" s="228">
        <f>'Perfil F-v SENTADILLA'!K42</f>
        <v>0.32</v>
      </c>
      <c r="R55" s="3"/>
      <c r="S55" s="2"/>
      <c r="T55" s="3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3"/>
      <c r="G56" s="2"/>
      <c r="H56" s="50"/>
      <c r="I56" s="229" t="str">
        <f>'Perfil F-v SENTADILLA'!$B$22</f>
        <v/>
      </c>
      <c r="J56" s="230"/>
      <c r="K56" s="229" t="str">
        <f>'Perfil F-v SENTADILLA'!$C$22</f>
        <v/>
      </c>
      <c r="L56" s="54"/>
      <c r="M56" s="2"/>
      <c r="N56" s="1"/>
      <c r="O56" s="225" t="s">
        <v>48</v>
      </c>
      <c r="P56" s="225" t="str">
        <f>FIXED(INTERCEPT(Q50:Q55,P50:P55),4)</f>
        <v>1,3500</v>
      </c>
      <c r="Q56" s="231"/>
      <c r="R56" s="3"/>
      <c r="S56" s="2"/>
      <c r="T56" s="3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1"/>
      <c r="O57" s="225" t="s">
        <v>49</v>
      </c>
      <c r="P57" s="232" t="str">
        <f>FIXED(SLOPE(Q50:Q55,P50:P55),4)</f>
        <v>-0,0103</v>
      </c>
      <c r="Q57" s="231"/>
      <c r="R57" s="3"/>
      <c r="S57" s="2"/>
      <c r="T57" s="3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1"/>
      <c r="O58" s="233" t="s">
        <v>50</v>
      </c>
      <c r="P58" s="221" t="str">
        <f>CONCATENATE("Y=",P57,"x +  ",P56)</f>
        <v>Y=-0,0103x +  1,3500</v>
      </c>
      <c r="Q58" s="231"/>
      <c r="R58" s="3"/>
      <c r="S58" s="2"/>
      <c r="T58" s="3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50"/>
      <c r="O59" s="234" t="s">
        <v>118</v>
      </c>
      <c r="P59" s="235">
        <f>RSQ(Q50:Q55,P50:P55)</f>
        <v>1</v>
      </c>
      <c r="Q59" s="236"/>
      <c r="R59" s="54"/>
      <c r="S59" s="2"/>
      <c r="T59" s="3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02" t="str">
        <f>'Perfil F-v SENTADILLA'!$B$22</f>
        <v/>
      </c>
      <c r="P60" s="2"/>
      <c r="Q60" s="55"/>
      <c r="R60" s="2"/>
      <c r="S60" s="2"/>
      <c r="T60" s="3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3"/>
      <c r="G62" s="2"/>
      <c r="H62" s="118" t="s">
        <v>119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6"/>
      <c r="T62" s="3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3"/>
      <c r="G63" s="2"/>
      <c r="H63" s="119"/>
      <c r="I63" s="120"/>
      <c r="J63" s="120"/>
      <c r="K63" s="120"/>
      <c r="L63" s="121"/>
      <c r="M63" s="237" t="s">
        <v>53</v>
      </c>
      <c r="N63" s="15"/>
      <c r="O63" s="15"/>
      <c r="P63" s="15"/>
      <c r="Q63" s="15"/>
      <c r="R63" s="15"/>
      <c r="S63" s="16"/>
      <c r="T63" s="3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3"/>
      <c r="G64" s="2"/>
      <c r="H64" s="123"/>
      <c r="I64" s="124"/>
      <c r="J64" s="124"/>
      <c r="K64" s="125"/>
      <c r="L64" s="126"/>
      <c r="M64" s="238" t="s">
        <v>54</v>
      </c>
      <c r="N64" s="239" t="s">
        <v>55</v>
      </c>
      <c r="O64" s="78"/>
      <c r="P64" s="240" t="s">
        <v>56</v>
      </c>
      <c r="Q64" s="78"/>
      <c r="R64" s="241" t="s">
        <v>57</v>
      </c>
      <c r="S64" s="21"/>
      <c r="T64" s="3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3"/>
      <c r="G65" s="2"/>
      <c r="H65" s="131"/>
      <c r="I65" s="132"/>
      <c r="J65" s="132"/>
      <c r="K65" s="242" t="s">
        <v>58</v>
      </c>
      <c r="L65" s="243" t="s">
        <v>59</v>
      </c>
      <c r="M65" s="174" t="s">
        <v>60</v>
      </c>
      <c r="N65" s="175" t="s">
        <v>61</v>
      </c>
      <c r="O65" s="175" t="s">
        <v>62</v>
      </c>
      <c r="P65" s="178" t="s">
        <v>63</v>
      </c>
      <c r="Q65" s="178" t="s">
        <v>64</v>
      </c>
      <c r="R65" s="179" t="s">
        <v>65</v>
      </c>
      <c r="S65" s="244" t="s">
        <v>66</v>
      </c>
      <c r="T65" s="3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3"/>
      <c r="G66" s="2"/>
      <c r="H66" s="131"/>
      <c r="I66" s="132"/>
      <c r="J66" s="132"/>
      <c r="K66" s="140"/>
      <c r="L66" s="245" t="s">
        <v>67</v>
      </c>
      <c r="M66" s="174" t="s">
        <v>68</v>
      </c>
      <c r="N66" s="175" t="s">
        <v>69</v>
      </c>
      <c r="O66" s="175" t="s">
        <v>70</v>
      </c>
      <c r="P66" s="178" t="s">
        <v>71</v>
      </c>
      <c r="Q66" s="178" t="s">
        <v>72</v>
      </c>
      <c r="R66" s="179" t="s">
        <v>73</v>
      </c>
      <c r="S66" s="181" t="s">
        <v>74</v>
      </c>
      <c r="T66" s="3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3"/>
      <c r="G67" s="2"/>
      <c r="H67" s="143"/>
      <c r="I67" s="144"/>
      <c r="J67" s="144"/>
      <c r="K67" s="140"/>
      <c r="L67" s="246" t="s">
        <v>75</v>
      </c>
      <c r="M67" s="247">
        <v>0.0</v>
      </c>
      <c r="N67" s="248">
        <v>1.0</v>
      </c>
      <c r="O67" s="248">
        <v>2.0</v>
      </c>
      <c r="P67" s="249">
        <v>3.0</v>
      </c>
      <c r="Q67" s="249">
        <v>4.0</v>
      </c>
      <c r="R67" s="250">
        <v>5.0</v>
      </c>
      <c r="S67" s="251">
        <v>6.0</v>
      </c>
      <c r="T67" s="3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3"/>
      <c r="G68" s="2"/>
      <c r="H68" s="151"/>
      <c r="I68" s="152"/>
      <c r="J68" s="152"/>
      <c r="K68" s="153"/>
      <c r="L68" s="154"/>
      <c r="M68" s="154"/>
      <c r="N68" s="154"/>
      <c r="O68" s="154"/>
      <c r="P68" s="154"/>
      <c r="Q68" s="154"/>
      <c r="R68" s="154"/>
      <c r="S68" s="155"/>
      <c r="T68" s="3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3"/>
      <c r="G69" s="2"/>
      <c r="H69" s="242" t="s">
        <v>76</v>
      </c>
      <c r="I69" s="252" t="s">
        <v>8</v>
      </c>
      <c r="J69" s="253" t="s">
        <v>77</v>
      </c>
      <c r="K69" s="94"/>
      <c r="L69" s="158" t="s">
        <v>120</v>
      </c>
      <c r="M69" s="159">
        <f>K71</f>
        <v>0.32</v>
      </c>
      <c r="N69" s="159">
        <f>K72</f>
        <v>0.3632432432</v>
      </c>
      <c r="O69" s="159">
        <f>K73</f>
        <v>0.3891891892</v>
      </c>
      <c r="P69" s="159">
        <f>K74</f>
        <v>0.467027027</v>
      </c>
      <c r="Q69" s="159">
        <f>K75</f>
        <v>0.492972973</v>
      </c>
      <c r="R69" s="159">
        <f>K76</f>
        <v>0.5275675676</v>
      </c>
      <c r="S69" s="160">
        <f>K77</f>
        <v>0.5535135135</v>
      </c>
      <c r="T69" s="3"/>
      <c r="U69" s="2"/>
      <c r="V69" s="2"/>
      <c r="W69" s="2"/>
      <c r="X69" s="2"/>
      <c r="Y69" s="2"/>
      <c r="Z69" s="2"/>
    </row>
    <row r="70" ht="15.0" customHeight="1">
      <c r="A70" s="1"/>
      <c r="B70" s="2"/>
      <c r="C70" s="2"/>
      <c r="D70" s="2"/>
      <c r="E70" s="2"/>
      <c r="F70" s="3"/>
      <c r="G70" s="2"/>
      <c r="H70" s="153"/>
      <c r="I70" s="154"/>
      <c r="J70" s="161" t="s">
        <v>79</v>
      </c>
      <c r="K70" s="162" t="s">
        <v>121</v>
      </c>
      <c r="L70" s="78"/>
      <c r="M70" s="163" t="s">
        <v>81</v>
      </c>
      <c r="N70" s="20"/>
      <c r="O70" s="20"/>
      <c r="P70" s="20"/>
      <c r="Q70" s="20"/>
      <c r="R70" s="20"/>
      <c r="S70" s="21"/>
      <c r="T70" s="3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3"/>
      <c r="G71" s="2"/>
      <c r="H71" s="164" t="s">
        <v>82</v>
      </c>
      <c r="I71" s="165" t="s">
        <v>83</v>
      </c>
      <c r="J71" s="166" t="s">
        <v>84</v>
      </c>
      <c r="K71" s="167">
        <f>K42</f>
        <v>0.32</v>
      </c>
      <c r="L71" s="78"/>
      <c r="M71" s="168">
        <v>1.0</v>
      </c>
      <c r="N71" s="169"/>
      <c r="O71" s="170"/>
      <c r="P71" s="170"/>
      <c r="Q71" s="170"/>
      <c r="R71" s="170"/>
      <c r="S71" s="171"/>
      <c r="T71" s="3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3"/>
      <c r="G72" s="2"/>
      <c r="H72" s="140"/>
      <c r="I72" s="172" t="s">
        <v>85</v>
      </c>
      <c r="J72" s="173"/>
      <c r="K72" s="167">
        <f>K71*K94</f>
        <v>0.3632432432</v>
      </c>
      <c r="L72" s="78"/>
      <c r="M72" s="174">
        <v>2.0</v>
      </c>
      <c r="N72" s="175">
        <v>1.0</v>
      </c>
      <c r="O72" s="170"/>
      <c r="P72" s="170"/>
      <c r="Q72" s="170"/>
      <c r="R72" s="170"/>
      <c r="S72" s="171"/>
      <c r="T72" s="3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3"/>
      <c r="G73" s="2"/>
      <c r="H73" s="153"/>
      <c r="I73" s="172" t="s">
        <v>86</v>
      </c>
      <c r="J73" s="173"/>
      <c r="K73" s="167">
        <f>K71*K95</f>
        <v>0.3891891892</v>
      </c>
      <c r="L73" s="78"/>
      <c r="M73" s="174">
        <v>3.0</v>
      </c>
      <c r="N73" s="175">
        <v>2.0</v>
      </c>
      <c r="O73" s="175">
        <v>1.0</v>
      </c>
      <c r="P73" s="170"/>
      <c r="Q73" s="170"/>
      <c r="R73" s="170"/>
      <c r="S73" s="171"/>
      <c r="T73" s="3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3"/>
      <c r="G74" s="2"/>
      <c r="H74" s="176" t="s">
        <v>87</v>
      </c>
      <c r="I74" s="177" t="s">
        <v>88</v>
      </c>
      <c r="J74" s="173"/>
      <c r="K74" s="167">
        <f>K71*K96</f>
        <v>0.467027027</v>
      </c>
      <c r="L74" s="78"/>
      <c r="M74" s="174">
        <v>4.0</v>
      </c>
      <c r="N74" s="175">
        <v>3.0</v>
      </c>
      <c r="O74" s="175">
        <v>2.0</v>
      </c>
      <c r="P74" s="178">
        <v>1.0</v>
      </c>
      <c r="Q74" s="170"/>
      <c r="R74" s="170"/>
      <c r="S74" s="171"/>
      <c r="T74" s="3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3"/>
      <c r="G75" s="2"/>
      <c r="H75" s="140"/>
      <c r="I75" s="177" t="s">
        <v>89</v>
      </c>
      <c r="J75" s="173"/>
      <c r="K75" s="167">
        <f>K71*K97</f>
        <v>0.492972973</v>
      </c>
      <c r="L75" s="78"/>
      <c r="M75" s="174">
        <v>5.0</v>
      </c>
      <c r="N75" s="175">
        <v>4.0</v>
      </c>
      <c r="O75" s="175">
        <v>3.0</v>
      </c>
      <c r="P75" s="178">
        <v>2.0</v>
      </c>
      <c r="Q75" s="178">
        <v>1.0</v>
      </c>
      <c r="R75" s="170"/>
      <c r="S75" s="171"/>
      <c r="T75" s="3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3"/>
      <c r="G76" s="2"/>
      <c r="H76" s="140"/>
      <c r="I76" s="177" t="s">
        <v>90</v>
      </c>
      <c r="J76" s="154"/>
      <c r="K76" s="167">
        <f>K71*K98</f>
        <v>0.5275675676</v>
      </c>
      <c r="L76" s="78"/>
      <c r="M76" s="174">
        <v>6.0</v>
      </c>
      <c r="N76" s="175">
        <v>5.0</v>
      </c>
      <c r="O76" s="175">
        <v>4.0</v>
      </c>
      <c r="P76" s="178">
        <v>3.0</v>
      </c>
      <c r="Q76" s="178">
        <v>2.0</v>
      </c>
      <c r="R76" s="179">
        <v>1.0</v>
      </c>
      <c r="S76" s="171"/>
      <c r="T76" s="3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3"/>
      <c r="G77" s="2"/>
      <c r="H77" s="153"/>
      <c r="I77" s="177" t="s">
        <v>91</v>
      </c>
      <c r="J77" s="180" t="s">
        <v>92</v>
      </c>
      <c r="K77" s="167">
        <f>K71*K99</f>
        <v>0.5535135135</v>
      </c>
      <c r="L77" s="78"/>
      <c r="M77" s="174">
        <v>7.0</v>
      </c>
      <c r="N77" s="175">
        <v>6.0</v>
      </c>
      <c r="O77" s="175">
        <v>5.0</v>
      </c>
      <c r="P77" s="178">
        <v>4.0</v>
      </c>
      <c r="Q77" s="178">
        <v>3.0</v>
      </c>
      <c r="R77" s="179">
        <v>2.0</v>
      </c>
      <c r="S77" s="181">
        <v>1.0</v>
      </c>
      <c r="T77" s="3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3"/>
      <c r="G78" s="2"/>
      <c r="H78" s="182" t="s">
        <v>57</v>
      </c>
      <c r="I78" s="183" t="s">
        <v>93</v>
      </c>
      <c r="J78" s="173"/>
      <c r="K78" s="167">
        <f>K71*K100</f>
        <v>0.5794594595</v>
      </c>
      <c r="L78" s="78"/>
      <c r="M78" s="174">
        <v>8.0</v>
      </c>
      <c r="N78" s="175">
        <v>7.0</v>
      </c>
      <c r="O78" s="175">
        <v>6.0</v>
      </c>
      <c r="P78" s="178">
        <v>5.0</v>
      </c>
      <c r="Q78" s="178">
        <v>4.0</v>
      </c>
      <c r="R78" s="179">
        <v>3.0</v>
      </c>
      <c r="S78" s="181">
        <v>2.0</v>
      </c>
      <c r="T78" s="3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3"/>
      <c r="G79" s="2"/>
      <c r="H79" s="140"/>
      <c r="I79" s="183" t="s">
        <v>94</v>
      </c>
      <c r="J79" s="173"/>
      <c r="K79" s="167">
        <f>K71*K101</f>
        <v>0.6054054054</v>
      </c>
      <c r="L79" s="78"/>
      <c r="M79" s="174">
        <v>9.0</v>
      </c>
      <c r="N79" s="175">
        <v>8.0</v>
      </c>
      <c r="O79" s="175">
        <v>7.0</v>
      </c>
      <c r="P79" s="178">
        <v>6.0</v>
      </c>
      <c r="Q79" s="178">
        <v>5.0</v>
      </c>
      <c r="R79" s="179">
        <v>4.0</v>
      </c>
      <c r="S79" s="181">
        <v>3.0</v>
      </c>
      <c r="T79" s="3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3"/>
      <c r="G80" s="2"/>
      <c r="H80" s="140"/>
      <c r="I80" s="183" t="s">
        <v>95</v>
      </c>
      <c r="J80" s="173"/>
      <c r="K80" s="167">
        <f>K71*K102</f>
        <v>0.64</v>
      </c>
      <c r="L80" s="78"/>
      <c r="M80" s="174">
        <v>10.0</v>
      </c>
      <c r="N80" s="175">
        <v>9.0</v>
      </c>
      <c r="O80" s="175">
        <v>8.0</v>
      </c>
      <c r="P80" s="178">
        <v>7.0</v>
      </c>
      <c r="Q80" s="178">
        <v>6.0</v>
      </c>
      <c r="R80" s="179">
        <v>5.0</v>
      </c>
      <c r="S80" s="181">
        <v>4.0</v>
      </c>
      <c r="T80" s="3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3"/>
      <c r="G81" s="2"/>
      <c r="H81" s="140"/>
      <c r="I81" s="183" t="s">
        <v>96</v>
      </c>
      <c r="J81" s="173"/>
      <c r="K81" s="167">
        <f>K71*K103</f>
        <v>0.7351351351</v>
      </c>
      <c r="L81" s="78"/>
      <c r="M81" s="174">
        <v>11.0</v>
      </c>
      <c r="N81" s="175">
        <v>10.0</v>
      </c>
      <c r="O81" s="175">
        <v>9.0</v>
      </c>
      <c r="P81" s="178">
        <v>8.0</v>
      </c>
      <c r="Q81" s="178">
        <v>7.0</v>
      </c>
      <c r="R81" s="179">
        <v>6.0</v>
      </c>
      <c r="S81" s="181">
        <v>5.0</v>
      </c>
      <c r="T81" s="3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3"/>
      <c r="G82" s="2"/>
      <c r="H82" s="153"/>
      <c r="I82" s="183" t="s">
        <v>97</v>
      </c>
      <c r="J82" s="173"/>
      <c r="K82" s="167">
        <f>K71*K104</f>
        <v>0.7697297297</v>
      </c>
      <c r="L82" s="78"/>
      <c r="M82" s="174">
        <v>12.0</v>
      </c>
      <c r="N82" s="175">
        <v>11.0</v>
      </c>
      <c r="O82" s="175">
        <v>10.0</v>
      </c>
      <c r="P82" s="178">
        <v>9.0</v>
      </c>
      <c r="Q82" s="178">
        <v>8.0</v>
      </c>
      <c r="R82" s="179">
        <v>7.0</v>
      </c>
      <c r="S82" s="181">
        <v>6.0</v>
      </c>
      <c r="T82" s="3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3"/>
      <c r="G83" s="2"/>
      <c r="H83" s="184" t="s">
        <v>98</v>
      </c>
      <c r="I83" s="185" t="s">
        <v>99</v>
      </c>
      <c r="J83" s="173"/>
      <c r="K83" s="167">
        <f>K71*K105</f>
        <v>0.8043243243</v>
      </c>
      <c r="L83" s="78"/>
      <c r="M83" s="174">
        <v>13.0</v>
      </c>
      <c r="N83" s="175">
        <v>12.0</v>
      </c>
      <c r="O83" s="175">
        <v>11.0</v>
      </c>
      <c r="P83" s="178">
        <v>10.0</v>
      </c>
      <c r="Q83" s="178">
        <v>9.0</v>
      </c>
      <c r="R83" s="179">
        <v>8.0</v>
      </c>
      <c r="S83" s="181">
        <v>7.0</v>
      </c>
      <c r="T83" s="3"/>
      <c r="U83" s="2"/>
      <c r="V83" s="2"/>
      <c r="W83" s="2"/>
      <c r="X83" s="2"/>
      <c r="Y83" s="2"/>
      <c r="Z83" s="2"/>
    </row>
    <row r="84" ht="15.75" customHeight="1">
      <c r="A84" s="50"/>
      <c r="B84" s="53"/>
      <c r="C84" s="53"/>
      <c r="D84" s="53"/>
      <c r="E84" s="53"/>
      <c r="F84" s="54"/>
      <c r="G84" s="2"/>
      <c r="H84" s="140"/>
      <c r="I84" s="185" t="s">
        <v>100</v>
      </c>
      <c r="J84" s="154"/>
      <c r="K84" s="167">
        <f>K71*K106</f>
        <v>0.8389189189</v>
      </c>
      <c r="L84" s="78"/>
      <c r="M84" s="174">
        <v>14.0</v>
      </c>
      <c r="N84" s="175">
        <v>13.0</v>
      </c>
      <c r="O84" s="175">
        <v>12.0</v>
      </c>
      <c r="P84" s="178">
        <v>11.0</v>
      </c>
      <c r="Q84" s="178">
        <v>10.0</v>
      </c>
      <c r="R84" s="179">
        <v>9.0</v>
      </c>
      <c r="S84" s="181">
        <v>8.0</v>
      </c>
      <c r="T84" s="3"/>
      <c r="U84" s="2"/>
      <c r="V84" s="2"/>
      <c r="W84" s="2"/>
      <c r="X84" s="2"/>
      <c r="Y84" s="2"/>
      <c r="Z84" s="2"/>
    </row>
    <row r="85" ht="15.75" customHeight="1">
      <c r="A85" s="254" t="str">
        <f>'Perfil F-v SENTADILLA'!$B$22</f>
        <v/>
      </c>
      <c r="B85" s="201"/>
      <c r="C85" s="201"/>
      <c r="D85" s="201"/>
      <c r="E85" s="255" t="str">
        <f>'Perfil F-v SENTADILLA'!$C$22</f>
        <v/>
      </c>
      <c r="F85" s="2"/>
      <c r="G85" s="2"/>
      <c r="H85" s="140"/>
      <c r="I85" s="185" t="s">
        <v>101</v>
      </c>
      <c r="J85" s="188" t="s">
        <v>102</v>
      </c>
      <c r="K85" s="167">
        <f>K71*K107</f>
        <v>0.8648648649</v>
      </c>
      <c r="L85" s="78"/>
      <c r="M85" s="174">
        <v>15.0</v>
      </c>
      <c r="N85" s="175">
        <v>14.0</v>
      </c>
      <c r="O85" s="175">
        <v>13.0</v>
      </c>
      <c r="P85" s="178">
        <v>12.0</v>
      </c>
      <c r="Q85" s="178">
        <v>11.0</v>
      </c>
      <c r="R85" s="179">
        <v>10.0</v>
      </c>
      <c r="S85" s="181">
        <v>9.0</v>
      </c>
      <c r="T85" s="3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140"/>
      <c r="I86" s="185" t="s">
        <v>103</v>
      </c>
      <c r="J86" s="173"/>
      <c r="K86" s="167">
        <f>K71*K108</f>
        <v>0.9254054054</v>
      </c>
      <c r="L86" s="78"/>
      <c r="M86" s="174">
        <v>16.0</v>
      </c>
      <c r="N86" s="175">
        <v>15.0</v>
      </c>
      <c r="O86" s="175">
        <v>14.0</v>
      </c>
      <c r="P86" s="178">
        <v>13.0</v>
      </c>
      <c r="Q86" s="178">
        <v>12.0</v>
      </c>
      <c r="R86" s="179">
        <v>11.0</v>
      </c>
      <c r="S86" s="181">
        <v>10.0</v>
      </c>
      <c r="T86" s="3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140"/>
      <c r="I87" s="185" t="s">
        <v>104</v>
      </c>
      <c r="J87" s="173"/>
      <c r="K87" s="167">
        <f>K71*K109</f>
        <v>0.9513513514</v>
      </c>
      <c r="L87" s="78"/>
      <c r="M87" s="174">
        <v>17.0</v>
      </c>
      <c r="N87" s="175">
        <v>16.0</v>
      </c>
      <c r="O87" s="175">
        <v>15.0</v>
      </c>
      <c r="P87" s="178">
        <v>14.0</v>
      </c>
      <c r="Q87" s="178">
        <v>13.0</v>
      </c>
      <c r="R87" s="179">
        <v>12.0</v>
      </c>
      <c r="S87" s="181">
        <v>11.0</v>
      </c>
      <c r="T87" s="3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191"/>
      <c r="I88" s="192" t="s">
        <v>105</v>
      </c>
      <c r="J88" s="193"/>
      <c r="K88" s="194">
        <f>K71*K110</f>
        <v>0.9859459459</v>
      </c>
      <c r="L88" s="195"/>
      <c r="M88" s="196">
        <v>18.0</v>
      </c>
      <c r="N88" s="197">
        <v>17.0</v>
      </c>
      <c r="O88" s="197">
        <v>16.0</v>
      </c>
      <c r="P88" s="198">
        <v>15.0</v>
      </c>
      <c r="Q88" s="198">
        <v>14.0</v>
      </c>
      <c r="R88" s="199">
        <v>13.0</v>
      </c>
      <c r="S88" s="200">
        <v>12.0</v>
      </c>
      <c r="T88" s="3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</row>
    <row r="90" ht="15.75" customHeight="1">
      <c r="A90" s="50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4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56"/>
      <c r="J93" s="257"/>
      <c r="K93" s="25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56"/>
      <c r="J94" s="257"/>
      <c r="K94" s="258">
        <v>1.135135135135135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56"/>
      <c r="J95" s="257"/>
      <c r="K95" s="258">
        <v>1.2162162162162162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56"/>
      <c r="J96" s="257"/>
      <c r="K96" s="258">
        <v>1.4594594594594597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56"/>
      <c r="J97" s="257"/>
      <c r="K97" s="258">
        <v>1.5405405405405403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56"/>
      <c r="J98" s="257"/>
      <c r="K98" s="258">
        <v>1.6486486486486487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56"/>
      <c r="J99" s="257"/>
      <c r="K99" s="258">
        <v>1.7297297297297298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56"/>
      <c r="J100" s="257"/>
      <c r="K100" s="258">
        <v>1.810810810810811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56"/>
      <c r="J101" s="257"/>
      <c r="K101" s="258">
        <v>1.8918918918918919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56"/>
      <c r="J102" s="257"/>
      <c r="K102" s="258">
        <v>2.0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56"/>
      <c r="J103" s="257"/>
      <c r="K103" s="258">
        <v>2.2972972972972974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56"/>
      <c r="J104" s="257"/>
      <c r="K104" s="258">
        <v>2.4054054054054053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56"/>
      <c r="J105" s="257"/>
      <c r="K105" s="258">
        <v>2.5135135135135136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56"/>
      <c r="J106" s="257"/>
      <c r="K106" s="258">
        <v>2.6216216216216215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56"/>
      <c r="J107" s="257"/>
      <c r="K107" s="258">
        <v>2.7027027027027026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56"/>
      <c r="J108" s="257"/>
      <c r="K108" s="258">
        <v>2.891891891891892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56"/>
      <c r="J109" s="257"/>
      <c r="K109" s="258">
        <v>2.9729729729729732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56"/>
      <c r="J110" s="257"/>
      <c r="K110" s="258">
        <v>3.0810810810810807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1">
    <mergeCell ref="A1:T1"/>
    <mergeCell ref="A3:F3"/>
    <mergeCell ref="H3:L3"/>
    <mergeCell ref="B4:C4"/>
    <mergeCell ref="H4:L4"/>
    <mergeCell ref="B5:C5"/>
    <mergeCell ref="B6:C6"/>
    <mergeCell ref="B7:C7"/>
    <mergeCell ref="H37:L37"/>
    <mergeCell ref="I38:K38"/>
    <mergeCell ref="H5:L5"/>
    <mergeCell ref="H6:L6"/>
    <mergeCell ref="B14:C14"/>
    <mergeCell ref="B20:C20"/>
    <mergeCell ref="B21:C21"/>
    <mergeCell ref="A37:F37"/>
    <mergeCell ref="A38:F40"/>
    <mergeCell ref="N6:O6"/>
    <mergeCell ref="P6:R6"/>
    <mergeCell ref="N37:R37"/>
    <mergeCell ref="O38:Q38"/>
    <mergeCell ref="O39:Q39"/>
    <mergeCell ref="O40:Q40"/>
    <mergeCell ref="O41:P41"/>
    <mergeCell ref="M63:S63"/>
    <mergeCell ref="N64:O64"/>
    <mergeCell ref="P64:Q64"/>
    <mergeCell ref="R64:S64"/>
    <mergeCell ref="O42:P42"/>
    <mergeCell ref="O43:P43"/>
    <mergeCell ref="O44:P44"/>
    <mergeCell ref="O45:P45"/>
    <mergeCell ref="O46:P46"/>
    <mergeCell ref="O48:Q48"/>
    <mergeCell ref="H62:S62"/>
    <mergeCell ref="I39:K39"/>
    <mergeCell ref="I40:K40"/>
    <mergeCell ref="J43:K43"/>
    <mergeCell ref="I52:K52"/>
    <mergeCell ref="I53:K53"/>
    <mergeCell ref="I54:K54"/>
    <mergeCell ref="I55:K55"/>
    <mergeCell ref="K83:L83"/>
    <mergeCell ref="K84:L84"/>
    <mergeCell ref="K74:L74"/>
    <mergeCell ref="K75:L75"/>
    <mergeCell ref="J77:J84"/>
    <mergeCell ref="K77:L77"/>
    <mergeCell ref="K78:L78"/>
    <mergeCell ref="K79:L79"/>
    <mergeCell ref="K80:L80"/>
    <mergeCell ref="R67:R68"/>
    <mergeCell ref="S67:S68"/>
    <mergeCell ref="K65:K68"/>
    <mergeCell ref="L67:L68"/>
    <mergeCell ref="M67:M68"/>
    <mergeCell ref="N67:N68"/>
    <mergeCell ref="O67:O68"/>
    <mergeCell ref="P67:P68"/>
    <mergeCell ref="Q67:Q68"/>
    <mergeCell ref="K71:L71"/>
    <mergeCell ref="K72:L72"/>
    <mergeCell ref="H71:H73"/>
    <mergeCell ref="H74:H77"/>
    <mergeCell ref="H78:H82"/>
    <mergeCell ref="H83:H88"/>
    <mergeCell ref="H69:H70"/>
    <mergeCell ref="I69:I70"/>
    <mergeCell ref="J69:K69"/>
    <mergeCell ref="K70:L70"/>
    <mergeCell ref="M70:S70"/>
    <mergeCell ref="J71:J76"/>
    <mergeCell ref="K73:L73"/>
    <mergeCell ref="K76:L76"/>
    <mergeCell ref="K81:L81"/>
    <mergeCell ref="K82:L82"/>
    <mergeCell ref="J85:J88"/>
    <mergeCell ref="K85:L85"/>
    <mergeCell ref="K86:L86"/>
    <mergeCell ref="K87:L87"/>
    <mergeCell ref="K88:L88"/>
  </mergeCells>
  <conditionalFormatting sqref="L8:L33">
    <cfRule type="expression" dxfId="0" priority="1">
      <formula>ISERROR(L8)</formula>
    </cfRule>
  </conditionalFormatting>
  <hyperlinks>
    <hyperlink r:id="rId1" ref="Q20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19.43"/>
    <col customWidth="1" min="3" max="3" width="19.57"/>
    <col customWidth="1" min="4" max="4" width="19.86"/>
    <col customWidth="1" min="5" max="5" width="11.43"/>
    <col customWidth="1" min="6" max="7" width="17.43"/>
    <col customWidth="1" min="8" max="8" width="15.43"/>
    <col customWidth="1" min="9" max="9" width="24.57"/>
    <col customWidth="1" min="10" max="10" width="22.43"/>
    <col customWidth="1" min="11" max="11" width="20.43"/>
    <col customWidth="1" min="12" max="12" width="16.43"/>
    <col customWidth="1" min="13" max="13" width="11.86"/>
    <col customWidth="1" min="14" max="14" width="11.43"/>
    <col customWidth="1" min="15" max="15" width="17.43"/>
    <col customWidth="1" min="16" max="16" width="24.43"/>
    <col customWidth="1" min="17" max="17" width="25.43"/>
    <col customWidth="1" min="18" max="26" width="11.43"/>
  </cols>
  <sheetData>
    <row r="1">
      <c r="A1" s="203" t="s">
        <v>122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5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2"/>
      <c r="W2" s="2"/>
      <c r="X2" s="2"/>
      <c r="Y2" s="2"/>
      <c r="Z2" s="2"/>
    </row>
    <row r="3">
      <c r="A3" s="206" t="s">
        <v>0</v>
      </c>
      <c r="B3" s="5"/>
      <c r="C3" s="5"/>
      <c r="D3" s="5"/>
      <c r="E3" s="5"/>
      <c r="F3" s="6"/>
      <c r="G3" s="2"/>
      <c r="H3" s="206" t="s">
        <v>1</v>
      </c>
      <c r="I3" s="5"/>
      <c r="J3" s="5"/>
      <c r="K3" s="5"/>
      <c r="L3" s="6"/>
      <c r="M3" s="2"/>
      <c r="N3" s="2"/>
      <c r="O3" s="2"/>
      <c r="P3" s="2"/>
      <c r="Q3" s="2"/>
      <c r="R3" s="2"/>
      <c r="S3" s="2"/>
      <c r="T3" s="3"/>
      <c r="U3" s="2"/>
      <c r="V3" s="2"/>
      <c r="W3" s="2"/>
      <c r="X3" s="2"/>
      <c r="Y3" s="2"/>
      <c r="Z3" s="2"/>
    </row>
    <row r="4">
      <c r="A4" s="1"/>
      <c r="B4" s="8"/>
      <c r="C4" s="9"/>
      <c r="D4" s="2"/>
      <c r="E4" s="2"/>
      <c r="F4" s="3"/>
      <c r="G4" s="2"/>
      <c r="H4" s="10"/>
      <c r="I4" s="11"/>
      <c r="J4" s="11"/>
      <c r="K4" s="11"/>
      <c r="L4" s="12"/>
      <c r="M4" s="2"/>
      <c r="N4" s="2" t="s">
        <v>123</v>
      </c>
      <c r="O4" s="2"/>
      <c r="P4" s="2"/>
      <c r="Q4" s="2"/>
      <c r="R4" s="2"/>
      <c r="S4" s="2"/>
      <c r="T4" s="3"/>
      <c r="U4" s="2"/>
      <c r="V4" s="2"/>
      <c r="W4" s="2"/>
      <c r="X4" s="2"/>
      <c r="Y4" s="2"/>
      <c r="Z4" s="2"/>
    </row>
    <row r="5">
      <c r="A5" s="1"/>
      <c r="B5" s="207" t="s">
        <v>2</v>
      </c>
      <c r="C5" s="208"/>
      <c r="D5" s="2"/>
      <c r="E5" s="2"/>
      <c r="F5" s="3"/>
      <c r="G5" s="2"/>
      <c r="H5" s="209" t="s">
        <v>2</v>
      </c>
      <c r="I5" s="15"/>
      <c r="J5" s="15"/>
      <c r="K5" s="15"/>
      <c r="L5" s="16"/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</row>
    <row r="6">
      <c r="A6" s="1"/>
      <c r="B6" s="17" t="s">
        <v>3</v>
      </c>
      <c r="C6" s="18"/>
      <c r="D6" s="2"/>
      <c r="E6" s="2"/>
      <c r="F6" s="3"/>
      <c r="G6" s="2"/>
      <c r="H6" s="19" t="str">
        <f>"EVOLUCIÓN 1RM"&amp;"-"&amp;'Perfil F-v PESO MUERTO'!K41</f>
        <v>EVOLUCIÓN 1RM-PESO MUERTO</v>
      </c>
      <c r="I6" s="20"/>
      <c r="J6" s="20"/>
      <c r="K6" s="20"/>
      <c r="L6" s="21"/>
      <c r="M6" s="2"/>
      <c r="N6" s="22" t="s">
        <v>108</v>
      </c>
      <c r="O6" s="9"/>
      <c r="P6" s="23"/>
      <c r="Q6" s="11"/>
      <c r="R6" s="9"/>
      <c r="S6" s="2"/>
      <c r="T6" s="3"/>
      <c r="U6" s="2"/>
      <c r="V6" s="2"/>
      <c r="W6" s="2"/>
      <c r="X6" s="2"/>
      <c r="Y6" s="2"/>
      <c r="Z6" s="2"/>
    </row>
    <row r="7">
      <c r="A7" s="1"/>
      <c r="B7" s="19" t="str">
        <f>'Perfil F-v PESO MUERTO'!K41</f>
        <v>PESO MUERTO</v>
      </c>
      <c r="C7" s="21"/>
      <c r="D7" s="2"/>
      <c r="E7" s="2"/>
      <c r="F7" s="3"/>
      <c r="G7" s="2"/>
      <c r="H7" s="24" t="s">
        <v>5</v>
      </c>
      <c r="I7" s="25" t="s">
        <v>6</v>
      </c>
      <c r="J7" s="25" t="s">
        <v>7</v>
      </c>
      <c r="K7" s="25" t="s">
        <v>8</v>
      </c>
      <c r="L7" s="26" t="s">
        <v>9</v>
      </c>
      <c r="M7" s="2"/>
      <c r="N7" s="2" t="s">
        <v>109</v>
      </c>
      <c r="O7" s="27"/>
      <c r="P7" s="2"/>
      <c r="Q7" s="2"/>
      <c r="R7" s="2"/>
      <c r="S7" s="2"/>
      <c r="T7" s="3"/>
      <c r="U7" s="2"/>
      <c r="V7" s="2"/>
      <c r="W7" s="2"/>
      <c r="X7" s="2"/>
      <c r="Y7" s="2"/>
      <c r="Z7" s="2"/>
    </row>
    <row r="8">
      <c r="A8" s="1"/>
      <c r="B8" s="24" t="s">
        <v>10</v>
      </c>
      <c r="C8" s="26" t="s">
        <v>11</v>
      </c>
      <c r="D8" s="2"/>
      <c r="E8" s="2"/>
      <c r="F8" s="3"/>
      <c r="G8" s="2"/>
      <c r="H8" s="28">
        <v>43924.0</v>
      </c>
      <c r="I8" s="29">
        <v>80.0</v>
      </c>
      <c r="J8" s="29">
        <v>0.6</v>
      </c>
      <c r="K8" s="30">
        <f>IF((J8=""),(""),((('Perfil F-v PESO MUERTO'!$P$56-J8)/-'Perfil F-v PESO MUERTO'!$P$57)))</f>
        <v>83.19148936</v>
      </c>
      <c r="L8" s="31">
        <f t="shared" ref="L8:L33" si="1">IF((J8=""),(NA()),((I8*100)/K8))</f>
        <v>96.16368286</v>
      </c>
      <c r="M8" s="2"/>
      <c r="N8" s="32" t="s">
        <v>110</v>
      </c>
      <c r="O8" s="32"/>
      <c r="P8" s="2"/>
      <c r="Q8" s="2"/>
      <c r="R8" s="2"/>
      <c r="S8" s="2"/>
      <c r="T8" s="3"/>
      <c r="U8" s="2"/>
      <c r="V8" s="2"/>
      <c r="W8" s="2"/>
      <c r="X8" s="2"/>
      <c r="Y8" s="2"/>
      <c r="Z8" s="2"/>
    </row>
    <row r="9">
      <c r="A9" s="1"/>
      <c r="B9" s="33">
        <v>80.0</v>
      </c>
      <c r="C9" s="34">
        <v>0.6</v>
      </c>
      <c r="D9" s="2"/>
      <c r="E9" s="2"/>
      <c r="F9" s="3"/>
      <c r="G9" s="2"/>
      <c r="H9" s="28">
        <v>43925.0</v>
      </c>
      <c r="I9" s="29">
        <v>80.0</v>
      </c>
      <c r="J9" s="29">
        <v>0.69</v>
      </c>
      <c r="K9" s="30">
        <f>IF((J9=""),(""),((('Perfil F-v PESO MUERTO'!$P$56-J9)/-'Perfil F-v PESO MUERTO'!$P$57)))</f>
        <v>76.80851064</v>
      </c>
      <c r="L9" s="31">
        <f t="shared" si="1"/>
        <v>104.1551247</v>
      </c>
      <c r="M9" s="2"/>
      <c r="N9" s="32" t="s">
        <v>111</v>
      </c>
      <c r="O9" s="32"/>
      <c r="P9" s="2"/>
      <c r="Q9" s="2"/>
      <c r="R9" s="2"/>
      <c r="S9" s="2"/>
      <c r="T9" s="3"/>
      <c r="U9" s="2"/>
      <c r="V9" s="2"/>
      <c r="W9" s="2"/>
      <c r="X9" s="2"/>
      <c r="Y9" s="2"/>
      <c r="Z9" s="2"/>
    </row>
    <row r="10" ht="15.0" customHeight="1">
      <c r="A10" s="1"/>
      <c r="B10" s="24" t="s">
        <v>12</v>
      </c>
      <c r="C10" s="26" t="str">
        <f>(FIXED((('Perfil F-v PESO MUERTO'!P56-C9)/-'Perfil F-v PESO MUERTO'!P57),2))</f>
        <v>83,19</v>
      </c>
      <c r="D10" s="2"/>
      <c r="E10" s="2"/>
      <c r="F10" s="3"/>
      <c r="G10" s="2"/>
      <c r="H10" s="28"/>
      <c r="I10" s="29"/>
      <c r="J10" s="29"/>
      <c r="K10" s="30" t="str">
        <f>IF((J10=""),(""),((('Perfil F-v PESO MUERTO'!$P$56-J10)/-'Perfil F-v PESO MUERTO'!$P$57)))</f>
        <v/>
      </c>
      <c r="L10" s="31" t="str">
        <f t="shared" si="1"/>
        <v>#N/A</v>
      </c>
      <c r="M10" s="2"/>
      <c r="N10" s="32" t="s">
        <v>112</v>
      </c>
      <c r="O10" s="2"/>
      <c r="P10" s="2"/>
      <c r="Q10" s="2"/>
      <c r="R10" s="2"/>
      <c r="S10" s="2"/>
      <c r="T10" s="3"/>
      <c r="U10" s="2"/>
      <c r="V10" s="2"/>
      <c r="W10" s="2"/>
      <c r="X10" s="2"/>
      <c r="Y10" s="2"/>
      <c r="Z10" s="2"/>
    </row>
    <row r="11" ht="21.75" customHeight="1">
      <c r="A11" s="1"/>
      <c r="B11" s="35" t="s">
        <v>124</v>
      </c>
      <c r="C11" s="36">
        <f>'Perfil F-v PESO MUERTO'!P59</f>
        <v>0.9975682594</v>
      </c>
      <c r="D11" s="2"/>
      <c r="E11" s="2"/>
      <c r="F11" s="3"/>
      <c r="G11" s="2"/>
      <c r="H11" s="28"/>
      <c r="I11" s="29"/>
      <c r="J11" s="29"/>
      <c r="K11" s="30" t="str">
        <f>IF((J11=""),(""),((('Perfil F-v PESO MUERTO'!$P$56-J11)/-'Perfil F-v PESO MUERTO'!$P$57)))</f>
        <v/>
      </c>
      <c r="L11" s="31" t="str">
        <f t="shared" si="1"/>
        <v>#N/A</v>
      </c>
      <c r="M11" s="2"/>
      <c r="N11" s="2"/>
      <c r="O11" s="2"/>
      <c r="P11" s="2"/>
      <c r="Q11" s="2"/>
      <c r="R11" s="2"/>
      <c r="S11" s="2"/>
      <c r="T11" s="3"/>
      <c r="U11" s="2"/>
      <c r="V11" s="2"/>
      <c r="W11" s="2"/>
      <c r="X11" s="2"/>
      <c r="Y11" s="2"/>
      <c r="Z11" s="2"/>
    </row>
    <row r="12" ht="21.75" customHeight="1">
      <c r="A12" s="1"/>
      <c r="B12" s="37" t="s">
        <v>14</v>
      </c>
      <c r="C12" s="38">
        <f>(((B9*100)/C10))</f>
        <v>96.1654045</v>
      </c>
      <c r="D12" s="2"/>
      <c r="E12" s="2"/>
      <c r="F12" s="3"/>
      <c r="G12" s="2"/>
      <c r="H12" s="28"/>
      <c r="I12" s="29"/>
      <c r="J12" s="29"/>
      <c r="K12" s="30" t="str">
        <f>IF((J12=""),(""),((('Perfil F-v PESO MUERTO'!$P$56-J12)/-'Perfil F-v PESO MUERTO'!$P$57)))</f>
        <v/>
      </c>
      <c r="L12" s="31" t="str">
        <f t="shared" si="1"/>
        <v>#N/A</v>
      </c>
      <c r="M12" s="2"/>
      <c r="N12" s="2"/>
      <c r="O12" s="2"/>
      <c r="P12" s="2"/>
      <c r="Q12" s="2"/>
      <c r="R12" s="2"/>
      <c r="S12" s="2"/>
      <c r="T12" s="3"/>
      <c r="U12" s="2"/>
      <c r="V12" s="2"/>
      <c r="W12" s="2"/>
      <c r="X12" s="2"/>
      <c r="Y12" s="2"/>
      <c r="Z12" s="2"/>
    </row>
    <row r="13" ht="16.5" customHeight="1">
      <c r="A13" s="1"/>
      <c r="B13" s="39"/>
      <c r="C13" s="40"/>
      <c r="D13" s="2"/>
      <c r="E13" s="2"/>
      <c r="F13" s="3"/>
      <c r="G13" s="2"/>
      <c r="H13" s="28"/>
      <c r="I13" s="29"/>
      <c r="J13" s="29"/>
      <c r="K13" s="30" t="str">
        <f>IF((J13=""),(""),((('Perfil F-v PESO MUERTO'!$P$56-J13)/-'Perfil F-v PESO MUERTO'!$P$57)))</f>
        <v/>
      </c>
      <c r="L13" s="31" t="str">
        <f t="shared" si="1"/>
        <v>#N/A</v>
      </c>
      <c r="M13" s="2"/>
      <c r="N13" s="2"/>
      <c r="O13" s="2"/>
      <c r="P13" s="2"/>
      <c r="Q13" s="2"/>
      <c r="R13" s="2"/>
      <c r="S13" s="2"/>
      <c r="T13" s="3"/>
      <c r="U13" s="2"/>
      <c r="V13" s="2"/>
      <c r="W13" s="2"/>
      <c r="X13" s="2"/>
      <c r="Y13" s="2"/>
      <c r="Z13" s="2"/>
    </row>
    <row r="14" ht="16.5" customHeight="1">
      <c r="A14" s="1"/>
      <c r="B14" s="17" t="s">
        <v>15</v>
      </c>
      <c r="C14" s="18"/>
      <c r="D14" s="2"/>
      <c r="E14" s="2"/>
      <c r="F14" s="3"/>
      <c r="G14" s="2"/>
      <c r="H14" s="28"/>
      <c r="I14" s="29"/>
      <c r="J14" s="29"/>
      <c r="K14" s="30" t="str">
        <f>IF((J14=""),(""),((('Perfil F-v PESO MUERTO'!$P$56-J14)/-'Perfil F-v PESO MUERTO'!$P$57)))</f>
        <v/>
      </c>
      <c r="L14" s="31" t="str">
        <f t="shared" si="1"/>
        <v>#N/A</v>
      </c>
      <c r="M14" s="2"/>
      <c r="N14" s="2"/>
      <c r="O14" s="2"/>
      <c r="P14" s="2"/>
      <c r="Q14" s="2"/>
      <c r="R14" s="2"/>
      <c r="S14" s="2"/>
      <c r="T14" s="3"/>
      <c r="U14" s="2"/>
      <c r="V14" s="2"/>
      <c r="W14" s="2"/>
      <c r="X14" s="2"/>
      <c r="Y14" s="2"/>
      <c r="Z14" s="2"/>
    </row>
    <row r="15" ht="21.0" customHeight="1">
      <c r="A15" s="1"/>
      <c r="B15" s="24" t="s">
        <v>16</v>
      </c>
      <c r="C15" s="41" t="s">
        <v>17</v>
      </c>
      <c r="D15" s="2"/>
      <c r="E15" s="2"/>
      <c r="F15" s="3"/>
      <c r="G15" s="2"/>
      <c r="H15" s="28"/>
      <c r="I15" s="29"/>
      <c r="J15" s="29"/>
      <c r="K15" s="30" t="str">
        <f>IF((J15=""),(""),((('Perfil F-v PESO MUERTO'!$P$56-J15)/-'Perfil F-v PESO MUERTO'!$P$57)))</f>
        <v/>
      </c>
      <c r="L15" s="31" t="str">
        <f t="shared" si="1"/>
        <v>#N/A</v>
      </c>
      <c r="M15" s="2"/>
      <c r="N15" s="2"/>
      <c r="O15" s="2"/>
      <c r="P15" s="2"/>
      <c r="Q15" s="2"/>
      <c r="R15" s="2"/>
      <c r="S15" s="2"/>
      <c r="T15" s="3"/>
      <c r="U15" s="2"/>
      <c r="V15" s="2"/>
      <c r="W15" s="2"/>
      <c r="X15" s="2"/>
      <c r="Y15" s="2"/>
      <c r="Z15" s="2"/>
    </row>
    <row r="16">
      <c r="A16" s="1"/>
      <c r="B16" s="42">
        <v>65.0</v>
      </c>
      <c r="C16" s="43">
        <f>(C12*B16)/100</f>
        <v>62.50751292</v>
      </c>
      <c r="D16" s="2"/>
      <c r="E16" s="2"/>
      <c r="F16" s="3"/>
      <c r="G16" s="2"/>
      <c r="H16" s="28"/>
      <c r="I16" s="29"/>
      <c r="J16" s="29"/>
      <c r="K16" s="30" t="str">
        <f>IF((J16=""),(""),((('Perfil F-v PESO MUERTO'!$P$56-J16)/-'Perfil F-v PESO MUERTO'!$P$57)))</f>
        <v/>
      </c>
      <c r="L16" s="31" t="str">
        <f t="shared" si="1"/>
        <v>#N/A</v>
      </c>
      <c r="M16" s="2"/>
      <c r="N16" s="2"/>
      <c r="O16" s="2"/>
      <c r="P16" s="2"/>
      <c r="Q16" s="2"/>
      <c r="R16" s="2"/>
      <c r="S16" s="2"/>
      <c r="T16" s="3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3"/>
      <c r="G17" s="2"/>
      <c r="H17" s="28"/>
      <c r="I17" s="29"/>
      <c r="J17" s="29"/>
      <c r="K17" s="30" t="str">
        <f>IF((J17=""),(""),((('Perfil F-v PESO MUERTO'!$P$56-J17)/-'Perfil F-v PESO MUERTO'!$P$57)))</f>
        <v/>
      </c>
      <c r="L17" s="31" t="str">
        <f t="shared" si="1"/>
        <v>#N/A</v>
      </c>
      <c r="M17" s="2"/>
      <c r="N17" s="2"/>
      <c r="O17" s="2"/>
      <c r="P17" s="2"/>
      <c r="Q17" s="2"/>
      <c r="R17" s="2"/>
      <c r="S17" s="2"/>
      <c r="T17" s="3"/>
      <c r="U17" s="2"/>
      <c r="V17" s="2"/>
      <c r="W17" s="2"/>
      <c r="X17" s="2"/>
      <c r="Y17" s="2"/>
      <c r="Z17" s="2"/>
    </row>
    <row r="18">
      <c r="A18" s="1"/>
      <c r="B18" s="44" t="s">
        <v>18</v>
      </c>
      <c r="C18" s="45" t="s">
        <v>19</v>
      </c>
      <c r="D18" s="2"/>
      <c r="E18" s="2"/>
      <c r="F18" s="3"/>
      <c r="G18" s="2"/>
      <c r="H18" s="28"/>
      <c r="I18" s="29"/>
      <c r="J18" s="29"/>
      <c r="K18" s="30" t="str">
        <f>IF((J18=""),(""),((('Perfil F-v PESO MUERTO'!$P$56-J18)/-'Perfil F-v PESO MUERTO'!$P$57)))</f>
        <v/>
      </c>
      <c r="L18" s="31" t="str">
        <f t="shared" si="1"/>
        <v>#N/A</v>
      </c>
      <c r="M18" s="2"/>
      <c r="N18" s="2"/>
      <c r="O18" s="2"/>
      <c r="P18" s="2"/>
      <c r="R18" s="2"/>
      <c r="S18" s="2"/>
      <c r="T18" s="3"/>
      <c r="U18" s="2"/>
      <c r="V18" s="2"/>
      <c r="W18" s="2"/>
      <c r="X18" s="2"/>
      <c r="Y18" s="2"/>
      <c r="Z18" s="2"/>
    </row>
    <row r="19">
      <c r="A19" s="1"/>
      <c r="B19" s="46">
        <v>20.0</v>
      </c>
      <c r="C19" s="47">
        <v>1.25</v>
      </c>
      <c r="D19" s="2"/>
      <c r="E19" s="2"/>
      <c r="F19" s="3"/>
      <c r="G19" s="2"/>
      <c r="H19" s="28"/>
      <c r="I19" s="29"/>
      <c r="J19" s="29"/>
      <c r="K19" s="30" t="str">
        <f>IF((J19=""),(""),((('Perfil F-v PESO MUERTO'!$P$56-J19)/-'Perfil F-v PESO MUERTO'!$P$57)))</f>
        <v/>
      </c>
      <c r="L19" s="31" t="str">
        <f t="shared" si="1"/>
        <v>#N/A</v>
      </c>
      <c r="M19" s="2"/>
      <c r="N19" s="2"/>
      <c r="O19" s="2"/>
      <c r="P19" s="2"/>
      <c r="Q19" s="2"/>
      <c r="R19" s="2"/>
      <c r="S19" s="2"/>
      <c r="T19" s="3"/>
      <c r="U19" s="2"/>
      <c r="V19" s="2"/>
      <c r="W19" s="2"/>
      <c r="X19" s="2"/>
      <c r="Y19" s="2"/>
      <c r="Z19" s="2"/>
    </row>
    <row r="20">
      <c r="A20" s="1"/>
      <c r="B20" s="48" t="s">
        <v>20</v>
      </c>
      <c r="C20" s="21"/>
      <c r="D20" s="2"/>
      <c r="E20" s="2"/>
      <c r="F20" s="3"/>
      <c r="G20" s="2"/>
      <c r="H20" s="28"/>
      <c r="I20" s="29"/>
      <c r="J20" s="29"/>
      <c r="K20" s="30" t="str">
        <f>IF((J20=""),(""),((('Perfil F-v PESO MUERTO'!$P$56-J20)/-'Perfil F-v PESO MUERTO'!$P$57)))</f>
        <v/>
      </c>
      <c r="L20" s="31" t="str">
        <f t="shared" si="1"/>
        <v>#N/A</v>
      </c>
      <c r="M20" s="2"/>
      <c r="N20" s="2"/>
      <c r="O20" s="2"/>
      <c r="P20" s="2"/>
      <c r="Q20" s="49" t="s">
        <v>114</v>
      </c>
      <c r="R20" s="2"/>
      <c r="S20" s="2"/>
      <c r="T20" s="3"/>
      <c r="U20" s="2"/>
      <c r="V20" s="2"/>
      <c r="W20" s="2"/>
      <c r="X20" s="2"/>
      <c r="Y20" s="2"/>
      <c r="Z20" s="2"/>
    </row>
    <row r="21" ht="15.75" customHeight="1">
      <c r="A21" s="50"/>
      <c r="B21" s="51">
        <f>(CEILING(((C16-B19)/2),C19))</f>
        <v>22.5</v>
      </c>
      <c r="C21" s="52"/>
      <c r="D21" s="53"/>
      <c r="E21" s="53"/>
      <c r="F21" s="54"/>
      <c r="G21" s="2"/>
      <c r="H21" s="28"/>
      <c r="I21" s="29"/>
      <c r="J21" s="29"/>
      <c r="K21" s="30" t="str">
        <f>IF((J21=""),(""),((('Perfil F-v PESO MUERTO'!$P$56-J21)/-'Perfil F-v PESO MUERTO'!$P$57)))</f>
        <v/>
      </c>
      <c r="L21" s="31" t="str">
        <f t="shared" si="1"/>
        <v>#N/A</v>
      </c>
      <c r="M21" s="2"/>
      <c r="N21" s="2"/>
      <c r="O21" s="2"/>
      <c r="P21" s="2"/>
      <c r="Q21" s="2"/>
      <c r="R21" s="2"/>
      <c r="S21" s="2"/>
      <c r="T21" s="3"/>
      <c r="U21" s="2"/>
      <c r="V21" s="2"/>
      <c r="W21" s="2"/>
      <c r="X21" s="2"/>
      <c r="Y21" s="2"/>
      <c r="Z21" s="2"/>
    </row>
    <row r="22" ht="15.75" customHeight="1">
      <c r="A22" s="1"/>
      <c r="B22" s="202" t="str">
        <f>'Perfil F-v PRESS BANCA'!B21</f>
        <v/>
      </c>
      <c r="C22" s="202" t="str">
        <f>'Perfil F-v PRESS BANCA'!C21</f>
        <v/>
      </c>
      <c r="D22" s="2"/>
      <c r="E22" s="2"/>
      <c r="F22" s="2"/>
      <c r="G22" s="2"/>
      <c r="H22" s="28"/>
      <c r="I22" s="29"/>
      <c r="J22" s="29"/>
      <c r="K22" s="30" t="str">
        <f>IF((J22=""),(""),((('Perfil F-v PESO MUERTO'!$P$56-J22)/-'Perfil F-v PESO MUERTO'!$P$57)))</f>
        <v/>
      </c>
      <c r="L22" s="31" t="str">
        <f t="shared" si="1"/>
        <v>#N/A</v>
      </c>
      <c r="M22" s="2"/>
      <c r="N22" s="2"/>
      <c r="O22" s="2"/>
      <c r="P22" s="2"/>
      <c r="Q22" s="2"/>
      <c r="R22" s="2"/>
      <c r="S22" s="2"/>
      <c r="T22" s="3"/>
      <c r="U22" s="2"/>
      <c r="V22" s="2"/>
      <c r="W22" s="2"/>
      <c r="X22" s="2"/>
      <c r="Y22" s="2"/>
      <c r="Z22" s="2"/>
    </row>
    <row r="23" ht="15.75" customHeight="1">
      <c r="A23" s="1"/>
      <c r="B23" s="55"/>
      <c r="C23" s="56"/>
      <c r="D23" s="2"/>
      <c r="E23" s="2"/>
      <c r="F23" s="2"/>
      <c r="G23" s="2"/>
      <c r="H23" s="28"/>
      <c r="I23" s="29"/>
      <c r="J23" s="29"/>
      <c r="K23" s="30" t="str">
        <f>IF((J23=""),(""),((('Perfil F-v PESO MUERTO'!$P$56-J23)/-'Perfil F-v PESO MUERTO'!$P$57)))</f>
        <v/>
      </c>
      <c r="L23" s="31" t="str">
        <f t="shared" si="1"/>
        <v>#N/A</v>
      </c>
      <c r="M23" s="2"/>
      <c r="N23" s="2"/>
      <c r="O23" s="2"/>
      <c r="P23" s="2"/>
      <c r="Q23" s="2"/>
      <c r="R23" s="2"/>
      <c r="S23" s="2"/>
      <c r="T23" s="3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8"/>
      <c r="I24" s="29"/>
      <c r="J24" s="29"/>
      <c r="K24" s="30" t="str">
        <f>IF((J24=""),(""),((('Perfil F-v PESO MUERTO'!$P$56-J24)/-'Perfil F-v PESO MUERTO'!$P$57)))</f>
        <v/>
      </c>
      <c r="L24" s="31" t="str">
        <f t="shared" si="1"/>
        <v>#N/A</v>
      </c>
      <c r="M24" s="2"/>
      <c r="N24" s="2"/>
      <c r="O24" s="2"/>
      <c r="P24" s="2"/>
      <c r="Q24" s="2"/>
      <c r="R24" s="2"/>
      <c r="S24" s="2"/>
      <c r="T24" s="3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8"/>
      <c r="I25" s="29"/>
      <c r="J25" s="29"/>
      <c r="K25" s="30" t="str">
        <f>IF((J25=""),(""),((('Perfil F-v PESO MUERTO'!$P$56-J25)/-'Perfil F-v PESO MUERTO'!$P$57)))</f>
        <v/>
      </c>
      <c r="L25" s="31" t="str">
        <f t="shared" si="1"/>
        <v>#N/A</v>
      </c>
      <c r="M25" s="2"/>
      <c r="N25" s="2"/>
      <c r="O25" s="2"/>
      <c r="P25" s="2"/>
      <c r="Q25" s="2"/>
      <c r="R25" s="2"/>
      <c r="S25" s="2"/>
      <c r="T25" s="3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8"/>
      <c r="I26" s="29"/>
      <c r="J26" s="29"/>
      <c r="K26" s="30" t="str">
        <f>IF((J26=""),(""),((('Perfil F-v PESO MUERTO'!$P$56-J26)/-'Perfil F-v PESO MUERTO'!$P$57)))</f>
        <v/>
      </c>
      <c r="L26" s="31" t="str">
        <f t="shared" si="1"/>
        <v>#N/A</v>
      </c>
      <c r="M26" s="2"/>
      <c r="N26" s="2"/>
      <c r="O26" s="2"/>
      <c r="P26" s="2"/>
      <c r="Q26" s="2"/>
      <c r="R26" s="2"/>
      <c r="S26" s="2"/>
      <c r="T26" s="3"/>
      <c r="U26" s="2"/>
      <c r="V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8"/>
      <c r="I27" s="29"/>
      <c r="J27" s="29"/>
      <c r="K27" s="30" t="str">
        <f>IF((J27=""),(""),((('Perfil F-v PESO MUERTO'!$P$56-J27)/-'Perfil F-v PESO MUERTO'!$P$57)))</f>
        <v/>
      </c>
      <c r="L27" s="31" t="str">
        <f t="shared" si="1"/>
        <v>#N/A</v>
      </c>
      <c r="M27" s="2"/>
      <c r="N27" s="2"/>
      <c r="O27" s="2"/>
      <c r="P27" s="2"/>
      <c r="Q27" s="2"/>
      <c r="R27" s="2"/>
      <c r="S27" s="2"/>
      <c r="T27" s="3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8"/>
      <c r="I28" s="29"/>
      <c r="J28" s="29"/>
      <c r="K28" s="30" t="str">
        <f>IF((J28=""),(""),((('Perfil F-v PESO MUERTO'!$P$56-J28)/-'Perfil F-v PESO MUERTO'!$P$57)))</f>
        <v/>
      </c>
      <c r="L28" s="31" t="str">
        <f t="shared" si="1"/>
        <v>#N/A</v>
      </c>
      <c r="M28" s="2"/>
      <c r="N28" s="2"/>
      <c r="O28" s="2"/>
      <c r="P28" s="2"/>
      <c r="Q28" s="2"/>
      <c r="R28" s="2"/>
      <c r="S28" s="2"/>
      <c r="T28" s="3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8"/>
      <c r="I29" s="29"/>
      <c r="J29" s="29"/>
      <c r="K29" s="30" t="str">
        <f>IF((J29=""),(""),((('Perfil F-v PESO MUERTO'!$P$56-J29)/-'Perfil F-v PESO MUERTO'!$P$57)))</f>
        <v/>
      </c>
      <c r="L29" s="31" t="str">
        <f t="shared" si="1"/>
        <v>#N/A</v>
      </c>
      <c r="M29" s="2"/>
      <c r="N29" s="2"/>
      <c r="O29" s="2"/>
      <c r="P29" s="2"/>
      <c r="Q29" s="2"/>
      <c r="R29" s="2"/>
      <c r="S29" s="2"/>
      <c r="T29" s="3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8"/>
      <c r="I30" s="29"/>
      <c r="J30" s="29"/>
      <c r="K30" s="30" t="str">
        <f>IF((J30=""),(""),((('Perfil F-v PESO MUERTO'!$P$56-J30)/-'Perfil F-v PESO MUERTO'!$P$57)))</f>
        <v/>
      </c>
      <c r="L30" s="31" t="str">
        <f t="shared" si="1"/>
        <v>#N/A</v>
      </c>
      <c r="M30" s="2"/>
      <c r="N30" s="2"/>
      <c r="O30" s="2"/>
      <c r="P30" s="2"/>
      <c r="Q30" s="2"/>
      <c r="R30" s="2"/>
      <c r="S30" s="2"/>
      <c r="T30" s="3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8"/>
      <c r="I31" s="29"/>
      <c r="J31" s="29"/>
      <c r="K31" s="30" t="str">
        <f>IF((J31=""),(""),((('Perfil F-v PESO MUERTO'!$P$56-J31)/-'Perfil F-v PESO MUERTO'!$P$57)))</f>
        <v/>
      </c>
      <c r="L31" s="31" t="str">
        <f t="shared" si="1"/>
        <v>#N/A</v>
      </c>
      <c r="M31" s="2"/>
      <c r="N31" s="2"/>
      <c r="O31" s="2"/>
      <c r="P31" s="2"/>
      <c r="Q31" s="2"/>
      <c r="R31" s="2"/>
      <c r="S31" s="2"/>
      <c r="T31" s="3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8"/>
      <c r="I32" s="29"/>
      <c r="J32" s="29"/>
      <c r="K32" s="30" t="str">
        <f>IF((J32=""),(""),((('Perfil F-v PESO MUERTO'!$P$56-J32)/-'Perfil F-v PESO MUERTO'!$P$57)))</f>
        <v/>
      </c>
      <c r="L32" s="31" t="str">
        <f t="shared" si="1"/>
        <v>#N/A</v>
      </c>
      <c r="M32" s="2"/>
      <c r="N32" s="2"/>
      <c r="O32" s="2"/>
      <c r="P32" s="2"/>
      <c r="Q32" s="2"/>
      <c r="R32" s="2"/>
      <c r="S32" s="2"/>
      <c r="T32" s="3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57"/>
      <c r="I33" s="58"/>
      <c r="J33" s="58"/>
      <c r="K33" s="59" t="str">
        <f>IF((J33=""),(""),((('Perfil F-v PESO MUERTO'!$P$56-J33)/-'Perfil F-v PESO MUERTO'!$P$57)))</f>
        <v/>
      </c>
      <c r="L33" s="60" t="str">
        <f t="shared" si="1"/>
        <v>#N/A</v>
      </c>
      <c r="M33" s="2"/>
      <c r="N33" s="2"/>
      <c r="O33" s="2"/>
      <c r="P33" s="2"/>
      <c r="Q33" s="2"/>
      <c r="R33" s="2"/>
      <c r="S33" s="2"/>
      <c r="T33" s="3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U36" s="2"/>
      <c r="V36" s="2"/>
      <c r="W36" s="2"/>
      <c r="X36" s="2"/>
      <c r="Y36" s="2"/>
      <c r="Z36" s="2"/>
    </row>
    <row r="37" ht="27.0" customHeight="1">
      <c r="A37" s="206" t="s">
        <v>21</v>
      </c>
      <c r="B37" s="5"/>
      <c r="C37" s="5"/>
      <c r="D37" s="5"/>
      <c r="E37" s="5"/>
      <c r="F37" s="6"/>
      <c r="G37" s="210"/>
      <c r="H37" s="206" t="s">
        <v>22</v>
      </c>
      <c r="I37" s="5"/>
      <c r="J37" s="5"/>
      <c r="K37" s="5"/>
      <c r="L37" s="6"/>
      <c r="M37" s="2"/>
      <c r="N37" s="206" t="s">
        <v>23</v>
      </c>
      <c r="O37" s="5"/>
      <c r="P37" s="5"/>
      <c r="Q37" s="5"/>
      <c r="R37" s="6"/>
      <c r="S37" s="2"/>
      <c r="T37" s="3"/>
      <c r="U37" s="2"/>
      <c r="V37" s="2"/>
      <c r="W37" s="2"/>
      <c r="X37" s="2"/>
      <c r="Y37" s="2"/>
      <c r="Z37" s="2"/>
    </row>
    <row r="38" ht="15.0" customHeight="1">
      <c r="A38" s="63" t="str">
        <f>'Perfil F-v PESO MUERTO'!K41</f>
        <v>PESO MUERTO</v>
      </c>
      <c r="B38" s="64"/>
      <c r="C38" s="64"/>
      <c r="D38" s="64"/>
      <c r="E38" s="64"/>
      <c r="F38" s="65"/>
      <c r="G38" s="211"/>
      <c r="H38" s="1"/>
      <c r="I38" s="212"/>
      <c r="J38" s="213"/>
      <c r="K38" s="214"/>
      <c r="L38" s="3"/>
      <c r="M38" s="2"/>
      <c r="N38" s="1"/>
      <c r="O38" s="8"/>
      <c r="P38" s="11"/>
      <c r="Q38" s="9"/>
      <c r="R38" s="3"/>
      <c r="S38" s="2"/>
      <c r="T38" s="3"/>
      <c r="U38" s="2"/>
      <c r="V38" s="2"/>
      <c r="W38" s="2"/>
      <c r="X38" s="2"/>
      <c r="Y38" s="2"/>
      <c r="Z38" s="2"/>
    </row>
    <row r="39" ht="15.0" customHeight="1">
      <c r="A39" s="66"/>
      <c r="F39" s="67"/>
      <c r="G39" s="211"/>
      <c r="H39" s="1"/>
      <c r="I39" s="215" t="s">
        <v>2</v>
      </c>
      <c r="J39" s="69"/>
      <c r="K39" s="70"/>
      <c r="L39" s="3"/>
      <c r="M39" s="2"/>
      <c r="N39" s="1"/>
      <c r="O39" s="8"/>
      <c r="P39" s="11"/>
      <c r="Q39" s="9"/>
      <c r="R39" s="3"/>
      <c r="S39" s="2"/>
      <c r="T39" s="3"/>
      <c r="U39" s="2"/>
      <c r="V39" s="2"/>
      <c r="W39" s="2"/>
      <c r="X39" s="2"/>
      <c r="Y39" s="2"/>
      <c r="Z39" s="2"/>
    </row>
    <row r="40" ht="24.75" customHeight="1">
      <c r="A40" s="71"/>
      <c r="B40" s="72"/>
      <c r="C40" s="72"/>
      <c r="D40" s="72"/>
      <c r="E40" s="72"/>
      <c r="F40" s="73"/>
      <c r="G40" s="211"/>
      <c r="H40" s="1"/>
      <c r="I40" s="74" t="str">
        <f>"PERFIL"&amp;" "&amp; K41</f>
        <v>PERFIL PESO MUERTO</v>
      </c>
      <c r="J40" s="75"/>
      <c r="K40" s="76"/>
      <c r="L40" s="3"/>
      <c r="M40" s="2"/>
      <c r="N40" s="1"/>
      <c r="O40" s="77" t="str">
        <f>'Perfil F-v PESO MUERTO'!K41</f>
        <v>PESO MUERTO</v>
      </c>
      <c r="P40" s="20"/>
      <c r="Q40" s="78"/>
      <c r="R40" s="3"/>
      <c r="S40" s="2"/>
      <c r="T40" s="3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61"/>
      <c r="D41" s="61"/>
      <c r="E41" s="61"/>
      <c r="F41" s="3"/>
      <c r="G41" s="2"/>
      <c r="H41" s="1"/>
      <c r="I41" s="80"/>
      <c r="J41" s="216" t="s">
        <v>24</v>
      </c>
      <c r="K41" s="217" t="s">
        <v>125</v>
      </c>
      <c r="L41" s="3"/>
      <c r="M41" s="2"/>
      <c r="N41" s="1"/>
      <c r="O41" s="77" t="s">
        <v>25</v>
      </c>
      <c r="P41" s="78"/>
      <c r="Q41" s="218" t="str">
        <f>FIXED(INTERCEPT('Perfil F-v PESO MUERTO'!K45:K49,'Perfil F-v PESO MUERTO'!J45:J49),4)</f>
        <v>1,7730</v>
      </c>
      <c r="R41" s="3"/>
      <c r="S41" s="2"/>
      <c r="T41" s="3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3"/>
      <c r="G42" s="2"/>
      <c r="H42" s="1"/>
      <c r="I42" s="84" t="s">
        <v>26</v>
      </c>
      <c r="J42" s="81" t="s">
        <v>27</v>
      </c>
      <c r="K42" s="85">
        <v>0.36</v>
      </c>
      <c r="L42" s="3"/>
      <c r="M42" s="2"/>
      <c r="N42" s="1"/>
      <c r="O42" s="77" t="s">
        <v>28</v>
      </c>
      <c r="P42" s="78"/>
      <c r="Q42" s="219" t="str">
        <f>FIXED(SLOPE('Perfil F-v PESO MUERTO'!K45:K49,'Perfil F-v PESO MUERTO'!J45:J49),4)</f>
        <v>-0,0146</v>
      </c>
      <c r="R42" s="3"/>
      <c r="S42" s="2"/>
      <c r="T42" s="3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3"/>
      <c r="G43" s="2"/>
      <c r="H43" s="1"/>
      <c r="I43" s="88" t="s">
        <v>29</v>
      </c>
      <c r="J43" s="220" t="s">
        <v>30</v>
      </c>
      <c r="K43" s="78"/>
      <c r="L43" s="3"/>
      <c r="M43" s="2"/>
      <c r="N43" s="1"/>
      <c r="O43" s="77" t="s">
        <v>31</v>
      </c>
      <c r="P43" s="90"/>
      <c r="Q43" s="221" t="str">
        <f>CONCATENATE("Y=",Q42,"x +  ",Q41)</f>
        <v>Y=-0,0146x +  1,7730</v>
      </c>
      <c r="R43" s="3"/>
      <c r="S43" s="2"/>
      <c r="T43" s="3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3"/>
      <c r="G44" s="2"/>
      <c r="H44" s="1"/>
      <c r="I44" s="88" t="s">
        <v>32</v>
      </c>
      <c r="J44" s="92" t="s">
        <v>33</v>
      </c>
      <c r="K44" s="25" t="s">
        <v>34</v>
      </c>
      <c r="L44" s="3"/>
      <c r="M44" s="2"/>
      <c r="N44" s="1"/>
      <c r="O44" s="77" t="s">
        <v>35</v>
      </c>
      <c r="P44" s="78"/>
      <c r="Q44" s="216" t="str">
        <f>CONCATENATE("X=((",Q41,"-",'Perfil F-v PESO MUERTO'!$K$42,")/",-Q42,")")</f>
        <v>X=((1,7730-0,36)/0,0146)</v>
      </c>
      <c r="R44" s="3"/>
      <c r="S44" s="2"/>
      <c r="T44" s="3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3"/>
      <c r="G45" s="2"/>
      <c r="H45" s="1"/>
      <c r="I45" s="95">
        <v>0.75</v>
      </c>
      <c r="J45" s="96">
        <v>75.0</v>
      </c>
      <c r="K45" s="97">
        <v>0.68</v>
      </c>
      <c r="L45" s="3"/>
      <c r="M45" s="2"/>
      <c r="N45" s="1"/>
      <c r="O45" s="77" t="s">
        <v>36</v>
      </c>
      <c r="P45" s="78"/>
      <c r="Q45" s="222">
        <f>-(Q41-'Perfil F-v PESO MUERTO'!K42)/Q42</f>
        <v>96.78082192</v>
      </c>
      <c r="R45" s="3"/>
      <c r="S45" s="2"/>
      <c r="T45" s="3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3"/>
      <c r="G46" s="2"/>
      <c r="H46" s="1"/>
      <c r="I46" s="95">
        <v>0.8</v>
      </c>
      <c r="J46" s="96">
        <v>80.0</v>
      </c>
      <c r="K46" s="97">
        <v>0.6</v>
      </c>
      <c r="L46" s="3"/>
      <c r="M46" s="2"/>
      <c r="N46" s="1"/>
      <c r="O46" s="77" t="s">
        <v>126</v>
      </c>
      <c r="P46" s="78"/>
      <c r="Q46" s="223">
        <f>RSQ('Perfil F-v PESO MUERTO'!K45:K49,'Perfil F-v PESO MUERTO'!J45:J49)</f>
        <v>0.99644727</v>
      </c>
      <c r="R46" s="3"/>
      <c r="S46" s="2"/>
      <c r="T46" s="3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3"/>
      <c r="G47" s="2"/>
      <c r="H47" s="1"/>
      <c r="I47" s="95">
        <v>0.85</v>
      </c>
      <c r="J47" s="96">
        <v>85.0</v>
      </c>
      <c r="K47" s="97">
        <v>0.53</v>
      </c>
      <c r="L47" s="3"/>
      <c r="M47" s="2"/>
      <c r="N47" s="1"/>
      <c r="O47" s="224"/>
      <c r="P47" s="224"/>
      <c r="Q47" s="224"/>
      <c r="R47" s="3"/>
      <c r="S47" s="2"/>
      <c r="T47" s="3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3"/>
      <c r="G48" s="2"/>
      <c r="H48" s="1"/>
      <c r="I48" s="95">
        <v>0.9</v>
      </c>
      <c r="J48" s="96">
        <v>90.0</v>
      </c>
      <c r="K48" s="97">
        <v>0.47</v>
      </c>
      <c r="L48" s="3"/>
      <c r="M48" s="2"/>
      <c r="N48" s="1"/>
      <c r="O48" s="100" t="s">
        <v>38</v>
      </c>
      <c r="P48" s="20"/>
      <c r="Q48" s="78"/>
      <c r="R48" s="3"/>
      <c r="S48" s="2"/>
      <c r="T48" s="3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3"/>
      <c r="G49" s="2"/>
      <c r="H49" s="1"/>
      <c r="I49" s="95">
        <v>0.95</v>
      </c>
      <c r="J49" s="96">
        <v>95.0</v>
      </c>
      <c r="K49" s="97">
        <v>0.38</v>
      </c>
      <c r="L49" s="3"/>
      <c r="M49" s="2"/>
      <c r="N49" s="1"/>
      <c r="O49" s="225" t="s">
        <v>39</v>
      </c>
      <c r="P49" s="225" t="s">
        <v>40</v>
      </c>
      <c r="Q49" s="225" t="s">
        <v>41</v>
      </c>
      <c r="R49" s="3"/>
      <c r="S49" s="2"/>
      <c r="T49" s="3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3"/>
      <c r="G50" s="2"/>
      <c r="H50" s="1"/>
      <c r="I50" s="101" t="s">
        <v>42</v>
      </c>
      <c r="J50" s="25" t="s">
        <v>127</v>
      </c>
      <c r="K50" s="102">
        <f>'Perfil F-v PESO MUERTO'!Q46</f>
        <v>0.99644727</v>
      </c>
      <c r="L50" s="3"/>
      <c r="M50" s="2"/>
      <c r="N50" s="1"/>
      <c r="O50" s="226">
        <f>'Perfil F-v PESO MUERTO'!J45</f>
        <v>75</v>
      </c>
      <c r="P50" s="227">
        <f>(100*O50)/'Perfil F-v PESO MUERTO'!$Q$45</f>
        <v>77.49469214</v>
      </c>
      <c r="Q50" s="228">
        <f>'Perfil F-v PESO MUERTO'!K45</f>
        <v>0.68</v>
      </c>
      <c r="R50" s="3"/>
      <c r="S50" s="2"/>
      <c r="T50" s="3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3"/>
      <c r="G51" s="2"/>
      <c r="H51" s="1"/>
      <c r="I51" s="2"/>
      <c r="J51" s="2"/>
      <c r="K51" s="2"/>
      <c r="L51" s="3"/>
      <c r="M51" s="2"/>
      <c r="N51" s="1"/>
      <c r="O51" s="226">
        <f>'Perfil F-v PESO MUERTO'!J46</f>
        <v>80</v>
      </c>
      <c r="P51" s="227">
        <f>(100*O51)/'Perfil F-v PESO MUERTO'!$Q$45</f>
        <v>82.66100495</v>
      </c>
      <c r="Q51" s="228">
        <f>'Perfil F-v PESO MUERTO'!K46</f>
        <v>0.6</v>
      </c>
      <c r="R51" s="3"/>
      <c r="S51" s="2"/>
      <c r="T51" s="3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3"/>
      <c r="G52" s="2"/>
      <c r="H52" s="1"/>
      <c r="I52" s="105" t="s">
        <v>44</v>
      </c>
      <c r="J52" s="75"/>
      <c r="K52" s="76"/>
      <c r="L52" s="3"/>
      <c r="M52" s="2"/>
      <c r="N52" s="1"/>
      <c r="O52" s="226">
        <f>'Perfil F-v PESO MUERTO'!J47</f>
        <v>85</v>
      </c>
      <c r="P52" s="227">
        <f>(100*O52)/'Perfil F-v PESO MUERTO'!$Q$45</f>
        <v>87.82731776</v>
      </c>
      <c r="Q52" s="228">
        <f>'Perfil F-v PESO MUERTO'!K47</f>
        <v>0.53</v>
      </c>
      <c r="R52" s="3"/>
      <c r="S52" s="2"/>
      <c r="T52" s="3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3"/>
      <c r="G53" s="2"/>
      <c r="H53" s="1"/>
      <c r="I53" s="105" t="s">
        <v>45</v>
      </c>
      <c r="J53" s="75"/>
      <c r="K53" s="76"/>
      <c r="L53" s="3"/>
      <c r="M53" s="2"/>
      <c r="N53" s="1"/>
      <c r="O53" s="226">
        <f>'Perfil F-v PESO MUERTO'!J48</f>
        <v>90</v>
      </c>
      <c r="P53" s="227">
        <f>(100*O53)/'Perfil F-v PESO MUERTO'!$Q$45</f>
        <v>92.99363057</v>
      </c>
      <c r="Q53" s="228">
        <f>'Perfil F-v PESO MUERTO'!K48</f>
        <v>0.47</v>
      </c>
      <c r="R53" s="3"/>
      <c r="S53" s="2"/>
      <c r="T53" s="3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3"/>
      <c r="G54" s="2"/>
      <c r="H54" s="1"/>
      <c r="I54" s="105" t="s">
        <v>46</v>
      </c>
      <c r="J54" s="75"/>
      <c r="K54" s="76"/>
      <c r="L54" s="3"/>
      <c r="M54" s="2"/>
      <c r="N54" s="1"/>
      <c r="O54" s="226">
        <f>'Perfil F-v PESO MUERTO'!J49</f>
        <v>95</v>
      </c>
      <c r="P54" s="227">
        <f>(100*O54)/'Perfil F-v PESO MUERTO'!$Q$45</f>
        <v>98.15994338</v>
      </c>
      <c r="Q54" s="228">
        <f>'Perfil F-v PESO MUERTO'!K49</f>
        <v>0.38</v>
      </c>
      <c r="R54" s="3"/>
      <c r="S54" s="2"/>
      <c r="T54" s="3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3"/>
      <c r="G55" s="2"/>
      <c r="H55" s="1"/>
      <c r="I55" s="105" t="s">
        <v>47</v>
      </c>
      <c r="J55" s="75"/>
      <c r="K55" s="76"/>
      <c r="L55" s="3"/>
      <c r="M55" s="2"/>
      <c r="N55" s="1"/>
      <c r="O55" s="227">
        <f>'Perfil F-v PESO MUERTO'!Q45</f>
        <v>96.78082192</v>
      </c>
      <c r="P55" s="225">
        <f>(100*O55)/'Perfil F-v PESO MUERTO'!$Q$45</f>
        <v>100</v>
      </c>
      <c r="Q55" s="228">
        <f>'Perfil F-v PESO MUERTO'!K42</f>
        <v>0.36</v>
      </c>
      <c r="R55" s="3"/>
      <c r="S55" s="2"/>
      <c r="T55" s="3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3"/>
      <c r="G56" s="2"/>
      <c r="H56" s="50"/>
      <c r="I56" s="229" t="str">
        <f>'Perfil F-v PESO MUERTO'!$B$22</f>
        <v/>
      </c>
      <c r="J56" s="230"/>
      <c r="K56" s="229" t="str">
        <f>'Perfil F-v PESO MUERTO'!$C$22</f>
        <v/>
      </c>
      <c r="L56" s="54"/>
      <c r="M56" s="2"/>
      <c r="N56" s="1"/>
      <c r="O56" s="225" t="s">
        <v>48</v>
      </c>
      <c r="P56" s="225" t="str">
        <f>FIXED(INTERCEPT(Q50:Q55,P50:P55),4)</f>
        <v>1,7730</v>
      </c>
      <c r="Q56" s="231"/>
      <c r="R56" s="3"/>
      <c r="S56" s="2"/>
      <c r="T56" s="3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1"/>
      <c r="O57" s="225" t="s">
        <v>49</v>
      </c>
      <c r="P57" s="232" t="str">
        <f>FIXED(SLOPE(Q50:Q55,P50:P55),4)</f>
        <v>-0,0141</v>
      </c>
      <c r="Q57" s="231"/>
      <c r="R57" s="3"/>
      <c r="S57" s="2"/>
      <c r="T57" s="3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1"/>
      <c r="O58" s="233" t="s">
        <v>50</v>
      </c>
      <c r="P58" s="221" t="str">
        <f>CONCATENATE("Y=",P57,"x +  ",P56)</f>
        <v>Y=-0,0141x +  1,7730</v>
      </c>
      <c r="Q58" s="231"/>
      <c r="R58" s="3"/>
      <c r="S58" s="2"/>
      <c r="T58" s="3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50"/>
      <c r="O59" s="234" t="s">
        <v>128</v>
      </c>
      <c r="P59" s="235">
        <f>RSQ(Q50:Q55,P50:P55)</f>
        <v>0.9975682594</v>
      </c>
      <c r="Q59" s="236"/>
      <c r="R59" s="54"/>
      <c r="S59" s="2"/>
      <c r="T59" s="3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02" t="str">
        <f>'Perfil F-v PESO MUERTO'!$B$22</f>
        <v/>
      </c>
      <c r="P60" s="2"/>
      <c r="Q60" s="55"/>
      <c r="R60" s="2"/>
      <c r="S60" s="2"/>
      <c r="T60" s="3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3"/>
      <c r="G62" s="2"/>
      <c r="H62" s="118" t="s">
        <v>129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6"/>
      <c r="T62" s="3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3"/>
      <c r="G63" s="2"/>
      <c r="H63" s="119"/>
      <c r="I63" s="120"/>
      <c r="J63" s="120"/>
      <c r="K63" s="120"/>
      <c r="L63" s="121"/>
      <c r="M63" s="237" t="s">
        <v>53</v>
      </c>
      <c r="N63" s="15"/>
      <c r="O63" s="15"/>
      <c r="P63" s="15"/>
      <c r="Q63" s="15"/>
      <c r="R63" s="15"/>
      <c r="S63" s="16"/>
      <c r="T63" s="3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3"/>
      <c r="G64" s="2"/>
      <c r="H64" s="123"/>
      <c r="I64" s="124"/>
      <c r="J64" s="124"/>
      <c r="K64" s="125"/>
      <c r="L64" s="126"/>
      <c r="M64" s="238" t="s">
        <v>54</v>
      </c>
      <c r="N64" s="239" t="s">
        <v>55</v>
      </c>
      <c r="O64" s="78"/>
      <c r="P64" s="240" t="s">
        <v>56</v>
      </c>
      <c r="Q64" s="78"/>
      <c r="R64" s="241" t="s">
        <v>57</v>
      </c>
      <c r="S64" s="21"/>
      <c r="T64" s="3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3"/>
      <c r="G65" s="2"/>
      <c r="H65" s="131"/>
      <c r="I65" s="132"/>
      <c r="J65" s="132"/>
      <c r="K65" s="242" t="s">
        <v>58</v>
      </c>
      <c r="L65" s="243" t="s">
        <v>59</v>
      </c>
      <c r="M65" s="174" t="s">
        <v>60</v>
      </c>
      <c r="N65" s="175" t="s">
        <v>61</v>
      </c>
      <c r="O65" s="175" t="s">
        <v>62</v>
      </c>
      <c r="P65" s="178" t="s">
        <v>63</v>
      </c>
      <c r="Q65" s="178" t="s">
        <v>64</v>
      </c>
      <c r="R65" s="179" t="s">
        <v>65</v>
      </c>
      <c r="S65" s="244" t="s">
        <v>66</v>
      </c>
      <c r="T65" s="3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3"/>
      <c r="G66" s="2"/>
      <c r="H66" s="131"/>
      <c r="I66" s="132"/>
      <c r="J66" s="132"/>
      <c r="K66" s="140"/>
      <c r="L66" s="245" t="s">
        <v>67</v>
      </c>
      <c r="M66" s="174" t="s">
        <v>68</v>
      </c>
      <c r="N66" s="175" t="s">
        <v>69</v>
      </c>
      <c r="O66" s="175" t="s">
        <v>70</v>
      </c>
      <c r="P66" s="178" t="s">
        <v>71</v>
      </c>
      <c r="Q66" s="178" t="s">
        <v>72</v>
      </c>
      <c r="R66" s="179" t="s">
        <v>73</v>
      </c>
      <c r="S66" s="181" t="s">
        <v>74</v>
      </c>
      <c r="T66" s="3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3"/>
      <c r="G67" s="2"/>
      <c r="H67" s="143"/>
      <c r="I67" s="144"/>
      <c r="J67" s="144"/>
      <c r="K67" s="140"/>
      <c r="L67" s="246" t="s">
        <v>75</v>
      </c>
      <c r="M67" s="247">
        <v>0.0</v>
      </c>
      <c r="N67" s="248">
        <v>1.0</v>
      </c>
      <c r="O67" s="248">
        <v>2.0</v>
      </c>
      <c r="P67" s="249">
        <v>3.0</v>
      </c>
      <c r="Q67" s="249">
        <v>4.0</v>
      </c>
      <c r="R67" s="250">
        <v>5.0</v>
      </c>
      <c r="S67" s="251">
        <v>6.0</v>
      </c>
      <c r="T67" s="3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3"/>
      <c r="G68" s="2"/>
      <c r="H68" s="151"/>
      <c r="I68" s="152"/>
      <c r="J68" s="152"/>
      <c r="K68" s="153"/>
      <c r="L68" s="154"/>
      <c r="M68" s="154"/>
      <c r="N68" s="154"/>
      <c r="O68" s="154"/>
      <c r="P68" s="154"/>
      <c r="Q68" s="154"/>
      <c r="R68" s="154"/>
      <c r="S68" s="155"/>
      <c r="T68" s="3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3"/>
      <c r="G69" s="2"/>
      <c r="H69" s="242" t="s">
        <v>76</v>
      </c>
      <c r="I69" s="252" t="s">
        <v>8</v>
      </c>
      <c r="J69" s="253" t="s">
        <v>77</v>
      </c>
      <c r="K69" s="94"/>
      <c r="L69" s="158" t="s">
        <v>130</v>
      </c>
      <c r="M69" s="159">
        <f>K71</f>
        <v>0.36</v>
      </c>
      <c r="N69" s="159">
        <f>K72</f>
        <v>0.39</v>
      </c>
      <c r="O69" s="159">
        <f>K73</f>
        <v>0.46</v>
      </c>
      <c r="P69" s="159">
        <f>K74</f>
        <v>0.52</v>
      </c>
      <c r="Q69" s="159">
        <f>K75</f>
        <v>0.55</v>
      </c>
      <c r="R69" s="159">
        <f>K76</f>
        <v>0.59</v>
      </c>
      <c r="S69" s="160">
        <f>K77</f>
        <v>0.63</v>
      </c>
      <c r="T69" s="3"/>
      <c r="U69" s="2"/>
      <c r="V69" s="2"/>
      <c r="W69" s="2"/>
      <c r="X69" s="2"/>
      <c r="Y69" s="2"/>
      <c r="Z69" s="2"/>
    </row>
    <row r="70" ht="15.0" customHeight="1">
      <c r="A70" s="1"/>
      <c r="B70" s="2"/>
      <c r="C70" s="2"/>
      <c r="D70" s="2"/>
      <c r="E70" s="2"/>
      <c r="F70" s="3"/>
      <c r="G70" s="2"/>
      <c r="H70" s="153"/>
      <c r="I70" s="154"/>
      <c r="J70" s="161" t="s">
        <v>79</v>
      </c>
      <c r="K70" s="162" t="s">
        <v>131</v>
      </c>
      <c r="L70" s="78"/>
      <c r="M70" s="163" t="s">
        <v>81</v>
      </c>
      <c r="N70" s="20"/>
      <c r="O70" s="20"/>
      <c r="P70" s="20"/>
      <c r="Q70" s="20"/>
      <c r="R70" s="20"/>
      <c r="S70" s="21"/>
      <c r="T70" s="3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3"/>
      <c r="G71" s="2"/>
      <c r="H71" s="164" t="s">
        <v>82</v>
      </c>
      <c r="I71" s="165" t="s">
        <v>83</v>
      </c>
      <c r="J71" s="166" t="s">
        <v>84</v>
      </c>
      <c r="K71" s="167">
        <f>K42</f>
        <v>0.36</v>
      </c>
      <c r="L71" s="78"/>
      <c r="M71" s="168">
        <v>1.0</v>
      </c>
      <c r="N71" s="169"/>
      <c r="O71" s="170"/>
      <c r="P71" s="170"/>
      <c r="Q71" s="170"/>
      <c r="R71" s="170"/>
      <c r="S71" s="171"/>
      <c r="T71" s="3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3"/>
      <c r="G72" s="2"/>
      <c r="H72" s="140"/>
      <c r="I72" s="172" t="s">
        <v>85</v>
      </c>
      <c r="J72" s="173"/>
      <c r="K72" s="167">
        <f>K71*K94</f>
        <v>0.39</v>
      </c>
      <c r="L72" s="78"/>
      <c r="M72" s="174">
        <v>2.0</v>
      </c>
      <c r="N72" s="175">
        <v>1.0</v>
      </c>
      <c r="O72" s="170"/>
      <c r="P72" s="170"/>
      <c r="Q72" s="170"/>
      <c r="R72" s="170"/>
      <c r="S72" s="171"/>
      <c r="T72" s="3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3"/>
      <c r="G73" s="2"/>
      <c r="H73" s="153"/>
      <c r="I73" s="172" t="s">
        <v>86</v>
      </c>
      <c r="J73" s="173"/>
      <c r="K73" s="167">
        <f>K71*K95</f>
        <v>0.46</v>
      </c>
      <c r="L73" s="78"/>
      <c r="M73" s="174">
        <v>3.0</v>
      </c>
      <c r="N73" s="175">
        <v>2.0</v>
      </c>
      <c r="O73" s="175">
        <v>1.0</v>
      </c>
      <c r="P73" s="170"/>
      <c r="Q73" s="170"/>
      <c r="R73" s="170"/>
      <c r="S73" s="171"/>
      <c r="T73" s="3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3"/>
      <c r="G74" s="2"/>
      <c r="H74" s="176" t="s">
        <v>87</v>
      </c>
      <c r="I74" s="177" t="s">
        <v>88</v>
      </c>
      <c r="J74" s="173"/>
      <c r="K74" s="167">
        <f>K71*K96</f>
        <v>0.52</v>
      </c>
      <c r="L74" s="78"/>
      <c r="M74" s="174">
        <v>4.0</v>
      </c>
      <c r="N74" s="175">
        <v>3.0</v>
      </c>
      <c r="O74" s="175">
        <v>2.0</v>
      </c>
      <c r="P74" s="178">
        <v>1.0</v>
      </c>
      <c r="Q74" s="170"/>
      <c r="R74" s="170"/>
      <c r="S74" s="171"/>
      <c r="T74" s="3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3"/>
      <c r="G75" s="2"/>
      <c r="H75" s="140"/>
      <c r="I75" s="177" t="s">
        <v>89</v>
      </c>
      <c r="J75" s="173"/>
      <c r="K75" s="167">
        <f>K71*K97</f>
        <v>0.55</v>
      </c>
      <c r="L75" s="78"/>
      <c r="M75" s="174">
        <v>5.0</v>
      </c>
      <c r="N75" s="175">
        <v>4.0</v>
      </c>
      <c r="O75" s="175">
        <v>3.0</v>
      </c>
      <c r="P75" s="178">
        <v>2.0</v>
      </c>
      <c r="Q75" s="178">
        <v>1.0</v>
      </c>
      <c r="R75" s="170"/>
      <c r="S75" s="171"/>
      <c r="T75" s="3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3"/>
      <c r="G76" s="2"/>
      <c r="H76" s="140"/>
      <c r="I76" s="177" t="s">
        <v>90</v>
      </c>
      <c r="J76" s="154"/>
      <c r="K76" s="167">
        <f>K71*K98</f>
        <v>0.59</v>
      </c>
      <c r="L76" s="78"/>
      <c r="M76" s="174">
        <v>6.0</v>
      </c>
      <c r="N76" s="175">
        <v>5.0</v>
      </c>
      <c r="O76" s="175">
        <v>4.0</v>
      </c>
      <c r="P76" s="178">
        <v>3.0</v>
      </c>
      <c r="Q76" s="178">
        <v>2.0</v>
      </c>
      <c r="R76" s="179">
        <v>1.0</v>
      </c>
      <c r="S76" s="171"/>
      <c r="T76" s="3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3"/>
      <c r="G77" s="2"/>
      <c r="H77" s="153"/>
      <c r="I77" s="177" t="s">
        <v>91</v>
      </c>
      <c r="J77" s="180" t="s">
        <v>92</v>
      </c>
      <c r="K77" s="167">
        <f>K71*K99</f>
        <v>0.63</v>
      </c>
      <c r="L77" s="78"/>
      <c r="M77" s="174">
        <v>7.0</v>
      </c>
      <c r="N77" s="175">
        <v>6.0</v>
      </c>
      <c r="O77" s="175">
        <v>5.0</v>
      </c>
      <c r="P77" s="178">
        <v>4.0</v>
      </c>
      <c r="Q77" s="178">
        <v>3.0</v>
      </c>
      <c r="R77" s="179">
        <v>2.0</v>
      </c>
      <c r="S77" s="181">
        <v>1.0</v>
      </c>
      <c r="T77" s="3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3"/>
      <c r="G78" s="2"/>
      <c r="H78" s="182" t="s">
        <v>57</v>
      </c>
      <c r="I78" s="183" t="s">
        <v>93</v>
      </c>
      <c r="J78" s="173"/>
      <c r="K78" s="167">
        <f>K71*K100</f>
        <v>0.67</v>
      </c>
      <c r="L78" s="78"/>
      <c r="M78" s="174">
        <v>8.0</v>
      </c>
      <c r="N78" s="175">
        <v>7.0</v>
      </c>
      <c r="O78" s="175">
        <v>6.0</v>
      </c>
      <c r="P78" s="178">
        <v>5.0</v>
      </c>
      <c r="Q78" s="178">
        <v>4.0</v>
      </c>
      <c r="R78" s="179">
        <v>3.0</v>
      </c>
      <c r="S78" s="181">
        <v>2.0</v>
      </c>
      <c r="T78" s="3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3"/>
      <c r="G79" s="2"/>
      <c r="H79" s="140"/>
      <c r="I79" s="183" t="s">
        <v>94</v>
      </c>
      <c r="J79" s="173"/>
      <c r="K79" s="167">
        <f>K71*K101</f>
        <v>0.76</v>
      </c>
      <c r="L79" s="78"/>
      <c r="M79" s="174">
        <v>9.0</v>
      </c>
      <c r="N79" s="175">
        <v>8.0</v>
      </c>
      <c r="O79" s="175">
        <v>7.0</v>
      </c>
      <c r="P79" s="178">
        <v>6.0</v>
      </c>
      <c r="Q79" s="178">
        <v>5.0</v>
      </c>
      <c r="R79" s="179">
        <v>4.0</v>
      </c>
      <c r="S79" s="181">
        <v>3.0</v>
      </c>
      <c r="T79" s="3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3"/>
      <c r="G80" s="2"/>
      <c r="H80" s="140"/>
      <c r="I80" s="183" t="s">
        <v>95</v>
      </c>
      <c r="J80" s="173"/>
      <c r="K80" s="167">
        <f>K71*K102</f>
        <v>0.85</v>
      </c>
      <c r="L80" s="78"/>
      <c r="M80" s="174">
        <v>10.0</v>
      </c>
      <c r="N80" s="175">
        <v>9.0</v>
      </c>
      <c r="O80" s="175">
        <v>8.0</v>
      </c>
      <c r="P80" s="178">
        <v>7.0</v>
      </c>
      <c r="Q80" s="178">
        <v>6.0</v>
      </c>
      <c r="R80" s="179">
        <v>5.0</v>
      </c>
      <c r="S80" s="181">
        <v>4.0</v>
      </c>
      <c r="T80" s="3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3"/>
      <c r="G81" s="2"/>
      <c r="H81" s="140"/>
      <c r="I81" s="183" t="s">
        <v>96</v>
      </c>
      <c r="J81" s="173"/>
      <c r="K81" s="167">
        <f>K71*K103</f>
        <v>0.95</v>
      </c>
      <c r="L81" s="78"/>
      <c r="M81" s="174">
        <v>11.0</v>
      </c>
      <c r="N81" s="175">
        <v>10.0</v>
      </c>
      <c r="O81" s="175">
        <v>9.0</v>
      </c>
      <c r="P81" s="178">
        <v>8.0</v>
      </c>
      <c r="Q81" s="178">
        <v>7.0</v>
      </c>
      <c r="R81" s="179">
        <v>6.0</v>
      </c>
      <c r="S81" s="181">
        <v>5.0</v>
      </c>
      <c r="T81" s="3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3"/>
      <c r="G82" s="2"/>
      <c r="H82" s="153"/>
      <c r="I82" s="183" t="s">
        <v>97</v>
      </c>
      <c r="J82" s="173"/>
      <c r="K82" s="167">
        <f>K71*K104</f>
        <v>0.97</v>
      </c>
      <c r="L82" s="78"/>
      <c r="M82" s="174">
        <v>12.0</v>
      </c>
      <c r="N82" s="175">
        <v>11.0</v>
      </c>
      <c r="O82" s="175">
        <v>10.0</v>
      </c>
      <c r="P82" s="178">
        <v>9.0</v>
      </c>
      <c r="Q82" s="178">
        <v>8.0</v>
      </c>
      <c r="R82" s="179">
        <v>7.0</v>
      </c>
      <c r="S82" s="181">
        <v>6.0</v>
      </c>
      <c r="T82" s="3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3"/>
      <c r="G83" s="2"/>
      <c r="H83" s="184" t="s">
        <v>98</v>
      </c>
      <c r="I83" s="185" t="s">
        <v>99</v>
      </c>
      <c r="J83" s="173"/>
      <c r="K83" s="167">
        <f>K71*K105</f>
        <v>0.99</v>
      </c>
      <c r="L83" s="78"/>
      <c r="M83" s="174">
        <v>13.0</v>
      </c>
      <c r="N83" s="175">
        <v>12.0</v>
      </c>
      <c r="O83" s="175">
        <v>11.0</v>
      </c>
      <c r="P83" s="178">
        <v>10.0</v>
      </c>
      <c r="Q83" s="178">
        <v>9.0</v>
      </c>
      <c r="R83" s="179">
        <v>8.0</v>
      </c>
      <c r="S83" s="181">
        <v>7.0</v>
      </c>
      <c r="T83" s="3"/>
      <c r="U83" s="2"/>
      <c r="V83" s="2"/>
      <c r="W83" s="2"/>
      <c r="X83" s="2"/>
      <c r="Y83" s="2"/>
      <c r="Z83" s="2"/>
    </row>
    <row r="84" ht="15.75" customHeight="1">
      <c r="A84" s="50"/>
      <c r="B84" s="53"/>
      <c r="C84" s="53"/>
      <c r="D84" s="53"/>
      <c r="E84" s="53"/>
      <c r="F84" s="54"/>
      <c r="G84" s="2"/>
      <c r="H84" s="140"/>
      <c r="I84" s="185" t="s">
        <v>100</v>
      </c>
      <c r="J84" s="154"/>
      <c r="K84" s="167">
        <f>K71*K106</f>
        <v>1.01</v>
      </c>
      <c r="L84" s="78"/>
      <c r="M84" s="174">
        <v>14.0</v>
      </c>
      <c r="N84" s="175">
        <v>13.0</v>
      </c>
      <c r="O84" s="175">
        <v>12.0</v>
      </c>
      <c r="P84" s="178">
        <v>11.0</v>
      </c>
      <c r="Q84" s="178">
        <v>10.0</v>
      </c>
      <c r="R84" s="179">
        <v>9.0</v>
      </c>
      <c r="S84" s="181">
        <v>8.0</v>
      </c>
      <c r="T84" s="3"/>
      <c r="U84" s="2"/>
      <c r="V84" s="2"/>
      <c r="W84" s="2"/>
      <c r="X84" s="2"/>
      <c r="Y84" s="2"/>
      <c r="Z84" s="2"/>
    </row>
    <row r="85" ht="15.75" customHeight="1">
      <c r="A85" s="254" t="str">
        <f>'Perfil F-v PESO MUERTO'!$B$22</f>
        <v/>
      </c>
      <c r="B85" s="201"/>
      <c r="C85" s="201"/>
      <c r="D85" s="201"/>
      <c r="E85" s="255" t="str">
        <f>'Perfil F-v PESO MUERTO'!$C$22</f>
        <v/>
      </c>
      <c r="F85" s="2"/>
      <c r="G85" s="2"/>
      <c r="H85" s="140"/>
      <c r="I85" s="185" t="s">
        <v>101</v>
      </c>
      <c r="J85" s="188" t="s">
        <v>102</v>
      </c>
      <c r="K85" s="167">
        <f>K71*K107</f>
        <v>1.03</v>
      </c>
      <c r="L85" s="78"/>
      <c r="M85" s="174">
        <v>15.0</v>
      </c>
      <c r="N85" s="175">
        <v>14.0</v>
      </c>
      <c r="O85" s="175">
        <v>13.0</v>
      </c>
      <c r="P85" s="178">
        <v>12.0</v>
      </c>
      <c r="Q85" s="178">
        <v>11.0</v>
      </c>
      <c r="R85" s="179">
        <v>10.0</v>
      </c>
      <c r="S85" s="181">
        <v>9.0</v>
      </c>
      <c r="T85" s="3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140"/>
      <c r="I86" s="185" t="s">
        <v>103</v>
      </c>
      <c r="J86" s="173"/>
      <c r="K86" s="167">
        <f>K71*K108</f>
        <v>1.1</v>
      </c>
      <c r="L86" s="78"/>
      <c r="M86" s="174">
        <v>16.0</v>
      </c>
      <c r="N86" s="175">
        <v>15.0</v>
      </c>
      <c r="O86" s="175">
        <v>14.0</v>
      </c>
      <c r="P86" s="178">
        <v>13.0</v>
      </c>
      <c r="Q86" s="178">
        <v>12.0</v>
      </c>
      <c r="R86" s="179">
        <v>11.0</v>
      </c>
      <c r="S86" s="181">
        <v>10.0</v>
      </c>
      <c r="T86" s="3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140"/>
      <c r="I87" s="185" t="s">
        <v>104</v>
      </c>
      <c r="J87" s="173"/>
      <c r="K87" s="167">
        <f>K71*K109</f>
        <v>1.17</v>
      </c>
      <c r="L87" s="78"/>
      <c r="M87" s="174">
        <v>17.0</v>
      </c>
      <c r="N87" s="175">
        <v>16.0</v>
      </c>
      <c r="O87" s="175">
        <v>15.0</v>
      </c>
      <c r="P87" s="178">
        <v>14.0</v>
      </c>
      <c r="Q87" s="178">
        <v>13.0</v>
      </c>
      <c r="R87" s="179">
        <v>12.0</v>
      </c>
      <c r="S87" s="181">
        <v>11.0</v>
      </c>
      <c r="T87" s="3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191"/>
      <c r="I88" s="192" t="s">
        <v>105</v>
      </c>
      <c r="J88" s="193"/>
      <c r="K88" s="194">
        <f>K71*K110</f>
        <v>1.24</v>
      </c>
      <c r="L88" s="195"/>
      <c r="M88" s="196">
        <v>18.0</v>
      </c>
      <c r="N88" s="197">
        <v>17.0</v>
      </c>
      <c r="O88" s="197">
        <v>16.0</v>
      </c>
      <c r="P88" s="198">
        <v>15.0</v>
      </c>
      <c r="Q88" s="198">
        <v>14.0</v>
      </c>
      <c r="R88" s="199">
        <v>13.0</v>
      </c>
      <c r="S88" s="200">
        <v>12.0</v>
      </c>
      <c r="T88" s="3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</row>
    <row r="90" ht="15.75" customHeight="1">
      <c r="A90" s="50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4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56"/>
      <c r="J93" s="257"/>
      <c r="K93" s="25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56"/>
      <c r="J94" s="257"/>
      <c r="K94" s="258">
        <v>1.0833333333333335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56"/>
      <c r="J95" s="257"/>
      <c r="K95" s="258">
        <v>1.277777777777778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56"/>
      <c r="J96" s="257"/>
      <c r="K96" s="258">
        <v>1.4444444444444446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56"/>
      <c r="J97" s="257"/>
      <c r="K97" s="258">
        <v>1.527777777777778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56"/>
      <c r="J98" s="257"/>
      <c r="K98" s="258">
        <v>1.6388888888888888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56"/>
      <c r="J99" s="257"/>
      <c r="K99" s="258">
        <v>1.75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56"/>
      <c r="J100" s="257"/>
      <c r="K100" s="258">
        <v>1.8611111111111114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56"/>
      <c r="J101" s="257"/>
      <c r="K101" s="258">
        <v>2.111111111111111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56"/>
      <c r="J102" s="257"/>
      <c r="K102" s="258">
        <v>2.361111111111111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56"/>
      <c r="J103" s="257"/>
      <c r="K103" s="258">
        <v>2.638888888888889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56"/>
      <c r="J104" s="257"/>
      <c r="K104" s="258">
        <v>2.6944444444444446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56"/>
      <c r="J105" s="257"/>
      <c r="K105" s="258">
        <v>2.75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56"/>
      <c r="J106" s="257"/>
      <c r="K106" s="258">
        <v>2.805555555555556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56"/>
      <c r="J107" s="257"/>
      <c r="K107" s="258">
        <v>2.861111111111111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56"/>
      <c r="J108" s="257"/>
      <c r="K108" s="258">
        <v>3.055555555555556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56"/>
      <c r="J109" s="257"/>
      <c r="K109" s="258">
        <v>3.25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56"/>
      <c r="J110" s="257"/>
      <c r="K110" s="258">
        <v>3.4444444444444446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1">
    <mergeCell ref="A1:T1"/>
    <mergeCell ref="A3:F3"/>
    <mergeCell ref="H3:L3"/>
    <mergeCell ref="B4:C4"/>
    <mergeCell ref="H4:L4"/>
    <mergeCell ref="B5:C5"/>
    <mergeCell ref="B6:C6"/>
    <mergeCell ref="B7:C7"/>
    <mergeCell ref="H37:L37"/>
    <mergeCell ref="I38:K38"/>
    <mergeCell ref="H5:L5"/>
    <mergeCell ref="H6:L6"/>
    <mergeCell ref="B14:C14"/>
    <mergeCell ref="B20:C20"/>
    <mergeCell ref="B21:C21"/>
    <mergeCell ref="A37:F37"/>
    <mergeCell ref="A38:F40"/>
    <mergeCell ref="N6:O6"/>
    <mergeCell ref="P6:R6"/>
    <mergeCell ref="N37:R37"/>
    <mergeCell ref="O38:Q38"/>
    <mergeCell ref="O39:Q39"/>
    <mergeCell ref="O40:Q40"/>
    <mergeCell ref="O41:P41"/>
    <mergeCell ref="M63:S63"/>
    <mergeCell ref="N64:O64"/>
    <mergeCell ref="P64:Q64"/>
    <mergeCell ref="R64:S64"/>
    <mergeCell ref="O42:P42"/>
    <mergeCell ref="O43:P43"/>
    <mergeCell ref="O44:P44"/>
    <mergeCell ref="O45:P45"/>
    <mergeCell ref="O46:P46"/>
    <mergeCell ref="O48:Q48"/>
    <mergeCell ref="H62:S62"/>
    <mergeCell ref="I39:K39"/>
    <mergeCell ref="I40:K40"/>
    <mergeCell ref="J43:K43"/>
    <mergeCell ref="I52:K52"/>
    <mergeCell ref="I53:K53"/>
    <mergeCell ref="I54:K54"/>
    <mergeCell ref="I55:K55"/>
    <mergeCell ref="K83:L83"/>
    <mergeCell ref="K84:L84"/>
    <mergeCell ref="K74:L74"/>
    <mergeCell ref="K75:L75"/>
    <mergeCell ref="J77:J84"/>
    <mergeCell ref="K77:L77"/>
    <mergeCell ref="K78:L78"/>
    <mergeCell ref="K79:L79"/>
    <mergeCell ref="K80:L80"/>
    <mergeCell ref="R67:R68"/>
    <mergeCell ref="S67:S68"/>
    <mergeCell ref="K65:K68"/>
    <mergeCell ref="L67:L68"/>
    <mergeCell ref="M67:M68"/>
    <mergeCell ref="N67:N68"/>
    <mergeCell ref="O67:O68"/>
    <mergeCell ref="P67:P68"/>
    <mergeCell ref="Q67:Q68"/>
    <mergeCell ref="K71:L71"/>
    <mergeCell ref="K72:L72"/>
    <mergeCell ref="H71:H73"/>
    <mergeCell ref="H74:H77"/>
    <mergeCell ref="H78:H82"/>
    <mergeCell ref="H83:H88"/>
    <mergeCell ref="H69:H70"/>
    <mergeCell ref="I69:I70"/>
    <mergeCell ref="J69:K69"/>
    <mergeCell ref="K70:L70"/>
    <mergeCell ref="M70:S70"/>
    <mergeCell ref="J71:J76"/>
    <mergeCell ref="K73:L73"/>
    <mergeCell ref="K76:L76"/>
    <mergeCell ref="K81:L81"/>
    <mergeCell ref="K82:L82"/>
    <mergeCell ref="J85:J88"/>
    <mergeCell ref="K85:L85"/>
    <mergeCell ref="K86:L86"/>
    <mergeCell ref="K87:L87"/>
    <mergeCell ref="K88:L88"/>
  </mergeCells>
  <conditionalFormatting sqref="L8:L33">
    <cfRule type="expression" dxfId="0" priority="1">
      <formula>ISERROR(L8)</formula>
    </cfRule>
  </conditionalFormatting>
  <hyperlinks>
    <hyperlink r:id="rId1" ref="Q20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19.43"/>
    <col customWidth="1" min="3" max="3" width="19.14"/>
    <col customWidth="1" min="4" max="4" width="40.0"/>
    <col customWidth="1" min="5" max="5" width="19.86"/>
    <col customWidth="1" min="6" max="6" width="11.43"/>
    <col customWidth="1" min="7" max="8" width="17.43"/>
    <col customWidth="1" min="9" max="9" width="15.43"/>
    <col customWidth="1" min="10" max="10" width="23.43"/>
    <col customWidth="1" min="11" max="11" width="19.57"/>
    <col customWidth="1" min="12" max="12" width="32.43"/>
    <col customWidth="1" min="13" max="13" width="22.43"/>
    <col customWidth="1" min="14" max="14" width="20.43"/>
    <col customWidth="1" min="15" max="15" width="16.43"/>
    <col customWidth="1" min="16" max="16" width="11.86"/>
    <col customWidth="1" min="17" max="17" width="11.43"/>
    <col customWidth="1" min="18" max="18" width="17.43"/>
    <col customWidth="1" min="19" max="19" width="24.43"/>
    <col customWidth="1" min="20" max="20" width="25.43"/>
    <col customWidth="1" min="21" max="26" width="11.43"/>
  </cols>
  <sheetData>
    <row r="1">
      <c r="A1" s="259" t="s">
        <v>132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1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2"/>
      <c r="Y2" s="2"/>
      <c r="Z2" s="2"/>
    </row>
    <row r="3">
      <c r="A3" s="7" t="s">
        <v>0</v>
      </c>
      <c r="B3" s="5"/>
      <c r="C3" s="5"/>
      <c r="D3" s="5"/>
      <c r="E3" s="5"/>
      <c r="F3" s="5"/>
      <c r="G3" s="6"/>
      <c r="H3" s="2"/>
      <c r="I3" s="7" t="s">
        <v>1</v>
      </c>
      <c r="J3" s="5"/>
      <c r="K3" s="5"/>
      <c r="L3" s="5"/>
      <c r="M3" s="5"/>
      <c r="N3" s="5"/>
      <c r="O3" s="6"/>
      <c r="P3" s="2"/>
      <c r="Q3" s="2"/>
      <c r="R3" s="2"/>
      <c r="S3" s="2"/>
      <c r="T3" s="2"/>
      <c r="U3" s="2"/>
      <c r="V3" s="2"/>
      <c r="W3" s="3"/>
      <c r="X3" s="2"/>
      <c r="Y3" s="2"/>
      <c r="Z3" s="2"/>
    </row>
    <row r="4">
      <c r="A4" s="1"/>
      <c r="B4" s="8"/>
      <c r="C4" s="11"/>
      <c r="D4" s="9"/>
      <c r="E4" s="2"/>
      <c r="F4" s="2"/>
      <c r="G4" s="3"/>
      <c r="H4" s="2"/>
      <c r="I4" s="10"/>
      <c r="J4" s="11"/>
      <c r="K4" s="11"/>
      <c r="L4" s="11"/>
      <c r="M4" s="11"/>
      <c r="N4" s="11"/>
      <c r="O4" s="12"/>
      <c r="P4" s="2"/>
      <c r="Q4" s="2"/>
      <c r="R4" s="2"/>
      <c r="S4" s="2"/>
      <c r="T4" s="2"/>
      <c r="U4" s="2"/>
      <c r="V4" s="2"/>
      <c r="W4" s="3"/>
      <c r="X4" s="2"/>
      <c r="Y4" s="2"/>
      <c r="Z4" s="2"/>
    </row>
    <row r="5">
      <c r="A5" s="1"/>
      <c r="B5" s="262" t="s">
        <v>133</v>
      </c>
      <c r="C5" s="263"/>
      <c r="D5" s="208"/>
      <c r="E5" s="2"/>
      <c r="F5" s="2"/>
      <c r="G5" s="3"/>
      <c r="H5" s="2"/>
      <c r="I5" s="264" t="s">
        <v>134</v>
      </c>
      <c r="J5" s="15"/>
      <c r="K5" s="15"/>
      <c r="L5" s="15"/>
      <c r="M5" s="15"/>
      <c r="N5" s="15"/>
      <c r="O5" s="16"/>
      <c r="P5" s="2"/>
      <c r="Q5" s="2"/>
      <c r="R5" s="2"/>
      <c r="S5" s="2"/>
      <c r="T5" s="2"/>
      <c r="U5" s="2"/>
      <c r="V5" s="2"/>
      <c r="W5" s="3"/>
      <c r="X5" s="2"/>
      <c r="Y5" s="2"/>
      <c r="Z5" s="2"/>
    </row>
    <row r="6">
      <c r="A6" s="1"/>
      <c r="B6" s="17" t="s">
        <v>3</v>
      </c>
      <c r="C6" s="265"/>
      <c r="D6" s="18"/>
      <c r="E6" s="2"/>
      <c r="F6" s="2"/>
      <c r="G6" s="3"/>
      <c r="H6" s="2"/>
      <c r="I6" s="19" t="str">
        <f>"EVOLUCIÓN 1RM"&amp;"-"&amp;'Perfil F-v DOMINADAS'!M42</f>
        <v>EVOLUCIÓN 1RM-PRESS DE BANCA</v>
      </c>
      <c r="J6" s="20"/>
      <c r="K6" s="20"/>
      <c r="L6" s="20"/>
      <c r="M6" s="20"/>
      <c r="N6" s="20"/>
      <c r="O6" s="21"/>
      <c r="P6" s="2"/>
      <c r="Q6" s="22"/>
      <c r="R6" s="9"/>
      <c r="S6" s="23"/>
      <c r="T6" s="11"/>
      <c r="U6" s="9"/>
      <c r="V6" s="2"/>
      <c r="W6" s="3"/>
      <c r="X6" s="2"/>
      <c r="Y6" s="2"/>
      <c r="Z6" s="2"/>
    </row>
    <row r="7">
      <c r="A7" s="1"/>
      <c r="B7" s="19" t="str">
        <f>'Perfil F-v DOMINADAS'!M42</f>
        <v>PRESS DE BANCA</v>
      </c>
      <c r="C7" s="20"/>
      <c r="D7" s="21"/>
      <c r="E7" s="2"/>
      <c r="F7" s="2"/>
      <c r="G7" s="3"/>
      <c r="H7" s="2"/>
      <c r="I7" s="24" t="s">
        <v>5</v>
      </c>
      <c r="J7" s="92" t="s">
        <v>135</v>
      </c>
      <c r="K7" s="92" t="s">
        <v>136</v>
      </c>
      <c r="L7" s="25" t="s">
        <v>137</v>
      </c>
      <c r="M7" s="25" t="s">
        <v>7</v>
      </c>
      <c r="N7" s="25" t="s">
        <v>8</v>
      </c>
      <c r="O7" s="26" t="s">
        <v>9</v>
      </c>
      <c r="P7" s="2"/>
      <c r="Q7" s="2"/>
      <c r="R7" s="27"/>
      <c r="S7" s="2"/>
      <c r="T7" s="2"/>
      <c r="U7" s="2"/>
      <c r="V7" s="2"/>
      <c r="W7" s="3"/>
      <c r="X7" s="2"/>
      <c r="Y7" s="2"/>
      <c r="Z7" s="2"/>
    </row>
    <row r="8">
      <c r="A8" s="1"/>
      <c r="B8" s="48" t="s">
        <v>39</v>
      </c>
      <c r="C8" s="78"/>
      <c r="D8" s="26" t="s">
        <v>11</v>
      </c>
      <c r="E8" s="266"/>
      <c r="F8" s="9"/>
      <c r="G8" s="3"/>
      <c r="H8" s="2"/>
      <c r="I8" s="267">
        <v>43923.0</v>
      </c>
      <c r="J8" s="268">
        <v>85.0</v>
      </c>
      <c r="K8" s="268">
        <v>9.0</v>
      </c>
      <c r="L8" s="269">
        <v>100.0</v>
      </c>
      <c r="M8" s="270">
        <v>0.32</v>
      </c>
      <c r="N8" s="30">
        <f>IF((M8=""),(""),((('Perfil F-v DOMINADAS'!$S$56-M8)/-'Perfil F-v DOMINADAS'!$S$57)))</f>
        <v>82.05128205</v>
      </c>
      <c r="O8" s="31">
        <f t="shared" ref="O8:O33" si="1">IF((M8=""),(NA()),((L8*100)/N8))</f>
        <v>121.875</v>
      </c>
      <c r="P8" s="2"/>
      <c r="Q8" s="32"/>
      <c r="R8" s="32"/>
      <c r="S8" s="2"/>
      <c r="T8" s="2"/>
      <c r="U8" s="2"/>
      <c r="V8" s="2"/>
      <c r="W8" s="3"/>
      <c r="X8" s="2"/>
      <c r="Y8" s="2"/>
      <c r="Z8" s="2"/>
    </row>
    <row r="9">
      <c r="A9" s="1"/>
      <c r="B9" s="271">
        <v>120.0</v>
      </c>
      <c r="C9" s="78"/>
      <c r="D9" s="272">
        <v>0.2</v>
      </c>
      <c r="E9" s="2"/>
      <c r="F9" s="2"/>
      <c r="G9" s="3"/>
      <c r="H9" s="2"/>
      <c r="I9" s="267">
        <v>43924.0</v>
      </c>
      <c r="J9" s="268">
        <v>84.3</v>
      </c>
      <c r="K9" s="268">
        <v>8.0</v>
      </c>
      <c r="L9" s="269">
        <v>100.0</v>
      </c>
      <c r="M9" s="270">
        <v>0.36</v>
      </c>
      <c r="N9" s="30">
        <f>IF((M9=""),(""),((('Perfil F-v DOMINADAS'!$S$56-M9)/-'Perfil F-v DOMINADAS'!$S$57)))</f>
        <v>76.92307692</v>
      </c>
      <c r="O9" s="31">
        <f t="shared" si="1"/>
        <v>130</v>
      </c>
      <c r="P9" s="2"/>
      <c r="Q9" s="32"/>
      <c r="R9" s="32"/>
      <c r="S9" s="2"/>
      <c r="T9" s="2"/>
      <c r="U9" s="2"/>
      <c r="V9" s="2"/>
      <c r="W9" s="3"/>
      <c r="X9" s="2"/>
      <c r="Y9" s="2"/>
      <c r="Z9" s="2"/>
    </row>
    <row r="10" ht="15.0" customHeight="1">
      <c r="A10" s="1"/>
      <c r="B10" s="48" t="s">
        <v>12</v>
      </c>
      <c r="C10" s="78"/>
      <c r="D10" s="26" t="str">
        <f>(FIXED((('Perfil F-v DOMINADAS'!S56-D9)/-'Perfil F-v DOMINADAS'!S57),2))</f>
        <v>97,44</v>
      </c>
      <c r="E10" s="2"/>
      <c r="F10" s="2"/>
      <c r="G10" s="3"/>
      <c r="H10" s="2"/>
      <c r="I10" s="267"/>
      <c r="J10" s="268"/>
      <c r="K10" s="268"/>
      <c r="L10" s="269" t="str">
        <f t="shared" ref="L10:L33" si="2">IF(AND(J10&lt;&gt;"",K10&lt;&gt;""),J10+K10,"")</f>
        <v/>
      </c>
      <c r="M10" s="270"/>
      <c r="N10" s="30" t="str">
        <f>IF((M10=""),(""),((('Perfil F-v DOMINADAS'!$S$56-M10)/-'Perfil F-v DOMINADAS'!$S$57)))</f>
        <v/>
      </c>
      <c r="O10" s="31" t="str">
        <f t="shared" si="1"/>
        <v>#N/A</v>
      </c>
      <c r="P10" s="2"/>
      <c r="Q10" s="32"/>
      <c r="R10" s="2"/>
      <c r="S10" s="2"/>
      <c r="T10" s="2"/>
      <c r="U10" s="2"/>
      <c r="V10" s="2"/>
      <c r="W10" s="3"/>
      <c r="X10" s="2"/>
      <c r="Y10" s="2"/>
      <c r="Z10" s="2"/>
    </row>
    <row r="11" ht="21.75" customHeight="1">
      <c r="A11" s="1"/>
      <c r="B11" s="273" t="s">
        <v>138</v>
      </c>
      <c r="C11" s="87"/>
      <c r="D11" s="36">
        <f>'Perfil F-v DOMINADAS'!S59</f>
        <v>1</v>
      </c>
      <c r="E11" s="2"/>
      <c r="F11" s="2"/>
      <c r="G11" s="3"/>
      <c r="H11" s="2"/>
      <c r="I11" s="267"/>
      <c r="J11" s="268"/>
      <c r="K11" s="268"/>
      <c r="L11" s="269" t="str">
        <f t="shared" si="2"/>
        <v/>
      </c>
      <c r="M11" s="270"/>
      <c r="N11" s="30" t="str">
        <f>IF((M11=""),(""),((('Perfil F-v DOMINADAS'!$S$56-M11)/-'Perfil F-v DOMINADAS'!$S$57)))</f>
        <v/>
      </c>
      <c r="O11" s="31" t="str">
        <f t="shared" si="1"/>
        <v>#N/A</v>
      </c>
      <c r="P11" s="2"/>
      <c r="Q11" s="2"/>
      <c r="R11" s="2"/>
      <c r="S11" s="2"/>
      <c r="T11" s="2"/>
      <c r="U11" s="2"/>
      <c r="V11" s="2"/>
      <c r="W11" s="3"/>
      <c r="X11" s="2"/>
      <c r="Y11" s="2"/>
      <c r="Z11" s="2"/>
    </row>
    <row r="12" ht="21.75" customHeight="1">
      <c r="A12" s="1"/>
      <c r="B12" s="274" t="s">
        <v>14</v>
      </c>
      <c r="C12" s="275"/>
      <c r="D12" s="38">
        <f>((((B9)*100)/D10))</f>
        <v>123.1527094</v>
      </c>
      <c r="E12" s="1"/>
      <c r="F12" s="2"/>
      <c r="G12" s="3"/>
      <c r="H12" s="2"/>
      <c r="I12" s="267"/>
      <c r="J12" s="268"/>
      <c r="K12" s="268"/>
      <c r="L12" s="269" t="str">
        <f t="shared" si="2"/>
        <v/>
      </c>
      <c r="M12" s="270"/>
      <c r="N12" s="30" t="str">
        <f>IF((M12=""),(""),((('Perfil F-v DOMINADAS'!$S$56-M12)/-'Perfil F-v DOMINADAS'!$S$57)))</f>
        <v/>
      </c>
      <c r="O12" s="31" t="str">
        <f t="shared" si="1"/>
        <v>#N/A</v>
      </c>
      <c r="P12" s="2"/>
      <c r="Q12" s="2"/>
      <c r="R12" s="2"/>
      <c r="S12" s="2"/>
      <c r="T12" s="2"/>
      <c r="U12" s="2"/>
      <c r="V12" s="2"/>
      <c r="W12" s="3"/>
      <c r="X12" s="2"/>
      <c r="Y12" s="2"/>
      <c r="Z12" s="2"/>
    </row>
    <row r="13" ht="16.5" customHeight="1">
      <c r="A13" s="1"/>
      <c r="B13" s="39"/>
      <c r="C13" s="39"/>
      <c r="D13" s="40"/>
      <c r="E13" s="2"/>
      <c r="F13" s="2"/>
      <c r="G13" s="3"/>
      <c r="H13" s="2"/>
      <c r="I13" s="267"/>
      <c r="J13" s="268"/>
      <c r="K13" s="268"/>
      <c r="L13" s="269" t="str">
        <f t="shared" si="2"/>
        <v/>
      </c>
      <c r="M13" s="270"/>
      <c r="N13" s="30" t="str">
        <f>IF((M13=""),(""),((('Perfil F-v DOMINADAS'!$S$56-M13)/-'Perfil F-v DOMINADAS'!$S$57)))</f>
        <v/>
      </c>
      <c r="O13" s="31" t="str">
        <f t="shared" si="1"/>
        <v>#N/A</v>
      </c>
      <c r="P13" s="2"/>
      <c r="Q13" s="2"/>
      <c r="R13" s="2"/>
      <c r="S13" s="2"/>
      <c r="T13" s="2"/>
      <c r="U13" s="2"/>
      <c r="V13" s="2"/>
      <c r="W13" s="3"/>
      <c r="X13" s="2"/>
      <c r="Y13" s="2"/>
      <c r="Z13" s="2"/>
    </row>
    <row r="14" ht="16.5" customHeight="1">
      <c r="A14" s="1"/>
      <c r="B14" s="17" t="s">
        <v>15</v>
      </c>
      <c r="C14" s="265"/>
      <c r="D14" s="18"/>
      <c r="E14" s="2"/>
      <c r="F14" s="2"/>
      <c r="G14" s="3"/>
      <c r="H14" s="2"/>
      <c r="I14" s="267"/>
      <c r="J14" s="268"/>
      <c r="K14" s="268"/>
      <c r="L14" s="269" t="str">
        <f t="shared" si="2"/>
        <v/>
      </c>
      <c r="M14" s="270"/>
      <c r="N14" s="30" t="str">
        <f>IF((M14=""),(""),((('Perfil F-v DOMINADAS'!$S$56-M14)/-'Perfil F-v DOMINADAS'!$S$57)))</f>
        <v/>
      </c>
      <c r="O14" s="31" t="str">
        <f t="shared" si="1"/>
        <v>#N/A</v>
      </c>
      <c r="P14" s="2"/>
      <c r="Q14" s="2"/>
      <c r="R14" s="2"/>
      <c r="S14" s="2"/>
      <c r="T14" s="2"/>
      <c r="U14" s="2"/>
      <c r="V14" s="2"/>
      <c r="W14" s="3"/>
      <c r="X14" s="2"/>
      <c r="Y14" s="2"/>
      <c r="Z14" s="2"/>
    </row>
    <row r="15" ht="21.0" customHeight="1">
      <c r="A15" s="1"/>
      <c r="B15" s="48" t="s">
        <v>16</v>
      </c>
      <c r="C15" s="78"/>
      <c r="D15" s="41" t="s">
        <v>17</v>
      </c>
      <c r="E15" s="2"/>
      <c r="F15" s="2"/>
      <c r="G15" s="3"/>
      <c r="H15" s="2"/>
      <c r="I15" s="267"/>
      <c r="J15" s="268"/>
      <c r="K15" s="268"/>
      <c r="L15" s="269" t="str">
        <f t="shared" si="2"/>
        <v/>
      </c>
      <c r="M15" s="270"/>
      <c r="N15" s="30" t="str">
        <f>IF((M15=""),(""),((('Perfil F-v DOMINADAS'!$S$56-M15)/-'Perfil F-v DOMINADAS'!$S$57)))</f>
        <v/>
      </c>
      <c r="O15" s="31" t="str">
        <f t="shared" si="1"/>
        <v>#N/A</v>
      </c>
      <c r="P15" s="2"/>
      <c r="Q15" s="2"/>
      <c r="R15" s="2"/>
      <c r="S15" s="2"/>
      <c r="T15" s="2"/>
      <c r="U15" s="2"/>
      <c r="V15" s="2"/>
      <c r="W15" s="3"/>
      <c r="X15" s="2"/>
      <c r="Y15" s="2"/>
      <c r="Z15" s="2"/>
    </row>
    <row r="16">
      <c r="A16" s="1"/>
      <c r="B16" s="276">
        <v>70.0</v>
      </c>
      <c r="C16" s="195"/>
      <c r="D16" s="43">
        <f>(D12*B16)/100</f>
        <v>86.20689655</v>
      </c>
      <c r="E16" s="2"/>
      <c r="F16" s="2"/>
      <c r="G16" s="3"/>
      <c r="H16" s="2"/>
      <c r="I16" s="267"/>
      <c r="J16" s="268"/>
      <c r="K16" s="268"/>
      <c r="L16" s="269" t="str">
        <f t="shared" si="2"/>
        <v/>
      </c>
      <c r="M16" s="270"/>
      <c r="N16" s="30" t="str">
        <f>IF((M16=""),(""),((('Perfil F-v DOMINADAS'!$S$56-M16)/-'Perfil F-v DOMINADAS'!$S$57)))</f>
        <v/>
      </c>
      <c r="O16" s="31" t="str">
        <f t="shared" si="1"/>
        <v>#N/A</v>
      </c>
      <c r="P16" s="2"/>
      <c r="Q16" s="2"/>
      <c r="R16" s="2"/>
      <c r="S16" s="2"/>
      <c r="T16" s="2"/>
      <c r="U16" s="2"/>
      <c r="V16" s="2"/>
      <c r="W16" s="3"/>
      <c r="X16" s="2"/>
      <c r="Y16" s="2"/>
      <c r="Z16" s="2"/>
    </row>
    <row r="17">
      <c r="A17" s="1"/>
      <c r="B17" s="2"/>
      <c r="C17" s="2"/>
      <c r="D17" s="2"/>
      <c r="E17" s="2"/>
      <c r="F17" s="2"/>
      <c r="G17" s="3"/>
      <c r="H17" s="2"/>
      <c r="I17" s="267"/>
      <c r="J17" s="268"/>
      <c r="K17" s="268"/>
      <c r="L17" s="269" t="str">
        <f t="shared" si="2"/>
        <v/>
      </c>
      <c r="M17" s="270"/>
      <c r="N17" s="30" t="str">
        <f>IF((M17=""),(""),((('Perfil F-v DOMINADAS'!$S$56-M17)/-'Perfil F-v DOMINADAS'!$S$57)))</f>
        <v/>
      </c>
      <c r="O17" s="31" t="str">
        <f t="shared" si="1"/>
        <v>#N/A</v>
      </c>
      <c r="P17" s="2"/>
      <c r="Q17" s="2"/>
      <c r="R17" s="2"/>
      <c r="S17" s="2"/>
      <c r="T17" s="2"/>
      <c r="U17" s="2"/>
      <c r="V17" s="2"/>
      <c r="W17" s="3"/>
      <c r="X17" s="2"/>
      <c r="Y17" s="2"/>
      <c r="Z17" s="2"/>
    </row>
    <row r="18">
      <c r="A18" s="1"/>
      <c r="B18" s="277" t="s">
        <v>18</v>
      </c>
      <c r="C18" s="278"/>
      <c r="D18" s="45" t="s">
        <v>19</v>
      </c>
      <c r="E18" s="2"/>
      <c r="F18" s="2"/>
      <c r="G18" s="3"/>
      <c r="H18" s="2"/>
      <c r="I18" s="267"/>
      <c r="J18" s="268"/>
      <c r="K18" s="268"/>
      <c r="L18" s="269" t="str">
        <f t="shared" si="2"/>
        <v/>
      </c>
      <c r="M18" s="270"/>
      <c r="N18" s="30" t="str">
        <f>IF((M18=""),(""),((('Perfil F-v DOMINADAS'!$S$56-M18)/-'Perfil F-v DOMINADAS'!$S$57)))</f>
        <v/>
      </c>
      <c r="O18" s="31" t="str">
        <f t="shared" si="1"/>
        <v>#N/A</v>
      </c>
      <c r="P18" s="2"/>
      <c r="Q18" s="2"/>
      <c r="R18" s="2"/>
      <c r="S18" s="2"/>
      <c r="U18" s="2"/>
      <c r="V18" s="2"/>
      <c r="W18" s="3"/>
      <c r="X18" s="2"/>
      <c r="Y18" s="2"/>
      <c r="Z18" s="2"/>
    </row>
    <row r="19">
      <c r="A19" s="1"/>
      <c r="B19" s="279">
        <v>20.0</v>
      </c>
      <c r="C19" s="195"/>
      <c r="D19" s="280">
        <v>1.25</v>
      </c>
      <c r="E19" s="2"/>
      <c r="F19" s="2"/>
      <c r="G19" s="3"/>
      <c r="H19" s="2"/>
      <c r="I19" s="267"/>
      <c r="J19" s="268"/>
      <c r="K19" s="268"/>
      <c r="L19" s="269" t="str">
        <f t="shared" si="2"/>
        <v/>
      </c>
      <c r="M19" s="270"/>
      <c r="N19" s="30" t="str">
        <f>IF((M19=""),(""),((('Perfil F-v DOMINADAS'!$S$56-M19)/-'Perfil F-v DOMINADAS'!$S$57)))</f>
        <v/>
      </c>
      <c r="O19" s="31" t="str">
        <f t="shared" si="1"/>
        <v>#N/A</v>
      </c>
      <c r="P19" s="2"/>
      <c r="Q19" s="2"/>
      <c r="R19" s="2"/>
      <c r="S19" s="2"/>
      <c r="T19" s="2"/>
      <c r="U19" s="2"/>
      <c r="V19" s="2"/>
      <c r="W19" s="3"/>
      <c r="X19" s="2"/>
      <c r="Y19" s="2"/>
      <c r="Z19" s="2"/>
    </row>
    <row r="20">
      <c r="A20" s="1"/>
      <c r="B20" s="281"/>
      <c r="C20" s="11"/>
      <c r="D20" s="9"/>
      <c r="E20" s="2"/>
      <c r="F20" s="2"/>
      <c r="G20" s="3"/>
      <c r="H20" s="2"/>
      <c r="I20" s="267"/>
      <c r="J20" s="268"/>
      <c r="K20" s="268"/>
      <c r="L20" s="269" t="str">
        <f t="shared" si="2"/>
        <v/>
      </c>
      <c r="M20" s="270"/>
      <c r="N20" s="30" t="str">
        <f>IF((M20=""),(""),((('Perfil F-v DOMINADAS'!$S$56-M20)/-'Perfil F-v DOMINADAS'!$S$57)))</f>
        <v/>
      </c>
      <c r="O20" s="31" t="str">
        <f t="shared" si="1"/>
        <v>#N/A</v>
      </c>
      <c r="P20" s="2"/>
      <c r="Q20" s="2"/>
      <c r="R20" s="2"/>
      <c r="S20" s="2"/>
      <c r="T20" s="49"/>
      <c r="U20" s="2"/>
      <c r="V20" s="2"/>
      <c r="W20" s="3"/>
      <c r="X20" s="2"/>
      <c r="Y20" s="2"/>
      <c r="Z20" s="2"/>
    </row>
    <row r="21" ht="15.75" customHeight="1">
      <c r="A21" s="50"/>
      <c r="B21" s="282"/>
      <c r="C21" s="263"/>
      <c r="D21" s="208"/>
      <c r="E21" s="53"/>
      <c r="F21" s="53"/>
      <c r="G21" s="54"/>
      <c r="H21" s="2"/>
      <c r="I21" s="267"/>
      <c r="J21" s="268"/>
      <c r="K21" s="268"/>
      <c r="L21" s="269" t="str">
        <f t="shared" si="2"/>
        <v/>
      </c>
      <c r="M21" s="270"/>
      <c r="N21" s="30" t="str">
        <f>IF((M21=""),(""),((('Perfil F-v DOMINADAS'!$S$56-M21)/-'Perfil F-v DOMINADAS'!$S$57)))</f>
        <v/>
      </c>
      <c r="O21" s="31" t="str">
        <f t="shared" si="1"/>
        <v>#N/A</v>
      </c>
      <c r="P21" s="2"/>
      <c r="Q21" s="2"/>
      <c r="R21" s="2"/>
      <c r="S21" s="2"/>
      <c r="T21" s="2"/>
      <c r="U21" s="2"/>
      <c r="V21" s="2"/>
      <c r="W21" s="3"/>
      <c r="X21" s="2"/>
      <c r="Y21" s="2"/>
      <c r="Z21" s="2"/>
    </row>
    <row r="22" ht="15.75" customHeight="1">
      <c r="A22" s="1"/>
      <c r="B22" s="202" t="str">
        <f>'Perfil F-v PRESS BANCA'!B21</f>
        <v/>
      </c>
      <c r="C22" s="202"/>
      <c r="D22" s="202" t="str">
        <f>'Perfil F-v PRESS BANCA'!C21</f>
        <v/>
      </c>
      <c r="E22" s="2"/>
      <c r="F22" s="2"/>
      <c r="G22" s="2"/>
      <c r="H22" s="2"/>
      <c r="I22" s="267"/>
      <c r="J22" s="268"/>
      <c r="K22" s="268"/>
      <c r="L22" s="269" t="str">
        <f t="shared" si="2"/>
        <v/>
      </c>
      <c r="M22" s="270"/>
      <c r="N22" s="30" t="str">
        <f>IF((M22=""),(""),((('Perfil F-v DOMINADAS'!$S$56-M22)/-'Perfil F-v DOMINADAS'!$S$57)))</f>
        <v/>
      </c>
      <c r="O22" s="31" t="str">
        <f t="shared" si="1"/>
        <v>#N/A</v>
      </c>
      <c r="P22" s="2"/>
      <c r="Q22" s="2"/>
      <c r="R22" s="2"/>
      <c r="S22" s="2"/>
      <c r="T22" s="2"/>
      <c r="U22" s="2"/>
      <c r="V22" s="2"/>
      <c r="W22" s="3"/>
      <c r="X22" s="2"/>
      <c r="Y22" s="2"/>
      <c r="Z22" s="2"/>
    </row>
    <row r="23" ht="15.75" customHeight="1">
      <c r="A23" s="1"/>
      <c r="B23" s="55"/>
      <c r="C23" s="55"/>
      <c r="D23" s="56"/>
      <c r="E23" s="2"/>
      <c r="F23" s="2"/>
      <c r="G23" s="2"/>
      <c r="H23" s="2"/>
      <c r="I23" s="267"/>
      <c r="J23" s="268"/>
      <c r="K23" s="268"/>
      <c r="L23" s="269" t="str">
        <f t="shared" si="2"/>
        <v/>
      </c>
      <c r="M23" s="270"/>
      <c r="N23" s="30" t="str">
        <f>IF((M23=""),(""),((('Perfil F-v DOMINADAS'!$S$56-M23)/-'Perfil F-v DOMINADAS'!$S$57)))</f>
        <v/>
      </c>
      <c r="O23" s="31" t="str">
        <f t="shared" si="1"/>
        <v>#N/A</v>
      </c>
      <c r="P23" s="2"/>
      <c r="Q23" s="2"/>
      <c r="R23" s="2"/>
      <c r="S23" s="2"/>
      <c r="T23" s="2"/>
      <c r="U23" s="2"/>
      <c r="V23" s="2"/>
      <c r="W23" s="3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67"/>
      <c r="J24" s="268"/>
      <c r="K24" s="268"/>
      <c r="L24" s="269" t="str">
        <f t="shared" si="2"/>
        <v/>
      </c>
      <c r="M24" s="270"/>
      <c r="N24" s="30" t="str">
        <f>IF((M24=""),(""),((('Perfil F-v DOMINADAS'!$S$56-M24)/-'Perfil F-v DOMINADAS'!$S$57)))</f>
        <v/>
      </c>
      <c r="O24" s="283" t="str">
        <f t="shared" si="1"/>
        <v>#N/A</v>
      </c>
      <c r="P24" s="2"/>
      <c r="Q24" s="2"/>
      <c r="R24" s="2"/>
      <c r="S24" s="2"/>
      <c r="T24" s="2"/>
      <c r="U24" s="2"/>
      <c r="V24" s="2"/>
      <c r="W24" s="3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67"/>
      <c r="J25" s="268"/>
      <c r="K25" s="268"/>
      <c r="L25" s="269" t="str">
        <f t="shared" si="2"/>
        <v/>
      </c>
      <c r="M25" s="270"/>
      <c r="N25" s="30" t="str">
        <f>IF((M25=""),(""),((('Perfil F-v DOMINADAS'!$S$56-M25)/-'Perfil F-v DOMINADAS'!$S$57)))</f>
        <v/>
      </c>
      <c r="O25" s="283" t="str">
        <f t="shared" si="1"/>
        <v>#N/A</v>
      </c>
      <c r="P25" s="2"/>
      <c r="Q25" s="2"/>
      <c r="R25" s="2"/>
      <c r="S25" s="2"/>
      <c r="T25" s="2"/>
      <c r="U25" s="2"/>
      <c r="V25" s="2"/>
      <c r="W25" s="3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67"/>
      <c r="J26" s="268"/>
      <c r="K26" s="268"/>
      <c r="L26" s="269" t="str">
        <f t="shared" si="2"/>
        <v/>
      </c>
      <c r="M26" s="270"/>
      <c r="N26" s="30" t="str">
        <f>IF((M26=""),(""),((('Perfil F-v DOMINADAS'!$S$56-M26)/-'Perfil F-v DOMINADAS'!$S$57)))</f>
        <v/>
      </c>
      <c r="O26" s="283" t="str">
        <f t="shared" si="1"/>
        <v>#N/A</v>
      </c>
      <c r="P26" s="2"/>
      <c r="Q26" s="2"/>
      <c r="R26" s="2"/>
      <c r="S26" s="2"/>
      <c r="T26" s="2"/>
      <c r="U26" s="2"/>
      <c r="V26" s="2"/>
      <c r="W26" s="3"/>
      <c r="X26" s="2"/>
      <c r="Y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67"/>
      <c r="J27" s="268"/>
      <c r="K27" s="268"/>
      <c r="L27" s="269" t="str">
        <f t="shared" si="2"/>
        <v/>
      </c>
      <c r="M27" s="270"/>
      <c r="N27" s="30" t="str">
        <f>IF((M27=""),(""),((('Perfil F-v DOMINADAS'!$S$56-M27)/-'Perfil F-v DOMINADAS'!$S$57)))</f>
        <v/>
      </c>
      <c r="O27" s="283" t="str">
        <f t="shared" si="1"/>
        <v>#N/A</v>
      </c>
      <c r="P27" s="2"/>
      <c r="Q27" s="2"/>
      <c r="R27" s="2"/>
      <c r="S27" s="2"/>
      <c r="T27" s="2"/>
      <c r="U27" s="2"/>
      <c r="V27" s="2"/>
      <c r="W27" s="3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67"/>
      <c r="J28" s="268"/>
      <c r="K28" s="268"/>
      <c r="L28" s="269" t="str">
        <f t="shared" si="2"/>
        <v/>
      </c>
      <c r="M28" s="270"/>
      <c r="N28" s="30" t="str">
        <f>IF((M28=""),(""),((('Perfil F-v DOMINADAS'!$S$56-M28)/-'Perfil F-v DOMINADAS'!$S$57)))</f>
        <v/>
      </c>
      <c r="O28" s="283" t="str">
        <f t="shared" si="1"/>
        <v>#N/A</v>
      </c>
      <c r="P28" s="2"/>
      <c r="Q28" s="2"/>
      <c r="R28" s="2"/>
      <c r="S28" s="2"/>
      <c r="T28" s="2"/>
      <c r="U28" s="2"/>
      <c r="V28" s="2"/>
      <c r="W28" s="3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67"/>
      <c r="J29" s="268"/>
      <c r="K29" s="268"/>
      <c r="L29" s="269" t="str">
        <f t="shared" si="2"/>
        <v/>
      </c>
      <c r="M29" s="270"/>
      <c r="N29" s="30" t="str">
        <f>IF((M29=""),(""),((('Perfil F-v DOMINADAS'!$S$56-M29)/-'Perfil F-v DOMINADAS'!$S$57)))</f>
        <v/>
      </c>
      <c r="O29" s="283" t="str">
        <f t="shared" si="1"/>
        <v>#N/A</v>
      </c>
      <c r="P29" s="2"/>
      <c r="Q29" s="2"/>
      <c r="R29" s="2"/>
      <c r="S29" s="2"/>
      <c r="T29" s="2"/>
      <c r="U29" s="2"/>
      <c r="V29" s="2"/>
      <c r="W29" s="3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67"/>
      <c r="J30" s="268"/>
      <c r="K30" s="268"/>
      <c r="L30" s="269" t="str">
        <f t="shared" si="2"/>
        <v/>
      </c>
      <c r="M30" s="270"/>
      <c r="N30" s="30" t="str">
        <f>IF((M30=""),(""),((('Perfil F-v DOMINADAS'!$S$56-M30)/-'Perfil F-v DOMINADAS'!$S$57)))</f>
        <v/>
      </c>
      <c r="O30" s="283" t="str">
        <f t="shared" si="1"/>
        <v>#N/A</v>
      </c>
      <c r="P30" s="2"/>
      <c r="Q30" s="2"/>
      <c r="R30" s="2"/>
      <c r="S30" s="2"/>
      <c r="T30" s="2"/>
      <c r="U30" s="2"/>
      <c r="V30" s="2"/>
      <c r="W30" s="3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67"/>
      <c r="J31" s="268"/>
      <c r="K31" s="268"/>
      <c r="L31" s="269" t="str">
        <f t="shared" si="2"/>
        <v/>
      </c>
      <c r="M31" s="270"/>
      <c r="N31" s="30" t="str">
        <f>IF((M31=""),(""),((('Perfil F-v DOMINADAS'!$S$56-M31)/-'Perfil F-v DOMINADAS'!$S$57)))</f>
        <v/>
      </c>
      <c r="O31" s="283" t="str">
        <f t="shared" si="1"/>
        <v>#N/A</v>
      </c>
      <c r="P31" s="2"/>
      <c r="Q31" s="2"/>
      <c r="R31" s="2"/>
      <c r="S31" s="2"/>
      <c r="T31" s="2"/>
      <c r="U31" s="2"/>
      <c r="V31" s="2"/>
      <c r="W31" s="3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67"/>
      <c r="J32" s="268"/>
      <c r="K32" s="268"/>
      <c r="L32" s="269" t="str">
        <f t="shared" si="2"/>
        <v/>
      </c>
      <c r="M32" s="270"/>
      <c r="N32" s="30" t="str">
        <f>IF((M32=""),(""),((('Perfil F-v DOMINADAS'!$S$56-M32)/-'Perfil F-v DOMINADAS'!$S$57)))</f>
        <v/>
      </c>
      <c r="O32" s="283" t="str">
        <f t="shared" si="1"/>
        <v>#N/A</v>
      </c>
      <c r="P32" s="2"/>
      <c r="Q32" s="2"/>
      <c r="R32" s="2"/>
      <c r="S32" s="2"/>
      <c r="T32" s="2"/>
      <c r="U32" s="2"/>
      <c r="V32" s="2"/>
      <c r="W32" s="3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84"/>
      <c r="J33" s="285"/>
      <c r="K33" s="285"/>
      <c r="L33" s="286" t="str">
        <f t="shared" si="2"/>
        <v/>
      </c>
      <c r="M33" s="287"/>
      <c r="N33" s="59" t="str">
        <f>IF((M33=""),(""),((('Perfil F-v DOMINADAS'!$S$56-M33)/-'Perfil F-v DOMINADAS'!$S$57)))</f>
        <v/>
      </c>
      <c r="O33" s="60" t="str">
        <f t="shared" si="1"/>
        <v>#N/A</v>
      </c>
      <c r="P33" s="2"/>
      <c r="Q33" s="2"/>
      <c r="R33" s="2"/>
      <c r="S33" s="2"/>
      <c r="T33" s="2"/>
      <c r="U33" s="2"/>
      <c r="V33" s="2"/>
      <c r="W33" s="3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3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3"/>
      <c r="X36" s="2"/>
      <c r="Y36" s="2"/>
      <c r="Z36" s="2"/>
    </row>
    <row r="37" ht="27.0" customHeight="1">
      <c r="A37" s="7" t="s">
        <v>21</v>
      </c>
      <c r="B37" s="5"/>
      <c r="C37" s="5"/>
      <c r="D37" s="5"/>
      <c r="E37" s="5"/>
      <c r="F37" s="5"/>
      <c r="G37" s="6"/>
      <c r="H37" s="210"/>
      <c r="I37" s="7" t="s">
        <v>22</v>
      </c>
      <c r="J37" s="5"/>
      <c r="K37" s="5"/>
      <c r="L37" s="5"/>
      <c r="M37" s="5"/>
      <c r="N37" s="5"/>
      <c r="O37" s="6"/>
      <c r="P37" s="2"/>
      <c r="Q37" s="7" t="s">
        <v>23</v>
      </c>
      <c r="R37" s="5"/>
      <c r="S37" s="5"/>
      <c r="T37" s="5"/>
      <c r="U37" s="6"/>
      <c r="V37" s="2"/>
      <c r="W37" s="3"/>
      <c r="X37" s="2"/>
      <c r="Y37" s="2"/>
      <c r="Z37" s="2"/>
    </row>
    <row r="38" ht="15.0" customHeight="1">
      <c r="A38" s="63" t="str">
        <f>'Perfil F-v DOMINADAS'!M42</f>
        <v>PRESS DE BANCA</v>
      </c>
      <c r="B38" s="64"/>
      <c r="C38" s="64"/>
      <c r="D38" s="64"/>
      <c r="E38" s="64"/>
      <c r="F38" s="64"/>
      <c r="G38" s="65"/>
      <c r="H38" s="211"/>
      <c r="I38" s="1"/>
      <c r="J38" s="2"/>
      <c r="K38" s="2"/>
      <c r="L38" s="212"/>
      <c r="M38" s="213"/>
      <c r="N38" s="214"/>
      <c r="O38" s="3"/>
      <c r="P38" s="2"/>
      <c r="Q38" s="1"/>
      <c r="R38" s="8"/>
      <c r="S38" s="11"/>
      <c r="T38" s="9"/>
      <c r="U38" s="3"/>
      <c r="V38" s="2"/>
      <c r="W38" s="3"/>
      <c r="X38" s="2"/>
      <c r="Y38" s="2"/>
      <c r="Z38" s="2"/>
    </row>
    <row r="39" ht="15.0" customHeight="1">
      <c r="A39" s="66"/>
      <c r="G39" s="67"/>
      <c r="H39" s="211"/>
      <c r="I39" s="1"/>
      <c r="J39" s="2"/>
      <c r="K39" s="2"/>
      <c r="L39" s="2"/>
      <c r="M39" s="2"/>
      <c r="N39" s="2"/>
      <c r="O39" s="3"/>
      <c r="P39" s="2"/>
      <c r="Q39" s="1"/>
      <c r="R39" s="8"/>
      <c r="S39" s="11"/>
      <c r="T39" s="9"/>
      <c r="U39" s="3"/>
      <c r="V39" s="2"/>
      <c r="W39" s="3"/>
      <c r="X39" s="2"/>
      <c r="Y39" s="2"/>
      <c r="Z39" s="2"/>
    </row>
    <row r="40" ht="24.75" customHeight="1">
      <c r="A40" s="71"/>
      <c r="B40" s="72"/>
      <c r="C40" s="72"/>
      <c r="D40" s="72"/>
      <c r="E40" s="72"/>
      <c r="F40" s="72"/>
      <c r="G40" s="73"/>
      <c r="H40" s="211"/>
      <c r="I40" s="1"/>
      <c r="J40" s="2"/>
      <c r="K40" s="288" t="s">
        <v>133</v>
      </c>
      <c r="L40" s="69"/>
      <c r="M40" s="70"/>
      <c r="N40" s="2"/>
      <c r="O40" s="3"/>
      <c r="P40" s="2"/>
      <c r="Q40" s="1"/>
      <c r="R40" s="77" t="str">
        <f>'Perfil F-v DOMINADAS'!M42</f>
        <v>PRESS DE BANCA</v>
      </c>
      <c r="S40" s="20"/>
      <c r="T40" s="78"/>
      <c r="U40" s="3"/>
      <c r="V40" s="2"/>
      <c r="W40" s="3"/>
      <c r="X40" s="2"/>
      <c r="Y40" s="2"/>
      <c r="Z40" s="2"/>
    </row>
    <row r="41" ht="15.75" customHeight="1">
      <c r="A41" s="1"/>
      <c r="B41" s="2"/>
      <c r="C41" s="2"/>
      <c r="D41" s="61"/>
      <c r="E41" s="61"/>
      <c r="F41" s="61"/>
      <c r="G41" s="3"/>
      <c r="H41" s="2"/>
      <c r="I41" s="1"/>
      <c r="J41" s="2"/>
      <c r="K41" s="74" t="str">
        <f>"PERFIL"&amp;" "&amp; M42</f>
        <v>PERFIL PRESS DE BANCA</v>
      </c>
      <c r="L41" s="75"/>
      <c r="M41" s="76"/>
      <c r="N41" s="2"/>
      <c r="O41" s="3"/>
      <c r="P41" s="2"/>
      <c r="Q41" s="1"/>
      <c r="R41" s="77" t="s">
        <v>25</v>
      </c>
      <c r="S41" s="78"/>
      <c r="T41" s="218" t="str">
        <f>FIXED(INTERCEPT('Perfil F-v DOMINADAS'!M46:M50,'Perfil F-v DOMINADAS'!L46:L50),4)</f>
        <v>0,9600</v>
      </c>
      <c r="U41" s="3"/>
      <c r="V41" s="2"/>
      <c r="W41" s="3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3"/>
      <c r="H42" s="2"/>
      <c r="I42" s="1"/>
      <c r="J42" s="2"/>
      <c r="K42" s="80"/>
      <c r="L42" s="216" t="s">
        <v>24</v>
      </c>
      <c r="M42" s="289" t="s">
        <v>139</v>
      </c>
      <c r="N42" s="2"/>
      <c r="O42" s="3"/>
      <c r="P42" s="2"/>
      <c r="Q42" s="1"/>
      <c r="R42" s="77" t="s">
        <v>28</v>
      </c>
      <c r="S42" s="78"/>
      <c r="T42" s="219" t="str">
        <f>FIXED(SLOPE('Perfil F-v DOMINADAS'!M46:M50,'Perfil F-v DOMINADAS'!L46:L50),4)</f>
        <v>-0,0060</v>
      </c>
      <c r="U42" s="3"/>
      <c r="V42" s="2"/>
      <c r="W42" s="3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3"/>
      <c r="H43" s="2"/>
      <c r="I43" s="1"/>
      <c r="J43" s="2"/>
      <c r="K43" s="84" t="s">
        <v>26</v>
      </c>
      <c r="L43" s="81" t="s">
        <v>27</v>
      </c>
      <c r="M43" s="290">
        <v>0.18</v>
      </c>
      <c r="N43" s="2"/>
      <c r="O43" s="3"/>
      <c r="P43" s="2"/>
      <c r="Q43" s="1"/>
      <c r="R43" s="77" t="s">
        <v>31</v>
      </c>
      <c r="S43" s="90"/>
      <c r="T43" s="221" t="str">
        <f>CONCATENATE("Y=",T42,"x +  ",T41)</f>
        <v>Y=-0,0060x +  0,9600</v>
      </c>
      <c r="U43" s="3"/>
      <c r="V43" s="2"/>
      <c r="W43" s="3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3"/>
      <c r="H44" s="2"/>
      <c r="I44" s="1"/>
      <c r="J44" s="2"/>
      <c r="K44" s="88" t="s">
        <v>29</v>
      </c>
      <c r="L44" s="220" t="s">
        <v>30</v>
      </c>
      <c r="M44" s="78"/>
      <c r="N44" s="2"/>
      <c r="O44" s="3"/>
      <c r="P44" s="2"/>
      <c r="Q44" s="1"/>
      <c r="R44" s="77" t="s">
        <v>35</v>
      </c>
      <c r="S44" s="78"/>
      <c r="T44" s="216" t="str">
        <f>CONCATENATE("X=((",T41,"-",'Perfil F-v DOMINADAS'!$M$43,")/",-T42,")")</f>
        <v>X=((0,9600-0,18)/0,006)</v>
      </c>
      <c r="U44" s="3"/>
      <c r="V44" s="2"/>
      <c r="W44" s="3"/>
      <c r="X44" s="2"/>
      <c r="Z44" s="2"/>
    </row>
    <row r="45" ht="15.75" customHeight="1">
      <c r="A45" s="1"/>
      <c r="B45" s="2"/>
      <c r="C45" s="2"/>
      <c r="D45" s="2"/>
      <c r="E45" s="2"/>
      <c r="F45" s="2"/>
      <c r="G45" s="3"/>
      <c r="H45" s="2"/>
      <c r="I45" s="1"/>
      <c r="J45" s="2"/>
      <c r="K45" s="88" t="s">
        <v>32</v>
      </c>
      <c r="L45" s="92" t="s">
        <v>140</v>
      </c>
      <c r="M45" s="25" t="s">
        <v>34</v>
      </c>
      <c r="N45" s="2"/>
      <c r="O45" s="3"/>
      <c r="P45" s="2"/>
      <c r="Q45" s="1"/>
      <c r="R45" s="77" t="s">
        <v>36</v>
      </c>
      <c r="S45" s="78"/>
      <c r="T45" s="222">
        <f>-(T41-'Perfil F-v DOMINADAS'!M43)/T42</f>
        <v>130</v>
      </c>
      <c r="U45" s="3"/>
      <c r="V45" s="2"/>
      <c r="W45" s="3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3"/>
      <c r="H46" s="2"/>
      <c r="I46" s="1"/>
      <c r="J46" s="2"/>
      <c r="K46" s="95">
        <v>0.75</v>
      </c>
      <c r="L46" s="291">
        <v>60.0</v>
      </c>
      <c r="M46" s="292">
        <v>0.6</v>
      </c>
      <c r="N46" s="2"/>
      <c r="O46" s="3"/>
      <c r="P46" s="2"/>
      <c r="Q46" s="1"/>
      <c r="R46" s="77" t="s">
        <v>141</v>
      </c>
      <c r="S46" s="78"/>
      <c r="T46" s="223">
        <f>RSQ('Perfil F-v DOMINADAS'!M46:M50,'Perfil F-v DOMINADAS'!L46:L50)</f>
        <v>1</v>
      </c>
      <c r="U46" s="3"/>
      <c r="V46" s="2"/>
      <c r="W46" s="3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3"/>
      <c r="H47" s="2"/>
      <c r="I47" s="1"/>
      <c r="J47" s="2"/>
      <c r="K47" s="95">
        <v>0.8</v>
      </c>
      <c r="L47" s="291">
        <v>70.0</v>
      </c>
      <c r="M47" s="292">
        <v>0.54</v>
      </c>
      <c r="N47" s="2"/>
      <c r="O47" s="3"/>
      <c r="P47" s="2"/>
      <c r="Q47" s="1"/>
      <c r="R47" s="224"/>
      <c r="S47" s="224"/>
      <c r="T47" s="224"/>
      <c r="U47" s="3"/>
      <c r="V47" s="2"/>
      <c r="W47" s="3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3"/>
      <c r="H48" s="2"/>
      <c r="I48" s="1"/>
      <c r="J48" s="2"/>
      <c r="K48" s="95">
        <v>0.85</v>
      </c>
      <c r="L48" s="291">
        <v>80.0</v>
      </c>
      <c r="M48" s="292">
        <v>0.48</v>
      </c>
      <c r="N48" s="2"/>
      <c r="O48" s="3"/>
      <c r="P48" s="2"/>
      <c r="Q48" s="1"/>
      <c r="R48" s="100" t="s">
        <v>38</v>
      </c>
      <c r="S48" s="20"/>
      <c r="T48" s="78"/>
      <c r="U48" s="3"/>
      <c r="V48" s="2"/>
      <c r="W48" s="3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3"/>
      <c r="H49" s="2"/>
      <c r="I49" s="1"/>
      <c r="J49" s="2"/>
      <c r="K49" s="95">
        <v>0.9</v>
      </c>
      <c r="L49" s="291">
        <v>90.0</v>
      </c>
      <c r="M49" s="292">
        <v>0.42</v>
      </c>
      <c r="N49" s="2"/>
      <c r="O49" s="3"/>
      <c r="P49" s="2"/>
      <c r="Q49" s="1"/>
      <c r="R49" s="225" t="s">
        <v>39</v>
      </c>
      <c r="S49" s="225" t="s">
        <v>40</v>
      </c>
      <c r="T49" s="225" t="s">
        <v>41</v>
      </c>
      <c r="U49" s="3"/>
      <c r="V49" s="2"/>
      <c r="W49" s="3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3"/>
      <c r="H50" s="2"/>
      <c r="I50" s="1"/>
      <c r="J50" s="2"/>
      <c r="K50" s="95">
        <v>0.95</v>
      </c>
      <c r="L50" s="291">
        <v>100.0</v>
      </c>
      <c r="M50" s="292">
        <v>0.36</v>
      </c>
      <c r="N50" s="2"/>
      <c r="O50" s="3"/>
      <c r="P50" s="2"/>
      <c r="Q50" s="1"/>
      <c r="R50" s="226">
        <f>'Perfil F-v DOMINADAS'!L46</f>
        <v>60</v>
      </c>
      <c r="S50" s="227">
        <f>(100*R50)/'Perfil F-v DOMINADAS'!$T$45</f>
        <v>46.15384615</v>
      </c>
      <c r="T50" s="228">
        <f>'Perfil F-v DOMINADAS'!M46</f>
        <v>0.6</v>
      </c>
      <c r="U50" s="3"/>
      <c r="V50" s="2"/>
      <c r="W50" s="3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3"/>
      <c r="H51" s="2"/>
      <c r="I51" s="1"/>
      <c r="J51" s="2"/>
      <c r="K51" s="101" t="s">
        <v>42</v>
      </c>
      <c r="L51" s="25" t="s">
        <v>142</v>
      </c>
      <c r="M51" s="102">
        <f>'Perfil F-v DOMINADAS'!T46</f>
        <v>1</v>
      </c>
      <c r="N51" s="2"/>
      <c r="O51" s="3"/>
      <c r="P51" s="2"/>
      <c r="Q51" s="1"/>
      <c r="R51" s="226">
        <f>'Perfil F-v DOMINADAS'!L47</f>
        <v>70</v>
      </c>
      <c r="S51" s="227">
        <f>(100*R51)/'Perfil F-v DOMINADAS'!$T$45</f>
        <v>53.84615385</v>
      </c>
      <c r="T51" s="228">
        <f>'Perfil F-v DOMINADAS'!M47</f>
        <v>0.54</v>
      </c>
      <c r="U51" s="3"/>
      <c r="V51" s="2"/>
      <c r="W51" s="3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3"/>
      <c r="H52" s="2"/>
      <c r="I52" s="1"/>
      <c r="J52" s="2"/>
      <c r="K52" s="2"/>
      <c r="L52" s="2"/>
      <c r="M52" s="2"/>
      <c r="N52" s="2"/>
      <c r="O52" s="3"/>
      <c r="P52" s="2"/>
      <c r="Q52" s="1"/>
      <c r="R52" s="226">
        <f>'Perfil F-v DOMINADAS'!L48</f>
        <v>80</v>
      </c>
      <c r="S52" s="227">
        <f>(100*R52)/'Perfil F-v DOMINADAS'!$T$45</f>
        <v>61.53846154</v>
      </c>
      <c r="T52" s="228">
        <f>'Perfil F-v DOMINADAS'!M48</f>
        <v>0.48</v>
      </c>
      <c r="U52" s="3"/>
      <c r="V52" s="2"/>
      <c r="W52" s="3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3"/>
      <c r="H53" s="2"/>
      <c r="I53" s="1"/>
      <c r="J53" s="2"/>
      <c r="K53" s="105" t="s">
        <v>44</v>
      </c>
      <c r="L53" s="75"/>
      <c r="M53" s="76"/>
      <c r="N53" s="2"/>
      <c r="O53" s="3"/>
      <c r="P53" s="2"/>
      <c r="Q53" s="1"/>
      <c r="R53" s="226">
        <f>'Perfil F-v DOMINADAS'!L49</f>
        <v>90</v>
      </c>
      <c r="S53" s="227">
        <f>(100*R53)/'Perfil F-v DOMINADAS'!$T$45</f>
        <v>69.23076923</v>
      </c>
      <c r="T53" s="228">
        <f>'Perfil F-v DOMINADAS'!M49</f>
        <v>0.42</v>
      </c>
      <c r="U53" s="3"/>
      <c r="V53" s="2"/>
      <c r="W53" s="3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3"/>
      <c r="H54" s="2"/>
      <c r="I54" s="1"/>
      <c r="J54" s="2"/>
      <c r="K54" s="105" t="s">
        <v>45</v>
      </c>
      <c r="L54" s="75"/>
      <c r="M54" s="76"/>
      <c r="N54" s="2"/>
      <c r="O54" s="3"/>
      <c r="P54" s="2"/>
      <c r="Q54" s="1"/>
      <c r="R54" s="226">
        <f>'Perfil F-v DOMINADAS'!L50</f>
        <v>100</v>
      </c>
      <c r="S54" s="227">
        <f>(100*R54)/'Perfil F-v DOMINADAS'!$T$45</f>
        <v>76.92307692</v>
      </c>
      <c r="T54" s="228">
        <f>'Perfil F-v DOMINADAS'!M50</f>
        <v>0.36</v>
      </c>
      <c r="U54" s="3"/>
      <c r="V54" s="2"/>
      <c r="W54" s="3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3"/>
      <c r="H55" s="2"/>
      <c r="I55" s="1"/>
      <c r="J55" s="2"/>
      <c r="K55" s="105" t="s">
        <v>46</v>
      </c>
      <c r="L55" s="75"/>
      <c r="M55" s="76"/>
      <c r="N55" s="2"/>
      <c r="O55" s="3"/>
      <c r="P55" s="2"/>
      <c r="Q55" s="1"/>
      <c r="R55" s="227">
        <f>'Perfil F-v DOMINADAS'!T45</f>
        <v>130</v>
      </c>
      <c r="S55" s="225">
        <f>(100*R55)/'Perfil F-v DOMINADAS'!$T$45</f>
        <v>100</v>
      </c>
      <c r="T55" s="228">
        <f>'Perfil F-v DOMINADAS'!M43</f>
        <v>0.18</v>
      </c>
      <c r="U55" s="3"/>
      <c r="V55" s="2"/>
      <c r="W55" s="3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3"/>
      <c r="H56" s="2"/>
      <c r="I56" s="50"/>
      <c r="J56" s="53"/>
      <c r="K56" s="109" t="s">
        <v>47</v>
      </c>
      <c r="L56" s="110"/>
      <c r="M56" s="111"/>
      <c r="N56" s="229" t="str">
        <f>'Perfil F-v DOMINADAS'!$D$22</f>
        <v/>
      </c>
      <c r="O56" s="54"/>
      <c r="P56" s="2"/>
      <c r="Q56" s="1"/>
      <c r="R56" s="225" t="s">
        <v>48</v>
      </c>
      <c r="S56" s="225" t="str">
        <f>FIXED(INTERCEPT(T50:T55,S50:S55),4)</f>
        <v>0,9600</v>
      </c>
      <c r="T56" s="231"/>
      <c r="U56" s="3"/>
      <c r="V56" s="2"/>
      <c r="W56" s="3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1"/>
      <c r="R57" s="225" t="s">
        <v>49</v>
      </c>
      <c r="S57" s="232" t="str">
        <f>FIXED(SLOPE(T50:T55,S50:S55),4)</f>
        <v>-0,0078</v>
      </c>
      <c r="T57" s="231"/>
      <c r="U57" s="3"/>
      <c r="V57" s="2"/>
      <c r="W57" s="3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1"/>
      <c r="R58" s="233" t="s">
        <v>50</v>
      </c>
      <c r="S58" s="221" t="str">
        <f>CONCATENATE("Y=",S57,"x +  ",S56)</f>
        <v>Y=-0,0078x +  0,9600</v>
      </c>
      <c r="T58" s="231"/>
      <c r="U58" s="3"/>
      <c r="V58" s="2"/>
      <c r="W58" s="3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50"/>
      <c r="R59" s="234" t="s">
        <v>143</v>
      </c>
      <c r="S59" s="235">
        <f>RSQ(T50:T55,S50:S55)</f>
        <v>1</v>
      </c>
      <c r="T59" s="236"/>
      <c r="U59" s="54"/>
      <c r="V59" s="2"/>
      <c r="W59" s="3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02" t="str">
        <f>'Perfil F-v DOMINADAS'!$B$22</f>
        <v/>
      </c>
      <c r="S60" s="2"/>
      <c r="T60" s="55"/>
      <c r="U60" s="2"/>
      <c r="V60" s="2"/>
      <c r="W60" s="3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3"/>
      <c r="H62" s="2"/>
      <c r="I62" s="7" t="s">
        <v>144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293"/>
      <c r="V62" s="293"/>
      <c r="W62" s="3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3"/>
      <c r="H63" s="2"/>
      <c r="I63" s="119"/>
      <c r="J63" s="120"/>
      <c r="K63" s="120"/>
      <c r="L63" s="120"/>
      <c r="M63" s="121"/>
      <c r="N63" s="122" t="s">
        <v>53</v>
      </c>
      <c r="O63" s="15"/>
      <c r="P63" s="15"/>
      <c r="Q63" s="15"/>
      <c r="R63" s="15"/>
      <c r="S63" s="15"/>
      <c r="T63" s="16"/>
      <c r="U63" s="2"/>
      <c r="V63" s="2"/>
      <c r="W63" s="3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3"/>
      <c r="H64" s="2"/>
      <c r="I64" s="123"/>
      <c r="J64" s="124"/>
      <c r="K64" s="124"/>
      <c r="L64" s="125"/>
      <c r="M64" s="126"/>
      <c r="N64" s="127" t="s">
        <v>54</v>
      </c>
      <c r="O64" s="294" t="s">
        <v>55</v>
      </c>
      <c r="P64" s="78"/>
      <c r="Q64" s="295" t="s">
        <v>56</v>
      </c>
      <c r="R64" s="78"/>
      <c r="S64" s="296" t="s">
        <v>57</v>
      </c>
      <c r="T64" s="21"/>
      <c r="U64" s="1"/>
      <c r="V64" s="2"/>
      <c r="W64" s="3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3"/>
      <c r="H65" s="2"/>
      <c r="I65" s="131"/>
      <c r="J65" s="132"/>
      <c r="K65" s="132"/>
      <c r="L65" s="133" t="s">
        <v>58</v>
      </c>
      <c r="M65" s="134" t="s">
        <v>59</v>
      </c>
      <c r="N65" s="135" t="s">
        <v>60</v>
      </c>
      <c r="O65" s="297" t="s">
        <v>61</v>
      </c>
      <c r="P65" s="297" t="s">
        <v>62</v>
      </c>
      <c r="Q65" s="298" t="s">
        <v>63</v>
      </c>
      <c r="R65" s="298" t="s">
        <v>64</v>
      </c>
      <c r="S65" s="299" t="s">
        <v>65</v>
      </c>
      <c r="T65" s="300" t="s">
        <v>66</v>
      </c>
      <c r="U65" s="1"/>
      <c r="V65" s="2"/>
      <c r="W65" s="3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3"/>
      <c r="H66" s="2"/>
      <c r="I66" s="131"/>
      <c r="J66" s="132"/>
      <c r="K66" s="132"/>
      <c r="L66" s="140"/>
      <c r="M66" s="141" t="s">
        <v>67</v>
      </c>
      <c r="N66" s="135" t="s">
        <v>68</v>
      </c>
      <c r="O66" s="297" t="s">
        <v>69</v>
      </c>
      <c r="P66" s="297" t="s">
        <v>70</v>
      </c>
      <c r="Q66" s="298" t="s">
        <v>71</v>
      </c>
      <c r="R66" s="298" t="s">
        <v>72</v>
      </c>
      <c r="S66" s="299" t="s">
        <v>73</v>
      </c>
      <c r="T66" s="301" t="s">
        <v>74</v>
      </c>
      <c r="U66" s="1"/>
      <c r="V66" s="2"/>
      <c r="W66" s="3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3"/>
      <c r="H67" s="2"/>
      <c r="I67" s="143"/>
      <c r="J67" s="144"/>
      <c r="K67" s="144"/>
      <c r="L67" s="140"/>
      <c r="M67" s="145" t="s">
        <v>75</v>
      </c>
      <c r="N67" s="146">
        <v>0.0</v>
      </c>
      <c r="O67" s="302">
        <v>1.0</v>
      </c>
      <c r="P67" s="302">
        <v>2.0</v>
      </c>
      <c r="Q67" s="303">
        <v>3.0</v>
      </c>
      <c r="R67" s="303">
        <v>4.0</v>
      </c>
      <c r="S67" s="304">
        <v>5.0</v>
      </c>
      <c r="T67" s="305">
        <v>6.0</v>
      </c>
      <c r="U67" s="1"/>
      <c r="V67" s="2"/>
      <c r="W67" s="3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3"/>
      <c r="H68" s="2"/>
      <c r="I68" s="151"/>
      <c r="J68" s="152"/>
      <c r="K68" s="152"/>
      <c r="L68" s="153"/>
      <c r="M68" s="154"/>
      <c r="N68" s="154"/>
      <c r="O68" s="154"/>
      <c r="P68" s="154"/>
      <c r="Q68" s="154"/>
      <c r="R68" s="154"/>
      <c r="S68" s="154"/>
      <c r="T68" s="155"/>
      <c r="U68" s="1"/>
      <c r="V68" s="2"/>
      <c r="W68" s="3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3"/>
      <c r="H69" s="2"/>
      <c r="I69" s="133" t="s">
        <v>76</v>
      </c>
      <c r="J69" s="156" t="s">
        <v>8</v>
      </c>
      <c r="K69" s="157" t="s">
        <v>77</v>
      </c>
      <c r="L69" s="94"/>
      <c r="M69" s="306" t="s">
        <v>145</v>
      </c>
      <c r="N69" s="307">
        <v>0.19</v>
      </c>
      <c r="O69" s="307">
        <v>0.24</v>
      </c>
      <c r="P69" s="307">
        <v>0.3</v>
      </c>
      <c r="Q69" s="307">
        <v>0.36</v>
      </c>
      <c r="R69" s="307">
        <v>0.4</v>
      </c>
      <c r="S69" s="307">
        <v>0.46</v>
      </c>
      <c r="T69" s="308">
        <v>0.5</v>
      </c>
      <c r="U69" s="1"/>
      <c r="V69" s="2"/>
      <c r="W69" s="3"/>
      <c r="X69" s="2"/>
      <c r="Y69" s="2"/>
      <c r="Z69" s="2"/>
    </row>
    <row r="70" ht="15.0" customHeight="1">
      <c r="A70" s="1"/>
      <c r="B70" s="2"/>
      <c r="C70" s="2"/>
      <c r="D70" s="2"/>
      <c r="E70" s="2"/>
      <c r="F70" s="2"/>
      <c r="G70" s="3"/>
      <c r="H70" s="2"/>
      <c r="I70" s="153"/>
      <c r="J70" s="154"/>
      <c r="K70" s="161" t="s">
        <v>79</v>
      </c>
      <c r="L70" s="309" t="s">
        <v>145</v>
      </c>
      <c r="M70" s="6"/>
      <c r="N70" s="163" t="s">
        <v>81</v>
      </c>
      <c r="O70" s="20"/>
      <c r="P70" s="20"/>
      <c r="Q70" s="20"/>
      <c r="R70" s="20"/>
      <c r="S70" s="20"/>
      <c r="T70" s="21"/>
      <c r="U70" s="1"/>
      <c r="V70" s="2"/>
      <c r="W70" s="3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3"/>
      <c r="H71" s="2"/>
      <c r="I71" s="164" t="s">
        <v>82</v>
      </c>
      <c r="J71" s="165" t="s">
        <v>83</v>
      </c>
      <c r="K71" s="166" t="s">
        <v>84</v>
      </c>
      <c r="L71" s="310">
        <v>0.19</v>
      </c>
      <c r="M71" s="6"/>
      <c r="N71" s="311">
        <v>1.0</v>
      </c>
      <c r="O71" s="169"/>
      <c r="P71" s="170"/>
      <c r="Q71" s="170"/>
      <c r="R71" s="170"/>
      <c r="S71" s="170"/>
      <c r="T71" s="171"/>
      <c r="U71" s="1"/>
      <c r="V71" s="2"/>
      <c r="W71" s="3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3"/>
      <c r="H72" s="2"/>
      <c r="I72" s="140"/>
      <c r="J72" s="172" t="s">
        <v>85</v>
      </c>
      <c r="K72" s="173"/>
      <c r="L72" s="310">
        <v>0.24</v>
      </c>
      <c r="M72" s="6"/>
      <c r="N72" s="135">
        <v>2.0</v>
      </c>
      <c r="O72" s="297">
        <v>1.0</v>
      </c>
      <c r="P72" s="170"/>
      <c r="Q72" s="170"/>
      <c r="R72" s="170"/>
      <c r="S72" s="170"/>
      <c r="T72" s="171"/>
      <c r="U72" s="1"/>
      <c r="V72" s="2"/>
      <c r="W72" s="3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3"/>
      <c r="H73" s="2"/>
      <c r="I73" s="153"/>
      <c r="J73" s="172" t="s">
        <v>86</v>
      </c>
      <c r="K73" s="173"/>
      <c r="L73" s="310">
        <v>0.3</v>
      </c>
      <c r="M73" s="6"/>
      <c r="N73" s="135">
        <v>3.0</v>
      </c>
      <c r="O73" s="297">
        <v>2.0</v>
      </c>
      <c r="P73" s="297">
        <v>1.0</v>
      </c>
      <c r="Q73" s="170"/>
      <c r="R73" s="170"/>
      <c r="S73" s="170"/>
      <c r="T73" s="171"/>
      <c r="U73" s="1"/>
      <c r="V73" s="2"/>
      <c r="W73" s="3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3"/>
      <c r="H74" s="2"/>
      <c r="I74" s="176" t="s">
        <v>87</v>
      </c>
      <c r="J74" s="177" t="s">
        <v>88</v>
      </c>
      <c r="K74" s="173"/>
      <c r="L74" s="310">
        <v>0.36</v>
      </c>
      <c r="M74" s="6"/>
      <c r="N74" s="135">
        <v>4.0</v>
      </c>
      <c r="O74" s="297">
        <v>3.0</v>
      </c>
      <c r="P74" s="297">
        <v>2.0</v>
      </c>
      <c r="Q74" s="298">
        <v>1.0</v>
      </c>
      <c r="R74" s="170"/>
      <c r="S74" s="170"/>
      <c r="T74" s="171"/>
      <c r="U74" s="1"/>
      <c r="V74" s="2"/>
      <c r="W74" s="3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3"/>
      <c r="H75" s="2"/>
      <c r="I75" s="140"/>
      <c r="J75" s="177" t="s">
        <v>89</v>
      </c>
      <c r="K75" s="173"/>
      <c r="L75" s="310">
        <v>0.4</v>
      </c>
      <c r="M75" s="6"/>
      <c r="N75" s="135">
        <v>5.0</v>
      </c>
      <c r="O75" s="297">
        <v>4.0</v>
      </c>
      <c r="P75" s="297">
        <v>3.0</v>
      </c>
      <c r="Q75" s="298">
        <v>2.0</v>
      </c>
      <c r="R75" s="298">
        <v>1.0</v>
      </c>
      <c r="S75" s="170"/>
      <c r="T75" s="171"/>
      <c r="U75" s="1"/>
      <c r="V75" s="2"/>
      <c r="W75" s="3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3"/>
      <c r="H76" s="2"/>
      <c r="I76" s="140"/>
      <c r="J76" s="177" t="s">
        <v>90</v>
      </c>
      <c r="K76" s="154"/>
      <c r="L76" s="310">
        <v>0.46</v>
      </c>
      <c r="M76" s="6"/>
      <c r="N76" s="135">
        <v>6.0</v>
      </c>
      <c r="O76" s="297">
        <v>5.0</v>
      </c>
      <c r="P76" s="297">
        <v>4.0</v>
      </c>
      <c r="Q76" s="298">
        <v>3.0</v>
      </c>
      <c r="R76" s="298">
        <v>2.0</v>
      </c>
      <c r="S76" s="299">
        <v>1.0</v>
      </c>
      <c r="T76" s="171"/>
      <c r="U76" s="1"/>
      <c r="V76" s="2"/>
      <c r="W76" s="3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3"/>
      <c r="H77" s="2"/>
      <c r="I77" s="153"/>
      <c r="J77" s="177" t="s">
        <v>91</v>
      </c>
      <c r="K77" s="180" t="s">
        <v>92</v>
      </c>
      <c r="L77" s="310">
        <v>0.5</v>
      </c>
      <c r="M77" s="6"/>
      <c r="N77" s="135">
        <v>7.0</v>
      </c>
      <c r="O77" s="297">
        <v>6.0</v>
      </c>
      <c r="P77" s="297">
        <v>5.0</v>
      </c>
      <c r="Q77" s="298">
        <v>4.0</v>
      </c>
      <c r="R77" s="298">
        <v>3.0</v>
      </c>
      <c r="S77" s="299">
        <v>2.0</v>
      </c>
      <c r="T77" s="301">
        <v>1.0</v>
      </c>
      <c r="U77" s="1"/>
      <c r="V77" s="2"/>
      <c r="W77" s="3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3"/>
      <c r="H78" s="2"/>
      <c r="I78" s="182" t="s">
        <v>57</v>
      </c>
      <c r="J78" s="183" t="s">
        <v>93</v>
      </c>
      <c r="K78" s="173"/>
      <c r="L78" s="310">
        <v>0.55</v>
      </c>
      <c r="M78" s="6"/>
      <c r="N78" s="135">
        <v>8.0</v>
      </c>
      <c r="O78" s="297">
        <v>7.0</v>
      </c>
      <c r="P78" s="297">
        <v>6.0</v>
      </c>
      <c r="Q78" s="298">
        <v>5.0</v>
      </c>
      <c r="R78" s="298">
        <v>4.0</v>
      </c>
      <c r="S78" s="299">
        <v>3.0</v>
      </c>
      <c r="T78" s="301">
        <v>2.0</v>
      </c>
      <c r="U78" s="1"/>
      <c r="V78" s="2"/>
      <c r="W78" s="3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3"/>
      <c r="H79" s="2"/>
      <c r="I79" s="140"/>
      <c r="J79" s="183" t="s">
        <v>94</v>
      </c>
      <c r="K79" s="173"/>
      <c r="L79" s="310">
        <v>0.61</v>
      </c>
      <c r="M79" s="6"/>
      <c r="N79" s="135">
        <v>9.0</v>
      </c>
      <c r="O79" s="297">
        <v>8.0</v>
      </c>
      <c r="P79" s="297">
        <v>7.0</v>
      </c>
      <c r="Q79" s="298">
        <v>6.0</v>
      </c>
      <c r="R79" s="298">
        <v>5.0</v>
      </c>
      <c r="S79" s="299">
        <v>4.0</v>
      </c>
      <c r="T79" s="301">
        <v>3.0</v>
      </c>
      <c r="U79" s="1"/>
      <c r="V79" s="2"/>
      <c r="W79" s="3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3"/>
      <c r="H80" s="2"/>
      <c r="I80" s="140"/>
      <c r="J80" s="183" t="s">
        <v>95</v>
      </c>
      <c r="K80" s="173"/>
      <c r="L80" s="310">
        <v>0.67</v>
      </c>
      <c r="M80" s="6"/>
      <c r="N80" s="135">
        <v>10.0</v>
      </c>
      <c r="O80" s="297">
        <v>9.0</v>
      </c>
      <c r="P80" s="297">
        <v>8.0</v>
      </c>
      <c r="Q80" s="298">
        <v>7.0</v>
      </c>
      <c r="R80" s="298">
        <v>6.0</v>
      </c>
      <c r="S80" s="299">
        <v>5.0</v>
      </c>
      <c r="T80" s="301">
        <v>4.0</v>
      </c>
      <c r="U80" s="1"/>
      <c r="V80" s="2"/>
      <c r="W80" s="3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3"/>
      <c r="H81" s="2"/>
      <c r="I81" s="140"/>
      <c r="J81" s="183" t="s">
        <v>96</v>
      </c>
      <c r="K81" s="173"/>
      <c r="L81" s="310">
        <v>0.71</v>
      </c>
      <c r="M81" s="6"/>
      <c r="N81" s="135">
        <v>11.0</v>
      </c>
      <c r="O81" s="297">
        <v>10.0</v>
      </c>
      <c r="P81" s="297">
        <v>9.0</v>
      </c>
      <c r="Q81" s="298">
        <v>8.0</v>
      </c>
      <c r="R81" s="298">
        <v>7.0</v>
      </c>
      <c r="S81" s="299">
        <v>6.0</v>
      </c>
      <c r="T81" s="301">
        <v>5.0</v>
      </c>
      <c r="U81" s="1"/>
      <c r="V81" s="2"/>
      <c r="W81" s="3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3"/>
      <c r="H82" s="2"/>
      <c r="I82" s="153"/>
      <c r="J82" s="183" t="s">
        <v>97</v>
      </c>
      <c r="K82" s="173"/>
      <c r="L82" s="310">
        <v>0.78</v>
      </c>
      <c r="M82" s="6"/>
      <c r="N82" s="135">
        <v>12.0</v>
      </c>
      <c r="O82" s="297">
        <v>11.0</v>
      </c>
      <c r="P82" s="297">
        <v>10.0</v>
      </c>
      <c r="Q82" s="298">
        <v>9.0</v>
      </c>
      <c r="R82" s="298">
        <v>8.0</v>
      </c>
      <c r="S82" s="299">
        <v>7.0</v>
      </c>
      <c r="T82" s="301">
        <v>6.0</v>
      </c>
      <c r="U82" s="1"/>
      <c r="V82" s="2"/>
      <c r="W82" s="3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3"/>
      <c r="H83" s="2"/>
      <c r="I83" s="184" t="s">
        <v>98</v>
      </c>
      <c r="J83" s="185" t="s">
        <v>99</v>
      </c>
      <c r="K83" s="173"/>
      <c r="L83" s="310">
        <v>0.83</v>
      </c>
      <c r="M83" s="6"/>
      <c r="N83" s="135">
        <v>13.0</v>
      </c>
      <c r="O83" s="297">
        <v>12.0</v>
      </c>
      <c r="P83" s="297">
        <v>11.0</v>
      </c>
      <c r="Q83" s="298">
        <v>10.0</v>
      </c>
      <c r="R83" s="298">
        <v>9.0</v>
      </c>
      <c r="S83" s="299">
        <v>8.0</v>
      </c>
      <c r="T83" s="301">
        <v>7.0</v>
      </c>
      <c r="U83" s="1"/>
      <c r="V83" s="2"/>
      <c r="W83" s="3"/>
      <c r="X83" s="2"/>
      <c r="Y83" s="2"/>
      <c r="Z83" s="2"/>
    </row>
    <row r="84" ht="15.75" customHeight="1">
      <c r="A84" s="50"/>
      <c r="B84" s="53"/>
      <c r="C84" s="53"/>
      <c r="D84" s="53"/>
      <c r="E84" s="53"/>
      <c r="F84" s="53"/>
      <c r="G84" s="54"/>
      <c r="H84" s="2"/>
      <c r="I84" s="140"/>
      <c r="J84" s="185" t="s">
        <v>100</v>
      </c>
      <c r="K84" s="154"/>
      <c r="L84" s="310">
        <v>0.88</v>
      </c>
      <c r="M84" s="6"/>
      <c r="N84" s="135">
        <v>14.0</v>
      </c>
      <c r="O84" s="297">
        <v>13.0</v>
      </c>
      <c r="P84" s="297">
        <v>12.0</v>
      </c>
      <c r="Q84" s="298">
        <v>11.0</v>
      </c>
      <c r="R84" s="298">
        <v>10.0</v>
      </c>
      <c r="S84" s="299">
        <v>9.0</v>
      </c>
      <c r="T84" s="301">
        <v>8.0</v>
      </c>
      <c r="U84" s="1"/>
      <c r="V84" s="2"/>
      <c r="W84" s="3"/>
      <c r="X84" s="2"/>
      <c r="Y84" s="2"/>
      <c r="Z84" s="2"/>
    </row>
    <row r="85" ht="15.75" customHeight="1">
      <c r="A85" s="254" t="str">
        <f>'Perfil F-v DOMINADAS'!$B$22</f>
        <v/>
      </c>
      <c r="B85" s="201"/>
      <c r="C85" s="201"/>
      <c r="D85" s="201"/>
      <c r="E85" s="201"/>
      <c r="F85" s="255" t="str">
        <f>'Perfil F-v DOMINADAS'!$D$22</f>
        <v/>
      </c>
      <c r="G85" s="2"/>
      <c r="H85" s="2"/>
      <c r="I85" s="140"/>
      <c r="J85" s="185" t="s">
        <v>101</v>
      </c>
      <c r="K85" s="188" t="s">
        <v>102</v>
      </c>
      <c r="L85" s="310">
        <v>0.94</v>
      </c>
      <c r="M85" s="6"/>
      <c r="N85" s="135">
        <v>15.0</v>
      </c>
      <c r="O85" s="297">
        <v>14.0</v>
      </c>
      <c r="P85" s="297">
        <v>13.0</v>
      </c>
      <c r="Q85" s="298">
        <v>12.0</v>
      </c>
      <c r="R85" s="298">
        <v>11.0</v>
      </c>
      <c r="S85" s="299">
        <v>10.0</v>
      </c>
      <c r="T85" s="301">
        <v>9.0</v>
      </c>
      <c r="U85" s="1"/>
      <c r="V85" s="2"/>
      <c r="W85" s="3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140"/>
      <c r="J86" s="185" t="s">
        <v>103</v>
      </c>
      <c r="K86" s="173"/>
      <c r="L86" s="310">
        <v>1.0</v>
      </c>
      <c r="M86" s="6"/>
      <c r="N86" s="135">
        <v>16.0</v>
      </c>
      <c r="O86" s="297">
        <v>15.0</v>
      </c>
      <c r="P86" s="297">
        <v>14.0</v>
      </c>
      <c r="Q86" s="298">
        <v>13.0</v>
      </c>
      <c r="R86" s="298">
        <v>12.0</v>
      </c>
      <c r="S86" s="299">
        <v>11.0</v>
      </c>
      <c r="T86" s="301">
        <v>10.0</v>
      </c>
      <c r="U86" s="1"/>
      <c r="V86" s="2"/>
      <c r="W86" s="3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140"/>
      <c r="J87" s="185" t="s">
        <v>104</v>
      </c>
      <c r="K87" s="173"/>
      <c r="L87" s="310">
        <v>1.06</v>
      </c>
      <c r="M87" s="6"/>
      <c r="N87" s="135">
        <v>17.0</v>
      </c>
      <c r="O87" s="297">
        <v>16.0</v>
      </c>
      <c r="P87" s="297">
        <v>15.0</v>
      </c>
      <c r="Q87" s="298">
        <v>14.0</v>
      </c>
      <c r="R87" s="298">
        <v>13.0</v>
      </c>
      <c r="S87" s="299">
        <v>12.0</v>
      </c>
      <c r="T87" s="301">
        <v>11.0</v>
      </c>
      <c r="U87" s="1"/>
      <c r="V87" s="2"/>
      <c r="W87" s="3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191"/>
      <c r="J88" s="192" t="s">
        <v>105</v>
      </c>
      <c r="K88" s="193"/>
      <c r="L88" s="312">
        <v>1.1</v>
      </c>
      <c r="M88" s="313"/>
      <c r="N88" s="314">
        <v>18.0</v>
      </c>
      <c r="O88" s="315">
        <v>17.0</v>
      </c>
      <c r="P88" s="315">
        <v>16.0</v>
      </c>
      <c r="Q88" s="316">
        <v>15.0</v>
      </c>
      <c r="R88" s="316">
        <v>14.0</v>
      </c>
      <c r="S88" s="317">
        <v>13.0</v>
      </c>
      <c r="T88" s="318">
        <v>12.0</v>
      </c>
      <c r="U88" s="1"/>
      <c r="V88" s="2"/>
      <c r="W88" s="3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/>
      <c r="X89" s="2"/>
      <c r="Y89" s="2"/>
      <c r="Z89" s="2"/>
    </row>
    <row r="90" ht="15.75" customHeight="1">
      <c r="A90" s="50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4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57"/>
      <c r="N93" s="25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57"/>
      <c r="N94" s="258">
        <v>1.144486692015209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57"/>
      <c r="N95" s="258">
        <v>1.3193916349809884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57"/>
      <c r="N96" s="258">
        <v>1.5095057034220531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57"/>
      <c r="N97" s="258">
        <v>1.638783269961977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57"/>
      <c r="N98" s="258">
        <v>1.8098859315589353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57"/>
      <c r="N99" s="258">
        <v>1.9581749049429658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57"/>
      <c r="N100" s="258">
        <v>2.144486692015209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57"/>
      <c r="N101" s="258">
        <v>2.277566539923954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57"/>
      <c r="N102" s="258">
        <v>2.4524714828897336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57"/>
      <c r="N103" s="258">
        <v>2.596958174904943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57"/>
      <c r="N104" s="258">
        <v>2.745247148288973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57"/>
      <c r="N105" s="258">
        <v>2.91254752851711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57"/>
      <c r="N106" s="258">
        <v>3.076045627376426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57"/>
      <c r="N107" s="258">
        <v>3.2319391634980987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57"/>
      <c r="N108" s="258">
        <v>3.3726235741444865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57"/>
      <c r="N109" s="258">
        <v>3.5513307984790874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56"/>
      <c r="M110" s="257"/>
      <c r="N110" s="258">
        <v>3.718631178707224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1">
    <mergeCell ref="R39:T39"/>
    <mergeCell ref="R40:T40"/>
    <mergeCell ref="R42:S42"/>
    <mergeCell ref="R43:S43"/>
    <mergeCell ref="R45:S45"/>
    <mergeCell ref="R46:S46"/>
    <mergeCell ref="R48:T48"/>
    <mergeCell ref="K41:M41"/>
    <mergeCell ref="R41:S41"/>
    <mergeCell ref="L44:M44"/>
    <mergeCell ref="R44:S44"/>
    <mergeCell ref="K53:M53"/>
    <mergeCell ref="K54:M54"/>
    <mergeCell ref="K55:M55"/>
    <mergeCell ref="I5:O5"/>
    <mergeCell ref="I6:O6"/>
    <mergeCell ref="Q6:R6"/>
    <mergeCell ref="S6:U6"/>
    <mergeCell ref="A1:W1"/>
    <mergeCell ref="A3:G3"/>
    <mergeCell ref="I3:O3"/>
    <mergeCell ref="B4:D4"/>
    <mergeCell ref="I4:O4"/>
    <mergeCell ref="B5:D5"/>
    <mergeCell ref="B6:D6"/>
    <mergeCell ref="B7:D7"/>
    <mergeCell ref="B8:C8"/>
    <mergeCell ref="E8:F8"/>
    <mergeCell ref="B9:C9"/>
    <mergeCell ref="B10:C10"/>
    <mergeCell ref="B11:C11"/>
    <mergeCell ref="B12:C12"/>
    <mergeCell ref="B14:D14"/>
    <mergeCell ref="B15:C15"/>
    <mergeCell ref="B16:C16"/>
    <mergeCell ref="B18:C18"/>
    <mergeCell ref="B19:C19"/>
    <mergeCell ref="B20:D20"/>
    <mergeCell ref="B21:D21"/>
    <mergeCell ref="A37:G37"/>
    <mergeCell ref="I37:O37"/>
    <mergeCell ref="Q37:U37"/>
    <mergeCell ref="A38:G40"/>
    <mergeCell ref="L38:N38"/>
    <mergeCell ref="R38:T38"/>
    <mergeCell ref="K40:M40"/>
    <mergeCell ref="M67:M68"/>
    <mergeCell ref="N67:N68"/>
    <mergeCell ref="L74:M74"/>
    <mergeCell ref="L75:M75"/>
    <mergeCell ref="K77:K84"/>
    <mergeCell ref="L77:M77"/>
    <mergeCell ref="L78:M78"/>
    <mergeCell ref="L79:M79"/>
    <mergeCell ref="L80:M80"/>
    <mergeCell ref="L86:M86"/>
    <mergeCell ref="L87:M87"/>
    <mergeCell ref="L81:M81"/>
    <mergeCell ref="L82:M82"/>
    <mergeCell ref="I83:I88"/>
    <mergeCell ref="L83:M83"/>
    <mergeCell ref="L84:M84"/>
    <mergeCell ref="K85:K88"/>
    <mergeCell ref="L85:M85"/>
    <mergeCell ref="L88:M88"/>
    <mergeCell ref="O67:O68"/>
    <mergeCell ref="P67:P68"/>
    <mergeCell ref="Q67:Q68"/>
    <mergeCell ref="R67:R68"/>
    <mergeCell ref="S67:S68"/>
    <mergeCell ref="T67:T68"/>
    <mergeCell ref="K56:M56"/>
    <mergeCell ref="I62:T62"/>
    <mergeCell ref="N63:T63"/>
    <mergeCell ref="O64:P64"/>
    <mergeCell ref="Q64:R64"/>
    <mergeCell ref="S64:T64"/>
    <mergeCell ref="L65:L68"/>
    <mergeCell ref="L71:M71"/>
    <mergeCell ref="L72:M72"/>
    <mergeCell ref="I71:I73"/>
    <mergeCell ref="I74:I77"/>
    <mergeCell ref="I78:I82"/>
    <mergeCell ref="I69:I70"/>
    <mergeCell ref="J69:J70"/>
    <mergeCell ref="K69:L69"/>
    <mergeCell ref="L70:M70"/>
    <mergeCell ref="N70:T70"/>
    <mergeCell ref="K71:K76"/>
    <mergeCell ref="L73:M73"/>
    <mergeCell ref="L76:M76"/>
  </mergeCells>
  <conditionalFormatting sqref="O8:O33">
    <cfRule type="expression" dxfId="0" priority="1">
      <formula>ISERROR(O8)</formula>
    </cfRule>
  </conditionalFormatting>
  <printOptions/>
  <pageMargins bottom="0.75" footer="0.0" header="0.0" left="0.7" right="0.7" top="0.75"/>
  <pageSetup paperSize="9" orientation="portrait"/>
  <drawing r:id="rId1"/>
</worksheet>
</file>