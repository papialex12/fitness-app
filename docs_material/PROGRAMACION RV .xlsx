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13.xml"/>
  <Override ContentType="application/vnd.openxmlformats-officedocument.drawingml.chart+xml" PartName="/xl/charts/chart44.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9.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47.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16.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40.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e Introducción" sheetId="1" r:id="rId5"/>
    <sheet state="visible" name="Copia de Calentamiento" sheetId="2" r:id="rId6"/>
    <sheet state="visible" name="Copia de Estructura por Bloques" sheetId="3" r:id="rId7"/>
    <sheet state="visible" name="Copia de Bloque 5 Semana 2" sheetId="4" r:id="rId8"/>
    <sheet state="visible" name="Copia de Bloque 5 Semana 3" sheetId="5" r:id="rId9"/>
    <sheet state="visible" name="Copia de Bloque 6 Semana 1" sheetId="6" r:id="rId10"/>
    <sheet state="visible" name="Copia de Bloque 6 Semana 2" sheetId="7" r:id="rId11"/>
    <sheet state="visible" name="Copia de Bloque 6 Semana 3" sheetId="8" r:id="rId12"/>
    <sheet state="visible" name="Copia de Calculadora de Aproxim" sheetId="9" r:id="rId13"/>
    <sheet state="visible" name="Copia de Evolución Peso Corpora"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Inserta el Nombre del Atleta en mayúscula.
</t>
      </text>
    </comment>
    <comment authorId="0" ref="B20">
      <text>
        <t xml:space="preserve">Insertar el Apellido del Atleta en mayúscula.</t>
      </text>
    </comment>
    <comment authorId="0" ref="A24">
      <text>
        <t xml:space="preserve">Introduce el RM de Sentadilla.</t>
      </text>
    </comment>
    <comment authorId="0" ref="C24">
      <text>
        <t xml:space="preserve">Inserta el RM de Press Banca.</t>
      </text>
    </comment>
    <comment authorId="0" ref="E24">
      <text>
        <t xml:space="preserve">Inserta el RM de Peso Muerto.</t>
      </text>
    </comment>
    <comment authorId="0" ref="A28">
      <text>
        <t xml:space="preserve">Inserta todos los récord que tengas hasta ahora en Sentadilla.
En el apartado de ejercicio inserta el nombre de la variante o movimiento y en el apartado récord lo máximo que has tirado.</t>
      </text>
    </comment>
    <comment authorId="0" ref="C28">
      <text>
        <t xml:space="preserve">Inserta todos los récord que tengas hasta ahora en Press Banca.
En el apartado de ejercicio inserta el nombre de la variante o movimiento y en el apartado récord lo máximo que has tirado.</t>
      </text>
    </comment>
    <comment authorId="0" ref="E28">
      <text>
        <t xml:space="preserve">Inserta todos los récord que tengas hasta ahora en Peso Muerto.
En el apartado de ejercicio inserta el nombre de la variante o movimiento y en el apartado récord lo máximo que has tirado.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Escribe aquí el día del calentamiento (Lunes, martes, miércoles, etc) o si es un movimiento específico como Squat, Bench Press o Deadlift.</t>
      </text>
    </comment>
    <comment authorId="0" ref="C13">
      <text>
        <t xml:space="preserve">Selecciona el objetivo del ejercicio de calentamiento.</t>
      </text>
    </comment>
    <comment authorId="0" ref="D13">
      <text>
        <t xml:space="preserve">Introduce el nombre del ejercicio/movimiento.</t>
      </text>
    </comment>
    <comment authorId="0" ref="E13">
      <text>
        <t xml:space="preserve">Inserta el protocolo del calentamiento.</t>
      </text>
    </comment>
    <comment authorId="0" ref="G13">
      <text>
        <t xml:space="preserve">Introduce las observaciones que tengas con el ejercicio.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
      <text>
        <t xml:space="preserve">Aquí saldrán las métricas de cuantificación de todo el año.</t>
      </text>
    </comment>
    <comment authorId="0" ref="D10">
      <text>
        <t xml:space="preserve">No tocar.</t>
      </text>
    </comment>
    <comment authorId="0" ref="F10">
      <text>
        <t xml:space="preserve">No tocar.</t>
      </text>
    </comment>
    <comment authorId="0" ref="G10">
      <text>
        <t xml:space="preserve">No tocar.</t>
      </text>
    </comment>
    <comment authorId="0" ref="H10">
      <text>
        <t xml:space="preserve">No tocar.</t>
      </text>
    </comment>
    <comment authorId="0" ref="D11">
      <text>
        <t xml:space="preserve">Introduce los nuevos RM al finalizar la temporada o macrociclo.</t>
      </text>
    </comment>
    <comment authorId="0" ref="S11">
      <text>
        <t xml:space="preserve">Calendario que ayudara a la periodización de la preparación del atleta.</t>
      </text>
    </comment>
    <comment authorId="0" ref="D13">
      <text>
        <t xml:space="preserve">Haz clic en el desplegable para elegir el tipo de bloque.</t>
      </text>
    </comment>
    <comment authorId="0" ref="E13">
      <text>
        <t xml:space="preserve">Enumera los bloques de entrenamiento.</t>
      </text>
    </comment>
    <comment authorId="0" ref="F13">
      <text>
        <t xml:space="preserve">Escribe los objetivos del bloque.</t>
      </text>
    </comment>
    <comment authorId="0" ref="G13">
      <text>
        <t xml:space="preserve">Aquí puedes anotar todas las observaciones del bloque.</t>
      </text>
    </comment>
    <comment authorId="0" ref="H13">
      <text>
        <t xml:space="preserve">En este apartado se introduce la review de final de bloque.</t>
      </text>
    </comment>
    <comment authorId="0" ref="I13">
      <text>
        <t xml:space="preserve">Selecciona los básicos del bloque de cada movimiento.
Selecciona la prioridad de cada movimiento/variante poniendo SQ, BP o DL y delante la enumeración de prioridad.
Ejemplo: 
SQ1: Prioridad 1
SQ2: Prioridad 2</t>
      </text>
    </comment>
    <comment authorId="0" ref="L13">
      <text>
        <t xml:space="preserve">Introduce los máximos del bloque por orden.</t>
      </text>
    </comment>
    <comment authorId="0" ref="U13">
      <text>
        <t xml:space="preserve">Introduce la fecha de inicio de temporada.
Haz doble clic para desplegar un mini calendario.</t>
      </text>
    </comment>
    <comment authorId="0" ref="V22">
      <text>
        <t xml:space="preserve">Introduce las observaciones de la semana.</t>
      </text>
    </comment>
    <comment authorId="0" ref="V23">
      <text>
        <t xml:space="preserve">Introduce el Nº de microciclo al que corresponde la semana.</t>
      </text>
    </comment>
    <comment authorId="0" ref="V24">
      <text>
        <t xml:space="preserve">Introduce el N.º de bloque al que corresponde la semana.</t>
      </text>
    </comment>
    <comment authorId="0" ref="V25">
      <text>
        <t xml:space="preserve">Selecciona el tipo de bloque.
Recuerda que debe coincidir con el N.º de bloque elegido.</t>
      </text>
    </comment>
    <comment authorId="0" ref="V26">
      <text>
        <t xml:space="preserve">Selecciona el momento de la temporada:
- GPP: Preparación General.
- SPP: Preparación Específica.</t>
      </text>
    </comment>
    <comment authorId="0" ref="S45">
      <text>
        <t xml:space="preserve">Aquí aparecerán todos los splits semana por semana para poder compararlos sin tener que ir directamente a la hoja.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Introduce los detalles del bloque de entrenamiento.</t>
      </text>
    </comment>
    <comment authorId="0" ref="BZ7">
      <text>
        <t xml:space="preserve">VARIABLES CALCULADAS SEGÚN EL MOVIMIENTO.</t>
      </text>
    </comment>
    <comment authorId="0" ref="AK8">
      <text>
        <t xml:space="preserve">El atleta debe introducir una puntuación sobre su calidad del sueño.</t>
      </text>
    </comment>
    <comment authorId="0" ref="AO8">
      <text>
        <t xml:space="preserve">El atleta debe introducir una puntuación sobre su nivel de estrés.</t>
      </text>
    </comment>
    <comment authorId="0" ref="AS8">
      <text>
        <t xml:space="preserve">El atleta debe introducir una puntuación sobre su nivel de fatiga.</t>
      </text>
    </comment>
    <comment authorId="0" ref="AW8">
      <text>
        <t xml:space="preserve">El atleta debe introducir una puntuación sobre sus agujetas.</t>
      </text>
    </comment>
    <comment authorId="0" ref="BA8">
      <text>
        <t xml:space="preserve">El atleta debe introducir una puntuación sobre su estado anímico.</t>
      </text>
    </comment>
    <comment authorId="0" ref="BE8">
      <text>
        <t xml:space="preserve">No tocar.
Se hace una media automáticamente de la semana.</t>
      </text>
    </comment>
    <comment authorId="0" ref="BM8">
      <text>
        <t xml:space="preserve">Introduce al finalizar la sesión una puntuación sobre la dificultad de la misma.</t>
      </text>
    </comment>
    <comment authorId="0" ref="BR8">
      <text>
        <t xml:space="preserve">El atleta debe hacer clic en el tic una vez comenzada la sesión de entrenamiento.</t>
      </text>
    </comment>
    <comment authorId="0" ref="BU8">
      <text>
        <t xml:space="preserve">El atleta debe hacer clic en el tic una vez terminada la sesión de entrenamiento.</t>
      </text>
    </comment>
    <comment authorId="0" ref="BW8">
      <text>
        <t xml:space="preserve">Tiempo entrenando.
No tocar.</t>
      </text>
    </comment>
    <comment authorId="0" ref="CE8">
      <text>
        <t xml:space="preserve">Seleccionar formula por la cual estimar el 1RM. Recuerda utilizarla durante todo el bloque de entrenamiento para no mezclar datos.</t>
      </text>
    </comment>
    <comment authorId="0" ref="BZ9">
      <text>
        <t xml:space="preserve">Haz click en el desplegable para sacar la lista de variantes.</t>
      </text>
    </comment>
    <comment authorId="0" ref="BZ10">
      <text>
        <t xml:space="preserve">Haz click en el desplegable para sacar la lista de variantes.</t>
      </text>
    </comment>
    <comment authorId="0" ref="BZ11">
      <text>
        <t xml:space="preserve">Haz click en el desplegable para sacar la lista de variantes.</t>
      </text>
    </comment>
    <comment authorId="0" ref="F13">
      <text>
        <t xml:space="preserve">RM del atleta.</t>
      </text>
    </comment>
    <comment authorId="0" ref="BZ13">
      <text>
        <t xml:space="preserve">Sumatorio de todas las métricas de los básicos.</t>
      </text>
    </comment>
    <comment authorId="0" ref="F14">
      <text>
        <t xml:space="preserve">Insertar RM de SQ actual.</t>
      </text>
    </comment>
    <comment authorId="0" ref="CE14">
      <text>
        <t xml:space="preserve">Seleccionar formula por la cual estimar el 1RM. Recuerda utilizarla durante todo el bloque de entrenamiento para no mezclar datos.</t>
      </text>
    </comment>
    <comment authorId="0" ref="F15">
      <text>
        <t xml:space="preserve">Insertar RM de BP actual.</t>
      </text>
    </comment>
    <comment authorId="0" ref="F16">
      <text>
        <t xml:space="preserve">Insertar RM de DL actual.</t>
      </text>
    </comment>
    <comment authorId="0" ref="X16">
      <text>
        <t xml:space="preserve">No escribas nada aquí.</t>
      </text>
    </comment>
    <comment authorId="0" ref="E19">
      <text>
        <t xml:space="preserve">Introduce los objetivos de la semana.</t>
      </text>
    </comment>
    <comment authorId="0" ref="BZ19">
      <text>
        <t xml:space="preserve">Sumatorio de todas las métricas de los accesorios.</t>
      </text>
    </comment>
    <comment authorId="0" ref="E25">
      <text>
        <t xml:space="preserve">Introduce el nombre del bloque en el que esta el entrenamiento.</t>
      </text>
    </comment>
    <comment authorId="0" ref="D37">
      <text>
        <t xml:space="preserve">Introduce el número de la semana en la que está el entrenamiento.</t>
      </text>
    </comment>
    <comment authorId="0" ref="D38">
      <text>
        <t xml:space="preserve">Introduce el número de la bloque en el que está el entrenamiento.</t>
      </text>
    </comment>
    <comment authorId="0" ref="E39">
      <text>
        <t xml:space="preserve">Introduce aquí debajo los ejercicios / movimientos a realizar.</t>
      </text>
    </comment>
    <comment authorId="0" ref="F39">
      <text>
        <t xml:space="preserve">Escribe las series a realizar.</t>
      </text>
    </comment>
    <comment authorId="0" ref="G39">
      <text>
        <t xml:space="preserve">Escribe las repeticiones a realizar.</t>
      </text>
    </comment>
    <comment authorId="0" ref="H39">
      <text>
        <t xml:space="preserve">Escribe el % de la RM que quieres que realice el atleta.
No utilizar si introduces a mano (M) los KG.</t>
      </text>
    </comment>
    <comment authorId="0" ref="I39">
      <text>
        <t xml:space="preserve">No escribas en está columna.</t>
      </text>
    </comment>
    <comment authorId="0" ref="J39">
      <text>
        <t xml:space="preserve">Utiliza esta columna para escribir los KG a mano (M). Útil para cuando trabajamos sin % del 1RM.
No utilizar si has utilizado porcentajes de la RM.</t>
      </text>
    </comment>
    <comment authorId="0" ref="K39">
      <text>
        <t xml:space="preserve">Escribe en la primera columna el RIR que deseas. Utiliza la segunda columna si quieres establecer un rango de RIR.</t>
      </text>
    </comment>
    <comment authorId="0" ref="M39">
      <text>
        <t xml:space="preserve">Escribe en la primera columna el RPE que deseas. Utiliza la segunda columna si quieres establecer un rango de RPE.</t>
      </text>
    </comment>
    <comment authorId="0" ref="O39">
      <text>
        <t xml:space="preserve">Escribe el descanso que quieres que el atleta realice.</t>
      </text>
    </comment>
    <comment authorId="0" ref="P39">
      <text>
        <t xml:space="preserve">El nivel de HYPE es con que activación queremos que vaya el atleta ante el levantamiento.
Haz click en el desplegable para sacar una lista.</t>
      </text>
    </comment>
    <comment authorId="0" ref="Q39">
      <text>
        <t xml:space="preserve">Inserta los vídeos que quieres que vea el atleta para realizar los ejercicios. 
Un atajo es hacer Ctrl + K para insertar el vídeo directamente.</t>
      </text>
    </comment>
    <comment authorId="0" ref="S39">
      <text>
        <t xml:space="preserve">Introduce las observaciones o notas que quieras comentarle al atleta.</t>
      </text>
    </comment>
    <comment authorId="0" ref="U39">
      <text>
        <t xml:space="preserve">Notas u observaciones introducidas por el atleta.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Introduce los detalles del bloque de entrenamiento.</t>
      </text>
    </comment>
    <comment authorId="0" ref="BZ7">
      <text>
        <t xml:space="preserve">VARIABLES CALCULADAS SEGÚN EL MOVIMIENTO.</t>
      </text>
    </comment>
    <comment authorId="0" ref="AK8">
      <text>
        <t xml:space="preserve">El atleta debe introducir una puntuación sobre su calidad del sueño.</t>
      </text>
    </comment>
    <comment authorId="0" ref="AO8">
      <text>
        <t xml:space="preserve">El atleta debe introducir una puntuación sobre su nivel de estrés.</t>
      </text>
    </comment>
    <comment authorId="0" ref="AS8">
      <text>
        <t xml:space="preserve">El atleta debe introducir una puntuación sobre su nivel de fatiga.</t>
      </text>
    </comment>
    <comment authorId="0" ref="AW8">
      <text>
        <t xml:space="preserve">El atleta debe introducir una puntuación sobre sus agujetas.</t>
      </text>
    </comment>
    <comment authorId="0" ref="BA8">
      <text>
        <t xml:space="preserve">El atleta debe introducir una puntuación sobre su estado anímico.</t>
      </text>
    </comment>
    <comment authorId="0" ref="BE8">
      <text>
        <t xml:space="preserve">No tocar.
Se hace una media automáticamente de la semana.</t>
      </text>
    </comment>
    <comment authorId="0" ref="BM8">
      <text>
        <t xml:space="preserve">Introduce al finalizar la sesión una puntuación sobre la dificultad de la misma.</t>
      </text>
    </comment>
    <comment authorId="0" ref="BR8">
      <text>
        <t xml:space="preserve">El atleta debe hacer clic en el tic una vez comenzada la sesión de entrenamiento.</t>
      </text>
    </comment>
    <comment authorId="0" ref="BU8">
      <text>
        <t xml:space="preserve">El atleta debe hacer clic en el tic una vez terminada la sesión de entrenamiento.</t>
      </text>
    </comment>
    <comment authorId="0" ref="BW8">
      <text>
        <t xml:space="preserve">Tiempo entrenando.
No tocar.</t>
      </text>
    </comment>
    <comment authorId="0" ref="CE8">
      <text>
        <t xml:space="preserve">Seleccionar formula por la cual estimar el 1RM. Recuerda utilizarla durante todo el bloque de entrenamiento para no mezclar datos.</t>
      </text>
    </comment>
    <comment authorId="0" ref="BZ9">
      <text>
        <t xml:space="preserve">Haz click en el desplegable para sacar la lista de variantes.</t>
      </text>
    </comment>
    <comment authorId="0" ref="BZ10">
      <text>
        <t xml:space="preserve">Haz click en el desplegable para sacar la lista de variantes.</t>
      </text>
    </comment>
    <comment authorId="0" ref="BZ11">
      <text>
        <t xml:space="preserve">Haz click en el desplegable para sacar la lista de variantes.</t>
      </text>
    </comment>
    <comment authorId="0" ref="F13">
      <text>
        <t xml:space="preserve">RM del atleta.</t>
      </text>
    </comment>
    <comment authorId="0" ref="BZ13">
      <text>
        <t xml:space="preserve">Sumatorio de todas las métricas de los básicos.</t>
      </text>
    </comment>
    <comment authorId="0" ref="F14">
      <text>
        <t xml:space="preserve">Insertar RM de SQ actual.</t>
      </text>
    </comment>
    <comment authorId="0" ref="CE14">
      <text>
        <t xml:space="preserve">Seleccionar formula por la cual estimar el 1RM. Recuerda utilizarla durante todo el bloque de entrenamiento para no mezclar datos.</t>
      </text>
    </comment>
    <comment authorId="0" ref="F15">
      <text>
        <t xml:space="preserve">Insertar RM de BP actual.</t>
      </text>
    </comment>
    <comment authorId="0" ref="F16">
      <text>
        <t xml:space="preserve">Insertar RM de DL actual.</t>
      </text>
    </comment>
    <comment authorId="0" ref="X16">
      <text>
        <t xml:space="preserve">No escribas nada aquí.</t>
      </text>
    </comment>
    <comment authorId="0" ref="E19">
      <text>
        <t xml:space="preserve">Introduce los objetivos de la semana.</t>
      </text>
    </comment>
    <comment authorId="0" ref="BZ19">
      <text>
        <t xml:space="preserve">Sumatorio de todas las métricas de los accesorios.</t>
      </text>
    </comment>
    <comment authorId="0" ref="E25">
      <text>
        <t xml:space="preserve">Introduce el nombre del bloque en el que esta el entrenamiento.</t>
      </text>
    </comment>
    <comment authorId="0" ref="D37">
      <text>
        <t xml:space="preserve">Introduce el número de la semana en la que está el entrenamiento.</t>
      </text>
    </comment>
    <comment authorId="0" ref="D38">
      <text>
        <t xml:space="preserve">Introduce el número de la bloque en el que está el entrenamiento.</t>
      </text>
    </comment>
    <comment authorId="0" ref="E39">
      <text>
        <t xml:space="preserve">Introduce aquí debajo los ejercicios / movimientos a realizar.</t>
      </text>
    </comment>
    <comment authorId="0" ref="F39">
      <text>
        <t xml:space="preserve">Escribe las series a realizar.</t>
      </text>
    </comment>
    <comment authorId="0" ref="G39">
      <text>
        <t xml:space="preserve">Escribe las repeticiones a realizar.</t>
      </text>
    </comment>
    <comment authorId="0" ref="H39">
      <text>
        <t xml:space="preserve">Escribe el % de la RM que quieres que realice el atleta.
No utilizar si introduces a mano (M) los KG.</t>
      </text>
    </comment>
    <comment authorId="0" ref="I39">
      <text>
        <t xml:space="preserve">No escribas en está columna.</t>
      </text>
    </comment>
    <comment authorId="0" ref="J39">
      <text>
        <t xml:space="preserve">Utiliza esta columna para escribir los KG a mano (M). Útil para cuando trabajamos sin % del 1RM.
No utilizar si has utilizado porcentajes de la RM.</t>
      </text>
    </comment>
    <comment authorId="0" ref="K39">
      <text>
        <t xml:space="preserve">Escribe en la primera columna el RIR que deseas. Utiliza la segunda columna si quieres establecer un rango de RIR.</t>
      </text>
    </comment>
    <comment authorId="0" ref="M39">
      <text>
        <t xml:space="preserve">Escribe en la primera columna el RPE que deseas. Utiliza la segunda columna si quieres establecer un rango de RPE.</t>
      </text>
    </comment>
    <comment authorId="0" ref="O39">
      <text>
        <t xml:space="preserve">Escribe el descanso que quieres que el atleta realice.</t>
      </text>
    </comment>
    <comment authorId="0" ref="P39">
      <text>
        <t xml:space="preserve">El nivel de HYPE es con que activación queremos que vaya el atleta ante el levantamiento.
Haz click en el desplegable para sacar una lista.</t>
      </text>
    </comment>
    <comment authorId="0" ref="Q39">
      <text>
        <t xml:space="preserve">Inserta los vídeos que quieres que vea el atleta para realizar los ejercicios. 
Un atajo es hacer Ctrl + K para insertar el vídeo directamente.</t>
      </text>
    </comment>
    <comment authorId="0" ref="S39">
      <text>
        <t xml:space="preserve">Introduce las observaciones o notas que quieras comentarle al atleta.</t>
      </text>
    </comment>
    <comment authorId="0" ref="U39">
      <text>
        <t xml:space="preserve">Notas u observaciones introducidas por el atleta.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Introduce los detalles del bloque de entrenamiento.</t>
      </text>
    </comment>
    <comment authorId="0" ref="BZ7">
      <text>
        <t xml:space="preserve">VARIABLES CALCULADAS SEGÚN EL MOVIMIENTO.</t>
      </text>
    </comment>
    <comment authorId="0" ref="AK8">
      <text>
        <t xml:space="preserve">El atleta debe introducir una puntuación sobre su calidad del sueño.</t>
      </text>
    </comment>
    <comment authorId="0" ref="AO8">
      <text>
        <t xml:space="preserve">El atleta debe introducir una puntuación sobre su nivel de estrés.</t>
      </text>
    </comment>
    <comment authorId="0" ref="AS8">
      <text>
        <t xml:space="preserve">El atleta debe introducir una puntuación sobre su nivel de fatiga.</t>
      </text>
    </comment>
    <comment authorId="0" ref="AW8">
      <text>
        <t xml:space="preserve">El atleta debe introducir una puntuación sobre sus agujetas.</t>
      </text>
    </comment>
    <comment authorId="0" ref="BA8">
      <text>
        <t xml:space="preserve">El atleta debe introducir una puntuación sobre su estado anímico.</t>
      </text>
    </comment>
    <comment authorId="0" ref="BE8">
      <text>
        <t xml:space="preserve">No tocar.
Se hace una media automáticamente de la semana.</t>
      </text>
    </comment>
    <comment authorId="0" ref="BM8">
      <text>
        <t xml:space="preserve">Introduce al finalizar la sesión una puntuación sobre la dificultad de la misma.</t>
      </text>
    </comment>
    <comment authorId="0" ref="BR8">
      <text>
        <t xml:space="preserve">El atleta debe hacer clic en el tic una vez comenzada la sesión de entrenamiento.</t>
      </text>
    </comment>
    <comment authorId="0" ref="BU8">
      <text>
        <t xml:space="preserve">El atleta debe hacer clic en el tic una vez terminada la sesión de entrenamiento.</t>
      </text>
    </comment>
    <comment authorId="0" ref="BW8">
      <text>
        <t xml:space="preserve">Tiempo entrenando.
No tocar.</t>
      </text>
    </comment>
    <comment authorId="0" ref="CE8">
      <text>
        <t xml:space="preserve">Seleccionar formula por la cual estimar el 1RM. Recuerda utilizarla durante todo el bloque de entrenamiento para no mezclar datos.</t>
      </text>
    </comment>
    <comment authorId="0" ref="BZ9">
      <text>
        <t xml:space="preserve">Haz click en el desplegable para sacar la lista de variantes.</t>
      </text>
    </comment>
    <comment authorId="0" ref="BZ10">
      <text>
        <t xml:space="preserve">Haz click en el desplegable para sacar la lista de variantes.</t>
      </text>
    </comment>
    <comment authorId="0" ref="BZ11">
      <text>
        <t xml:space="preserve">Haz click en el desplegable para sacar la lista de variantes.</t>
      </text>
    </comment>
    <comment authorId="0" ref="F13">
      <text>
        <t xml:space="preserve">RM del atleta.</t>
      </text>
    </comment>
    <comment authorId="0" ref="BZ13">
      <text>
        <t xml:space="preserve">Sumatorio de todas las métricas de los básicos.</t>
      </text>
    </comment>
    <comment authorId="0" ref="F14">
      <text>
        <t xml:space="preserve">Insertar RM de SQ actual.</t>
      </text>
    </comment>
    <comment authorId="0" ref="CE14">
      <text>
        <t xml:space="preserve">Seleccionar formula por la cual estimar el 1RM. Recuerda utilizarla durante todo el bloque de entrenamiento para no mezclar datos.</t>
      </text>
    </comment>
    <comment authorId="0" ref="F15">
      <text>
        <t xml:space="preserve">Insertar RM de BP actual.</t>
      </text>
    </comment>
    <comment authorId="0" ref="F16">
      <text>
        <t xml:space="preserve">Insertar RM de DL actual.</t>
      </text>
    </comment>
    <comment authorId="0" ref="X16">
      <text>
        <t xml:space="preserve">No escribas nada aquí.</t>
      </text>
    </comment>
    <comment authorId="0" ref="E19">
      <text>
        <t xml:space="preserve">Introduce los objetivos de la semana.</t>
      </text>
    </comment>
    <comment authorId="0" ref="BZ19">
      <text>
        <t xml:space="preserve">Sumatorio de todas las métricas de los accesorios.</t>
      </text>
    </comment>
    <comment authorId="0" ref="E25">
      <text>
        <t xml:space="preserve">Introduce el nombre del bloque en el que esta el entrenamiento.</t>
      </text>
    </comment>
    <comment authorId="0" ref="D37">
      <text>
        <t xml:space="preserve">Introduce el número de la semana en la que está el entrenamiento.</t>
      </text>
    </comment>
    <comment authorId="0" ref="D38">
      <text>
        <t xml:space="preserve">Introduce el número de la bloque en el que está el entrenamiento.</t>
      </text>
    </comment>
    <comment authorId="0" ref="E39">
      <text>
        <t xml:space="preserve">Introduce aquí debajo los ejercicios / movimientos a realizar.</t>
      </text>
    </comment>
    <comment authorId="0" ref="F39">
      <text>
        <t xml:space="preserve">Escribe las series a realizar.</t>
      </text>
    </comment>
    <comment authorId="0" ref="G39">
      <text>
        <t xml:space="preserve">Escribe las repeticiones a realizar.</t>
      </text>
    </comment>
    <comment authorId="0" ref="H39">
      <text>
        <t xml:space="preserve">Escribe el % de la RM que quieres que realice el atleta.
No utilizar si introduces a mano (M) los KG.</t>
      </text>
    </comment>
    <comment authorId="0" ref="I39">
      <text>
        <t xml:space="preserve">No escribas en está columna.</t>
      </text>
    </comment>
    <comment authorId="0" ref="J39">
      <text>
        <t xml:space="preserve">Utiliza esta columna para escribir los KG a mano (M). Útil para cuando trabajamos sin % del 1RM.
No utilizar si has utilizado porcentajes de la RM.</t>
      </text>
    </comment>
    <comment authorId="0" ref="K39">
      <text>
        <t xml:space="preserve">Escribe en la primera columna el RIR que deseas. Utiliza la segunda columna si quieres establecer un rango de RIR.</t>
      </text>
    </comment>
    <comment authorId="0" ref="M39">
      <text>
        <t xml:space="preserve">Escribe en la primera columna el RPE que deseas. Utiliza la segunda columna si quieres establecer un rango de RPE.</t>
      </text>
    </comment>
    <comment authorId="0" ref="O39">
      <text>
        <t xml:space="preserve">Escribe el descanso que quieres que el atleta realice.</t>
      </text>
    </comment>
    <comment authorId="0" ref="P39">
      <text>
        <t xml:space="preserve">El nivel de HYPE es con que activación queremos que vaya el atleta ante el levantamiento.
Haz click en el desplegable para sacar una lista.</t>
      </text>
    </comment>
    <comment authorId="0" ref="Q39">
      <text>
        <t xml:space="preserve">Inserta los vídeos que quieres que vea el atleta para realizar los ejercicios. 
Un atajo es hacer Ctrl + K para insertar el vídeo directamente.</t>
      </text>
    </comment>
    <comment authorId="0" ref="S39">
      <text>
        <t xml:space="preserve">Introduce las observaciones o notas que quieras comentarle al atleta.</t>
      </text>
    </comment>
    <comment authorId="0" ref="U39">
      <text>
        <t xml:space="preserve">Notas u observaciones introducidas por el atleta.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Introduce los detalles del bloque de entrenamiento.</t>
      </text>
    </comment>
    <comment authorId="0" ref="BZ7">
      <text>
        <t xml:space="preserve">VARIABLES CALCULADAS SEGÚN EL MOVIMIENTO.</t>
      </text>
    </comment>
    <comment authorId="0" ref="AK8">
      <text>
        <t xml:space="preserve">El atleta debe introducir una puntuación sobre su calidad del sueño.</t>
      </text>
    </comment>
    <comment authorId="0" ref="AO8">
      <text>
        <t xml:space="preserve">El atleta debe introducir una puntuación sobre su nivel de estrés.</t>
      </text>
    </comment>
    <comment authorId="0" ref="AS8">
      <text>
        <t xml:space="preserve">El atleta debe introducir una puntuación sobre su nivel de fatiga.</t>
      </text>
    </comment>
    <comment authorId="0" ref="AW8">
      <text>
        <t xml:space="preserve">El atleta debe introducir una puntuación sobre sus agujetas.</t>
      </text>
    </comment>
    <comment authorId="0" ref="BA8">
      <text>
        <t xml:space="preserve">El atleta debe introducir una puntuación sobre su estado anímico.</t>
      </text>
    </comment>
    <comment authorId="0" ref="BE8">
      <text>
        <t xml:space="preserve">No tocar.
Se hace una media automáticamente de la semana.</t>
      </text>
    </comment>
    <comment authorId="0" ref="BM8">
      <text>
        <t xml:space="preserve">Introduce al finalizar la sesión una puntuación sobre la dificultad de la misma.</t>
      </text>
    </comment>
    <comment authorId="0" ref="BR8">
      <text>
        <t xml:space="preserve">El atleta debe hacer clic en el tic una vez comenzada la sesión de entrenamiento.</t>
      </text>
    </comment>
    <comment authorId="0" ref="BU8">
      <text>
        <t xml:space="preserve">El atleta debe hacer clic en el tic una vez terminada la sesión de entrenamiento.</t>
      </text>
    </comment>
    <comment authorId="0" ref="BW8">
      <text>
        <t xml:space="preserve">Tiempo entrenando.
No tocar.</t>
      </text>
    </comment>
    <comment authorId="0" ref="CE8">
      <text>
        <t xml:space="preserve">Seleccionar formula por la cual estimar el 1RM. Recuerda utilizarla durante todo el bloque de entrenamiento para no mezclar datos.</t>
      </text>
    </comment>
    <comment authorId="0" ref="BZ9">
      <text>
        <t xml:space="preserve">Haz click en el desplegable para sacar la lista de variantes.</t>
      </text>
    </comment>
    <comment authorId="0" ref="BZ10">
      <text>
        <t xml:space="preserve">Haz click en el desplegable para sacar la lista de variantes.</t>
      </text>
    </comment>
    <comment authorId="0" ref="BZ11">
      <text>
        <t xml:space="preserve">Haz click en el desplegable para sacar la lista de variantes.</t>
      </text>
    </comment>
    <comment authorId="0" ref="F13">
      <text>
        <t xml:space="preserve">RM del atleta.</t>
      </text>
    </comment>
    <comment authorId="0" ref="BZ13">
      <text>
        <t xml:space="preserve">Sumatorio de todas las métricas de los básicos.</t>
      </text>
    </comment>
    <comment authorId="0" ref="F14">
      <text>
        <t xml:space="preserve">Insertar RM de SQ actual.</t>
      </text>
    </comment>
    <comment authorId="0" ref="CE14">
      <text>
        <t xml:space="preserve">Seleccionar formula por la cual estimar el 1RM. Recuerda utilizarla durante todo el bloque de entrenamiento para no mezclar datos.</t>
      </text>
    </comment>
    <comment authorId="0" ref="F15">
      <text>
        <t xml:space="preserve">Insertar RM de BP actual.</t>
      </text>
    </comment>
    <comment authorId="0" ref="F16">
      <text>
        <t xml:space="preserve">Insertar RM de DL actual.</t>
      </text>
    </comment>
    <comment authorId="0" ref="X16">
      <text>
        <t xml:space="preserve">No escribas nada aquí.</t>
      </text>
    </comment>
    <comment authorId="0" ref="E19">
      <text>
        <t xml:space="preserve">Introduce los objetivos de la semana.</t>
      </text>
    </comment>
    <comment authorId="0" ref="BZ19">
      <text>
        <t xml:space="preserve">Sumatorio de todas las métricas de los accesorios.</t>
      </text>
    </comment>
    <comment authorId="0" ref="E25">
      <text>
        <t xml:space="preserve">Introduce el nombre del bloque en el que esta el entrenamiento.</t>
      </text>
    </comment>
    <comment authorId="0" ref="D37">
      <text>
        <t xml:space="preserve">Introduce el número de la semana en la que está el entrenamiento.</t>
      </text>
    </comment>
    <comment authorId="0" ref="D38">
      <text>
        <t xml:space="preserve">Introduce el número de la bloque en el que está el entrenamiento.</t>
      </text>
    </comment>
    <comment authorId="0" ref="E39">
      <text>
        <t xml:space="preserve">Introduce aquí debajo los ejercicios / movimientos a realizar.</t>
      </text>
    </comment>
    <comment authorId="0" ref="F39">
      <text>
        <t xml:space="preserve">Escribe las series a realizar.</t>
      </text>
    </comment>
    <comment authorId="0" ref="G39">
      <text>
        <t xml:space="preserve">Escribe las repeticiones a realizar.</t>
      </text>
    </comment>
    <comment authorId="0" ref="H39">
      <text>
        <t xml:space="preserve">Escribe el % de la RM que quieres que realice el atleta.
No utilizar si introduces a mano (M) los KG.</t>
      </text>
    </comment>
    <comment authorId="0" ref="I39">
      <text>
        <t xml:space="preserve">No escribas en está columna.</t>
      </text>
    </comment>
    <comment authorId="0" ref="J39">
      <text>
        <t xml:space="preserve">Utiliza esta columna para escribir los KG a mano (M). Útil para cuando trabajamos sin % del 1RM.
No utilizar si has utilizado porcentajes de la RM.</t>
      </text>
    </comment>
    <comment authorId="0" ref="K39">
      <text>
        <t xml:space="preserve">Escribe en la primera columna el RIR que deseas. Utiliza la segunda columna si quieres establecer un rango de RIR.</t>
      </text>
    </comment>
    <comment authorId="0" ref="M39">
      <text>
        <t xml:space="preserve">Escribe en la primera columna el RPE que deseas. Utiliza la segunda columna si quieres establecer un rango de RPE.</t>
      </text>
    </comment>
    <comment authorId="0" ref="O39">
      <text>
        <t xml:space="preserve">Escribe el descanso que quieres que el atleta realice.</t>
      </text>
    </comment>
    <comment authorId="0" ref="P39">
      <text>
        <t xml:space="preserve">El nivel de HYPE es con que activación queremos que vaya el atleta ante el levantamiento.
Haz click en el desplegable para sacar una lista.</t>
      </text>
    </comment>
    <comment authorId="0" ref="Q39">
      <text>
        <t xml:space="preserve">Inserta los vídeos que quieres que vea el atleta para realizar los ejercicios. 
Un atajo es hacer Ctrl + K para insertar el vídeo directamente.</t>
      </text>
    </comment>
    <comment authorId="0" ref="S39">
      <text>
        <t xml:space="preserve">Introduce las observaciones o notas que quieras comentarle al atleta.</t>
      </text>
    </comment>
    <comment authorId="0" ref="U39">
      <text>
        <t xml:space="preserve">Notas u observaciones introducidas por el atleta.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Introduce los detalles del bloque de entrenamiento.</t>
      </text>
    </comment>
    <comment authorId="0" ref="BZ7">
      <text>
        <t xml:space="preserve">VARIABLES CALCULADAS SEGÚN EL MOVIMIENTO.</t>
      </text>
    </comment>
    <comment authorId="0" ref="AK8">
      <text>
        <t xml:space="preserve">El atleta debe introducir una puntuación sobre su calidad del sueño.</t>
      </text>
    </comment>
    <comment authorId="0" ref="AO8">
      <text>
        <t xml:space="preserve">El atleta debe introducir una puntuación sobre su nivel de estrés.</t>
      </text>
    </comment>
    <comment authorId="0" ref="AS8">
      <text>
        <t xml:space="preserve">El atleta debe introducir una puntuación sobre su nivel de fatiga.</t>
      </text>
    </comment>
    <comment authorId="0" ref="AW8">
      <text>
        <t xml:space="preserve">El atleta debe introducir una puntuación sobre sus agujetas.</t>
      </text>
    </comment>
    <comment authorId="0" ref="BA8">
      <text>
        <t xml:space="preserve">El atleta debe introducir una puntuación sobre su estado anímico.</t>
      </text>
    </comment>
    <comment authorId="0" ref="BE8">
      <text>
        <t xml:space="preserve">No tocar.
Se hace una media automáticamente de la semana.</t>
      </text>
    </comment>
    <comment authorId="0" ref="BM8">
      <text>
        <t xml:space="preserve">Introduce al finalizar la sesión una puntuación sobre la dificultad de la misma.</t>
      </text>
    </comment>
    <comment authorId="0" ref="BR8">
      <text>
        <t xml:space="preserve">El atleta debe hacer clic en el tic una vez comenzada la sesión de entrenamiento.</t>
      </text>
    </comment>
    <comment authorId="0" ref="BU8">
      <text>
        <t xml:space="preserve">El atleta debe hacer clic en el tic una vez terminada la sesión de entrenamiento.</t>
      </text>
    </comment>
    <comment authorId="0" ref="BW8">
      <text>
        <t xml:space="preserve">Tiempo entrenando.
No tocar.</t>
      </text>
    </comment>
    <comment authorId="0" ref="CE8">
      <text>
        <t xml:space="preserve">Seleccionar formula por la cual estimar el 1RM. Recuerda utilizarla durante todo el bloque de entrenamiento para no mezclar datos.</t>
      </text>
    </comment>
    <comment authorId="0" ref="BZ9">
      <text>
        <t xml:space="preserve">Haz click en el desplegable para sacar la lista de variantes.</t>
      </text>
    </comment>
    <comment authorId="0" ref="BZ10">
      <text>
        <t xml:space="preserve">Haz click en el desplegable para sacar la lista de variantes.</t>
      </text>
    </comment>
    <comment authorId="0" ref="BZ11">
      <text>
        <t xml:space="preserve">Haz click en el desplegable para sacar la lista de variantes.</t>
      </text>
    </comment>
    <comment authorId="0" ref="F13">
      <text>
        <t xml:space="preserve">RM del atleta.</t>
      </text>
    </comment>
    <comment authorId="0" ref="BZ13">
      <text>
        <t xml:space="preserve">Sumatorio de todas las métricas de los básicos.</t>
      </text>
    </comment>
    <comment authorId="0" ref="F14">
      <text>
        <t xml:space="preserve">Insertar RM de SQ actual.</t>
      </text>
    </comment>
    <comment authorId="0" ref="CE14">
      <text>
        <t xml:space="preserve">Seleccionar formula por la cual estimar el 1RM. Recuerda utilizarla durante todo el bloque de entrenamiento para no mezclar datos.</t>
      </text>
    </comment>
    <comment authorId="0" ref="F15">
      <text>
        <t xml:space="preserve">Insertar RM de BP actual.</t>
      </text>
    </comment>
    <comment authorId="0" ref="F16">
      <text>
        <t xml:space="preserve">Insertar RM de DL actual.</t>
      </text>
    </comment>
    <comment authorId="0" ref="X16">
      <text>
        <t xml:space="preserve">No escribas nada aquí.</t>
      </text>
    </comment>
    <comment authorId="0" ref="E19">
      <text>
        <t xml:space="preserve">Introduce los objetivos de la semana.</t>
      </text>
    </comment>
    <comment authorId="0" ref="BZ19">
      <text>
        <t xml:space="preserve">Sumatorio de todas las métricas de los accesorios.</t>
      </text>
    </comment>
    <comment authorId="0" ref="E25">
      <text>
        <t xml:space="preserve">Introduce el nombre del bloque en el que esta el entrenamiento.</t>
      </text>
    </comment>
    <comment authorId="0" ref="D37">
      <text>
        <t xml:space="preserve">Introduce el número de la semana en la que está el entrenamiento.</t>
      </text>
    </comment>
    <comment authorId="0" ref="D38">
      <text>
        <t xml:space="preserve">Introduce el número de la bloque en el que está el entrenamiento.</t>
      </text>
    </comment>
    <comment authorId="0" ref="E39">
      <text>
        <t xml:space="preserve">Introduce aquí debajo los ejercicios / movimientos a realizar.</t>
      </text>
    </comment>
    <comment authorId="0" ref="F39">
      <text>
        <t xml:space="preserve">Escribe las series a realizar.</t>
      </text>
    </comment>
    <comment authorId="0" ref="G39">
      <text>
        <t xml:space="preserve">Escribe las repeticiones a realizar.</t>
      </text>
    </comment>
    <comment authorId="0" ref="H39">
      <text>
        <t xml:space="preserve">Escribe el % de la RM que quieres que realice el atleta.
No utilizar si introduces a mano (M) los KG.</t>
      </text>
    </comment>
    <comment authorId="0" ref="I39">
      <text>
        <t xml:space="preserve">No escribas en está columna.</t>
      </text>
    </comment>
    <comment authorId="0" ref="J39">
      <text>
        <t xml:space="preserve">Utiliza esta columna para escribir los KG a mano (M). Útil para cuando trabajamos sin % del 1RM.
No utilizar si has utilizado porcentajes de la RM.</t>
      </text>
    </comment>
    <comment authorId="0" ref="K39">
      <text>
        <t xml:space="preserve">Escribe en la primera columna el RIR que deseas. Utiliza la segunda columna si quieres establecer un rango de RIR.</t>
      </text>
    </comment>
    <comment authorId="0" ref="M39">
      <text>
        <t xml:space="preserve">Escribe en la primera columna el RPE que deseas. Utiliza la segunda columna si quieres establecer un rango de RPE.</t>
      </text>
    </comment>
    <comment authorId="0" ref="O39">
      <text>
        <t xml:space="preserve">Escribe el descanso que quieres que el atleta realice.</t>
      </text>
    </comment>
    <comment authorId="0" ref="P39">
      <text>
        <t xml:space="preserve">El nivel de HYPE es con que activación queremos que vaya el atleta ante el levantamiento.
Haz click en el desplegable para sacar una lista.</t>
      </text>
    </comment>
    <comment authorId="0" ref="Q39">
      <text>
        <t xml:space="preserve">Inserta los vídeos que quieres que vea el atleta para realizar los ejercicios. 
Un atajo es hacer Ctrl + K para insertar el vídeo directamente.</t>
      </text>
    </comment>
    <comment authorId="0" ref="S39">
      <text>
        <t xml:space="preserve">Introduce las observaciones o notas que quieras comentarle al atleta.</t>
      </text>
    </comment>
    <comment authorId="0" ref="U39">
      <text>
        <t xml:space="preserve">Notas u observaciones introducidas por el atleta.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Nombre y apellidos del cliente.</t>
      </text>
    </comment>
    <comment authorId="0" ref="F11">
      <text>
        <t xml:space="preserve">Introducir información detallada sobre el control del peso corporal.</t>
      </text>
    </comment>
    <comment authorId="0" ref="E12">
      <text>
        <t xml:space="preserve">Introducir fecha del inicio de la monitorización del peso.</t>
      </text>
    </comment>
    <comment authorId="0" ref="B14">
      <text>
        <t xml:space="preserve">Introducir número el bloque de entrenamiento.</t>
      </text>
    </comment>
    <comment authorId="0" ref="C14">
      <text>
        <t xml:space="preserve">No tocar.</t>
      </text>
    </comment>
    <comment authorId="0" ref="D14">
      <text>
        <t xml:space="preserve">Dia de la semana. No tocar.</t>
      </text>
    </comment>
    <comment authorId="0" ref="E14">
      <text>
        <t xml:space="preserve">Fecha automática. No tocar.</t>
      </text>
    </comment>
    <comment authorId="0" ref="F14">
      <text>
        <t xml:space="preserve">Peso corporal introducidos dos veces a la semana.</t>
      </text>
    </comment>
    <comment authorId="0" ref="G14">
      <text>
        <t xml:space="preserve">Promedio del peso corporal a la semana.</t>
      </text>
    </comment>
    <comment authorId="0" ref="H14">
      <text>
        <t xml:space="preserve">Diferencia de peso corporal promedio respecto de una semana a otra.</t>
      </text>
    </comment>
    <comment authorId="0" ref="I14">
      <text>
        <t xml:space="preserve">Diferencia en % del peso corporal promedio de una semana a otra.
</t>
      </text>
    </comment>
    <comment authorId="0" ref="J14">
      <text>
        <t xml:space="preserve">Escribir aquí todas las consideraciones y otros factores que te afecten en la lesión.</t>
      </text>
    </comment>
  </commentList>
</comments>
</file>

<file path=xl/sharedStrings.xml><?xml version="1.0" encoding="utf-8"?>
<sst xmlns="http://schemas.openxmlformats.org/spreadsheetml/2006/main" count="7125" uniqueCount="641">
  <si>
    <t>Bienvenido/a 
a 
RV Strength</t>
  </si>
  <si>
    <t xml:space="preserve">ALEX </t>
  </si>
  <si>
    <t>AGUIRRE</t>
  </si>
  <si>
    <t>RM</t>
  </si>
  <si>
    <t>SQUAT</t>
  </si>
  <si>
    <t>BENCH PRESS</t>
  </si>
  <si>
    <t>DEADLIFT</t>
  </si>
  <si>
    <t>LISTA DE RM</t>
  </si>
  <si>
    <t>DEALIFT</t>
  </si>
  <si>
    <t>Ejercicio</t>
  </si>
  <si>
    <t>Récord</t>
  </si>
  <si>
    <t xml:space="preserve">Copyright©2023 RV Strength™ </t>
  </si>
  <si>
    <t>CALENTAMIENTO</t>
  </si>
  <si>
    <t>DÍA / MOVIMIENTO</t>
  </si>
  <si>
    <t>OBJETIVO</t>
  </si>
  <si>
    <t>EJERCICIO</t>
  </si>
  <si>
    <t>SETS / REPS / TIEMPO/INTENSIDAD</t>
  </si>
  <si>
    <t>VÍDEO</t>
  </si>
  <si>
    <t>NOTAS DEL ENTRENADOR</t>
  </si>
  <si>
    <t>Entrada en calor</t>
  </si>
  <si>
    <t xml:space="preserve">Foam Roller </t>
  </si>
  <si>
    <t>SQ</t>
  </si>
  <si>
    <t>Movilidad</t>
  </si>
  <si>
    <t xml:space="preserve">Cat Camel </t>
  </si>
  <si>
    <t>1x18¬20</t>
  </si>
  <si>
    <t>video</t>
  </si>
  <si>
    <t xml:space="preserve">Rotaciones escapulares </t>
  </si>
  <si>
    <t>3x12¬14</t>
  </si>
  <si>
    <t xml:space="preserve">Hacia adelante, atras y alternas </t>
  </si>
  <si>
    <t xml:space="preserve">Rotaciones torácicas </t>
  </si>
  <si>
    <t>2x16¬18</t>
  </si>
  <si>
    <t>Activación</t>
  </si>
  <si>
    <t xml:space="preserve">Bird dog </t>
  </si>
  <si>
    <t>2x12</t>
  </si>
  <si>
    <t xml:space="preserve">Dorsiflexion </t>
  </si>
  <si>
    <t>2x20</t>
  </si>
  <si>
    <t>BP</t>
  </si>
  <si>
    <t xml:space="preserve">Band pull apart </t>
  </si>
  <si>
    <t>1x16¬18</t>
  </si>
  <si>
    <t xml:space="preserve">Mangito rotador </t>
  </si>
  <si>
    <t>1x12¬14</t>
  </si>
  <si>
    <t>Band pull over</t>
  </si>
  <si>
    <t>DL</t>
  </si>
  <si>
    <t xml:space="preserve">Glute bridge </t>
  </si>
  <si>
    <t>1x20</t>
  </si>
  <si>
    <t xml:space="preserve">Dead bug </t>
  </si>
  <si>
    <t xml:space="preserve">Extension femoral </t>
  </si>
  <si>
    <t>2x12¬14</t>
  </si>
  <si>
    <t>CUANTIFACIÓN DE LAS MÉTRICAS</t>
  </si>
  <si>
    <t>BÁSICOS IMPULSO</t>
  </si>
  <si>
    <t>ESTRUCTURA POR BLOQUES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</si>
  <si>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</si>
  <si>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</si>
  <si>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</si>
  <si>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</si>
  <si>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</si>
  <si>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</si>
  <si>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</si>
  <si>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</si>
  <si>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</si>
  <si>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</si>
  <si>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</si>
  <si>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</si>
  <si>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</si>
  <si>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</si>
  <si>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</si>
  <si>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</si>
  <si>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</si>
  <si>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</si>
  <si>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</si>
  <si>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</si>
  <si>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</si>
  <si>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</si>
  <si>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</si>
  <si>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</si>
  <si>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</si>
  <si>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</si>
  <si>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</si>
  <si>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</si>
  <si>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</si>
  <si>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</si>
  <si>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</si>
  <si>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</si>
  <si>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</si>
  <si>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</si>
  <si>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</si>
  <si>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</si>
  <si>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</si>
  <si>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</si>
  <si>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</si>
  <si>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</si>
  <si>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</si>
  <si>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</si>
  <si>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</si>
  <si>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</si>
  <si>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</si>
  <si>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</si>
  <si>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</si>
  <si>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</si>
  <si>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</si>
  <si>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</si>
  <si>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</si>
  <si>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</si>
  <si>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</si>
  <si>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</si>
  <si>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TOTAL</t>
  </si>
  <si>
    <t>MEJORA
EN KG</t>
  </si>
  <si>
    <t>MEJORA
EN %</t>
  </si>
  <si>
    <t>RM 
Iniciales</t>
  </si>
  <si>
    <t>RM Finales
de la temporada</t>
  </si>
  <si>
    <t>PERIODIZACIÓN DE LA TEMPORADA</t>
  </si>
  <si>
    <t>BÁSICOS NL</t>
  </si>
  <si>
    <t>TIPO DE BLOQUE</t>
  </si>
  <si>
    <t>Nº 
DEL BLOQUE</t>
  </si>
  <si>
    <t>OBJETIVOS DEL BLOQUE</t>
  </si>
  <si>
    <t>ANOTACIONES DEL BLOQUE</t>
  </si>
  <si>
    <t>BLOCK REVIEW</t>
  </si>
  <si>
    <t>ELECCIÓN DE BÁSICOS</t>
  </si>
  <si>
    <t>RM's</t>
  </si>
  <si>
    <t>Fecha de inicio de temporada</t>
  </si>
  <si>
    <t>Semana 1</t>
  </si>
  <si>
    <t>Semana 2</t>
  </si>
  <si>
    <t>Semana 3</t>
  </si>
  <si>
    <t>Semana 4</t>
  </si>
  <si>
    <t>Semana 5</t>
  </si>
  <si>
    <t>Semana 6</t>
  </si>
  <si>
    <t>Semana 7</t>
  </si>
  <si>
    <t>Semana 8</t>
  </si>
  <si>
    <t>Semana 9</t>
  </si>
  <si>
    <t>Semana 10</t>
  </si>
  <si>
    <t>Semana 11</t>
  </si>
  <si>
    <t>Semana 12</t>
  </si>
  <si>
    <t>Semana 13</t>
  </si>
  <si>
    <t>Semana 14</t>
  </si>
  <si>
    <t>Semana 15</t>
  </si>
  <si>
    <t>Semana 16</t>
  </si>
  <si>
    <t>Semana 17</t>
  </si>
  <si>
    <t>Semana 18</t>
  </si>
  <si>
    <t>Semana 19</t>
  </si>
  <si>
    <t>Semana 20</t>
  </si>
  <si>
    <t>Semana 21</t>
  </si>
  <si>
    <t>Semana 22</t>
  </si>
  <si>
    <t>Semana 23</t>
  </si>
  <si>
    <t>Semana 24</t>
  </si>
  <si>
    <t>Semana 25</t>
  </si>
  <si>
    <t>Semana 26</t>
  </si>
  <si>
    <t>Semana 27</t>
  </si>
  <si>
    <t>Leyenda</t>
  </si>
  <si>
    <t>HIPERTROFIA</t>
  </si>
  <si>
    <t>Competición</t>
  </si>
  <si>
    <t>Tapering</t>
  </si>
  <si>
    <t>Peaking</t>
  </si>
  <si>
    <t>Volumen</t>
  </si>
  <si>
    <t>Fuerza Base</t>
  </si>
  <si>
    <t>Hipertrofia</t>
  </si>
  <si>
    <t>Bloque de volumen (Hipertrofia)</t>
  </si>
  <si>
    <t>BÁSICOS pred1RM</t>
  </si>
  <si>
    <t>Bloque de fuerza (Hipertrofia)</t>
  </si>
  <si>
    <t>Observaciones</t>
  </si>
  <si>
    <t>Bloque de intensificación (Hipertrofia)</t>
  </si>
  <si>
    <t>Nº Microciclo</t>
  </si>
  <si>
    <t>Pivot</t>
  </si>
  <si>
    <t>Nº Bloque</t>
  </si>
  <si>
    <t>Tipo de bloque</t>
  </si>
  <si>
    <t>Fase</t>
  </si>
  <si>
    <t>GPP</t>
  </si>
  <si>
    <t>FATIGA SEMANAL</t>
  </si>
  <si>
    <t>Semana 28</t>
  </si>
  <si>
    <t>Semana 29</t>
  </si>
  <si>
    <t>Semana 30</t>
  </si>
  <si>
    <t>Semana 31</t>
  </si>
  <si>
    <t>Semana 32</t>
  </si>
  <si>
    <t>Semana 33</t>
  </si>
  <si>
    <t>Semana 34</t>
  </si>
  <si>
    <t>Semana 35</t>
  </si>
  <si>
    <t>Semana 36</t>
  </si>
  <si>
    <t>Semana 37</t>
  </si>
  <si>
    <t>Semana 38</t>
  </si>
  <si>
    <t>Semana 39</t>
  </si>
  <si>
    <t>Semana 40</t>
  </si>
  <si>
    <t>Semana 41</t>
  </si>
  <si>
    <t>Semana 42</t>
  </si>
  <si>
    <t>Semana 43</t>
  </si>
  <si>
    <t>Semana 44</t>
  </si>
  <si>
    <t>Semana 45</t>
  </si>
  <si>
    <t>Semana 46</t>
  </si>
  <si>
    <t>Semana 47</t>
  </si>
  <si>
    <t>Semana 48</t>
  </si>
  <si>
    <t>Semana 49</t>
  </si>
  <si>
    <t>Semana 50</t>
  </si>
  <si>
    <t>Semana 51</t>
  </si>
  <si>
    <t>Semana 52</t>
  </si>
  <si>
    <t>Semana 53</t>
  </si>
  <si>
    <t>Semana 54</t>
  </si>
  <si>
    <t>FATIGA</t>
  </si>
  <si>
    <t>REC</t>
  </si>
  <si>
    <t>sRPE</t>
  </si>
  <si>
    <t>TONELAJE</t>
  </si>
  <si>
    <t>TONELAJE VS I.M.R.</t>
  </si>
  <si>
    <t>TONN</t>
  </si>
  <si>
    <t>I.M.R</t>
  </si>
  <si>
    <t>SEMANAS DEL AÑO</t>
  </si>
  <si>
    <t>E</t>
  </si>
  <si>
    <t>F</t>
  </si>
  <si>
    <t>k</t>
  </si>
  <si>
    <t>N</t>
  </si>
  <si>
    <t>R</t>
  </si>
  <si>
    <t>S</t>
  </si>
  <si>
    <t>T</t>
  </si>
  <si>
    <t>K</t>
  </si>
  <si>
    <t>CUANTIFICACIÓN A PARTIR DE LO PRESCRITO</t>
  </si>
  <si>
    <t>CUANTIFIFACIÓN A PARTIR DE LO REALIZADO POR EL ATLETA</t>
  </si>
  <si>
    <t>DETALLES DEL BLOQUE DE ENTRENAMIENTO</t>
  </si>
  <si>
    <t>Instrucciones</t>
  </si>
  <si>
    <t>BÁSICOS TONELAJE</t>
  </si>
  <si>
    <t>PR'S RPE CHART</t>
  </si>
  <si>
    <t>MEJOR A 1</t>
  </si>
  <si>
    <t>MEJOR A REPE</t>
  </si>
  <si>
    <t>TONN VS IMR</t>
  </si>
  <si>
    <t>METE MATERIAL</t>
  </si>
  <si>
    <t>- Rellena el apartado de "Cuestionario de Bienestar Diario" justo DESPUÉS del calentamiento, ANTES de la sesión principal.
- El apartado de "Duración de la sesión" y "RPE de la Sesión" rellenalos unos 15-20 minutos después de haber terminado la sesión.</t>
  </si>
  <si>
    <t>ACCESORIOS SERIES</t>
  </si>
  <si>
    <t>@@</t>
  </si>
  <si>
    <t>IMR</t>
  </si>
  <si>
    <t>TON</t>
  </si>
  <si>
    <t>- Este cuestionario nos permite ver CÓMO afecta tu día a día al entrenamiento (que días estás más cansado/a, si estás bajando rendimiento por falta de sueño, estrés, etc.)
- Las casillas se puntúan del 1 al 7, 1 significa horrible y 7 perfecto.</t>
  </si>
  <si>
    <t>CUESTIONARIO DE BIENESTAR DIARIO</t>
  </si>
  <si>
    <t>DURACIÓN DE LA SESIÓN</t>
  </si>
  <si>
    <t>A PARTIR DE LO REALIZADO POR EL ATLETA</t>
  </si>
  <si>
    <t>TASA DE PROGRESIÓN</t>
  </si>
  <si>
    <t>1RM PROYECTADA</t>
  </si>
  <si>
    <t>POR VARIANTE</t>
  </si>
  <si>
    <t>SQ1 Top Set</t>
  </si>
  <si>
    <t>&lt;-- ELIGE EL BÁSICO</t>
  </si>
  <si>
    <t>DÍAS DE LA SEMANA</t>
  </si>
  <si>
    <t>CALIDAD DEL SUEÑO</t>
  </si>
  <si>
    <t>NIVEL DE ESTRÉS</t>
  </si>
  <si>
    <t>NIVEL DE FATIGA</t>
  </si>
  <si>
    <t>DAÑO MUSCULAR GENERAL (AGUJETAS)</t>
  </si>
  <si>
    <t>ESTADO ANÍMICO</t>
  </si>
  <si>
    <t>FATIGA DIARIA</t>
  </si>
  <si>
    <t>RECUPERACIÓN PERCIBIDA</t>
  </si>
  <si>
    <t>RPE DE LA SESIÓN</t>
  </si>
  <si>
    <t>HORA DE COMIENZO DEL ENTRENAMIENTO</t>
  </si>
  <si>
    <t>HORA DE FINALIZACIÓN DEL ENTRENAMIENTO</t>
  </si>
  <si>
    <t>TIEMPO ENTRENADO</t>
  </si>
  <si>
    <t>CALC</t>
  </si>
  <si>
    <t>Series</t>
  </si>
  <si>
    <t>NL</t>
  </si>
  <si>
    <t>I.M.R.</t>
  </si>
  <si>
    <t>e1RM Steve Denovi F1</t>
  </si>
  <si>
    <t>RPE MEDIO</t>
  </si>
  <si>
    <t>SEMANAS</t>
  </si>
  <si>
    <t>ESQUEMA INICIAL</t>
  </si>
  <si>
    <t>REPS</t>
  </si>
  <si>
    <t>CARGA</t>
  </si>
  <si>
    <t>AUMENTO DE CARGA (KG)</t>
  </si>
  <si>
    <t>RPE</t>
  </si>
  <si>
    <t>AUMENTO DE RPE</t>
  </si>
  <si>
    <t>PROYECTADA</t>
  </si>
  <si>
    <t>1RM PROYECTADA MEJOR A REPS</t>
  </si>
  <si>
    <t>% MEJORA</t>
  </si>
  <si>
    <t>KG</t>
  </si>
  <si>
    <t>%</t>
  </si>
  <si>
    <t>BÁSICOS I.M.R.</t>
  </si>
  <si>
    <t>lunes</t>
  </si>
  <si>
    <t>SQ1</t>
  </si>
  <si>
    <t>martes</t>
  </si>
  <si>
    <t>BP2</t>
  </si>
  <si>
    <t>miércoles</t>
  </si>
  <si>
    <t>DL1</t>
  </si>
  <si>
    <t>jueves</t>
  </si>
  <si>
    <t>Básico</t>
  </si>
  <si>
    <t>viernes</t>
  </si>
  <si>
    <t>TOTAL BÁSICOS</t>
  </si>
  <si>
    <t>sábado</t>
  </si>
  <si>
    <t>e1RM Steve Denovi F2</t>
  </si>
  <si>
    <t>domingo</t>
  </si>
  <si>
    <t>A PARTIR DE LO PREESCRITO</t>
  </si>
  <si>
    <t>MEDIA</t>
  </si>
  <si>
    <t>/7</t>
  </si>
  <si>
    <t>/10</t>
  </si>
  <si>
    <t>PROMEDIO DE TIEMPO DE SESIÓN</t>
  </si>
  <si>
    <t>FATIGA
SEMANAL</t>
  </si>
  <si>
    <t>ACCESORIOS INTENSIDAD MEDIA</t>
  </si>
  <si>
    <t>OBJETIVOS DE LA SEMANA</t>
  </si>
  <si>
    <t>SETS</t>
  </si>
  <si>
    <t>El siguiente apartado lo debes rellenar una vez a la semana cuando te indique tu entrenador para tener mayor información sobre tu estado al finalizar la semana de entrenamiento.</t>
  </si>
  <si>
    <t>MEDIA DE AGUJETAS TENSIÓN POR PATRÓN DE MOVIMIENTTO</t>
  </si>
  <si>
    <t>CUESTIONARIO DE BIENESTAR SEMANAL</t>
  </si>
  <si>
    <t>TOTAL ACCESORIOS</t>
  </si>
  <si>
    <t>¿Que sensación de agujetas y/o tensión has tenido a lo largo de la semana en las diferentes partes del cuerpo?</t>
  </si>
  <si>
    <t>Patrón</t>
  </si>
  <si>
    <t>SERIES</t>
  </si>
  <si>
    <t>avg_RIR</t>
  </si>
  <si>
    <t>Cuádriceps</t>
  </si>
  <si>
    <t>Isquios</t>
  </si>
  <si>
    <t>Glúteo</t>
  </si>
  <si>
    <t>Aductor</t>
  </si>
  <si>
    <t>Pectoral</t>
  </si>
  <si>
    <t>Hombro</t>
  </si>
  <si>
    <t>Tríceps</t>
  </si>
  <si>
    <t>Dominante de Rodilla</t>
  </si>
  <si>
    <t>BISAGRA DE CADERA</t>
  </si>
  <si>
    <t>Dash Board</t>
  </si>
  <si>
    <t>Pierna</t>
  </si>
  <si>
    <t>Empujes</t>
  </si>
  <si>
    <t>Bisagra de Cadera</t>
  </si>
  <si>
    <t>TRACCIONES</t>
  </si>
  <si>
    <t>Espalda Alta</t>
  </si>
  <si>
    <t>Dorsal</t>
  </si>
  <si>
    <t>Lumbar</t>
  </si>
  <si>
    <t>Bíceps</t>
  </si>
  <si>
    <t>Empuje Horizontal</t>
  </si>
  <si>
    <t>EMPUJES</t>
  </si>
  <si>
    <t>Tracción</t>
  </si>
  <si>
    <t>Empuje Vertical</t>
  </si>
  <si>
    <t>Tracción Horizontal</t>
  </si>
  <si>
    <t>Slots y Split Semanal</t>
  </si>
  <si>
    <t>¿Cómo de cansado te sientes a lo largo de la semana?</t>
  </si>
  <si>
    <t>¿Cuántas Horas has dormido de media está semana?</t>
  </si>
  <si>
    <t>Tracción Vertical</t>
  </si>
  <si>
    <t>TASA DE PROGRESIÓN KG</t>
  </si>
  <si>
    <t>TASA PROGRSIÓN RPE</t>
  </si>
  <si>
    <t>¿Cuánta motivación tienes para entrenar?</t>
  </si>
  <si>
    <t>¿Te has sentido recuperado/a correctamente de entre sesiones de entrenamiento del mismo grupo o patrón muscular?</t>
  </si>
  <si>
    <t>Deltoides Lateral</t>
  </si>
  <si>
    <t>¿Cómo de recuperado/a te sientes?</t>
  </si>
  <si>
    <t>¿Crees que tu alimentación, calidad del sueño o gestión de estrés hacen que estés rindiendo menos?</t>
  </si>
  <si>
    <t>Gémelo/Sóleo</t>
  </si>
  <si>
    <t>Trasladar/Trineo</t>
  </si>
  <si>
    <t>Comentarios, observaciones o sugerencias. Si algo ha ido mal, ¿qué crees que podríamos mejorar?</t>
  </si>
  <si>
    <t>CORE</t>
  </si>
  <si>
    <t>Gémelo/Soleo</t>
  </si>
  <si>
    <t>Aductor de cadera</t>
  </si>
  <si>
    <t>Semana</t>
  </si>
  <si>
    <t>DIARIO DE ENTRENAMIENTO</t>
  </si>
  <si>
    <t>CUANTIFIACIÓN
A PARTIR DE LO REALIZADO POR EL ATLETA</t>
  </si>
  <si>
    <t>Bloque</t>
  </si>
  <si>
    <t>PRESCRIPCIÓN</t>
  </si>
  <si>
    <t>CUANTIFIACIÓN
A PARTIR DE LO PRE-ESCRITO</t>
  </si>
  <si>
    <t>1 ª SERIE</t>
  </si>
  <si>
    <t>2 ª SERIE</t>
  </si>
  <si>
    <t>3 ª SERIE</t>
  </si>
  <si>
    <t>4 ª SERIE</t>
  </si>
  <si>
    <t>5 ª SERIE</t>
  </si>
  <si>
    <t>6 ª SERIE</t>
  </si>
  <si>
    <t>7 ª SERIE</t>
  </si>
  <si>
    <t>8 ª SERIE</t>
  </si>
  <si>
    <t>9 ª SERIE</t>
  </si>
  <si>
    <t>10 ª SERIE</t>
  </si>
  <si>
    <t>Día 1</t>
  </si>
  <si>
    <t>Básicos/Patrón 
de movimiento</t>
  </si>
  <si>
    <t>EJERCICIOS
SESIÓN 1: LUNES</t>
  </si>
  <si>
    <t>% RM</t>
  </si>
  <si>
    <t>KG (M)</t>
  </si>
  <si>
    <t>RIR</t>
  </si>
  <si>
    <t>REST</t>
  </si>
  <si>
    <t>HYPE</t>
  </si>
  <si>
    <t>VIDEOS</t>
  </si>
  <si>
    <t>NOTAS INTERNAS DEL ENTRENADOR</t>
  </si>
  <si>
    <t>SQ pausa en la concentrica</t>
  </si>
  <si>
    <t xml:space="preserve">SQ pausa en la concentrica: 3 x 5 x 122,5 kg </t>
  </si>
  <si>
    <t>123 belt</t>
  </si>
  <si>
    <t>123 contacto femenino por eso sale mejor JAJA</t>
  </si>
  <si>
    <t/>
  </si>
  <si>
    <t>SLDL</t>
  </si>
  <si>
    <t xml:space="preserve">SLDL: 3 x 6 x  kg RIR 2-3 </t>
  </si>
  <si>
    <t>100 com zapas drop</t>
  </si>
  <si>
    <t>120 belt</t>
  </si>
  <si>
    <t xml:space="preserve">Split sq </t>
  </si>
  <si>
    <t xml:space="preserve">Split sq : 4 x 8 x  kg RIR 2 </t>
  </si>
  <si>
    <t xml:space="preserve">45 rodi sbd </t>
  </si>
  <si>
    <t xml:space="preserve">50 increíble </t>
  </si>
  <si>
    <t>35 otra pierna izq adelante</t>
  </si>
  <si>
    <t xml:space="preserve">Patada gluteo </t>
  </si>
  <si>
    <t xml:space="preserve">Patada gluteo : 3 x 12 x  kg RIR 2 </t>
  </si>
  <si>
    <t>Abs Wheel</t>
  </si>
  <si>
    <t xml:space="preserve">Abs Wheel: 3 x 20 x  kg RIR 2 </t>
  </si>
  <si>
    <t>Día 2</t>
  </si>
  <si>
    <t>BP1</t>
  </si>
  <si>
    <t>BP pin ct2</t>
  </si>
  <si>
    <t xml:space="preserve">BP pin ct2: 4 x 4 x 82,5 kg </t>
  </si>
  <si>
    <t>83 en 21 sop</t>
  </si>
  <si>
    <t xml:space="preserve">Bp mancuerna unilateral </t>
  </si>
  <si>
    <t xml:space="preserve">Bp mancuerna unilateral : 3 x 10 x  kg RIR 2-3 </t>
  </si>
  <si>
    <t>25 control</t>
  </si>
  <si>
    <t>40 plano buena lucha y tecnica</t>
  </si>
  <si>
    <t>37 plano tiras más em inclinado Xd</t>
  </si>
  <si>
    <t>Jalon al pecho supino pausa 3s</t>
  </si>
  <si>
    <t xml:space="preserve">Jalon al pecho supino pausa 3s: 3 x 8 x  kg RIR 2 </t>
  </si>
  <si>
    <t>96 ayuda prono ults</t>
  </si>
  <si>
    <t>77 prono</t>
  </si>
  <si>
    <t>64 supino pausa</t>
  </si>
  <si>
    <t>64 sup</t>
  </si>
  <si>
    <t xml:space="preserve">Remo polea baja abierto </t>
  </si>
  <si>
    <t xml:space="preserve">Remo polea baja abierto : 3 x 10 x  kg RIR 2 </t>
  </si>
  <si>
    <t>80 low row</t>
  </si>
  <si>
    <t>90 buenardo spot</t>
  </si>
  <si>
    <t>60 control y paysa</t>
  </si>
  <si>
    <t>Face pull</t>
  </si>
  <si>
    <t xml:space="preserve">Face pull: 3 x 15 x  kg RIR 3 </t>
  </si>
  <si>
    <t xml:space="preserve">Biceps + Triceps </t>
  </si>
  <si>
    <t xml:space="preserve">Biceps + Triceps : 3 x F x  kg </t>
  </si>
  <si>
    <t>36 scott de locos</t>
  </si>
  <si>
    <t>23 excentrica y drop a 5 y 9 unilat</t>
  </si>
  <si>
    <t>23 katana</t>
  </si>
  <si>
    <t>katama  27 y drop 16</t>
  </si>
  <si>
    <t>triceps arriba 25</t>
  </si>
  <si>
    <t>23 batesian</t>
  </si>
  <si>
    <t>Día 3</t>
  </si>
  <si>
    <t>Día 4</t>
  </si>
  <si>
    <t xml:space="preserve">BP </t>
  </si>
  <si>
    <t xml:space="preserve">BP : 3 x 6 x 85 kg </t>
  </si>
  <si>
    <t>85 atontao y con falta de respiración nariz tapada al llegar</t>
  </si>
  <si>
    <t>85 fatal</t>
  </si>
  <si>
    <t>Aperturas polea baja tumbado</t>
  </si>
  <si>
    <t xml:space="preserve">Aperturas polea baja tumbado: 2 x 12 x  kg RIR 2-3 </t>
  </si>
  <si>
    <t>91 contractora</t>
  </si>
  <si>
    <t>72 con drop con semi reps jeff nipard</t>
  </si>
  <si>
    <t xml:space="preserve">Press militar de pie </t>
  </si>
  <si>
    <t xml:space="preserve">Press militar de pie : 4 x 6 x  kg RIR 2-3 </t>
  </si>
  <si>
    <t>90 lo sientes pesado peor q sem pasada</t>
  </si>
  <si>
    <t>50 más control con pausa</t>
  </si>
  <si>
    <t xml:space="preserve">Spanish sq </t>
  </si>
  <si>
    <t>10s</t>
  </si>
  <si>
    <t xml:space="preserve">Spanish sq : 3 x 12 x  kg RIR 2-3 </t>
  </si>
  <si>
    <t>Elevaciones Frontales barra z</t>
  </si>
  <si>
    <t xml:space="preserve">Elevaciones Frontales barra z: 3 x 10 x  kg RIR 1-2 </t>
  </si>
  <si>
    <t xml:space="preserve">14 elvs detras cuerpo </t>
  </si>
  <si>
    <t>Día 5</t>
  </si>
  <si>
    <t xml:space="preserve">SQ </t>
  </si>
  <si>
    <t xml:space="preserve">SQ : 3 x 6 x 137,5 kg </t>
  </si>
  <si>
    <t>140 en otro gym soportes más altos de lo normql</t>
  </si>
  <si>
    <t>BP3</t>
  </si>
  <si>
    <t>BP pausa ct3</t>
  </si>
  <si>
    <t xml:space="preserve">BP pausa ct3: 3 x 5 x 77,5 kg </t>
  </si>
  <si>
    <t>80 en rock super incómodo no sirve</t>
  </si>
  <si>
    <t xml:space="preserve">DL </t>
  </si>
  <si>
    <t xml:space="preserve">DL : 3 x 6 x 172,5 kg </t>
  </si>
  <si>
    <t xml:space="preserve">Curl femoral </t>
  </si>
  <si>
    <t xml:space="preserve">Curl femoral : 3 x 10 x  kg RIR 1-2 </t>
  </si>
  <si>
    <t xml:space="preserve">Elevaciones de pìernas colgado </t>
  </si>
  <si>
    <t xml:space="preserve">Elevaciones de pìernas colgado : 3 x 10 x  kg RIR 1-2 </t>
  </si>
  <si>
    <t>Día 6</t>
  </si>
  <si>
    <t>6 .- Muy mal</t>
  </si>
  <si>
    <t>7 .- Muy, muy mal</t>
  </si>
  <si>
    <t>4 .- Regular</t>
  </si>
  <si>
    <t xml:space="preserve">SQ pausa en la concentrica: 3 x 5 x 127,5 kg </t>
  </si>
  <si>
    <t xml:space="preserve">BP pin ct2: 4 x 3 x 87,5 kg </t>
  </si>
  <si>
    <t>88 3h de sueño</t>
  </si>
  <si>
    <t>40 mp incl.</t>
  </si>
  <si>
    <t>abducción y prrss bajo n3 41</t>
  </si>
  <si>
    <t xml:space="preserve">más alto polea y peo 36r </t>
  </si>
  <si>
    <t>normal 32 bn</t>
  </si>
  <si>
    <t xml:space="preserve"> bayesian doble banco incl 23</t>
  </si>
  <si>
    <t>59 martillo</t>
  </si>
  <si>
    <t>25 katana unilat ayuda ults</t>
  </si>
  <si>
    <t>polea arriba tricep dropset 25-16-9</t>
  </si>
  <si>
    <t>scoott 36 ayuda ult</t>
  </si>
  <si>
    <t xml:space="preserve">BP : 4 x 6 x 90 kg </t>
  </si>
  <si>
    <t>130 sldl</t>
  </si>
  <si>
    <t xml:space="preserve">35 buena lucha perro </t>
  </si>
  <si>
    <t>30 mp</t>
  </si>
  <si>
    <t>ulys ayuda 35</t>
  </si>
  <si>
    <t>30 control</t>
  </si>
  <si>
    <t>95 jalon si lo notas peor y técnica peor fatiga</t>
  </si>
  <si>
    <t>68 control</t>
  </si>
  <si>
    <t xml:space="preserve">SQ : 3 x 6 x 145 kg </t>
  </si>
  <si>
    <t xml:space="preserve">BP pausa ct3: 4 x 3 x 80 kg </t>
  </si>
  <si>
    <t xml:space="preserve">DL : 3 x 6 x 180 kg </t>
  </si>
  <si>
    <t>180 hook</t>
  </si>
  <si>
    <t>180 descansas mas</t>
  </si>
  <si>
    <t>70 REMO T</t>
  </si>
  <si>
    <t>50 mejor control</t>
  </si>
  <si>
    <t>91 contrac</t>
  </si>
  <si>
    <t>82 control</t>
  </si>
  <si>
    <t>68 Jeff nipatd</t>
  </si>
  <si>
    <t>contractua inversa posterior 50</t>
  </si>
  <si>
    <t>68 remo inilat</t>
  </si>
  <si>
    <t xml:space="preserve">25 unilat katana </t>
  </si>
  <si>
    <t>27 unilat triceps abajo</t>
  </si>
  <si>
    <t>dropset 12 10 y 7</t>
  </si>
  <si>
    <t>3 .- Bien</t>
  </si>
  <si>
    <t>2 .- Muy bien</t>
  </si>
  <si>
    <t>4.- Agujetas/tensión muscular no incapacitantes</t>
  </si>
  <si>
    <t>SQ pausa ct3</t>
  </si>
  <si>
    <t xml:space="preserve">SQ pausa ct3: 3 x 5 x 120 kg </t>
  </si>
  <si>
    <t>120 raw muñeca duele</t>
  </si>
  <si>
    <t>DL deficit 4cm</t>
  </si>
  <si>
    <t xml:space="preserve">DL deficit 4cm: 3 x 5 x 140 kg </t>
  </si>
  <si>
    <t>140 te distraen y te partes la polla</t>
  </si>
  <si>
    <t>KTB swing</t>
  </si>
  <si>
    <t xml:space="preserve">KTB swing: 4 x 12 x  kg RIR 2 </t>
  </si>
  <si>
    <t>bulgara raw 50 lado 114 x8 rep</t>
  </si>
  <si>
    <t xml:space="preserve">Extension cuadriceps </t>
  </si>
  <si>
    <t xml:space="preserve">Extension cuadriceps : 3 x 12 x  kg RIR 2 </t>
  </si>
  <si>
    <t>isometrico 23 y 27</t>
  </si>
  <si>
    <t>59 super control y pausa</t>
  </si>
  <si>
    <t>Plate crunch</t>
  </si>
  <si>
    <t xml:space="preserve">Plate crunch: 3 x 15 x  kg RIR 2 </t>
  </si>
  <si>
    <t>BP Kodama</t>
  </si>
  <si>
    <t xml:space="preserve">BP Kodama: 4 x 4 x 85 kg </t>
  </si>
  <si>
    <t>85 raw</t>
  </si>
  <si>
    <t>85 haces una de mas</t>
  </si>
  <si>
    <t xml:space="preserve">Fondos </t>
  </si>
  <si>
    <t xml:space="preserve">Fondos : 3 x 10 x  kg RIR 2-3 </t>
  </si>
  <si>
    <t>enfocado triceps sin peso</t>
  </si>
  <si>
    <t>5 kg peso poco</t>
  </si>
  <si>
    <t>10 kg bn</t>
  </si>
  <si>
    <t>15 kg</t>
  </si>
  <si>
    <t>Dominadas</t>
  </si>
  <si>
    <t xml:space="preserve">Dominadas: 3 x 8 x  kg RIR 2 </t>
  </si>
  <si>
    <t>propio peso</t>
  </si>
  <si>
    <t xml:space="preserve">respiración </t>
  </si>
  <si>
    <t>Remo con barra</t>
  </si>
  <si>
    <t xml:space="preserve">Remo con barra: 3 x 10 x  kg RIR 2 </t>
  </si>
  <si>
    <t>tras nuca en barra z polea 36</t>
  </si>
  <si>
    <t>45 cuesta sacarla barra z trasnuca xd</t>
  </si>
  <si>
    <t>audccion banco recto y press 41x2</t>
  </si>
  <si>
    <t>audccion pecho banco press 36</t>
  </si>
  <si>
    <t>Arnold press</t>
  </si>
  <si>
    <t xml:space="preserve">Arnold press: 3 x 15 x  kg RIR 2 </t>
  </si>
  <si>
    <t>remo unilat 64 apoyado en banca</t>
  </si>
  <si>
    <t>Press frances mancuerna</t>
  </si>
  <si>
    <t xml:space="preserve">Press frances mancuerna: 3 x 15 x  kg RIR 2 </t>
  </si>
  <si>
    <t>elvs lat detras espalda 11</t>
  </si>
  <si>
    <t>polea unilat 14</t>
  </si>
  <si>
    <t xml:space="preserve">36 máquina polea elvs </t>
  </si>
  <si>
    <t>dropset máquina 41-18</t>
  </si>
  <si>
    <t>franves banco plano 17.5 x2</t>
  </si>
  <si>
    <t>agarre potencia 10kg supinacipm y pronacipn con 5kg</t>
  </si>
  <si>
    <t xml:space="preserve">BP : 4 x 4 x 90 kg </t>
  </si>
  <si>
    <t>90 mejor</t>
  </si>
  <si>
    <t>Floor press cg</t>
  </si>
  <si>
    <t xml:space="preserve">Floor press cg: 4 x 10 x  kg RIR 2-3 </t>
  </si>
  <si>
    <t>90 te MAMASTEJAJAJA</t>
  </si>
  <si>
    <t xml:space="preserve">Press militar sentado </t>
  </si>
  <si>
    <t xml:space="preserve">Press militar sentado : 4 x 6 x  kg RIR 2-3 </t>
  </si>
  <si>
    <t>35 bajas bien</t>
  </si>
  <si>
    <t>32 buena bajada y pausa</t>
  </si>
  <si>
    <t>36 scott polea</t>
  </si>
  <si>
    <t>36+27 scot</t>
  </si>
  <si>
    <t>23 aguante excentrica y drop unilat 9 y 5</t>
  </si>
  <si>
    <t xml:space="preserve">Bench pisol sq </t>
  </si>
  <si>
    <t xml:space="preserve">Bench pisol sq : 3 x 15 x  kg RIR 2-3 </t>
  </si>
  <si>
    <t>sin peso x3 series un poco inestable</t>
  </si>
  <si>
    <t xml:space="preserve">Pajaro polea baja </t>
  </si>
  <si>
    <t xml:space="preserve">Pajaro polea baja : 3 x 12 x  kg RIR 1-2 </t>
  </si>
  <si>
    <t xml:space="preserve">SQ : 4 x 4 x 160 kg </t>
  </si>
  <si>
    <t xml:space="preserve"> 160 hoy cansado</t>
  </si>
  <si>
    <t>160 pesado aaaa</t>
  </si>
  <si>
    <t>BP larsen</t>
  </si>
  <si>
    <t xml:space="preserve">BP larsen: 3 x 5 x 80 kg </t>
  </si>
  <si>
    <t xml:space="preserve">DL : 4 x 4 x 200 kg </t>
  </si>
  <si>
    <t xml:space="preserve">aductor en paquina </t>
  </si>
  <si>
    <t xml:space="preserve">aductor en paquina : 4 x 12 x  kg RIR 1-2 </t>
  </si>
  <si>
    <t xml:space="preserve">200 tensión lumbar pero volando </t>
  </si>
  <si>
    <t xml:space="preserve">Plancha de gluteo </t>
  </si>
  <si>
    <t>20s</t>
  </si>
  <si>
    <t xml:space="preserve">Plancha de gluteo : 3 x 20s x  kg RIR 1-2 </t>
  </si>
  <si>
    <t>1 .- Muy, muy bien</t>
  </si>
  <si>
    <t>5.- Aumento del dolor muscular por agujetas molesto.</t>
  </si>
  <si>
    <t>El ultimo entreno se entiende que haya ido mal porque dos días antes tuve un evento donde el alcohol era agua</t>
  </si>
  <si>
    <t xml:space="preserve">SQ pausa ct3: 3 x 5 x 127,5 kg </t>
  </si>
  <si>
    <t xml:space="preserve">DL deficit 4cm: 3 x 5 x 147,5 kg </t>
  </si>
  <si>
    <t>150 con rodis sientes más pesado</t>
  </si>
  <si>
    <t>isom 23 y 27</t>
  </si>
  <si>
    <t>59 y 68</t>
  </si>
  <si>
    <t xml:space="preserve">BP Kodama: 4 x 4 x 87,5 kg </t>
  </si>
  <si>
    <t>20kg</t>
  </si>
  <si>
    <t>abducciones y prrss dolor codo 41x2 y 36 con 32 en banco incl polea baja</t>
  </si>
  <si>
    <t>elvs lat doble echado 11 y 14</t>
  </si>
  <si>
    <t xml:space="preserve">BP : 4 x 4 x 95 kg </t>
  </si>
  <si>
    <t>95 te espotea piba y mejir</t>
  </si>
  <si>
    <t xml:space="preserve">35 ayuda sacarla y ult </t>
  </si>
  <si>
    <t>32.5 pausa</t>
  </si>
  <si>
    <t xml:space="preserve">unilat apoyado en banca bíceps 16 lento </t>
  </si>
  <si>
    <t>21 bien</t>
  </si>
  <si>
    <t>21 bayesian unilat x2</t>
  </si>
  <si>
    <t>elevs lat detras 11</t>
  </si>
  <si>
    <t>7kg x2</t>
  </si>
  <si>
    <t>doble 45 polea sentado</t>
  </si>
  <si>
    <t xml:space="preserve">SQ : 4 x 4 x 165 kg </t>
  </si>
  <si>
    <t xml:space="preserve">BP larsen: 3 x 5 x 82,5 kg </t>
  </si>
  <si>
    <t xml:space="preserve">DL : 4 x 4 x 207,5 kg </t>
  </si>
  <si>
    <t>5 .- Mal</t>
  </si>
  <si>
    <t>VOLUMEN</t>
  </si>
  <si>
    <t xml:space="preserve">SQ pausa ct3: 4 x 4 x 135 kg </t>
  </si>
  <si>
    <t>130 ult aprox al acabar duele codo</t>
  </si>
  <si>
    <t xml:space="preserve">DL deficit 4cm: 4 x 4 x 155 kg </t>
  </si>
  <si>
    <t>83 z3 seriebp dolor codo lowbar del sbd anterior porque no dio tiempo</t>
  </si>
  <si>
    <t>208 hook</t>
  </si>
  <si>
    <t xml:space="preserve">208 te falla el puto strap </t>
  </si>
  <si>
    <t xml:space="preserve">BP Kodama: 4 x 3 x 90 kg </t>
  </si>
  <si>
    <t xml:space="preserve">15 fondos se te resbala por los pantis Adidas </t>
  </si>
  <si>
    <t>15kg dips</t>
  </si>
  <si>
    <t>Dominadas aunque lo sustituyes por jalon</t>
  </si>
  <si>
    <t>86 jalon control luego de pila tiempo bn</t>
  </si>
  <si>
    <t xml:space="preserve">elvs maq 36 y 41 </t>
  </si>
  <si>
    <t>68 apoyado remo unilat banca polea 68 y 59</t>
  </si>
  <si>
    <t>91 contract buena serie</t>
  </si>
  <si>
    <t xml:space="preserve">73 jeff menos repes </t>
  </si>
  <si>
    <t xml:space="preserve">BP : 1 x 4 x 100 kg </t>
  </si>
  <si>
    <t xml:space="preserve">BP : 3 x 4 x 85 kg </t>
  </si>
  <si>
    <t>60 pausa</t>
  </si>
  <si>
    <t>maq 30 por lado control</t>
  </si>
  <si>
    <t>40 lado</t>
  </si>
  <si>
    <t xml:space="preserve">SQ : 3 x 4 x 150 kg </t>
  </si>
  <si>
    <t xml:space="preserve">BP larsen: 4 x 2 x 87,5 kg </t>
  </si>
  <si>
    <t xml:space="preserve">DL : 3 x 4 x 180 kg </t>
  </si>
  <si>
    <t xml:space="preserve">180 140 de ult aprox te pesan demasiado </t>
  </si>
  <si>
    <t>CALCULADORA DE APROXIMACIONES</t>
  </si>
  <si>
    <r>
      <rPr>
        <rFont val="Montserrat"/>
        <color theme="1"/>
      </rPr>
      <t xml:space="preserve">Esta herramienta te servira para realizar las </t>
    </r>
    <r>
      <rPr>
        <rFont val="Montserrat"/>
        <b/>
        <color theme="1"/>
      </rPr>
      <t xml:space="preserve">aproximaciones </t>
    </r>
    <r>
      <rPr>
        <rFont val="Montserrat"/>
        <color theme="1"/>
      </rPr>
      <t xml:space="preserve">de manera mucho más sencilla.
En el apartado </t>
    </r>
    <r>
      <rPr>
        <rFont val="Montserrat"/>
        <b/>
        <color theme="1"/>
      </rPr>
      <t>"PESO OBJETIVO"</t>
    </r>
    <r>
      <rPr>
        <rFont val="Montserrat"/>
        <color theme="1"/>
      </rPr>
      <t xml:space="preserve"> introduce los </t>
    </r>
    <r>
      <rPr>
        <rFont val="Montserrat"/>
        <b/>
        <color theme="1"/>
      </rPr>
      <t xml:space="preserve">kg </t>
    </r>
    <r>
      <rPr>
        <rFont val="Montserrat"/>
        <color theme="1"/>
      </rPr>
      <t xml:space="preserve">que tienes que </t>
    </r>
    <r>
      <rPr>
        <rFont val="Montserrat"/>
        <b/>
        <color theme="1"/>
      </rPr>
      <t xml:space="preserve">realizar ese día.
</t>
    </r>
    <r>
      <rPr>
        <rFont val="Montserrat"/>
        <color theme="1"/>
      </rPr>
      <t>- Ajusta las series y repeticiones en función a ti, preferencias individuales, técnica, preferencias, etc.
- Atletas con RM muy bajas podrían necesitar menor número de series, como en algunos casos de Press Banca en levantadoras femeninas o levantadores masculinos de categorias más bajas.</t>
    </r>
    <r>
      <rPr>
        <rFont val="Montserrat"/>
        <b/>
        <color theme="1"/>
      </rPr>
      <t xml:space="preserve">
</t>
    </r>
    <r>
      <rPr>
        <rFont val="Montserrat"/>
        <color theme="1"/>
      </rPr>
      <t xml:space="preserve">- </t>
    </r>
    <r>
      <rPr>
        <rFont val="Montserrat"/>
        <color theme="1"/>
        <sz val="18.0"/>
      </rPr>
      <t>*</t>
    </r>
    <r>
      <rPr>
        <rFont val="Montserrat"/>
        <color theme="1"/>
      </rPr>
      <t xml:space="preserve">SERIE DE CONFIANZA: Realizar 1x1 con la carga objetivo SOLO antes de realizar un record a repeticiones ( mayor a 4, como por ejemplo AMRAPS).
</t>
    </r>
  </si>
  <si>
    <r>
      <rPr>
        <rFont val="Montserrat"/>
        <color theme="1"/>
      </rPr>
      <t xml:space="preserve">Haz click para selecionar un bloque centrado en el </t>
    </r>
    <r>
      <rPr>
        <rFont val="Montserrat"/>
        <b/>
        <color theme="1"/>
      </rPr>
      <t xml:space="preserve">volumen de 
entrenamiento </t>
    </r>
    <r>
      <rPr>
        <rFont val="Montserrat"/>
        <color theme="1"/>
      </rPr>
      <t xml:space="preserve">(Hipertrofia, Técnica, Bloque. Volumen, etc).
Bloque de </t>
    </r>
    <r>
      <rPr>
        <rFont val="Montserrat"/>
        <b/>
        <color theme="1"/>
      </rPr>
      <t xml:space="preserve">Volumen: </t>
    </r>
    <r>
      <rPr>
        <rFont val="Montserrat"/>
        <color theme="1"/>
      </rPr>
      <t xml:space="preserve">Más series y/o repeticiones que KG en barra.
Bloque de </t>
    </r>
    <r>
      <rPr>
        <rFont val="Montserrat"/>
        <b/>
        <color theme="1"/>
      </rPr>
      <t xml:space="preserve">Peaking: </t>
    </r>
    <r>
      <rPr>
        <rFont val="Montserrat"/>
        <color theme="1"/>
      </rPr>
      <t>Más intensidad (kg) y menos series y/o repeticiones.</t>
    </r>
  </si>
  <si>
    <r>
      <rPr>
        <rFont val="Montserrat"/>
        <color theme="1"/>
      </rPr>
      <t xml:space="preserve">Click para seleccionar </t>
    </r>
    <r>
      <rPr>
        <rFont val="Montserrat"/>
        <b/>
        <color theme="1"/>
      </rPr>
      <t>hombre</t>
    </r>
    <r>
      <rPr>
        <rFont val="Montserrat"/>
        <color theme="1"/>
      </rPr>
      <t xml:space="preserve">, no hacer click para seleccionar 
</t>
    </r>
    <r>
      <rPr>
        <rFont val="Montserrat"/>
        <b/>
        <color theme="1"/>
      </rPr>
      <t>mujer</t>
    </r>
    <r>
      <rPr>
        <rFont val="Montserrat"/>
        <color theme="1"/>
      </rPr>
      <t>.</t>
    </r>
  </si>
  <si>
    <t>PESO OBJETIVO</t>
  </si>
  <si>
    <t>SENTADILLA</t>
  </si>
  <si>
    <t>PRESS BANCA</t>
  </si>
  <si>
    <t>Número de series</t>
  </si>
  <si>
    <t>Repeticiones</t>
  </si>
  <si>
    <t>% de la carga</t>
  </si>
  <si>
    <t>Carga</t>
  </si>
  <si>
    <t>PESO MUERTO</t>
  </si>
  <si>
    <t>-</t>
  </si>
  <si>
    <t>Barra</t>
  </si>
  <si>
    <t>EVOLUCIÓN DEL PESO CORPORAL</t>
  </si>
  <si>
    <t xml:space="preserve">INFORMACIÓN DETALLADA </t>
  </si>
  <si>
    <t>CLIENTE</t>
  </si>
  <si>
    <t>FECHA INICIO
MONITORIZACIÓN:</t>
  </si>
  <si>
    <t>MES</t>
  </si>
  <si>
    <t>BLOQUE</t>
  </si>
  <si>
    <t>SEMANA</t>
  </si>
  <si>
    <t>DÍA</t>
  </si>
  <si>
    <t>FECHA</t>
  </si>
  <si>
    <t>PESO 
CORPORAL</t>
  </si>
  <si>
    <t>PROMEDIO
DE LA
SEMANA</t>
  </si>
  <si>
    <t>Diferencia de 
Peso Corporal</t>
  </si>
  <si>
    <t>Diferencia en 
%</t>
  </si>
  <si>
    <t>DETALLES DE LA SEMANA</t>
  </si>
  <si>
    <t>81.5</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</si>
</sst>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 &quot;kg&quot;"/>
    <numFmt numFmtId="165" formatCode="d/MM/yyyy"/>
    <numFmt numFmtId="166" formatCode="0.0"/>
    <numFmt numFmtId="167" formatCode="###0.00 &quot;/ 10&quot;"/>
    <numFmt numFmtId="168" formatCode="H:mm:ss"/>
    <numFmt numFmtId="169" formatCode="###0.00 &quot;kg&quot;"/>
    <numFmt numFmtId="170" formatCode="m/d/yyyy h:mm:ss"/>
    <numFmt numFmtId="171" formatCode="###0.0 &quot;kg&quot;"/>
    <numFmt numFmtId="172" formatCode="0.0%"/>
    <numFmt numFmtId="173" formatCode="d.m"/>
    <numFmt numFmtId="174" formatCode="###0 &quot;x&quot;"/>
    <numFmt numFmtId="175" formatCode="&quot; x RIR&quot; ###0"/>
    <numFmt numFmtId="176" formatCode="&quot; -&quot; ###0"/>
    <numFmt numFmtId="177" formatCode="&quot; x RPE&quot; ###0"/>
    <numFmt numFmtId="178" formatCode="dd/mm/yyyy"/>
  </numFmts>
  <fonts count="120">
    <font>
      <sz val="10.0"/>
      <color rgb="FF000000"/>
      <name val="Arial"/>
      <scheme val="minor"/>
    </font>
    <font>
      <color theme="1"/>
      <name val="Arial"/>
      <scheme val="minor"/>
    </font>
    <font>
      <b/>
      <sz val="34.0"/>
      <color rgb="FFFFFFFF"/>
      <name val="Orbitron"/>
    </font>
    <font>
      <b/>
      <sz val="30.0"/>
      <color theme="1"/>
      <name val="Orbitron"/>
    </font>
    <font>
      <b/>
      <sz val="24.0"/>
      <color theme="1"/>
      <name val="Orbitron"/>
    </font>
    <font>
      <b/>
      <sz val="24.0"/>
      <color rgb="FFFFFFFF"/>
      <name val="Orbitron"/>
    </font>
    <font>
      <b/>
      <sz val="16.0"/>
      <color rgb="FFFFFFFF"/>
      <name val="Orbitron"/>
    </font>
    <font>
      <b/>
      <sz val="20.0"/>
      <color rgb="FF000000"/>
      <name val="Orbitron"/>
    </font>
    <font>
      <b/>
      <sz val="18.0"/>
      <color rgb="FFFFFFFF"/>
      <name val="Orbitron"/>
    </font>
    <font>
      <b/>
      <sz val="15.0"/>
      <color rgb="FF000000"/>
      <name val="Orbitron"/>
    </font>
    <font>
      <b/>
      <sz val="12.0"/>
      <color rgb="FFFFFFFF"/>
      <name val="Comfortaa"/>
    </font>
    <font>
      <b/>
      <sz val="10.0"/>
      <color theme="1"/>
      <name val="Comfortaa"/>
    </font>
    <font>
      <b/>
      <sz val="10.0"/>
      <color rgb="FF000000"/>
      <name val="Comfortaa"/>
    </font>
    <font>
      <sz val="10.0"/>
      <color theme="1"/>
      <name val="Comfortaa"/>
    </font>
    <font>
      <b/>
      <sz val="10.0"/>
      <color theme="1"/>
      <name val="Arial"/>
    </font>
    <font>
      <b/>
      <sz val="60.0"/>
      <color theme="1"/>
      <name val="Orbitron"/>
    </font>
    <font>
      <color rgb="FFFFFFFF"/>
      <name val="Orbitron"/>
    </font>
    <font>
      <b/>
      <sz val="11.0"/>
      <color rgb="FFFFFFFF"/>
      <name val="Orbitron"/>
    </font>
    <font/>
    <font>
      <b/>
      <color theme="1"/>
      <name val="Comfortaa"/>
    </font>
    <font>
      <color theme="1"/>
      <name val="Arial"/>
    </font>
    <font>
      <color theme="1"/>
      <name val="Comfortaa"/>
    </font>
    <font>
      <b/>
      <sz val="12.0"/>
      <color theme="1"/>
      <name val="Comfortaa"/>
    </font>
    <font>
      <b/>
      <i/>
      <sz val="12.0"/>
      <color rgb="FFFFFFFF"/>
      <name val="Comfortaa"/>
    </font>
    <font>
      <sz val="14.0"/>
      <color theme="1"/>
      <name val="Comfortaa"/>
    </font>
    <font>
      <u/>
      <sz val="12.0"/>
      <color rgb="FF1155CC"/>
      <name val="Comfortaa"/>
    </font>
    <font>
      <sz val="12.0"/>
      <color theme="1"/>
      <name val="Comfortaa"/>
    </font>
    <font>
      <u/>
      <sz val="12.0"/>
      <color rgb="FF0000FF"/>
      <name val="Comfortaa"/>
    </font>
    <font>
      <u/>
      <sz val="12.0"/>
      <color rgb="FF1155CC"/>
      <name val="Comfortaa"/>
    </font>
    <font>
      <u/>
      <sz val="12.0"/>
      <color rgb="FF0000FF"/>
      <name val="Comfortaa"/>
    </font>
    <font>
      <b/>
      <sz val="36.0"/>
      <color rgb="FFFFFFFF"/>
      <name val="Orbitron"/>
    </font>
    <font>
      <b/>
      <sz val="100.0"/>
      <color theme="1"/>
      <name val="Orbitron"/>
    </font>
    <font>
      <b/>
      <sz val="11.0"/>
      <color theme="1"/>
      <name val="Comfortaa"/>
    </font>
    <font>
      <b/>
      <sz val="9.0"/>
      <color theme="1"/>
      <name val="Comfortaa"/>
    </font>
    <font>
      <sz val="11.0"/>
      <color theme="1"/>
      <name val="Comfortaa"/>
    </font>
    <font>
      <b/>
      <sz val="33.0"/>
      <color rgb="FFFFFFFF"/>
      <name val="Orbitron"/>
    </font>
    <font>
      <color rgb="FFFFFFFF"/>
      <name val="Arial"/>
      <scheme val="minor"/>
    </font>
    <font>
      <b/>
      <sz val="24.0"/>
      <color rgb="FF000000"/>
      <name val="Orbitron"/>
    </font>
    <font>
      <b/>
      <sz val="31.0"/>
      <color rgb="FFFFFFFF"/>
      <name val="Orbitron"/>
    </font>
    <font>
      <b/>
      <sz val="37.0"/>
      <color rgb="FF000000"/>
      <name val="Comfortaa"/>
    </font>
    <font>
      <b/>
      <sz val="33.0"/>
      <color rgb="FF000000"/>
      <name val="Comfortaa"/>
    </font>
    <font>
      <b/>
      <sz val="34.0"/>
      <color rgb="FF000000"/>
      <name val="Comfortaa"/>
    </font>
    <font>
      <color rgb="FF000000"/>
      <name val="Arial"/>
      <scheme val="minor"/>
    </font>
    <font>
      <sz val="11.0"/>
      <color theme="1"/>
      <name val="Arial"/>
      <scheme val="minor"/>
    </font>
    <font>
      <b/>
      <sz val="42.0"/>
      <color rgb="FFFFFFFF"/>
      <name val="Orbitron"/>
    </font>
    <font>
      <b/>
      <sz val="24.0"/>
      <color rgb="FF000000"/>
      <name val="Comfortaa"/>
    </font>
    <font>
      <sz val="28.0"/>
      <color theme="1"/>
      <name val="Orbitron"/>
    </font>
    <font>
      <b/>
      <color theme="1"/>
      <name val="Orbitron"/>
    </font>
    <font>
      <b/>
      <sz val="17.0"/>
      <color rgb="FFFFFFFF"/>
      <name val="Comfortaa"/>
    </font>
    <font>
      <b/>
      <sz val="14.0"/>
      <color rgb="FF000000"/>
      <name val="Comfortaa"/>
    </font>
    <font>
      <b/>
      <sz val="18.0"/>
      <color rgb="FF000000"/>
      <name val="Comfortaa"/>
    </font>
    <font>
      <b/>
      <sz val="18.0"/>
      <color theme="1"/>
      <name val="Comfortaa"/>
    </font>
    <font>
      <b/>
      <sz val="15.0"/>
      <color theme="1"/>
      <name val="Comfortaa"/>
    </font>
    <font>
      <sz val="22.0"/>
      <color theme="1"/>
      <name val="Comfortaa"/>
    </font>
    <font>
      <sz val="17.0"/>
      <color theme="1"/>
      <name val="Comfortaa"/>
    </font>
    <font>
      <sz val="15.0"/>
      <color theme="1"/>
      <name val="Comfortaa"/>
    </font>
    <font>
      <sz val="14.0"/>
      <color rgb="FFFFFFFF"/>
      <name val="Comfortaa"/>
    </font>
    <font>
      <sz val="13.0"/>
      <color theme="1"/>
      <name val="Comfortaa"/>
    </font>
    <font>
      <color rgb="FF000000"/>
      <name val="Comfortaa"/>
    </font>
    <font>
      <sz val="11.0"/>
      <color rgb="FFFFFFFF"/>
      <name val="Arial"/>
      <scheme val="minor"/>
    </font>
    <font>
      <b/>
      <sz val="14.0"/>
      <color rgb="FFFFFFFF"/>
      <name val="Comfortaa"/>
    </font>
    <font>
      <b/>
      <sz val="11.0"/>
      <color rgb="FFFFFFFF"/>
      <name val="Comfortaa"/>
    </font>
    <font>
      <b/>
      <sz val="11.0"/>
      <color rgb="FF000000"/>
      <name val="Comfortaa"/>
    </font>
    <font>
      <sz val="11.0"/>
      <color rgb="FFFFFFFF"/>
      <name val="Comfortaa"/>
    </font>
    <font>
      <b/>
      <sz val="15.0"/>
      <color rgb="FFFFFFFF"/>
      <name val="Comfortaa"/>
    </font>
    <font>
      <sz val="15.0"/>
      <color theme="1"/>
      <name val="Arial"/>
      <scheme val="minor"/>
    </font>
    <font>
      <b/>
      <sz val="45.0"/>
      <color rgb="FFFFFFFF"/>
      <name val="Orbitron"/>
    </font>
    <font>
      <b/>
      <sz val="17.0"/>
      <color theme="1"/>
      <name val="Orbitron"/>
    </font>
    <font>
      <b/>
      <sz val="40.0"/>
      <color rgb="FFFFFFFF"/>
      <name val="Orbitron"/>
    </font>
    <font>
      <b/>
      <color rgb="FFFFFFFF"/>
      <name val="Orbitron"/>
    </font>
    <font>
      <b/>
      <sz val="19.0"/>
      <color theme="1"/>
      <name val="Orbitron"/>
    </font>
    <font>
      <b/>
      <sz val="18.0"/>
      <color rgb="FFFFFFFF"/>
      <name val="Comfortaa"/>
    </font>
    <font>
      <b/>
      <sz val="14.0"/>
      <color theme="1"/>
      <name val="Comfortaa"/>
    </font>
    <font>
      <b/>
      <sz val="16.0"/>
      <color rgb="FF000000"/>
      <name val="Comfortaa"/>
    </font>
    <font>
      <b/>
      <sz val="15.0"/>
      <color rgb="FF000000"/>
      <name val="Comfortaa"/>
    </font>
    <font>
      <b/>
      <color rgb="FF000000"/>
      <name val="Comfortaa"/>
    </font>
    <font>
      <b/>
      <color rgb="FF000000"/>
      <name val="Arial"/>
      <scheme val="minor"/>
    </font>
    <font>
      <sz val="9.0"/>
      <color theme="1"/>
      <name val="Arial"/>
      <scheme val="minor"/>
    </font>
    <font>
      <b/>
      <color rgb="FFFFFFFF"/>
      <name val="Comfortaa"/>
    </font>
    <font>
      <b/>
      <sz val="6.0"/>
      <color theme="1"/>
      <name val="Comfortaa"/>
    </font>
    <font>
      <b/>
      <sz val="8.0"/>
      <color theme="1"/>
      <name val="Comfortaa"/>
    </font>
    <font>
      <b/>
      <sz val="7.0"/>
      <color theme="1"/>
      <name val="Comfortaa"/>
    </font>
    <font>
      <b/>
      <sz val="5.0"/>
      <color theme="1"/>
      <name val="Comfortaa"/>
    </font>
    <font>
      <sz val="17.0"/>
      <color rgb="FFFFFFFF"/>
      <name val="Lexend"/>
    </font>
    <font>
      <sz val="15.0"/>
      <color rgb="FFFFFFFF"/>
      <name val="Lexend"/>
    </font>
    <font>
      <sz val="16.0"/>
      <color theme="1"/>
      <name val="Lexend"/>
    </font>
    <font>
      <b/>
      <sz val="16.0"/>
      <color rgb="FFFFFFFF"/>
      <name val="Comfortaa"/>
    </font>
    <font>
      <sz val="16.0"/>
      <color rgb="FFFFFFFF"/>
      <name val="Arial"/>
      <scheme val="minor"/>
    </font>
    <font>
      <sz val="14.0"/>
      <color rgb="FFFFFFFF"/>
      <name val="Arial"/>
      <scheme val="minor"/>
    </font>
    <font>
      <color rgb="FFFFFFFF"/>
      <name val="Lexend"/>
    </font>
    <font>
      <b/>
      <sz val="14.0"/>
      <color rgb="FFFFFFFF"/>
      <name val="Orbitron"/>
    </font>
    <font>
      <sz val="19.0"/>
      <color theme="1"/>
      <name val="Comfortaa"/>
    </font>
    <font>
      <b/>
      <sz val="20.0"/>
      <color rgb="FFFFFFFF"/>
      <name val="Orbitron"/>
    </font>
    <font>
      <b/>
      <sz val="12.0"/>
      <color rgb="FF000000"/>
      <name val="Comfortaa"/>
    </font>
    <font>
      <b/>
      <sz val="14.0"/>
      <color rgb="FF4285F4"/>
      <name val="Comfortaa"/>
    </font>
    <font>
      <sz val="13.0"/>
      <color rgb="FF000000"/>
      <name val="Comfortaa"/>
    </font>
    <font>
      <sz val="20.0"/>
      <color theme="1"/>
      <name val="Comfortaa"/>
    </font>
    <font>
      <b/>
      <sz val="14.0"/>
      <color theme="4"/>
      <name val="Comfortaa"/>
    </font>
    <font>
      <b/>
      <color rgb="FF3C78D8"/>
      <name val="Comfortaa"/>
    </font>
    <font>
      <sz val="13.0"/>
      <color theme="1"/>
      <name val="Arial"/>
      <scheme val="minor"/>
    </font>
    <font>
      <b/>
      <sz val="25.0"/>
      <color rgb="FFFFFFFF"/>
      <name val="Comfortaa"/>
    </font>
    <font>
      <color theme="1"/>
      <name val="Lexend"/>
    </font>
    <font>
      <sz val="18.0"/>
      <color rgb="FFFFFFFF"/>
      <name val="Lexend"/>
    </font>
    <font>
      <sz val="13.0"/>
      <color rgb="FFFFFFFF"/>
      <name val="Lexend"/>
    </font>
    <font>
      <b/>
      <color rgb="FFFFFFFF"/>
      <name val="Lexend"/>
    </font>
    <font>
      <sz val="12.0"/>
      <color theme="1"/>
      <name val="Lexend"/>
    </font>
    <font>
      <sz val="10.0"/>
      <color rgb="FFFFFFFF"/>
      <name val="Lexend"/>
    </font>
    <font>
      <sz val="11.0"/>
      <color rgb="FFFFFFFF"/>
      <name val="Lexend"/>
    </font>
    <font>
      <b/>
      <sz val="7.0"/>
      <color rgb="FF000000"/>
      <name val="Montserrat"/>
    </font>
    <font>
      <sz val="9.0"/>
      <color theme="1"/>
      <name val="Comfortaa"/>
    </font>
    <font>
      <sz val="12.0"/>
      <color rgb="FF000000"/>
      <name val="Comfortaa"/>
    </font>
    <font>
      <sz val="12.0"/>
      <color theme="1"/>
      <name val="Arial"/>
      <scheme val="minor"/>
    </font>
    <font>
      <b/>
      <sz val="14.0"/>
      <color theme="1"/>
      <name val="Orbitron"/>
    </font>
    <font>
      <color theme="1"/>
      <name val="Montserrat"/>
    </font>
    <font>
      <b/>
      <color theme="1"/>
      <name val="Montserrat"/>
    </font>
    <font>
      <b/>
      <sz val="11.0"/>
      <color theme="1"/>
      <name val="Montserrat"/>
    </font>
    <font>
      <b/>
      <sz val="50.0"/>
      <color theme="1"/>
      <name val="Orbitron"/>
    </font>
    <font>
      <b/>
      <color rgb="FFFFFFFF"/>
      <name val="Montserrat"/>
    </font>
    <font>
      <color theme="1"/>
      <name val="Orbitron"/>
    </font>
    <font>
      <b/>
      <sz val="12.0"/>
      <color theme="1"/>
      <name val="Montserrat"/>
    </font>
  </fonts>
  <fills count="39">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theme="0"/>
        <bgColor theme="0"/>
      </patternFill>
    </fill>
    <fill>
      <patternFill patternType="solid">
        <fgColor rgb="FFD9D9D9"/>
        <bgColor rgb="FFD9D9D9"/>
      </patternFill>
    </fill>
    <fill>
      <patternFill patternType="solid">
        <fgColor rgb="FFF3F3F3"/>
        <bgColor rgb="FFF3F3F3"/>
      </patternFill>
    </fill>
    <fill>
      <patternFill patternType="solid">
        <fgColor rgb="FF262626"/>
        <bgColor rgb="FF262626"/>
      </patternFill>
    </fill>
    <fill>
      <patternFill patternType="solid">
        <fgColor rgb="FFEFEFEF"/>
        <bgColor rgb="FFEFEFEF"/>
      </patternFill>
    </fill>
    <fill>
      <patternFill patternType="solid">
        <fgColor rgb="FF93C47D"/>
        <bgColor rgb="FF93C47D"/>
      </patternFill>
    </fill>
    <fill>
      <patternFill patternType="solid">
        <fgColor rgb="FFCC4125"/>
        <bgColor rgb="FFCC4125"/>
      </patternFill>
    </fill>
    <fill>
      <patternFill patternType="solid">
        <fgColor rgb="FF6D9EEB"/>
        <bgColor rgb="FF6D9EEB"/>
      </patternFill>
    </fill>
    <fill>
      <patternFill patternType="solid">
        <fgColor rgb="FF8E7CC3"/>
        <bgColor rgb="FF8E7CC3"/>
      </patternFill>
    </fill>
    <fill>
      <patternFill patternType="solid">
        <fgColor rgb="FFFFD966"/>
        <bgColor rgb="FFFFD966"/>
      </patternFill>
    </fill>
    <fill>
      <patternFill patternType="solid">
        <fgColor rgb="FFA7E1F6"/>
        <bgColor rgb="FFA7E1F6"/>
      </patternFill>
    </fill>
    <fill>
      <patternFill patternType="solid">
        <fgColor rgb="FFD4EDBC"/>
        <bgColor rgb="FFD4EDBC"/>
      </patternFill>
    </fill>
    <fill>
      <patternFill patternType="solid">
        <fgColor rgb="FFFFCFC9"/>
        <bgColor rgb="FFFFCFC9"/>
      </patternFill>
    </fill>
    <fill>
      <patternFill patternType="solid">
        <fgColor rgb="FFE6CFF2"/>
        <bgColor rgb="FFE6CFF2"/>
      </patternFill>
    </fill>
    <fill>
      <patternFill patternType="solid">
        <fgColor rgb="FFCCCCCC"/>
        <bgColor rgb="FFCCCCCC"/>
      </patternFill>
    </fill>
    <fill>
      <patternFill patternType="solid">
        <fgColor rgb="FFA4C2F4"/>
        <bgColor rgb="FFA4C2F4"/>
      </patternFill>
    </fill>
    <fill>
      <patternFill patternType="solid">
        <fgColor rgb="FFB6D7A8"/>
        <bgColor rgb="FFB6D7A8"/>
      </patternFill>
    </fill>
    <fill>
      <patternFill patternType="solid">
        <fgColor rgb="FFEA9999"/>
        <bgColor rgb="FFEA9999"/>
      </patternFill>
    </fill>
    <fill>
      <patternFill patternType="solid">
        <fgColor theme="4"/>
        <bgColor theme="4"/>
      </patternFill>
    </fill>
    <fill>
      <patternFill patternType="solid">
        <fgColor rgb="FF34A853"/>
        <bgColor rgb="FF34A853"/>
      </patternFill>
    </fill>
    <fill>
      <patternFill patternType="solid">
        <fgColor theme="5"/>
        <bgColor theme="5"/>
      </patternFill>
    </fill>
    <fill>
      <patternFill patternType="solid">
        <fgColor theme="7"/>
        <bgColor theme="7"/>
      </patternFill>
    </fill>
    <fill>
      <patternFill patternType="solid">
        <fgColor rgb="FFFF9900"/>
        <bgColor rgb="FFFF9900"/>
      </patternFill>
    </fill>
    <fill>
      <patternFill patternType="solid">
        <fgColor rgb="FFF9CB9C"/>
        <bgColor rgb="FFF9CB9C"/>
      </patternFill>
    </fill>
    <fill>
      <patternFill patternType="solid">
        <fgColor theme="6"/>
        <bgColor theme="6"/>
      </patternFill>
    </fill>
    <fill>
      <patternFill patternType="solid">
        <fgColor rgb="FFC27BA0"/>
        <bgColor rgb="FFC27BA0"/>
      </patternFill>
    </fill>
    <fill>
      <patternFill patternType="solid">
        <fgColor rgb="FFA64D79"/>
        <bgColor rgb="FFA64D79"/>
      </patternFill>
    </fill>
    <fill>
      <patternFill patternType="solid">
        <fgColor rgb="FF4285F4"/>
        <bgColor rgb="FF4285F4"/>
      </patternFill>
    </fill>
    <fill>
      <patternFill patternType="solid">
        <fgColor rgb="FFFBBC04"/>
        <bgColor rgb="FFFBBC04"/>
      </patternFill>
    </fill>
    <fill>
      <patternFill patternType="solid">
        <fgColor rgb="FF4A86E8"/>
        <bgColor rgb="FF4A86E8"/>
      </patternFill>
    </fill>
    <fill>
      <patternFill patternType="solid">
        <fgColor rgb="FFDEDEDE"/>
        <bgColor rgb="FFDEDEDE"/>
      </patternFill>
    </fill>
    <fill>
      <patternFill patternType="solid">
        <fgColor theme="1"/>
        <bgColor theme="1"/>
      </patternFill>
    </fill>
    <fill>
      <patternFill patternType="solid">
        <fgColor rgb="FFFFE599"/>
        <bgColor rgb="FFFFE599"/>
      </patternFill>
    </fill>
    <fill>
      <patternFill patternType="solid">
        <fgColor rgb="FFFFF2CC"/>
        <bgColor rgb="FFFFF2CC"/>
      </patternFill>
    </fill>
  </fills>
  <borders count="75">
    <border/>
    <border>
      <top style="thin">
        <color rgb="FF999999"/>
      </top>
      <bottom style="thin">
        <color rgb="FF999999"/>
      </bottom>
    </border>
    <border>
      <left style="double">
        <color rgb="FF999999"/>
      </left>
    </border>
    <border>
      <left style="hair">
        <color rgb="FF999999"/>
      </left>
      <right style="double">
        <color rgb="FF999999"/>
      </right>
    </border>
    <border>
      <left style="double">
        <color rgb="FF999999"/>
      </left>
      <bottom style="thin">
        <color rgb="FF999999"/>
      </bottom>
    </border>
    <border>
      <left style="hair">
        <color rgb="FF999999"/>
      </left>
      <right style="double">
        <color rgb="FF999999"/>
      </right>
      <bottom style="thin">
        <color rgb="FF999999"/>
      </bottom>
    </border>
    <border>
      <bottom style="thin">
        <color rgb="FF999999"/>
      </bottom>
    </border>
    <border>
      <right style="medium">
        <color rgb="FF999999"/>
      </right>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top style="medium">
        <color rgb="FF999999"/>
      </top>
    </border>
    <border>
      <left style="thick">
        <color rgb="FFFFFFFF"/>
      </left>
      <right style="thick">
        <color rgb="FFFFFFFF"/>
      </right>
    </border>
    <border>
      <bottom style="thin">
        <color rgb="FF000000"/>
      </bottom>
    </border>
    <border>
      <top style="thin">
        <color rgb="FFB7B7B7"/>
      </top>
      <bottom style="thin">
        <color rgb="FFB7B7B7"/>
      </bottom>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top style="thin">
        <color rgb="FFB7B7B7"/>
      </top>
    </border>
    <border>
      <bottom style="thin">
        <color rgb="FFB7B7B7"/>
      </bottom>
    </border>
    <border>
      <left style="thick">
        <color rgb="FFFFFFFF"/>
      </left>
    </border>
    <border>
      <left style="thin">
        <color rgb="FF000000"/>
      </left>
      <right style="thick">
        <color rgb="FFFFFFFF"/>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right style="thick">
        <color rgb="FF000000"/>
      </right>
      <bottom style="thin">
        <color rgb="FF000000"/>
      </bottom>
    </border>
    <border>
      <right style="thin">
        <color rgb="FF999999"/>
      </right>
    </border>
    <border>
      <left style="medium">
        <color rgb="FF999999"/>
      </left>
    </border>
    <border>
      <right style="thick">
        <color rgb="FF000000"/>
      </right>
    </border>
    <border>
      <right style="hair">
        <color rgb="FF999999"/>
      </right>
    </border>
    <border>
      <left style="thin">
        <color rgb="FF000000"/>
      </left>
      <right style="medium">
        <color rgb="FF000000"/>
      </right>
    </border>
    <border>
      <right style="double">
        <color rgb="FF000000"/>
      </right>
    </border>
    <border>
      <right style="hair">
        <color rgb="FF999999"/>
      </right>
      <bottom style="medium">
        <color rgb="FF000000"/>
      </bottom>
    </border>
    <border>
      <bottom style="medium">
        <color rgb="FF000000"/>
      </bottom>
    </border>
    <border>
      <right style="thin">
        <color rgb="FF999999"/>
      </right>
      <bottom style="medium">
        <color rgb="FF000000"/>
      </bottom>
    </border>
    <border>
      <left style="thin">
        <color rgb="FF000000"/>
      </left>
      <right style="medium">
        <color rgb="FF000000"/>
      </right>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999999"/>
      </left>
      <top style="medium">
        <color rgb="FF999999"/>
      </top>
    </border>
    <border>
      <right style="medium">
        <color rgb="FF999999"/>
      </right>
      <top style="medium">
        <color rgb="FF999999"/>
      </top>
    </border>
    <border>
      <left style="medium">
        <color rgb="FF999999"/>
      </left>
      <bottom style="medium">
        <color rgb="FF999999"/>
      </bottom>
    </border>
    <border>
      <bottom style="medium">
        <color rgb="FF999999"/>
      </bottom>
    </border>
    <border>
      <right style="medium">
        <color rgb="FF999999"/>
      </right>
      <bottom style="medium">
        <color rgb="FF999999"/>
      </bottom>
    </border>
    <border>
      <bottom style="medium">
        <color rgb="FFFFFFFF"/>
      </bottom>
    </border>
    <border>
      <right style="double">
        <color rgb="FF000000"/>
      </right>
      <bottom style="thin">
        <color rgb="FF000000"/>
      </bottom>
    </border>
    <border>
      <left style="thin">
        <color rgb="FF999999"/>
      </left>
      <right style="thin">
        <color rgb="FF999999"/>
      </right>
    </border>
    <border>
      <left style="double">
        <color rgb="FF000000"/>
      </left>
      <right style="double">
        <color rgb="FF000000"/>
      </right>
      <top style="thin">
        <color rgb="FF000000"/>
      </top>
      <bottom style="thin">
        <color rgb="FF000000"/>
      </bottom>
    </border>
    <border>
      <left style="thin">
        <color rgb="FF999999"/>
      </left>
      <right style="thin">
        <color rgb="FF999999"/>
      </right>
      <bottom style="thin">
        <color rgb="FF999999"/>
      </bottom>
    </border>
    <border>
      <right style="thin">
        <color rgb="FF999999"/>
      </right>
      <bottom style="thin">
        <color rgb="FF999999"/>
      </bottom>
    </border>
    <border>
      <right style="thin">
        <color rgb="FF000000"/>
      </right>
      <bottom style="thin">
        <color rgb="FF999999"/>
      </bottom>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right style="thick">
        <color rgb="FF000000"/>
      </right>
      <bottom style="medium">
        <color rgb="FF000000"/>
      </bottom>
    </border>
    <border>
      <bottom style="thick">
        <color rgb="FF000000"/>
      </bottom>
    </border>
    <border>
      <right style="thick">
        <color rgb="FF000000"/>
      </right>
      <bottom style="thick">
        <color rgb="FF000000"/>
      </bottom>
    </border>
    <border>
      <top style="thin">
        <color rgb="FF999999"/>
      </top>
    </border>
    <border>
      <left style="thin">
        <color rgb="FF999999"/>
      </left>
    </border>
    <border>
      <left style="thin">
        <color rgb="FF999999"/>
      </left>
      <bottom style="thin">
        <color rgb="FF999999"/>
      </bottom>
    </border>
    <border>
      <left style="thin">
        <color rgb="FF999999"/>
      </left>
      <right style="thin">
        <color rgb="FF999999"/>
      </right>
      <bottom style="medium">
        <color rgb="FF999999"/>
      </bottom>
    </border>
  </borders>
  <cellStyleXfs count="1">
    <xf borderId="0" fillId="0" fontId="0" numFmtId="0" applyAlignment="1" applyFont="1"/>
  </cellStyleXfs>
  <cellXfs count="730">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Alignment="1" applyFill="1" applyFont="1">
      <alignment horizontal="center" readingOrder="0" vertical="center"/>
    </xf>
    <xf borderId="0" fillId="2" fontId="1" numFmtId="0" xfId="0" applyAlignment="1" applyFont="1">
      <alignment horizontal="right" vertical="center"/>
    </xf>
    <xf borderId="0" fillId="2" fontId="1" numFmtId="0" xfId="0" applyFont="1"/>
    <xf borderId="0" fillId="2" fontId="3" numFmtId="0" xfId="0" applyAlignment="1" applyFont="1">
      <alignment horizontal="center" readingOrder="0" shrinkToFit="0" wrapText="1"/>
    </xf>
    <xf borderId="0" fillId="2" fontId="3" numFmtId="0" xfId="0" applyAlignment="1" applyFont="1">
      <alignment horizontal="center" readingOrder="0" shrinkToFit="0" vertical="top" wrapText="1"/>
    </xf>
    <xf borderId="0" fillId="2" fontId="4" numFmtId="0" xfId="0" applyAlignment="1" applyFont="1">
      <alignment horizontal="center" readingOrder="0" vertical="top"/>
    </xf>
    <xf borderId="0" fillId="4" fontId="5" numFmtId="0" xfId="0" applyAlignment="1" applyFill="1" applyFont="1">
      <alignment horizontal="center" readingOrder="0" vertical="center"/>
    </xf>
    <xf borderId="0" fillId="3" fontId="6" numFmtId="0" xfId="0" applyAlignment="1" applyFont="1">
      <alignment horizontal="center" readingOrder="0" shrinkToFit="0" vertical="center" wrapText="1"/>
    </xf>
    <xf borderId="0" fillId="2" fontId="7" numFmtId="164" xfId="0" applyAlignment="1" applyFont="1" applyNumberFormat="1">
      <alignment horizontal="center" readingOrder="0" shrinkToFit="0" vertical="center" wrapText="1"/>
    </xf>
    <xf borderId="0" fillId="4" fontId="6" numFmtId="0" xfId="0" applyAlignment="1" applyFont="1">
      <alignment horizontal="center" readingOrder="0" vertical="center"/>
    </xf>
    <xf borderId="0" fillId="3" fontId="8" numFmtId="0" xfId="0" applyAlignment="1" applyFont="1">
      <alignment horizontal="center" readingOrder="0" vertical="center"/>
    </xf>
    <xf borderId="0" fillId="2" fontId="9" numFmtId="0" xfId="0" applyAlignment="1" applyFont="1">
      <alignment horizontal="center" readingOrder="0" vertical="center"/>
    </xf>
    <xf borderId="1" fillId="4" fontId="10" numFmtId="0" xfId="0" applyAlignment="1" applyBorder="1" applyFont="1">
      <alignment horizontal="center" readingOrder="0" shrinkToFit="0" vertical="center" wrapText="1"/>
    </xf>
    <xf borderId="2" fillId="2" fontId="11" numFmtId="0" xfId="0" applyAlignment="1" applyBorder="1" applyFont="1">
      <alignment horizontal="center" readingOrder="0" shrinkToFit="0" vertical="center" wrapText="1"/>
    </xf>
    <xf borderId="3" fillId="2" fontId="12" numFmtId="0" xfId="0" applyAlignment="1" applyBorder="1" applyFont="1">
      <alignment horizontal="center" readingOrder="0" shrinkToFit="0" vertical="center" wrapText="1"/>
    </xf>
    <xf borderId="0" fillId="2" fontId="12" numFmtId="0" xfId="0" applyAlignment="1" applyFont="1">
      <alignment horizontal="center" readingOrder="0" shrinkToFit="0" vertical="center" wrapText="1"/>
    </xf>
    <xf borderId="3" fillId="2" fontId="11" numFmtId="0" xfId="0" applyAlignment="1" applyBorder="1" applyFont="1">
      <alignment horizontal="center" readingOrder="0" shrinkToFit="0" vertical="center" wrapText="1"/>
    </xf>
    <xf borderId="3" fillId="2" fontId="11"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0" fillId="2" fontId="11" numFmtId="0" xfId="0" applyAlignment="1" applyFont="1">
      <alignment horizontal="center" shrinkToFit="0" vertical="center" wrapText="1"/>
    </xf>
    <xf borderId="0" fillId="2" fontId="13" numFmtId="0" xfId="0" applyAlignment="1" applyFont="1">
      <alignment horizontal="center" shrinkToFit="0" vertical="center" wrapText="1"/>
    </xf>
    <xf borderId="3" fillId="2" fontId="14" numFmtId="0" xfId="0" applyAlignment="1" applyBorder="1" applyFont="1">
      <alignment horizontal="center" shrinkToFit="0" vertical="center" wrapText="1"/>
    </xf>
    <xf borderId="4" fillId="2" fontId="11" numFmtId="0" xfId="0" applyAlignment="1" applyBorder="1" applyFont="1">
      <alignment horizontal="center" shrinkToFit="0" vertical="center" wrapText="1"/>
    </xf>
    <xf borderId="5" fillId="2" fontId="11" numFmtId="0" xfId="0" applyAlignment="1" applyBorder="1" applyFont="1">
      <alignment horizontal="center" shrinkToFit="0" vertical="center" wrapText="1"/>
    </xf>
    <xf borderId="6" fillId="2" fontId="11" numFmtId="0" xfId="0" applyAlignment="1" applyBorder="1" applyFont="1">
      <alignment horizontal="center" shrinkToFit="0" vertical="center" wrapText="1"/>
    </xf>
    <xf borderId="0" fillId="2" fontId="1" numFmtId="0" xfId="0" applyAlignment="1" applyFont="1">
      <alignment readingOrder="0"/>
    </xf>
    <xf borderId="0" fillId="0" fontId="1" numFmtId="0" xfId="0" applyAlignment="1" applyFont="1">
      <alignment shrinkToFit="0" vertical="center" wrapText="1"/>
    </xf>
    <xf borderId="0" fillId="2" fontId="1"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5" fontId="16" numFmtId="0" xfId="0" applyAlignment="1" applyFill="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7" fillId="0" fontId="18" numFmtId="0" xfId="0" applyBorder="1" applyFont="1"/>
    <xf borderId="8" fillId="6" fontId="19" numFmtId="0" xfId="0" applyAlignment="1" applyBorder="1" applyFill="1" applyFont="1">
      <alignment horizontal="center" readingOrder="0" shrinkToFit="0" vertical="center" wrapText="1"/>
    </xf>
    <xf borderId="9" fillId="6" fontId="19" numFmtId="0" xfId="0" applyAlignment="1" applyBorder="1" applyFont="1">
      <alignment horizontal="center" readingOrder="0" shrinkToFit="0" vertical="center" wrapText="1"/>
    </xf>
    <xf borderId="9" fillId="0" fontId="18" numFmtId="0" xfId="0" applyBorder="1" applyFont="1"/>
    <xf borderId="10" fillId="0" fontId="18" numFmtId="0" xfId="0" applyBorder="1" applyFont="1"/>
    <xf borderId="11" fillId="2" fontId="20" numFmtId="0" xfId="0" applyBorder="1" applyFont="1"/>
    <xf borderId="11" fillId="2" fontId="21" numFmtId="0" xfId="0" applyAlignment="1" applyBorder="1" applyFont="1">
      <alignment horizontal="center" shrinkToFit="0" wrapText="1"/>
    </xf>
    <xf borderId="11" fillId="2" fontId="22" numFmtId="0" xfId="0" applyAlignment="1" applyBorder="1" applyFont="1">
      <alignment horizontal="center" shrinkToFit="0" wrapText="1"/>
    </xf>
    <xf borderId="0" fillId="4" fontId="23" numFmtId="0" xfId="0" applyAlignment="1" applyFont="1">
      <alignment horizontal="center" shrinkToFit="0" wrapText="1"/>
    </xf>
    <xf borderId="0" fillId="7" fontId="21" numFmtId="0" xfId="0" applyAlignment="1" applyFill="1" applyFont="1">
      <alignment horizontal="center" shrinkToFit="0" wrapText="1"/>
    </xf>
    <xf borderId="0" fillId="7" fontId="22" numFmtId="0" xfId="0" applyAlignment="1" applyFont="1">
      <alignment horizontal="center" shrinkToFit="0" wrapText="1"/>
    </xf>
    <xf borderId="0" fillId="7" fontId="24" numFmtId="0" xfId="0" applyAlignment="1" applyFont="1">
      <alignment horizontal="center" shrinkToFit="0" wrapText="1"/>
    </xf>
    <xf borderId="0" fillId="7" fontId="25" numFmtId="0" xfId="0" applyAlignment="1" applyFont="1">
      <alignment horizontal="center" shrinkToFit="0" wrapText="1"/>
    </xf>
    <xf borderId="0" fillId="7" fontId="26" numFmtId="0" xfId="0" applyAlignment="1" applyFont="1">
      <alignment horizontal="center" shrinkToFit="0" vertical="center" wrapText="1"/>
    </xf>
    <xf borderId="0" fillId="2" fontId="20" numFmtId="0" xfId="0" applyFont="1"/>
    <xf borderId="0" fillId="2" fontId="21" numFmtId="0" xfId="0" applyAlignment="1" applyFont="1">
      <alignment horizontal="center" shrinkToFit="0" wrapText="1"/>
    </xf>
    <xf borderId="0" fillId="2" fontId="22" numFmtId="0" xfId="0" applyAlignment="1" applyFont="1">
      <alignment horizontal="center" shrinkToFit="0" wrapText="1"/>
    </xf>
    <xf borderId="0" fillId="2" fontId="24" numFmtId="0" xfId="0" applyAlignment="1" applyFont="1">
      <alignment horizontal="center"/>
    </xf>
    <xf borderId="0" fillId="2" fontId="27" numFmtId="0" xfId="0" applyAlignment="1" applyFont="1">
      <alignment horizontal="center" readingOrder="0" shrinkToFit="0" wrapText="1"/>
    </xf>
    <xf borderId="0" fillId="2" fontId="20" numFmtId="0" xfId="0" applyFont="1"/>
    <xf borderId="0" fillId="7" fontId="20" numFmtId="0" xfId="0" applyFont="1"/>
    <xf borderId="0" fillId="7" fontId="24" numFmtId="0" xfId="0" applyAlignment="1" applyFont="1">
      <alignment horizontal="center" shrinkToFit="0" wrapText="1"/>
    </xf>
    <xf borderId="0" fillId="7" fontId="28" numFmtId="0" xfId="0" applyAlignment="1" applyFont="1">
      <alignment horizontal="center" shrinkToFit="0" vertical="center" wrapText="1"/>
    </xf>
    <xf borderId="0" fillId="2" fontId="26" numFmtId="0" xfId="0" applyAlignment="1" applyFont="1">
      <alignment horizontal="center" shrinkToFit="0" vertical="center" wrapText="1"/>
    </xf>
    <xf borderId="0" fillId="4" fontId="23" numFmtId="0" xfId="0" applyAlignment="1" applyFont="1">
      <alignment horizontal="center" shrinkToFit="0" wrapText="1"/>
    </xf>
    <xf borderId="0" fillId="7" fontId="24" numFmtId="0" xfId="0" applyAlignment="1" applyFont="1">
      <alignment horizontal="center"/>
    </xf>
    <xf borderId="0" fillId="7" fontId="29" numFmtId="0" xfId="0" applyAlignment="1" applyFont="1">
      <alignment horizontal="center" readingOrder="0" shrinkToFit="0" wrapText="1"/>
    </xf>
    <xf borderId="0" fillId="7" fontId="20" numFmtId="0" xfId="0" applyFont="1"/>
    <xf borderId="0" fillId="2" fontId="21" numFmtId="0" xfId="0" applyAlignment="1" applyFont="1">
      <alignment horizontal="center" shrinkToFit="0" wrapText="1"/>
    </xf>
    <xf borderId="0" fillId="2" fontId="22" numFmtId="0" xfId="0" applyAlignment="1" applyFont="1">
      <alignment horizontal="center" shrinkToFit="0" wrapText="1"/>
    </xf>
    <xf borderId="0" fillId="7" fontId="21" numFmtId="0" xfId="0" applyAlignment="1" applyFont="1">
      <alignment horizontal="center" shrinkToFit="0" wrapText="1"/>
    </xf>
    <xf borderId="0" fillId="2" fontId="13" numFmtId="0" xfId="0" applyAlignment="1" applyFont="1">
      <alignment horizontal="center" shrinkToFit="0" vertical="center" wrapText="1"/>
    </xf>
    <xf borderId="0" fillId="2" fontId="22" numFmtId="0" xfId="0" applyAlignment="1" applyFont="1">
      <alignment horizontal="center" shrinkToFit="0" vertical="center" wrapText="1"/>
    </xf>
    <xf borderId="0" fillId="7" fontId="13" numFmtId="0" xfId="0" applyAlignment="1" applyFont="1">
      <alignment horizontal="center" shrinkToFit="0" vertical="center" wrapText="1"/>
    </xf>
    <xf borderId="0" fillId="7" fontId="22" numFmtId="0" xfId="0" applyAlignment="1" applyFont="1">
      <alignment horizontal="center" shrinkToFit="0" vertical="center" wrapText="1"/>
    </xf>
    <xf borderId="0" fillId="7" fontId="26" numFmtId="0" xfId="0" applyAlignment="1" applyFont="1">
      <alignment shrinkToFit="0" vertical="center" wrapText="1"/>
    </xf>
    <xf borderId="0" fillId="7" fontId="13" numFmtId="0" xfId="0" applyAlignment="1" applyFont="1">
      <alignment shrinkToFit="0" vertical="center" wrapText="1"/>
    </xf>
    <xf borderId="0" fillId="7" fontId="22" numFmtId="0" xfId="0" applyAlignment="1" applyFont="1">
      <alignment shrinkToFit="0" vertical="center" wrapText="1"/>
    </xf>
    <xf borderId="0" fillId="2" fontId="26" numFmtId="0" xfId="0" applyAlignment="1" applyFont="1">
      <alignment shrinkToFit="0" vertical="center" wrapText="1"/>
    </xf>
    <xf borderId="0" fillId="2" fontId="13" numFmtId="0" xfId="0" applyAlignment="1" applyFont="1">
      <alignment shrinkToFit="0" vertical="center" wrapText="1"/>
    </xf>
    <xf borderId="0" fillId="2" fontId="22" numFmtId="0" xfId="0" applyAlignment="1" applyFont="1">
      <alignment shrinkToFit="0" vertical="center" wrapText="1"/>
    </xf>
    <xf borderId="0" fillId="2" fontId="1" numFmtId="0" xfId="0" applyAlignment="1" applyFont="1">
      <alignment shrinkToFit="0" vertical="center" wrapText="1"/>
    </xf>
    <xf borderId="0" fillId="2" fontId="1" numFmtId="0" xfId="0" applyAlignment="1" applyFont="1">
      <alignment horizontal="center" vertical="center"/>
    </xf>
    <xf borderId="12" fillId="4" fontId="1" numFmtId="0" xfId="0" applyBorder="1" applyFont="1"/>
    <xf borderId="0" fillId="8" fontId="1" numFmtId="0" xfId="0" applyFill="1" applyFont="1"/>
    <xf borderId="0" fillId="8" fontId="30" numFmtId="0" xfId="0" applyAlignment="1" applyFont="1">
      <alignment horizontal="center" readingOrder="0" vertical="center"/>
    </xf>
    <xf borderId="13" fillId="2" fontId="12" numFmtId="0" xfId="0" applyAlignment="1" applyBorder="1" applyFont="1">
      <alignment horizontal="center" readingOrder="0" shrinkToFit="0" vertical="center" wrapText="1"/>
    </xf>
    <xf borderId="0" fillId="0" fontId="21" numFmtId="0" xfId="0" applyAlignment="1" applyFont="1">
      <alignment horizontal="center" shrinkToFit="0" vertical="center" wrapText="1"/>
    </xf>
    <xf borderId="0" fillId="2" fontId="31" numFmtId="0" xfId="0" applyAlignment="1" applyFont="1">
      <alignment horizontal="left" readingOrder="0" vertical="center"/>
    </xf>
    <xf borderId="0" fillId="2" fontId="32" numFmtId="0" xfId="0" applyAlignment="1" applyFont="1">
      <alignment horizontal="center" readingOrder="0" shrinkToFit="0" vertical="center" wrapText="1"/>
    </xf>
    <xf borderId="0" fillId="2" fontId="33" numFmtId="0" xfId="0" applyAlignment="1" applyFont="1">
      <alignment horizontal="center" readingOrder="0" shrinkToFit="0" vertical="center" wrapText="1"/>
    </xf>
    <xf borderId="0" fillId="2" fontId="34" numFmtId="0" xfId="0" applyAlignment="1" applyFont="1">
      <alignment horizontal="center" readingOrder="0" shrinkToFit="0" vertical="center" wrapText="1"/>
    </xf>
    <xf borderId="0" fillId="2" fontId="21" numFmtId="10" xfId="0" applyAlignment="1" applyFont="1" applyNumberFormat="1">
      <alignment horizontal="center" shrinkToFit="0" vertical="center" wrapText="1"/>
    </xf>
    <xf borderId="0" fillId="3" fontId="30" numFmtId="0" xfId="0" applyAlignment="1" applyFont="1">
      <alignment horizontal="center" readingOrder="0" vertical="center"/>
    </xf>
    <xf borderId="0" fillId="2" fontId="12" numFmtId="0" xfId="0" applyAlignment="1" applyFont="1">
      <alignment horizontal="center" readingOrder="0" vertical="center"/>
    </xf>
    <xf borderId="0" fillId="3" fontId="5" numFmtId="0" xfId="0" applyAlignment="1" applyFont="1">
      <alignment horizontal="center" readingOrder="0" vertical="center"/>
    </xf>
    <xf borderId="0" fillId="3" fontId="35" numFmtId="0" xfId="0" applyAlignment="1" applyFont="1">
      <alignment horizontal="center" readingOrder="0" vertical="center"/>
    </xf>
    <xf borderId="0" fillId="3" fontId="5" numFmtId="0" xfId="0" applyAlignment="1" applyFont="1">
      <alignment horizontal="center" readingOrder="0" shrinkToFit="0" vertical="center" wrapText="1"/>
    </xf>
    <xf borderId="0" fillId="3" fontId="36" numFmtId="0" xfId="0" applyFont="1"/>
    <xf borderId="0" fillId="2" fontId="21" numFmtId="2" xfId="0" applyAlignment="1" applyFont="1" applyNumberFormat="1">
      <alignment horizontal="center" shrinkToFit="0" vertical="center" wrapText="1"/>
    </xf>
    <xf borderId="0" fillId="3" fontId="37" numFmtId="0" xfId="0" applyAlignment="1" applyFont="1">
      <alignment horizontal="center" readingOrder="0" vertical="center"/>
    </xf>
    <xf borderId="0" fillId="3" fontId="38" numFmtId="0" xfId="0" applyAlignment="1" applyFont="1">
      <alignment horizontal="center" readingOrder="0" shrinkToFit="0" vertical="center" wrapText="1"/>
    </xf>
    <xf borderId="0" fillId="2" fontId="39" numFmtId="0" xfId="0" applyAlignment="1" applyFont="1">
      <alignment horizontal="center" readingOrder="0" vertical="center"/>
    </xf>
    <xf borderId="0" fillId="2" fontId="40" numFmtId="0" xfId="0" applyAlignment="1" applyFont="1">
      <alignment horizontal="center" readingOrder="0" vertical="center"/>
    </xf>
    <xf borderId="0" fillId="0" fontId="41" numFmtId="164" xfId="0" applyAlignment="1" applyFont="1" applyNumberFormat="1">
      <alignment horizontal="center" readingOrder="0" vertical="center"/>
    </xf>
    <xf borderId="0" fillId="9" fontId="41" numFmtId="10" xfId="0" applyAlignment="1" applyFill="1" applyFont="1" applyNumberFormat="1">
      <alignment horizontal="center" readingOrder="0" vertical="center"/>
    </xf>
    <xf borderId="0" fillId="3" fontId="42" numFmtId="0" xfId="0" applyFont="1"/>
    <xf borderId="0" fillId="2" fontId="43" numFmtId="0" xfId="0" applyAlignment="1" applyFont="1">
      <alignment readingOrder="0"/>
    </xf>
    <xf borderId="0" fillId="2" fontId="39" numFmtId="164" xfId="0" applyAlignment="1" applyFont="1" applyNumberFormat="1">
      <alignment horizontal="center" readingOrder="0" vertical="center"/>
    </xf>
    <xf borderId="0" fillId="2" fontId="40" numFmtId="164" xfId="0" applyAlignment="1" applyFont="1" applyNumberFormat="1">
      <alignment horizontal="center" readingOrder="0" vertical="center"/>
    </xf>
    <xf borderId="14" fillId="8" fontId="44" numFmtId="0" xfId="0" applyAlignment="1" applyBorder="1" applyFont="1">
      <alignment horizontal="center" readingOrder="0" vertical="center"/>
    </xf>
    <xf borderId="14" fillId="0" fontId="18" numFmtId="0" xfId="0" applyBorder="1" applyFont="1"/>
    <xf borderId="0" fillId="0" fontId="1" numFmtId="0" xfId="0" applyFont="1"/>
    <xf borderId="13" fillId="2" fontId="12" numFmtId="0" xfId="0" applyAlignment="1" applyBorder="1" applyFont="1">
      <alignment horizontal="left" readingOrder="0" shrinkToFit="0" vertical="center" wrapText="0"/>
    </xf>
    <xf borderId="13" fillId="2" fontId="12" numFmtId="0" xfId="0" applyAlignment="1" applyBorder="1" applyFont="1">
      <alignment horizontal="center" readingOrder="0" vertical="center"/>
    </xf>
    <xf borderId="0" fillId="3" fontId="45" numFmtId="0" xfId="0" applyAlignment="1" applyFont="1">
      <alignment horizontal="center" readingOrder="0" vertical="center"/>
    </xf>
    <xf borderId="0" fillId="0" fontId="46" numFmtId="0" xfId="0" applyAlignment="1" applyFont="1">
      <alignment horizontal="left" readingOrder="0" vertical="center"/>
    </xf>
    <xf borderId="0" fillId="2" fontId="12" numFmtId="0" xfId="0" applyAlignment="1" applyFont="1">
      <alignment horizontal="left" readingOrder="0" shrinkToFit="0" vertical="center" wrapText="0"/>
    </xf>
    <xf borderId="0" fillId="2" fontId="47" numFmtId="0" xfId="0" applyAlignment="1" applyFont="1">
      <alignment horizontal="center"/>
    </xf>
    <xf borderId="0" fillId="8" fontId="48" numFmtId="0" xfId="0" applyAlignment="1" applyFont="1">
      <alignment horizontal="center" readingOrder="0" shrinkToFit="0" vertical="center" wrapText="1"/>
    </xf>
    <xf borderId="13" fillId="2" fontId="49" numFmtId="0" xfId="0" applyAlignment="1" applyBorder="1" applyFont="1">
      <alignment horizontal="center" readingOrder="0" shrinkToFit="0" vertical="center" wrapText="1"/>
    </xf>
    <xf borderId="13" fillId="9" fontId="50" numFmtId="165" xfId="0" applyAlignment="1" applyBorder="1" applyFont="1" applyNumberFormat="1">
      <alignment horizontal="center" readingOrder="0" vertical="center"/>
    </xf>
    <xf borderId="13" fillId="0" fontId="24" numFmtId="1" xfId="0" applyAlignment="1" applyBorder="1" applyFont="1" applyNumberFormat="1">
      <alignment horizontal="center" readingOrder="0" shrinkToFit="0" vertical="center" wrapText="1"/>
    </xf>
    <xf borderId="0" fillId="0" fontId="51" numFmtId="0" xfId="0" applyAlignment="1" applyFont="1">
      <alignment readingOrder="0"/>
    </xf>
    <xf borderId="0" fillId="0" fontId="24" numFmtId="0" xfId="0" applyAlignment="1" applyFont="1">
      <alignment horizontal="center" shrinkToFit="0" vertical="center" wrapText="1"/>
    </xf>
    <xf borderId="0" fillId="0" fontId="43" numFmtId="1" xfId="0" applyAlignment="1" applyFont="1" applyNumberFormat="1">
      <alignment horizontal="center" readingOrder="0" shrinkToFit="0" vertical="center" wrapText="1"/>
    </xf>
    <xf borderId="0" fillId="2" fontId="43" numFmtId="0" xfId="0" applyAlignment="1" applyFont="1">
      <alignment horizontal="center" readingOrder="0"/>
    </xf>
    <xf borderId="0" fillId="2" fontId="21" numFmtId="2" xfId="0" applyAlignment="1" applyFont="1" applyNumberFormat="1">
      <alignment horizontal="center" readingOrder="0" shrinkToFit="0" vertical="center" wrapText="1"/>
    </xf>
    <xf borderId="0" fillId="2" fontId="52" numFmtId="0" xfId="0" applyAlignment="1" applyFont="1">
      <alignment horizontal="center" readingOrder="0" shrinkToFit="0" vertical="center" wrapText="1"/>
    </xf>
    <xf borderId="0" fillId="2" fontId="24" numFmtId="0" xfId="0" applyAlignment="1" applyFont="1">
      <alignment horizontal="center" readingOrder="0" shrinkToFit="0" vertical="center" wrapText="1"/>
    </xf>
    <xf borderId="0" fillId="2" fontId="53" numFmtId="0" xfId="0" applyAlignment="1" applyFont="1">
      <alignment horizontal="center" readingOrder="0" shrinkToFit="0" vertical="center" wrapText="1"/>
    </xf>
    <xf borderId="0" fillId="2" fontId="54" numFmtId="0" xfId="0" applyAlignment="1" applyFont="1">
      <alignment horizontal="center" readingOrder="0" shrinkToFit="0" vertical="center" wrapText="1"/>
    </xf>
    <xf borderId="0" fillId="2" fontId="55" numFmtId="0" xfId="0" applyAlignment="1" applyFont="1">
      <alignment horizontal="center" readingOrder="0" shrinkToFit="0" vertical="center" wrapText="1"/>
    </xf>
    <xf borderId="0" fillId="2" fontId="55" numFmtId="0" xfId="0" applyAlignment="1" applyFont="1">
      <alignment horizontal="center" shrinkToFit="0" vertical="center" wrapText="1"/>
    </xf>
    <xf borderId="0" fillId="4" fontId="1" numFmtId="0" xfId="0" applyFont="1"/>
    <xf borderId="0" fillId="0" fontId="24" numFmtId="0" xfId="0" applyAlignment="1" applyFont="1">
      <alignment horizontal="left" readingOrder="0" shrinkToFit="0" vertical="center" wrapText="1"/>
    </xf>
    <xf borderId="0" fillId="0" fontId="24" numFmtId="0" xfId="0" applyAlignment="1" applyFont="1">
      <alignment horizontal="center" readingOrder="0" vertical="center"/>
    </xf>
    <xf borderId="15" fillId="0" fontId="26" numFmtId="165" xfId="0" applyAlignment="1" applyBorder="1" applyFont="1" applyNumberFormat="1">
      <alignment horizontal="center" shrinkToFit="0" vertical="center" wrapText="1"/>
    </xf>
    <xf borderId="16" fillId="0" fontId="26" numFmtId="165" xfId="0" applyAlignment="1" applyBorder="1" applyFont="1" applyNumberFormat="1">
      <alignment horizontal="center" shrinkToFit="0" vertical="center" wrapText="1"/>
    </xf>
    <xf borderId="0" fillId="0" fontId="1" numFmtId="165" xfId="0" applyAlignment="1" applyFont="1" applyNumberFormat="1">
      <alignment horizontal="center" shrinkToFit="0" vertical="center" wrapText="1"/>
    </xf>
    <xf borderId="0" fillId="2" fontId="26" numFmtId="0" xfId="0" applyAlignment="1" applyFont="1">
      <alignment horizontal="center" readingOrder="0" shrinkToFit="0" vertical="center" wrapText="1"/>
    </xf>
    <xf borderId="0" fillId="10" fontId="1" numFmtId="0" xfId="0" applyFill="1" applyFont="1"/>
    <xf borderId="0" fillId="11" fontId="1" numFmtId="0" xfId="0" applyFill="1" applyFont="1"/>
    <xf borderId="0" fillId="12" fontId="1" numFmtId="0" xfId="0" applyFill="1" applyFont="1"/>
    <xf borderId="0" fillId="13" fontId="1" numFmtId="0" xfId="0" applyFill="1" applyFont="1"/>
    <xf borderId="0" fillId="14" fontId="1" numFmtId="0" xfId="0" applyFill="1" applyFont="1"/>
    <xf borderId="0" fillId="15" fontId="1" numFmtId="0" xfId="0" applyFill="1" applyFont="1"/>
    <xf borderId="13" fillId="0" fontId="24" numFmtId="0" xfId="0" applyAlignment="1" applyBorder="1" applyFont="1">
      <alignment horizontal="center" readingOrder="0" vertical="center"/>
    </xf>
    <xf borderId="17" fillId="0" fontId="26" numFmtId="165" xfId="0" applyAlignment="1" applyBorder="1" applyFont="1" applyNumberFormat="1">
      <alignment horizontal="center" shrinkToFit="0" vertical="center" wrapText="1"/>
    </xf>
    <xf borderId="18" fillId="0" fontId="26" numFmtId="165" xfId="0" applyAlignment="1" applyBorder="1" applyFont="1" applyNumberFormat="1">
      <alignment horizontal="center" shrinkToFit="0" vertical="center" wrapText="1"/>
    </xf>
    <xf borderId="13" fillId="2" fontId="12" numFmtId="0" xfId="0" applyAlignment="1" applyBorder="1" applyFont="1">
      <alignment horizontal="left" readingOrder="0" vertical="center"/>
    </xf>
    <xf borderId="0" fillId="16" fontId="1" numFmtId="0" xfId="0" applyFill="1" applyFont="1"/>
    <xf borderId="0" fillId="4" fontId="56" numFmtId="0" xfId="0" applyAlignment="1" applyFont="1">
      <alignment horizontal="left" readingOrder="0" vertical="center"/>
    </xf>
    <xf borderId="17" fillId="0" fontId="26" numFmtId="0" xfId="0" applyAlignment="1" applyBorder="1" applyFont="1">
      <alignment horizontal="center" readingOrder="0" shrinkToFit="0" vertical="center" wrapText="1"/>
    </xf>
    <xf borderId="17" fillId="0" fontId="21" numFmtId="2" xfId="0" applyAlignment="1" applyBorder="1" applyFont="1" applyNumberFormat="1">
      <alignment horizontal="center" shrinkToFit="0" vertical="center" wrapText="1"/>
    </xf>
    <xf borderId="18" fillId="0" fontId="21" numFmtId="2" xfId="0" applyAlignment="1" applyBorder="1" applyFont="1" applyNumberFormat="1">
      <alignment horizontal="center" shrinkToFit="0" vertical="center" wrapText="1"/>
    </xf>
    <xf borderId="0" fillId="0" fontId="1" numFmtId="2" xfId="0" applyFont="1" applyNumberFormat="1"/>
    <xf borderId="0" fillId="17" fontId="1" numFmtId="0" xfId="0" applyFill="1" applyFont="1"/>
    <xf borderId="0" fillId="4" fontId="56" numFmtId="0" xfId="0" applyAlignment="1" applyFont="1">
      <alignment readingOrder="0" shrinkToFit="0" vertical="center" wrapText="1"/>
    </xf>
    <xf borderId="0" fillId="0" fontId="57" numFmtId="0" xfId="0" applyAlignment="1" applyFont="1">
      <alignment horizontal="center" readingOrder="0" shrinkToFit="0" vertical="center" wrapText="1"/>
    </xf>
    <xf borderId="15" fillId="0" fontId="57" numFmtId="0" xfId="0" applyAlignment="1" applyBorder="1" applyFont="1">
      <alignment horizontal="center" readingOrder="0" shrinkToFit="0" vertical="center" wrapText="1"/>
    </xf>
    <xf borderId="0" fillId="18" fontId="1" numFmtId="0" xfId="0" applyFill="1" applyFont="1"/>
    <xf borderId="0" fillId="0" fontId="26"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22"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15" fillId="0" fontId="11" numFmtId="0" xfId="0" applyAlignment="1" applyBorder="1" applyFont="1">
      <alignment horizontal="center" readingOrder="0" shrinkToFit="0" vertical="center" wrapText="1"/>
    </xf>
    <xf borderId="13" fillId="4" fontId="56" numFmtId="0" xfId="0" applyAlignment="1" applyBorder="1" applyFont="1">
      <alignment readingOrder="0" shrinkToFit="0" vertical="center" wrapText="1"/>
    </xf>
    <xf borderId="13" fillId="0" fontId="57" numFmtId="1" xfId="0" applyAlignment="1" applyBorder="1" applyFont="1" applyNumberFormat="1">
      <alignment horizontal="center" readingOrder="0" shrinkToFit="0" vertical="center" wrapText="1"/>
    </xf>
    <xf borderId="13" fillId="0" fontId="26" numFmtId="1" xfId="0" applyAlignment="1" applyBorder="1" applyFont="1" applyNumberFormat="1">
      <alignment horizontal="center" readingOrder="0" shrinkToFit="0" vertical="center" wrapText="1"/>
    </xf>
    <xf borderId="17" fillId="0" fontId="57" numFmtId="1" xfId="0" applyAlignment="1" applyBorder="1" applyFont="1" applyNumberFormat="1">
      <alignment horizontal="center" readingOrder="0" shrinkToFit="0" vertical="center" wrapText="1"/>
    </xf>
    <xf borderId="0" fillId="0" fontId="1" numFmtId="2" xfId="0" applyAlignment="1" applyFont="1" applyNumberFormat="1">
      <alignment readingOrder="0"/>
    </xf>
    <xf borderId="0" fillId="0" fontId="34" numFmtId="0" xfId="0" applyAlignment="1" applyFont="1">
      <alignment readingOrder="0" shrinkToFit="0" vertical="center" wrapText="1"/>
    </xf>
    <xf borderId="0" fillId="0" fontId="21" numFmtId="1" xfId="0" applyAlignment="1" applyFont="1" applyNumberFormat="1">
      <alignment horizontal="center" shrinkToFit="0" vertical="center" wrapText="1"/>
    </xf>
    <xf borderId="0" fillId="0" fontId="21" numFmtId="2" xfId="0" applyAlignment="1" applyFont="1" applyNumberFormat="1">
      <alignment horizontal="center" shrinkToFit="0" vertical="center" wrapText="1"/>
    </xf>
    <xf borderId="0" fillId="0" fontId="21" numFmtId="0" xfId="0" applyFont="1"/>
    <xf borderId="19" fillId="0" fontId="26" numFmtId="165" xfId="0" applyAlignment="1" applyBorder="1" applyFont="1" applyNumberFormat="1">
      <alignment horizontal="center" shrinkToFit="0" vertical="center" wrapText="1"/>
    </xf>
    <xf borderId="0" fillId="2" fontId="58" numFmtId="2" xfId="0" applyAlignment="1" applyFont="1" applyNumberFormat="1">
      <alignment horizontal="center" shrinkToFit="0" vertical="center" wrapText="1"/>
    </xf>
    <xf borderId="0" fillId="2" fontId="21" numFmtId="1" xfId="0" applyAlignment="1" applyFont="1" applyNumberFormat="1">
      <alignment horizontal="center" shrinkToFit="0" vertical="center" wrapText="1"/>
    </xf>
    <xf borderId="20" fillId="0" fontId="26" numFmtId="165" xfId="0" applyAlignment="1" applyBorder="1" applyFont="1" applyNumberFormat="1">
      <alignment horizontal="center" shrinkToFit="0" vertical="center" wrapText="1"/>
    </xf>
    <xf borderId="17" fillId="0" fontId="21" numFmtId="2" xfId="0" applyAlignment="1" applyBorder="1" applyFont="1" applyNumberFormat="1">
      <alignment horizontal="center" vertical="center"/>
    </xf>
    <xf borderId="18" fillId="0" fontId="21" numFmtId="2" xfId="0" applyAlignment="1" applyBorder="1" applyFont="1" applyNumberFormat="1">
      <alignment horizontal="center" vertical="center"/>
    </xf>
    <xf borderId="0" fillId="0" fontId="34" numFmtId="0" xfId="0" applyAlignment="1" applyFont="1">
      <alignment horizontal="center" readingOrder="0" shrinkToFit="0" vertical="center" wrapText="1"/>
    </xf>
    <xf borderId="15" fillId="0" fontId="34" numFmtId="0" xfId="0" applyAlignment="1" applyBorder="1" applyFont="1">
      <alignment horizontal="center" readingOrder="0" shrinkToFit="0" vertical="center" wrapText="1"/>
    </xf>
    <xf borderId="0" fillId="0" fontId="13" numFmtId="0" xfId="0" applyAlignment="1" applyFont="1">
      <alignment horizontal="center" readingOrder="0" shrinkToFit="0" vertical="center" wrapText="1"/>
    </xf>
    <xf borderId="15" fillId="0" fontId="13" numFmtId="0" xfId="0" applyAlignment="1" applyBorder="1" applyFont="1">
      <alignment horizontal="center" readingOrder="0" shrinkToFit="0" vertical="center" wrapText="1"/>
    </xf>
    <xf borderId="13" fillId="0" fontId="34" numFmtId="1" xfId="0" applyAlignment="1" applyBorder="1" applyFont="1" applyNumberFormat="1">
      <alignment horizontal="center" readingOrder="0" shrinkToFit="0" vertical="center" wrapText="1"/>
    </xf>
    <xf borderId="17" fillId="0" fontId="34" numFmtId="1" xfId="0" applyAlignment="1" applyBorder="1" applyFont="1" applyNumberFormat="1">
      <alignment horizontal="center" readingOrder="0" shrinkToFit="0" vertical="center" wrapText="1"/>
    </xf>
    <xf borderId="0" fillId="2" fontId="12" numFmtId="10" xfId="0" applyAlignment="1" applyFont="1" applyNumberFormat="1">
      <alignment horizontal="center" readingOrder="0" vertical="center"/>
    </xf>
    <xf borderId="21" fillId="8" fontId="30" numFmtId="0" xfId="0" applyAlignment="1" applyBorder="1" applyFont="1">
      <alignment horizontal="center" readingOrder="0" vertical="center"/>
    </xf>
    <xf borderId="21" fillId="0" fontId="18" numFmtId="0" xfId="0" applyBorder="1" applyFont="1"/>
    <xf borderId="22" fillId="0" fontId="18" numFmtId="0" xfId="0" applyBorder="1" applyFont="1"/>
    <xf borderId="0" fillId="0" fontId="59" numFmtId="0" xfId="0" applyAlignment="1" applyFont="1">
      <alignment horizontal="center" readingOrder="0"/>
    </xf>
    <xf borderId="0" fillId="0" fontId="36" numFmtId="0" xfId="0" applyFont="1"/>
    <xf borderId="0" fillId="3" fontId="60" numFmtId="0" xfId="0" applyAlignment="1" applyFont="1">
      <alignment horizontal="center" readingOrder="0" shrinkToFit="0" vertical="center" wrapText="1"/>
    </xf>
    <xf borderId="0" fillId="4" fontId="61" numFmtId="0" xfId="0" applyAlignment="1" applyFont="1">
      <alignment horizontal="center" readingOrder="0" shrinkToFit="0" vertical="center" wrapText="1"/>
    </xf>
    <xf borderId="0" fillId="0" fontId="62" numFmtId="0" xfId="0" applyAlignment="1" applyFont="1">
      <alignment horizontal="center" readingOrder="0" shrinkToFit="0" vertical="center" wrapText="1"/>
    </xf>
    <xf borderId="0" fillId="0" fontId="59" numFmtId="0" xfId="0" applyAlignment="1" applyFont="1">
      <alignment horizontal="center" readingOrder="0" vertical="center"/>
    </xf>
    <xf borderId="0" fillId="0" fontId="63" numFmtId="0" xfId="0" applyAlignment="1" applyFont="1">
      <alignment horizontal="center" readingOrder="0" shrinkToFit="0" vertical="center" wrapText="1"/>
    </xf>
    <xf borderId="0" fillId="2" fontId="36" numFmtId="0" xfId="0" applyFont="1"/>
    <xf borderId="0" fillId="2" fontId="64" numFmtId="0" xfId="0" applyAlignment="1" applyFont="1">
      <alignment horizontal="center" readingOrder="0" shrinkToFit="0" vertical="center" wrapText="1"/>
    </xf>
    <xf borderId="0" fillId="2" fontId="36" numFmtId="0" xfId="0" applyAlignment="1" applyFont="1">
      <alignment horizontal="center" shrinkToFit="0" vertical="center" wrapText="1"/>
    </xf>
    <xf borderId="12" fillId="4" fontId="36" numFmtId="0" xfId="0" applyBorder="1" applyFont="1"/>
    <xf borderId="0" fillId="2" fontId="62" numFmtId="0" xfId="0" applyAlignment="1" applyFont="1">
      <alignment horizontal="center" readingOrder="0" shrinkToFit="0" vertical="center" wrapText="1"/>
    </xf>
    <xf borderId="0" fillId="0" fontId="34" numFmtId="20" xfId="0" applyAlignment="1" applyFont="1" applyNumberFormat="1">
      <alignment horizontal="center" readingOrder="0" shrinkToFit="0" vertical="center" wrapText="1"/>
    </xf>
    <xf borderId="0" fillId="0" fontId="65" numFmtId="0" xfId="0" applyFont="1"/>
    <xf borderId="0" fillId="0" fontId="1" numFmtId="0" xfId="0" applyAlignment="1" applyFont="1">
      <alignment horizontal="left"/>
    </xf>
    <xf borderId="23" fillId="4" fontId="1" numFmtId="0" xfId="0" applyBorder="1" applyFont="1"/>
    <xf borderId="0" fillId="4" fontId="66" numFmtId="0" xfId="0" applyAlignment="1" applyFont="1">
      <alignment horizontal="center" readingOrder="0" shrinkToFit="0" vertical="center" wrapText="1"/>
    </xf>
    <xf borderId="24" fillId="4" fontId="1" numFmtId="0" xfId="0" applyAlignment="1" applyBorder="1" applyFont="1">
      <alignment horizontal="center" vertical="center"/>
    </xf>
    <xf borderId="0" fillId="0" fontId="21" numFmtId="0" xfId="0" applyAlignment="1" applyFont="1">
      <alignment horizontal="center" shrinkToFit="0" vertical="center" wrapText="1"/>
    </xf>
    <xf borderId="0" fillId="0" fontId="67" numFmtId="0" xfId="0" applyAlignment="1" applyFont="1">
      <alignment horizontal="center" readingOrder="0" vertical="center"/>
    </xf>
    <xf borderId="19" fillId="4" fontId="68" numFmtId="0" xfId="0" applyAlignment="1" applyBorder="1" applyFont="1">
      <alignment horizontal="left" readingOrder="0" vertical="center"/>
    </xf>
    <xf borderId="0" fillId="0" fontId="1" numFmtId="0" xfId="0" applyAlignment="1" applyFont="1">
      <alignment horizontal="center" readingOrder="0"/>
    </xf>
    <xf borderId="0" fillId="0" fontId="43" numFmtId="0" xfId="0" applyAlignment="1" applyFont="1">
      <alignment readingOrder="0"/>
    </xf>
    <xf borderId="13" fillId="0" fontId="1" numFmtId="0" xfId="0" applyAlignment="1" applyBorder="1" applyFont="1">
      <alignment horizontal="center" readingOrder="0" vertical="bottom"/>
    </xf>
    <xf borderId="13" fillId="0" fontId="18" numFmtId="0" xfId="0" applyBorder="1" applyFont="1"/>
    <xf borderId="0" fillId="0" fontId="65" numFmtId="0" xfId="0" applyAlignment="1" applyFont="1">
      <alignment readingOrder="0"/>
    </xf>
    <xf borderId="0" fillId="0" fontId="1" numFmtId="0" xfId="0" applyAlignment="1" applyFont="1">
      <alignment horizontal="center" vertical="center"/>
    </xf>
    <xf borderId="25" fillId="4" fontId="69" numFmtId="0" xfId="0" applyAlignment="1" applyBorder="1" applyFont="1">
      <alignment horizontal="center" readingOrder="0" shrinkToFit="0" vertical="center" wrapText="1"/>
    </xf>
    <xf borderId="26" fillId="0" fontId="18" numFmtId="0" xfId="0" applyBorder="1" applyFont="1"/>
    <xf borderId="27" fillId="0" fontId="18" numFmtId="0" xfId="0" applyBorder="1" applyFont="1"/>
    <xf borderId="0" fillId="0" fontId="70" numFmtId="0" xfId="0" applyAlignment="1" applyFont="1">
      <alignment horizontal="center" readingOrder="0" vertical="center"/>
    </xf>
    <xf borderId="19" fillId="0" fontId="18" numFmtId="0" xfId="0" applyBorder="1" applyFont="1"/>
    <xf borderId="0" fillId="0" fontId="43" numFmtId="0" xfId="0" applyAlignment="1" applyFont="1">
      <alignment horizontal="center" readingOrder="0" vertical="center"/>
    </xf>
    <xf borderId="0" fillId="0" fontId="1" numFmtId="0" xfId="0" applyAlignment="1" applyFont="1">
      <alignment horizontal="center" readingOrder="0" vertical="bottom"/>
    </xf>
    <xf borderId="28" fillId="0" fontId="54" numFmtId="0" xfId="0" applyAlignment="1" applyBorder="1" applyFont="1">
      <alignment horizontal="center" readingOrder="0" shrinkToFit="0" vertical="center" wrapText="1"/>
    </xf>
    <xf borderId="29" fillId="0" fontId="18" numFmtId="0" xfId="0" applyBorder="1" applyFont="1"/>
    <xf borderId="30" fillId="0" fontId="18" numFmtId="0" xfId="0" applyBorder="1" applyFont="1"/>
    <xf borderId="0" fillId="0" fontId="52" numFmtId="0" xfId="0" applyAlignment="1" applyFont="1">
      <alignment horizontal="center" readingOrder="0" vertical="center"/>
    </xf>
    <xf borderId="0" fillId="0" fontId="1" numFmtId="0" xfId="0" applyAlignment="1" applyFont="1">
      <alignment horizontal="center" readingOrder="0" vertical="center"/>
    </xf>
    <xf borderId="31" fillId="0" fontId="18" numFmtId="0" xfId="0" applyBorder="1" applyFont="1"/>
    <xf borderId="32" fillId="0" fontId="18" numFmtId="0" xfId="0" applyBorder="1" applyFont="1"/>
    <xf borderId="33" fillId="0" fontId="20" numFmtId="0" xfId="0" applyAlignment="1" applyBorder="1" applyFont="1">
      <alignment horizontal="center" vertical="bottom"/>
    </xf>
    <xf borderId="0" fillId="0" fontId="43" numFmtId="10" xfId="0" applyAlignment="1" applyFont="1" applyNumberFormat="1">
      <alignment horizontal="center" readingOrder="0" vertical="center"/>
    </xf>
    <xf borderId="0" fillId="0" fontId="1" numFmtId="10" xfId="0" applyAlignment="1" applyFont="1" applyNumberFormat="1">
      <alignment horizontal="center" vertical="center"/>
    </xf>
    <xf borderId="0" fillId="0" fontId="52" numFmtId="0" xfId="0" applyAlignment="1" applyFont="1">
      <alignment horizontal="center" readingOrder="0" shrinkToFit="0" vertical="center" wrapText="1"/>
    </xf>
    <xf borderId="0" fillId="2" fontId="21" numFmtId="166" xfId="0" applyAlignment="1" applyFont="1" applyNumberFormat="1">
      <alignment horizontal="center" shrinkToFit="0" vertical="center" wrapText="1"/>
    </xf>
    <xf borderId="28" fillId="4" fontId="60" numFmtId="0" xfId="0" applyAlignment="1" applyBorder="1" applyFont="1">
      <alignment horizontal="center" readingOrder="0" shrinkToFit="0" vertical="center" wrapText="1"/>
    </xf>
    <xf borderId="29" fillId="4" fontId="48" numFmtId="0" xfId="0" applyAlignment="1" applyBorder="1" applyFont="1">
      <alignment horizontal="center" readingOrder="0" shrinkToFit="0" vertical="center" wrapText="1"/>
    </xf>
    <xf borderId="20" fillId="3" fontId="71" numFmtId="0" xfId="0" applyAlignment="1" applyBorder="1" applyFont="1">
      <alignment horizontal="left" readingOrder="0" vertical="top"/>
    </xf>
    <xf borderId="13" fillId="3" fontId="71" numFmtId="0" xfId="0" applyAlignment="1" applyBorder="1" applyFont="1">
      <alignment horizontal="left" readingOrder="0" vertical="top"/>
    </xf>
    <xf borderId="13" fillId="3" fontId="36" numFmtId="0" xfId="0" applyBorder="1" applyFont="1"/>
    <xf borderId="13" fillId="2" fontId="72" numFmtId="0" xfId="0" applyAlignment="1" applyBorder="1" applyFont="1">
      <alignment horizontal="left" readingOrder="0" vertical="center"/>
    </xf>
    <xf borderId="13" fillId="2" fontId="72" numFmtId="0" xfId="0" applyAlignment="1" applyBorder="1" applyFont="1">
      <alignment horizontal="center" readingOrder="0" vertical="center"/>
    </xf>
    <xf borderId="13" fillId="2" fontId="24" numFmtId="0" xfId="0" applyBorder="1" applyFont="1"/>
    <xf borderId="13" fillId="2" fontId="72" numFmtId="0" xfId="0" applyAlignment="1" applyBorder="1" applyFont="1">
      <alignment horizontal="center" readingOrder="0" shrinkToFit="0" vertical="center" wrapText="1"/>
    </xf>
    <xf borderId="17" fillId="0" fontId="18" numFmtId="0" xfId="0" applyBorder="1" applyFont="1"/>
    <xf borderId="34" fillId="2" fontId="73" numFmtId="0" xfId="0" applyAlignment="1" applyBorder="1" applyFont="1">
      <alignment horizontal="left" readingOrder="0" vertical="center"/>
    </xf>
    <xf borderId="35" fillId="0" fontId="18" numFmtId="0" xfId="0" applyBorder="1" applyFont="1"/>
    <xf borderId="36" fillId="0" fontId="18" numFmtId="0" xfId="0" applyBorder="1" applyFont="1"/>
    <xf borderId="0" fillId="2" fontId="62" numFmtId="0" xfId="0" applyAlignment="1" applyFont="1">
      <alignment horizontal="center" readingOrder="0" vertical="center"/>
    </xf>
    <xf borderId="0" fillId="2" fontId="74" numFmtId="2" xfId="0" applyAlignment="1" applyFont="1" applyNumberFormat="1">
      <alignment horizontal="center" readingOrder="0" shrinkToFit="0" vertical="center" wrapText="1"/>
    </xf>
    <xf borderId="0" fillId="2" fontId="75" numFmtId="0" xfId="0" applyAlignment="1" applyFont="1">
      <alignment horizontal="center" readingOrder="0" vertical="center"/>
    </xf>
    <xf borderId="0" fillId="2" fontId="75" numFmtId="0" xfId="0" applyAlignment="1" applyFont="1">
      <alignment horizontal="center" vertical="center"/>
    </xf>
    <xf borderId="0" fillId="2" fontId="75" numFmtId="0" xfId="0" applyAlignment="1" applyFont="1">
      <alignment horizontal="center"/>
    </xf>
    <xf borderId="0" fillId="2" fontId="75" numFmtId="0" xfId="0" applyAlignment="1" applyFont="1">
      <alignment horizontal="center" readingOrder="0" shrinkToFit="0" vertical="center" wrapText="1"/>
    </xf>
    <xf borderId="0" fillId="2" fontId="76" numFmtId="0" xfId="0" applyFont="1"/>
    <xf borderId="15" fillId="2" fontId="76" numFmtId="0" xfId="0" applyBorder="1" applyFont="1"/>
    <xf borderId="0" fillId="0" fontId="77" numFmtId="0" xfId="0" applyFont="1"/>
    <xf borderId="37" fillId="3" fontId="10" numFmtId="0" xfId="0" applyAlignment="1" applyBorder="1" applyFont="1">
      <alignment horizontal="center" readingOrder="0" shrinkToFit="0" vertical="center" wrapText="1"/>
    </xf>
    <xf borderId="13" fillId="3" fontId="10" numFmtId="0" xfId="0" applyAlignment="1" applyBorder="1" applyFont="1">
      <alignment horizontal="center" shrinkToFit="0" vertical="center" wrapText="1"/>
    </xf>
    <xf borderId="13" fillId="3" fontId="10" numFmtId="0" xfId="0" applyAlignment="1" applyBorder="1" applyFont="1">
      <alignment horizontal="center" readingOrder="0" shrinkToFit="0" vertical="center" wrapText="1"/>
    </xf>
    <xf borderId="38" fillId="0" fontId="18" numFmtId="0" xfId="0" applyBorder="1" applyFont="1"/>
    <xf borderId="39" fillId="0" fontId="18" numFmtId="0" xfId="0" applyBorder="1" applyFont="1"/>
    <xf borderId="13" fillId="3" fontId="78" numFmtId="0" xfId="0" applyAlignment="1" applyBorder="1" applyFont="1">
      <alignment horizontal="center" readingOrder="0" shrinkToFit="0" vertical="center" wrapText="1"/>
    </xf>
    <xf borderId="17" fillId="3" fontId="78" numFmtId="0" xfId="0" applyAlignment="1" applyBorder="1" applyFont="1">
      <alignment horizontal="center" readingOrder="0" shrinkToFit="0" vertical="center" wrapText="1"/>
    </xf>
    <xf borderId="19" fillId="2" fontId="32" numFmtId="0" xfId="0" applyAlignment="1" applyBorder="1" applyFont="1">
      <alignment horizontal="center" readingOrder="0" shrinkToFit="0" vertical="center" wrapText="1"/>
    </xf>
    <xf borderId="15" fillId="2" fontId="32" numFmtId="0" xfId="0" applyAlignment="1" applyBorder="1" applyFont="1">
      <alignment horizontal="center" readingOrder="0" shrinkToFit="0" vertical="center" wrapText="1"/>
    </xf>
    <xf borderId="13" fillId="9" fontId="75" numFmtId="0" xfId="0" applyAlignment="1" applyBorder="1" applyFont="1">
      <alignment horizontal="center" readingOrder="0" vertical="center"/>
    </xf>
    <xf borderId="13" fillId="9" fontId="75" numFmtId="0" xfId="0" applyAlignment="1" applyBorder="1" applyFont="1">
      <alignment horizontal="center" readingOrder="0" shrinkToFit="0" vertical="center" wrapText="1"/>
    </xf>
    <xf borderId="13" fillId="9" fontId="76" numFmtId="0" xfId="0" applyAlignment="1" applyBorder="1" applyFont="1">
      <alignment horizontal="center" readingOrder="0" vertical="center"/>
    </xf>
    <xf borderId="0" fillId="9" fontId="76" numFmtId="0" xfId="0" applyAlignment="1" applyFont="1">
      <alignment horizontal="center" readingOrder="0" vertical="center"/>
    </xf>
    <xf borderId="13" fillId="9" fontId="76" numFmtId="0" xfId="0" applyAlignment="1" applyBorder="1" applyFont="1">
      <alignment horizontal="center" readingOrder="0" shrinkToFit="0" vertical="center" wrapText="1"/>
    </xf>
    <xf borderId="15" fillId="9" fontId="76" numFmtId="0" xfId="0" applyAlignment="1" applyBorder="1" applyFont="1">
      <alignment horizontal="center" readingOrder="0" vertical="center"/>
    </xf>
    <xf borderId="0" fillId="0" fontId="1" numFmtId="166" xfId="0" applyAlignment="1" applyFont="1" applyNumberFormat="1">
      <alignment horizontal="center" shrinkToFit="0" vertical="center" wrapText="1"/>
    </xf>
    <xf borderId="31" fillId="2" fontId="11" numFmtId="0" xfId="0" applyAlignment="1" applyBorder="1" applyFont="1">
      <alignment horizontal="center" readingOrder="0" shrinkToFit="0" vertical="center" wrapText="1"/>
    </xf>
    <xf borderId="15" fillId="2" fontId="18" numFmtId="0" xfId="0" applyBorder="1" applyFont="1"/>
    <xf borderId="0" fillId="2" fontId="79" numFmtId="0" xfId="0" applyAlignment="1" applyFont="1">
      <alignment horizontal="center" readingOrder="0" shrinkToFit="0" vertical="center" wrapText="1"/>
    </xf>
    <xf borderId="40" fillId="2" fontId="18" numFmtId="0" xfId="0" applyBorder="1" applyFont="1"/>
    <xf borderId="41" fillId="2" fontId="32" numFmtId="167" xfId="0" applyAlignment="1" applyBorder="1" applyFont="1" applyNumberFormat="1">
      <alignment horizontal="center" shrinkToFit="0" vertical="center" wrapText="1"/>
    </xf>
    <xf borderId="32" fillId="2" fontId="18" numFmtId="0" xfId="0" applyBorder="1" applyFont="1"/>
    <xf borderId="0" fillId="2" fontId="80" numFmtId="0" xfId="0" applyAlignment="1" applyFont="1">
      <alignment horizontal="center" readingOrder="0" shrinkToFit="0" vertical="center" wrapText="1"/>
    </xf>
    <xf borderId="0" fillId="2" fontId="81" numFmtId="0" xfId="0" applyAlignment="1" applyFont="1">
      <alignment horizontal="center" readingOrder="0" shrinkToFit="0" vertical="center" wrapText="1"/>
    </xf>
    <xf borderId="42" fillId="2" fontId="18" numFmtId="0" xfId="0" applyBorder="1" applyFont="1"/>
    <xf borderId="43" fillId="2" fontId="21" numFmtId="0" xfId="0" applyAlignment="1" applyBorder="1" applyFont="1">
      <alignment readingOrder="0"/>
    </xf>
    <xf borderId="0" fillId="2" fontId="21" numFmtId="168" xfId="0" applyAlignment="1" applyFont="1" applyNumberFormat="1">
      <alignment horizontal="center" readingOrder="0" shrinkToFit="0" vertical="center" wrapText="1"/>
    </xf>
    <xf borderId="43" fillId="2" fontId="21" numFmtId="0" xfId="0" applyAlignment="1" applyBorder="1" applyFont="1">
      <alignment horizontal="center" readingOrder="0" vertical="center"/>
    </xf>
    <xf borderId="44" fillId="2" fontId="21" numFmtId="0" xfId="0" applyAlignment="1" applyBorder="1" applyFont="1">
      <alignment horizontal="center" shrinkToFit="0" vertical="center" wrapText="1"/>
    </xf>
    <xf borderId="19" fillId="19" fontId="43" numFmtId="0" xfId="0" applyAlignment="1" applyBorder="1" applyFill="1" applyFont="1">
      <alignment readingOrder="0"/>
    </xf>
    <xf borderId="0" fillId="20" fontId="21" numFmtId="1" xfId="0" applyAlignment="1" applyFill="1" applyFont="1" applyNumberFormat="1">
      <alignment horizontal="center" shrinkToFit="0" vertical="center" wrapText="1"/>
    </xf>
    <xf borderId="0" fillId="20" fontId="21" numFmtId="164" xfId="0" applyAlignment="1" applyFont="1" applyNumberFormat="1">
      <alignment horizontal="center" shrinkToFit="0" vertical="center" wrapText="1"/>
    </xf>
    <xf borderId="0" fillId="20" fontId="21" numFmtId="10" xfId="0" applyAlignment="1" applyFont="1" applyNumberFormat="1">
      <alignment horizontal="center" shrinkToFit="0" vertical="center" wrapText="1"/>
    </xf>
    <xf borderId="0" fillId="20" fontId="21" numFmtId="169" xfId="0" applyAlignment="1" applyFont="1" applyNumberFormat="1">
      <alignment horizontal="center" shrinkToFit="0" vertical="center" wrapText="1"/>
    </xf>
    <xf borderId="15" fillId="20" fontId="21" numFmtId="2" xfId="0" applyAlignment="1" applyBorder="1" applyFont="1" applyNumberFormat="1">
      <alignment horizontal="center" shrinkToFit="0" vertical="center" wrapText="1"/>
    </xf>
    <xf borderId="19" fillId="2" fontId="33"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45" fillId="0" fontId="21" numFmtId="0" xfId="0" applyAlignment="1" applyBorder="1" applyFont="1">
      <alignment horizontal="center" readingOrder="0" shrinkToFit="0" vertical="center" wrapText="1"/>
    </xf>
    <xf borderId="33" fillId="0" fontId="21" numFmtId="2" xfId="0" applyAlignment="1" applyBorder="1" applyFont="1" applyNumberFormat="1">
      <alignment horizontal="center" shrinkToFit="0" vertical="center" wrapText="1"/>
    </xf>
    <xf borderId="0" fillId="0" fontId="21" numFmtId="10" xfId="0" applyAlignment="1" applyFont="1" applyNumberFormat="1">
      <alignment horizontal="center" vertical="center"/>
    </xf>
    <xf borderId="45" fillId="0" fontId="21" numFmtId="9" xfId="0" applyAlignment="1" applyBorder="1" applyFont="1" applyNumberFormat="1">
      <alignment horizontal="center" readingOrder="0" shrinkToFit="0" vertical="center" wrapText="1"/>
    </xf>
    <xf borderId="35" fillId="0" fontId="1" numFmtId="2" xfId="0" applyAlignment="1" applyBorder="1" applyFont="1" applyNumberFormat="1">
      <alignment horizontal="center" vertical="center"/>
    </xf>
    <xf borderId="36" fillId="0" fontId="1" numFmtId="10" xfId="0" applyAlignment="1" applyBorder="1" applyFont="1" applyNumberFormat="1">
      <alignment horizontal="center" vertical="center"/>
    </xf>
    <xf borderId="31" fillId="7" fontId="11" numFmtId="0" xfId="0" applyAlignment="1" applyBorder="1" applyFont="1">
      <alignment horizontal="center" readingOrder="0" shrinkToFit="0" vertical="center" wrapText="1"/>
    </xf>
    <xf borderId="15" fillId="7" fontId="18" numFmtId="0" xfId="0" applyBorder="1" applyFont="1"/>
    <xf borderId="0" fillId="7" fontId="79" numFmtId="0" xfId="0" applyAlignment="1" applyFont="1">
      <alignment horizontal="center" readingOrder="0" shrinkToFit="0" vertical="center" wrapText="1"/>
    </xf>
    <xf borderId="40" fillId="7" fontId="18" numFmtId="0" xfId="0" applyBorder="1" applyFont="1"/>
    <xf borderId="41" fillId="7" fontId="32" numFmtId="167" xfId="0" applyAlignment="1" applyBorder="1" applyFont="1" applyNumberFormat="1">
      <alignment horizontal="center" shrinkToFit="0" vertical="center" wrapText="1"/>
    </xf>
    <xf borderId="32" fillId="7" fontId="18" numFmtId="0" xfId="0" applyBorder="1" applyFont="1"/>
    <xf borderId="0" fillId="7" fontId="82" numFmtId="0" xfId="0" applyAlignment="1" applyFont="1">
      <alignment horizontal="center" readingOrder="0" shrinkToFit="0" vertical="center" wrapText="1"/>
    </xf>
    <xf borderId="0" fillId="7" fontId="81" numFmtId="0" xfId="0" applyAlignment="1" applyFont="1">
      <alignment horizontal="center" readingOrder="0" shrinkToFit="0" vertical="center" wrapText="1"/>
    </xf>
    <xf borderId="42" fillId="7" fontId="18" numFmtId="0" xfId="0" applyBorder="1" applyFont="1"/>
    <xf borderId="43" fillId="7" fontId="21" numFmtId="0" xfId="0" applyAlignment="1" applyBorder="1" applyFont="1">
      <alignment readingOrder="0"/>
    </xf>
    <xf borderId="0" fillId="7" fontId="21" numFmtId="168" xfId="0" applyAlignment="1" applyFont="1" applyNumberFormat="1">
      <alignment horizontal="center" readingOrder="0" shrinkToFit="0" vertical="center" wrapText="1"/>
    </xf>
    <xf borderId="43" fillId="7" fontId="21" numFmtId="0" xfId="0" applyAlignment="1" applyBorder="1" applyFont="1">
      <alignment horizontal="center" readingOrder="0" vertical="center"/>
    </xf>
    <xf borderId="44" fillId="7" fontId="21" numFmtId="0" xfId="0" applyAlignment="1" applyBorder="1" applyFont="1">
      <alignment horizontal="center" shrinkToFit="0" vertical="center" wrapText="1"/>
    </xf>
    <xf borderId="0" fillId="21" fontId="21" numFmtId="1" xfId="0" applyAlignment="1" applyFill="1" applyFont="1" applyNumberFormat="1">
      <alignment horizontal="center" shrinkToFit="0" vertical="center" wrapText="1"/>
    </xf>
    <xf borderId="0" fillId="21" fontId="21" numFmtId="164" xfId="0" applyAlignment="1" applyFont="1" applyNumberFormat="1">
      <alignment horizontal="center" shrinkToFit="0" vertical="center" wrapText="1"/>
    </xf>
    <xf borderId="0" fillId="21" fontId="21" numFmtId="10" xfId="0" applyAlignment="1" applyFont="1" applyNumberFormat="1">
      <alignment horizontal="center" shrinkToFit="0" vertical="center" wrapText="1"/>
    </xf>
    <xf borderId="0" fillId="21" fontId="21" numFmtId="169" xfId="0" applyAlignment="1" applyFont="1" applyNumberFormat="1">
      <alignment horizontal="center" shrinkToFit="0" vertical="center" wrapText="1"/>
    </xf>
    <xf borderId="15" fillId="21" fontId="21" numFmtId="2" xfId="0" applyAlignment="1" applyBorder="1" applyFont="1" applyNumberFormat="1">
      <alignment horizontal="center" shrinkToFit="0" vertical="center" wrapText="1"/>
    </xf>
    <xf borderId="0" fillId="2" fontId="19" numFmtId="2" xfId="0" applyAlignment="1" applyFont="1" applyNumberFormat="1">
      <alignment horizontal="center" shrinkToFit="0" vertical="center" wrapText="1"/>
    </xf>
    <xf borderId="45" fillId="0" fontId="21" numFmtId="2" xfId="0" applyAlignment="1" applyBorder="1" applyFont="1" applyNumberFormat="1">
      <alignment horizontal="center" shrinkToFit="0" vertical="center" wrapText="1"/>
    </xf>
    <xf borderId="45" fillId="2" fontId="34" numFmtId="10" xfId="0" applyAlignment="1" applyBorder="1" applyFont="1" applyNumberFormat="1">
      <alignment horizontal="center" readingOrder="0" shrinkToFit="0" vertical="center" wrapText="1"/>
    </xf>
    <xf borderId="15" fillId="0" fontId="1" numFmtId="0" xfId="0" applyAlignment="1" applyBorder="1" applyFont="1">
      <alignment horizontal="center" vertical="center"/>
    </xf>
    <xf borderId="0" fillId="2" fontId="21" numFmtId="9" xfId="0" applyAlignment="1" applyFont="1" applyNumberFormat="1">
      <alignment horizontal="center" readingOrder="0" shrinkToFit="0" vertical="center" wrapText="1"/>
    </xf>
    <xf borderId="0" fillId="2" fontId="82" numFmtId="0" xfId="0" applyAlignment="1" applyFont="1">
      <alignment horizontal="center" readingOrder="0" shrinkToFit="0" vertical="center" wrapText="1"/>
    </xf>
    <xf borderId="0" fillId="22" fontId="21" numFmtId="1" xfId="0" applyAlignment="1" applyFill="1" applyFont="1" applyNumberFormat="1">
      <alignment horizontal="center" shrinkToFit="0" vertical="center" wrapText="1"/>
    </xf>
    <xf borderId="0" fillId="22" fontId="21" numFmtId="164" xfId="0" applyAlignment="1" applyFont="1" applyNumberFormat="1">
      <alignment horizontal="center" shrinkToFit="0" vertical="center" wrapText="1"/>
    </xf>
    <xf borderId="0" fillId="22" fontId="21" numFmtId="10" xfId="0" applyAlignment="1" applyFont="1" applyNumberFormat="1">
      <alignment horizontal="center" shrinkToFit="0" vertical="center" wrapText="1"/>
    </xf>
    <xf borderId="0" fillId="22" fontId="21" numFmtId="169" xfId="0" applyAlignment="1" applyFont="1" applyNumberFormat="1">
      <alignment horizontal="center" shrinkToFit="0" vertical="center" wrapText="1"/>
    </xf>
    <xf borderId="15" fillId="22" fontId="21" numFmtId="2" xfId="0" applyAlignment="1" applyBorder="1" applyFont="1" applyNumberFormat="1">
      <alignment horizontal="center" shrinkToFit="0" vertical="center" wrapText="1"/>
    </xf>
    <xf borderId="45" fillId="0" fontId="21" numFmtId="0" xfId="0" applyAlignment="1" applyBorder="1" applyFont="1">
      <alignment horizontal="center" shrinkToFit="0" vertical="center" wrapText="1"/>
    </xf>
    <xf borderId="45" fillId="2" fontId="34" numFmtId="0" xfId="0" applyAlignment="1" applyBorder="1" applyFont="1">
      <alignment horizontal="center" readingOrder="0" shrinkToFit="0" vertical="center" wrapText="1"/>
    </xf>
    <xf borderId="19" fillId="0" fontId="1" numFmtId="0" xfId="0" applyBorder="1" applyFont="1"/>
    <xf borderId="15" fillId="0" fontId="1" numFmtId="0" xfId="0" applyBorder="1" applyFont="1"/>
    <xf borderId="0" fillId="4" fontId="83" numFmtId="0" xfId="0" applyAlignment="1" applyFont="1">
      <alignment readingOrder="0" vertical="center"/>
    </xf>
    <xf borderId="0" fillId="3" fontId="84" numFmtId="0" xfId="0" applyAlignment="1" applyFont="1">
      <alignment horizontal="center" readingOrder="0" vertical="center"/>
    </xf>
    <xf borderId="20" fillId="2" fontId="74" numFmtId="0" xfId="0" applyAlignment="1" applyBorder="1" applyFont="1">
      <alignment horizontal="left" readingOrder="0" vertical="center"/>
    </xf>
    <xf borderId="13" fillId="2" fontId="62" numFmtId="0" xfId="0" applyAlignment="1" applyBorder="1" applyFont="1">
      <alignment horizontal="center" readingOrder="0" vertical="center"/>
    </xf>
    <xf borderId="17" fillId="2" fontId="62" numFmtId="0" xfId="0" applyAlignment="1" applyBorder="1" applyFont="1">
      <alignment horizontal="center" readingOrder="0" vertical="center"/>
    </xf>
    <xf borderId="0" fillId="4" fontId="83" numFmtId="0" xfId="0" applyAlignment="1" applyFont="1">
      <alignment readingOrder="0"/>
    </xf>
    <xf borderId="0" fillId="9" fontId="85" numFmtId="0" xfId="0" applyAlignment="1" applyFont="1">
      <alignment readingOrder="0" shrinkToFit="0" vertical="center" wrapText="1"/>
    </xf>
    <xf borderId="23" fillId="4" fontId="1" numFmtId="0" xfId="0" applyAlignment="1" applyBorder="1" applyFont="1">
      <alignment readingOrder="0"/>
    </xf>
    <xf borderId="15" fillId="0" fontId="19" numFmtId="0" xfId="0" applyAlignment="1" applyBorder="1" applyFont="1">
      <alignment readingOrder="0" vertical="center"/>
    </xf>
    <xf borderId="46" fillId="2" fontId="21" numFmtId="0" xfId="0" applyAlignment="1" applyBorder="1" applyFont="1">
      <alignment readingOrder="0"/>
    </xf>
    <xf borderId="47" fillId="2" fontId="21" numFmtId="168" xfId="0" applyAlignment="1" applyBorder="1" applyFont="1" applyNumberFormat="1">
      <alignment horizontal="center" readingOrder="0" shrinkToFit="0" vertical="center" wrapText="1"/>
    </xf>
    <xf borderId="48" fillId="2" fontId="18" numFmtId="0" xfId="0" applyBorder="1" applyFont="1"/>
    <xf borderId="46" fillId="2" fontId="21" numFmtId="0" xfId="0" applyAlignment="1" applyBorder="1" applyFont="1">
      <alignment horizontal="center" readingOrder="0" vertical="center"/>
    </xf>
    <xf borderId="49" fillId="2" fontId="21" numFmtId="0" xfId="0" applyAlignment="1" applyBorder="1" applyFont="1">
      <alignment horizontal="center" shrinkToFit="0" vertical="center" wrapText="1"/>
    </xf>
    <xf borderId="19" fillId="23" fontId="43" numFmtId="0" xfId="0" applyAlignment="1" applyBorder="1" applyFill="1" applyFont="1">
      <alignment readingOrder="0"/>
    </xf>
    <xf borderId="15" fillId="20" fontId="21" numFmtId="166" xfId="0" applyAlignment="1" applyBorder="1" applyFont="1" applyNumberFormat="1">
      <alignment horizontal="center" shrinkToFit="0" vertical="center" wrapText="1"/>
    </xf>
    <xf borderId="50" fillId="0" fontId="18" numFmtId="0" xfId="0" applyBorder="1" applyFont="1"/>
    <xf borderId="47" fillId="0" fontId="18" numFmtId="0" xfId="0" applyBorder="1" applyFont="1"/>
    <xf borderId="51" fillId="0" fontId="18" numFmtId="0" xfId="0" applyBorder="1" applyFont="1"/>
    <xf borderId="13" fillId="3" fontId="86" numFmtId="0" xfId="0" applyAlignment="1" applyBorder="1" applyFont="1">
      <alignment horizontal="left" readingOrder="0" vertical="center"/>
    </xf>
    <xf borderId="13" fillId="3" fontId="87" numFmtId="0" xfId="0" applyBorder="1" applyFont="1"/>
    <xf borderId="31" fillId="4" fontId="60" numFmtId="0" xfId="0" applyAlignment="1" applyBorder="1" applyFont="1">
      <alignment horizontal="center" readingOrder="0" vertical="center"/>
    </xf>
    <xf borderId="0" fillId="4" fontId="60" numFmtId="0" xfId="0" applyAlignment="1" applyFont="1">
      <alignment horizontal="center" readingOrder="0" vertical="center"/>
    </xf>
    <xf borderId="0" fillId="4" fontId="56" numFmtId="2" xfId="0" applyAlignment="1" applyFont="1" applyNumberFormat="1">
      <alignment horizontal="right" shrinkToFit="0" vertical="center" wrapText="1"/>
    </xf>
    <xf borderId="0" fillId="4" fontId="56" numFmtId="2" xfId="0" applyAlignment="1" applyFont="1" applyNumberFormat="1">
      <alignment horizontal="center" readingOrder="0" shrinkToFit="0" vertical="center" wrapText="1"/>
    </xf>
    <xf borderId="32" fillId="4" fontId="36" numFmtId="0" xfId="0" applyAlignment="1" applyBorder="1" applyFont="1">
      <alignment readingOrder="0"/>
    </xf>
    <xf borderId="26" fillId="4" fontId="88" numFmtId="2" xfId="0" applyAlignment="1" applyBorder="1" applyFont="1" applyNumberFormat="1">
      <alignment horizontal="right" vertical="center"/>
    </xf>
    <xf borderId="27" fillId="4" fontId="56" numFmtId="2" xfId="0" applyAlignment="1" applyBorder="1" applyFont="1" applyNumberFormat="1">
      <alignment horizontal="center" readingOrder="0" shrinkToFit="0" vertical="center" wrapText="1"/>
    </xf>
    <xf borderId="0" fillId="4" fontId="24" numFmtId="2" xfId="0" applyAlignment="1" applyFont="1" applyNumberFormat="1">
      <alignment horizontal="right" vertical="center"/>
    </xf>
    <xf borderId="0" fillId="4" fontId="78" numFmtId="0" xfId="0" applyAlignment="1" applyFont="1">
      <alignment horizontal="center" readingOrder="0" shrinkToFit="0" vertical="center" wrapText="1"/>
    </xf>
    <xf borderId="32" fillId="2" fontId="19" numFmtId="168" xfId="0" applyAlignment="1" applyBorder="1" applyFont="1" applyNumberFormat="1">
      <alignment horizontal="center" vertical="center"/>
    </xf>
    <xf borderId="19" fillId="24" fontId="43" numFmtId="0" xfId="0" applyAlignment="1" applyBorder="1" applyFill="1" applyFont="1">
      <alignment readingOrder="0"/>
    </xf>
    <xf borderId="0" fillId="21" fontId="21" numFmtId="169" xfId="0" applyAlignment="1" applyFont="1" applyNumberFormat="1">
      <alignment horizontal="center" readingOrder="0" shrinkToFit="0" vertical="center" wrapText="1"/>
    </xf>
    <xf borderId="15" fillId="21" fontId="21" numFmtId="166" xfId="0" applyAlignment="1" applyBorder="1" applyFont="1" applyNumberFormat="1">
      <alignment horizontal="center" shrinkToFit="0" vertical="center" wrapText="1"/>
    </xf>
    <xf borderId="0" fillId="2" fontId="89" numFmtId="0" xfId="0" applyAlignment="1" applyFont="1">
      <alignment readingOrder="0"/>
    </xf>
    <xf borderId="0" fillId="2" fontId="52" numFmtId="0" xfId="0" applyAlignment="1" applyFont="1">
      <alignment horizontal="left" readingOrder="0" vertical="center"/>
    </xf>
    <xf borderId="0" fillId="2" fontId="89" numFmtId="0" xfId="0" applyAlignment="1" applyFont="1">
      <alignment readingOrder="0"/>
    </xf>
    <xf borderId="0" fillId="0" fontId="22" numFmtId="170" xfId="0" applyAlignment="1" applyFont="1" applyNumberFormat="1">
      <alignment vertical="center"/>
    </xf>
    <xf borderId="13" fillId="2" fontId="74" numFmtId="0" xfId="0" applyAlignment="1" applyBorder="1" applyFont="1">
      <alignment horizontal="left" readingOrder="0" vertical="center"/>
    </xf>
    <xf borderId="13" fillId="2" fontId="42" numFmtId="0" xfId="0" applyBorder="1" applyFont="1"/>
    <xf borderId="50" fillId="4" fontId="60" numFmtId="0" xfId="0" applyAlignment="1" applyBorder="1" applyFont="1">
      <alignment horizontal="center" readingOrder="0" shrinkToFit="0" vertical="center" wrapText="1"/>
    </xf>
    <xf borderId="47" fillId="4" fontId="60" numFmtId="0" xfId="0" applyAlignment="1" applyBorder="1" applyFont="1">
      <alignment horizontal="center" readingOrder="0" shrinkToFit="0" vertical="center" wrapText="1"/>
    </xf>
    <xf borderId="47" fillId="4" fontId="88" numFmtId="166" xfId="0" applyAlignment="1" applyBorder="1" applyFont="1" applyNumberFormat="1">
      <alignment horizontal="right" vertical="center"/>
    </xf>
    <xf borderId="47" fillId="4" fontId="88" numFmtId="0" xfId="0" applyAlignment="1" applyBorder="1" applyFont="1">
      <alignment horizontal="center" readingOrder="0" vertical="center"/>
    </xf>
    <xf borderId="47" fillId="4" fontId="1" numFmtId="0" xfId="0" applyBorder="1" applyFont="1"/>
    <xf borderId="51" fillId="4" fontId="1" numFmtId="0" xfId="0" applyBorder="1" applyFont="1"/>
    <xf borderId="26" fillId="4" fontId="1" numFmtId="0" xfId="0" applyBorder="1" applyFont="1"/>
    <xf borderId="27" fillId="4" fontId="1" numFmtId="0" xfId="0" applyBorder="1" applyFont="1"/>
    <xf borderId="19" fillId="25" fontId="43" numFmtId="0" xfId="0" applyAlignment="1" applyBorder="1" applyFill="1" applyFont="1">
      <alignment readingOrder="0"/>
    </xf>
    <xf borderId="15" fillId="22" fontId="21" numFmtId="166" xfId="0" applyAlignment="1" applyBorder="1" applyFont="1" applyNumberFormat="1">
      <alignment horizontal="center" shrinkToFit="0" vertical="center" wrapText="1"/>
    </xf>
    <xf borderId="52" fillId="3" fontId="90" numFmtId="0" xfId="0" applyAlignment="1" applyBorder="1" applyFont="1">
      <alignment horizontal="center" readingOrder="0" vertical="center"/>
    </xf>
    <xf borderId="11" fillId="2" fontId="18" numFmtId="0" xfId="0" applyBorder="1" applyFont="1"/>
    <xf borderId="11" fillId="0" fontId="18" numFmtId="0" xfId="0" applyBorder="1" applyFont="1"/>
    <xf borderId="53" fillId="0" fontId="18" numFmtId="0" xfId="0" applyBorder="1" applyFont="1"/>
    <xf borderId="0" fillId="0" fontId="1" numFmtId="21" xfId="0" applyAlignment="1" applyFont="1" applyNumberFormat="1">
      <alignment readingOrder="0"/>
    </xf>
    <xf borderId="0" fillId="2" fontId="42" numFmtId="0" xfId="0" applyFont="1"/>
    <xf borderId="0" fillId="0" fontId="91" numFmtId="0" xfId="0" applyAlignment="1" applyFont="1">
      <alignment horizontal="center" readingOrder="0" shrinkToFit="0" vertical="center" wrapText="1"/>
    </xf>
    <xf borderId="19" fillId="9" fontId="21" numFmtId="0" xfId="0" applyAlignment="1" applyBorder="1" applyFont="1">
      <alignment horizontal="left" readingOrder="0" vertical="center"/>
    </xf>
    <xf borderId="0" fillId="9" fontId="21" numFmtId="1" xfId="0" applyAlignment="1" applyFont="1" applyNumberFormat="1">
      <alignment horizontal="center" vertical="center"/>
    </xf>
    <xf borderId="0" fillId="9" fontId="1" numFmtId="164" xfId="0" applyFont="1" applyNumberFormat="1"/>
    <xf borderId="0" fillId="9" fontId="1" numFmtId="0" xfId="0" applyFont="1"/>
    <xf borderId="0" fillId="9" fontId="19" numFmtId="171" xfId="0" applyAlignment="1" applyFont="1" applyNumberFormat="1">
      <alignment horizontal="center" vertical="center"/>
    </xf>
    <xf borderId="15" fillId="9" fontId="1" numFmtId="0" xfId="0" applyBorder="1" applyFont="1"/>
    <xf borderId="41" fillId="7" fontId="58" numFmtId="0" xfId="0" applyAlignment="1" applyBorder="1" applyFont="1">
      <alignment horizontal="center" shrinkToFit="0" vertical="center" wrapText="1"/>
    </xf>
    <xf borderId="0" fillId="23" fontId="26" numFmtId="0" xfId="0" applyAlignment="1" applyFont="1">
      <alignment readingOrder="0"/>
    </xf>
    <xf borderId="0" fillId="0" fontId="24" numFmtId="1" xfId="0" applyAlignment="1" applyFont="1" applyNumberFormat="1">
      <alignment horizontal="center" shrinkToFit="0" vertical="center" wrapText="1"/>
    </xf>
    <xf borderId="0" fillId="0" fontId="24" numFmtId="172" xfId="0" applyAlignment="1" applyFont="1" applyNumberFormat="1">
      <alignment horizontal="center" shrinkToFit="0" vertical="center" wrapText="1"/>
    </xf>
    <xf borderId="0" fillId="0" fontId="24" numFmtId="166" xfId="0" applyAlignment="1" applyFont="1" applyNumberFormat="1">
      <alignment horizontal="center" shrinkToFit="0" vertical="center" wrapText="1"/>
    </xf>
    <xf borderId="0" fillId="0" fontId="24" numFmtId="2" xfId="0" applyAlignment="1" applyFont="1" applyNumberFormat="1">
      <alignment horizontal="center" shrinkToFit="0" vertical="center" wrapText="1"/>
    </xf>
    <xf borderId="34" fillId="4" fontId="86" numFmtId="0" xfId="0" applyAlignment="1" applyBorder="1" applyFont="1">
      <alignment horizontal="center" readingOrder="0" vertical="bottom"/>
    </xf>
    <xf borderId="54" fillId="2" fontId="18" numFmtId="0" xfId="0" applyBorder="1" applyFont="1"/>
    <xf borderId="55" fillId="2" fontId="18" numFmtId="0" xfId="0" applyBorder="1" applyFont="1"/>
    <xf borderId="55" fillId="0" fontId="18" numFmtId="0" xfId="0" applyBorder="1" applyFont="1"/>
    <xf borderId="56" fillId="0" fontId="18" numFmtId="0" xfId="0" applyBorder="1" applyFont="1"/>
    <xf borderId="0" fillId="24" fontId="26" numFmtId="0" xfId="0" applyAlignment="1" applyFont="1">
      <alignment readingOrder="0"/>
    </xf>
    <xf borderId="41" fillId="3" fontId="64" numFmtId="0" xfId="0" applyAlignment="1" applyBorder="1" applyFont="1">
      <alignment horizontal="center" readingOrder="0" shrinkToFit="0" vertical="center" wrapText="1"/>
    </xf>
    <xf borderId="0" fillId="2" fontId="21" numFmtId="0" xfId="0" applyFont="1"/>
    <xf borderId="0" fillId="0" fontId="1" numFmtId="0" xfId="0" applyAlignment="1" applyFont="1">
      <alignment horizontal="center"/>
    </xf>
    <xf borderId="0" fillId="25" fontId="26" numFmtId="0" xfId="0" applyAlignment="1" applyFont="1">
      <alignment readingOrder="0"/>
    </xf>
    <xf borderId="41" fillId="9" fontId="1" numFmtId="0" xfId="0" applyAlignment="1" applyBorder="1" applyFont="1">
      <alignment horizontal="center" shrinkToFit="0" vertical="center" wrapText="1"/>
    </xf>
    <xf borderId="0" fillId="9" fontId="1" numFmtId="0" xfId="0" applyAlignment="1" applyFont="1">
      <alignment horizontal="center" shrinkToFit="0" vertical="center" wrapText="1"/>
    </xf>
    <xf borderId="0" fillId="9" fontId="72" numFmtId="0" xfId="0" applyAlignment="1" applyFont="1">
      <alignment horizontal="center" readingOrder="0" shrinkToFit="0" vertical="center" wrapText="1"/>
    </xf>
    <xf borderId="0" fillId="9" fontId="21" numFmtId="0" xfId="0" applyAlignment="1" applyFont="1">
      <alignment horizontal="center" shrinkToFit="0" vertical="center" wrapText="1"/>
    </xf>
    <xf borderId="0" fillId="9" fontId="21" numFmtId="0" xfId="0" applyAlignment="1" applyFont="1">
      <alignment horizontal="center" readingOrder="0" shrinkToFit="0" vertical="center" wrapText="1"/>
    </xf>
    <xf borderId="7" fillId="9" fontId="21" numFmtId="0" xfId="0" applyAlignment="1" applyBorder="1" applyFont="1">
      <alignment horizontal="center" shrinkToFit="0" vertical="center" wrapText="1"/>
    </xf>
    <xf borderId="19" fillId="23" fontId="19" numFmtId="0" xfId="0" applyAlignment="1" applyBorder="1" applyFont="1">
      <alignment horizontal="center" readingOrder="0" shrinkToFit="0" vertical="center" wrapText="1"/>
    </xf>
    <xf borderId="0" fillId="0" fontId="21" numFmtId="3" xfId="0" applyAlignment="1" applyFont="1" applyNumberFormat="1">
      <alignment horizontal="center" vertical="center"/>
    </xf>
    <xf borderId="0" fillId="0" fontId="21" numFmtId="4" xfId="0" applyAlignment="1" applyFont="1" applyNumberFormat="1">
      <alignment horizontal="center" vertical="center"/>
    </xf>
    <xf borderId="15" fillId="0" fontId="21" numFmtId="4" xfId="0" applyAlignment="1" applyBorder="1" applyFont="1" applyNumberFormat="1">
      <alignment horizontal="center" vertical="center"/>
    </xf>
    <xf borderId="13" fillId="2" fontId="33" numFmtId="0" xfId="0" applyAlignment="1" applyBorder="1" applyFont="1">
      <alignment horizontal="center" readingOrder="0" shrinkToFit="0" vertical="center" wrapText="1"/>
    </xf>
    <xf borderId="0" fillId="4" fontId="92" numFmtId="0" xfId="0" applyAlignment="1" applyFont="1">
      <alignment horizontal="center" readingOrder="0" shrinkToFit="0" vertical="center" wrapText="1"/>
    </xf>
    <xf borderId="57" fillId="9" fontId="32" numFmtId="0" xfId="0" applyAlignment="1" applyBorder="1" applyFont="1">
      <alignment horizontal="left" readingOrder="0"/>
    </xf>
    <xf borderId="57" fillId="9" fontId="24" numFmtId="1" xfId="0" applyAlignment="1" applyBorder="1" applyFont="1" applyNumberFormat="1">
      <alignment horizontal="center"/>
    </xf>
    <xf borderId="57" fillId="9" fontId="24" numFmtId="172" xfId="0" applyAlignment="1" applyBorder="1" applyFont="1" applyNumberFormat="1">
      <alignment horizontal="center"/>
    </xf>
    <xf borderId="57" fillId="9" fontId="24" numFmtId="166" xfId="0" applyAlignment="1" applyBorder="1" applyFont="1" applyNumberFormat="1">
      <alignment horizontal="center"/>
    </xf>
    <xf borderId="57" fillId="9" fontId="24" numFmtId="0" xfId="0" applyAlignment="1" applyBorder="1" applyFont="1">
      <alignment horizontal="center" vertical="center"/>
    </xf>
    <xf borderId="57" fillId="9" fontId="1" numFmtId="0" xfId="0" applyBorder="1" applyFont="1"/>
    <xf borderId="41" fillId="9" fontId="19" numFmtId="0" xfId="0" applyAlignment="1" applyBorder="1" applyFont="1">
      <alignment horizontal="center" readingOrder="0" shrinkToFit="0" vertical="center" wrapText="1"/>
    </xf>
    <xf borderId="0" fillId="2" fontId="21" numFmtId="0" xfId="0" applyAlignment="1" applyFont="1">
      <alignment horizontal="center" readingOrder="0" shrinkToFit="0" vertical="center" wrapText="1"/>
    </xf>
    <xf borderId="0" fillId="9" fontId="1" numFmtId="0" xfId="0" applyAlignment="1" applyFont="1">
      <alignment readingOrder="0"/>
    </xf>
    <xf borderId="7" fillId="9" fontId="1" numFmtId="0" xfId="0" applyBorder="1" applyFont="1"/>
    <xf borderId="19" fillId="25" fontId="19" numFmtId="0" xfId="0" applyAlignment="1" applyBorder="1" applyFont="1">
      <alignment horizontal="center" readingOrder="0" shrinkToFit="0" vertical="center" wrapText="1"/>
    </xf>
    <xf borderId="13" fillId="2" fontId="93" numFmtId="0" xfId="0" applyAlignment="1" applyBorder="1" applyFont="1">
      <alignment horizontal="left" readingOrder="0" shrinkToFit="0" vertical="center" wrapText="1"/>
    </xf>
    <xf borderId="13" fillId="2" fontId="93" numFmtId="0" xfId="0" applyAlignment="1" applyBorder="1" applyFont="1">
      <alignment horizontal="center" readingOrder="0" vertical="center"/>
    </xf>
    <xf borderId="13" fillId="2" fontId="75" numFmtId="0" xfId="0" applyAlignment="1" applyBorder="1" applyFont="1">
      <alignment readingOrder="0" vertical="center"/>
    </xf>
    <xf borderId="13" fillId="2" fontId="75" numFmtId="0" xfId="0" applyAlignment="1" applyBorder="1" applyFont="1">
      <alignment horizontal="center" readingOrder="0" vertical="center"/>
    </xf>
    <xf borderId="13" fillId="2" fontId="58" numFmtId="0" xfId="0" applyAlignment="1" applyBorder="1" applyFont="1">
      <alignment vertical="center"/>
    </xf>
    <xf borderId="13" fillId="2" fontId="42" numFmtId="0" xfId="0" applyAlignment="1" applyBorder="1" applyFont="1">
      <alignment horizontal="center" vertical="center"/>
    </xf>
    <xf borderId="13" fillId="2" fontId="42" numFmtId="0" xfId="0" applyAlignment="1" applyBorder="1" applyFont="1">
      <alignment vertical="center"/>
    </xf>
    <xf borderId="41" fillId="9" fontId="21" numFmtId="0" xfId="0" applyAlignment="1" applyBorder="1" applyFont="1">
      <alignment horizontal="center" shrinkToFit="0" vertical="center" wrapText="1"/>
    </xf>
    <xf borderId="0" fillId="9" fontId="72" numFmtId="0" xfId="0" applyAlignment="1" applyFont="1">
      <alignment horizontal="center" shrinkToFit="0" vertical="center" wrapText="1"/>
    </xf>
    <xf borderId="19" fillId="26" fontId="19" numFmtId="0" xfId="0" applyAlignment="1" applyBorder="1" applyFill="1" applyFont="1">
      <alignment horizontal="center" readingOrder="0" shrinkToFit="0" vertical="center" wrapText="1"/>
    </xf>
    <xf borderId="0" fillId="23" fontId="26" numFmtId="0" xfId="0" applyAlignment="1" applyFont="1">
      <alignment horizontal="center" readingOrder="0" shrinkToFit="0" vertical="center" wrapText="1"/>
    </xf>
    <xf borderId="0" fillId="0" fontId="26" numFmtId="0" xfId="0" applyAlignment="1" applyFont="1">
      <alignment horizontal="center" shrinkToFit="0" vertical="center" wrapText="1"/>
    </xf>
    <xf borderId="0" fillId="0" fontId="57" numFmtId="0" xfId="0" applyAlignment="1" applyFont="1">
      <alignment horizontal="center" shrinkToFit="0" vertical="center" wrapText="1"/>
    </xf>
    <xf borderId="0" fillId="0" fontId="57" numFmtId="0" xfId="0" applyAlignment="1" applyFont="1">
      <alignment shrinkToFit="0" vertical="center" wrapText="1"/>
    </xf>
    <xf borderId="19" fillId="21" fontId="19" numFmtId="0" xfId="0" applyAlignment="1" applyBorder="1" applyFont="1">
      <alignment horizontal="center" readingOrder="0" shrinkToFit="0" vertical="center" wrapText="1"/>
    </xf>
    <xf borderId="0" fillId="0" fontId="72" numFmtId="0" xfId="0" applyAlignment="1" applyFont="1">
      <alignment horizontal="center" readingOrder="0" shrinkToFit="0" vertical="center" wrapText="1"/>
    </xf>
    <xf borderId="0" fillId="25" fontId="26" numFmtId="0" xfId="0" applyAlignment="1" applyFont="1">
      <alignment horizontal="center" readingOrder="0" shrinkToFit="0" vertical="center" wrapText="1"/>
    </xf>
    <xf borderId="41" fillId="9" fontId="19" numFmtId="0" xfId="0" applyAlignment="1" applyBorder="1" applyFont="1">
      <alignment readingOrder="0"/>
    </xf>
    <xf borderId="0" fillId="9" fontId="19" numFmtId="0" xfId="0" applyAlignment="1" applyFont="1">
      <alignment readingOrder="0"/>
    </xf>
    <xf borderId="19" fillId="27" fontId="19" numFmtId="0" xfId="0" applyAlignment="1" applyBorder="1" applyFill="1" applyFont="1">
      <alignment horizontal="center" readingOrder="0" shrinkToFit="0" vertical="center" wrapText="1"/>
    </xf>
    <xf borderId="0" fillId="0" fontId="21" numFmtId="0" xfId="0" applyAlignment="1" applyFont="1">
      <alignment horizontal="center" readingOrder="0"/>
    </xf>
    <xf borderId="0" fillId="0" fontId="21" numFmtId="2" xfId="0" applyAlignment="1" applyFont="1" applyNumberFormat="1">
      <alignment horizontal="center" vertical="center"/>
    </xf>
    <xf borderId="41" fillId="3" fontId="60" numFmtId="0" xfId="0" applyAlignment="1" applyBorder="1" applyFont="1">
      <alignment horizontal="center" readingOrder="0" shrinkToFit="0" vertical="center" wrapText="1"/>
    </xf>
    <xf borderId="0" fillId="26" fontId="26" numFmtId="0" xfId="0" applyAlignment="1" applyFont="1">
      <alignment horizontal="center" readingOrder="0" shrinkToFit="0" vertical="center" wrapText="1"/>
    </xf>
    <xf borderId="41" fillId="9" fontId="19" numFmtId="0" xfId="0" applyAlignment="1" applyBorder="1" applyFont="1">
      <alignment horizontal="center" readingOrder="0" vertical="center"/>
    </xf>
    <xf borderId="0" fillId="9" fontId="72" numFmtId="0" xfId="0" applyAlignment="1" applyFont="1">
      <alignment horizontal="center" readingOrder="0" vertical="center"/>
    </xf>
    <xf borderId="19" fillId="28" fontId="19" numFmtId="0" xfId="0" applyAlignment="1" applyBorder="1" applyFill="1" applyFont="1">
      <alignment horizontal="center" readingOrder="0" shrinkToFit="0" vertical="center" wrapText="1"/>
    </xf>
    <xf borderId="20" fillId="2" fontId="33" numFmtId="0" xfId="0" applyAlignment="1" applyBorder="1" applyFont="1">
      <alignment horizontal="center" readingOrder="0" shrinkToFit="0" vertical="center" wrapText="1"/>
    </xf>
    <xf borderId="13" fillId="2" fontId="19" numFmtId="2" xfId="0" applyAlignment="1" applyBorder="1" applyFont="1" applyNumberFormat="1">
      <alignment horizontal="center" shrinkToFit="0" vertical="center" wrapText="1"/>
    </xf>
    <xf borderId="13" fillId="0" fontId="1" numFmtId="0" xfId="0" applyAlignment="1" applyBorder="1" applyFont="1">
      <alignment horizontal="center" readingOrder="0" vertical="center"/>
    </xf>
    <xf borderId="13" fillId="2" fontId="34" numFmtId="0" xfId="0" applyAlignment="1" applyBorder="1" applyFont="1">
      <alignment horizontal="center" readingOrder="0" shrinkToFit="0" vertical="center" wrapText="1"/>
    </xf>
    <xf borderId="13" fillId="0" fontId="21" numFmtId="2" xfId="0" applyAlignment="1" applyBorder="1" applyFont="1" applyNumberFormat="1">
      <alignment horizontal="center" shrinkToFit="0" vertical="center" wrapText="1"/>
    </xf>
    <xf borderId="58" fillId="0" fontId="21" numFmtId="0" xfId="0" applyAlignment="1" applyBorder="1" applyFont="1">
      <alignment horizontal="center" shrinkToFit="0" vertical="center" wrapText="1"/>
    </xf>
    <xf borderId="13" fillId="0" fontId="21" numFmtId="10" xfId="0" applyAlignment="1" applyBorder="1" applyFont="1" applyNumberFormat="1">
      <alignment horizontal="center" vertical="center"/>
    </xf>
    <xf borderId="58" fillId="2" fontId="34" numFmtId="0" xfId="0" applyAlignment="1" applyBorder="1" applyFont="1">
      <alignment horizontal="center" readingOrder="0" shrinkToFit="0" vertical="center" wrapText="1"/>
    </xf>
    <xf borderId="13" fillId="0" fontId="1" numFmtId="0" xfId="0" applyAlignment="1" applyBorder="1" applyFont="1">
      <alignment horizontal="center" vertical="center"/>
    </xf>
    <xf borderId="17" fillId="0" fontId="1" numFmtId="0" xfId="0" applyAlignment="1" applyBorder="1" applyFont="1">
      <alignment horizontal="center" vertical="center"/>
    </xf>
    <xf borderId="8" fillId="4" fontId="60" numFmtId="0" xfId="0" applyAlignment="1" applyBorder="1" applyFont="1">
      <alignment horizontal="center" readingOrder="0" shrinkToFit="0" vertical="center" wrapText="1"/>
    </xf>
    <xf borderId="9" fillId="4" fontId="60" numFmtId="0" xfId="0" applyAlignment="1" applyBorder="1" applyFont="1">
      <alignment horizontal="center" readingOrder="0" shrinkToFit="0" vertical="center" wrapText="1"/>
    </xf>
    <xf borderId="10" fillId="4" fontId="60" numFmtId="0" xfId="0" applyAlignment="1" applyBorder="1" applyFont="1">
      <alignment horizontal="center" readingOrder="0" shrinkToFit="0" vertical="center" wrapText="1"/>
    </xf>
    <xf borderId="0" fillId="21" fontId="26" numFmtId="0" xfId="0" applyAlignment="1" applyFont="1">
      <alignment horizontal="center" readingOrder="0" shrinkToFit="0" vertical="center" wrapText="1"/>
    </xf>
    <xf borderId="41" fillId="9" fontId="21" numFmtId="0" xfId="0" applyBorder="1" applyFont="1"/>
    <xf borderId="0" fillId="2" fontId="94" numFmtId="0" xfId="0" applyAlignment="1" applyFont="1">
      <alignment horizontal="center" readingOrder="0" shrinkToFit="0" vertical="center" wrapText="1"/>
    </xf>
    <xf borderId="0" fillId="2" fontId="94" numFmtId="173" xfId="0" applyAlignment="1" applyFont="1" applyNumberFormat="1">
      <alignment horizontal="center" readingOrder="0" shrinkToFit="0" vertical="center" wrapText="1"/>
    </xf>
    <xf borderId="19" fillId="2" fontId="19" numFmtId="0" xfId="0" applyAlignment="1" applyBorder="1" applyFont="1">
      <alignment horizontal="center" readingOrder="0" shrinkToFit="0" vertical="center" wrapText="1"/>
    </xf>
    <xf borderId="0" fillId="2" fontId="43" numFmtId="0" xfId="0" applyAlignment="1" applyFont="1">
      <alignment horizontal="center" readingOrder="0" shrinkToFit="0" vertical="center" wrapText="1"/>
    </xf>
    <xf borderId="0" fillId="0" fontId="1" numFmtId="0" xfId="0" applyAlignment="1" applyFont="1">
      <alignment horizontal="center" shrinkToFit="0" vertical="center" wrapText="1"/>
    </xf>
    <xf borderId="59" fillId="7" fontId="95" numFmtId="0" xfId="0" applyAlignment="1" applyBorder="1" applyFont="1">
      <alignment horizontal="center" readingOrder="0" shrinkToFit="0" vertical="center" wrapText="1"/>
    </xf>
    <xf borderId="0" fillId="7" fontId="95" numFmtId="0" xfId="0" applyAlignment="1" applyFont="1">
      <alignment horizontal="center" readingOrder="0" shrinkToFit="0" vertical="center" wrapText="1"/>
    </xf>
    <xf borderId="40" fillId="0" fontId="18" numFmtId="0" xfId="0" applyBorder="1" applyFont="1"/>
    <xf borderId="40" fillId="7" fontId="57" numFmtId="0" xfId="0" applyAlignment="1" applyBorder="1" applyFont="1">
      <alignment horizontal="center" readingOrder="0" shrinkToFit="0" vertical="center" wrapText="1"/>
    </xf>
    <xf borderId="40" fillId="7" fontId="95" numFmtId="0" xfId="0" applyAlignment="1" applyBorder="1" applyFont="1">
      <alignment horizontal="center" readingOrder="0" shrinkToFit="0" vertical="center" wrapText="1"/>
    </xf>
    <xf borderId="15" fillId="7" fontId="95" numFmtId="0" xfId="0" applyAlignment="1" applyBorder="1" applyFont="1">
      <alignment horizontal="center" readingOrder="0" shrinkToFit="0" vertical="center" wrapText="1"/>
    </xf>
    <xf borderId="0" fillId="27" fontId="26" numFmtId="0" xfId="0" applyAlignment="1" applyFont="1">
      <alignment horizontal="center" readingOrder="0" shrinkToFit="0" vertical="center" wrapText="1"/>
    </xf>
    <xf borderId="24" fillId="4" fontId="1" numFmtId="0" xfId="0" applyAlignment="1" applyBorder="1" applyFont="1">
      <alignment horizontal="center" readingOrder="0" vertical="center"/>
    </xf>
    <xf borderId="34" fillId="0" fontId="96" numFmtId="0" xfId="0" applyAlignment="1" applyBorder="1" applyFont="1">
      <alignment horizontal="center" vertical="center"/>
    </xf>
    <xf borderId="60" fillId="0" fontId="96" numFmtId="0" xfId="0" applyAlignment="1" applyBorder="1" applyFont="1">
      <alignment horizontal="center" shrinkToFit="0" vertical="center" wrapText="1"/>
    </xf>
    <xf borderId="36" fillId="0" fontId="96" numFmtId="0" xfId="0" applyAlignment="1" applyBorder="1" applyFont="1">
      <alignment horizontal="center" shrinkToFit="0" vertical="center" wrapText="1"/>
    </xf>
    <xf borderId="59" fillId="0" fontId="18" numFmtId="0" xfId="0" applyBorder="1" applyFont="1"/>
    <xf borderId="15" fillId="0" fontId="18" numFmtId="0" xfId="0" applyBorder="1" applyFont="1"/>
    <xf borderId="0" fillId="28" fontId="26" numFmtId="0" xfId="0" applyAlignment="1" applyFont="1">
      <alignment horizontal="center" readingOrder="0" shrinkToFit="0" vertical="center" wrapText="1"/>
    </xf>
    <xf borderId="0" fillId="2" fontId="12" numFmtId="166" xfId="0" applyAlignment="1" applyFont="1" applyNumberFormat="1">
      <alignment horizontal="center" readingOrder="0" vertical="center"/>
    </xf>
    <xf borderId="0" fillId="2" fontId="12" numFmtId="0" xfId="0" applyAlignment="1" applyFont="1">
      <alignment horizontal="left" readingOrder="0" vertical="center"/>
    </xf>
    <xf borderId="0" fillId="2" fontId="33" numFmtId="166" xfId="0" applyAlignment="1" applyFont="1" applyNumberFormat="1">
      <alignment horizontal="center" readingOrder="0" shrinkToFit="0" vertical="center" wrapText="1"/>
    </xf>
    <xf borderId="41" fillId="9" fontId="1" numFmtId="0" xfId="0" applyBorder="1" applyFont="1"/>
    <xf borderId="0" fillId="9" fontId="52" numFmtId="0" xfId="0" applyAlignment="1" applyFont="1">
      <alignment horizontal="center" readingOrder="0" vertical="bottom"/>
    </xf>
    <xf borderId="0" fillId="9" fontId="19" numFmtId="0" xfId="0" applyAlignment="1" applyFont="1">
      <alignment horizontal="center" readingOrder="0" shrinkToFit="0" vertical="center" wrapText="1"/>
    </xf>
    <xf borderId="0" fillId="2" fontId="97" numFmtId="0" xfId="0" applyAlignment="1" applyFont="1">
      <alignment horizontal="center" readingOrder="0" shrinkToFit="0" vertical="center" wrapText="1"/>
    </xf>
    <xf borderId="7" fillId="9" fontId="19" numFmtId="0" xfId="0" applyAlignment="1" applyBorder="1" applyFont="1">
      <alignment horizontal="center" readingOrder="0" shrinkToFit="0" vertical="center" wrapText="1"/>
    </xf>
    <xf borderId="19" fillId="0" fontId="19" numFmtId="0" xfId="0" applyAlignment="1" applyBorder="1" applyFont="1">
      <alignment horizontal="center" readingOrder="0" vertical="center"/>
    </xf>
    <xf borderId="0" fillId="9" fontId="98" numFmtId="0" xfId="0" applyAlignment="1" applyFont="1">
      <alignment horizontal="center" readingOrder="0" shrinkToFit="0" vertical="center" wrapText="1"/>
    </xf>
    <xf borderId="20" fillId="0" fontId="1" numFmtId="0" xfId="0" applyAlignment="1" applyBorder="1" applyFont="1">
      <alignment readingOrder="0"/>
    </xf>
    <xf borderId="13" fillId="0" fontId="1" numFmtId="0" xfId="0" applyBorder="1" applyFont="1"/>
    <xf borderId="17" fillId="0" fontId="1" numFmtId="0" xfId="0" applyBorder="1" applyFont="1"/>
    <xf borderId="13" fillId="2" fontId="32" numFmtId="0" xfId="0" applyAlignment="1" applyBorder="1" applyFont="1">
      <alignment horizontal="center" readingOrder="0" shrinkToFit="0" vertical="center" wrapText="1"/>
    </xf>
    <xf borderId="61" fillId="0" fontId="18" numFmtId="0" xfId="0" applyBorder="1" applyFont="1"/>
    <xf borderId="6" fillId="0" fontId="18" numFmtId="0" xfId="0" applyBorder="1" applyFont="1"/>
    <xf borderId="62" fillId="0" fontId="18" numFmtId="0" xfId="0" applyBorder="1" applyFont="1"/>
    <xf borderId="63" fillId="0" fontId="18" numFmtId="0" xfId="0" applyBorder="1" applyFont="1"/>
    <xf borderId="0" fillId="0" fontId="26" numFmtId="0" xfId="0" applyAlignment="1" applyFont="1">
      <alignment horizontal="center" readingOrder="0" vertical="center"/>
    </xf>
    <xf borderId="54" fillId="9" fontId="1" numFmtId="0" xfId="0" applyBorder="1" applyFont="1"/>
    <xf borderId="55" fillId="9" fontId="1" numFmtId="0" xfId="0" applyBorder="1" applyFont="1"/>
    <xf borderId="55" fillId="9" fontId="19" numFmtId="0" xfId="0" applyAlignment="1" applyBorder="1" applyFont="1">
      <alignment horizontal="center" readingOrder="0" vertical="center"/>
    </xf>
    <xf borderId="56" fillId="9" fontId="1" numFmtId="0" xfId="0" applyBorder="1" applyFont="1"/>
    <xf borderId="0" fillId="0" fontId="26" numFmtId="0" xfId="0" applyAlignment="1" applyFont="1">
      <alignment horizontal="center" readingOrder="0"/>
    </xf>
    <xf borderId="0" fillId="0" fontId="99" numFmtId="0" xfId="0" applyAlignment="1" applyFont="1">
      <alignment horizontal="center" readingOrder="0" shrinkToFit="0" vertical="center" wrapText="1"/>
    </xf>
    <xf borderId="0" fillId="2" fontId="19" numFmtId="0" xfId="0" applyAlignment="1" applyFont="1">
      <alignment horizontal="center" readingOrder="0" vertical="center"/>
    </xf>
    <xf borderId="0" fillId="3" fontId="78" numFmtId="0" xfId="0" applyAlignment="1" applyFont="1">
      <alignment horizontal="center" readingOrder="0" shrinkToFit="0" vertical="center" wrapText="1"/>
    </xf>
    <xf borderId="0" fillId="3" fontId="100" numFmtId="0" xfId="0" applyAlignment="1" applyFont="1">
      <alignment horizontal="center" readingOrder="0" vertical="center"/>
    </xf>
    <xf borderId="0" fillId="3" fontId="1" numFmtId="0" xfId="0" applyAlignment="1" applyFont="1">
      <alignment horizontal="center"/>
    </xf>
    <xf borderId="0" fillId="3" fontId="101" numFmtId="0" xfId="0" applyAlignment="1" applyFont="1">
      <alignment horizontal="center" readingOrder="0"/>
    </xf>
    <xf borderId="0" fillId="3" fontId="101" numFmtId="0" xfId="0" applyAlignment="1" applyFont="1">
      <alignment horizontal="center" readingOrder="0" vertical="center"/>
    </xf>
    <xf borderId="24" fillId="4" fontId="101" numFmtId="0" xfId="0" applyAlignment="1" applyBorder="1" applyFont="1">
      <alignment horizontal="center" readingOrder="0" vertical="center"/>
    </xf>
    <xf borderId="47" fillId="3" fontId="102" numFmtId="0" xfId="0" applyAlignment="1" applyBorder="1" applyFont="1">
      <alignment horizontal="center" readingOrder="0" vertical="center"/>
    </xf>
    <xf borderId="0" fillId="3" fontId="103" numFmtId="0" xfId="0" applyAlignment="1" applyFont="1">
      <alignment horizontal="center" readingOrder="0" vertical="center"/>
    </xf>
    <xf borderId="0" fillId="3" fontId="1" numFmtId="0" xfId="0" applyFont="1"/>
    <xf borderId="28" fillId="4" fontId="89" numFmtId="0" xfId="0" applyAlignment="1" applyBorder="1" applyFont="1">
      <alignment horizontal="center" readingOrder="0" shrinkToFit="0" vertical="center" wrapText="1"/>
    </xf>
    <xf borderId="0" fillId="4" fontId="78" numFmtId="0" xfId="0" applyAlignment="1" applyFont="1">
      <alignment horizontal="center" readingOrder="0" vertical="center"/>
    </xf>
    <xf borderId="0" fillId="4" fontId="104" numFmtId="0" xfId="0" applyAlignment="1" applyFont="1">
      <alignment horizontal="center" readingOrder="0"/>
    </xf>
    <xf borderId="0" fillId="4" fontId="101" numFmtId="0" xfId="0" applyAlignment="1" applyFont="1">
      <alignment horizontal="center" readingOrder="0"/>
    </xf>
    <xf borderId="24" fillId="4" fontId="78" numFmtId="0" xfId="0" applyAlignment="1" applyBorder="1" applyFont="1">
      <alignment horizontal="center" readingOrder="0" shrinkToFit="0" vertical="center" wrapText="1"/>
    </xf>
    <xf borderId="0" fillId="4" fontId="89" numFmtId="0" xfId="0" applyAlignment="1" applyFont="1">
      <alignment horizontal="center" readingOrder="0" vertical="center"/>
    </xf>
    <xf borderId="0" fillId="4" fontId="1" numFmtId="0" xfId="0" applyFont="1"/>
    <xf borderId="31" fillId="4" fontId="89" numFmtId="0" xfId="0" applyAlignment="1" applyBorder="1" applyFont="1">
      <alignment horizontal="center" readingOrder="0" shrinkToFit="0" vertical="center" wrapText="1"/>
    </xf>
    <xf borderId="0" fillId="4" fontId="89" numFmtId="0" xfId="0" applyAlignment="1" applyFont="1">
      <alignment horizontal="center" readingOrder="0" shrinkToFit="0" vertical="center" wrapText="1"/>
    </xf>
    <xf borderId="0" fillId="0" fontId="1" numFmtId="0" xfId="0" applyAlignment="1" applyFont="1">
      <alignment shrinkToFit="0" wrapText="1"/>
    </xf>
    <xf borderId="0" fillId="0" fontId="105" numFmtId="0" xfId="0" applyAlignment="1" applyFont="1">
      <alignment horizontal="center" readingOrder="0" shrinkToFit="0" vertical="center" wrapText="1"/>
    </xf>
    <xf borderId="0" fillId="4" fontId="1" numFmtId="0" xfId="0" applyAlignment="1" applyFont="1">
      <alignment shrinkToFit="0" wrapText="1"/>
    </xf>
    <xf borderId="0" fillId="4" fontId="106" numFmtId="0" xfId="0" applyAlignment="1" applyFont="1">
      <alignment horizontal="center" readingOrder="0" shrinkToFit="0" vertical="center" wrapText="1"/>
    </xf>
    <xf borderId="0" fillId="4" fontId="107" numFmtId="0" xfId="0" applyAlignment="1" applyFont="1">
      <alignment horizontal="center" readingOrder="0" shrinkToFit="0" vertical="center" wrapText="1"/>
    </xf>
    <xf borderId="23" fillId="4" fontId="101" numFmtId="0" xfId="0" applyAlignment="1" applyBorder="1" applyFont="1">
      <alignment horizontal="center" readingOrder="0" shrinkToFit="0" vertical="center" wrapText="1"/>
    </xf>
    <xf borderId="64" fillId="23" fontId="108" numFmtId="0" xfId="0" applyAlignment="1" applyBorder="1" applyFont="1">
      <alignment horizontal="center" readingOrder="0" shrinkToFit="0" vertical="center" wrapText="1"/>
    </xf>
    <xf borderId="65" fillId="29" fontId="108" numFmtId="0" xfId="0" applyAlignment="1" applyBorder="1" applyFill="1" applyFont="1">
      <alignment horizontal="center" readingOrder="0" shrinkToFit="0" vertical="center" wrapText="1"/>
    </xf>
    <xf borderId="65" fillId="26" fontId="108" numFmtId="0" xfId="0" applyAlignment="1" applyBorder="1" applyFont="1">
      <alignment horizontal="center" readingOrder="0" shrinkToFit="0" vertical="center" wrapText="1"/>
    </xf>
    <xf borderId="66" fillId="30" fontId="108" numFmtId="0" xfId="0" applyAlignment="1" applyBorder="1" applyFill="1" applyFont="1">
      <alignment horizontal="center" readingOrder="0" shrinkToFit="0" vertical="center" wrapText="1"/>
    </xf>
    <xf borderId="67" fillId="23" fontId="108" numFmtId="0" xfId="0" applyAlignment="1" applyBorder="1" applyFont="1">
      <alignment horizontal="center" readingOrder="0" shrinkToFit="0" vertical="center" wrapText="1"/>
    </xf>
    <xf borderId="65" fillId="29" fontId="108" numFmtId="171" xfId="0" applyAlignment="1" applyBorder="1" applyFont="1" applyNumberFormat="1">
      <alignment horizontal="center" readingOrder="0" shrinkToFit="0" vertical="center" wrapText="1"/>
    </xf>
    <xf borderId="66" fillId="31" fontId="108" numFmtId="0" xfId="0" applyAlignment="1" applyBorder="1" applyFill="1" applyFont="1">
      <alignment horizontal="center" readingOrder="0" shrinkToFit="0" vertical="center" wrapText="1"/>
    </xf>
    <xf borderId="65" fillId="31" fontId="108" numFmtId="0" xfId="0" applyAlignment="1" applyBorder="1" applyFont="1">
      <alignment horizontal="center" readingOrder="0" shrinkToFit="0" vertical="center" wrapText="1"/>
    </xf>
    <xf borderId="0" fillId="4" fontId="1" numFmtId="0" xfId="0" applyAlignment="1" applyFont="1">
      <alignment shrinkToFit="0" wrapText="1"/>
    </xf>
    <xf borderId="0" fillId="0" fontId="1" numFmtId="0" xfId="0" applyAlignment="1" applyFont="1">
      <alignment shrinkToFit="0" wrapText="1"/>
    </xf>
    <xf borderId="50" fillId="24" fontId="89" numFmtId="0" xfId="0" applyAlignment="1" applyBorder="1" applyFont="1">
      <alignment horizontal="center" readingOrder="0" shrinkToFit="0" vertical="center" wrapText="1"/>
    </xf>
    <xf borderId="47" fillId="26" fontId="89" numFmtId="0" xfId="0" applyAlignment="1" applyBorder="1" applyFont="1">
      <alignment horizontal="center" readingOrder="0" shrinkToFit="0" vertical="center" wrapText="1"/>
    </xf>
    <xf borderId="47" fillId="24" fontId="89" numFmtId="0" xfId="0" applyAlignment="1" applyBorder="1" applyFont="1">
      <alignment horizontal="center" readingOrder="0" shrinkToFit="0" vertical="center" wrapText="1"/>
    </xf>
    <xf borderId="0" fillId="24" fontId="89" numFmtId="0" xfId="0" applyAlignment="1" applyFont="1">
      <alignment horizontal="center" readingOrder="0" shrinkToFit="0" vertical="center" wrapText="1"/>
    </xf>
    <xf borderId="68" fillId="24" fontId="89" numFmtId="0" xfId="0" applyAlignment="1" applyBorder="1" applyFont="1">
      <alignment horizontal="center" readingOrder="0" shrinkToFit="0" vertical="center" wrapText="1"/>
    </xf>
    <xf borderId="0" fillId="0" fontId="43" numFmtId="0" xfId="0" applyAlignment="1" applyFont="1">
      <alignment readingOrder="0" shrinkToFit="0" wrapText="1"/>
    </xf>
    <xf borderId="0" fillId="7" fontId="26" numFmtId="0" xfId="0" applyAlignment="1" applyFont="1">
      <alignment horizontal="center" readingOrder="0" shrinkToFit="0" vertical="center" wrapText="1"/>
    </xf>
    <xf borderId="0" fillId="7" fontId="109" numFmtId="0" xfId="0" applyAlignment="1" applyFont="1">
      <alignment horizontal="center" readingOrder="0" shrinkToFit="0" vertical="center" wrapText="1"/>
    </xf>
    <xf borderId="0" fillId="16" fontId="22" numFmtId="0" xfId="0" applyAlignment="1" applyFont="1">
      <alignment horizontal="center" readingOrder="0" shrinkToFit="0" vertical="center" wrapText="1"/>
    </xf>
    <xf borderId="0" fillId="7" fontId="26" numFmtId="174" xfId="0" applyAlignment="1" applyFont="1" applyNumberFormat="1">
      <alignment horizontal="center" readingOrder="0" shrinkToFit="0" vertical="center" wrapText="1"/>
    </xf>
    <xf borderId="0" fillId="7" fontId="26" numFmtId="9" xfId="0" applyAlignment="1" applyFont="1" applyNumberFormat="1">
      <alignment horizontal="center" readingOrder="0" shrinkToFit="0" vertical="center" wrapText="1"/>
    </xf>
    <xf borderId="0" fillId="7" fontId="26" numFmtId="171" xfId="0" applyAlignment="1" applyFont="1" applyNumberFormat="1">
      <alignment horizontal="center" readingOrder="0" shrinkToFit="0" vertical="center" wrapText="1"/>
    </xf>
    <xf borderId="0" fillId="7" fontId="26" numFmtId="169" xfId="0" applyAlignment="1" applyFont="1" applyNumberFormat="1">
      <alignment horizontal="center" readingOrder="0" shrinkToFit="0" vertical="center" wrapText="1"/>
    </xf>
    <xf borderId="0" fillId="7" fontId="26" numFmtId="175" xfId="0" applyAlignment="1" applyFont="1" applyNumberFormat="1">
      <alignment horizontal="center" readingOrder="0" shrinkToFit="0" vertical="center" wrapText="1"/>
    </xf>
    <xf borderId="0" fillId="7" fontId="26" numFmtId="176" xfId="0" applyAlignment="1" applyFont="1" applyNumberFormat="1">
      <alignment horizontal="left" readingOrder="0" shrinkToFit="0" vertical="center" wrapText="1"/>
    </xf>
    <xf borderId="0" fillId="7" fontId="26" numFmtId="177" xfId="0" applyAlignment="1" applyFont="1" applyNumberFormat="1">
      <alignment horizontal="center" readingOrder="0" shrinkToFit="0" vertical="center" wrapText="1"/>
    </xf>
    <xf borderId="0" fillId="7" fontId="26" numFmtId="176" xfId="0" applyAlignment="1" applyFont="1" applyNumberFormat="1">
      <alignment horizontal="left" readingOrder="0" shrinkToFit="0" vertical="center" wrapText="1"/>
    </xf>
    <xf borderId="0" fillId="7" fontId="110" numFmtId="0" xfId="0" applyAlignment="1" applyFont="1">
      <alignment horizontal="center" readingOrder="0" shrinkToFit="0" vertical="center" wrapText="1"/>
    </xf>
    <xf borderId="0" fillId="6" fontId="26"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111" numFmtId="0" xfId="0" applyAlignment="1" applyFont="1">
      <alignment shrinkToFit="0" wrapText="1"/>
    </xf>
    <xf borderId="23" fillId="4" fontId="1" numFmtId="0" xfId="0" applyAlignment="1" applyBorder="1" applyFont="1">
      <alignment horizontal="left" shrinkToFit="0" wrapText="1"/>
    </xf>
    <xf borderId="0" fillId="0" fontId="1" numFmtId="0" xfId="0" applyAlignment="1" applyFont="1">
      <alignment horizontal="center" shrinkToFit="0" wrapText="1"/>
    </xf>
    <xf borderId="0" fillId="0" fontId="101" numFmtId="2" xfId="0" applyAlignment="1" applyFont="1" applyNumberFormat="1">
      <alignment horizontal="center" shrinkToFit="0" wrapText="1"/>
    </xf>
    <xf borderId="0" fillId="0" fontId="101" numFmtId="10" xfId="0" applyAlignment="1" applyFont="1" applyNumberFormat="1">
      <alignment horizontal="center" shrinkToFit="0" wrapText="1"/>
    </xf>
    <xf borderId="0" fillId="0" fontId="101" numFmtId="0" xfId="0" applyAlignment="1" applyFont="1">
      <alignment horizontal="center" shrinkToFit="0" wrapText="1"/>
    </xf>
    <xf borderId="0" fillId="0" fontId="101" numFmtId="0" xfId="0" applyAlignment="1" applyFont="1">
      <alignment horizontal="center" readingOrder="0" shrinkToFit="0" vertical="center" wrapText="1"/>
    </xf>
    <xf borderId="24" fillId="4" fontId="101"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0" fontId="13" numFmtId="169" xfId="0" applyAlignment="1" applyFont="1" applyNumberFormat="1">
      <alignment horizontal="center" readingOrder="0" shrinkToFit="0" vertical="center" wrapText="1"/>
    </xf>
    <xf borderId="32" fillId="0" fontId="13" numFmtId="0" xfId="0" applyAlignment="1" applyBorder="1" applyFont="1">
      <alignment horizontal="center" readingOrder="0" shrinkToFit="0" vertical="center" wrapText="1"/>
    </xf>
    <xf borderId="15" fillId="0" fontId="13" numFmtId="0" xfId="0" applyAlignment="1" applyBorder="1" applyFont="1">
      <alignment horizontal="center" readingOrder="0" shrinkToFit="0" vertical="center" wrapText="1"/>
    </xf>
    <xf borderId="31" fillId="0" fontId="101" numFmtId="2" xfId="0" applyAlignment="1" applyBorder="1" applyFont="1" applyNumberFormat="1">
      <alignment horizontal="center" shrinkToFit="0" vertical="center" wrapText="1"/>
    </xf>
    <xf borderId="0" fillId="0" fontId="101" numFmtId="10" xfId="0" applyAlignment="1" applyFont="1" applyNumberFormat="1">
      <alignment horizontal="center" readingOrder="0" shrinkToFit="0" vertical="center" wrapText="1"/>
    </xf>
    <xf borderId="0" fillId="0" fontId="101" numFmtId="2" xfId="0" applyAlignment="1" applyFont="1" applyNumberFormat="1">
      <alignment horizontal="center" readingOrder="0" shrinkToFit="0" vertical="center" wrapText="1"/>
    </xf>
    <xf borderId="0" fillId="0" fontId="101" numFmtId="2" xfId="0" applyAlignment="1" applyFont="1" applyNumberFormat="1">
      <alignment horizontal="center" shrinkToFit="0" vertical="center" wrapText="1"/>
    </xf>
    <xf borderId="0" fillId="0" fontId="101" numFmtId="10" xfId="0" applyAlignment="1" applyFont="1" applyNumberFormat="1">
      <alignment horizontal="center" shrinkToFit="0" vertical="center" wrapText="1"/>
    </xf>
    <xf borderId="0" fillId="0" fontId="1" numFmtId="2" xfId="0" applyAlignment="1" applyFont="1" applyNumberFormat="1">
      <alignment horizontal="center" shrinkToFit="0" vertical="center" wrapText="1"/>
    </xf>
    <xf borderId="42" fillId="0" fontId="1" numFmtId="2" xfId="0" applyAlignment="1" applyBorder="1" applyFont="1" applyNumberFormat="1">
      <alignment horizontal="center" shrinkToFit="0" vertical="center" wrapText="1"/>
    </xf>
    <xf borderId="0" fillId="2" fontId="109" numFmtId="0" xfId="0" applyAlignment="1" applyFont="1">
      <alignment horizontal="center" readingOrder="0" shrinkToFit="0" vertical="center" wrapText="1"/>
    </xf>
    <xf borderId="0" fillId="2" fontId="22" numFmtId="0" xfId="0" applyAlignment="1" applyFont="1">
      <alignment horizontal="center" readingOrder="0" shrinkToFit="0" vertical="center" wrapText="1"/>
    </xf>
    <xf borderId="0" fillId="2" fontId="26" numFmtId="174" xfId="0" applyAlignment="1" applyFont="1" applyNumberFormat="1">
      <alignment horizontal="center" readingOrder="0" shrinkToFit="0" vertical="center" wrapText="1"/>
    </xf>
    <xf borderId="0" fillId="2" fontId="26" numFmtId="9" xfId="0" applyAlignment="1" applyFont="1" applyNumberFormat="1">
      <alignment horizontal="center" readingOrder="0" shrinkToFit="0" vertical="center" wrapText="1"/>
    </xf>
    <xf borderId="0" fillId="2" fontId="26" numFmtId="171" xfId="0" applyAlignment="1" applyFont="1" applyNumberFormat="1">
      <alignment horizontal="center" readingOrder="0" shrinkToFit="0" vertical="center" wrapText="1"/>
    </xf>
    <xf borderId="0" fillId="2" fontId="26" numFmtId="169" xfId="0" applyAlignment="1" applyFont="1" applyNumberFormat="1">
      <alignment horizontal="center" readingOrder="0" shrinkToFit="0" vertical="center" wrapText="1"/>
    </xf>
    <xf borderId="0" fillId="2" fontId="26" numFmtId="175" xfId="0" applyAlignment="1" applyFont="1" applyNumberFormat="1">
      <alignment horizontal="center" readingOrder="0" shrinkToFit="0" vertical="center" wrapText="1"/>
    </xf>
    <xf borderId="0" fillId="2" fontId="26" numFmtId="176" xfId="0" applyAlignment="1" applyFont="1" applyNumberFormat="1">
      <alignment horizontal="left" readingOrder="0" shrinkToFit="0" vertical="center" wrapText="1"/>
    </xf>
    <xf borderId="0" fillId="2" fontId="26" numFmtId="177" xfId="0" applyAlignment="1" applyFont="1" applyNumberFormat="1">
      <alignment horizontal="center" readingOrder="0" shrinkToFit="0" vertical="center" wrapText="1"/>
    </xf>
    <xf borderId="0" fillId="2" fontId="26" numFmtId="176" xfId="0" applyAlignment="1" applyFont="1" applyNumberFormat="1">
      <alignment horizontal="left" readingOrder="0" shrinkToFit="0" vertical="center" wrapText="1"/>
    </xf>
    <xf borderId="0" fillId="2" fontId="110" numFmtId="0" xfId="0" applyAlignment="1" applyFont="1">
      <alignment horizontal="center" readingOrder="0" shrinkToFit="0" vertical="center" wrapText="1"/>
    </xf>
    <xf borderId="0" fillId="9" fontId="26"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7" fontId="26" numFmtId="169" xfId="0" applyAlignment="1" applyFont="1" applyNumberFormat="1">
      <alignment horizontal="center" shrinkToFit="0" vertical="center" wrapText="1"/>
    </xf>
    <xf borderId="0" fillId="0" fontId="101" numFmtId="0" xfId="0" applyAlignment="1" applyFont="1">
      <alignment horizontal="center" shrinkToFit="0" vertical="center" wrapText="1"/>
    </xf>
    <xf borderId="24" fillId="4" fontId="101" numFmtId="0" xfId="0" applyAlignment="1" applyBorder="1" applyFont="1">
      <alignment horizontal="center" shrinkToFit="0" vertical="center" wrapText="1"/>
    </xf>
    <xf borderId="0" fillId="32" fontId="21" numFmtId="0" xfId="0" applyAlignment="1" applyFill="1" applyFont="1">
      <alignment horizontal="center" readingOrder="0" shrinkToFit="0" wrapText="1"/>
    </xf>
    <xf borderId="0" fillId="2" fontId="20" numFmtId="169" xfId="0" applyAlignment="1" applyFont="1" applyNumberFormat="1">
      <alignment readingOrder="0"/>
    </xf>
    <xf borderId="0" fillId="24" fontId="21" numFmtId="0" xfId="0" applyAlignment="1" applyFont="1">
      <alignment horizontal="center" readingOrder="0" shrinkToFit="0" wrapText="1"/>
    </xf>
    <xf borderId="32" fillId="31" fontId="21" numFmtId="0" xfId="0" applyAlignment="1" applyBorder="1" applyFont="1">
      <alignment horizontal="center" readingOrder="0" shrinkToFit="0" wrapText="1"/>
    </xf>
    <xf borderId="0" fillId="0" fontId="109" numFmtId="0" xfId="0" applyAlignment="1" applyFont="1">
      <alignment horizontal="center" readingOrder="0" shrinkToFit="0" vertical="center" wrapText="1"/>
    </xf>
    <xf borderId="0" fillId="2" fontId="26" numFmtId="9" xfId="0" applyAlignment="1" applyFont="1" applyNumberFormat="1">
      <alignment horizontal="center" shrinkToFit="0" vertical="center" wrapText="1"/>
    </xf>
    <xf borderId="0" fillId="2" fontId="26" numFmtId="171" xfId="0" applyAlignment="1" applyFont="1" applyNumberFormat="1">
      <alignment horizontal="center" shrinkToFit="0" vertical="center" wrapText="1"/>
    </xf>
    <xf borderId="0" fillId="2" fontId="26" numFmtId="176" xfId="0" applyAlignment="1" applyFont="1" applyNumberFormat="1">
      <alignment horizontal="left" shrinkToFit="0" vertical="center" wrapText="1"/>
    </xf>
    <xf borderId="23" fillId="4" fontId="1" numFmtId="0" xfId="0" applyAlignment="1" applyBorder="1" applyFont="1">
      <alignment shrinkToFit="0" wrapText="1"/>
    </xf>
    <xf borderId="0" fillId="7" fontId="26" numFmtId="176" xfId="0" applyAlignment="1" applyFont="1" applyNumberFormat="1">
      <alignment horizontal="left" shrinkToFit="0" vertical="center" wrapText="1"/>
    </xf>
    <xf borderId="0" fillId="33" fontId="21" numFmtId="169" xfId="0" applyAlignment="1" applyFill="1" applyFont="1" applyNumberFormat="1">
      <alignment horizontal="center" readingOrder="0" shrinkToFit="0" wrapText="1"/>
    </xf>
    <xf borderId="0" fillId="2" fontId="26" numFmtId="0" xfId="0" applyAlignment="1" applyFont="1">
      <alignment horizontal="center" shrinkToFit="0" vertical="center" wrapText="1"/>
    </xf>
    <xf borderId="0" fillId="7" fontId="26" numFmtId="171" xfId="0" applyAlignment="1" applyFont="1" applyNumberFormat="1">
      <alignment horizontal="center" shrinkToFit="0" vertical="center" wrapText="1"/>
    </xf>
    <xf borderId="0" fillId="7" fontId="26" numFmtId="0" xfId="0" applyAlignment="1" applyFont="1">
      <alignment horizontal="center" shrinkToFit="0" vertical="center" wrapText="1"/>
    </xf>
    <xf borderId="0" fillId="2" fontId="26" numFmtId="169" xfId="0" applyAlignment="1" applyFont="1" applyNumberFormat="1">
      <alignment horizontal="center" shrinkToFit="0" vertical="center" wrapText="1"/>
    </xf>
    <xf borderId="0" fillId="2" fontId="26" numFmtId="177" xfId="0" applyAlignment="1" applyFont="1" applyNumberFormat="1">
      <alignment horizontal="center" shrinkToFit="0" vertical="center" wrapText="1"/>
    </xf>
    <xf borderId="0" fillId="7" fontId="26" numFmtId="177" xfId="0" applyAlignment="1" applyFont="1" applyNumberFormat="1">
      <alignment horizontal="center" shrinkToFit="0" vertical="center" wrapText="1"/>
    </xf>
    <xf borderId="0" fillId="7" fontId="26" numFmtId="9" xfId="0" applyAlignment="1" applyFont="1" applyNumberFormat="1">
      <alignment horizontal="center" shrinkToFit="0" vertical="center" wrapText="1"/>
    </xf>
    <xf borderId="0" fillId="7" fontId="26" numFmtId="176" xfId="0" applyAlignment="1" applyFont="1" applyNumberFormat="1">
      <alignment horizontal="left" shrinkToFit="0" vertical="center" wrapText="1"/>
    </xf>
    <xf borderId="0" fillId="34" fontId="22" numFmtId="0" xfId="0" applyAlignment="1" applyFill="1" applyFont="1">
      <alignment horizontal="center" readingOrder="0" shrinkToFit="0" vertical="center" wrapText="1"/>
    </xf>
    <xf borderId="0" fillId="0" fontId="1" numFmtId="2" xfId="0" applyAlignment="1" applyFont="1" applyNumberFormat="1">
      <alignment horizontal="center" shrinkToFit="0" wrapText="1"/>
    </xf>
    <xf borderId="0" fillId="0" fontId="1" numFmtId="10" xfId="0" applyAlignment="1" applyFont="1" applyNumberFormat="1">
      <alignment horizontal="center" shrinkToFit="0" wrapText="1"/>
    </xf>
    <xf borderId="24" fillId="4" fontId="1" numFmtId="0" xfId="0" applyAlignment="1" applyBorder="1" applyFont="1">
      <alignment horizontal="center" shrinkToFit="0" vertical="center" wrapText="1"/>
    </xf>
    <xf borderId="0" fillId="0" fontId="1" numFmtId="10" xfId="0" applyAlignment="1" applyFont="1" applyNumberFormat="1">
      <alignment horizontal="center" shrinkToFit="0" vertical="center" wrapText="1"/>
    </xf>
    <xf borderId="0" fillId="2" fontId="21" numFmtId="169" xfId="0" applyAlignment="1" applyFont="1" applyNumberFormat="1">
      <alignment horizontal="center" readingOrder="0" shrinkToFit="0" wrapText="1"/>
    </xf>
    <xf borderId="0" fillId="2" fontId="21" numFmtId="0" xfId="0" applyAlignment="1" applyFont="1">
      <alignment horizontal="center" readingOrder="0" shrinkToFit="0" wrapText="1"/>
    </xf>
    <xf borderId="32" fillId="2" fontId="21" numFmtId="0" xfId="0" applyAlignment="1" applyBorder="1" applyFont="1">
      <alignment horizontal="center" readingOrder="0" shrinkToFit="0" wrapText="1"/>
    </xf>
    <xf borderId="0" fillId="32" fontId="21" numFmtId="0" xfId="0" applyAlignment="1" applyFont="1">
      <alignment horizontal="center" shrinkToFit="0" wrapText="1"/>
    </xf>
    <xf borderId="0" fillId="2" fontId="21" numFmtId="169" xfId="0" applyAlignment="1" applyFont="1" applyNumberFormat="1">
      <alignment horizontal="center" shrinkToFit="0" wrapText="1"/>
    </xf>
    <xf borderId="32" fillId="2" fontId="21" numFmtId="0" xfId="0" applyAlignment="1" applyBorder="1" applyFont="1">
      <alignment horizontal="center" shrinkToFit="0" wrapText="1"/>
    </xf>
    <xf borderId="0" fillId="2" fontId="26" numFmtId="176" xfId="0" applyAlignment="1" applyFont="1" applyNumberFormat="1">
      <alignment horizontal="left" shrinkToFit="0" vertical="center" wrapText="1"/>
    </xf>
    <xf borderId="0" fillId="7" fontId="26" numFmtId="175" xfId="0" applyAlignment="1" applyFont="1" applyNumberFormat="1">
      <alignment horizontal="center" shrinkToFit="0" vertical="center" wrapText="1"/>
    </xf>
    <xf borderId="0" fillId="2" fontId="26" numFmtId="174" xfId="0" applyAlignment="1" applyFont="1" applyNumberFormat="1">
      <alignment horizontal="center" shrinkToFit="0" vertical="center" wrapText="1"/>
    </xf>
    <xf borderId="0" fillId="2" fontId="26" numFmtId="175" xfId="0" applyAlignment="1" applyFont="1" applyNumberFormat="1">
      <alignment horizontal="center" shrinkToFit="0" vertical="center" wrapText="1"/>
    </xf>
    <xf borderId="0" fillId="7" fontId="26" numFmtId="174" xfId="0" applyAlignment="1" applyFont="1" applyNumberFormat="1">
      <alignment horizontal="center" shrinkToFit="0" vertical="center" wrapText="1"/>
    </xf>
    <xf borderId="0" fillId="35" fontId="22" numFmtId="0" xfId="0" applyAlignment="1" applyFill="1" applyFont="1">
      <alignment horizontal="center" shrinkToFit="0" vertical="center" wrapText="1"/>
    </xf>
    <xf borderId="0" fillId="35" fontId="26" numFmtId="174" xfId="0" applyAlignment="1" applyFont="1" applyNumberFormat="1">
      <alignment horizontal="center" shrinkToFit="0" vertical="center" wrapText="1"/>
    </xf>
    <xf borderId="0" fillId="35" fontId="26" numFmtId="9" xfId="0" applyAlignment="1" applyFont="1" applyNumberFormat="1">
      <alignment horizontal="center" shrinkToFit="0" vertical="center" wrapText="1"/>
    </xf>
    <xf borderId="0" fillId="35" fontId="26" numFmtId="171" xfId="0" applyAlignment="1" applyFont="1" applyNumberFormat="1">
      <alignment horizontal="center" shrinkToFit="0" vertical="center" wrapText="1"/>
    </xf>
    <xf borderId="0" fillId="35" fontId="26" numFmtId="169" xfId="0" applyAlignment="1" applyFont="1" applyNumberFormat="1">
      <alignment horizontal="center" shrinkToFit="0" vertical="center" wrapText="1"/>
    </xf>
    <xf borderId="0" fillId="35" fontId="26" numFmtId="175" xfId="0" applyAlignment="1" applyFont="1" applyNumberFormat="1">
      <alignment horizontal="center" shrinkToFit="0" vertical="center" wrapText="1"/>
    </xf>
    <xf borderId="0" fillId="35" fontId="26" numFmtId="176" xfId="0" applyAlignment="1" applyFont="1" applyNumberFormat="1">
      <alignment horizontal="left" shrinkToFit="0" vertical="center" wrapText="1"/>
    </xf>
    <xf borderId="0" fillId="35" fontId="26" numFmtId="177" xfId="0" applyAlignment="1" applyFont="1" applyNumberFormat="1">
      <alignment horizontal="center" shrinkToFit="0" vertical="center" wrapText="1"/>
    </xf>
    <xf borderId="0" fillId="35" fontId="26" numFmtId="176" xfId="0" applyAlignment="1" applyFont="1" applyNumberFormat="1">
      <alignment horizontal="left" shrinkToFit="0" vertical="center" wrapText="1"/>
    </xf>
    <xf borderId="0" fillId="35" fontId="26" numFmtId="0" xfId="0" applyAlignment="1" applyFont="1">
      <alignment horizontal="center" readingOrder="0" shrinkToFit="0" vertical="center" wrapText="1"/>
    </xf>
    <xf borderId="0" fillId="35" fontId="26" numFmtId="0" xfId="0" applyAlignment="1" applyFont="1">
      <alignment horizontal="center" shrinkToFit="0" vertical="center" wrapText="1"/>
    </xf>
    <xf borderId="69" fillId="0" fontId="13" numFmtId="0" xfId="0" applyAlignment="1" applyBorder="1" applyFont="1">
      <alignment horizontal="center" shrinkToFit="0" vertical="center" wrapText="1"/>
    </xf>
    <xf borderId="69" fillId="0" fontId="1" numFmtId="2" xfId="0" applyAlignment="1" applyBorder="1" applyFont="1" applyNumberFormat="1">
      <alignment horizontal="center" shrinkToFit="0" vertical="center" wrapText="1"/>
    </xf>
    <xf borderId="70" fillId="0" fontId="1" numFmtId="2" xfId="0" applyAlignment="1" applyBorder="1" applyFont="1" applyNumberFormat="1">
      <alignment horizontal="center" shrinkToFit="0" vertical="center" wrapText="1"/>
    </xf>
    <xf borderId="55" fillId="0" fontId="112" numFmtId="0" xfId="0" applyAlignment="1" applyBorder="1" applyFont="1">
      <alignment horizontal="center" readingOrder="0"/>
    </xf>
    <xf borderId="0" fillId="0" fontId="113" numFmtId="0" xfId="0" applyAlignment="1" applyFont="1">
      <alignment readingOrder="0" shrinkToFit="0" vertical="top" wrapText="1"/>
    </xf>
    <xf borderId="0" fillId="0" fontId="113" numFmtId="0" xfId="0" applyAlignment="1" applyFont="1">
      <alignment readingOrder="0"/>
    </xf>
    <xf borderId="0" fillId="0" fontId="114" numFmtId="0" xfId="0" applyAlignment="1" applyFont="1">
      <alignment horizontal="center" readingOrder="0"/>
    </xf>
    <xf borderId="0" fillId="9" fontId="1" numFmtId="0" xfId="0" applyAlignment="1" applyFont="1">
      <alignment horizontal="center" readingOrder="0"/>
    </xf>
    <xf borderId="0" fillId="9" fontId="114" numFmtId="0" xfId="0" applyAlignment="1" applyFont="1">
      <alignment horizontal="left" readingOrder="0"/>
    </xf>
    <xf borderId="0" fillId="0" fontId="114" numFmtId="0" xfId="0" applyAlignment="1" applyFont="1">
      <alignment horizontal="left" readingOrder="0"/>
    </xf>
    <xf borderId="0" fillId="9" fontId="114" numFmtId="0" xfId="0" applyAlignment="1" applyFont="1">
      <alignment horizontal="center" readingOrder="0"/>
    </xf>
    <xf borderId="55" fillId="9" fontId="114" numFmtId="0" xfId="0" applyAlignment="1" applyBorder="1" applyFont="1">
      <alignment horizontal="center" readingOrder="0"/>
    </xf>
    <xf borderId="6" fillId="0" fontId="113" numFmtId="0" xfId="0" applyAlignment="1" applyBorder="1" applyFont="1">
      <alignment readingOrder="0"/>
    </xf>
    <xf borderId="6" fillId="9" fontId="115" numFmtId="0" xfId="0" applyAlignment="1" applyBorder="1" applyFont="1">
      <alignment readingOrder="0"/>
    </xf>
    <xf borderId="55" fillId="9" fontId="112" numFmtId="0" xfId="0" applyAlignment="1" applyBorder="1" applyFont="1">
      <alignment horizontal="center" readingOrder="0"/>
    </xf>
    <xf borderId="1" fillId="0" fontId="113" numFmtId="0" xfId="0" applyAlignment="1" applyBorder="1" applyFont="1">
      <alignment readingOrder="0"/>
    </xf>
    <xf borderId="1" fillId="9" fontId="114" numFmtId="0" xfId="0" applyAlignment="1" applyBorder="1" applyFont="1">
      <alignment readingOrder="0"/>
    </xf>
    <xf borderId="6" fillId="7" fontId="114" numFmtId="0" xfId="0" applyAlignment="1" applyBorder="1" applyFont="1">
      <alignment horizontal="center" readingOrder="0" shrinkToFit="0" vertical="center" wrapText="1"/>
    </xf>
    <xf borderId="71" fillId="0" fontId="113" numFmtId="0" xfId="0" applyAlignment="1" applyBorder="1" applyFont="1">
      <alignment readingOrder="0"/>
    </xf>
    <xf borderId="71" fillId="9" fontId="114" numFmtId="0" xfId="0" applyAlignment="1" applyBorder="1" applyFont="1">
      <alignment readingOrder="0"/>
    </xf>
    <xf borderId="0" fillId="0" fontId="113" numFmtId="0" xfId="0" applyAlignment="1" applyFont="1">
      <alignment horizontal="center" readingOrder="0"/>
    </xf>
    <xf borderId="0" fillId="0" fontId="113" numFmtId="9" xfId="0" applyAlignment="1" applyFont="1" applyNumberFormat="1">
      <alignment horizontal="center" readingOrder="0"/>
    </xf>
    <xf borderId="0" fillId="0" fontId="113" numFmtId="0" xfId="0" applyAlignment="1" applyFont="1">
      <alignment horizontal="center"/>
    </xf>
    <xf borderId="55" fillId="0" fontId="113" numFmtId="0" xfId="0" applyAlignment="1" applyBorder="1" applyFont="1">
      <alignment horizontal="center" readingOrder="0"/>
    </xf>
    <xf borderId="55" fillId="0" fontId="113" numFmtId="9" xfId="0" applyAlignment="1" applyBorder="1" applyFont="1" applyNumberFormat="1">
      <alignment horizontal="center" readingOrder="0"/>
    </xf>
    <xf borderId="55" fillId="0" fontId="113" numFmtId="0" xfId="0" applyAlignment="1" applyBorder="1" applyFont="1">
      <alignment horizontal="center"/>
    </xf>
    <xf borderId="0" fillId="2" fontId="116" numFmtId="0" xfId="0" applyAlignment="1" applyFont="1">
      <alignment horizontal="center" readingOrder="0" shrinkToFit="0" vertical="center" wrapText="1"/>
    </xf>
    <xf borderId="0" fillId="3" fontId="117" numFmtId="0" xfId="0" applyAlignment="1" applyFont="1">
      <alignment horizontal="center" readingOrder="0" vertical="center"/>
    </xf>
    <xf borderId="0" fillId="4" fontId="117" numFmtId="0" xfId="0" applyAlignment="1" applyFont="1">
      <alignment horizontal="center" readingOrder="0" vertical="center"/>
    </xf>
    <xf borderId="0" fillId="4" fontId="115" numFmtId="0" xfId="0" applyAlignment="1" applyFont="1">
      <alignment horizontal="center" readingOrder="0" vertical="center"/>
    </xf>
    <xf borderId="0" fillId="4" fontId="21" numFmtId="0" xfId="0" applyAlignment="1" applyFont="1">
      <alignment horizontal="center" vertical="center"/>
    </xf>
    <xf borderId="0" fillId="2" fontId="117" numFmtId="0" xfId="0" applyAlignment="1" applyFont="1">
      <alignment horizontal="center" readingOrder="0" vertical="center"/>
    </xf>
    <xf borderId="72" fillId="36" fontId="117" numFmtId="0" xfId="0" applyAlignment="1" applyBorder="1" applyFill="1" applyFont="1">
      <alignment horizontal="center" readingOrder="0" vertical="center"/>
    </xf>
    <xf borderId="0" fillId="6" fontId="115" numFmtId="0" xfId="0" applyAlignment="1" applyFont="1">
      <alignment horizontal="center" readingOrder="0" vertical="center"/>
    </xf>
    <xf borderId="52" fillId="2" fontId="21" numFmtId="0" xfId="0" applyAlignment="1" applyBorder="1" applyFont="1">
      <alignment horizontal="center" vertical="center"/>
    </xf>
    <xf borderId="0" fillId="6" fontId="115" numFmtId="178" xfId="0" applyAlignment="1" applyFont="1" applyNumberFormat="1">
      <alignment horizontal="center" readingOrder="0" vertical="center"/>
    </xf>
    <xf borderId="41" fillId="0" fontId="18" numFmtId="0" xfId="0" applyBorder="1" applyFont="1"/>
    <xf borderId="0" fillId="6" fontId="114" numFmtId="178" xfId="0" applyAlignment="1" applyFont="1" applyNumberFormat="1">
      <alignment horizontal="center" readingOrder="0" vertical="center"/>
    </xf>
    <xf borderId="54" fillId="0" fontId="18" numFmtId="0" xfId="0" applyBorder="1" applyFont="1"/>
    <xf borderId="72" fillId="4" fontId="117" numFmtId="0" xfId="0" applyAlignment="1" applyBorder="1" applyFont="1">
      <alignment horizontal="center" readingOrder="0" vertical="center"/>
    </xf>
    <xf borderId="40" fillId="4" fontId="117" numFmtId="0" xfId="0" applyAlignment="1" applyBorder="1" applyFont="1">
      <alignment horizontal="center" readingOrder="0" vertical="center"/>
    </xf>
    <xf borderId="0" fillId="0" fontId="118" numFmtId="0" xfId="0" applyAlignment="1" applyFont="1">
      <alignment horizontal="center" vertical="center"/>
    </xf>
    <xf borderId="72" fillId="9" fontId="114" numFmtId="0" xfId="0" applyAlignment="1" applyBorder="1" applyFont="1">
      <alignment horizontal="center" readingOrder="0" shrinkToFit="0" vertical="center" wrapText="1"/>
    </xf>
    <xf borderId="0" fillId="9" fontId="114" numFmtId="0" xfId="0" applyAlignment="1" applyFont="1">
      <alignment horizontal="center" readingOrder="0" vertical="center"/>
    </xf>
    <xf borderId="0" fillId="9" fontId="114" numFmtId="0" xfId="0" applyAlignment="1" applyFont="1">
      <alignment horizontal="center" vertical="center"/>
    </xf>
    <xf borderId="0" fillId="9" fontId="114" numFmtId="14" xfId="0" applyAlignment="1" applyFont="1" applyNumberFormat="1">
      <alignment horizontal="center" vertical="center"/>
    </xf>
    <xf borderId="0" fillId="9" fontId="115" numFmtId="2" xfId="0" applyAlignment="1" applyFont="1" applyNumberFormat="1">
      <alignment horizontal="center" readingOrder="0" vertical="center"/>
    </xf>
    <xf borderId="0" fillId="9" fontId="114" numFmtId="169" xfId="0" applyAlignment="1" applyFont="1" applyNumberFormat="1">
      <alignment horizontal="center" readingOrder="0" vertical="center"/>
    </xf>
    <xf borderId="0" fillId="9" fontId="114" numFmtId="10" xfId="0" applyAlignment="1" applyFont="1" applyNumberFormat="1">
      <alignment horizontal="center" readingOrder="0" vertical="center"/>
    </xf>
    <xf borderId="59" fillId="37" fontId="119" numFmtId="0" xfId="0" applyAlignment="1" applyBorder="1" applyFill="1" applyFont="1">
      <alignment horizontal="center" readingOrder="0" shrinkToFit="0" vertical="center" wrapText="1"/>
    </xf>
    <xf borderId="72" fillId="0" fontId="18" numFmtId="0" xfId="0" applyBorder="1" applyFont="1"/>
    <xf borderId="0" fillId="9" fontId="114" numFmtId="2" xfId="0" applyAlignment="1" applyFont="1" applyNumberFormat="1">
      <alignment horizontal="center" readingOrder="0" vertical="center"/>
    </xf>
    <xf borderId="72" fillId="2" fontId="114" numFmtId="0" xfId="0" applyAlignment="1" applyBorder="1" applyFont="1">
      <alignment horizontal="center" readingOrder="0" shrinkToFit="0" vertical="center" wrapText="1"/>
    </xf>
    <xf borderId="0" fillId="2" fontId="114" numFmtId="0" xfId="0" applyAlignment="1" applyFont="1">
      <alignment horizontal="center" readingOrder="0" vertical="center"/>
    </xf>
    <xf borderId="0" fillId="2" fontId="114" numFmtId="0" xfId="0" applyAlignment="1" applyFont="1">
      <alignment horizontal="center" vertical="center"/>
    </xf>
    <xf borderId="0" fillId="2" fontId="114" numFmtId="14" xfId="0" applyAlignment="1" applyFont="1" applyNumberFormat="1">
      <alignment horizontal="center" vertical="center"/>
    </xf>
    <xf borderId="0" fillId="2" fontId="114" numFmtId="2" xfId="0" applyAlignment="1" applyFont="1" applyNumberFormat="1">
      <alignment horizontal="center" readingOrder="0" vertical="center"/>
    </xf>
    <xf borderId="0" fillId="2" fontId="115" numFmtId="2" xfId="0" applyAlignment="1" applyFont="1" applyNumberFormat="1">
      <alignment horizontal="center" readingOrder="0" vertical="center"/>
    </xf>
    <xf borderId="0" fillId="2" fontId="114" numFmtId="169" xfId="0" applyAlignment="1" applyFont="1" applyNumberFormat="1">
      <alignment horizontal="center" readingOrder="0" vertical="center"/>
    </xf>
    <xf borderId="0" fillId="2" fontId="114" numFmtId="10" xfId="0" applyAlignment="1" applyFont="1" applyNumberFormat="1">
      <alignment horizontal="center" readingOrder="0" vertical="center"/>
    </xf>
    <xf borderId="59" fillId="38" fontId="119" numFmtId="0" xfId="0" applyAlignment="1" applyBorder="1" applyFill="1" applyFont="1">
      <alignment horizontal="center" readingOrder="0" shrinkToFit="0" vertical="center" wrapText="1"/>
    </xf>
    <xf borderId="72" fillId="2" fontId="114" numFmtId="0" xfId="0" applyAlignment="1" applyBorder="1" applyFont="1">
      <alignment horizontal="center" shrinkToFit="0" vertical="center" wrapText="1"/>
    </xf>
    <xf borderId="72" fillId="9" fontId="114" numFmtId="0" xfId="0" applyAlignment="1" applyBorder="1" applyFont="1">
      <alignment horizontal="center" shrinkToFit="0" vertical="center" wrapText="1"/>
    </xf>
    <xf borderId="0" fillId="0" fontId="114" numFmtId="169" xfId="0" applyAlignment="1" applyFont="1" applyNumberFormat="1">
      <alignment horizontal="center" readingOrder="0" vertical="center"/>
    </xf>
    <xf borderId="0" fillId="0" fontId="114" numFmtId="10" xfId="0" applyAlignment="1" applyFont="1" applyNumberFormat="1">
      <alignment horizontal="center" readingOrder="0" vertical="center"/>
    </xf>
    <xf borderId="0" fillId="0" fontId="115" numFmtId="2" xfId="0" applyAlignment="1" applyFont="1" applyNumberFormat="1">
      <alignment horizontal="center" readingOrder="0" vertical="center"/>
    </xf>
    <xf borderId="0" fillId="2" fontId="117" numFmtId="166" xfId="0" applyAlignment="1" applyFont="1" applyNumberFormat="1">
      <alignment horizontal="center" readingOrder="0" vertical="center"/>
    </xf>
    <xf borderId="0" fillId="0" fontId="1" numFmtId="0" xfId="0" applyAlignment="1" applyFont="1">
      <alignment readingOrder="0"/>
    </xf>
    <xf borderId="0" fillId="0" fontId="114" numFmtId="14" xfId="0" applyAlignment="1" applyFont="1" applyNumberFormat="1">
      <alignment horizontal="center" vertical="center"/>
    </xf>
    <xf borderId="73" fillId="0" fontId="18" numFmtId="0" xfId="0" applyBorder="1" applyFont="1"/>
    <xf borderId="6" fillId="2" fontId="114" numFmtId="0" xfId="0" applyAlignment="1" applyBorder="1" applyFont="1">
      <alignment horizontal="center" vertical="center"/>
    </xf>
    <xf borderId="6" fillId="0" fontId="114" numFmtId="14" xfId="0" applyAlignment="1" applyBorder="1" applyFont="1" applyNumberFormat="1">
      <alignment horizontal="center" vertical="center"/>
    </xf>
    <xf borderId="6" fillId="0" fontId="1" numFmtId="0" xfId="0" applyBorder="1" applyFont="1"/>
    <xf borderId="74" fillId="0" fontId="18" numFmtId="0" xfId="0" applyBorder="1" applyFont="1"/>
  </cellXfs>
  <cellStyles count="1">
    <cellStyle xfId="0" name="Normal" builtinId="0"/>
  </cellStyles>
  <dxfs count="47">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i/>
        <color rgb="FFFFFFFF"/>
      </font>
      <fill>
        <patternFill patternType="solid">
          <fgColor rgb="FF000000"/>
          <bgColor rgb="FF000000"/>
        </patternFill>
      </fill>
      <border/>
    </dxf>
    <dxf>
      <font/>
      <fill>
        <patternFill patternType="solid">
          <fgColor rgb="FFFFD966"/>
          <bgColor rgb="FFFFD966"/>
        </patternFill>
      </fill>
      <border/>
    </dxf>
    <dxf>
      <font/>
      <fill>
        <patternFill patternType="solid">
          <fgColor rgb="FF8E7CC3"/>
          <bgColor rgb="FF8E7CC3"/>
        </patternFill>
      </fill>
      <border/>
    </dxf>
    <dxf>
      <font/>
      <fill>
        <patternFill patternType="solid">
          <fgColor rgb="FF6D9EEB"/>
          <bgColor rgb="FF6D9EEB"/>
        </patternFill>
      </fill>
      <border/>
    </dxf>
    <dxf>
      <font/>
      <fill>
        <patternFill patternType="solid">
          <fgColor rgb="FFE06666"/>
          <bgColor rgb="FFE06666"/>
        </patternFill>
      </fill>
      <border/>
    </dxf>
    <dxf>
      <font/>
      <fill>
        <patternFill patternType="solid">
          <fgColor rgb="FF93C47D"/>
          <bgColor rgb="FF93C47D"/>
        </patternFill>
      </fill>
      <border/>
    </dxf>
    <dxf>
      <font>
        <color rgb="FFFFFFFF"/>
      </font>
      <fill>
        <patternFill patternType="solid">
          <fgColor rgb="FF000000"/>
          <bgColor rgb="FF000000"/>
        </patternFill>
      </fill>
      <border/>
    </dxf>
    <dxf>
      <font>
        <color rgb="FF000000"/>
      </font>
      <fill>
        <patternFill patternType="solid">
          <fgColor rgb="FF6D9EEB"/>
          <bgColor rgb="FF6D9EEB"/>
        </patternFill>
      </fill>
      <border/>
    </dxf>
    <dxf>
      <font>
        <color rgb="FF000000"/>
      </font>
      <fill>
        <patternFill patternType="solid">
          <fgColor rgb="FFE06666"/>
          <bgColor rgb="FFE06666"/>
        </patternFill>
      </fill>
      <border/>
    </dxf>
    <dxf>
      <font>
        <color rgb="FF000000"/>
      </font>
      <fill>
        <patternFill patternType="solid">
          <fgColor rgb="FF93C47D"/>
          <bgColor rgb="FF93C47D"/>
        </patternFill>
      </fill>
      <border/>
    </dxf>
    <dxf>
      <font/>
      <fill>
        <patternFill patternType="solid">
          <fgColor rgb="FFCC4125"/>
          <bgColor rgb="FFCC4125"/>
        </patternFill>
      </fill>
      <border/>
    </dxf>
    <dxf>
      <font>
        <b/>
        <i/>
        <color rgb="FFFFFFFF"/>
      </font>
      <fill>
        <patternFill patternType="solid">
          <fgColor theme="1"/>
          <bgColor theme="1"/>
        </patternFill>
      </fill>
      <border/>
    </dxf>
    <dxf>
      <font/>
      <fill>
        <patternFill patternType="solid">
          <fgColor rgb="FF34A853"/>
          <bgColor rgb="FF34A853"/>
        </patternFill>
      </fill>
      <border/>
    </dxf>
    <dxf>
      <font/>
      <fill>
        <patternFill patternType="solid">
          <fgColor rgb="FFFBBC04"/>
          <bgColor rgb="FFFBBC04"/>
        </patternFill>
      </fill>
      <border/>
    </dxf>
    <dxf>
      <font/>
      <fill>
        <patternFill patternType="solid">
          <fgColor theme="4"/>
          <bgColor theme="4"/>
        </patternFill>
      </fill>
      <border/>
    </dxf>
    <dxf>
      <font>
        <color rgb="FFFFFFFF"/>
      </font>
      <fill>
        <patternFill patternType="solid">
          <fgColor theme="1"/>
          <bgColor theme="1"/>
        </patternFill>
      </fill>
      <border/>
    </dxf>
    <dxf>
      <font>
        <color rgb="FFFFFFFF"/>
      </font>
      <fill>
        <patternFill patternType="solid">
          <fgColor rgb="FFFFFFFF"/>
          <bgColor rgb="FFFFFFFF"/>
        </patternFill>
      </fill>
      <border/>
    </dxf>
    <dxf>
      <font>
        <b/>
        <color rgb="FF000000"/>
      </font>
      <fill>
        <patternFill patternType="solid">
          <fgColor rgb="FFD9D9D9"/>
          <bgColor rgb="FFD9D9D9"/>
        </patternFill>
      </fill>
      <border/>
    </dxf>
    <dxf>
      <font>
        <b/>
        <color rgb="FFFFFFFF"/>
      </font>
      <fill>
        <patternFill patternType="solid">
          <fgColor rgb="FF000000"/>
          <bgColor rgb="FF000000"/>
        </patternFill>
      </fill>
      <border/>
    </dxf>
    <dxf>
      <font>
        <b/>
        <color rgb="FF000000"/>
      </font>
      <fill>
        <patternFill patternType="solid">
          <fgColor rgb="FF8E7CC3"/>
          <bgColor rgb="FF8E7CC3"/>
        </patternFill>
      </fill>
      <border/>
    </dxf>
    <dxf>
      <font>
        <b/>
        <color rgb="FF000000"/>
      </font>
      <fill>
        <patternFill patternType="solid">
          <fgColor rgb="FF6D9EEB"/>
          <bgColor rgb="FF6D9EEB"/>
        </patternFill>
      </fill>
      <border/>
    </dxf>
    <dxf>
      <font>
        <b/>
        <color rgb="FFFFFFFF"/>
      </font>
      <fill>
        <patternFill patternType="solid">
          <fgColor rgb="FFCC4125"/>
          <bgColor rgb="FFCC4125"/>
        </patternFill>
      </fill>
      <border/>
    </dxf>
    <dxf>
      <font>
        <b/>
        <color rgb="FF000000"/>
      </font>
      <fill>
        <patternFill patternType="solid">
          <fgColor rgb="FF93C47D"/>
          <bgColor rgb="FF93C47D"/>
        </patternFill>
      </fill>
      <border/>
    </dxf>
    <dxf>
      <font>
        <b/>
        <color rgb="FFFFFFFF"/>
      </font>
      <fill>
        <patternFill patternType="solid">
          <fgColor rgb="FFFF0000"/>
          <bgColor rgb="FFFF0000"/>
        </patternFill>
      </fill>
      <border/>
    </dxf>
    <dxf>
      <font/>
      <fill>
        <patternFill patternType="solid">
          <fgColor rgb="FFBFE1F6"/>
          <bgColor rgb="FFBFE1F6"/>
        </patternFill>
      </fill>
      <border/>
    </dxf>
    <dxf>
      <font>
        <color rgb="FF000000"/>
      </font>
      <fill>
        <patternFill patternType="solid">
          <fgColor rgb="FFBFE1F6"/>
          <bgColor rgb="FFBFE1F6"/>
        </patternFill>
      </fill>
      <border/>
    </dxf>
    <dxf>
      <font/>
      <fill>
        <patternFill patternType="solid">
          <fgColor rgb="FFD4EDBC"/>
          <bgColor rgb="FFD4EDBC"/>
        </patternFill>
      </fill>
      <border/>
    </dxf>
    <dxf>
      <font/>
      <fill>
        <patternFill patternType="solid">
          <fgColor rgb="FFFFCFC9"/>
          <bgColor rgb="FFFFCFC9"/>
        </patternFill>
      </fill>
      <border/>
    </dxf>
    <dxf>
      <font>
        <b/>
        <i/>
        <color rgb="FF0A53B9"/>
      </font>
      <fill>
        <patternFill patternType="solid">
          <fgColor rgb="FFA7E1F6"/>
          <bgColor rgb="FFA7E1F6"/>
        </patternFill>
      </fill>
      <border/>
    </dxf>
    <dxf>
      <font>
        <b/>
        <i/>
        <color rgb="FF50734F"/>
      </font>
      <fill>
        <patternFill patternType="solid">
          <fgColor rgb="FFD4EDBC"/>
          <bgColor rgb="FFD4EDBC"/>
        </patternFill>
      </fill>
      <border/>
    </dxf>
    <dxf>
      <font>
        <b/>
        <i/>
        <color rgb="FFB11F3B"/>
      </font>
      <fill>
        <patternFill patternType="solid">
          <fgColor rgb="FFFFCFC9"/>
          <bgColor rgb="FFFFCFC9"/>
        </patternFill>
      </fill>
      <border/>
    </dxf>
    <dxf>
      <font/>
      <fill>
        <patternFill patternType="solid">
          <fgColor rgb="FFE6CFF2"/>
          <bgColor rgb="FFE6CFF2"/>
        </patternFill>
      </fill>
      <border/>
    </dxf>
    <dxf>
      <font>
        <b/>
        <i/>
      </font>
      <fill>
        <patternFill patternType="solid">
          <fgColor rgb="FFE6CFF2"/>
          <bgColor rgb="FFE6CFF2"/>
        </patternFill>
      </fill>
      <border/>
    </dxf>
    <dxf>
      <font/>
      <fill>
        <patternFill patternType="solid">
          <fgColor rgb="FFD9D9D9"/>
          <bgColor rgb="FFD9D9D9"/>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A4C2F4"/>
          <bgColor rgb="FFA4C2F4"/>
        </patternFill>
      </fill>
      <border/>
    </dxf>
    <dxf>
      <font/>
      <fill>
        <patternFill patternType="solid">
          <fgColor rgb="FFC9DAF8"/>
          <bgColor rgb="FFC9DAF8"/>
        </patternFill>
      </fill>
      <border/>
    </dxf>
    <dxf>
      <font>
        <color rgb="FFF3F3F3"/>
      </font>
      <fill>
        <patternFill patternType="none"/>
      </fill>
      <border/>
    </dxf>
    <dxf>
      <font/>
      <fill>
        <patternFill patternType="solid">
          <fgColor rgb="FF000000"/>
          <bgColor rgb="FF000000"/>
        </patternFill>
      </fill>
      <border/>
    </dxf>
    <dxf>
      <font/>
      <fill>
        <patternFill patternType="solid">
          <fgColor rgb="FFB7E1CD"/>
          <bgColor rgb="FFB7E1CD"/>
        </patternFill>
      </fill>
      <border/>
    </dxf>
    <dxf>
      <font/>
      <fill>
        <patternFill patternType="solid">
          <fgColor rgb="FFA64D79"/>
          <bgColor rgb="FFA64D79"/>
        </patternFill>
      </fill>
      <border/>
    </dxf>
    <dxf>
      <font>
        <color rgb="FF000000"/>
      </font>
      <fill>
        <patternFill patternType="solid">
          <fgColor rgb="FF000000"/>
          <bgColor rgb="FF000000"/>
        </patternFill>
      </fill>
      <border/>
    </dxf>
    <dxf>
      <font>
        <color rgb="FFFFFFFF"/>
      </font>
      <fill>
        <patternFill patternType="none"/>
      </fill>
      <border/>
    </dxf>
  </dxfs>
  <tableStyles count="16">
    <tableStyle count="2" pivot="0" name="Copia de Introducción-style">
      <tableStyleElement dxfId="1" type="firstRowStripe"/>
      <tableStyleElement dxfId="2" type="secondRowStripe"/>
    </tableStyle>
    <tableStyle count="2" pivot="0" name="Copia de Bloque 5 Semana 2-style">
      <tableStyleElement dxfId="37" type="firstRowStripe"/>
      <tableStyleElement dxfId="38" type="secondRowStripe"/>
    </tableStyle>
    <tableStyle count="2" pivot="0" name="Copia de Bloque 5 Semana 2-style 2">
      <tableStyleElement dxfId="39" type="firstRowStripe"/>
      <tableStyleElement dxfId="40" type="secondRowStripe"/>
    </tableStyle>
    <tableStyle count="2" pivot="0" name="Copia de Bloque 5 Semana 2-style 3">
      <tableStyleElement dxfId="2" type="firstRowStripe"/>
      <tableStyleElement dxfId="1" type="secondRowStripe"/>
    </tableStyle>
    <tableStyle count="2" pivot="0" name="Copia de Bloque 5 Semana 3-style">
      <tableStyleElement dxfId="37" type="firstRowStripe"/>
      <tableStyleElement dxfId="38" type="secondRowStripe"/>
    </tableStyle>
    <tableStyle count="2" pivot="0" name="Copia de Bloque 5 Semana 3-style 2">
      <tableStyleElement dxfId="39" type="firstRowStripe"/>
      <tableStyleElement dxfId="40" type="secondRowStripe"/>
    </tableStyle>
    <tableStyle count="2" pivot="0" name="Copia de Bloque 5 Semana 3-style 3">
      <tableStyleElement dxfId="2" type="firstRowStripe"/>
      <tableStyleElement dxfId="1" type="secondRowStripe"/>
    </tableStyle>
    <tableStyle count="2" pivot="0" name="Copia de Bloque 6 Semana 1-style">
      <tableStyleElement dxfId="37" type="firstRowStripe"/>
      <tableStyleElement dxfId="38" type="secondRowStripe"/>
    </tableStyle>
    <tableStyle count="2" pivot="0" name="Copia de Bloque 6 Semana 1-style 2">
      <tableStyleElement dxfId="39" type="firstRowStripe"/>
      <tableStyleElement dxfId="40" type="secondRowStripe"/>
    </tableStyle>
    <tableStyle count="2" pivot="0" name="Copia de Bloque 6 Semana 1-style 3">
      <tableStyleElement dxfId="2" type="firstRowStripe"/>
      <tableStyleElement dxfId="1" type="secondRowStripe"/>
    </tableStyle>
    <tableStyle count="2" pivot="0" name="Copia de Bloque 6 Semana 2-style">
      <tableStyleElement dxfId="37" type="firstRowStripe"/>
      <tableStyleElement dxfId="38" type="secondRowStripe"/>
    </tableStyle>
    <tableStyle count="2" pivot="0" name="Copia de Bloque 6 Semana 2-style 2">
      <tableStyleElement dxfId="39" type="firstRowStripe"/>
      <tableStyleElement dxfId="40" type="secondRowStripe"/>
    </tableStyle>
    <tableStyle count="2" pivot="0" name="Copia de Bloque 6 Semana 2-style 3">
      <tableStyleElement dxfId="2" type="firstRowStripe"/>
      <tableStyleElement dxfId="1" type="secondRowStripe"/>
    </tableStyle>
    <tableStyle count="2" pivot="0" name="Copia de Bloque 6 Semana 3-style">
      <tableStyleElement dxfId="37" type="firstRowStripe"/>
      <tableStyleElement dxfId="38" type="secondRowStripe"/>
    </tableStyle>
    <tableStyle count="2" pivot="0" name="Copia de Bloque 6 Semana 3-style 2">
      <tableStyleElement dxfId="39" type="firstRowStripe"/>
      <tableStyleElement dxfId="40" type="secondRowStripe"/>
    </tableStyle>
    <tableStyle count="2" pivot="0" name="Copia de Bloque 6 Semana 3-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897660557"/>
        <c:axId val="349129744"/>
      </c:lineChart>
      <c:catAx>
        <c:axId val="8976605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349129744"/>
      </c:catAx>
      <c:valAx>
        <c:axId val="349129744"/>
        <c:scaling>
          <c:orientation val="minMax"/>
        </c:scaling>
        <c:delete val="0"/>
        <c:axPos val="l"/>
        <c:tickLblPos val="nextTo"/>
        <c:spPr>
          <a:ln>
            <a:noFill/>
          </a:ln>
        </c:spPr>
        <c:crossAx val="897660557"/>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NL</a:t>
            </a:r>
          </a:p>
        </c:rich>
      </c:tx>
      <c:overlay val="0"/>
    </c:title>
    <c:plotArea>
      <c:layout/>
      <c:lineChart>
        <c:axId val="1198073002"/>
        <c:axId val="1719285957"/>
      </c:lineChart>
      <c:catAx>
        <c:axId val="11980730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719285957"/>
      </c:catAx>
      <c:valAx>
        <c:axId val="1719285957"/>
        <c:scaling>
          <c:orientation val="minMax"/>
        </c:scaling>
        <c:delete val="0"/>
        <c:axPos val="l"/>
        <c:tickLblPos val="nextTo"/>
        <c:spPr>
          <a:ln>
            <a:noFill/>
          </a:ln>
        </c:spPr>
        <c:crossAx val="1198073002"/>
      </c:valAx>
    </c:plotArea>
    <c:legend>
      <c:legendPos val="r"/>
      <c:overlay val="0"/>
      <c:txPr>
        <a:bodyPr/>
        <a:lstStyle/>
        <a:p>
          <a:pPr lvl="0">
            <a:defRPr b="0">
              <a:solidFill>
                <a:srgbClr val="1A1A1A"/>
              </a:solidFill>
              <a:latin typeface="+mn-lt"/>
            </a:defRPr>
          </a:pPr>
        </a:p>
      </c:txPr>
    </c:legend>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pred1RM</a:t>
            </a:r>
          </a:p>
        </c:rich>
      </c:tx>
      <c:overlay val="0"/>
    </c:title>
    <c:plotArea>
      <c:layout/>
      <c:lineChart>
        <c:axId val="13747265"/>
        <c:axId val="1171574552"/>
      </c:lineChart>
      <c:catAx>
        <c:axId val="13747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171574552"/>
      </c:catAx>
      <c:valAx>
        <c:axId val="1171574552"/>
        <c:scaling>
          <c:orientation val="minMax"/>
        </c:scaling>
        <c:delete val="0"/>
        <c:axPos val="l"/>
        <c:tickLblPos val="nextTo"/>
        <c:spPr>
          <a:ln>
            <a:noFill/>
          </a:ln>
        </c:spPr>
        <c:crossAx val="13747265"/>
      </c:valAx>
    </c:plotArea>
    <c:legend>
      <c:legendPos val="r"/>
      <c:overlay val="0"/>
      <c:txPr>
        <a:bodyPr/>
        <a:lstStyle/>
        <a:p>
          <a:pPr lvl="0">
            <a:defRPr b="0">
              <a:solidFill>
                <a:srgbClr val="1A1A1A"/>
              </a:solidFill>
              <a:latin typeface="+mn-lt"/>
            </a:defRPr>
          </a:pPr>
        </a:p>
      </c:txPr>
    </c:legend>
    <c:plotVisOnly val="0"/>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TONELAJE</a:t>
            </a:r>
          </a:p>
        </c:rich>
      </c:tx>
      <c:overlay val="0"/>
    </c:title>
    <c:plotArea>
      <c:layout/>
      <c:lineChart>
        <c:axId val="1789672022"/>
        <c:axId val="1521563269"/>
      </c:lineChart>
      <c:catAx>
        <c:axId val="1789672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521563269"/>
      </c:catAx>
      <c:valAx>
        <c:axId val="1521563269"/>
        <c:scaling>
          <c:orientation val="minMax"/>
        </c:scaling>
        <c:delete val="0"/>
        <c:axPos val="l"/>
        <c:tickLblPos val="nextTo"/>
        <c:spPr>
          <a:ln>
            <a:noFill/>
          </a:ln>
        </c:spPr>
        <c:crossAx val="1789672022"/>
      </c:valAx>
    </c:plotArea>
    <c:legend>
      <c:legendPos val="r"/>
      <c:overlay val="0"/>
      <c:txPr>
        <a:bodyPr/>
        <a:lstStyle/>
        <a:p>
          <a:pPr lvl="0">
            <a:defRPr b="0">
              <a:solidFill>
                <a:srgbClr val="1A1A1A"/>
              </a:solidFill>
              <a:latin typeface="+mn-lt"/>
            </a:defRPr>
          </a:pPr>
        </a:p>
      </c:txPr>
    </c:legend>
    <c:plotVisOnly val="0"/>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BÁSICOS</a:t>
            </a:r>
          </a:p>
        </c:rich>
      </c:tx>
      <c:overlay val="0"/>
    </c:title>
    <c:plotArea>
      <c:layout/>
      <c:lineChart>
        <c:axId val="1857806284"/>
        <c:axId val="1409566766"/>
      </c:lineChart>
      <c:catAx>
        <c:axId val="1857806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9566766"/>
      </c:catAx>
      <c:valAx>
        <c:axId val="1409566766"/>
        <c:scaling>
          <c:orientation val="minMax"/>
        </c:scaling>
        <c:delete val="0"/>
        <c:axPos val="l"/>
        <c:tickLblPos val="nextTo"/>
        <c:spPr>
          <a:ln>
            <a:noFill/>
          </a:ln>
        </c:spPr>
        <c:crossAx val="1857806284"/>
      </c:valAx>
    </c:plotArea>
    <c:legend>
      <c:legendPos val="r"/>
      <c:overlay val="0"/>
      <c:txPr>
        <a:bodyPr/>
        <a:lstStyle/>
        <a:p>
          <a:pPr lvl="0">
            <a:defRPr b="0">
              <a:solidFill>
                <a:srgbClr val="1A1A1A"/>
              </a:solidFill>
              <a:latin typeface="+mn-lt"/>
            </a:defRPr>
          </a:pPr>
        </a:p>
      </c:txPr>
    </c:legend>
    <c:plotVisOnly val="0"/>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139354332"/>
        <c:axId val="182298124"/>
      </c:lineChart>
      <c:catAx>
        <c:axId val="11393543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2298124"/>
      </c:catAx>
      <c:valAx>
        <c:axId val="182298124"/>
        <c:scaling>
          <c:orientation val="minMax"/>
        </c:scaling>
        <c:delete val="0"/>
        <c:axPos val="l"/>
        <c:tickLblPos val="nextTo"/>
        <c:spPr>
          <a:ln>
            <a:noFill/>
          </a:ln>
        </c:spPr>
        <c:crossAx val="1139354332"/>
      </c:valAx>
    </c:plotArea>
    <c:plotVisOnly val="0"/>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218331956"/>
        <c:axId val="866428832"/>
      </c:lineChart>
      <c:catAx>
        <c:axId val="1218331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6428832"/>
      </c:catAx>
      <c:valAx>
        <c:axId val="866428832"/>
        <c:scaling>
          <c:orientation val="minMax"/>
        </c:scaling>
        <c:delete val="0"/>
        <c:axPos val="l"/>
        <c:tickLblPos val="nextTo"/>
        <c:spPr>
          <a:ln>
            <a:noFill/>
          </a:ln>
        </c:spPr>
        <c:crossAx val="1218331956"/>
      </c:valAx>
    </c:plotArea>
    <c:plotVisOnly val="0"/>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602668708"/>
        <c:axId val="327556482"/>
      </c:lineChart>
      <c:catAx>
        <c:axId val="6026687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7556482"/>
      </c:catAx>
      <c:valAx>
        <c:axId val="327556482"/>
        <c:scaling>
          <c:orientation val="minMax"/>
        </c:scaling>
        <c:delete val="0"/>
        <c:axPos val="l"/>
        <c:tickLblPos val="nextTo"/>
        <c:spPr>
          <a:ln>
            <a:noFill/>
          </a:ln>
        </c:spPr>
        <c:crossAx val="602668708"/>
      </c:valAx>
    </c:plotArea>
    <c:plotVisOnly val="0"/>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640145525"/>
        <c:axId val="374984870"/>
      </c:lineChart>
      <c:catAx>
        <c:axId val="1640145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74984870"/>
      </c:catAx>
      <c:valAx>
        <c:axId val="374984870"/>
        <c:scaling>
          <c:orientation val="minMax"/>
        </c:scaling>
        <c:delete val="0"/>
        <c:axPos val="l"/>
        <c:tickLblPos val="nextTo"/>
        <c:spPr>
          <a:ln>
            <a:noFill/>
          </a:ln>
        </c:spPr>
        <c:crossAx val="1640145525"/>
      </c:valAx>
    </c:plotArea>
    <c:legend>
      <c:legendPos val="t"/>
      <c:overlay val="0"/>
      <c:txPr>
        <a:bodyPr/>
        <a:lstStyle/>
        <a:p>
          <a:pPr lvl="0">
            <a:defRPr b="0">
              <a:solidFill>
                <a:srgbClr val="1A1A1A"/>
              </a:solidFill>
              <a:latin typeface="+mn-lt"/>
            </a:defRPr>
          </a:pPr>
        </a:p>
      </c:txPr>
    </c:legend>
    <c:plotVisOnly val="0"/>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PROGRESIÓN EN CARGA Y RPE</a:t>
            </a:r>
          </a:p>
        </c:rich>
      </c:tx>
      <c:overlay val="0"/>
    </c:title>
    <c:plotArea>
      <c:layout/>
      <c:lineChart>
        <c:axId val="1880450813"/>
        <c:axId val="470835641"/>
      </c:lineChart>
      <c:catAx>
        <c:axId val="18804508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0835641"/>
      </c:catAx>
      <c:valAx>
        <c:axId val="470835641"/>
        <c:scaling>
          <c:orientation val="minMax"/>
        </c:scaling>
        <c:delete val="0"/>
        <c:axPos val="l"/>
        <c:tickLblPos val="nextTo"/>
        <c:spPr>
          <a:ln>
            <a:noFill/>
          </a:ln>
        </c:spPr>
        <c:crossAx val="1880450813"/>
      </c:valAx>
    </c:plotArea>
    <c:legend>
      <c:legendPos val="r"/>
      <c:overlay val="0"/>
      <c:txPr>
        <a:bodyPr/>
        <a:lstStyle/>
        <a:p>
          <a:pPr lvl="0">
            <a:defRPr b="0">
              <a:solidFill>
                <a:srgbClr val="1A1A1A"/>
              </a:solidFill>
              <a:latin typeface="+mn-lt"/>
            </a:defRPr>
          </a:pPr>
        </a:p>
      </c:txPr>
    </c:legend>
    <c:plotVisOnly val="0"/>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AUMENTO DE CARGA VS AUMENTO RPE</a:t>
            </a:r>
          </a:p>
        </c:rich>
      </c:tx>
      <c:overlay val="0"/>
    </c:title>
    <c:plotArea>
      <c:layout/>
      <c:lineChart>
        <c:varyColors val="0"/>
        <c:ser>
          <c:idx val="0"/>
          <c:order val="0"/>
          <c:tx>
            <c:v>AUMENTO DE CARGA (KG)</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5 Semana 2'!$CH$9:$CH$26</c:f>
            </c:strRef>
          </c:cat>
          <c:val>
            <c:numRef>
              <c:f>'Copia de Bloque 5 Semana 2'!$CL$9:$CL$26</c:f>
              <c:numCache/>
            </c:numRef>
          </c:val>
          <c:smooth val="0"/>
        </c:ser>
        <c:axId val="1758252659"/>
        <c:axId val="1769784696"/>
      </c:lineChart>
      <c:catAx>
        <c:axId val="1758252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9784696"/>
      </c:catAx>
      <c:valAx>
        <c:axId val="1769784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8252659"/>
      </c:valAx>
      <c:lineChart>
        <c:varyColors val="0"/>
        <c:ser>
          <c:idx val="1"/>
          <c:order val="1"/>
          <c:tx>
            <c:v>RPE</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5 Semana 2'!$CH$9:$CH$26</c:f>
            </c:strRef>
          </c:cat>
          <c:val>
            <c:numRef>
              <c:f>'Copia de Bloque 5 Semana 2'!$CN$9:$CN$26</c:f>
              <c:numCache/>
            </c:numRef>
          </c:val>
          <c:smooth val="0"/>
        </c:ser>
        <c:axId val="1952615284"/>
        <c:axId val="1438956103"/>
      </c:lineChart>
      <c:catAx>
        <c:axId val="195261528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438956103"/>
      </c:catAx>
      <c:valAx>
        <c:axId val="14389561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2615284"/>
        <c:crosses val="max"/>
      </c:valAx>
    </c:plotArea>
    <c:legend>
      <c:legendPos val="r"/>
      <c:overlay val="0"/>
      <c:txPr>
        <a:bodyPr/>
        <a:lstStyle/>
        <a:p>
          <a:pPr lvl="0">
            <a:defRPr b="0">
              <a:solidFill>
                <a:srgbClr val="1A1A1A"/>
              </a:solidFill>
              <a:latin typeface="+mn-lt"/>
            </a:defRPr>
          </a:pPr>
        </a:p>
      </c:txPr>
    </c:legend>
    <c:plotVisOnly val="0"/>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207585524"/>
        <c:axId val="1480063144"/>
      </c:lineChart>
      <c:catAx>
        <c:axId val="1207585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0063144"/>
      </c:catAx>
      <c:valAx>
        <c:axId val="1480063144"/>
        <c:scaling>
          <c:orientation val="minMax"/>
        </c:scaling>
        <c:delete val="0"/>
        <c:axPos val="l"/>
        <c:tickLblPos val="nextTo"/>
        <c:spPr>
          <a:ln>
            <a:noFill/>
          </a:ln>
        </c:spPr>
        <c:crossAx val="1207585524"/>
      </c:valAx>
    </c:plotArea>
    <c:legend>
      <c:legendPos val="t"/>
      <c:overlay val="0"/>
      <c:txPr>
        <a:bodyPr/>
        <a:lstStyle/>
        <a:p>
          <a:pPr lvl="0">
            <a:defRPr b="0">
              <a:solidFill>
                <a:srgbClr val="1A1A1A"/>
              </a:solidFill>
              <a:latin typeface="+mn-lt"/>
            </a:defRPr>
          </a:pPr>
        </a:p>
      </c:txPr>
    </c:legend>
    <c:plotVisOnly val="0"/>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BÁSICOS</a:t>
            </a:r>
          </a:p>
        </c:rich>
      </c:tx>
      <c:overlay val="0"/>
    </c:title>
    <c:plotArea>
      <c:layout/>
      <c:lineChart>
        <c:axId val="1176281647"/>
        <c:axId val="1378132105"/>
      </c:lineChart>
      <c:catAx>
        <c:axId val="1176281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8132105"/>
      </c:catAx>
      <c:valAx>
        <c:axId val="1378132105"/>
        <c:scaling>
          <c:orientation val="minMax"/>
        </c:scaling>
        <c:delete val="0"/>
        <c:axPos val="l"/>
        <c:tickLblPos val="nextTo"/>
        <c:spPr>
          <a:ln>
            <a:noFill/>
          </a:ln>
        </c:spPr>
        <c:crossAx val="1176281647"/>
      </c:valAx>
    </c:plotArea>
    <c:legend>
      <c:legendPos val="r"/>
      <c:overlay val="0"/>
      <c:txPr>
        <a:bodyPr/>
        <a:lstStyle/>
        <a:p>
          <a:pPr lvl="0">
            <a:defRPr b="0">
              <a:solidFill>
                <a:srgbClr val="1A1A1A"/>
              </a:solidFill>
              <a:latin typeface="+mn-lt"/>
            </a:defRPr>
          </a:pPr>
        </a:p>
      </c:txPr>
    </c:legend>
    <c:plotVisOnly val="0"/>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140075291"/>
        <c:axId val="235855073"/>
      </c:lineChart>
      <c:catAx>
        <c:axId val="1140075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35855073"/>
      </c:catAx>
      <c:valAx>
        <c:axId val="235855073"/>
        <c:scaling>
          <c:orientation val="minMax"/>
        </c:scaling>
        <c:delete val="0"/>
        <c:axPos val="l"/>
        <c:tickLblPos val="nextTo"/>
        <c:spPr>
          <a:ln>
            <a:noFill/>
          </a:ln>
        </c:spPr>
        <c:crossAx val="1140075291"/>
      </c:valAx>
    </c:plotArea>
    <c:plotVisOnly val="0"/>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111718684"/>
        <c:axId val="2034281743"/>
      </c:lineChart>
      <c:catAx>
        <c:axId val="1111718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4281743"/>
      </c:catAx>
      <c:valAx>
        <c:axId val="2034281743"/>
        <c:scaling>
          <c:orientation val="minMax"/>
        </c:scaling>
        <c:delete val="0"/>
        <c:axPos val="l"/>
        <c:tickLblPos val="nextTo"/>
        <c:spPr>
          <a:ln>
            <a:noFill/>
          </a:ln>
        </c:spPr>
        <c:crossAx val="1111718684"/>
      </c:valAx>
    </c:plotArea>
    <c:plotVisOnly val="0"/>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58555063"/>
        <c:axId val="1773704732"/>
      </c:lineChart>
      <c:catAx>
        <c:axId val="158555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73704732"/>
      </c:catAx>
      <c:valAx>
        <c:axId val="1773704732"/>
        <c:scaling>
          <c:orientation val="minMax"/>
        </c:scaling>
        <c:delete val="0"/>
        <c:axPos val="l"/>
        <c:tickLblPos val="nextTo"/>
        <c:spPr>
          <a:ln>
            <a:noFill/>
          </a:ln>
        </c:spPr>
        <c:crossAx val="158555063"/>
      </c:valAx>
    </c:plotArea>
    <c:plotVisOnly val="0"/>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338966329"/>
        <c:axId val="224680573"/>
      </c:lineChart>
      <c:catAx>
        <c:axId val="1338966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4680573"/>
      </c:catAx>
      <c:valAx>
        <c:axId val="224680573"/>
        <c:scaling>
          <c:orientation val="minMax"/>
        </c:scaling>
        <c:delete val="0"/>
        <c:axPos val="l"/>
        <c:tickLblPos val="nextTo"/>
        <c:spPr>
          <a:ln>
            <a:noFill/>
          </a:ln>
        </c:spPr>
        <c:crossAx val="1338966329"/>
      </c:valAx>
    </c:plotArea>
    <c:legend>
      <c:legendPos val="t"/>
      <c:overlay val="0"/>
      <c:txPr>
        <a:bodyPr/>
        <a:lstStyle/>
        <a:p>
          <a:pPr lvl="0">
            <a:defRPr b="0">
              <a:solidFill>
                <a:srgbClr val="1A1A1A"/>
              </a:solidFill>
              <a:latin typeface="+mn-lt"/>
            </a:defRPr>
          </a:pPr>
        </a:p>
      </c:txPr>
    </c:legend>
    <c:plotVisOnly val="0"/>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PROGRESIÓN EN CARGA Y RPE</a:t>
            </a:r>
          </a:p>
        </c:rich>
      </c:tx>
      <c:overlay val="0"/>
    </c:title>
    <c:plotArea>
      <c:layout/>
      <c:lineChart>
        <c:axId val="551013777"/>
        <c:axId val="1312669763"/>
      </c:lineChart>
      <c:catAx>
        <c:axId val="551013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2669763"/>
      </c:catAx>
      <c:valAx>
        <c:axId val="1312669763"/>
        <c:scaling>
          <c:orientation val="minMax"/>
        </c:scaling>
        <c:delete val="0"/>
        <c:axPos val="l"/>
        <c:tickLblPos val="nextTo"/>
        <c:spPr>
          <a:ln>
            <a:noFill/>
          </a:ln>
        </c:spPr>
        <c:crossAx val="551013777"/>
      </c:valAx>
    </c:plotArea>
    <c:legend>
      <c:legendPos val="r"/>
      <c:overlay val="0"/>
      <c:txPr>
        <a:bodyPr/>
        <a:lstStyle/>
        <a:p>
          <a:pPr lvl="0">
            <a:defRPr b="0">
              <a:solidFill>
                <a:srgbClr val="1A1A1A"/>
              </a:solidFill>
              <a:latin typeface="+mn-lt"/>
            </a:defRPr>
          </a:pPr>
        </a:p>
      </c:txPr>
    </c:legend>
    <c:plotVisOnly val="0"/>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AUMENTO DE CARGA VS AUMENTO RPE</a:t>
            </a:r>
          </a:p>
        </c:rich>
      </c:tx>
      <c:overlay val="0"/>
    </c:title>
    <c:plotArea>
      <c:layout/>
      <c:lineChart>
        <c:varyColors val="0"/>
        <c:ser>
          <c:idx val="0"/>
          <c:order val="0"/>
          <c:tx>
            <c:v>AUMENTO DE CARGA (KG)</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5 Semana 3'!$CH$9:$CH$26</c:f>
            </c:strRef>
          </c:cat>
          <c:val>
            <c:numRef>
              <c:f>'Copia de Bloque 5 Semana 3'!$CL$9:$CL$26</c:f>
              <c:numCache/>
            </c:numRef>
          </c:val>
          <c:smooth val="0"/>
        </c:ser>
        <c:axId val="515710008"/>
        <c:axId val="1061420920"/>
      </c:lineChart>
      <c:catAx>
        <c:axId val="515710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1420920"/>
      </c:catAx>
      <c:valAx>
        <c:axId val="1061420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5710008"/>
      </c:valAx>
      <c:lineChart>
        <c:varyColors val="0"/>
        <c:ser>
          <c:idx val="1"/>
          <c:order val="1"/>
          <c:tx>
            <c:v>RPE</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5 Semana 3'!$CH$9:$CH$26</c:f>
            </c:strRef>
          </c:cat>
          <c:val>
            <c:numRef>
              <c:f>'Copia de Bloque 5 Semana 3'!$CN$9:$CN$26</c:f>
              <c:numCache/>
            </c:numRef>
          </c:val>
          <c:smooth val="0"/>
        </c:ser>
        <c:axId val="674083938"/>
        <c:axId val="1140774901"/>
      </c:lineChart>
      <c:catAx>
        <c:axId val="67408393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140774901"/>
      </c:catAx>
      <c:valAx>
        <c:axId val="114077490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4083938"/>
        <c:crosses val="max"/>
      </c:valAx>
    </c:plotArea>
    <c:legend>
      <c:legendPos val="r"/>
      <c:overlay val="0"/>
      <c:txPr>
        <a:bodyPr/>
        <a:lstStyle/>
        <a:p>
          <a:pPr lvl="0">
            <a:defRPr b="0">
              <a:solidFill>
                <a:srgbClr val="1A1A1A"/>
              </a:solidFill>
              <a:latin typeface="+mn-lt"/>
            </a:defRPr>
          </a:pPr>
        </a:p>
      </c:txPr>
    </c:legend>
    <c:plotVisOnly val="0"/>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396921332"/>
        <c:axId val="478307862"/>
      </c:lineChart>
      <c:catAx>
        <c:axId val="3969213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8307862"/>
      </c:catAx>
      <c:valAx>
        <c:axId val="478307862"/>
        <c:scaling>
          <c:orientation val="minMax"/>
        </c:scaling>
        <c:delete val="0"/>
        <c:axPos val="l"/>
        <c:tickLblPos val="nextTo"/>
        <c:spPr>
          <a:ln>
            <a:noFill/>
          </a:ln>
        </c:spPr>
        <c:crossAx val="396921332"/>
      </c:valAx>
    </c:plotArea>
    <c:legend>
      <c:legendPos val="t"/>
      <c:overlay val="0"/>
      <c:txPr>
        <a:bodyPr/>
        <a:lstStyle/>
        <a:p>
          <a:pPr lvl="0">
            <a:defRPr b="0">
              <a:solidFill>
                <a:srgbClr val="1A1A1A"/>
              </a:solidFill>
              <a:latin typeface="+mn-lt"/>
            </a:defRPr>
          </a:pPr>
        </a:p>
      </c:txPr>
    </c:legend>
    <c:plotVisOnly val="0"/>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BÁSICOS</a:t>
            </a:r>
          </a:p>
        </c:rich>
      </c:tx>
      <c:overlay val="0"/>
    </c:title>
    <c:plotArea>
      <c:layout/>
      <c:lineChart>
        <c:axId val="1257268748"/>
        <c:axId val="790724069"/>
      </c:lineChart>
      <c:catAx>
        <c:axId val="12572687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0724069"/>
      </c:catAx>
      <c:valAx>
        <c:axId val="790724069"/>
        <c:scaling>
          <c:orientation val="minMax"/>
        </c:scaling>
        <c:delete val="0"/>
        <c:axPos val="l"/>
        <c:tickLblPos val="nextTo"/>
        <c:spPr>
          <a:ln>
            <a:noFill/>
          </a:ln>
        </c:spPr>
        <c:crossAx val="1257268748"/>
      </c:valAx>
    </c:plotArea>
    <c:legend>
      <c:legendPos val="r"/>
      <c:overlay val="0"/>
      <c:txPr>
        <a:bodyPr/>
        <a:lstStyle/>
        <a:p>
          <a:pPr lvl="0">
            <a:defRPr b="0">
              <a:solidFill>
                <a:srgbClr val="1A1A1A"/>
              </a:solidFill>
              <a:latin typeface="+mn-lt"/>
            </a:defRPr>
          </a:pPr>
        </a:p>
      </c:txPr>
    </c:legend>
    <c:plotVisOnly val="0"/>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448099205"/>
        <c:axId val="132012154"/>
      </c:lineChart>
      <c:catAx>
        <c:axId val="448099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2012154"/>
      </c:catAx>
      <c:valAx>
        <c:axId val="132012154"/>
        <c:scaling>
          <c:orientation val="minMax"/>
        </c:scaling>
        <c:delete val="0"/>
        <c:axPos val="l"/>
        <c:tickLblPos val="nextTo"/>
        <c:spPr>
          <a:ln>
            <a:noFill/>
          </a:ln>
        </c:spPr>
        <c:crossAx val="448099205"/>
      </c:valAx>
    </c:plotArea>
    <c:plotVisOnly val="0"/>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420707175"/>
        <c:axId val="407978970"/>
      </c:lineChart>
      <c:catAx>
        <c:axId val="14207071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7978970"/>
      </c:catAx>
      <c:valAx>
        <c:axId val="407978970"/>
        <c:scaling>
          <c:orientation val="minMax"/>
        </c:scaling>
        <c:delete val="0"/>
        <c:axPos val="l"/>
        <c:tickLblPos val="nextTo"/>
        <c:spPr>
          <a:ln>
            <a:noFill/>
          </a:ln>
        </c:spPr>
        <c:crossAx val="1420707175"/>
      </c:valAx>
    </c:plotArea>
    <c:plotVisOnly val="0"/>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85769023"/>
        <c:axId val="1154238281"/>
      </c:lineChart>
      <c:catAx>
        <c:axId val="857690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4238281"/>
      </c:catAx>
      <c:valAx>
        <c:axId val="1154238281"/>
        <c:scaling>
          <c:orientation val="minMax"/>
        </c:scaling>
        <c:delete val="0"/>
        <c:axPos val="l"/>
        <c:tickLblPos val="nextTo"/>
        <c:spPr>
          <a:ln>
            <a:noFill/>
          </a:ln>
        </c:spPr>
        <c:crossAx val="85769023"/>
      </c:valAx>
    </c:plotArea>
    <c:plotVisOnly val="0"/>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364937308"/>
        <c:axId val="1807110429"/>
      </c:lineChart>
      <c:catAx>
        <c:axId val="1364937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7110429"/>
      </c:catAx>
      <c:valAx>
        <c:axId val="1807110429"/>
        <c:scaling>
          <c:orientation val="minMax"/>
        </c:scaling>
        <c:delete val="0"/>
        <c:axPos val="l"/>
        <c:tickLblPos val="nextTo"/>
        <c:spPr>
          <a:ln>
            <a:noFill/>
          </a:ln>
        </c:spPr>
        <c:crossAx val="1364937308"/>
      </c:valAx>
    </c:plotArea>
    <c:legend>
      <c:legendPos val="t"/>
      <c:overlay val="0"/>
      <c:txPr>
        <a:bodyPr/>
        <a:lstStyle/>
        <a:p>
          <a:pPr lvl="0">
            <a:defRPr b="0">
              <a:solidFill>
                <a:srgbClr val="1A1A1A"/>
              </a:solidFill>
              <a:latin typeface="+mn-lt"/>
            </a:defRPr>
          </a:pPr>
        </a:p>
      </c:txPr>
    </c:legend>
    <c:plotVisOnly val="0"/>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PROGRESIÓN EN CARGA Y RPE</a:t>
            </a:r>
          </a:p>
        </c:rich>
      </c:tx>
      <c:overlay val="0"/>
    </c:title>
    <c:plotArea>
      <c:layout/>
      <c:lineChart>
        <c:axId val="627131472"/>
        <c:axId val="1784411895"/>
      </c:lineChart>
      <c:catAx>
        <c:axId val="627131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4411895"/>
      </c:catAx>
      <c:valAx>
        <c:axId val="1784411895"/>
        <c:scaling>
          <c:orientation val="minMax"/>
        </c:scaling>
        <c:delete val="0"/>
        <c:axPos val="l"/>
        <c:tickLblPos val="nextTo"/>
        <c:spPr>
          <a:ln>
            <a:noFill/>
          </a:ln>
        </c:spPr>
        <c:crossAx val="627131472"/>
      </c:valAx>
    </c:plotArea>
    <c:legend>
      <c:legendPos val="r"/>
      <c:overlay val="0"/>
      <c:txPr>
        <a:bodyPr/>
        <a:lstStyle/>
        <a:p>
          <a:pPr lvl="0">
            <a:defRPr b="0">
              <a:solidFill>
                <a:srgbClr val="1A1A1A"/>
              </a:solidFill>
              <a:latin typeface="+mn-lt"/>
            </a:defRPr>
          </a:pPr>
        </a:p>
      </c:txPr>
    </c:legend>
    <c:plotVisOnly val="0"/>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AUMENTO DE CARGA VS AUMENTO RPE</a:t>
            </a:r>
          </a:p>
        </c:rich>
      </c:tx>
      <c:overlay val="0"/>
    </c:title>
    <c:plotArea>
      <c:layout/>
      <c:lineChart>
        <c:varyColors val="0"/>
        <c:ser>
          <c:idx val="0"/>
          <c:order val="0"/>
          <c:tx>
            <c:v>AUMENTO DE CARGA (KG)</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1'!$CH$9:$CH$26</c:f>
            </c:strRef>
          </c:cat>
          <c:val>
            <c:numRef>
              <c:f>'Copia de Bloque 6 Semana 1'!$CL$9:$CL$26</c:f>
              <c:numCache/>
            </c:numRef>
          </c:val>
          <c:smooth val="0"/>
        </c:ser>
        <c:axId val="937258504"/>
        <c:axId val="389888228"/>
      </c:lineChart>
      <c:catAx>
        <c:axId val="937258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9888228"/>
      </c:catAx>
      <c:valAx>
        <c:axId val="3898882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7258504"/>
      </c:valAx>
      <c:lineChart>
        <c:varyColors val="0"/>
        <c:ser>
          <c:idx val="1"/>
          <c:order val="1"/>
          <c:tx>
            <c:v>RPE</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1'!$CH$9:$CH$26</c:f>
            </c:strRef>
          </c:cat>
          <c:val>
            <c:numRef>
              <c:f>'Copia de Bloque 6 Semana 1'!$CN$9:$CN$26</c:f>
              <c:numCache/>
            </c:numRef>
          </c:val>
          <c:smooth val="0"/>
        </c:ser>
        <c:axId val="1262661620"/>
        <c:axId val="375565298"/>
      </c:lineChart>
      <c:catAx>
        <c:axId val="126266162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375565298"/>
      </c:catAx>
      <c:valAx>
        <c:axId val="37556529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2661620"/>
        <c:crosses val="max"/>
      </c:valAx>
    </c:plotArea>
    <c:legend>
      <c:legendPos val="r"/>
      <c:overlay val="0"/>
      <c:txPr>
        <a:bodyPr/>
        <a:lstStyle/>
        <a:p>
          <a:pPr lvl="0">
            <a:defRPr b="0">
              <a:solidFill>
                <a:srgbClr val="1A1A1A"/>
              </a:solidFill>
              <a:latin typeface="+mn-lt"/>
            </a:defRPr>
          </a:pPr>
        </a:p>
      </c:txPr>
    </c:legend>
    <c:plotVisOnly val="0"/>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409720011"/>
        <c:axId val="1572444518"/>
      </c:lineChart>
      <c:catAx>
        <c:axId val="409720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72444518"/>
      </c:catAx>
      <c:valAx>
        <c:axId val="1572444518"/>
        <c:scaling>
          <c:orientation val="minMax"/>
        </c:scaling>
        <c:delete val="0"/>
        <c:axPos val="l"/>
        <c:tickLblPos val="nextTo"/>
        <c:spPr>
          <a:ln>
            <a:noFill/>
          </a:ln>
        </c:spPr>
        <c:crossAx val="409720011"/>
      </c:valAx>
    </c:plotArea>
    <c:legend>
      <c:legendPos val="t"/>
      <c:overlay val="0"/>
      <c:txPr>
        <a:bodyPr/>
        <a:lstStyle/>
        <a:p>
          <a:pPr lvl="0">
            <a:defRPr b="0">
              <a:solidFill>
                <a:srgbClr val="1A1A1A"/>
              </a:solidFill>
              <a:latin typeface="+mn-lt"/>
            </a:defRPr>
          </a:pPr>
        </a:p>
      </c:txPr>
    </c:legend>
    <c:plotVisOnly val="0"/>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BÁSICOS</a:t>
            </a:r>
          </a:p>
        </c:rich>
      </c:tx>
      <c:overlay val="0"/>
    </c:title>
    <c:plotArea>
      <c:layout/>
      <c:lineChart>
        <c:axId val="1464390249"/>
        <c:axId val="322294266"/>
      </c:lineChart>
      <c:catAx>
        <c:axId val="1464390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2294266"/>
      </c:catAx>
      <c:valAx>
        <c:axId val="322294266"/>
        <c:scaling>
          <c:orientation val="minMax"/>
        </c:scaling>
        <c:delete val="0"/>
        <c:axPos val="l"/>
        <c:tickLblPos val="nextTo"/>
        <c:spPr>
          <a:ln>
            <a:noFill/>
          </a:ln>
        </c:spPr>
        <c:crossAx val="1464390249"/>
      </c:valAx>
    </c:plotArea>
    <c:legend>
      <c:legendPos val="r"/>
      <c:overlay val="0"/>
      <c:txPr>
        <a:bodyPr/>
        <a:lstStyle/>
        <a:p>
          <a:pPr lvl="0">
            <a:defRPr b="0">
              <a:solidFill>
                <a:srgbClr val="1A1A1A"/>
              </a:solidFill>
              <a:latin typeface="+mn-lt"/>
            </a:defRPr>
          </a:pPr>
        </a:p>
      </c:txPr>
    </c:legend>
    <c:plotVisOnly val="0"/>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915524153"/>
        <c:axId val="956954618"/>
      </c:lineChart>
      <c:catAx>
        <c:axId val="1915524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6954618"/>
      </c:catAx>
      <c:valAx>
        <c:axId val="956954618"/>
        <c:scaling>
          <c:orientation val="minMax"/>
        </c:scaling>
        <c:delete val="0"/>
        <c:axPos val="l"/>
        <c:tickLblPos val="nextTo"/>
        <c:spPr>
          <a:ln>
            <a:noFill/>
          </a:ln>
        </c:spPr>
        <c:crossAx val="1915524153"/>
      </c:valAx>
    </c:plotArea>
    <c:plotVisOnly val="0"/>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335944689"/>
        <c:axId val="662126370"/>
      </c:lineChart>
      <c:catAx>
        <c:axId val="335944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2126370"/>
      </c:catAx>
      <c:valAx>
        <c:axId val="662126370"/>
        <c:scaling>
          <c:orientation val="minMax"/>
        </c:scaling>
        <c:delete val="0"/>
        <c:axPos val="l"/>
        <c:tickLblPos val="nextTo"/>
        <c:spPr>
          <a:ln>
            <a:noFill/>
          </a:ln>
        </c:spPr>
        <c:crossAx val="335944689"/>
      </c:valAx>
    </c:plotArea>
    <c:plotVisOnly val="0"/>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573721505"/>
        <c:axId val="998591220"/>
      </c:lineChart>
      <c:catAx>
        <c:axId val="573721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8591220"/>
      </c:catAx>
      <c:valAx>
        <c:axId val="998591220"/>
        <c:scaling>
          <c:orientation val="minMax"/>
        </c:scaling>
        <c:delete val="0"/>
        <c:axPos val="l"/>
        <c:tickLblPos val="nextTo"/>
        <c:spPr>
          <a:ln>
            <a:noFill/>
          </a:ln>
        </c:spPr>
        <c:crossAx val="573721505"/>
      </c:valAx>
    </c:plotArea>
    <c:plotVisOnly val="0"/>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306201826"/>
        <c:axId val="1863481653"/>
      </c:lineChart>
      <c:catAx>
        <c:axId val="1306201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3481653"/>
      </c:catAx>
      <c:valAx>
        <c:axId val="1863481653"/>
        <c:scaling>
          <c:orientation val="minMax"/>
        </c:scaling>
        <c:delete val="0"/>
        <c:axPos val="l"/>
        <c:tickLblPos val="nextTo"/>
        <c:spPr>
          <a:ln>
            <a:noFill/>
          </a:ln>
        </c:spPr>
        <c:crossAx val="1306201826"/>
      </c:valAx>
    </c:plotArea>
    <c:legend>
      <c:legendPos val="t"/>
      <c:overlay val="0"/>
      <c:txPr>
        <a:bodyPr/>
        <a:lstStyle/>
        <a:p>
          <a:pPr lvl="0">
            <a:defRPr b="0">
              <a:solidFill>
                <a:srgbClr val="1A1A1A"/>
              </a:solidFill>
              <a:latin typeface="+mn-lt"/>
            </a:defRPr>
          </a:pPr>
        </a:p>
      </c:txPr>
    </c:legend>
    <c:plotVisOnly val="0"/>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PROGRESIÓN EN CARGA Y RPE</a:t>
            </a:r>
          </a:p>
        </c:rich>
      </c:tx>
      <c:overlay val="0"/>
    </c:title>
    <c:plotArea>
      <c:layout/>
      <c:lineChart>
        <c:axId val="1940792987"/>
        <c:axId val="541158229"/>
      </c:lineChart>
      <c:catAx>
        <c:axId val="19407929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1158229"/>
      </c:catAx>
      <c:valAx>
        <c:axId val="541158229"/>
        <c:scaling>
          <c:orientation val="minMax"/>
        </c:scaling>
        <c:delete val="0"/>
        <c:axPos val="l"/>
        <c:tickLblPos val="nextTo"/>
        <c:spPr>
          <a:ln>
            <a:noFill/>
          </a:ln>
        </c:spPr>
        <c:crossAx val="1940792987"/>
      </c:valAx>
    </c:plotArea>
    <c:legend>
      <c:legendPos val="r"/>
      <c:overlay val="0"/>
      <c:txPr>
        <a:bodyPr/>
        <a:lstStyle/>
        <a:p>
          <a:pPr lvl="0">
            <a:defRPr b="0">
              <a:solidFill>
                <a:srgbClr val="1A1A1A"/>
              </a:solidFill>
              <a:latin typeface="+mn-lt"/>
            </a:defRPr>
          </a:pPr>
        </a:p>
      </c:txPr>
    </c:legend>
    <c:plotVisOnly val="0"/>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AUMENTO DE CARGA VS AUMENTO RPE</a:t>
            </a:r>
          </a:p>
        </c:rich>
      </c:tx>
      <c:overlay val="0"/>
    </c:title>
    <c:plotArea>
      <c:layout/>
      <c:lineChart>
        <c:varyColors val="0"/>
        <c:ser>
          <c:idx val="0"/>
          <c:order val="0"/>
          <c:tx>
            <c:v>AUMENTO DE CARGA (KG)</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2'!$CH$9:$CH$26</c:f>
            </c:strRef>
          </c:cat>
          <c:val>
            <c:numRef>
              <c:f>'Copia de Bloque 6 Semana 2'!$CL$9:$CL$26</c:f>
              <c:numCache/>
            </c:numRef>
          </c:val>
          <c:smooth val="0"/>
        </c:ser>
        <c:axId val="111578079"/>
        <c:axId val="71311779"/>
      </c:lineChart>
      <c:catAx>
        <c:axId val="1115780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311779"/>
      </c:catAx>
      <c:valAx>
        <c:axId val="71311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578079"/>
      </c:valAx>
      <c:lineChart>
        <c:varyColors val="0"/>
        <c:ser>
          <c:idx val="1"/>
          <c:order val="1"/>
          <c:tx>
            <c:v>RPE</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2'!$CH$9:$CH$26</c:f>
            </c:strRef>
          </c:cat>
          <c:val>
            <c:numRef>
              <c:f>'Copia de Bloque 6 Semana 2'!$CN$9:$CN$26</c:f>
              <c:numCache/>
            </c:numRef>
          </c:val>
          <c:smooth val="0"/>
        </c:ser>
        <c:axId val="1337125490"/>
        <c:axId val="707314108"/>
      </c:lineChart>
      <c:catAx>
        <c:axId val="133712549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707314108"/>
      </c:catAx>
      <c:valAx>
        <c:axId val="70731410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7125490"/>
        <c:crosses val="max"/>
      </c:valAx>
    </c:plotArea>
    <c:legend>
      <c:legendPos val="r"/>
      <c:overlay val="0"/>
      <c:txPr>
        <a:bodyPr/>
        <a:lstStyle/>
        <a:p>
          <a:pPr lvl="0">
            <a:defRPr b="0">
              <a:solidFill>
                <a:srgbClr val="1A1A1A"/>
              </a:solidFill>
              <a:latin typeface="+mn-lt"/>
            </a:defRPr>
          </a:pPr>
        </a:p>
      </c:txPr>
    </c:legend>
    <c:plotVisOnly val="0"/>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1021942944"/>
        <c:axId val="1236779811"/>
      </c:lineChart>
      <c:catAx>
        <c:axId val="1021942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6779811"/>
      </c:catAx>
      <c:valAx>
        <c:axId val="1236779811"/>
        <c:scaling>
          <c:orientation val="minMax"/>
        </c:scaling>
        <c:delete val="0"/>
        <c:axPos val="l"/>
        <c:tickLblPos val="nextTo"/>
        <c:spPr>
          <a:ln>
            <a:noFill/>
          </a:ln>
        </c:spPr>
        <c:crossAx val="1021942944"/>
      </c:valAx>
    </c:plotArea>
    <c:legend>
      <c:legendPos val="t"/>
      <c:overlay val="0"/>
      <c:txPr>
        <a:bodyPr/>
        <a:lstStyle/>
        <a:p>
          <a:pPr lvl="0">
            <a:defRPr b="0">
              <a:solidFill>
                <a:srgbClr val="1A1A1A"/>
              </a:solidFill>
              <a:latin typeface="+mn-lt"/>
            </a:defRPr>
          </a:pPr>
        </a:p>
      </c:txPr>
    </c:legend>
    <c:plotVisOnly val="0"/>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BÁSICOS</a:t>
            </a:r>
          </a:p>
        </c:rich>
      </c:tx>
      <c:overlay val="0"/>
    </c:title>
    <c:plotArea>
      <c:layout/>
      <c:lineChart>
        <c:axId val="707585656"/>
        <c:axId val="639935586"/>
      </c:lineChart>
      <c:catAx>
        <c:axId val="707585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9935586"/>
      </c:catAx>
      <c:valAx>
        <c:axId val="639935586"/>
        <c:scaling>
          <c:orientation val="minMax"/>
        </c:scaling>
        <c:delete val="0"/>
        <c:axPos val="l"/>
        <c:tickLblPos val="nextTo"/>
        <c:spPr>
          <a:ln>
            <a:noFill/>
          </a:ln>
        </c:spPr>
        <c:crossAx val="707585656"/>
      </c:valAx>
    </c:plotArea>
    <c:legend>
      <c:legendPos val="r"/>
      <c:overlay val="0"/>
      <c:txPr>
        <a:bodyPr/>
        <a:lstStyle/>
        <a:p>
          <a:pPr lvl="0">
            <a:defRPr b="0">
              <a:solidFill>
                <a:srgbClr val="1A1A1A"/>
              </a:solidFill>
              <a:latin typeface="+mn-lt"/>
            </a:defRPr>
          </a:pPr>
        </a:p>
      </c:txPr>
    </c:legend>
    <c:plotVisOnly val="0"/>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414745012"/>
        <c:axId val="1367759178"/>
      </c:lineChart>
      <c:catAx>
        <c:axId val="414745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7759178"/>
      </c:catAx>
      <c:valAx>
        <c:axId val="1367759178"/>
        <c:scaling>
          <c:orientation val="minMax"/>
        </c:scaling>
        <c:delete val="0"/>
        <c:axPos val="l"/>
        <c:tickLblPos val="nextTo"/>
        <c:spPr>
          <a:ln>
            <a:noFill/>
          </a:ln>
        </c:spPr>
        <c:crossAx val="414745012"/>
      </c:valAx>
    </c:plotArea>
    <c:plotVisOnly val="0"/>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1129538155"/>
        <c:axId val="1535934869"/>
      </c:lineChart>
      <c:catAx>
        <c:axId val="1129538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35934869"/>
      </c:catAx>
      <c:valAx>
        <c:axId val="1535934869"/>
        <c:scaling>
          <c:orientation val="minMax"/>
        </c:scaling>
        <c:delete val="0"/>
        <c:axPos val="l"/>
        <c:tickLblPos val="nextTo"/>
        <c:spPr>
          <a:ln>
            <a:noFill/>
          </a:ln>
        </c:spPr>
        <c:crossAx val="1129538155"/>
      </c:valAx>
    </c:plotArea>
    <c:plotVisOnly val="0"/>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axId val="582977231"/>
        <c:axId val="232779063"/>
      </c:lineChart>
      <c:catAx>
        <c:axId val="5829772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32779063"/>
      </c:catAx>
      <c:valAx>
        <c:axId val="232779063"/>
        <c:scaling>
          <c:orientation val="minMax"/>
        </c:scaling>
        <c:delete val="0"/>
        <c:axPos val="l"/>
        <c:tickLblPos val="nextTo"/>
        <c:spPr>
          <a:ln>
            <a:noFill/>
          </a:ln>
        </c:spPr>
        <c:crossAx val="582977231"/>
      </c:valAx>
    </c:plotArea>
    <c:plotVisOnly val="0"/>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2043484389"/>
        <c:axId val="392914465"/>
      </c:lineChart>
      <c:catAx>
        <c:axId val="2043484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2914465"/>
      </c:catAx>
      <c:valAx>
        <c:axId val="392914465"/>
        <c:scaling>
          <c:orientation val="minMax"/>
        </c:scaling>
        <c:delete val="0"/>
        <c:axPos val="l"/>
        <c:tickLblPos val="nextTo"/>
        <c:spPr>
          <a:ln>
            <a:noFill/>
          </a:ln>
        </c:spPr>
        <c:crossAx val="2043484389"/>
      </c:valAx>
    </c:plotArea>
    <c:legend>
      <c:legendPos val="t"/>
      <c:overlay val="0"/>
      <c:txPr>
        <a:bodyPr/>
        <a:lstStyle/>
        <a:p>
          <a:pPr lvl="0">
            <a:defRPr b="0">
              <a:solidFill>
                <a:srgbClr val="1A1A1A"/>
              </a:solidFill>
              <a:latin typeface="+mn-lt"/>
            </a:defRPr>
          </a:pPr>
        </a:p>
      </c:txPr>
    </c:legend>
    <c:plotVisOnly val="0"/>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PROGRESIÓN EN CARGA Y RPE</a:t>
            </a:r>
          </a:p>
        </c:rich>
      </c:tx>
      <c:overlay val="0"/>
    </c:title>
    <c:plotArea>
      <c:layout/>
      <c:lineChart>
        <c:axId val="410912642"/>
        <c:axId val="1697927256"/>
      </c:lineChart>
      <c:catAx>
        <c:axId val="4109126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7927256"/>
      </c:catAx>
      <c:valAx>
        <c:axId val="1697927256"/>
        <c:scaling>
          <c:orientation val="minMax"/>
        </c:scaling>
        <c:delete val="0"/>
        <c:axPos val="l"/>
        <c:tickLblPos val="nextTo"/>
        <c:spPr>
          <a:ln>
            <a:noFill/>
          </a:ln>
        </c:spPr>
        <c:crossAx val="410912642"/>
      </c:valAx>
    </c:plotArea>
    <c:legend>
      <c:legendPos val="r"/>
      <c:overlay val="0"/>
      <c:txPr>
        <a:bodyPr/>
        <a:lstStyle/>
        <a:p>
          <a:pPr lvl="0">
            <a:defRPr b="0">
              <a:solidFill>
                <a:srgbClr val="1A1A1A"/>
              </a:solidFill>
              <a:latin typeface="+mn-lt"/>
            </a:defRPr>
          </a:pPr>
        </a:p>
      </c:txPr>
    </c:legend>
    <c:plotVisOnly val="0"/>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AUMENTO DE CARGA VS AUMENTO RPE</a:t>
            </a:r>
          </a:p>
        </c:rich>
      </c:tx>
      <c:overlay val="0"/>
    </c:title>
    <c:plotArea>
      <c:layout/>
      <c:lineChart>
        <c:varyColors val="0"/>
        <c:ser>
          <c:idx val="0"/>
          <c:order val="0"/>
          <c:tx>
            <c:v>AUMENTO DE CARGA (KG)</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3'!$CH$9:$CH$26</c:f>
            </c:strRef>
          </c:cat>
          <c:val>
            <c:numRef>
              <c:f>'Copia de Bloque 6 Semana 3'!$CL$9:$CL$26</c:f>
              <c:numCache/>
            </c:numRef>
          </c:val>
          <c:smooth val="0"/>
        </c:ser>
        <c:axId val="622365755"/>
        <c:axId val="385320585"/>
      </c:lineChart>
      <c:catAx>
        <c:axId val="622365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5320585"/>
      </c:catAx>
      <c:valAx>
        <c:axId val="385320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2365755"/>
      </c:valAx>
      <c:lineChart>
        <c:varyColors val="0"/>
        <c:ser>
          <c:idx val="1"/>
          <c:order val="1"/>
          <c:tx>
            <c:v>RPE</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'Copia de Bloque 6 Semana 3'!$CH$9:$CH$26</c:f>
            </c:strRef>
          </c:cat>
          <c:val>
            <c:numRef>
              <c:f>'Copia de Bloque 6 Semana 3'!$CN$9:$CN$26</c:f>
              <c:numCache/>
            </c:numRef>
          </c:val>
          <c:smooth val="0"/>
        </c:ser>
        <c:axId val="1184232229"/>
        <c:axId val="2112598919"/>
      </c:lineChart>
      <c:catAx>
        <c:axId val="118423222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112598919"/>
      </c:catAx>
      <c:valAx>
        <c:axId val="211259891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4232229"/>
        <c:crosses val="max"/>
      </c:valAx>
    </c:plotArea>
    <c:legend>
      <c:legendPos val="r"/>
      <c:overlay val="0"/>
      <c:txPr>
        <a:bodyPr/>
        <a:lstStyle/>
        <a:p>
          <a:pPr lvl="0">
            <a:defRPr b="0">
              <a:solidFill>
                <a:srgbClr val="1A1A1A"/>
              </a:solidFill>
              <a:latin typeface="+mn-lt"/>
            </a:defRPr>
          </a:pPr>
        </a:p>
      </c:txPr>
    </c:legend>
    <c:plotVisOnly val="0"/>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Accesorios</a:t>
            </a:r>
          </a:p>
        </c:rich>
      </c:tx>
      <c:overlay val="0"/>
    </c:title>
    <c:plotArea>
      <c:layout/>
      <c:lineChart>
        <c:axId val="766653933"/>
        <c:axId val="1057069862"/>
      </c:lineChart>
      <c:catAx>
        <c:axId val="766653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7069862"/>
      </c:catAx>
      <c:valAx>
        <c:axId val="1057069862"/>
        <c:scaling>
          <c:orientation val="minMax"/>
        </c:scaling>
        <c:delete val="0"/>
        <c:axPos val="l"/>
        <c:tickLblPos val="nextTo"/>
        <c:spPr>
          <a:ln>
            <a:noFill/>
          </a:ln>
        </c:spPr>
        <c:crossAx val="766653933"/>
      </c:valAx>
    </c:plotArea>
    <c:legend>
      <c:legendPos val="t"/>
      <c:overlay val="0"/>
      <c:txPr>
        <a:bodyPr/>
        <a:lstStyle/>
        <a:p>
          <a:pPr lvl="0">
            <a:defRPr b="0">
              <a:solidFill>
                <a:srgbClr val="1A1A1A"/>
              </a:solidFill>
              <a:latin typeface="+mn-lt"/>
            </a:defRPr>
          </a:pPr>
        </a:p>
      </c:txPr>
    </c:legend>
    <c:plotVisOnly val="0"/>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PESO CORPORAL</a:t>
            </a:r>
          </a:p>
        </c:rich>
      </c:tx>
      <c:overlay val="0"/>
    </c:title>
    <c:plotArea>
      <c:layout/>
      <c:areaChart>
        <c:ser>
          <c:idx val="0"/>
          <c:order val="0"/>
          <c:spPr>
            <a:solidFill>
              <a:schemeClr val="accent4">
                <a:alpha val="30000"/>
              </a:schemeClr>
            </a:solidFill>
            <a:ln cmpd="sng">
              <a:solidFill>
                <a:schemeClr val="accent4"/>
              </a:solidFill>
            </a:ln>
          </c:spPr>
          <c:dLbls>
            <c:numFmt formatCode="General" sourceLinked="1"/>
            <c:txPr>
              <a:bodyPr/>
              <a:lstStyle/>
              <a:p>
                <a:pPr lvl="0">
                  <a:defRPr/>
                </a:pPr>
              </a:p>
            </c:txPr>
            <c:showLegendKey val="0"/>
            <c:showVal val="1"/>
            <c:showCatName val="0"/>
            <c:showSerName val="0"/>
            <c:showPercent val="0"/>
            <c:showBubbleSize val="0"/>
          </c:dLbls>
          <c:trendline>
            <c:name>Línea de tendencia de serie 1</c:name>
            <c:spPr>
              <a:ln w="19050">
                <a:solidFill>
                  <a:srgbClr val="000000"/>
                </a:solidFill>
              </a:ln>
            </c:spPr>
            <c:trendlineType val="linear"/>
            <c:dispRSqr val="1"/>
            <c:dispEq val="0"/>
          </c:trendline>
          <c:cat>
            <c:strRef>
              <c:f>'Copia de Evolución Peso Corpora'!$E$15:$E$66</c:f>
            </c:strRef>
          </c:cat>
          <c:val>
            <c:numRef>
              <c:f>'Copia de Evolución Peso Corpora'!$F$15:$F$66</c:f>
              <c:numCache/>
            </c:numRef>
          </c:val>
        </c:ser>
        <c:axId val="1195760138"/>
        <c:axId val="2145645729"/>
      </c:areaChart>
      <c:catAx>
        <c:axId val="1195760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5645729"/>
      </c:catAx>
      <c:valAx>
        <c:axId val="21456457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1195760138"/>
      </c:valAx>
    </c:plotArea>
    <c:legend>
      <c:legendPos val="r"/>
      <c:overlay val="0"/>
      <c:txPr>
        <a:bodyPr/>
        <a:lstStyle/>
        <a:p>
          <a:pPr lvl="0">
            <a:defRPr b="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Diferencia de Peso corporal en %</a:t>
            </a:r>
          </a:p>
        </c:rich>
      </c:tx>
      <c:overlay val="0"/>
    </c:title>
    <c:plotArea>
      <c:layout/>
      <c:areaChart>
        <c:grouping val="stacked"/>
        <c:ser>
          <c:idx val="0"/>
          <c:order val="0"/>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cat>
            <c:strRef>
              <c:f>'Copia de Evolución Peso Corpora'!$E$14:$E$66</c:f>
            </c:strRef>
          </c:cat>
          <c:val>
            <c:numRef>
              <c:f>'Copia de Evolución Peso Corpora'!$I$15:$I$118</c:f>
              <c:numCache/>
            </c:numRef>
          </c:val>
        </c:ser>
        <c:axId val="120852034"/>
        <c:axId val="2040872354"/>
      </c:areaChart>
      <c:catAx>
        <c:axId val="120852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spPr/>
        <c:txPr>
          <a:bodyPr/>
          <a:lstStyle/>
          <a:p>
            <a:pPr lvl="0">
              <a:defRPr b="0">
                <a:solidFill>
                  <a:srgbClr val="000000"/>
                </a:solidFill>
                <a:latin typeface="+mn-lt"/>
              </a:defRPr>
            </a:pPr>
          </a:p>
        </c:txPr>
        <c:crossAx val="2040872354"/>
      </c:catAx>
      <c:valAx>
        <c:axId val="2040872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852034"/>
      </c:valAx>
    </c:plotArea>
    <c:legend>
      <c:legendPos val="r"/>
      <c:overlay val="0"/>
      <c:txPr>
        <a:bodyPr/>
        <a:lstStyle/>
        <a:p>
          <a:pPr lvl="0">
            <a:defRPr b="0">
              <a:solidFill>
                <a:srgbClr val="1A1A1A"/>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Diferencia de Peso Corporal (en kg)</a:t>
            </a:r>
          </a:p>
        </c:rich>
      </c:tx>
      <c:overlay val="0"/>
    </c:title>
    <c:plotArea>
      <c:layout/>
      <c:areaChart>
        <c:grouping val="stacked"/>
        <c:ser>
          <c:idx val="0"/>
          <c:order val="0"/>
          <c:spPr>
            <a:solidFill>
              <a:srgbClr val="EA4335">
                <a:alpha val="30000"/>
              </a:srgbClr>
            </a:solidFill>
            <a:ln cmpd="sng">
              <a:solidFill>
                <a:srgbClr val="EA4335">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'Copia de Evolución Peso Corpora'!$E$14:$E$66</c:f>
            </c:strRef>
          </c:cat>
          <c:val>
            <c:numRef>
              <c:f>'Copia de Evolución Peso Corpora'!$H$14:$H$66</c:f>
              <c:numCache/>
            </c:numRef>
          </c:val>
        </c:ser>
        <c:axId val="984265455"/>
        <c:axId val="574373955"/>
      </c:areaChart>
      <c:catAx>
        <c:axId val="984265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spPr/>
        <c:txPr>
          <a:bodyPr/>
          <a:lstStyle/>
          <a:p>
            <a:pPr lvl="0">
              <a:defRPr b="0">
                <a:solidFill>
                  <a:srgbClr val="000000"/>
                </a:solidFill>
                <a:latin typeface="+mn-lt"/>
              </a:defRPr>
            </a:pPr>
          </a:p>
        </c:txPr>
        <c:crossAx val="574373955"/>
      </c:catAx>
      <c:valAx>
        <c:axId val="5743739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INFORMACIÓN DETALLADA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26545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9" Type="http://schemas.openxmlformats.org/officeDocument/2006/relationships/image" Target="../media/image1.png"/><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9" Type="http://schemas.openxmlformats.org/officeDocument/2006/relationships/image" Target="../media/image1.png"/><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 Id="rId3" Type="http://schemas.openxmlformats.org/officeDocument/2006/relationships/chart" Target="../charts/chart23.xml"/><Relationship Id="rId4" Type="http://schemas.openxmlformats.org/officeDocument/2006/relationships/chart" Target="../charts/chart24.xml"/><Relationship Id="rId9" Type="http://schemas.openxmlformats.org/officeDocument/2006/relationships/image" Target="../media/image1.png"/><Relationship Id="rId5" Type="http://schemas.openxmlformats.org/officeDocument/2006/relationships/chart" Target="../charts/chart25.xml"/><Relationship Id="rId6" Type="http://schemas.openxmlformats.org/officeDocument/2006/relationships/chart" Target="../charts/chart26.xml"/><Relationship Id="rId7" Type="http://schemas.openxmlformats.org/officeDocument/2006/relationships/chart" Target="../charts/chart27.xml"/><Relationship Id="rId8"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Relationship Id="rId9" Type="http://schemas.openxmlformats.org/officeDocument/2006/relationships/image" Target="../media/image1.png"/><Relationship Id="rId5" Type="http://schemas.openxmlformats.org/officeDocument/2006/relationships/chart" Target="../charts/chart33.xml"/><Relationship Id="rId6" Type="http://schemas.openxmlformats.org/officeDocument/2006/relationships/chart" Target="../charts/chart34.xml"/><Relationship Id="rId7" Type="http://schemas.openxmlformats.org/officeDocument/2006/relationships/chart" Target="../charts/chart35.xml"/><Relationship Id="rId8" Type="http://schemas.openxmlformats.org/officeDocument/2006/relationships/chart" Target="../charts/chart3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7.xml"/><Relationship Id="rId2" Type="http://schemas.openxmlformats.org/officeDocument/2006/relationships/chart" Target="../charts/chart38.xml"/><Relationship Id="rId3" Type="http://schemas.openxmlformats.org/officeDocument/2006/relationships/chart" Target="../charts/chart39.xml"/><Relationship Id="rId4" Type="http://schemas.openxmlformats.org/officeDocument/2006/relationships/chart" Target="../charts/chart40.xml"/><Relationship Id="rId9" Type="http://schemas.openxmlformats.org/officeDocument/2006/relationships/image" Target="../media/image1.png"/><Relationship Id="rId5" Type="http://schemas.openxmlformats.org/officeDocument/2006/relationships/chart" Target="../charts/chart41.xml"/><Relationship Id="rId6" Type="http://schemas.openxmlformats.org/officeDocument/2006/relationships/chart" Target="../charts/chart42.xml"/><Relationship Id="rId7" Type="http://schemas.openxmlformats.org/officeDocument/2006/relationships/chart" Target="../charts/chart43.xml"/><Relationship Id="rId8" Type="http://schemas.openxmlformats.org/officeDocument/2006/relationships/chart" Target="../charts/chart4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45.xml"/><Relationship Id="rId2" Type="http://schemas.openxmlformats.org/officeDocument/2006/relationships/chart" Target="../charts/chart46.xml"/><Relationship Id="rId3" Type="http://schemas.openxmlformats.org/officeDocument/2006/relationships/chart" Target="../charts/chart47.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1323975</xdr:colOff>
      <xdr:row>4</xdr:row>
      <xdr:rowOff>57150</xdr:rowOff>
    </xdr:from>
    <xdr:ext cx="8162925" cy="32956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31</xdr:col>
      <xdr:colOff>1152525</xdr:colOff>
      <xdr:row>4</xdr:row>
      <xdr:rowOff>133350</xdr:rowOff>
    </xdr:from>
    <xdr:ext cx="8162925" cy="32956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39</xdr:col>
      <xdr:colOff>581025</xdr:colOff>
      <xdr:row>4</xdr:row>
      <xdr:rowOff>180975</xdr:rowOff>
    </xdr:from>
    <xdr:ext cx="8162925" cy="32956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25</xdr:col>
      <xdr:colOff>180975</xdr:colOff>
      <xdr:row>4</xdr:row>
      <xdr:rowOff>133350</xdr:rowOff>
    </xdr:from>
    <xdr:ext cx="8162925" cy="329565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3</xdr:row>
      <xdr:rowOff>0</xdr:rowOff>
    </xdr:from>
    <xdr:ext cx="523875" cy="5334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457200</xdr:colOff>
      <xdr:row>34</xdr:row>
      <xdr:rowOff>533400</xdr:rowOff>
    </xdr:from>
    <xdr:ext cx="4676775" cy="28479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600075</xdr:colOff>
      <xdr:row>44</xdr:row>
      <xdr:rowOff>9525</xdr:rowOff>
    </xdr:from>
    <xdr:ext cx="4686300" cy="2847975"/>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106</xdr:col>
      <xdr:colOff>342900</xdr:colOff>
      <xdr:row>34</xdr:row>
      <xdr:rowOff>628650</xdr:rowOff>
    </xdr:from>
    <xdr:ext cx="4676775" cy="2657475"/>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106</xdr:col>
      <xdr:colOff>428625</xdr:colOff>
      <xdr:row>44</xdr:row>
      <xdr:rowOff>104775</xdr:rowOff>
    </xdr:from>
    <xdr:ext cx="4686300" cy="2657475"/>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100</xdr:col>
      <xdr:colOff>342900</xdr:colOff>
      <xdr:row>93</xdr:row>
      <xdr:rowOff>76200</xdr:rowOff>
    </xdr:from>
    <xdr:ext cx="8848725" cy="3238500"/>
    <xdr:graphicFrame>
      <xdr:nvGraphicFramePr>
        <xdr:cNvPr id="9" name="Chart 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98</xdr:col>
      <xdr:colOff>457200</xdr:colOff>
      <xdr:row>26</xdr:row>
      <xdr:rowOff>466725</xdr:rowOff>
    </xdr:from>
    <xdr:ext cx="7038975" cy="2247900"/>
    <xdr:graphicFrame>
      <xdr:nvGraphicFramePr>
        <xdr:cNvPr id="10" name="Chart 10"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98</xdr:col>
      <xdr:colOff>333375</xdr:colOff>
      <xdr:row>20</xdr:row>
      <xdr:rowOff>95250</xdr:rowOff>
    </xdr:from>
    <xdr:ext cx="7038975" cy="2247900"/>
    <xdr:graphicFrame>
      <xdr:nvGraphicFramePr>
        <xdr:cNvPr id="11" name="Chart 11"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101</xdr:col>
      <xdr:colOff>28575</xdr:colOff>
      <xdr:row>112</xdr:row>
      <xdr:rowOff>66675</xdr:rowOff>
    </xdr:from>
    <xdr:ext cx="7962900" cy="2714625"/>
    <xdr:graphicFrame>
      <xdr:nvGraphicFramePr>
        <xdr:cNvPr id="12" name="Chart 12"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1</xdr:row>
      <xdr:rowOff>0</xdr:rowOff>
    </xdr:from>
    <xdr:ext cx="190500" cy="2000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457200</xdr:colOff>
      <xdr:row>34</xdr:row>
      <xdr:rowOff>533400</xdr:rowOff>
    </xdr:from>
    <xdr:ext cx="4676775" cy="28479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600075</xdr:colOff>
      <xdr:row>44</xdr:row>
      <xdr:rowOff>9525</xdr:rowOff>
    </xdr:from>
    <xdr:ext cx="4686300" cy="2847975"/>
    <xdr:graphicFrame>
      <xdr:nvGraphicFramePr>
        <xdr:cNvPr id="14"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106</xdr:col>
      <xdr:colOff>342900</xdr:colOff>
      <xdr:row>34</xdr:row>
      <xdr:rowOff>628650</xdr:rowOff>
    </xdr:from>
    <xdr:ext cx="4676775" cy="2657475"/>
    <xdr:graphicFrame>
      <xdr:nvGraphicFramePr>
        <xdr:cNvPr id="15" name="Chart 1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106</xdr:col>
      <xdr:colOff>428625</xdr:colOff>
      <xdr:row>44</xdr:row>
      <xdr:rowOff>104775</xdr:rowOff>
    </xdr:from>
    <xdr:ext cx="4686300" cy="2657475"/>
    <xdr:graphicFrame>
      <xdr:nvGraphicFramePr>
        <xdr:cNvPr id="16" name="Chart 16"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100</xdr:col>
      <xdr:colOff>342900</xdr:colOff>
      <xdr:row>93</xdr:row>
      <xdr:rowOff>76200</xdr:rowOff>
    </xdr:from>
    <xdr:ext cx="8848725" cy="3238500"/>
    <xdr:graphicFrame>
      <xdr:nvGraphicFramePr>
        <xdr:cNvPr id="17" name="Chart 17"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98</xdr:col>
      <xdr:colOff>457200</xdr:colOff>
      <xdr:row>26</xdr:row>
      <xdr:rowOff>466725</xdr:rowOff>
    </xdr:from>
    <xdr:ext cx="7038975" cy="2247900"/>
    <xdr:graphicFrame>
      <xdr:nvGraphicFramePr>
        <xdr:cNvPr id="18" name="Chart 18"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98</xdr:col>
      <xdr:colOff>333375</xdr:colOff>
      <xdr:row>20</xdr:row>
      <xdr:rowOff>95250</xdr:rowOff>
    </xdr:from>
    <xdr:ext cx="7038975" cy="2247900"/>
    <xdr:graphicFrame>
      <xdr:nvGraphicFramePr>
        <xdr:cNvPr id="19" name="Chart 19"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101</xdr:col>
      <xdr:colOff>28575</xdr:colOff>
      <xdr:row>112</xdr:row>
      <xdr:rowOff>66675</xdr:rowOff>
    </xdr:from>
    <xdr:ext cx="7962900" cy="2714625"/>
    <xdr:graphicFrame>
      <xdr:nvGraphicFramePr>
        <xdr:cNvPr id="20" name="Chart 20"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1</xdr:row>
      <xdr:rowOff>0</xdr:rowOff>
    </xdr:from>
    <xdr:ext cx="190500" cy="200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457200</xdr:colOff>
      <xdr:row>34</xdr:row>
      <xdr:rowOff>533400</xdr:rowOff>
    </xdr:from>
    <xdr:ext cx="4676775" cy="2847975"/>
    <xdr:graphicFrame>
      <xdr:nvGraphicFramePr>
        <xdr:cNvPr id="21" name="Chart 2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600075</xdr:colOff>
      <xdr:row>44</xdr:row>
      <xdr:rowOff>9525</xdr:rowOff>
    </xdr:from>
    <xdr:ext cx="4686300" cy="2847975"/>
    <xdr:graphicFrame>
      <xdr:nvGraphicFramePr>
        <xdr:cNvPr id="22" name="Chart 2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106</xdr:col>
      <xdr:colOff>342900</xdr:colOff>
      <xdr:row>34</xdr:row>
      <xdr:rowOff>628650</xdr:rowOff>
    </xdr:from>
    <xdr:ext cx="4676775" cy="2657475"/>
    <xdr:graphicFrame>
      <xdr:nvGraphicFramePr>
        <xdr:cNvPr id="23" name="Chart 2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106</xdr:col>
      <xdr:colOff>428625</xdr:colOff>
      <xdr:row>44</xdr:row>
      <xdr:rowOff>104775</xdr:rowOff>
    </xdr:from>
    <xdr:ext cx="4686300" cy="2657475"/>
    <xdr:graphicFrame>
      <xdr:nvGraphicFramePr>
        <xdr:cNvPr id="24" name="Chart 2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100</xdr:col>
      <xdr:colOff>342900</xdr:colOff>
      <xdr:row>93</xdr:row>
      <xdr:rowOff>76200</xdr:rowOff>
    </xdr:from>
    <xdr:ext cx="8848725" cy="3238500"/>
    <xdr:graphicFrame>
      <xdr:nvGraphicFramePr>
        <xdr:cNvPr id="25" name="Chart 2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98</xdr:col>
      <xdr:colOff>457200</xdr:colOff>
      <xdr:row>26</xdr:row>
      <xdr:rowOff>466725</xdr:rowOff>
    </xdr:from>
    <xdr:ext cx="7038975" cy="2247900"/>
    <xdr:graphicFrame>
      <xdr:nvGraphicFramePr>
        <xdr:cNvPr id="26" name="Chart 2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98</xdr:col>
      <xdr:colOff>333375</xdr:colOff>
      <xdr:row>20</xdr:row>
      <xdr:rowOff>95250</xdr:rowOff>
    </xdr:from>
    <xdr:ext cx="7038975" cy="2247900"/>
    <xdr:graphicFrame>
      <xdr:nvGraphicFramePr>
        <xdr:cNvPr id="27" name="Chart 2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101</xdr:col>
      <xdr:colOff>28575</xdr:colOff>
      <xdr:row>112</xdr:row>
      <xdr:rowOff>66675</xdr:rowOff>
    </xdr:from>
    <xdr:ext cx="7962900" cy="2714625"/>
    <xdr:graphicFrame>
      <xdr:nvGraphicFramePr>
        <xdr:cNvPr id="28" name="Chart 2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1</xdr:row>
      <xdr:rowOff>0</xdr:rowOff>
    </xdr:from>
    <xdr:ext cx="190500" cy="20002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457200</xdr:colOff>
      <xdr:row>34</xdr:row>
      <xdr:rowOff>533400</xdr:rowOff>
    </xdr:from>
    <xdr:ext cx="4676775" cy="2847975"/>
    <xdr:graphicFrame>
      <xdr:nvGraphicFramePr>
        <xdr:cNvPr id="29" name="Chart 2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600075</xdr:colOff>
      <xdr:row>44</xdr:row>
      <xdr:rowOff>9525</xdr:rowOff>
    </xdr:from>
    <xdr:ext cx="4686300" cy="2847975"/>
    <xdr:graphicFrame>
      <xdr:nvGraphicFramePr>
        <xdr:cNvPr id="30" name="Chart 30"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106</xdr:col>
      <xdr:colOff>342900</xdr:colOff>
      <xdr:row>34</xdr:row>
      <xdr:rowOff>628650</xdr:rowOff>
    </xdr:from>
    <xdr:ext cx="4676775" cy="2657475"/>
    <xdr:graphicFrame>
      <xdr:nvGraphicFramePr>
        <xdr:cNvPr id="31" name="Chart 31"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106</xdr:col>
      <xdr:colOff>428625</xdr:colOff>
      <xdr:row>44</xdr:row>
      <xdr:rowOff>104775</xdr:rowOff>
    </xdr:from>
    <xdr:ext cx="4686300" cy="2657475"/>
    <xdr:graphicFrame>
      <xdr:nvGraphicFramePr>
        <xdr:cNvPr id="32" name="Chart 32"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100</xdr:col>
      <xdr:colOff>342900</xdr:colOff>
      <xdr:row>93</xdr:row>
      <xdr:rowOff>76200</xdr:rowOff>
    </xdr:from>
    <xdr:ext cx="8848725" cy="3238500"/>
    <xdr:graphicFrame>
      <xdr:nvGraphicFramePr>
        <xdr:cNvPr id="33" name="Chart 33"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98</xdr:col>
      <xdr:colOff>457200</xdr:colOff>
      <xdr:row>26</xdr:row>
      <xdr:rowOff>466725</xdr:rowOff>
    </xdr:from>
    <xdr:ext cx="7038975" cy="2247900"/>
    <xdr:graphicFrame>
      <xdr:nvGraphicFramePr>
        <xdr:cNvPr id="34" name="Chart 34"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98</xdr:col>
      <xdr:colOff>333375</xdr:colOff>
      <xdr:row>20</xdr:row>
      <xdr:rowOff>95250</xdr:rowOff>
    </xdr:from>
    <xdr:ext cx="7038975" cy="2247900"/>
    <xdr:graphicFrame>
      <xdr:nvGraphicFramePr>
        <xdr:cNvPr id="35" name="Chart 35"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101</xdr:col>
      <xdr:colOff>28575</xdr:colOff>
      <xdr:row>112</xdr:row>
      <xdr:rowOff>66675</xdr:rowOff>
    </xdr:from>
    <xdr:ext cx="7962900" cy="2714625"/>
    <xdr:graphicFrame>
      <xdr:nvGraphicFramePr>
        <xdr:cNvPr id="36" name="Chart 36"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1</xdr:row>
      <xdr:rowOff>0</xdr:rowOff>
    </xdr:from>
    <xdr:ext cx="190500" cy="20002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457200</xdr:colOff>
      <xdr:row>34</xdr:row>
      <xdr:rowOff>533400</xdr:rowOff>
    </xdr:from>
    <xdr:ext cx="4676775" cy="2847975"/>
    <xdr:graphicFrame>
      <xdr:nvGraphicFramePr>
        <xdr:cNvPr id="37" name="Chart 3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98</xdr:col>
      <xdr:colOff>600075</xdr:colOff>
      <xdr:row>44</xdr:row>
      <xdr:rowOff>9525</xdr:rowOff>
    </xdr:from>
    <xdr:ext cx="4686300" cy="2847975"/>
    <xdr:graphicFrame>
      <xdr:nvGraphicFramePr>
        <xdr:cNvPr id="38" name="Chart 3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106</xdr:col>
      <xdr:colOff>342900</xdr:colOff>
      <xdr:row>34</xdr:row>
      <xdr:rowOff>628650</xdr:rowOff>
    </xdr:from>
    <xdr:ext cx="4676775" cy="2657475"/>
    <xdr:graphicFrame>
      <xdr:nvGraphicFramePr>
        <xdr:cNvPr id="39" name="Chart 3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106</xdr:col>
      <xdr:colOff>428625</xdr:colOff>
      <xdr:row>44</xdr:row>
      <xdr:rowOff>104775</xdr:rowOff>
    </xdr:from>
    <xdr:ext cx="4686300" cy="2657475"/>
    <xdr:graphicFrame>
      <xdr:nvGraphicFramePr>
        <xdr:cNvPr id="40" name="Chart 40"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100</xdr:col>
      <xdr:colOff>342900</xdr:colOff>
      <xdr:row>94</xdr:row>
      <xdr:rowOff>76200</xdr:rowOff>
    </xdr:from>
    <xdr:ext cx="8848725" cy="3238500"/>
    <xdr:graphicFrame>
      <xdr:nvGraphicFramePr>
        <xdr:cNvPr id="41" name="Chart 41"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98</xdr:col>
      <xdr:colOff>457200</xdr:colOff>
      <xdr:row>26</xdr:row>
      <xdr:rowOff>466725</xdr:rowOff>
    </xdr:from>
    <xdr:ext cx="7038975" cy="2247900"/>
    <xdr:graphicFrame>
      <xdr:nvGraphicFramePr>
        <xdr:cNvPr id="42" name="Chart 42"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98</xdr:col>
      <xdr:colOff>333375</xdr:colOff>
      <xdr:row>20</xdr:row>
      <xdr:rowOff>95250</xdr:rowOff>
    </xdr:from>
    <xdr:ext cx="7038975" cy="2247900"/>
    <xdr:graphicFrame>
      <xdr:nvGraphicFramePr>
        <xdr:cNvPr id="43" name="Chart 43"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101</xdr:col>
      <xdr:colOff>28575</xdr:colOff>
      <xdr:row>113</xdr:row>
      <xdr:rowOff>66675</xdr:rowOff>
    </xdr:from>
    <xdr:ext cx="7962900" cy="2714625"/>
    <xdr:graphicFrame>
      <xdr:nvGraphicFramePr>
        <xdr:cNvPr id="44" name="Chart 44"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1</xdr:row>
      <xdr:rowOff>0</xdr:rowOff>
    </xdr:from>
    <xdr:ext cx="190500" cy="2000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85725</xdr:colOff>
      <xdr:row>13</xdr:row>
      <xdr:rowOff>38100</xdr:rowOff>
    </xdr:from>
    <xdr:ext cx="13925550" cy="3276600"/>
    <xdr:graphicFrame>
      <xdr:nvGraphicFramePr>
        <xdr:cNvPr id="45" name="Chart 4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85725</xdr:colOff>
      <xdr:row>28</xdr:row>
      <xdr:rowOff>57150</xdr:rowOff>
    </xdr:from>
    <xdr:ext cx="13925550" cy="3533775"/>
    <xdr:graphicFrame>
      <xdr:nvGraphicFramePr>
        <xdr:cNvPr id="46" name="Chart 4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85725</xdr:colOff>
      <xdr:row>45</xdr:row>
      <xdr:rowOff>190500</xdr:rowOff>
    </xdr:from>
    <xdr:ext cx="13925550" cy="3533775"/>
    <xdr:graphicFrame>
      <xdr:nvGraphicFramePr>
        <xdr:cNvPr id="47" name="Chart 4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1</xdr:row>
      <xdr:rowOff>0</xdr:rowOff>
    </xdr:from>
    <xdr:ext cx="190500"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1:F65" displayName="Table_1" name="Table_1" id="1">
  <tableColumns count="6">
    <tableColumn name="Column1" id="1"/>
    <tableColumn name="Column2" id="2"/>
    <tableColumn name="Column3" id="3"/>
    <tableColumn name="Column4" id="4"/>
    <tableColumn name="Column5" id="5"/>
    <tableColumn name="Column6" id="6"/>
  </tableColumns>
  <tableStyleInfo name="Copia de Introducción-style" showColumnStripes="0" showFirstColumn="1" showLastColumn="1" showRowStripes="1"/>
</table>
</file>

<file path=xl/tables/table2.xml><?xml version="1.0" encoding="utf-8"?>
<table xmlns="http://schemas.openxmlformats.org/spreadsheetml/2006/main" headerRowCount="0" ref="U40:U186" displayName="Table_2" name="Table_2" id="2">
  <tableColumns count="1">
    <tableColumn name="Column1" id="1"/>
  </tableColumns>
  <tableStyleInfo name="Copia de Bloque 5 Semana 2-style" showColumnStripes="0" showFirstColumn="1" showLastColumn="1" showRowStripes="1"/>
</table>
</file>

<file path=xl/tables/table3.xml><?xml version="1.0" encoding="utf-8"?>
<table xmlns="http://schemas.openxmlformats.org/spreadsheetml/2006/main" headerRowCount="0" ref="V40:V186" displayName="Table_3" name="Table_3" id="3">
  <tableColumns count="1">
    <tableColumn name="Column1" id="1"/>
  </tableColumns>
  <tableStyleInfo name="Copia de Bloque 5 Semana 2-style 2" showColumnStripes="0" showFirstColumn="1" showLastColumn="1" showRowStripes="1"/>
</table>
</file>

<file path=xl/tables/table4.xml><?xml version="1.0" encoding="utf-8"?>
<table xmlns="http://schemas.openxmlformats.org/spreadsheetml/2006/main" headerRowCount="0" ref="AF40:BT186" displayName="Table_4" name="Table_4" id="4">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Copia de Bloque 5 Semana 2-style 3" showColumnStripes="0" showFirstColumn="1" showLastColumn="1" showRowStripes="1"/>
</table>
</file>

<file path=xl/tables/table5.xml><?xml version="1.0" encoding="utf-8"?>
<table xmlns="http://schemas.openxmlformats.org/spreadsheetml/2006/main" headerRowCount="0" ref="U40:U186" displayName="Table_5" name="Table_5" id="5">
  <tableColumns count="1">
    <tableColumn name="Column1" id="1"/>
  </tableColumns>
  <tableStyleInfo name="Copia de Bloque 5 Semana 3-style" showColumnStripes="0" showFirstColumn="1" showLastColumn="1" showRowStripes="1"/>
</table>
</file>

<file path=xl/tables/table6.xml><?xml version="1.0" encoding="utf-8"?>
<table xmlns="http://schemas.openxmlformats.org/spreadsheetml/2006/main" headerRowCount="0" ref="V40:V186" displayName="Table_6" name="Table_6" id="6">
  <tableColumns count="1">
    <tableColumn name="Column1" id="1"/>
  </tableColumns>
  <tableStyleInfo name="Copia de Bloque 5 Semana 3-style 2" showColumnStripes="0" showFirstColumn="1" showLastColumn="1" showRowStripes="1"/>
</table>
</file>

<file path=xl/tables/table7.xml><?xml version="1.0" encoding="utf-8"?>
<table xmlns="http://schemas.openxmlformats.org/spreadsheetml/2006/main" headerRowCount="0" ref="AF40:BT186" displayName="Table_7" name="Table_7" id="7">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Copia de Bloque 5 Semana 3-style 3" showColumnStripes="0" showFirstColumn="1" showLastColumn="1" showRowStripes="1"/>
</table>
</file>

<file path=xl/tables/table8.xml><?xml version="1.0" encoding="utf-8"?>
<table xmlns="http://schemas.openxmlformats.org/spreadsheetml/2006/main" headerRowCount="0" ref="U40:U186" displayName="Table_8" name="Table_8" id="8">
  <tableColumns count="1">
    <tableColumn name="Column1" id="1"/>
  </tableColumns>
  <tableStyleInfo name="Copia de Bloque 6 Semana 1-style" showColumnStripes="0" showFirstColumn="1" showLastColumn="1" showRowStripes="1"/>
</table>
</file>

<file path=xl/tables/table9.xml><?xml version="1.0" encoding="utf-8"?>
<table xmlns="http://schemas.openxmlformats.org/spreadsheetml/2006/main" headerRowCount="0" ref="V40:V186" displayName="Table_9" name="Table_9" id="9">
  <tableColumns count="1">
    <tableColumn name="Column1" id="1"/>
  </tableColumns>
  <tableStyleInfo name="Copia de Bloque 6 Semana 1-style 2" showColumnStripes="0" showFirstColumn="1" showLastColumn="1" showRowStripes="1"/>
</table>
</file>

<file path=xl/tables/table10.xml><?xml version="1.0" encoding="utf-8"?>
<table xmlns="http://schemas.openxmlformats.org/spreadsheetml/2006/main" headerRowCount="0" ref="AF40:BT186" displayName="Table_10" name="Table_10" id="10">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Copia de Bloque 6 Semana 1-style 3" showColumnStripes="0" showFirstColumn="1" showLastColumn="1" showRowStripes="1"/>
</table>
</file>

<file path=xl/tables/table11.xml><?xml version="1.0" encoding="utf-8"?>
<table xmlns="http://schemas.openxmlformats.org/spreadsheetml/2006/main" headerRowCount="0" ref="U40:U186" displayName="Table_11" name="Table_11" id="11">
  <tableColumns count="1">
    <tableColumn name="Column1" id="1"/>
  </tableColumns>
  <tableStyleInfo name="Copia de Bloque 6 Semana 2-style" showColumnStripes="0" showFirstColumn="1" showLastColumn="1" showRowStripes="1"/>
</table>
</file>

<file path=xl/tables/table12.xml><?xml version="1.0" encoding="utf-8"?>
<table xmlns="http://schemas.openxmlformats.org/spreadsheetml/2006/main" headerRowCount="0" ref="V40:V186" displayName="Table_12" name="Table_12" id="12">
  <tableColumns count="1">
    <tableColumn name="Column1" id="1"/>
  </tableColumns>
  <tableStyleInfo name="Copia de Bloque 6 Semana 2-style 2" showColumnStripes="0" showFirstColumn="1" showLastColumn="1" showRowStripes="1"/>
</table>
</file>

<file path=xl/tables/table13.xml><?xml version="1.0" encoding="utf-8"?>
<table xmlns="http://schemas.openxmlformats.org/spreadsheetml/2006/main" headerRowCount="0" ref="AF40:BT186" displayName="Table_13" name="Table_13" id="13">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Copia de Bloque 6 Semana 2-style 3" showColumnStripes="0" showFirstColumn="1" showLastColumn="1" showRowStripes="1"/>
</table>
</file>

<file path=xl/tables/table14.xml><?xml version="1.0" encoding="utf-8"?>
<table xmlns="http://schemas.openxmlformats.org/spreadsheetml/2006/main" headerRowCount="0" ref="U40:U187" displayName="Table_14" name="Table_14" id="14">
  <tableColumns count="1">
    <tableColumn name="Column1" id="1"/>
  </tableColumns>
  <tableStyleInfo name="Copia de Bloque 6 Semana 3-style" showColumnStripes="0" showFirstColumn="1" showLastColumn="1" showRowStripes="1"/>
</table>
</file>

<file path=xl/tables/table15.xml><?xml version="1.0" encoding="utf-8"?>
<table xmlns="http://schemas.openxmlformats.org/spreadsheetml/2006/main" headerRowCount="0" ref="V40:V187" displayName="Table_15" name="Table_15" id="15">
  <tableColumns count="1">
    <tableColumn name="Column1" id="1"/>
  </tableColumns>
  <tableStyleInfo name="Copia de Bloque 6 Semana 3-style 2" showColumnStripes="0" showFirstColumn="1" showLastColumn="1" showRowStripes="1"/>
</table>
</file>

<file path=xl/tables/table16.xml><?xml version="1.0" encoding="utf-8"?>
<table xmlns="http://schemas.openxmlformats.org/spreadsheetml/2006/main" headerRowCount="0" ref="AF40:BT187" displayName="Table_16" name="Table_16" id="16">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Copia de Bloque 6 Semana 3-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7vX3IG2AdKCmnfG7cK-u9GdPMpJFj1K/view?usp=drive_link" TargetMode="External"/><Relationship Id="rId3" Type="http://schemas.openxmlformats.org/officeDocument/2006/relationships/hyperlink" Target="https://drive.google.com/file/d/1ZfsnmRahSuRfcbDFUvfYGyees5fq2HBq/view?usp=drive_link" TargetMode="External"/><Relationship Id="rId4" Type="http://schemas.openxmlformats.org/officeDocument/2006/relationships/hyperlink" Target="https://drive.google.com/file/d/16CZf-s4c4MtIUCji2O_lotjOQeYumIx5/view?usp=drive_link" TargetMode="External"/><Relationship Id="rId10" Type="http://schemas.openxmlformats.org/officeDocument/2006/relationships/vmlDrawing" Target="../drawings/vmlDrawing2.vml"/><Relationship Id="rId9" Type="http://schemas.openxmlformats.org/officeDocument/2006/relationships/drawing" Target="../drawings/drawing2.xml"/><Relationship Id="rId5" Type="http://schemas.openxmlformats.org/officeDocument/2006/relationships/hyperlink" Target="https://drive.google.com/file/d/1XMgY2iVTFoO4oOvx8cATHSQN9I5-QtVB/view?usp=drive_link" TargetMode="External"/><Relationship Id="rId6" Type="http://schemas.openxmlformats.org/officeDocument/2006/relationships/hyperlink" Target="https://drive.google.com/file/d/1bwV9BAAGoleL4Tvtm8GaVuwbXYVQPaGb/view?usp=drive_link" TargetMode="External"/><Relationship Id="rId7" Type="http://schemas.openxmlformats.org/officeDocument/2006/relationships/hyperlink" Target="https://drive.google.com/file/d/17J1RY8LkJgAHimbUarvwfNcPjcr2hOrU/view?usp=drive_link" TargetMode="External"/><Relationship Id="rId8" Type="http://schemas.openxmlformats.org/officeDocument/2006/relationships/hyperlink" Target="https://drive.google.com/file/d/11_ZQh-4vP7GDJAcgIK_HWNJBJjE3O-Ki/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 Id="rId9" Type="http://schemas.openxmlformats.org/officeDocument/2006/relationships/table" Target="../tables/table10.xml"/><Relationship Id="rId7" Type="http://schemas.openxmlformats.org/officeDocument/2006/relationships/table" Target="../tables/table8.xml"/><Relationship Id="rId8"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 Id="rId9" Type="http://schemas.openxmlformats.org/officeDocument/2006/relationships/table" Target="../tables/table13.xml"/><Relationship Id="rId7" Type="http://schemas.openxmlformats.org/officeDocument/2006/relationships/table" Target="../tables/table11.xml"/><Relationship Id="rId8"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 Id="rId9" Type="http://schemas.openxmlformats.org/officeDocument/2006/relationships/table" Target="../tables/table16.xml"/><Relationship Id="rId7" Type="http://schemas.openxmlformats.org/officeDocument/2006/relationships/table" Target="../tables/table14.xml"/><Relationship Id="rId8"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sheetViews>
  <sheetFormatPr customHeight="1" defaultColWidth="12.63" defaultRowHeight="15.75" outlineLevelRow="1"/>
  <cols>
    <col customWidth="1" min="1" max="3" width="12.63"/>
    <col customWidth="1" min="6" max="6" width="10.13"/>
  </cols>
  <sheetData>
    <row r="1">
      <c r="A1" s="1"/>
      <c r="B1" s="1"/>
      <c r="C1" s="1"/>
      <c r="D1" s="1"/>
      <c r="E1" s="1"/>
      <c r="F1" s="1"/>
    </row>
    <row r="2">
      <c r="A2" s="1"/>
      <c r="B2" s="1"/>
      <c r="C2" s="1"/>
      <c r="D2" s="1"/>
      <c r="E2" s="1"/>
      <c r="F2" s="1"/>
    </row>
    <row r="3" ht="21.0" customHeight="1">
      <c r="A3" s="1"/>
      <c r="B3" s="1"/>
      <c r="C3" s="1"/>
      <c r="D3" s="1"/>
      <c r="E3" s="1"/>
      <c r="F3" s="1"/>
    </row>
    <row r="4">
      <c r="A4" s="1"/>
      <c r="B4" s="1"/>
      <c r="C4" s="1"/>
      <c r="D4" s="1"/>
      <c r="E4" s="1"/>
      <c r="F4" s="1"/>
    </row>
    <row r="5">
      <c r="A5" s="1"/>
      <c r="B5" s="1"/>
      <c r="C5" s="1"/>
      <c r="D5" s="1"/>
      <c r="E5" s="1"/>
      <c r="F5" s="1"/>
    </row>
    <row r="6">
      <c r="A6" s="1"/>
      <c r="B6" s="1"/>
      <c r="C6" s="1"/>
      <c r="D6" s="1"/>
      <c r="E6" s="1"/>
      <c r="F6" s="1"/>
    </row>
    <row r="7">
      <c r="A7" s="1"/>
      <c r="B7" s="1"/>
      <c r="C7" s="1"/>
      <c r="D7" s="1"/>
      <c r="E7" s="1"/>
      <c r="F7" s="1"/>
    </row>
    <row r="8">
      <c r="A8" s="1"/>
      <c r="B8" s="1"/>
      <c r="C8" s="1"/>
      <c r="D8" s="1"/>
      <c r="E8" s="1"/>
      <c r="F8" s="1"/>
    </row>
    <row r="9">
      <c r="A9" s="1"/>
      <c r="B9" s="1"/>
      <c r="C9" s="1"/>
      <c r="D9" s="1"/>
      <c r="E9" s="1"/>
      <c r="F9" s="1"/>
    </row>
    <row r="10">
      <c r="A10" s="1"/>
      <c r="B10" s="1"/>
      <c r="C10" s="1"/>
      <c r="D10" s="1"/>
      <c r="E10" s="1"/>
      <c r="F10" s="1"/>
    </row>
    <row r="11">
      <c r="A11" s="1"/>
      <c r="B11" s="1"/>
      <c r="C11" s="1"/>
      <c r="D11" s="1"/>
      <c r="E11" s="1"/>
      <c r="F11" s="1"/>
    </row>
    <row r="12">
      <c r="A12" s="1"/>
      <c r="B12" s="1"/>
      <c r="C12" s="1"/>
      <c r="D12" s="1"/>
      <c r="E12" s="1"/>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ht="141.0" customHeight="1">
      <c r="A17" s="2" t="s">
        <v>0</v>
      </c>
    </row>
    <row r="18" ht="32.25" customHeight="1">
      <c r="A18" s="3"/>
    </row>
    <row r="19">
      <c r="A19" s="4"/>
      <c r="B19" s="5" t="s">
        <v>1</v>
      </c>
      <c r="F19" s="4"/>
    </row>
    <row r="20">
      <c r="A20" s="4"/>
      <c r="B20" s="6" t="s">
        <v>2</v>
      </c>
      <c r="F20" s="4"/>
    </row>
    <row r="21">
      <c r="A21" s="4"/>
      <c r="B21" s="7"/>
      <c r="C21" s="7"/>
      <c r="D21" s="7"/>
      <c r="E21" s="7"/>
      <c r="F21" s="4"/>
    </row>
    <row r="22" outlineLevel="1">
      <c r="A22" s="8" t="s">
        <v>3</v>
      </c>
    </row>
    <row r="23" outlineLevel="1">
      <c r="A23" s="9" t="s">
        <v>4</v>
      </c>
      <c r="C23" s="9" t="s">
        <v>5</v>
      </c>
      <c r="E23" s="9" t="s">
        <v>6</v>
      </c>
    </row>
    <row r="24" outlineLevel="1">
      <c r="A24" s="10">
        <v>180.0</v>
      </c>
      <c r="C24" s="10">
        <v>115.0</v>
      </c>
      <c r="E24" s="10">
        <v>240.0</v>
      </c>
    </row>
    <row r="25" outlineLevel="1"/>
    <row r="26" ht="28.5" customHeight="1" outlineLevel="1">
      <c r="A26" s="11" t="str">
        <f>"TOTAL: "&amp;SUM(A24:F25)&amp;" kg"</f>
        <v>TOTAL: 535 kg</v>
      </c>
    </row>
    <row r="27" outlineLevel="1">
      <c r="A27" s="12" t="s">
        <v>7</v>
      </c>
    </row>
    <row r="28" outlineLevel="1">
      <c r="A28" s="13" t="s">
        <v>4</v>
      </c>
      <c r="C28" s="13" t="s">
        <v>5</v>
      </c>
      <c r="E28" s="13" t="s">
        <v>8</v>
      </c>
    </row>
    <row r="29" outlineLevel="1"/>
    <row r="30" outlineLevel="1">
      <c r="A30" s="14" t="s">
        <v>9</v>
      </c>
      <c r="B30" s="14" t="s">
        <v>10</v>
      </c>
      <c r="C30" s="14" t="s">
        <v>9</v>
      </c>
      <c r="D30" s="14" t="s">
        <v>10</v>
      </c>
      <c r="E30" s="14" t="s">
        <v>9</v>
      </c>
      <c r="F30" s="14" t="s">
        <v>10</v>
      </c>
    </row>
    <row r="31" outlineLevel="1">
      <c r="A31" s="15"/>
      <c r="B31" s="16"/>
      <c r="C31" s="17"/>
      <c r="D31" s="16"/>
      <c r="E31" s="17"/>
      <c r="F31" s="18">
        <v>210.0</v>
      </c>
    </row>
    <row r="32" outlineLevel="1">
      <c r="A32" s="15"/>
      <c r="B32" s="16"/>
      <c r="C32" s="17"/>
      <c r="D32" s="16"/>
      <c r="E32" s="17"/>
      <c r="F32" s="19"/>
    </row>
    <row r="33" outlineLevel="1">
      <c r="A33" s="20"/>
      <c r="B33" s="16"/>
      <c r="C33" s="17"/>
      <c r="D33" s="16"/>
      <c r="E33" s="17"/>
      <c r="F33" s="19"/>
    </row>
    <row r="34" outlineLevel="1">
      <c r="A34" s="15"/>
      <c r="B34" s="16"/>
      <c r="C34" s="17"/>
      <c r="D34" s="16"/>
      <c r="E34" s="17"/>
      <c r="F34" s="19"/>
    </row>
    <row r="35" outlineLevel="1">
      <c r="A35" s="20"/>
      <c r="B35" s="16"/>
      <c r="C35" s="17"/>
      <c r="D35" s="16"/>
      <c r="E35" s="17"/>
      <c r="F35" s="19"/>
    </row>
    <row r="36" ht="11.25" customHeight="1" outlineLevel="1">
      <c r="A36" s="20"/>
      <c r="B36" s="16"/>
      <c r="C36" s="17"/>
      <c r="D36" s="16"/>
      <c r="E36" s="17"/>
      <c r="F36" s="19"/>
    </row>
    <row r="37" outlineLevel="1">
      <c r="A37" s="20"/>
      <c r="B37" s="19"/>
      <c r="C37" s="21"/>
      <c r="D37" s="19"/>
      <c r="E37" s="21"/>
      <c r="F37" s="19"/>
    </row>
    <row r="38" outlineLevel="1">
      <c r="A38" s="20"/>
      <c r="B38" s="19"/>
      <c r="C38" s="21"/>
      <c r="D38" s="19"/>
      <c r="E38" s="21"/>
      <c r="F38" s="19"/>
    </row>
    <row r="39" outlineLevel="1">
      <c r="A39" s="20"/>
      <c r="B39" s="19"/>
      <c r="C39" s="21"/>
      <c r="D39" s="19"/>
      <c r="E39" s="21"/>
      <c r="F39" s="19"/>
    </row>
    <row r="40" outlineLevel="1">
      <c r="A40" s="20"/>
      <c r="B40" s="19"/>
      <c r="C40" s="21"/>
      <c r="D40" s="19"/>
      <c r="E40" s="21"/>
      <c r="F40" s="19"/>
    </row>
    <row r="41" outlineLevel="1">
      <c r="A41" s="20"/>
      <c r="B41" s="19"/>
      <c r="C41" s="21"/>
      <c r="D41" s="19"/>
      <c r="E41" s="21"/>
      <c r="F41" s="19"/>
    </row>
    <row r="42" outlineLevel="1">
      <c r="A42" s="20"/>
      <c r="B42" s="19"/>
      <c r="C42" s="21"/>
      <c r="D42" s="19"/>
      <c r="E42" s="21"/>
      <c r="F42" s="19"/>
    </row>
    <row r="43" outlineLevel="1">
      <c r="A43" s="20"/>
      <c r="B43" s="19"/>
      <c r="C43" s="21"/>
      <c r="D43" s="19"/>
      <c r="E43" s="21"/>
      <c r="F43" s="19"/>
    </row>
    <row r="44" outlineLevel="1">
      <c r="A44" s="20"/>
      <c r="B44" s="19"/>
      <c r="C44" s="21"/>
      <c r="D44" s="19"/>
      <c r="E44" s="21"/>
      <c r="F44" s="19"/>
    </row>
    <row r="45" outlineLevel="1">
      <c r="A45" s="20"/>
      <c r="B45" s="19"/>
      <c r="C45" s="21"/>
      <c r="D45" s="19"/>
      <c r="E45" s="22"/>
      <c r="F45" s="19"/>
    </row>
    <row r="46" outlineLevel="1">
      <c r="A46" s="20"/>
      <c r="B46" s="19"/>
      <c r="C46" s="21"/>
      <c r="D46" s="19"/>
      <c r="E46" s="21"/>
      <c r="F46" s="19"/>
    </row>
    <row r="47" outlineLevel="1">
      <c r="A47" s="20"/>
      <c r="B47" s="19"/>
      <c r="C47" s="21"/>
      <c r="D47" s="19"/>
      <c r="E47" s="21"/>
      <c r="F47" s="19"/>
    </row>
    <row r="48" outlineLevel="1">
      <c r="A48" s="20"/>
      <c r="B48" s="19"/>
      <c r="C48" s="21"/>
      <c r="D48" s="19"/>
      <c r="E48" s="21"/>
      <c r="F48" s="19"/>
    </row>
    <row r="49" outlineLevel="1">
      <c r="A49" s="20"/>
      <c r="B49" s="19"/>
      <c r="C49" s="21"/>
      <c r="D49" s="19"/>
      <c r="E49" s="21"/>
      <c r="F49" s="19"/>
    </row>
    <row r="50" outlineLevel="1">
      <c r="A50" s="20"/>
      <c r="B50" s="19"/>
      <c r="C50" s="21"/>
      <c r="D50" s="19"/>
      <c r="E50" s="21"/>
      <c r="F50" s="19"/>
    </row>
    <row r="51" outlineLevel="1">
      <c r="A51" s="20"/>
      <c r="B51" s="19"/>
      <c r="C51" s="21"/>
      <c r="D51" s="19"/>
      <c r="E51" s="21"/>
      <c r="F51" s="19"/>
    </row>
    <row r="52" outlineLevel="1">
      <c r="A52" s="20"/>
      <c r="B52" s="19"/>
      <c r="C52" s="21"/>
      <c r="D52" s="19"/>
      <c r="E52" s="21"/>
      <c r="F52" s="19"/>
    </row>
    <row r="53" outlineLevel="1">
      <c r="A53" s="20"/>
      <c r="B53" s="19"/>
      <c r="C53" s="21"/>
      <c r="D53" s="19"/>
      <c r="E53" s="21"/>
      <c r="F53" s="19"/>
    </row>
    <row r="54" outlineLevel="1">
      <c r="A54" s="20"/>
      <c r="B54" s="19"/>
      <c r="C54" s="21"/>
      <c r="D54" s="19"/>
      <c r="E54" s="21"/>
      <c r="F54" s="19"/>
    </row>
    <row r="55" outlineLevel="1">
      <c r="A55" s="20"/>
      <c r="B55" s="19"/>
      <c r="C55" s="21"/>
      <c r="D55" s="19"/>
      <c r="E55" s="21"/>
      <c r="F55" s="19"/>
    </row>
    <row r="56" outlineLevel="1">
      <c r="A56" s="20"/>
      <c r="B56" s="19"/>
      <c r="C56" s="21"/>
      <c r="D56" s="19"/>
      <c r="E56" s="21"/>
      <c r="F56" s="23"/>
    </row>
    <row r="57" outlineLevel="1">
      <c r="A57" s="20"/>
      <c r="B57" s="19"/>
      <c r="C57" s="21"/>
      <c r="D57" s="19"/>
      <c r="E57" s="21"/>
      <c r="F57" s="19"/>
    </row>
    <row r="58" outlineLevel="1">
      <c r="A58" s="20"/>
      <c r="B58" s="19"/>
      <c r="C58" s="21"/>
      <c r="D58" s="19"/>
      <c r="E58" s="21"/>
      <c r="F58" s="19"/>
    </row>
    <row r="59" outlineLevel="1">
      <c r="A59" s="20"/>
      <c r="B59" s="19"/>
      <c r="C59" s="21"/>
      <c r="D59" s="19"/>
      <c r="E59" s="21"/>
      <c r="F59" s="19"/>
    </row>
    <row r="60" outlineLevel="1">
      <c r="A60" s="20"/>
      <c r="B60" s="19"/>
      <c r="C60" s="21"/>
      <c r="D60" s="19"/>
      <c r="E60" s="21"/>
      <c r="F60" s="19"/>
    </row>
    <row r="61" outlineLevel="1">
      <c r="A61" s="20"/>
      <c r="B61" s="19"/>
      <c r="C61" s="21"/>
      <c r="D61" s="19"/>
      <c r="E61" s="21"/>
      <c r="F61" s="19"/>
    </row>
    <row r="62" outlineLevel="1">
      <c r="A62" s="20"/>
      <c r="B62" s="19"/>
      <c r="C62" s="21"/>
      <c r="D62" s="19"/>
      <c r="E62" s="21"/>
      <c r="F62" s="19"/>
    </row>
    <row r="63" outlineLevel="1">
      <c r="A63" s="20"/>
      <c r="B63" s="19"/>
      <c r="C63" s="21"/>
      <c r="D63" s="19"/>
      <c r="E63" s="21"/>
      <c r="F63" s="19"/>
    </row>
    <row r="64" outlineLevel="1">
      <c r="A64" s="20"/>
      <c r="B64" s="19"/>
      <c r="C64" s="21"/>
      <c r="D64" s="19"/>
      <c r="E64" s="21"/>
      <c r="F64" s="19"/>
    </row>
    <row r="65" outlineLevel="1">
      <c r="A65" s="24"/>
      <c r="B65" s="25"/>
      <c r="C65" s="26"/>
      <c r="D65" s="25"/>
      <c r="E65" s="26"/>
      <c r="F65" s="25"/>
    </row>
    <row r="66" outlineLevel="1">
      <c r="A66" s="4"/>
      <c r="B66" s="4"/>
      <c r="C66" s="4"/>
      <c r="D66" s="27"/>
      <c r="E66" s="27"/>
      <c r="F66" s="4"/>
    </row>
    <row r="67">
      <c r="A67" s="4"/>
      <c r="B67" s="4"/>
      <c r="C67" s="4"/>
      <c r="D67" s="27" t="s">
        <v>11</v>
      </c>
      <c r="E67" s="27"/>
      <c r="F67" s="4"/>
    </row>
  </sheetData>
  <mergeCells count="16">
    <mergeCell ref="A17:F17"/>
    <mergeCell ref="A18:F18"/>
    <mergeCell ref="B19:E19"/>
    <mergeCell ref="B20:E20"/>
    <mergeCell ref="A22:F22"/>
    <mergeCell ref="C23:D23"/>
    <mergeCell ref="E23:F23"/>
    <mergeCell ref="C28:D29"/>
    <mergeCell ref="E28:F29"/>
    <mergeCell ref="A23:B23"/>
    <mergeCell ref="A24:B25"/>
    <mergeCell ref="C24:D25"/>
    <mergeCell ref="E24:F25"/>
    <mergeCell ref="A26:F26"/>
    <mergeCell ref="A27:F27"/>
    <mergeCell ref="A28:B29"/>
  </mergeCells>
  <printOptions gridLines="1" horizontalCentered="1"/>
  <pageMargins bottom="0.75" footer="0.0" header="0.0" left="0.7" right="0.7" top="0.75"/>
  <pageSetup fitToHeight="0" paperSize="9" cellComments="atEnd" orientation="portrait"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outlineLevelCol="1"/>
  <cols>
    <col customWidth="1" min="1" max="1" width="9.0"/>
    <col customWidth="1" min="2" max="2" width="21.0"/>
    <col customWidth="1" min="3" max="3" width="15.5" outlineLevel="1"/>
    <col customWidth="1" min="4" max="4" width="30.75"/>
    <col customWidth="1" min="5" max="5" width="34.0"/>
    <col customWidth="1" min="6" max="6" width="20.75"/>
    <col customWidth="1" min="7" max="7" width="45.13"/>
  </cols>
  <sheetData>
    <row r="1">
      <c r="A1" s="28"/>
      <c r="B1" s="29"/>
      <c r="D1" s="30" t="s">
        <v>12</v>
      </c>
      <c r="J1" s="28"/>
    </row>
    <row r="2">
      <c r="A2" s="28"/>
      <c r="J2" s="28"/>
    </row>
    <row r="3">
      <c r="A3" s="28"/>
      <c r="J3" s="28"/>
    </row>
    <row r="4">
      <c r="A4" s="28"/>
      <c r="J4" s="28"/>
    </row>
    <row r="5">
      <c r="A5" s="28"/>
      <c r="J5" s="28"/>
    </row>
    <row r="6">
      <c r="A6" s="28"/>
      <c r="J6" s="28"/>
    </row>
    <row r="7">
      <c r="A7" s="28"/>
      <c r="J7" s="28"/>
    </row>
    <row r="8">
      <c r="A8" s="28"/>
      <c r="J8" s="28"/>
    </row>
    <row r="9">
      <c r="A9" s="28"/>
      <c r="J9" s="28"/>
    </row>
    <row r="10">
      <c r="A10" s="28"/>
      <c r="J10" s="28"/>
    </row>
    <row r="11" ht="18.0" customHeight="1">
      <c r="A11" s="31"/>
      <c r="B11" s="32"/>
      <c r="C11" s="32"/>
      <c r="D11" s="32"/>
      <c r="E11" s="32"/>
      <c r="F11" s="32"/>
      <c r="G11" s="32"/>
      <c r="H11" s="32"/>
      <c r="I11" s="32"/>
      <c r="J11" s="28"/>
    </row>
    <row r="12" ht="18.0" customHeight="1">
      <c r="A12" s="31"/>
      <c r="B12" s="33"/>
      <c r="C12" s="33"/>
      <c r="I12" s="34"/>
      <c r="J12" s="28"/>
    </row>
    <row r="13">
      <c r="A13" s="28"/>
      <c r="B13" s="35" t="s">
        <v>13</v>
      </c>
      <c r="C13" s="36" t="s">
        <v>14</v>
      </c>
      <c r="D13" s="36" t="s">
        <v>15</v>
      </c>
      <c r="E13" s="36" t="s">
        <v>16</v>
      </c>
      <c r="F13" s="36" t="s">
        <v>17</v>
      </c>
      <c r="G13" s="36" t="s">
        <v>18</v>
      </c>
      <c r="H13" s="37"/>
      <c r="I13" s="38"/>
      <c r="J13" s="28"/>
    </row>
    <row r="14">
      <c r="A14" s="28"/>
      <c r="B14" s="39"/>
      <c r="C14" s="40" t="s">
        <v>19</v>
      </c>
      <c r="D14" s="41" t="s">
        <v>20</v>
      </c>
      <c r="E14" s="39"/>
      <c r="F14" s="39"/>
      <c r="G14" s="39"/>
      <c r="H14" s="39"/>
      <c r="I14" s="39"/>
      <c r="J14" s="28"/>
    </row>
    <row r="15">
      <c r="A15" s="28"/>
      <c r="B15" s="42" t="s">
        <v>21</v>
      </c>
      <c r="C15" s="43" t="s">
        <v>22</v>
      </c>
      <c r="D15" s="44" t="s">
        <v>23</v>
      </c>
      <c r="E15" s="45" t="s">
        <v>24</v>
      </c>
      <c r="F15" s="46" t="s">
        <v>25</v>
      </c>
      <c r="G15" s="47"/>
      <c r="J15" s="28"/>
    </row>
    <row r="16">
      <c r="A16" s="28"/>
      <c r="B16" s="48"/>
      <c r="C16" s="49" t="s">
        <v>22</v>
      </c>
      <c r="D16" s="50" t="s">
        <v>26</v>
      </c>
      <c r="E16" s="51" t="s">
        <v>27</v>
      </c>
      <c r="F16" s="52" t="s">
        <v>25</v>
      </c>
      <c r="G16" s="53" t="s">
        <v>28</v>
      </c>
      <c r="J16" s="28"/>
    </row>
    <row r="17">
      <c r="A17" s="28"/>
      <c r="B17" s="54"/>
      <c r="C17" s="43" t="s">
        <v>22</v>
      </c>
      <c r="D17" s="44" t="s">
        <v>29</v>
      </c>
      <c r="E17" s="55" t="s">
        <v>30</v>
      </c>
      <c r="F17" s="46" t="s">
        <v>25</v>
      </c>
      <c r="G17" s="56"/>
      <c r="J17" s="28"/>
    </row>
    <row r="18">
      <c r="A18" s="28"/>
      <c r="B18" s="53"/>
      <c r="C18" s="49" t="s">
        <v>31</v>
      </c>
      <c r="D18" s="50" t="s">
        <v>32</v>
      </c>
      <c r="E18" s="51" t="s">
        <v>33</v>
      </c>
      <c r="F18" s="53"/>
      <c r="G18" s="57"/>
      <c r="J18" s="28"/>
    </row>
    <row r="19">
      <c r="A19" s="28"/>
      <c r="B19" s="54"/>
      <c r="C19" s="43" t="s">
        <v>22</v>
      </c>
      <c r="D19" s="44" t="s">
        <v>34</v>
      </c>
      <c r="E19" s="55" t="s">
        <v>35</v>
      </c>
      <c r="F19" s="46" t="s">
        <v>25</v>
      </c>
      <c r="G19" s="47"/>
      <c r="J19" s="28"/>
    </row>
    <row r="20">
      <c r="A20" s="28"/>
      <c r="B20" s="53"/>
      <c r="C20" s="49" t="s">
        <v>31</v>
      </c>
      <c r="D20" s="53"/>
      <c r="E20" s="51"/>
      <c r="F20" s="53"/>
      <c r="G20" s="53"/>
      <c r="H20" s="53"/>
      <c r="I20" s="53"/>
      <c r="J20" s="28"/>
    </row>
    <row r="21">
      <c r="A21" s="28"/>
      <c r="B21" s="58" t="s">
        <v>36</v>
      </c>
      <c r="C21" s="43" t="s">
        <v>22</v>
      </c>
      <c r="D21" s="44" t="s">
        <v>37</v>
      </c>
      <c r="E21" s="59" t="s">
        <v>38</v>
      </c>
      <c r="F21" s="60" t="s">
        <v>25</v>
      </c>
      <c r="G21" s="61"/>
      <c r="H21" s="61"/>
      <c r="I21" s="61"/>
      <c r="J21" s="28"/>
    </row>
    <row r="22">
      <c r="A22" s="28"/>
      <c r="B22" s="53"/>
      <c r="C22" s="62" t="s">
        <v>31</v>
      </c>
      <c r="D22" s="63" t="s">
        <v>39</v>
      </c>
      <c r="E22" s="51" t="s">
        <v>40</v>
      </c>
      <c r="F22" s="53"/>
      <c r="G22" s="53"/>
      <c r="H22" s="53"/>
      <c r="I22" s="53"/>
      <c r="J22" s="28"/>
    </row>
    <row r="23">
      <c r="A23" s="28"/>
      <c r="B23" s="61"/>
      <c r="C23" s="64" t="s">
        <v>31</v>
      </c>
      <c r="D23" s="44" t="s">
        <v>41</v>
      </c>
      <c r="E23" s="59" t="s">
        <v>40</v>
      </c>
      <c r="F23" s="61"/>
      <c r="G23" s="61"/>
      <c r="H23" s="61"/>
      <c r="I23" s="61"/>
      <c r="J23" s="28"/>
    </row>
    <row r="24">
      <c r="A24" s="28"/>
      <c r="B24" s="53"/>
      <c r="C24" s="53"/>
      <c r="D24" s="53"/>
      <c r="E24" s="51"/>
      <c r="F24" s="53"/>
      <c r="G24" s="53"/>
      <c r="H24" s="53"/>
      <c r="I24" s="53"/>
      <c r="J24" s="28"/>
    </row>
    <row r="25">
      <c r="A25" s="28"/>
      <c r="B25" s="58" t="s">
        <v>42</v>
      </c>
      <c r="C25" s="64" t="s">
        <v>22</v>
      </c>
      <c r="D25" s="44" t="s">
        <v>43</v>
      </c>
      <c r="E25" s="59" t="s">
        <v>44</v>
      </c>
      <c r="F25" s="46" t="s">
        <v>25</v>
      </c>
      <c r="G25" s="61"/>
      <c r="H25" s="61"/>
      <c r="I25" s="61"/>
      <c r="J25" s="28"/>
    </row>
    <row r="26">
      <c r="A26" s="28"/>
      <c r="B26" s="53"/>
      <c r="C26" s="62" t="s">
        <v>22</v>
      </c>
      <c r="D26" s="50" t="s">
        <v>45</v>
      </c>
      <c r="E26" s="51" t="s">
        <v>44</v>
      </c>
      <c r="F26" s="53"/>
      <c r="G26" s="53"/>
      <c r="H26" s="53"/>
      <c r="I26" s="53"/>
      <c r="J26" s="28"/>
    </row>
    <row r="27">
      <c r="A27" s="28"/>
      <c r="B27" s="61"/>
      <c r="C27" s="64" t="s">
        <v>22</v>
      </c>
      <c r="D27" s="44" t="s">
        <v>46</v>
      </c>
      <c r="E27" s="59" t="s">
        <v>47</v>
      </c>
      <c r="F27" s="46" t="s">
        <v>25</v>
      </c>
      <c r="G27" s="61"/>
      <c r="H27" s="61"/>
      <c r="I27" s="61"/>
      <c r="J27" s="28"/>
    </row>
    <row r="28">
      <c r="A28" s="28"/>
      <c r="B28" s="57"/>
      <c r="C28" s="65"/>
      <c r="D28" s="66"/>
      <c r="G28" s="57"/>
      <c r="H28" s="57"/>
      <c r="I28" s="57"/>
      <c r="J28" s="28"/>
    </row>
    <row r="29">
      <c r="A29" s="28"/>
      <c r="B29" s="47"/>
      <c r="C29" s="67"/>
      <c r="D29" s="68"/>
      <c r="E29" s="47"/>
      <c r="F29" s="47"/>
      <c r="G29" s="47"/>
      <c r="H29" s="47"/>
      <c r="I29" s="47"/>
      <c r="J29" s="28"/>
    </row>
    <row r="30">
      <c r="A30" s="28"/>
      <c r="B30" s="57"/>
      <c r="C30" s="65"/>
      <c r="D30" s="66"/>
      <c r="E30" s="57"/>
      <c r="F30" s="57"/>
      <c r="G30" s="57"/>
      <c r="H30" s="57"/>
      <c r="I30" s="57"/>
      <c r="J30" s="28"/>
    </row>
    <row r="31">
      <c r="A31" s="28"/>
      <c r="B31" s="47"/>
      <c r="C31" s="67"/>
      <c r="D31" s="68"/>
      <c r="E31" s="47"/>
      <c r="F31" s="47"/>
      <c r="G31" s="47"/>
      <c r="H31" s="47"/>
      <c r="I31" s="47"/>
      <c r="J31" s="28"/>
    </row>
    <row r="32">
      <c r="A32" s="28"/>
      <c r="B32" s="57"/>
      <c r="C32" s="65"/>
      <c r="D32" s="66"/>
      <c r="E32" s="57"/>
      <c r="F32" s="57"/>
      <c r="G32" s="57"/>
      <c r="H32" s="57"/>
      <c r="I32" s="57"/>
      <c r="J32" s="28"/>
    </row>
    <row r="33">
      <c r="A33" s="28"/>
      <c r="B33" s="47"/>
      <c r="C33" s="67"/>
      <c r="D33" s="68"/>
      <c r="E33" s="47"/>
      <c r="F33" s="47"/>
      <c r="G33" s="47"/>
      <c r="H33" s="47"/>
      <c r="I33" s="47"/>
      <c r="J33" s="28"/>
    </row>
    <row r="34">
      <c r="A34" s="28"/>
      <c r="B34" s="57"/>
      <c r="C34" s="65"/>
      <c r="D34" s="66"/>
      <c r="E34" s="57"/>
      <c r="F34" s="57"/>
      <c r="G34" s="57"/>
      <c r="H34" s="57"/>
      <c r="I34" s="57"/>
      <c r="J34" s="28"/>
    </row>
    <row r="35">
      <c r="A35" s="28"/>
      <c r="B35" s="47"/>
      <c r="C35" s="67"/>
      <c r="D35" s="68"/>
      <c r="E35" s="47"/>
      <c r="F35" s="47"/>
      <c r="G35" s="47"/>
      <c r="H35" s="47"/>
      <c r="I35" s="47"/>
      <c r="J35" s="28"/>
    </row>
    <row r="36">
      <c r="A36" s="28"/>
      <c r="B36" s="57"/>
      <c r="C36" s="65"/>
      <c r="D36" s="66"/>
      <c r="E36" s="57"/>
      <c r="F36" s="57"/>
      <c r="G36" s="57"/>
      <c r="H36" s="57"/>
      <c r="I36" s="57"/>
      <c r="J36" s="28"/>
    </row>
    <row r="37">
      <c r="A37" s="28"/>
      <c r="B37" s="47"/>
      <c r="C37" s="67"/>
      <c r="D37" s="68"/>
      <c r="E37" s="47"/>
      <c r="F37" s="47"/>
      <c r="G37" s="47"/>
      <c r="H37" s="47"/>
      <c r="I37" s="47"/>
      <c r="J37" s="28"/>
    </row>
    <row r="38">
      <c r="A38" s="28"/>
      <c r="B38" s="57"/>
      <c r="C38" s="65"/>
      <c r="D38" s="66"/>
      <c r="E38" s="57"/>
      <c r="F38" s="57"/>
      <c r="G38" s="57"/>
      <c r="H38" s="57"/>
      <c r="I38" s="57"/>
      <c r="J38" s="28"/>
    </row>
    <row r="39">
      <c r="A39" s="28"/>
      <c r="B39" s="47"/>
      <c r="C39" s="67"/>
      <c r="D39" s="68"/>
      <c r="E39" s="47"/>
      <c r="F39" s="47"/>
      <c r="G39" s="47"/>
      <c r="H39" s="47"/>
      <c r="I39" s="47"/>
      <c r="J39" s="28"/>
    </row>
    <row r="40">
      <c r="A40" s="28"/>
      <c r="B40" s="57"/>
      <c r="C40" s="65"/>
      <c r="D40" s="66"/>
      <c r="E40" s="57"/>
      <c r="F40" s="57"/>
      <c r="G40" s="57"/>
      <c r="H40" s="57"/>
      <c r="I40" s="57"/>
      <c r="J40" s="28"/>
    </row>
    <row r="41">
      <c r="A41" s="28"/>
      <c r="B41" s="47"/>
      <c r="C41" s="67"/>
      <c r="D41" s="68"/>
      <c r="E41" s="47"/>
      <c r="F41" s="47"/>
      <c r="G41" s="47"/>
      <c r="H41" s="47"/>
      <c r="I41" s="47"/>
      <c r="J41" s="28"/>
    </row>
    <row r="42">
      <c r="A42" s="28"/>
      <c r="B42" s="57"/>
      <c r="C42" s="65"/>
      <c r="D42" s="66"/>
      <c r="E42" s="57"/>
      <c r="F42" s="57"/>
      <c r="G42" s="57"/>
      <c r="H42" s="57"/>
      <c r="I42" s="57"/>
      <c r="J42" s="28"/>
    </row>
    <row r="43">
      <c r="A43" s="28"/>
      <c r="B43" s="47"/>
      <c r="C43" s="67"/>
      <c r="D43" s="68"/>
      <c r="E43" s="47"/>
      <c r="F43" s="47"/>
      <c r="G43" s="47"/>
      <c r="H43" s="47"/>
      <c r="I43" s="47"/>
      <c r="J43" s="28"/>
    </row>
    <row r="44">
      <c r="A44" s="28"/>
      <c r="B44" s="57"/>
      <c r="C44" s="65"/>
      <c r="D44" s="66"/>
      <c r="E44" s="57"/>
      <c r="F44" s="57"/>
      <c r="G44" s="57"/>
      <c r="H44" s="57"/>
      <c r="I44" s="57"/>
      <c r="J44" s="28"/>
    </row>
    <row r="45">
      <c r="A45" s="28"/>
      <c r="B45" s="69"/>
      <c r="C45" s="70"/>
      <c r="D45" s="71"/>
      <c r="E45" s="69"/>
      <c r="F45" s="69"/>
      <c r="G45" s="69"/>
      <c r="H45" s="69"/>
      <c r="I45" s="69"/>
      <c r="J45" s="28"/>
    </row>
    <row r="46">
      <c r="A46" s="28"/>
      <c r="B46" s="72"/>
      <c r="C46" s="73"/>
      <c r="D46" s="74"/>
      <c r="E46" s="72"/>
      <c r="F46" s="72"/>
      <c r="G46" s="72"/>
      <c r="H46" s="72"/>
      <c r="I46" s="72"/>
      <c r="J46" s="28"/>
    </row>
    <row r="47">
      <c r="A47" s="28"/>
      <c r="B47" s="69"/>
      <c r="C47" s="70"/>
      <c r="D47" s="71"/>
      <c r="E47" s="69"/>
      <c r="F47" s="69"/>
      <c r="G47" s="69"/>
      <c r="H47" s="69"/>
      <c r="I47" s="69"/>
      <c r="J47" s="28"/>
    </row>
    <row r="48">
      <c r="A48" s="28"/>
      <c r="B48" s="72"/>
      <c r="C48" s="73"/>
      <c r="D48" s="74"/>
      <c r="E48" s="72"/>
      <c r="F48" s="72"/>
      <c r="G48" s="72"/>
      <c r="H48" s="72"/>
      <c r="I48" s="72"/>
      <c r="J48" s="28"/>
    </row>
    <row r="49">
      <c r="A49" s="28"/>
      <c r="B49" s="69"/>
      <c r="C49" s="70"/>
      <c r="D49" s="71"/>
      <c r="E49" s="69"/>
      <c r="F49" s="69"/>
      <c r="G49" s="69"/>
      <c r="H49" s="69"/>
      <c r="I49" s="69"/>
      <c r="J49" s="28"/>
    </row>
    <row r="50">
      <c r="A50" s="28"/>
      <c r="B50" s="72"/>
      <c r="C50" s="73"/>
      <c r="D50" s="74"/>
      <c r="E50" s="72"/>
      <c r="F50" s="72"/>
      <c r="G50" s="72"/>
      <c r="H50" s="72"/>
      <c r="I50" s="72"/>
      <c r="J50" s="28"/>
    </row>
    <row r="51">
      <c r="A51" s="28"/>
      <c r="B51" s="69"/>
      <c r="C51" s="70"/>
      <c r="D51" s="71"/>
      <c r="E51" s="69"/>
      <c r="F51" s="69"/>
      <c r="G51" s="69"/>
      <c r="H51" s="69"/>
      <c r="I51" s="69"/>
      <c r="J51" s="28"/>
    </row>
    <row r="52">
      <c r="A52" s="28"/>
      <c r="B52" s="72"/>
      <c r="C52" s="73"/>
      <c r="D52" s="74"/>
      <c r="E52" s="72"/>
      <c r="F52" s="72"/>
      <c r="G52" s="72"/>
      <c r="H52" s="72"/>
      <c r="I52" s="72"/>
      <c r="J52" s="28"/>
    </row>
    <row r="53">
      <c r="A53" s="28"/>
      <c r="B53" s="69"/>
      <c r="C53" s="70"/>
      <c r="D53" s="71"/>
      <c r="E53" s="69"/>
      <c r="F53" s="69"/>
      <c r="G53" s="69"/>
      <c r="H53" s="69"/>
      <c r="I53" s="69"/>
      <c r="J53" s="28"/>
    </row>
    <row r="54">
      <c r="A54" s="28"/>
      <c r="B54" s="72"/>
      <c r="C54" s="73"/>
      <c r="D54" s="74"/>
      <c r="E54" s="72"/>
      <c r="F54" s="72"/>
      <c r="G54" s="72"/>
      <c r="H54" s="72"/>
      <c r="I54" s="72"/>
      <c r="J54" s="28"/>
    </row>
    <row r="55">
      <c r="A55" s="28"/>
      <c r="B55" s="69"/>
      <c r="C55" s="70"/>
      <c r="D55" s="71"/>
      <c r="E55" s="69"/>
      <c r="F55" s="69"/>
      <c r="G55" s="69"/>
      <c r="H55" s="69"/>
      <c r="I55" s="69"/>
      <c r="J55" s="28"/>
    </row>
    <row r="56">
      <c r="A56" s="28"/>
      <c r="B56" s="72"/>
      <c r="C56" s="73"/>
      <c r="D56" s="74"/>
      <c r="E56" s="72"/>
      <c r="F56" s="72"/>
      <c r="G56" s="72"/>
      <c r="H56" s="72"/>
      <c r="I56" s="72"/>
      <c r="J56" s="28"/>
    </row>
    <row r="57">
      <c r="A57" s="28"/>
      <c r="B57" s="69"/>
      <c r="C57" s="70"/>
      <c r="D57" s="71"/>
      <c r="E57" s="69"/>
      <c r="F57" s="69"/>
      <c r="G57" s="69"/>
      <c r="H57" s="69"/>
      <c r="I57" s="69"/>
      <c r="J57" s="28"/>
    </row>
    <row r="58">
      <c r="A58" s="28"/>
      <c r="B58" s="72"/>
      <c r="C58" s="73"/>
      <c r="D58" s="74"/>
      <c r="E58" s="72"/>
      <c r="F58" s="72"/>
      <c r="G58" s="72"/>
      <c r="H58" s="72"/>
      <c r="I58" s="72"/>
      <c r="J58" s="28"/>
    </row>
    <row r="59">
      <c r="A59" s="28"/>
      <c r="B59" s="69"/>
      <c r="C59" s="70"/>
      <c r="D59" s="71"/>
      <c r="E59" s="69"/>
      <c r="F59" s="69"/>
      <c r="G59" s="69"/>
      <c r="H59" s="69"/>
      <c r="I59" s="69"/>
      <c r="J59" s="28"/>
    </row>
    <row r="60">
      <c r="A60" s="28"/>
      <c r="B60" s="75"/>
      <c r="C60" s="75"/>
      <c r="D60" s="75"/>
      <c r="E60" s="75"/>
      <c r="F60" s="75"/>
      <c r="G60" s="75"/>
      <c r="H60" s="75"/>
      <c r="I60" s="75"/>
      <c r="J60" s="28"/>
    </row>
    <row r="61">
      <c r="A61" s="28"/>
      <c r="B61" s="28"/>
      <c r="C61" s="28"/>
      <c r="D61" s="28"/>
      <c r="E61" s="28"/>
      <c r="F61" s="28"/>
      <c r="G61" s="28"/>
      <c r="H61" s="28"/>
      <c r="I61" s="28"/>
      <c r="J61" s="28"/>
    </row>
  </sheetData>
  <mergeCells count="9">
    <mergeCell ref="G18:I18"/>
    <mergeCell ref="G19:I19"/>
    <mergeCell ref="B1:C10"/>
    <mergeCell ref="D1:I10"/>
    <mergeCell ref="C12:I12"/>
    <mergeCell ref="G13:I13"/>
    <mergeCell ref="G15:I15"/>
    <mergeCell ref="G16:I16"/>
    <mergeCell ref="G17:I17"/>
  </mergeCells>
  <conditionalFormatting sqref="B14:B59">
    <cfRule type="notContainsBlanks" dxfId="3" priority="1">
      <formula>LEN(TRIM(B14))&gt;0</formula>
    </cfRule>
  </conditionalFormatting>
  <dataValidations>
    <dataValidation type="list" allowBlank="1" showErrorMessage="1" sqref="C14:C59">
      <formula1>"Entrada en calor,Movilidad,Activación,Potencia"</formula1>
    </dataValidation>
  </dataValidations>
  <hyperlinks>
    <hyperlink r:id="rId2" ref="F15"/>
    <hyperlink r:id="rId3" ref="F16"/>
    <hyperlink r:id="rId4" ref="F17"/>
    <hyperlink r:id="rId5" ref="F19"/>
    <hyperlink r:id="rId6" ref="F21"/>
    <hyperlink r:id="rId7" ref="F25"/>
    <hyperlink r:id="rId8" ref="F27"/>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3" max="3" width="13.63"/>
    <col customWidth="1" min="4" max="4" width="27.38"/>
    <col customWidth="1" min="5" max="5" width="14.38"/>
    <col customWidth="1" min="6" max="6" width="60.13"/>
    <col customWidth="1" min="7" max="7" width="82.13"/>
    <col customWidth="1" min="8" max="8" width="98.75"/>
    <col customWidth="1" min="9" max="9" width="21.63"/>
    <col customWidth="1" min="10" max="10" width="20.63"/>
    <col customWidth="1" min="11" max="11" width="21.88"/>
    <col customWidth="1" min="12" max="12" width="15.13"/>
    <col customWidth="1" min="13" max="13" width="14.88"/>
    <col customWidth="1" min="14" max="14" width="10.38"/>
    <col customWidth="1" min="18" max="18" width="2.25"/>
    <col customWidth="1" min="19" max="19" width="8.38"/>
    <col customWidth="1" min="20" max="20" width="20.75"/>
    <col customWidth="1" min="21" max="21" width="21.88"/>
    <col customWidth="1" min="22" max="22" width="20.13"/>
    <col customWidth="1" min="23" max="23" width="15.13"/>
    <col customWidth="1" min="24" max="24" width="26.5"/>
    <col customWidth="1" min="25" max="25" width="22.75"/>
    <col customWidth="1" min="26" max="26" width="15.13"/>
    <col customWidth="1" min="27" max="27" width="19.25"/>
    <col customWidth="1" min="28" max="28" width="19.38"/>
    <col customWidth="1" min="29" max="48" width="15.13"/>
    <col collapsed="1" min="49" max="49" width="12.63"/>
    <col hidden="1" min="50" max="140" width="12.63" outlineLevel="1"/>
  </cols>
  <sheetData>
    <row r="1">
      <c r="A1" s="4"/>
      <c r="B1" s="4"/>
      <c r="C1" s="4"/>
      <c r="D1" s="76"/>
      <c r="E1" s="76"/>
      <c r="F1" s="76"/>
      <c r="G1" s="76"/>
      <c r="H1" s="76"/>
      <c r="I1" s="76"/>
      <c r="J1" s="76"/>
      <c r="K1" s="76"/>
      <c r="L1" s="76"/>
      <c r="M1" s="76"/>
      <c r="N1" s="76"/>
      <c r="O1" s="4"/>
      <c r="P1" s="4"/>
      <c r="Q1" s="4"/>
      <c r="R1" s="77"/>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row>
    <row r="2">
      <c r="A2" s="4"/>
      <c r="C2" s="76"/>
      <c r="D2" s="76"/>
      <c r="E2" s="76"/>
      <c r="F2" s="76"/>
      <c r="G2" s="76"/>
      <c r="H2" s="76"/>
      <c r="I2" s="76"/>
      <c r="J2" s="76"/>
      <c r="K2" s="76"/>
      <c r="L2" s="76"/>
      <c r="M2" s="76"/>
      <c r="N2" s="76"/>
      <c r="O2" s="76"/>
      <c r="P2" s="76"/>
      <c r="Q2" s="4"/>
      <c r="R2" s="77"/>
      <c r="S2" s="79" t="s">
        <v>48</v>
      </c>
    </row>
    <row r="3">
      <c r="A3" s="4"/>
      <c r="B3" s="76"/>
      <c r="C3" s="76"/>
      <c r="D3" s="76"/>
      <c r="E3" s="76"/>
      <c r="F3" s="76"/>
      <c r="G3" s="76"/>
      <c r="H3" s="76"/>
      <c r="I3" s="76"/>
      <c r="J3" s="76"/>
      <c r="K3" s="76"/>
      <c r="L3" s="76"/>
      <c r="M3" s="76"/>
      <c r="N3" s="76"/>
      <c r="O3" s="76"/>
      <c r="P3" s="76"/>
      <c r="Q3" s="4"/>
      <c r="R3" s="77"/>
    </row>
    <row r="4" ht="42.0" customHeight="1">
      <c r="A4" s="4"/>
      <c r="B4" s="76"/>
      <c r="C4" s="76"/>
      <c r="G4" s="76"/>
      <c r="H4" s="76"/>
      <c r="I4" s="76"/>
      <c r="J4" s="76"/>
      <c r="K4" s="76"/>
      <c r="L4" s="76"/>
      <c r="M4" s="76"/>
      <c r="N4" s="76"/>
      <c r="O4" s="76"/>
      <c r="P4" s="76"/>
      <c r="Q4" s="4"/>
      <c r="R4" s="77"/>
      <c r="CA4" s="80" t="s">
        <v>49</v>
      </c>
      <c r="CB4" s="80"/>
      <c r="CC4" s="80"/>
      <c r="CD4" s="80"/>
      <c r="CE4" s="80"/>
      <c r="CF4" s="80"/>
      <c r="CG4" s="80"/>
      <c r="CH4" s="80"/>
      <c r="CI4" s="80"/>
      <c r="CJ4" s="80"/>
      <c r="CK4" s="80"/>
      <c r="CL4" s="80"/>
      <c r="CM4" s="80"/>
      <c r="CN4" s="80"/>
      <c r="CO4" s="80"/>
      <c r="CP4" s="80"/>
      <c r="CQ4" s="80"/>
      <c r="CR4" s="80"/>
      <c r="CS4" s="80"/>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row>
    <row r="5">
      <c r="A5" s="4"/>
      <c r="B5" s="76"/>
      <c r="G5" s="82" t="s">
        <v>50</v>
      </c>
      <c r="P5" s="76"/>
      <c r="Q5" s="4"/>
      <c r="R5" s="77"/>
      <c r="CA5" s="83"/>
      <c r="CB5" s="84" t="s">
        <v>51</v>
      </c>
      <c r="CC5" s="84" t="s">
        <v>52</v>
      </c>
      <c r="CD5" s="84" t="s">
        <v>53</v>
      </c>
      <c r="CE5" s="84" t="s">
        <v>54</v>
      </c>
      <c r="CF5" s="84" t="s">
        <v>55</v>
      </c>
      <c r="CG5" s="84" t="s">
        <v>56</v>
      </c>
      <c r="CH5" s="84" t="s">
        <v>57</v>
      </c>
      <c r="CI5" s="84" t="s">
        <v>58</v>
      </c>
      <c r="CJ5" s="84" t="s">
        <v>59</v>
      </c>
      <c r="CK5" s="84" t="s">
        <v>60</v>
      </c>
      <c r="CL5" s="84" t="s">
        <v>61</v>
      </c>
      <c r="CM5" s="84" t="s">
        <v>62</v>
      </c>
      <c r="CN5" s="84" t="s">
        <v>63</v>
      </c>
      <c r="CO5" s="84" t="s">
        <v>64</v>
      </c>
      <c r="CP5" s="84" t="s">
        <v>65</v>
      </c>
      <c r="CQ5" s="84" t="s">
        <v>66</v>
      </c>
      <c r="CR5" s="84" t="s">
        <v>67</v>
      </c>
      <c r="CS5" s="84" t="s">
        <v>68</v>
      </c>
      <c r="CT5" s="84" t="s">
        <v>69</v>
      </c>
      <c r="CU5" s="84" t="s">
        <v>70</v>
      </c>
      <c r="CV5" s="84" t="s">
        <v>71</v>
      </c>
      <c r="CW5" s="84" t="s">
        <v>72</v>
      </c>
      <c r="CX5" s="84" t="s">
        <v>73</v>
      </c>
      <c r="CY5" s="84" t="s">
        <v>74</v>
      </c>
      <c r="CZ5" s="84" t="s">
        <v>75</v>
      </c>
      <c r="DA5" s="84" t="s">
        <v>76</v>
      </c>
      <c r="DB5" s="84" t="s">
        <v>77</v>
      </c>
      <c r="DC5" s="84" t="s">
        <v>78</v>
      </c>
      <c r="DD5" s="84" t="s">
        <v>79</v>
      </c>
      <c r="DE5" s="84" t="s">
        <v>80</v>
      </c>
      <c r="DF5" s="84" t="s">
        <v>81</v>
      </c>
      <c r="DG5" s="84" t="s">
        <v>82</v>
      </c>
      <c r="DH5" s="84" t="s">
        <v>83</v>
      </c>
      <c r="DI5" s="84" t="s">
        <v>84</v>
      </c>
      <c r="DJ5" s="84" t="s">
        <v>85</v>
      </c>
      <c r="DK5" s="84" t="s">
        <v>86</v>
      </c>
      <c r="DL5" s="84" t="s">
        <v>87</v>
      </c>
      <c r="DM5" s="84" t="s">
        <v>88</v>
      </c>
      <c r="DN5" s="84" t="s">
        <v>89</v>
      </c>
      <c r="DO5" s="84" t="s">
        <v>90</v>
      </c>
      <c r="DP5" s="84" t="s">
        <v>91</v>
      </c>
      <c r="DQ5" s="84" t="s">
        <v>92</v>
      </c>
      <c r="DR5" s="84" t="s">
        <v>93</v>
      </c>
      <c r="DS5" s="84" t="s">
        <v>94</v>
      </c>
      <c r="DT5" s="84" t="s">
        <v>95</v>
      </c>
      <c r="DU5" s="84" t="s">
        <v>96</v>
      </c>
      <c r="DV5" s="84" t="s">
        <v>97</v>
      </c>
      <c r="DW5" s="84" t="s">
        <v>98</v>
      </c>
      <c r="DX5" s="84" t="s">
        <v>99</v>
      </c>
      <c r="DY5" s="84" t="s">
        <v>100</v>
      </c>
      <c r="DZ5" s="84" t="s">
        <v>101</v>
      </c>
      <c r="EA5" s="84" t="s">
        <v>102</v>
      </c>
      <c r="EB5" s="84" t="s">
        <v>103</v>
      </c>
      <c r="EC5" s="84" t="s">
        <v>104</v>
      </c>
    </row>
    <row r="6">
      <c r="A6" s="4"/>
      <c r="B6" s="76"/>
      <c r="P6" s="76"/>
      <c r="Q6" s="4"/>
      <c r="R6" s="77"/>
      <c r="CA6" s="85" t="s">
        <v>21</v>
      </c>
      <c r="CB6" s="86" t="str">
        <f t="shared" ref="CB6:DB6" si="1">IFERROR(INDIRECT("'Bloque "&amp;V24&amp;" Semana "&amp;V23&amp;"'"&amp;"!"&amp;"CD15"),"")</f>
        <v/>
      </c>
      <c r="CC6" s="86" t="str">
        <f t="shared" si="1"/>
        <v/>
      </c>
      <c r="CD6" s="86" t="str">
        <f t="shared" si="1"/>
        <v/>
      </c>
      <c r="CE6" s="86" t="str">
        <f t="shared" si="1"/>
        <v/>
      </c>
      <c r="CF6" s="86" t="str">
        <f t="shared" si="1"/>
        <v/>
      </c>
      <c r="CG6" s="86" t="str">
        <f t="shared" si="1"/>
        <v/>
      </c>
      <c r="CH6" s="86" t="str">
        <f t="shared" si="1"/>
        <v/>
      </c>
      <c r="CI6" s="86" t="str">
        <f t="shared" si="1"/>
        <v/>
      </c>
      <c r="CJ6" s="86" t="str">
        <f t="shared" si="1"/>
        <v/>
      </c>
      <c r="CK6" s="86" t="str">
        <f t="shared" si="1"/>
        <v/>
      </c>
      <c r="CL6" s="86" t="str">
        <f t="shared" si="1"/>
        <v/>
      </c>
      <c r="CM6" s="86" t="str">
        <f t="shared" si="1"/>
        <v/>
      </c>
      <c r="CN6" s="86" t="str">
        <f t="shared" si="1"/>
        <v/>
      </c>
      <c r="CO6" s="86" t="str">
        <f t="shared" si="1"/>
        <v/>
      </c>
      <c r="CP6" s="86" t="str">
        <f t="shared" si="1"/>
        <v/>
      </c>
      <c r="CQ6" s="86" t="str">
        <f t="shared" si="1"/>
        <v/>
      </c>
      <c r="CR6" s="86" t="str">
        <f t="shared" si="1"/>
        <v/>
      </c>
      <c r="CS6" s="86" t="str">
        <f t="shared" si="1"/>
        <v/>
      </c>
      <c r="CT6" s="86" t="str">
        <f t="shared" si="1"/>
        <v/>
      </c>
      <c r="CU6" s="86" t="str">
        <f t="shared" si="1"/>
        <v/>
      </c>
      <c r="CV6" s="86" t="str">
        <f t="shared" si="1"/>
        <v/>
      </c>
      <c r="CW6" s="86" t="str">
        <f t="shared" si="1"/>
        <v/>
      </c>
      <c r="CX6" s="86" t="str">
        <f t="shared" si="1"/>
        <v/>
      </c>
      <c r="CY6" s="86" t="str">
        <f t="shared" si="1"/>
        <v/>
      </c>
      <c r="CZ6" s="86" t="str">
        <f t="shared" si="1"/>
        <v/>
      </c>
      <c r="DA6" s="86" t="str">
        <f t="shared" si="1"/>
        <v/>
      </c>
      <c r="DB6" s="86" t="str">
        <f t="shared" si="1"/>
        <v/>
      </c>
      <c r="DC6" s="86" t="str">
        <f t="shared" ref="DC6:EC6" si="2">IFERROR(INDIRECT("'Bloque "&amp;V41&amp;" Semana "&amp;V40&amp;"'"&amp;"!"&amp;"CD15"),"")</f>
        <v/>
      </c>
      <c r="DD6" s="86" t="str">
        <f t="shared" si="2"/>
        <v/>
      </c>
      <c r="DE6" s="86" t="str">
        <f t="shared" si="2"/>
        <v/>
      </c>
      <c r="DF6" s="86" t="str">
        <f t="shared" si="2"/>
        <v/>
      </c>
      <c r="DG6" s="86" t="str">
        <f t="shared" si="2"/>
        <v/>
      </c>
      <c r="DH6" s="86" t="str">
        <f t="shared" si="2"/>
        <v/>
      </c>
      <c r="DI6" s="86" t="str">
        <f t="shared" si="2"/>
        <v/>
      </c>
      <c r="DJ6" s="86" t="str">
        <f t="shared" si="2"/>
        <v/>
      </c>
      <c r="DK6" s="86" t="str">
        <f t="shared" si="2"/>
        <v/>
      </c>
      <c r="DL6" s="86" t="str">
        <f t="shared" si="2"/>
        <v/>
      </c>
      <c r="DM6" s="86" t="str">
        <f t="shared" si="2"/>
        <v/>
      </c>
      <c r="DN6" s="86" t="str">
        <f t="shared" si="2"/>
        <v/>
      </c>
      <c r="DO6" s="86" t="str">
        <f t="shared" si="2"/>
        <v/>
      </c>
      <c r="DP6" s="86" t="str">
        <f t="shared" si="2"/>
        <v/>
      </c>
      <c r="DQ6" s="86" t="str">
        <f t="shared" si="2"/>
        <v/>
      </c>
      <c r="DR6" s="86" t="str">
        <f t="shared" si="2"/>
        <v/>
      </c>
      <c r="DS6" s="86" t="str">
        <f t="shared" si="2"/>
        <v/>
      </c>
      <c r="DT6" s="86" t="str">
        <f t="shared" si="2"/>
        <v/>
      </c>
      <c r="DU6" s="86" t="str">
        <f t="shared" si="2"/>
        <v/>
      </c>
      <c r="DV6" s="86" t="str">
        <f t="shared" si="2"/>
        <v/>
      </c>
      <c r="DW6" s="86" t="str">
        <f t="shared" si="2"/>
        <v/>
      </c>
      <c r="DX6" s="86" t="str">
        <f t="shared" si="2"/>
        <v/>
      </c>
      <c r="DY6" s="86" t="str">
        <f t="shared" si="2"/>
        <v/>
      </c>
      <c r="DZ6" s="86" t="str">
        <f t="shared" si="2"/>
        <v/>
      </c>
      <c r="EA6" s="86" t="str">
        <f t="shared" si="2"/>
        <v/>
      </c>
      <c r="EB6" s="86" t="str">
        <f t="shared" si="2"/>
        <v/>
      </c>
      <c r="EC6" s="86" t="str">
        <f t="shared" si="2"/>
        <v/>
      </c>
    </row>
    <row r="7" ht="321.0" customHeight="1">
      <c r="A7" s="4"/>
      <c r="B7" s="76"/>
      <c r="P7" s="76"/>
      <c r="Q7" s="4"/>
      <c r="R7" s="77"/>
      <c r="CA7" s="85" t="s">
        <v>36</v>
      </c>
      <c r="CB7" s="86" t="str">
        <f t="shared" ref="CB7:DB7" si="3">IFERROR(INDIRECT("'Bloque "&amp;V24&amp;" Semana "&amp;V23&amp;"'"&amp;"!"&amp;"CD16"),"")</f>
        <v/>
      </c>
      <c r="CC7" s="86" t="str">
        <f t="shared" si="3"/>
        <v/>
      </c>
      <c r="CD7" s="86" t="str">
        <f t="shared" si="3"/>
        <v/>
      </c>
      <c r="CE7" s="86" t="str">
        <f t="shared" si="3"/>
        <v/>
      </c>
      <c r="CF7" s="86" t="str">
        <f t="shared" si="3"/>
        <v/>
      </c>
      <c r="CG7" s="86" t="str">
        <f t="shared" si="3"/>
        <v/>
      </c>
      <c r="CH7" s="86" t="str">
        <f t="shared" si="3"/>
        <v/>
      </c>
      <c r="CI7" s="86" t="str">
        <f t="shared" si="3"/>
        <v/>
      </c>
      <c r="CJ7" s="86" t="str">
        <f t="shared" si="3"/>
        <v/>
      </c>
      <c r="CK7" s="86" t="str">
        <f t="shared" si="3"/>
        <v/>
      </c>
      <c r="CL7" s="86" t="str">
        <f t="shared" si="3"/>
        <v/>
      </c>
      <c r="CM7" s="86" t="str">
        <f t="shared" si="3"/>
        <v/>
      </c>
      <c r="CN7" s="86" t="str">
        <f t="shared" si="3"/>
        <v/>
      </c>
      <c r="CO7" s="86" t="str">
        <f t="shared" si="3"/>
        <v/>
      </c>
      <c r="CP7" s="86" t="str">
        <f t="shared" si="3"/>
        <v/>
      </c>
      <c r="CQ7" s="86" t="str">
        <f t="shared" si="3"/>
        <v/>
      </c>
      <c r="CR7" s="86" t="str">
        <f t="shared" si="3"/>
        <v/>
      </c>
      <c r="CS7" s="86" t="str">
        <f t="shared" si="3"/>
        <v/>
      </c>
      <c r="CT7" s="86" t="str">
        <f t="shared" si="3"/>
        <v/>
      </c>
      <c r="CU7" s="86" t="str">
        <f t="shared" si="3"/>
        <v/>
      </c>
      <c r="CV7" s="86" t="str">
        <f t="shared" si="3"/>
        <v/>
      </c>
      <c r="CW7" s="86" t="str">
        <f t="shared" si="3"/>
        <v/>
      </c>
      <c r="CX7" s="86" t="str">
        <f t="shared" si="3"/>
        <v/>
      </c>
      <c r="CY7" s="86" t="str">
        <f t="shared" si="3"/>
        <v/>
      </c>
      <c r="CZ7" s="86" t="str">
        <f t="shared" si="3"/>
        <v/>
      </c>
      <c r="DA7" s="86" t="str">
        <f t="shared" si="3"/>
        <v/>
      </c>
      <c r="DB7" s="86" t="str">
        <f t="shared" si="3"/>
        <v/>
      </c>
      <c r="DC7" s="86" t="str">
        <f t="shared" ref="DC7:EC7" si="4">IFERROR(INDIRECT("'Bloque "&amp;V41&amp;" Semana "&amp;V40&amp;"'"&amp;"!"&amp;"CD16"),"")</f>
        <v/>
      </c>
      <c r="DD7" s="86" t="str">
        <f t="shared" si="4"/>
        <v/>
      </c>
      <c r="DE7" s="86" t="str">
        <f t="shared" si="4"/>
        <v/>
      </c>
      <c r="DF7" s="86" t="str">
        <f t="shared" si="4"/>
        <v/>
      </c>
      <c r="DG7" s="86" t="str">
        <f t="shared" si="4"/>
        <v/>
      </c>
      <c r="DH7" s="86" t="str">
        <f t="shared" si="4"/>
        <v/>
      </c>
      <c r="DI7" s="86" t="str">
        <f t="shared" si="4"/>
        <v/>
      </c>
      <c r="DJ7" s="86" t="str">
        <f t="shared" si="4"/>
        <v/>
      </c>
      <c r="DK7" s="86" t="str">
        <f t="shared" si="4"/>
        <v/>
      </c>
      <c r="DL7" s="86" t="str">
        <f t="shared" si="4"/>
        <v/>
      </c>
      <c r="DM7" s="86" t="str">
        <f t="shared" si="4"/>
        <v/>
      </c>
      <c r="DN7" s="86" t="str">
        <f t="shared" si="4"/>
        <v/>
      </c>
      <c r="DO7" s="86" t="str">
        <f t="shared" si="4"/>
        <v/>
      </c>
      <c r="DP7" s="86" t="str">
        <f t="shared" si="4"/>
        <v/>
      </c>
      <c r="DQ7" s="86" t="str">
        <f t="shared" si="4"/>
        <v/>
      </c>
      <c r="DR7" s="86" t="str">
        <f t="shared" si="4"/>
        <v/>
      </c>
      <c r="DS7" s="86" t="str">
        <f t="shared" si="4"/>
        <v/>
      </c>
      <c r="DT7" s="86" t="str">
        <f t="shared" si="4"/>
        <v/>
      </c>
      <c r="DU7" s="86" t="str">
        <f t="shared" si="4"/>
        <v/>
      </c>
      <c r="DV7" s="86" t="str">
        <f t="shared" si="4"/>
        <v/>
      </c>
      <c r="DW7" s="86" t="str">
        <f t="shared" si="4"/>
        <v/>
      </c>
      <c r="DX7" s="86" t="str">
        <f t="shared" si="4"/>
        <v/>
      </c>
      <c r="DY7" s="86" t="str">
        <f t="shared" si="4"/>
        <v/>
      </c>
      <c r="DZ7" s="86" t="str">
        <f t="shared" si="4"/>
        <v/>
      </c>
      <c r="EA7" s="86" t="str">
        <f t="shared" si="4"/>
        <v/>
      </c>
      <c r="EB7" s="86" t="str">
        <f t="shared" si="4"/>
        <v/>
      </c>
      <c r="EC7" s="86" t="str">
        <f t="shared" si="4"/>
        <v/>
      </c>
    </row>
    <row r="8" ht="48.75" customHeight="1">
      <c r="A8" s="4"/>
      <c r="B8" s="4"/>
      <c r="C8" s="87"/>
      <c r="P8" s="4"/>
      <c r="Q8" s="4"/>
      <c r="R8" s="77"/>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5" t="s">
        <v>42</v>
      </c>
      <c r="CB8" s="86" t="str">
        <f t="shared" ref="CB8:DB8" si="5">IFERROR(INDIRECT("'Bloque "&amp;V24&amp;" Semana "&amp;V23&amp;"'"&amp;"!"&amp;"CD17"),"")</f>
        <v/>
      </c>
      <c r="CC8" s="86" t="str">
        <f t="shared" si="5"/>
        <v/>
      </c>
      <c r="CD8" s="86" t="str">
        <f t="shared" si="5"/>
        <v/>
      </c>
      <c r="CE8" s="86" t="str">
        <f t="shared" si="5"/>
        <v/>
      </c>
      <c r="CF8" s="86" t="str">
        <f t="shared" si="5"/>
        <v/>
      </c>
      <c r="CG8" s="86" t="str">
        <f t="shared" si="5"/>
        <v/>
      </c>
      <c r="CH8" s="86" t="str">
        <f t="shared" si="5"/>
        <v/>
      </c>
      <c r="CI8" s="86" t="str">
        <f t="shared" si="5"/>
        <v/>
      </c>
      <c r="CJ8" s="86" t="str">
        <f t="shared" si="5"/>
        <v/>
      </c>
      <c r="CK8" s="86" t="str">
        <f t="shared" si="5"/>
        <v/>
      </c>
      <c r="CL8" s="86" t="str">
        <f t="shared" si="5"/>
        <v/>
      </c>
      <c r="CM8" s="86" t="str">
        <f t="shared" si="5"/>
        <v/>
      </c>
      <c r="CN8" s="86" t="str">
        <f t="shared" si="5"/>
        <v/>
      </c>
      <c r="CO8" s="86" t="str">
        <f t="shared" si="5"/>
        <v/>
      </c>
      <c r="CP8" s="86" t="str">
        <f t="shared" si="5"/>
        <v/>
      </c>
      <c r="CQ8" s="86" t="str">
        <f t="shared" si="5"/>
        <v/>
      </c>
      <c r="CR8" s="86" t="str">
        <f t="shared" si="5"/>
        <v/>
      </c>
      <c r="CS8" s="86" t="str">
        <f t="shared" si="5"/>
        <v/>
      </c>
      <c r="CT8" s="86" t="str">
        <f t="shared" si="5"/>
        <v/>
      </c>
      <c r="CU8" s="86" t="str">
        <f t="shared" si="5"/>
        <v/>
      </c>
      <c r="CV8" s="86" t="str">
        <f t="shared" si="5"/>
        <v/>
      </c>
      <c r="CW8" s="86" t="str">
        <f t="shared" si="5"/>
        <v/>
      </c>
      <c r="CX8" s="86" t="str">
        <f t="shared" si="5"/>
        <v/>
      </c>
      <c r="CY8" s="86" t="str">
        <f t="shared" si="5"/>
        <v/>
      </c>
      <c r="CZ8" s="86" t="str">
        <f t="shared" si="5"/>
        <v/>
      </c>
      <c r="DA8" s="86" t="str">
        <f t="shared" si="5"/>
        <v/>
      </c>
      <c r="DB8" s="86" t="str">
        <f t="shared" si="5"/>
        <v/>
      </c>
      <c r="DC8" s="86" t="str">
        <f t="shared" ref="DC8:EC8" si="6">IFERROR(INDIRECT("'Bloque "&amp;V41&amp;" Semana "&amp;V40&amp;"'"&amp;"!"&amp;"CD17"),"")</f>
        <v/>
      </c>
      <c r="DD8" s="86" t="str">
        <f t="shared" si="6"/>
        <v/>
      </c>
      <c r="DE8" s="86" t="str">
        <f t="shared" si="6"/>
        <v/>
      </c>
      <c r="DF8" s="86" t="str">
        <f t="shared" si="6"/>
        <v/>
      </c>
      <c r="DG8" s="86" t="str">
        <f t="shared" si="6"/>
        <v/>
      </c>
      <c r="DH8" s="86" t="str">
        <f t="shared" si="6"/>
        <v/>
      </c>
      <c r="DI8" s="86" t="str">
        <f t="shared" si="6"/>
        <v/>
      </c>
      <c r="DJ8" s="86" t="str">
        <f t="shared" si="6"/>
        <v/>
      </c>
      <c r="DK8" s="86" t="str">
        <f t="shared" si="6"/>
        <v/>
      </c>
      <c r="DL8" s="86" t="str">
        <f t="shared" si="6"/>
        <v/>
      </c>
      <c r="DM8" s="86" t="str">
        <f t="shared" si="6"/>
        <v/>
      </c>
      <c r="DN8" s="86" t="str">
        <f t="shared" si="6"/>
        <v/>
      </c>
      <c r="DO8" s="86" t="str">
        <f t="shared" si="6"/>
        <v/>
      </c>
      <c r="DP8" s="86" t="str">
        <f t="shared" si="6"/>
        <v/>
      </c>
      <c r="DQ8" s="86" t="str">
        <f t="shared" si="6"/>
        <v/>
      </c>
      <c r="DR8" s="86" t="str">
        <f t="shared" si="6"/>
        <v/>
      </c>
      <c r="DS8" s="86" t="str">
        <f t="shared" si="6"/>
        <v/>
      </c>
      <c r="DT8" s="86" t="str">
        <f t="shared" si="6"/>
        <v/>
      </c>
      <c r="DU8" s="86" t="str">
        <f t="shared" si="6"/>
        <v/>
      </c>
      <c r="DV8" s="86" t="str">
        <f t="shared" si="6"/>
        <v/>
      </c>
      <c r="DW8" s="86" t="str">
        <f t="shared" si="6"/>
        <v/>
      </c>
      <c r="DX8" s="86" t="str">
        <f t="shared" si="6"/>
        <v/>
      </c>
      <c r="DY8" s="86" t="str">
        <f t="shared" si="6"/>
        <v/>
      </c>
      <c r="DZ8" s="86" t="str">
        <f t="shared" si="6"/>
        <v/>
      </c>
      <c r="EA8" s="86" t="str">
        <f t="shared" si="6"/>
        <v/>
      </c>
      <c r="EB8" s="86" t="str">
        <f t="shared" si="6"/>
        <v/>
      </c>
      <c r="EC8" s="86" t="str">
        <f t="shared" si="6"/>
        <v/>
      </c>
      <c r="ED8" s="88"/>
      <c r="EE8" s="88"/>
      <c r="EF8" s="88"/>
      <c r="EG8" s="88"/>
      <c r="EH8" s="88"/>
      <c r="EI8" s="88"/>
      <c r="EJ8" s="88"/>
    </row>
    <row r="9">
      <c r="A9" s="4"/>
      <c r="B9" s="4"/>
      <c r="C9" s="89"/>
      <c r="D9" s="89"/>
      <c r="E9" s="89"/>
      <c r="F9" s="90" t="s">
        <v>21</v>
      </c>
      <c r="G9" s="90" t="s">
        <v>36</v>
      </c>
      <c r="H9" s="90" t="s">
        <v>42</v>
      </c>
      <c r="I9" s="89" t="s">
        <v>105</v>
      </c>
      <c r="J9" s="91" t="s">
        <v>106</v>
      </c>
      <c r="K9" s="91" t="s">
        <v>107</v>
      </c>
      <c r="L9" s="92"/>
      <c r="M9" s="92"/>
      <c r="N9" s="89"/>
      <c r="O9" s="89"/>
      <c r="P9" s="4"/>
      <c r="Q9" s="4"/>
      <c r="R9" s="77"/>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5"/>
      <c r="CB9" s="93"/>
      <c r="CC9" s="93"/>
      <c r="CD9" s="93"/>
      <c r="CE9" s="93"/>
      <c r="CF9" s="93"/>
      <c r="CG9" s="93"/>
      <c r="CH9" s="93"/>
      <c r="CI9" s="93"/>
      <c r="CJ9" s="93"/>
      <c r="CK9" s="93"/>
      <c r="CL9" s="93"/>
      <c r="CM9" s="93"/>
      <c r="CN9" s="93"/>
      <c r="CO9" s="93"/>
      <c r="CP9" s="93"/>
      <c r="CQ9" s="93"/>
      <c r="CR9" s="93"/>
      <c r="CS9" s="93"/>
      <c r="CT9" s="93"/>
      <c r="CU9" s="93"/>
      <c r="CV9" s="93"/>
      <c r="CW9" s="93"/>
      <c r="CX9" s="93"/>
      <c r="CY9" s="93"/>
      <c r="CZ9" s="93"/>
      <c r="DA9" s="93"/>
      <c r="DB9" s="93"/>
      <c r="DC9" s="93"/>
      <c r="DD9" s="93"/>
      <c r="DE9" s="93"/>
      <c r="DF9" s="93"/>
      <c r="DG9" s="93"/>
      <c r="DH9" s="93"/>
      <c r="DI9" s="93"/>
      <c r="DJ9" s="93"/>
      <c r="DK9" s="93"/>
      <c r="DL9" s="93"/>
      <c r="DM9" s="93"/>
      <c r="DN9" s="93"/>
      <c r="DO9" s="93"/>
      <c r="DP9" s="93"/>
      <c r="DQ9" s="93"/>
      <c r="DR9" s="93"/>
      <c r="DS9" s="93"/>
      <c r="DT9" s="93"/>
      <c r="DU9" s="93"/>
      <c r="DV9" s="93"/>
      <c r="DW9" s="93"/>
      <c r="DX9" s="93"/>
      <c r="DY9" s="93"/>
      <c r="DZ9" s="93"/>
      <c r="EA9" s="93"/>
      <c r="EB9" s="93"/>
      <c r="EC9" s="93"/>
      <c r="ED9" s="88"/>
      <c r="EE9" s="88"/>
      <c r="EF9" s="88"/>
      <c r="EG9" s="88"/>
      <c r="EH9" s="88"/>
      <c r="EI9" s="88"/>
      <c r="EJ9" s="88"/>
    </row>
    <row r="10">
      <c r="A10" s="4"/>
      <c r="B10" s="4"/>
      <c r="C10" s="94"/>
      <c r="D10" s="95" t="s">
        <v>108</v>
      </c>
      <c r="F10" s="96" t="str">
        <f>'Introducción'!A24</f>
        <v>#REF!</v>
      </c>
      <c r="G10" s="96" t="str">
        <f>'Introducción'!C24</f>
        <v>#REF!</v>
      </c>
      <c r="H10" s="96" t="str">
        <f>'Introducción'!E24</f>
        <v>#REF!</v>
      </c>
      <c r="I10" s="97" t="str">
        <f t="shared" ref="I10:I11" si="7">SUM(F10:H10)</f>
        <v>#REF!</v>
      </c>
      <c r="J10" s="98" t="str">
        <f>IFERROR(MID(I11,1,3)-MID(I10,1,3),"")</f>
        <v/>
      </c>
      <c r="K10" s="99" t="str">
        <f>IFERROR(MID(I11,1,3)-MID(I10,1,3),"")/MID(I10,1,3)</f>
        <v>#REF!</v>
      </c>
      <c r="L10" s="100"/>
      <c r="M10" s="100"/>
      <c r="N10" s="94"/>
      <c r="O10" s="94"/>
      <c r="P10" s="101"/>
      <c r="Q10" s="101"/>
      <c r="R10" s="77"/>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c r="DS10" s="88"/>
      <c r="DT10" s="88"/>
      <c r="DU10" s="88"/>
      <c r="DV10" s="88"/>
      <c r="DW10" s="88"/>
      <c r="DX10" s="88"/>
      <c r="DY10" s="88"/>
      <c r="DZ10" s="88"/>
      <c r="EA10" s="88"/>
      <c r="EB10" s="88"/>
      <c r="EC10" s="88"/>
      <c r="ED10" s="88"/>
      <c r="EE10" s="88"/>
      <c r="EF10" s="88"/>
      <c r="EG10" s="88"/>
      <c r="EH10" s="88"/>
      <c r="EI10" s="88"/>
      <c r="EJ10" s="88"/>
    </row>
    <row r="11" ht="109.5" customHeight="1">
      <c r="A11" s="4"/>
      <c r="B11" s="4"/>
      <c r="C11" s="94"/>
      <c r="D11" s="95" t="s">
        <v>109</v>
      </c>
      <c r="F11" s="102"/>
      <c r="G11" s="102"/>
      <c r="H11" s="102"/>
      <c r="I11" s="103">
        <f t="shared" si="7"/>
        <v>0</v>
      </c>
      <c r="L11" s="100"/>
      <c r="M11" s="100"/>
      <c r="N11" s="94"/>
      <c r="O11" s="94"/>
      <c r="P11" s="101"/>
      <c r="Q11" s="101"/>
      <c r="R11" s="77"/>
      <c r="S11" s="104" t="s">
        <v>110</v>
      </c>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6"/>
      <c r="BY11" s="106"/>
      <c r="BZ11" s="106"/>
      <c r="CA11" s="107" t="s">
        <v>111</v>
      </c>
      <c r="CB11" s="108"/>
      <c r="CC11" s="108"/>
      <c r="CD11" s="108"/>
      <c r="CE11" s="108"/>
      <c r="CF11" s="108"/>
      <c r="CG11" s="108"/>
      <c r="CH11" s="108"/>
      <c r="CI11" s="108"/>
      <c r="CJ11" s="108"/>
      <c r="CK11" s="108"/>
      <c r="CL11" s="108"/>
      <c r="CM11" s="108"/>
      <c r="CN11" s="108"/>
      <c r="CO11" s="108"/>
      <c r="CP11" s="108"/>
      <c r="CQ11" s="108"/>
      <c r="CR11" s="108"/>
      <c r="CS11" s="108"/>
      <c r="CT11" s="106"/>
      <c r="CU11" s="106"/>
      <c r="CV11" s="106"/>
      <c r="CW11" s="106"/>
      <c r="CX11" s="106"/>
      <c r="CY11" s="106"/>
      <c r="CZ11" s="106"/>
      <c r="DA11" s="106"/>
      <c r="DB11" s="106"/>
      <c r="DC11" s="106"/>
      <c r="DD11" s="106"/>
      <c r="DE11" s="106"/>
      <c r="DF11" s="106"/>
      <c r="DG11" s="106"/>
      <c r="DH11" s="106"/>
      <c r="DI11" s="106"/>
      <c r="DJ11" s="106"/>
      <c r="DK11" s="106"/>
      <c r="DL11" s="106"/>
      <c r="DM11" s="106"/>
      <c r="DN11" s="106"/>
      <c r="DO11" s="106"/>
      <c r="DP11" s="106"/>
      <c r="DQ11" s="106"/>
      <c r="DR11" s="106"/>
      <c r="DS11" s="106"/>
      <c r="DT11" s="106"/>
      <c r="DU11" s="106"/>
      <c r="DV11" s="106"/>
      <c r="DW11" s="106"/>
      <c r="DX11" s="106"/>
      <c r="DY11" s="106"/>
      <c r="DZ11" s="106"/>
      <c r="EA11" s="106"/>
      <c r="EB11" s="106"/>
      <c r="EC11" s="106"/>
      <c r="ED11" s="106"/>
      <c r="EE11" s="106"/>
      <c r="EF11" s="106"/>
      <c r="EG11" s="106"/>
      <c r="EH11" s="106"/>
      <c r="EI11" s="106"/>
      <c r="EJ11" s="106"/>
    </row>
    <row r="12" ht="27.75" customHeight="1">
      <c r="A12" s="4"/>
      <c r="B12" s="4"/>
      <c r="C12" s="94"/>
      <c r="D12" s="91"/>
      <c r="E12" s="91"/>
      <c r="F12" s="109"/>
      <c r="G12" s="109"/>
      <c r="H12" s="109"/>
      <c r="I12" s="94"/>
      <c r="J12" s="94"/>
      <c r="K12" s="94"/>
      <c r="L12" s="94"/>
      <c r="M12" s="94"/>
      <c r="N12" s="94"/>
      <c r="O12" s="94"/>
      <c r="P12" s="4"/>
      <c r="Q12" s="4"/>
      <c r="R12" s="77"/>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06"/>
      <c r="BY12" s="106"/>
      <c r="BZ12" s="106"/>
      <c r="CA12" s="111"/>
      <c r="CB12" s="88"/>
      <c r="CC12" s="88"/>
      <c r="CD12" s="88"/>
      <c r="CE12" s="88"/>
      <c r="CF12" s="88"/>
      <c r="CG12" s="88"/>
      <c r="CH12" s="88"/>
      <c r="CI12" s="88"/>
      <c r="CJ12" s="88"/>
      <c r="CK12" s="88"/>
      <c r="CL12" s="88"/>
      <c r="CM12" s="88"/>
      <c r="CN12" s="88"/>
      <c r="CO12" s="88"/>
      <c r="CP12" s="88"/>
      <c r="CQ12" s="88"/>
      <c r="CR12" s="88"/>
      <c r="CS12" s="88"/>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row>
    <row r="13">
      <c r="A13" s="4"/>
      <c r="B13" s="4"/>
      <c r="C13" s="112"/>
      <c r="D13" s="113" t="s">
        <v>112</v>
      </c>
      <c r="E13" s="113" t="s">
        <v>113</v>
      </c>
      <c r="F13" s="113" t="s">
        <v>114</v>
      </c>
      <c r="G13" s="113" t="s">
        <v>115</v>
      </c>
      <c r="H13" s="113" t="s">
        <v>116</v>
      </c>
      <c r="I13" s="113" t="s">
        <v>117</v>
      </c>
      <c r="L13" s="113" t="s">
        <v>118</v>
      </c>
      <c r="O13" s="112"/>
      <c r="P13" s="4"/>
      <c r="Q13" s="4"/>
      <c r="R13" s="77"/>
      <c r="T13" s="114" t="s">
        <v>119</v>
      </c>
      <c r="U13" s="115">
        <v>45313.0</v>
      </c>
      <c r="V13" s="116" t="s">
        <v>120</v>
      </c>
      <c r="W13" s="116" t="s">
        <v>121</v>
      </c>
      <c r="X13" s="116" t="s">
        <v>122</v>
      </c>
      <c r="Y13" s="116" t="s">
        <v>123</v>
      </c>
      <c r="Z13" s="116" t="s">
        <v>124</v>
      </c>
      <c r="AA13" s="116" t="s">
        <v>125</v>
      </c>
      <c r="AB13" s="116" t="s">
        <v>126</v>
      </c>
      <c r="AC13" s="116" t="s">
        <v>127</v>
      </c>
      <c r="AD13" s="116" t="s">
        <v>128</v>
      </c>
      <c r="AE13" s="116" t="s">
        <v>129</v>
      </c>
      <c r="AF13" s="116" t="s">
        <v>130</v>
      </c>
      <c r="AG13" s="116" t="s">
        <v>131</v>
      </c>
      <c r="AH13" s="116" t="s">
        <v>132</v>
      </c>
      <c r="AI13" s="116" t="s">
        <v>133</v>
      </c>
      <c r="AJ13" s="116" t="s">
        <v>134</v>
      </c>
      <c r="AK13" s="116" t="s">
        <v>135</v>
      </c>
      <c r="AL13" s="116" t="s">
        <v>136</v>
      </c>
      <c r="AM13" s="116" t="s">
        <v>137</v>
      </c>
      <c r="AN13" s="116" t="s">
        <v>138</v>
      </c>
      <c r="AO13" s="116" t="s">
        <v>139</v>
      </c>
      <c r="AP13" s="116" t="s">
        <v>140</v>
      </c>
      <c r="AQ13" s="116" t="s">
        <v>141</v>
      </c>
      <c r="AR13" s="116" t="s">
        <v>142</v>
      </c>
      <c r="AS13" s="116" t="s">
        <v>143</v>
      </c>
      <c r="AT13" s="116" t="s">
        <v>144</v>
      </c>
      <c r="AU13" s="116" t="s">
        <v>145</v>
      </c>
      <c r="AV13" s="116" t="s">
        <v>146</v>
      </c>
      <c r="BX13" s="106"/>
      <c r="BY13" s="106"/>
      <c r="BZ13" s="106"/>
      <c r="CA13" s="83"/>
      <c r="CB13" s="84" t="s">
        <v>51</v>
      </c>
      <c r="CC13" s="84" t="s">
        <v>52</v>
      </c>
      <c r="CD13" s="84" t="s">
        <v>53</v>
      </c>
      <c r="CE13" s="84" t="s">
        <v>54</v>
      </c>
      <c r="CF13" s="84" t="s">
        <v>55</v>
      </c>
      <c r="CG13" s="84" t="s">
        <v>56</v>
      </c>
      <c r="CH13" s="84" t="s">
        <v>57</v>
      </c>
      <c r="CI13" s="84" t="s">
        <v>58</v>
      </c>
      <c r="CJ13" s="84" t="s">
        <v>59</v>
      </c>
      <c r="CK13" s="84" t="s">
        <v>60</v>
      </c>
      <c r="CL13" s="84" t="s">
        <v>61</v>
      </c>
      <c r="CM13" s="84" t="s">
        <v>62</v>
      </c>
      <c r="CN13" s="84" t="s">
        <v>63</v>
      </c>
      <c r="CO13" s="84" t="s">
        <v>64</v>
      </c>
      <c r="CP13" s="84" t="s">
        <v>65</v>
      </c>
      <c r="CQ13" s="84" t="s">
        <v>66</v>
      </c>
      <c r="CR13" s="84" t="s">
        <v>67</v>
      </c>
      <c r="CS13" s="84" t="s">
        <v>68</v>
      </c>
      <c r="CT13" s="84" t="s">
        <v>69</v>
      </c>
      <c r="CU13" s="84" t="s">
        <v>70</v>
      </c>
      <c r="CV13" s="84" t="s">
        <v>71</v>
      </c>
      <c r="CW13" s="84" t="s">
        <v>72</v>
      </c>
      <c r="CX13" s="84" t="s">
        <v>73</v>
      </c>
      <c r="CY13" s="84" t="s">
        <v>74</v>
      </c>
      <c r="CZ13" s="84" t="s">
        <v>75</v>
      </c>
      <c r="DA13" s="84" t="s">
        <v>76</v>
      </c>
      <c r="DB13" s="84" t="s">
        <v>77</v>
      </c>
      <c r="DC13" s="84" t="s">
        <v>78</v>
      </c>
      <c r="DD13" s="84" t="s">
        <v>79</v>
      </c>
      <c r="DE13" s="84" t="s">
        <v>80</v>
      </c>
      <c r="DF13" s="84" t="s">
        <v>81</v>
      </c>
      <c r="DG13" s="84" t="s">
        <v>82</v>
      </c>
      <c r="DH13" s="84" t="s">
        <v>83</v>
      </c>
      <c r="DI13" s="84" t="s">
        <v>84</v>
      </c>
      <c r="DJ13" s="84" t="s">
        <v>85</v>
      </c>
      <c r="DK13" s="84" t="s">
        <v>86</v>
      </c>
      <c r="DL13" s="84" t="s">
        <v>87</v>
      </c>
      <c r="DM13" s="84" t="s">
        <v>88</v>
      </c>
      <c r="DN13" s="84" t="s">
        <v>89</v>
      </c>
      <c r="DO13" s="84" t="s">
        <v>90</v>
      </c>
      <c r="DP13" s="84" t="s">
        <v>91</v>
      </c>
      <c r="DQ13" s="84" t="s">
        <v>92</v>
      </c>
      <c r="DR13" s="84" t="s">
        <v>93</v>
      </c>
      <c r="DS13" s="84" t="s">
        <v>94</v>
      </c>
      <c r="DT13" s="84" t="s">
        <v>95</v>
      </c>
      <c r="DU13" s="84" t="s">
        <v>96</v>
      </c>
      <c r="DV13" s="84" t="s">
        <v>97</v>
      </c>
      <c r="DW13" s="84" t="s">
        <v>98</v>
      </c>
      <c r="DX13" s="84" t="s">
        <v>99</v>
      </c>
      <c r="DY13" s="84" t="s">
        <v>100</v>
      </c>
      <c r="DZ13" s="84" t="s">
        <v>101</v>
      </c>
      <c r="EA13" s="84" t="s">
        <v>102</v>
      </c>
      <c r="EB13" s="84" t="s">
        <v>103</v>
      </c>
      <c r="EC13" s="84" t="s">
        <v>104</v>
      </c>
      <c r="ED13" s="84"/>
      <c r="EE13" s="106"/>
      <c r="EF13" s="106"/>
      <c r="EG13" s="106"/>
      <c r="EH13" s="106"/>
      <c r="EI13" s="106"/>
      <c r="EJ13" s="106"/>
    </row>
    <row r="14" ht="39.0" customHeight="1">
      <c r="A14" s="4"/>
      <c r="B14" s="4"/>
      <c r="C14" s="112"/>
      <c r="I14" s="113" t="s">
        <v>21</v>
      </c>
      <c r="J14" s="113" t="s">
        <v>36</v>
      </c>
      <c r="K14" s="113" t="s">
        <v>42</v>
      </c>
      <c r="L14" s="113" t="s">
        <v>21</v>
      </c>
      <c r="M14" s="113" t="s">
        <v>36</v>
      </c>
      <c r="N14" s="113" t="s">
        <v>42</v>
      </c>
      <c r="O14" s="112"/>
      <c r="P14" s="4"/>
      <c r="Q14" s="4"/>
      <c r="R14" s="77"/>
      <c r="T14" s="117" t="s">
        <v>147</v>
      </c>
      <c r="V14" s="118" t="str">
        <f t="shared" ref="V14:AV14" si="8">TEXT(V15,"mmmm")</f>
        <v>enero</v>
      </c>
      <c r="W14" s="118" t="str">
        <f t="shared" si="8"/>
        <v>enero</v>
      </c>
      <c r="X14" s="118" t="str">
        <f t="shared" si="8"/>
        <v>febrero</v>
      </c>
      <c r="Y14" s="118" t="str">
        <f t="shared" si="8"/>
        <v>febrero</v>
      </c>
      <c r="Z14" s="118" t="str">
        <f t="shared" si="8"/>
        <v>febrero</v>
      </c>
      <c r="AA14" s="118" t="str">
        <f t="shared" si="8"/>
        <v>febrero</v>
      </c>
      <c r="AB14" s="118" t="str">
        <f t="shared" si="8"/>
        <v>marzo</v>
      </c>
      <c r="AC14" s="118" t="str">
        <f t="shared" si="8"/>
        <v>marzo</v>
      </c>
      <c r="AD14" s="118" t="str">
        <f t="shared" si="8"/>
        <v>marzo</v>
      </c>
      <c r="AE14" s="118" t="str">
        <f t="shared" si="8"/>
        <v>marzo</v>
      </c>
      <c r="AF14" s="118" t="str">
        <f t="shared" si="8"/>
        <v>abril</v>
      </c>
      <c r="AG14" s="118" t="str">
        <f t="shared" si="8"/>
        <v>abril</v>
      </c>
      <c r="AH14" s="118" t="str">
        <f t="shared" si="8"/>
        <v>abril</v>
      </c>
      <c r="AI14" s="118" t="str">
        <f t="shared" si="8"/>
        <v>abril</v>
      </c>
      <c r="AJ14" s="118" t="str">
        <f t="shared" si="8"/>
        <v>abril</v>
      </c>
      <c r="AK14" s="118" t="str">
        <f t="shared" si="8"/>
        <v>mayo</v>
      </c>
      <c r="AL14" s="118" t="str">
        <f t="shared" si="8"/>
        <v>mayo</v>
      </c>
      <c r="AM14" s="118" t="str">
        <f t="shared" si="8"/>
        <v>mayo</v>
      </c>
      <c r="AN14" s="118" t="str">
        <f t="shared" si="8"/>
        <v>mayo</v>
      </c>
      <c r="AO14" s="118" t="str">
        <f t="shared" si="8"/>
        <v>junio</v>
      </c>
      <c r="AP14" s="118" t="str">
        <f t="shared" si="8"/>
        <v>junio</v>
      </c>
      <c r="AQ14" s="118" t="str">
        <f t="shared" si="8"/>
        <v>junio</v>
      </c>
      <c r="AR14" s="118" t="str">
        <f t="shared" si="8"/>
        <v>junio</v>
      </c>
      <c r="AS14" s="118" t="str">
        <f t="shared" si="8"/>
        <v>julio</v>
      </c>
      <c r="AT14" s="118" t="str">
        <f t="shared" si="8"/>
        <v>julio</v>
      </c>
      <c r="AU14" s="118" t="str">
        <f t="shared" si="8"/>
        <v>julio</v>
      </c>
      <c r="AV14" s="118" t="str">
        <f t="shared" si="8"/>
        <v>julio</v>
      </c>
      <c r="BX14" s="119"/>
      <c r="BY14" s="119"/>
      <c r="BZ14" s="119"/>
      <c r="CA14" s="120" t="s">
        <v>21</v>
      </c>
      <c r="CB14" s="121" t="str">
        <f t="shared" ref="CB14:DB14" si="9">IFERROR(INDIRECT("'Bloque "&amp;V24&amp;" Semana "&amp;V23&amp;"'"&amp;"!"&amp;"CB15"),"")</f>
        <v/>
      </c>
      <c r="CC14" s="121" t="str">
        <f t="shared" si="9"/>
        <v/>
      </c>
      <c r="CD14" s="121" t="str">
        <f t="shared" si="9"/>
        <v/>
      </c>
      <c r="CE14" s="121" t="str">
        <f t="shared" si="9"/>
        <v/>
      </c>
      <c r="CF14" s="121" t="str">
        <f t="shared" si="9"/>
        <v/>
      </c>
      <c r="CG14" s="121" t="str">
        <f t="shared" si="9"/>
        <v/>
      </c>
      <c r="CH14" s="121" t="str">
        <f t="shared" si="9"/>
        <v/>
      </c>
      <c r="CI14" s="121" t="str">
        <f t="shared" si="9"/>
        <v/>
      </c>
      <c r="CJ14" s="121" t="str">
        <f t="shared" si="9"/>
        <v/>
      </c>
      <c r="CK14" s="121" t="str">
        <f t="shared" si="9"/>
        <v/>
      </c>
      <c r="CL14" s="121" t="str">
        <f t="shared" si="9"/>
        <v/>
      </c>
      <c r="CM14" s="121" t="str">
        <f t="shared" si="9"/>
        <v/>
      </c>
      <c r="CN14" s="121" t="str">
        <f t="shared" si="9"/>
        <v/>
      </c>
      <c r="CO14" s="121" t="str">
        <f t="shared" si="9"/>
        <v/>
      </c>
      <c r="CP14" s="121" t="str">
        <f t="shared" si="9"/>
        <v/>
      </c>
      <c r="CQ14" s="121" t="str">
        <f t="shared" si="9"/>
        <v/>
      </c>
      <c r="CR14" s="121" t="str">
        <f t="shared" si="9"/>
        <v/>
      </c>
      <c r="CS14" s="121" t="str">
        <f t="shared" si="9"/>
        <v/>
      </c>
      <c r="CT14" s="121" t="str">
        <f t="shared" si="9"/>
        <v/>
      </c>
      <c r="CU14" s="121" t="str">
        <f t="shared" si="9"/>
        <v/>
      </c>
      <c r="CV14" s="121" t="str">
        <f t="shared" si="9"/>
        <v/>
      </c>
      <c r="CW14" s="121" t="str">
        <f t="shared" si="9"/>
        <v/>
      </c>
      <c r="CX14" s="121" t="str">
        <f t="shared" si="9"/>
        <v/>
      </c>
      <c r="CY14" s="121" t="str">
        <f t="shared" si="9"/>
        <v/>
      </c>
      <c r="CZ14" s="121" t="str">
        <f t="shared" si="9"/>
        <v/>
      </c>
      <c r="DA14" s="121" t="str">
        <f t="shared" si="9"/>
        <v/>
      </c>
      <c r="DB14" s="121" t="str">
        <f t="shared" si="9"/>
        <v/>
      </c>
      <c r="DC14" s="121" t="str">
        <f t="shared" ref="DC14:EC14" si="10">IFERROR(INDIRECT("'Bloque "&amp;V41&amp;" Semana "&amp;V40&amp;"'"&amp;"!"&amp;"CB15"),"")</f>
        <v/>
      </c>
      <c r="DD14" s="121" t="str">
        <f t="shared" si="10"/>
        <v/>
      </c>
      <c r="DE14" s="121" t="str">
        <f t="shared" si="10"/>
        <v/>
      </c>
      <c r="DF14" s="121" t="str">
        <f t="shared" si="10"/>
        <v/>
      </c>
      <c r="DG14" s="121" t="str">
        <f t="shared" si="10"/>
        <v/>
      </c>
      <c r="DH14" s="121" t="str">
        <f t="shared" si="10"/>
        <v/>
      </c>
      <c r="DI14" s="121" t="str">
        <f t="shared" si="10"/>
        <v/>
      </c>
      <c r="DJ14" s="121" t="str">
        <f t="shared" si="10"/>
        <v/>
      </c>
      <c r="DK14" s="121" t="str">
        <f t="shared" si="10"/>
        <v/>
      </c>
      <c r="DL14" s="121" t="str">
        <f t="shared" si="10"/>
        <v/>
      </c>
      <c r="DM14" s="121" t="str">
        <f t="shared" si="10"/>
        <v/>
      </c>
      <c r="DN14" s="121" t="str">
        <f t="shared" si="10"/>
        <v/>
      </c>
      <c r="DO14" s="121" t="str">
        <f t="shared" si="10"/>
        <v/>
      </c>
      <c r="DP14" s="121" t="str">
        <f t="shared" si="10"/>
        <v/>
      </c>
      <c r="DQ14" s="121" t="str">
        <f t="shared" si="10"/>
        <v/>
      </c>
      <c r="DR14" s="121" t="str">
        <f t="shared" si="10"/>
        <v/>
      </c>
      <c r="DS14" s="121" t="str">
        <f t="shared" si="10"/>
        <v/>
      </c>
      <c r="DT14" s="121" t="str">
        <f t="shared" si="10"/>
        <v/>
      </c>
      <c r="DU14" s="121" t="str">
        <f t="shared" si="10"/>
        <v/>
      </c>
      <c r="DV14" s="121" t="str">
        <f t="shared" si="10"/>
        <v/>
      </c>
      <c r="DW14" s="121" t="str">
        <f t="shared" si="10"/>
        <v/>
      </c>
      <c r="DX14" s="121" t="str">
        <f t="shared" si="10"/>
        <v/>
      </c>
      <c r="DY14" s="121" t="str">
        <f t="shared" si="10"/>
        <v/>
      </c>
      <c r="DZ14" s="121" t="str">
        <f t="shared" si="10"/>
        <v/>
      </c>
      <c r="EA14" s="121" t="str">
        <f t="shared" si="10"/>
        <v/>
      </c>
      <c r="EB14" s="121" t="str">
        <f t="shared" si="10"/>
        <v/>
      </c>
      <c r="EC14" s="121" t="str">
        <f t="shared" si="10"/>
        <v/>
      </c>
      <c r="ED14" s="121"/>
      <c r="EE14" s="119"/>
      <c r="EF14" s="119"/>
      <c r="EG14" s="119"/>
      <c r="EH14" s="119"/>
      <c r="EI14" s="119"/>
      <c r="EJ14" s="119"/>
    </row>
    <row r="15">
      <c r="A15" s="4"/>
      <c r="B15" s="4"/>
      <c r="C15" s="4"/>
      <c r="D15" s="122" t="s">
        <v>148</v>
      </c>
      <c r="E15" s="123">
        <v>1.0</v>
      </c>
      <c r="F15" s="124"/>
      <c r="G15" s="125"/>
      <c r="H15" s="125"/>
      <c r="I15" s="126"/>
      <c r="J15" s="126"/>
      <c r="K15" s="126"/>
      <c r="L15" s="126"/>
      <c r="M15" s="126"/>
      <c r="N15" s="127"/>
      <c r="O15" s="4"/>
      <c r="P15" s="4"/>
      <c r="Q15" s="4"/>
      <c r="R15" s="77"/>
      <c r="S15" s="128"/>
      <c r="T15" s="129" t="s">
        <v>149</v>
      </c>
      <c r="U15" s="130" t="str">
        <f>TEXT($U$13,"dddd")</f>
        <v>lunes</v>
      </c>
      <c r="V15" s="131">
        <f>U13</f>
        <v>45313</v>
      </c>
      <c r="W15" s="132">
        <f t="shared" ref="W15:AV15" si="11">V15+7</f>
        <v>45320</v>
      </c>
      <c r="X15" s="132">
        <f t="shared" si="11"/>
        <v>45327</v>
      </c>
      <c r="Y15" s="132">
        <f t="shared" si="11"/>
        <v>45334</v>
      </c>
      <c r="Z15" s="132">
        <f t="shared" si="11"/>
        <v>45341</v>
      </c>
      <c r="AA15" s="132">
        <f t="shared" si="11"/>
        <v>45348</v>
      </c>
      <c r="AB15" s="132">
        <f t="shared" si="11"/>
        <v>45355</v>
      </c>
      <c r="AC15" s="132">
        <f t="shared" si="11"/>
        <v>45362</v>
      </c>
      <c r="AD15" s="132">
        <f t="shared" si="11"/>
        <v>45369</v>
      </c>
      <c r="AE15" s="132">
        <f t="shared" si="11"/>
        <v>45376</v>
      </c>
      <c r="AF15" s="132">
        <f t="shared" si="11"/>
        <v>45383</v>
      </c>
      <c r="AG15" s="132">
        <f t="shared" si="11"/>
        <v>45390</v>
      </c>
      <c r="AH15" s="132">
        <f t="shared" si="11"/>
        <v>45397</v>
      </c>
      <c r="AI15" s="132">
        <f t="shared" si="11"/>
        <v>45404</v>
      </c>
      <c r="AJ15" s="132">
        <f t="shared" si="11"/>
        <v>45411</v>
      </c>
      <c r="AK15" s="132">
        <f t="shared" si="11"/>
        <v>45418</v>
      </c>
      <c r="AL15" s="132">
        <f t="shared" si="11"/>
        <v>45425</v>
      </c>
      <c r="AM15" s="132">
        <f t="shared" si="11"/>
        <v>45432</v>
      </c>
      <c r="AN15" s="132">
        <f t="shared" si="11"/>
        <v>45439</v>
      </c>
      <c r="AO15" s="132">
        <f t="shared" si="11"/>
        <v>45446</v>
      </c>
      <c r="AP15" s="132">
        <f t="shared" si="11"/>
        <v>45453</v>
      </c>
      <c r="AQ15" s="132">
        <f t="shared" si="11"/>
        <v>45460</v>
      </c>
      <c r="AR15" s="132">
        <f t="shared" si="11"/>
        <v>45467</v>
      </c>
      <c r="AS15" s="132">
        <f t="shared" si="11"/>
        <v>45474</v>
      </c>
      <c r="AT15" s="132">
        <f t="shared" si="11"/>
        <v>45481</v>
      </c>
      <c r="AU15" s="132">
        <f t="shared" si="11"/>
        <v>45488</v>
      </c>
      <c r="AV15" s="132">
        <f t="shared" si="11"/>
        <v>45495</v>
      </c>
      <c r="BX15" s="133"/>
      <c r="BY15" s="133"/>
      <c r="BZ15" s="133"/>
      <c r="CA15" s="120" t="s">
        <v>36</v>
      </c>
      <c r="CB15" s="121" t="str">
        <f t="shared" ref="CB15:DB15" si="12">IFERROR(INDIRECT("'Bloque "&amp;V24&amp;" Semana "&amp;V23&amp;"'"&amp;"!"&amp;"CB16"),"")</f>
        <v/>
      </c>
      <c r="CC15" s="121" t="str">
        <f t="shared" si="12"/>
        <v/>
      </c>
      <c r="CD15" s="121" t="str">
        <f t="shared" si="12"/>
        <v/>
      </c>
      <c r="CE15" s="121" t="str">
        <f t="shared" si="12"/>
        <v/>
      </c>
      <c r="CF15" s="121" t="str">
        <f t="shared" si="12"/>
        <v/>
      </c>
      <c r="CG15" s="121" t="str">
        <f t="shared" si="12"/>
        <v/>
      </c>
      <c r="CH15" s="121" t="str">
        <f t="shared" si="12"/>
        <v/>
      </c>
      <c r="CI15" s="121" t="str">
        <f t="shared" si="12"/>
        <v/>
      </c>
      <c r="CJ15" s="121" t="str">
        <f t="shared" si="12"/>
        <v/>
      </c>
      <c r="CK15" s="121" t="str">
        <f t="shared" si="12"/>
        <v/>
      </c>
      <c r="CL15" s="121" t="str">
        <f t="shared" si="12"/>
        <v/>
      </c>
      <c r="CM15" s="121" t="str">
        <f t="shared" si="12"/>
        <v/>
      </c>
      <c r="CN15" s="121" t="str">
        <f t="shared" si="12"/>
        <v/>
      </c>
      <c r="CO15" s="121" t="str">
        <f t="shared" si="12"/>
        <v/>
      </c>
      <c r="CP15" s="121" t="str">
        <f t="shared" si="12"/>
        <v/>
      </c>
      <c r="CQ15" s="121" t="str">
        <f t="shared" si="12"/>
        <v/>
      </c>
      <c r="CR15" s="121" t="str">
        <f t="shared" si="12"/>
        <v/>
      </c>
      <c r="CS15" s="121" t="str">
        <f t="shared" si="12"/>
        <v/>
      </c>
      <c r="CT15" s="121" t="str">
        <f t="shared" si="12"/>
        <v/>
      </c>
      <c r="CU15" s="121" t="str">
        <f t="shared" si="12"/>
        <v/>
      </c>
      <c r="CV15" s="121" t="str">
        <f t="shared" si="12"/>
        <v/>
      </c>
      <c r="CW15" s="121" t="str">
        <f t="shared" si="12"/>
        <v/>
      </c>
      <c r="CX15" s="121" t="str">
        <f t="shared" si="12"/>
        <v/>
      </c>
      <c r="CY15" s="121" t="str">
        <f t="shared" si="12"/>
        <v/>
      </c>
      <c r="CZ15" s="121" t="str">
        <f t="shared" si="12"/>
        <v/>
      </c>
      <c r="DA15" s="121" t="str">
        <f t="shared" si="12"/>
        <v/>
      </c>
      <c r="DB15" s="121" t="str">
        <f t="shared" si="12"/>
        <v/>
      </c>
      <c r="DC15" s="121" t="str">
        <f t="shared" ref="DC15:EC15" si="13">IFERROR(INDIRECT("'Bloque "&amp;V41&amp;" Semana "&amp;V40&amp;"'"&amp;"!"&amp;"CB16"),"")</f>
        <v/>
      </c>
      <c r="DD15" s="121" t="str">
        <f t="shared" si="13"/>
        <v/>
      </c>
      <c r="DE15" s="121" t="str">
        <f t="shared" si="13"/>
        <v/>
      </c>
      <c r="DF15" s="121" t="str">
        <f t="shared" si="13"/>
        <v/>
      </c>
      <c r="DG15" s="121" t="str">
        <f t="shared" si="13"/>
        <v/>
      </c>
      <c r="DH15" s="121" t="str">
        <f t="shared" si="13"/>
        <v/>
      </c>
      <c r="DI15" s="121" t="str">
        <f t="shared" si="13"/>
        <v/>
      </c>
      <c r="DJ15" s="121" t="str">
        <f t="shared" si="13"/>
        <v/>
      </c>
      <c r="DK15" s="121" t="str">
        <f t="shared" si="13"/>
        <v/>
      </c>
      <c r="DL15" s="121" t="str">
        <f t="shared" si="13"/>
        <v/>
      </c>
      <c r="DM15" s="121" t="str">
        <f t="shared" si="13"/>
        <v/>
      </c>
      <c r="DN15" s="121" t="str">
        <f t="shared" si="13"/>
        <v/>
      </c>
      <c r="DO15" s="121" t="str">
        <f t="shared" si="13"/>
        <v/>
      </c>
      <c r="DP15" s="121" t="str">
        <f t="shared" si="13"/>
        <v/>
      </c>
      <c r="DQ15" s="121" t="str">
        <f t="shared" si="13"/>
        <v/>
      </c>
      <c r="DR15" s="121" t="str">
        <f t="shared" si="13"/>
        <v/>
      </c>
      <c r="DS15" s="121" t="str">
        <f t="shared" si="13"/>
        <v/>
      </c>
      <c r="DT15" s="121" t="str">
        <f t="shared" si="13"/>
        <v/>
      </c>
      <c r="DU15" s="121" t="str">
        <f t="shared" si="13"/>
        <v/>
      </c>
      <c r="DV15" s="121" t="str">
        <f t="shared" si="13"/>
        <v/>
      </c>
      <c r="DW15" s="121" t="str">
        <f t="shared" si="13"/>
        <v/>
      </c>
      <c r="DX15" s="121" t="str">
        <f t="shared" si="13"/>
        <v/>
      </c>
      <c r="DY15" s="121" t="str">
        <f t="shared" si="13"/>
        <v/>
      </c>
      <c r="DZ15" s="121" t="str">
        <f t="shared" si="13"/>
        <v/>
      </c>
      <c r="EA15" s="121" t="str">
        <f t="shared" si="13"/>
        <v/>
      </c>
      <c r="EB15" s="121" t="str">
        <f t="shared" si="13"/>
        <v/>
      </c>
      <c r="EC15" s="121" t="str">
        <f t="shared" si="13"/>
        <v/>
      </c>
      <c r="ED15" s="121"/>
      <c r="EE15" s="133"/>
      <c r="EF15" s="133"/>
      <c r="EG15" s="133"/>
      <c r="EH15" s="133"/>
      <c r="EI15" s="133"/>
      <c r="EJ15" s="133"/>
    </row>
    <row r="16">
      <c r="A16" s="4"/>
      <c r="B16" s="4"/>
      <c r="C16" s="4"/>
      <c r="D16" s="122"/>
      <c r="E16" s="123"/>
      <c r="F16" s="134"/>
      <c r="G16" s="57"/>
      <c r="H16" s="57"/>
      <c r="I16" s="127"/>
      <c r="J16" s="127"/>
      <c r="K16" s="127"/>
      <c r="L16" s="126"/>
      <c r="M16" s="127"/>
      <c r="N16" s="127"/>
      <c r="O16" s="4"/>
      <c r="P16" s="4"/>
      <c r="Q16" s="4"/>
      <c r="R16" s="77"/>
      <c r="S16" s="135"/>
      <c r="T16" s="129" t="s">
        <v>150</v>
      </c>
      <c r="U16" s="130" t="str">
        <f>TEXT($U$13+1,"dddd")</f>
        <v>martes</v>
      </c>
      <c r="V16" s="131">
        <f t="shared" ref="V16:AV16" si="14">V15+1</f>
        <v>45314</v>
      </c>
      <c r="W16" s="132">
        <f t="shared" si="14"/>
        <v>45321</v>
      </c>
      <c r="X16" s="132">
        <f t="shared" si="14"/>
        <v>45328</v>
      </c>
      <c r="Y16" s="132">
        <f t="shared" si="14"/>
        <v>45335</v>
      </c>
      <c r="Z16" s="132">
        <f t="shared" si="14"/>
        <v>45342</v>
      </c>
      <c r="AA16" s="132">
        <f t="shared" si="14"/>
        <v>45349</v>
      </c>
      <c r="AB16" s="132">
        <f t="shared" si="14"/>
        <v>45356</v>
      </c>
      <c r="AC16" s="132">
        <f t="shared" si="14"/>
        <v>45363</v>
      </c>
      <c r="AD16" s="132">
        <f t="shared" si="14"/>
        <v>45370</v>
      </c>
      <c r="AE16" s="132">
        <f t="shared" si="14"/>
        <v>45377</v>
      </c>
      <c r="AF16" s="132">
        <f t="shared" si="14"/>
        <v>45384</v>
      </c>
      <c r="AG16" s="132">
        <f t="shared" si="14"/>
        <v>45391</v>
      </c>
      <c r="AH16" s="132">
        <f t="shared" si="14"/>
        <v>45398</v>
      </c>
      <c r="AI16" s="132">
        <f t="shared" si="14"/>
        <v>45405</v>
      </c>
      <c r="AJ16" s="132">
        <f t="shared" si="14"/>
        <v>45412</v>
      </c>
      <c r="AK16" s="132">
        <f t="shared" si="14"/>
        <v>45419</v>
      </c>
      <c r="AL16" s="132">
        <f t="shared" si="14"/>
        <v>45426</v>
      </c>
      <c r="AM16" s="132">
        <f t="shared" si="14"/>
        <v>45433</v>
      </c>
      <c r="AN16" s="132">
        <f t="shared" si="14"/>
        <v>45440</v>
      </c>
      <c r="AO16" s="132">
        <f t="shared" si="14"/>
        <v>45447</v>
      </c>
      <c r="AP16" s="132">
        <f t="shared" si="14"/>
        <v>45454</v>
      </c>
      <c r="AQ16" s="132">
        <f t="shared" si="14"/>
        <v>45461</v>
      </c>
      <c r="AR16" s="132">
        <f t="shared" si="14"/>
        <v>45468</v>
      </c>
      <c r="AS16" s="132">
        <f t="shared" si="14"/>
        <v>45475</v>
      </c>
      <c r="AT16" s="132">
        <f t="shared" si="14"/>
        <v>45482</v>
      </c>
      <c r="AU16" s="132">
        <f t="shared" si="14"/>
        <v>45489</v>
      </c>
      <c r="AV16" s="132">
        <f t="shared" si="14"/>
        <v>45496</v>
      </c>
      <c r="BX16" s="133"/>
      <c r="BY16" s="133"/>
      <c r="BZ16" s="133"/>
      <c r="CA16" s="120" t="s">
        <v>42</v>
      </c>
      <c r="CB16" s="121" t="str">
        <f t="shared" ref="CB16:DB16" si="15">IFERROR(INDIRECT("'Bloque "&amp;V24&amp;" Semana "&amp;V23&amp;"'"&amp;"!"&amp;"CB17"),"")</f>
        <v/>
      </c>
      <c r="CC16" s="121" t="str">
        <f t="shared" si="15"/>
        <v/>
      </c>
      <c r="CD16" s="121" t="str">
        <f t="shared" si="15"/>
        <v/>
      </c>
      <c r="CE16" s="121" t="str">
        <f t="shared" si="15"/>
        <v/>
      </c>
      <c r="CF16" s="121" t="str">
        <f t="shared" si="15"/>
        <v/>
      </c>
      <c r="CG16" s="121" t="str">
        <f t="shared" si="15"/>
        <v/>
      </c>
      <c r="CH16" s="121" t="str">
        <f t="shared" si="15"/>
        <v/>
      </c>
      <c r="CI16" s="121" t="str">
        <f t="shared" si="15"/>
        <v/>
      </c>
      <c r="CJ16" s="121" t="str">
        <f t="shared" si="15"/>
        <v/>
      </c>
      <c r="CK16" s="121" t="str">
        <f t="shared" si="15"/>
        <v/>
      </c>
      <c r="CL16" s="121" t="str">
        <f t="shared" si="15"/>
        <v/>
      </c>
      <c r="CM16" s="121" t="str">
        <f t="shared" si="15"/>
        <v/>
      </c>
      <c r="CN16" s="121" t="str">
        <f t="shared" si="15"/>
        <v/>
      </c>
      <c r="CO16" s="121" t="str">
        <f t="shared" si="15"/>
        <v/>
      </c>
      <c r="CP16" s="121" t="str">
        <f t="shared" si="15"/>
        <v/>
      </c>
      <c r="CQ16" s="121" t="str">
        <f t="shared" si="15"/>
        <v/>
      </c>
      <c r="CR16" s="121" t="str">
        <f t="shared" si="15"/>
        <v/>
      </c>
      <c r="CS16" s="121" t="str">
        <f t="shared" si="15"/>
        <v/>
      </c>
      <c r="CT16" s="121" t="str">
        <f t="shared" si="15"/>
        <v/>
      </c>
      <c r="CU16" s="121" t="str">
        <f t="shared" si="15"/>
        <v/>
      </c>
      <c r="CV16" s="121" t="str">
        <f t="shared" si="15"/>
        <v/>
      </c>
      <c r="CW16" s="121" t="str">
        <f t="shared" si="15"/>
        <v/>
      </c>
      <c r="CX16" s="121" t="str">
        <f t="shared" si="15"/>
        <v/>
      </c>
      <c r="CY16" s="121" t="str">
        <f t="shared" si="15"/>
        <v/>
      </c>
      <c r="CZ16" s="121" t="str">
        <f t="shared" si="15"/>
        <v/>
      </c>
      <c r="DA16" s="121" t="str">
        <f t="shared" si="15"/>
        <v/>
      </c>
      <c r="DB16" s="121" t="str">
        <f t="shared" si="15"/>
        <v/>
      </c>
      <c r="DC16" s="121" t="str">
        <f t="shared" ref="DC16:EC16" si="16">IFERROR(INDIRECT("'Bloque "&amp;V41&amp;" Semana "&amp;V40&amp;"'"&amp;"!"&amp;"CB17"),"")</f>
        <v/>
      </c>
      <c r="DD16" s="121" t="str">
        <f t="shared" si="16"/>
        <v/>
      </c>
      <c r="DE16" s="121" t="str">
        <f t="shared" si="16"/>
        <v/>
      </c>
      <c r="DF16" s="121" t="str">
        <f t="shared" si="16"/>
        <v/>
      </c>
      <c r="DG16" s="121" t="str">
        <f t="shared" si="16"/>
        <v/>
      </c>
      <c r="DH16" s="121" t="str">
        <f t="shared" si="16"/>
        <v/>
      </c>
      <c r="DI16" s="121" t="str">
        <f t="shared" si="16"/>
        <v/>
      </c>
      <c r="DJ16" s="121" t="str">
        <f t="shared" si="16"/>
        <v/>
      </c>
      <c r="DK16" s="121" t="str">
        <f t="shared" si="16"/>
        <v/>
      </c>
      <c r="DL16" s="121" t="str">
        <f t="shared" si="16"/>
        <v/>
      </c>
      <c r="DM16" s="121" t="str">
        <f t="shared" si="16"/>
        <v/>
      </c>
      <c r="DN16" s="121" t="str">
        <f t="shared" si="16"/>
        <v/>
      </c>
      <c r="DO16" s="121" t="str">
        <f t="shared" si="16"/>
        <v/>
      </c>
      <c r="DP16" s="121" t="str">
        <f t="shared" si="16"/>
        <v/>
      </c>
      <c r="DQ16" s="121" t="str">
        <f t="shared" si="16"/>
        <v/>
      </c>
      <c r="DR16" s="121" t="str">
        <f t="shared" si="16"/>
        <v/>
      </c>
      <c r="DS16" s="121" t="str">
        <f t="shared" si="16"/>
        <v/>
      </c>
      <c r="DT16" s="121" t="str">
        <f t="shared" si="16"/>
        <v/>
      </c>
      <c r="DU16" s="121" t="str">
        <f t="shared" si="16"/>
        <v/>
      </c>
      <c r="DV16" s="121" t="str">
        <f t="shared" si="16"/>
        <v/>
      </c>
      <c r="DW16" s="121" t="str">
        <f t="shared" si="16"/>
        <v/>
      </c>
      <c r="DX16" s="121" t="str">
        <f t="shared" si="16"/>
        <v/>
      </c>
      <c r="DY16" s="121" t="str">
        <f t="shared" si="16"/>
        <v/>
      </c>
      <c r="DZ16" s="121" t="str">
        <f t="shared" si="16"/>
        <v/>
      </c>
      <c r="EA16" s="121" t="str">
        <f t="shared" si="16"/>
        <v/>
      </c>
      <c r="EB16" s="121" t="str">
        <f t="shared" si="16"/>
        <v/>
      </c>
      <c r="EC16" s="121" t="str">
        <f t="shared" si="16"/>
        <v/>
      </c>
      <c r="ED16" s="121"/>
      <c r="EE16" s="133"/>
      <c r="EF16" s="133"/>
      <c r="EG16" s="133"/>
      <c r="EH16" s="133"/>
      <c r="EI16" s="133"/>
      <c r="EJ16" s="133"/>
    </row>
    <row r="17">
      <c r="A17" s="4"/>
      <c r="B17" s="4"/>
      <c r="C17" s="4"/>
      <c r="D17" s="122"/>
      <c r="E17" s="123"/>
      <c r="F17" s="134"/>
      <c r="G17" s="57"/>
      <c r="H17" s="57"/>
      <c r="I17" s="127"/>
      <c r="J17" s="127"/>
      <c r="K17" s="127"/>
      <c r="L17" s="127"/>
      <c r="M17" s="127"/>
      <c r="N17" s="127"/>
      <c r="O17" s="4"/>
      <c r="P17" s="4"/>
      <c r="Q17" s="4"/>
      <c r="R17" s="77"/>
      <c r="S17" s="136"/>
      <c r="T17" s="129" t="s">
        <v>151</v>
      </c>
      <c r="U17" s="130" t="str">
        <f>TEXT($U$13+2,"dddd")</f>
        <v>miércoles</v>
      </c>
      <c r="V17" s="131">
        <f t="shared" ref="V17:AV17" si="17">V16+1</f>
        <v>45315</v>
      </c>
      <c r="W17" s="132">
        <f t="shared" si="17"/>
        <v>45322</v>
      </c>
      <c r="X17" s="132">
        <f t="shared" si="17"/>
        <v>45329</v>
      </c>
      <c r="Y17" s="132">
        <f t="shared" si="17"/>
        <v>45336</v>
      </c>
      <c r="Z17" s="132">
        <f t="shared" si="17"/>
        <v>45343</v>
      </c>
      <c r="AA17" s="132">
        <f t="shared" si="17"/>
        <v>45350</v>
      </c>
      <c r="AB17" s="132">
        <f t="shared" si="17"/>
        <v>45357</v>
      </c>
      <c r="AC17" s="132">
        <f t="shared" si="17"/>
        <v>45364</v>
      </c>
      <c r="AD17" s="132">
        <f t="shared" si="17"/>
        <v>45371</v>
      </c>
      <c r="AE17" s="132">
        <f t="shared" si="17"/>
        <v>45378</v>
      </c>
      <c r="AF17" s="132">
        <f t="shared" si="17"/>
        <v>45385</v>
      </c>
      <c r="AG17" s="132">
        <f t="shared" si="17"/>
        <v>45392</v>
      </c>
      <c r="AH17" s="132">
        <f t="shared" si="17"/>
        <v>45399</v>
      </c>
      <c r="AI17" s="132">
        <f t="shared" si="17"/>
        <v>45406</v>
      </c>
      <c r="AJ17" s="132">
        <f t="shared" si="17"/>
        <v>45413</v>
      </c>
      <c r="AK17" s="132">
        <f t="shared" si="17"/>
        <v>45420</v>
      </c>
      <c r="AL17" s="132">
        <f t="shared" si="17"/>
        <v>45427</v>
      </c>
      <c r="AM17" s="132">
        <f t="shared" si="17"/>
        <v>45434</v>
      </c>
      <c r="AN17" s="132">
        <f t="shared" si="17"/>
        <v>45441</v>
      </c>
      <c r="AO17" s="132">
        <f t="shared" si="17"/>
        <v>45448</v>
      </c>
      <c r="AP17" s="132">
        <f t="shared" si="17"/>
        <v>45455</v>
      </c>
      <c r="AQ17" s="132">
        <f t="shared" si="17"/>
        <v>45462</v>
      </c>
      <c r="AR17" s="132">
        <f t="shared" si="17"/>
        <v>45469</v>
      </c>
      <c r="AS17" s="132">
        <f t="shared" si="17"/>
        <v>45476</v>
      </c>
      <c r="AT17" s="132">
        <f t="shared" si="17"/>
        <v>45483</v>
      </c>
      <c r="AU17" s="132">
        <f t="shared" si="17"/>
        <v>45490</v>
      </c>
      <c r="AV17" s="132">
        <f t="shared" si="17"/>
        <v>45497</v>
      </c>
      <c r="BX17" s="133"/>
      <c r="BY17" s="133"/>
      <c r="BZ17" s="133"/>
      <c r="CA17" s="133"/>
      <c r="CB17" s="133"/>
      <c r="CC17" s="133"/>
      <c r="CD17" s="133"/>
      <c r="CE17" s="133"/>
      <c r="CF17" s="133"/>
      <c r="CG17" s="133"/>
      <c r="CH17" s="133"/>
      <c r="CI17" s="133"/>
      <c r="CJ17" s="133"/>
      <c r="CK17" s="133"/>
      <c r="CL17" s="133"/>
      <c r="CM17" s="133"/>
      <c r="CN17" s="133"/>
      <c r="CO17" s="133"/>
      <c r="CP17" s="133"/>
      <c r="CQ17" s="133"/>
      <c r="CR17" s="133"/>
      <c r="CS17" s="133"/>
      <c r="CT17" s="133"/>
      <c r="CU17" s="133"/>
      <c r="CV17" s="133"/>
      <c r="CW17" s="133"/>
      <c r="CX17" s="133"/>
      <c r="CY17" s="133"/>
      <c r="CZ17" s="133"/>
      <c r="DA17" s="133"/>
      <c r="DB17" s="133"/>
      <c r="DC17" s="133"/>
      <c r="DD17" s="133"/>
      <c r="DE17" s="133"/>
      <c r="DF17" s="133"/>
      <c r="DG17" s="133"/>
      <c r="DH17" s="133"/>
      <c r="DI17" s="133"/>
      <c r="DJ17" s="133"/>
      <c r="DK17" s="133"/>
      <c r="DL17" s="133"/>
      <c r="DM17" s="133"/>
      <c r="DN17" s="133"/>
      <c r="DO17" s="133"/>
      <c r="DP17" s="133"/>
      <c r="DQ17" s="133"/>
      <c r="DR17" s="133"/>
      <c r="DS17" s="133"/>
      <c r="DT17" s="133"/>
      <c r="DU17" s="133"/>
      <c r="DV17" s="133"/>
      <c r="DW17" s="133"/>
      <c r="DX17" s="133"/>
      <c r="DY17" s="133"/>
      <c r="DZ17" s="133"/>
      <c r="EA17" s="133"/>
      <c r="EB17" s="133"/>
      <c r="EC17" s="133"/>
      <c r="ED17" s="133"/>
      <c r="EE17" s="133"/>
      <c r="EF17" s="133"/>
      <c r="EG17" s="133"/>
      <c r="EH17" s="133"/>
      <c r="EI17" s="133"/>
      <c r="EJ17" s="133"/>
    </row>
    <row r="18">
      <c r="A18" s="4"/>
      <c r="B18" s="4"/>
      <c r="C18" s="4"/>
      <c r="D18" s="122"/>
      <c r="E18" s="123"/>
      <c r="F18" s="134"/>
      <c r="G18" s="57"/>
      <c r="H18" s="57"/>
      <c r="I18" s="127"/>
      <c r="J18" s="127"/>
      <c r="K18" s="127"/>
      <c r="L18" s="127"/>
      <c r="M18" s="127"/>
      <c r="N18" s="127"/>
      <c r="O18" s="4"/>
      <c r="P18" s="4"/>
      <c r="Q18" s="4"/>
      <c r="R18" s="77"/>
      <c r="S18" s="137"/>
      <c r="T18" s="129" t="s">
        <v>152</v>
      </c>
      <c r="U18" s="130" t="str">
        <f>TEXT($U$13+3,"dddd")</f>
        <v>jueves</v>
      </c>
      <c r="V18" s="131">
        <f t="shared" ref="V18:AV18" si="18">V17+1</f>
        <v>45316</v>
      </c>
      <c r="W18" s="132">
        <f t="shared" si="18"/>
        <v>45323</v>
      </c>
      <c r="X18" s="132">
        <f t="shared" si="18"/>
        <v>45330</v>
      </c>
      <c r="Y18" s="132">
        <f t="shared" si="18"/>
        <v>45337</v>
      </c>
      <c r="Z18" s="132">
        <f t="shared" si="18"/>
        <v>45344</v>
      </c>
      <c r="AA18" s="132">
        <f t="shared" si="18"/>
        <v>45351</v>
      </c>
      <c r="AB18" s="132">
        <f t="shared" si="18"/>
        <v>45358</v>
      </c>
      <c r="AC18" s="132">
        <f t="shared" si="18"/>
        <v>45365</v>
      </c>
      <c r="AD18" s="132">
        <f t="shared" si="18"/>
        <v>45372</v>
      </c>
      <c r="AE18" s="132">
        <f t="shared" si="18"/>
        <v>45379</v>
      </c>
      <c r="AF18" s="132">
        <f t="shared" si="18"/>
        <v>45386</v>
      </c>
      <c r="AG18" s="132">
        <f t="shared" si="18"/>
        <v>45393</v>
      </c>
      <c r="AH18" s="132">
        <f t="shared" si="18"/>
        <v>45400</v>
      </c>
      <c r="AI18" s="132">
        <f t="shared" si="18"/>
        <v>45407</v>
      </c>
      <c r="AJ18" s="132">
        <f t="shared" si="18"/>
        <v>45414</v>
      </c>
      <c r="AK18" s="132">
        <f t="shared" si="18"/>
        <v>45421</v>
      </c>
      <c r="AL18" s="132">
        <f t="shared" si="18"/>
        <v>45428</v>
      </c>
      <c r="AM18" s="132">
        <f t="shared" si="18"/>
        <v>45435</v>
      </c>
      <c r="AN18" s="132">
        <f t="shared" si="18"/>
        <v>45442</v>
      </c>
      <c r="AO18" s="132">
        <f t="shared" si="18"/>
        <v>45449</v>
      </c>
      <c r="AP18" s="132">
        <f t="shared" si="18"/>
        <v>45456</v>
      </c>
      <c r="AQ18" s="132">
        <f t="shared" si="18"/>
        <v>45463</v>
      </c>
      <c r="AR18" s="132">
        <f t="shared" si="18"/>
        <v>45470</v>
      </c>
      <c r="AS18" s="132">
        <f t="shared" si="18"/>
        <v>45477</v>
      </c>
      <c r="AT18" s="132">
        <f t="shared" si="18"/>
        <v>45484</v>
      </c>
      <c r="AU18" s="132">
        <f t="shared" si="18"/>
        <v>45491</v>
      </c>
      <c r="AV18" s="132">
        <f t="shared" si="18"/>
        <v>45498</v>
      </c>
      <c r="BX18" s="133"/>
      <c r="BY18" s="133"/>
      <c r="BZ18" s="133"/>
      <c r="CA18" s="133"/>
      <c r="CB18" s="133"/>
      <c r="CC18" s="133"/>
      <c r="CD18" s="133"/>
      <c r="CE18" s="133"/>
      <c r="CF18" s="133"/>
      <c r="CG18" s="133"/>
      <c r="CH18" s="133"/>
      <c r="CI18" s="133"/>
      <c r="CJ18" s="133"/>
      <c r="CK18" s="133"/>
      <c r="CL18" s="133"/>
      <c r="CM18" s="133"/>
      <c r="CN18" s="133"/>
      <c r="CO18" s="133"/>
      <c r="CP18" s="133"/>
      <c r="CQ18" s="133"/>
      <c r="CR18" s="133"/>
      <c r="CS18" s="133"/>
      <c r="CT18" s="133"/>
      <c r="CU18" s="133"/>
      <c r="CV18" s="133"/>
      <c r="CW18" s="133"/>
      <c r="CX18" s="133"/>
      <c r="CY18" s="133"/>
      <c r="CZ18" s="133"/>
      <c r="DA18" s="133"/>
      <c r="DB18" s="133"/>
      <c r="DC18" s="133"/>
      <c r="DD18" s="133"/>
      <c r="DE18" s="133"/>
      <c r="DF18" s="133"/>
      <c r="DG18" s="133"/>
      <c r="DH18" s="133"/>
      <c r="DI18" s="133"/>
      <c r="DJ18" s="133"/>
      <c r="DK18" s="133"/>
      <c r="DL18" s="133"/>
      <c r="DM18" s="133"/>
      <c r="DN18" s="133"/>
      <c r="DO18" s="133"/>
      <c r="DP18" s="133"/>
      <c r="DQ18" s="133"/>
      <c r="DR18" s="133"/>
      <c r="DS18" s="133"/>
      <c r="DT18" s="133"/>
      <c r="DU18" s="133"/>
      <c r="DV18" s="133"/>
      <c r="DW18" s="133"/>
      <c r="DX18" s="133"/>
      <c r="DY18" s="133"/>
      <c r="DZ18" s="133"/>
      <c r="EA18" s="133"/>
      <c r="EB18" s="133"/>
      <c r="EC18" s="133"/>
      <c r="ED18" s="133"/>
      <c r="EE18" s="133"/>
      <c r="EF18" s="133"/>
      <c r="EG18" s="133"/>
      <c r="EH18" s="133"/>
      <c r="EI18" s="133"/>
      <c r="EJ18" s="133"/>
    </row>
    <row r="19">
      <c r="A19" s="4"/>
      <c r="B19" s="4"/>
      <c r="C19" s="4"/>
      <c r="D19" s="122"/>
      <c r="E19" s="123"/>
      <c r="F19" s="134"/>
      <c r="G19" s="57"/>
      <c r="H19" s="57"/>
      <c r="I19" s="127"/>
      <c r="J19" s="127"/>
      <c r="K19" s="127"/>
      <c r="L19" s="127"/>
      <c r="M19" s="127"/>
      <c r="N19" s="127"/>
      <c r="O19" s="4"/>
      <c r="P19" s="4"/>
      <c r="Q19" s="4"/>
      <c r="R19" s="77"/>
      <c r="S19" s="138"/>
      <c r="T19" s="129" t="s">
        <v>153</v>
      </c>
      <c r="U19" s="130" t="str">
        <f>TEXT($U$13+4,"dddd")</f>
        <v>viernes</v>
      </c>
      <c r="V19" s="131">
        <f t="shared" ref="V19:AV19" si="19">V18+1</f>
        <v>45317</v>
      </c>
      <c r="W19" s="132">
        <f t="shared" si="19"/>
        <v>45324</v>
      </c>
      <c r="X19" s="132">
        <f t="shared" si="19"/>
        <v>45331</v>
      </c>
      <c r="Y19" s="132">
        <f t="shared" si="19"/>
        <v>45338</v>
      </c>
      <c r="Z19" s="132">
        <f t="shared" si="19"/>
        <v>45345</v>
      </c>
      <c r="AA19" s="132">
        <f t="shared" si="19"/>
        <v>45352</v>
      </c>
      <c r="AB19" s="132">
        <f t="shared" si="19"/>
        <v>45359</v>
      </c>
      <c r="AC19" s="132">
        <f t="shared" si="19"/>
        <v>45366</v>
      </c>
      <c r="AD19" s="132">
        <f t="shared" si="19"/>
        <v>45373</v>
      </c>
      <c r="AE19" s="132">
        <f t="shared" si="19"/>
        <v>45380</v>
      </c>
      <c r="AF19" s="132">
        <f t="shared" si="19"/>
        <v>45387</v>
      </c>
      <c r="AG19" s="132">
        <f t="shared" si="19"/>
        <v>45394</v>
      </c>
      <c r="AH19" s="132">
        <f t="shared" si="19"/>
        <v>45401</v>
      </c>
      <c r="AI19" s="132">
        <f t="shared" si="19"/>
        <v>45408</v>
      </c>
      <c r="AJ19" s="132">
        <f t="shared" si="19"/>
        <v>45415</v>
      </c>
      <c r="AK19" s="132">
        <f t="shared" si="19"/>
        <v>45422</v>
      </c>
      <c r="AL19" s="132">
        <f t="shared" si="19"/>
        <v>45429</v>
      </c>
      <c r="AM19" s="132">
        <f t="shared" si="19"/>
        <v>45436</v>
      </c>
      <c r="AN19" s="132">
        <f t="shared" si="19"/>
        <v>45443</v>
      </c>
      <c r="AO19" s="132">
        <f t="shared" si="19"/>
        <v>45450</v>
      </c>
      <c r="AP19" s="132">
        <f t="shared" si="19"/>
        <v>45457</v>
      </c>
      <c r="AQ19" s="132">
        <f t="shared" si="19"/>
        <v>45464</v>
      </c>
      <c r="AR19" s="132">
        <f t="shared" si="19"/>
        <v>45471</v>
      </c>
      <c r="AS19" s="132">
        <f t="shared" si="19"/>
        <v>45478</v>
      </c>
      <c r="AT19" s="132">
        <f t="shared" si="19"/>
        <v>45485</v>
      </c>
      <c r="AU19" s="132">
        <f t="shared" si="19"/>
        <v>45492</v>
      </c>
      <c r="AV19" s="132">
        <f t="shared" si="19"/>
        <v>45499</v>
      </c>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row>
    <row r="20">
      <c r="A20" s="4"/>
      <c r="B20" s="4"/>
      <c r="C20" s="4"/>
      <c r="D20" s="122"/>
      <c r="E20" s="123"/>
      <c r="F20" s="134"/>
      <c r="G20" s="134"/>
      <c r="H20" s="134"/>
      <c r="I20" s="126"/>
      <c r="J20" s="126"/>
      <c r="K20" s="126"/>
      <c r="L20" s="126"/>
      <c r="M20" s="126"/>
      <c r="N20" s="126"/>
      <c r="O20" s="4"/>
      <c r="P20" s="4"/>
      <c r="Q20" s="4"/>
      <c r="R20" s="77"/>
      <c r="S20" s="139"/>
      <c r="T20" s="129" t="s">
        <v>154</v>
      </c>
      <c r="U20" s="130" t="str">
        <f>TEXT($U$13+5,"dddd")</f>
        <v>sábado</v>
      </c>
      <c r="V20" s="131">
        <f t="shared" ref="V20:AV20" si="20">V19+1</f>
        <v>45318</v>
      </c>
      <c r="W20" s="132">
        <f t="shared" si="20"/>
        <v>45325</v>
      </c>
      <c r="X20" s="132">
        <f t="shared" si="20"/>
        <v>45332</v>
      </c>
      <c r="Y20" s="132">
        <f t="shared" si="20"/>
        <v>45339</v>
      </c>
      <c r="Z20" s="132">
        <f t="shared" si="20"/>
        <v>45346</v>
      </c>
      <c r="AA20" s="132">
        <f t="shared" si="20"/>
        <v>45353</v>
      </c>
      <c r="AB20" s="132">
        <f t="shared" si="20"/>
        <v>45360</v>
      </c>
      <c r="AC20" s="132">
        <f t="shared" si="20"/>
        <v>45367</v>
      </c>
      <c r="AD20" s="132">
        <f t="shared" si="20"/>
        <v>45374</v>
      </c>
      <c r="AE20" s="132">
        <f t="shared" si="20"/>
        <v>45381</v>
      </c>
      <c r="AF20" s="132">
        <f t="shared" si="20"/>
        <v>45388</v>
      </c>
      <c r="AG20" s="132">
        <f t="shared" si="20"/>
        <v>45395</v>
      </c>
      <c r="AH20" s="132">
        <f t="shared" si="20"/>
        <v>45402</v>
      </c>
      <c r="AI20" s="132">
        <f t="shared" si="20"/>
        <v>45409</v>
      </c>
      <c r="AJ20" s="132">
        <f t="shared" si="20"/>
        <v>45416</v>
      </c>
      <c r="AK20" s="132">
        <f t="shared" si="20"/>
        <v>45423</v>
      </c>
      <c r="AL20" s="132">
        <f t="shared" si="20"/>
        <v>45430</v>
      </c>
      <c r="AM20" s="132">
        <f t="shared" si="20"/>
        <v>45437</v>
      </c>
      <c r="AN20" s="132">
        <f t="shared" si="20"/>
        <v>45444</v>
      </c>
      <c r="AO20" s="132">
        <f t="shared" si="20"/>
        <v>45451</v>
      </c>
      <c r="AP20" s="132">
        <f t="shared" si="20"/>
        <v>45458</v>
      </c>
      <c r="AQ20" s="132">
        <f t="shared" si="20"/>
        <v>45465</v>
      </c>
      <c r="AR20" s="132">
        <f t="shared" si="20"/>
        <v>45472</v>
      </c>
      <c r="AS20" s="132">
        <f t="shared" si="20"/>
        <v>45479</v>
      </c>
      <c r="AT20" s="132">
        <f t="shared" si="20"/>
        <v>45486</v>
      </c>
      <c r="AU20" s="132">
        <f t="shared" si="20"/>
        <v>45493</v>
      </c>
      <c r="AV20" s="132">
        <f t="shared" si="20"/>
        <v>45500</v>
      </c>
      <c r="BX20" s="133"/>
      <c r="BY20" s="133"/>
      <c r="BZ20" s="133"/>
      <c r="CA20" s="133"/>
      <c r="CB20" s="133"/>
      <c r="CC20" s="133"/>
      <c r="CD20" s="133"/>
      <c r="CE20" s="133"/>
      <c r="CF20" s="133"/>
      <c r="CG20" s="133"/>
      <c r="CH20" s="133"/>
      <c r="CI20" s="133"/>
      <c r="CJ20" s="133"/>
      <c r="CK20" s="133"/>
      <c r="CL20" s="133"/>
      <c r="CM20" s="133"/>
      <c r="CN20" s="133"/>
      <c r="CO20" s="133"/>
      <c r="CP20" s="133"/>
      <c r="CQ20" s="133"/>
      <c r="CR20" s="133"/>
      <c r="CS20" s="133"/>
      <c r="CT20" s="133"/>
      <c r="CU20" s="133"/>
      <c r="CV20" s="133"/>
      <c r="CW20" s="133"/>
      <c r="CX20" s="133"/>
      <c r="CY20" s="133"/>
      <c r="CZ20" s="133"/>
      <c r="DA20" s="133"/>
      <c r="DB20" s="133"/>
      <c r="DC20" s="133"/>
      <c r="DD20" s="133"/>
      <c r="DE20" s="133"/>
      <c r="DF20" s="133"/>
      <c r="DG20" s="133"/>
      <c r="DH20" s="133"/>
      <c r="DI20" s="133"/>
      <c r="DJ20" s="133"/>
      <c r="DK20" s="133"/>
      <c r="DL20" s="133"/>
      <c r="DM20" s="133"/>
      <c r="DN20" s="133"/>
      <c r="DO20" s="133"/>
      <c r="DP20" s="133"/>
      <c r="DQ20" s="133"/>
      <c r="DR20" s="133"/>
      <c r="DS20" s="133"/>
      <c r="DT20" s="133"/>
      <c r="DU20" s="133"/>
      <c r="DV20" s="133"/>
      <c r="DW20" s="133"/>
      <c r="DX20" s="133"/>
      <c r="DY20" s="133"/>
      <c r="DZ20" s="133"/>
      <c r="EA20" s="133"/>
      <c r="EB20" s="133"/>
      <c r="EC20" s="133"/>
      <c r="ED20" s="133"/>
      <c r="EE20" s="133"/>
      <c r="EF20" s="133"/>
      <c r="EG20" s="133"/>
      <c r="EH20" s="133"/>
      <c r="EI20" s="133"/>
      <c r="EJ20" s="133"/>
    </row>
    <row r="21">
      <c r="A21" s="4"/>
      <c r="B21" s="4"/>
      <c r="C21" s="4"/>
      <c r="D21" s="122"/>
      <c r="E21" s="123"/>
      <c r="F21" s="134"/>
      <c r="G21" s="57"/>
      <c r="H21" s="57"/>
      <c r="I21" s="127"/>
      <c r="J21" s="127"/>
      <c r="K21" s="127"/>
      <c r="L21" s="127"/>
      <c r="M21" s="127"/>
      <c r="N21" s="127"/>
      <c r="O21" s="4"/>
      <c r="P21" s="4"/>
      <c r="Q21" s="4"/>
      <c r="R21" s="77"/>
      <c r="S21" s="140"/>
      <c r="T21" s="129" t="s">
        <v>155</v>
      </c>
      <c r="U21" s="141" t="str">
        <f>TEXT($U$13+6,"dddd")</f>
        <v>domingo</v>
      </c>
      <c r="V21" s="142">
        <f t="shared" ref="V21:AV21" si="21">V20+1</f>
        <v>45319</v>
      </c>
      <c r="W21" s="143">
        <f t="shared" si="21"/>
        <v>45326</v>
      </c>
      <c r="X21" s="143">
        <f t="shared" si="21"/>
        <v>45333</v>
      </c>
      <c r="Y21" s="143">
        <f t="shared" si="21"/>
        <v>45340</v>
      </c>
      <c r="Z21" s="143">
        <f t="shared" si="21"/>
        <v>45347</v>
      </c>
      <c r="AA21" s="143">
        <f t="shared" si="21"/>
        <v>45354</v>
      </c>
      <c r="AB21" s="143">
        <f t="shared" si="21"/>
        <v>45361</v>
      </c>
      <c r="AC21" s="143">
        <f t="shared" si="21"/>
        <v>45368</v>
      </c>
      <c r="AD21" s="143">
        <f t="shared" si="21"/>
        <v>45375</v>
      </c>
      <c r="AE21" s="143">
        <f t="shared" si="21"/>
        <v>45382</v>
      </c>
      <c r="AF21" s="143">
        <f t="shared" si="21"/>
        <v>45389</v>
      </c>
      <c r="AG21" s="143">
        <f t="shared" si="21"/>
        <v>45396</v>
      </c>
      <c r="AH21" s="143">
        <f t="shared" si="21"/>
        <v>45403</v>
      </c>
      <c r="AI21" s="143">
        <f t="shared" si="21"/>
        <v>45410</v>
      </c>
      <c r="AJ21" s="143">
        <f t="shared" si="21"/>
        <v>45417</v>
      </c>
      <c r="AK21" s="143">
        <f t="shared" si="21"/>
        <v>45424</v>
      </c>
      <c r="AL21" s="143">
        <f t="shared" si="21"/>
        <v>45431</v>
      </c>
      <c r="AM21" s="143">
        <f t="shared" si="21"/>
        <v>45438</v>
      </c>
      <c r="AN21" s="143">
        <f t="shared" si="21"/>
        <v>45445</v>
      </c>
      <c r="AO21" s="143">
        <f t="shared" si="21"/>
        <v>45452</v>
      </c>
      <c r="AP21" s="143">
        <f t="shared" si="21"/>
        <v>45459</v>
      </c>
      <c r="AQ21" s="143">
        <f t="shared" si="21"/>
        <v>45466</v>
      </c>
      <c r="AR21" s="143">
        <f t="shared" si="21"/>
        <v>45473</v>
      </c>
      <c r="AS21" s="143">
        <f t="shared" si="21"/>
        <v>45480</v>
      </c>
      <c r="AT21" s="143">
        <f t="shared" si="21"/>
        <v>45487</v>
      </c>
      <c r="AU21" s="143">
        <f t="shared" si="21"/>
        <v>45494</v>
      </c>
      <c r="AV21" s="143">
        <f t="shared" si="21"/>
        <v>45501</v>
      </c>
      <c r="BX21" s="133"/>
      <c r="BY21" s="133"/>
      <c r="BZ21" s="133"/>
      <c r="CA21" s="144" t="s">
        <v>156</v>
      </c>
      <c r="CB21" s="108"/>
      <c r="CC21" s="108"/>
      <c r="CD21" s="108"/>
      <c r="CE21" s="108"/>
      <c r="CF21" s="108"/>
      <c r="CG21" s="108"/>
      <c r="CH21" s="108"/>
      <c r="CI21" s="108"/>
      <c r="CJ21" s="108"/>
      <c r="CK21" s="108"/>
      <c r="CL21" s="108"/>
      <c r="CM21" s="108"/>
      <c r="CN21" s="108"/>
      <c r="CO21" s="108"/>
      <c r="CP21" s="108"/>
      <c r="CQ21" s="108"/>
      <c r="CR21" s="108"/>
      <c r="CS21" s="108"/>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EA21" s="133"/>
      <c r="EB21" s="133"/>
      <c r="EC21" s="133"/>
      <c r="ED21" s="133"/>
      <c r="EE21" s="133"/>
      <c r="EF21" s="133"/>
      <c r="EG21" s="133"/>
      <c r="EH21" s="133"/>
      <c r="EI21" s="133"/>
      <c r="EJ21" s="133"/>
    </row>
    <row r="22">
      <c r="A22" s="4"/>
      <c r="B22" s="4"/>
      <c r="C22" s="4"/>
      <c r="D22" s="122"/>
      <c r="E22" s="123"/>
      <c r="F22" s="134"/>
      <c r="G22" s="57"/>
      <c r="H22" s="57"/>
      <c r="I22" s="127"/>
      <c r="J22" s="127"/>
      <c r="K22" s="127"/>
      <c r="L22" s="127"/>
      <c r="M22" s="127"/>
      <c r="N22" s="127"/>
      <c r="O22" s="4"/>
      <c r="P22" s="4"/>
      <c r="Q22" s="4"/>
      <c r="R22" s="77"/>
      <c r="S22" s="145"/>
      <c r="T22" s="129" t="s">
        <v>157</v>
      </c>
      <c r="U22" s="146" t="s">
        <v>158</v>
      </c>
      <c r="V22" s="147"/>
      <c r="W22" s="148"/>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BX22" s="150"/>
      <c r="BY22" s="150"/>
      <c r="BZ22" s="150"/>
      <c r="CA22" s="83"/>
      <c r="CB22" s="84" t="s">
        <v>51</v>
      </c>
      <c r="CC22" s="84" t="s">
        <v>52</v>
      </c>
      <c r="CD22" s="84" t="s">
        <v>53</v>
      </c>
      <c r="CE22" s="84" t="s">
        <v>54</v>
      </c>
      <c r="CF22" s="84" t="s">
        <v>55</v>
      </c>
      <c r="CG22" s="84" t="s">
        <v>56</v>
      </c>
      <c r="CH22" s="84" t="s">
        <v>57</v>
      </c>
      <c r="CI22" s="84" t="s">
        <v>58</v>
      </c>
      <c r="CJ22" s="84" t="s">
        <v>59</v>
      </c>
      <c r="CK22" s="84" t="s">
        <v>60</v>
      </c>
      <c r="CL22" s="84" t="s">
        <v>61</v>
      </c>
      <c r="CM22" s="84" t="s">
        <v>62</v>
      </c>
      <c r="CN22" s="84" t="s">
        <v>63</v>
      </c>
      <c r="CO22" s="84" t="s">
        <v>64</v>
      </c>
      <c r="CP22" s="84" t="s">
        <v>65</v>
      </c>
      <c r="CQ22" s="84" t="s">
        <v>66</v>
      </c>
      <c r="CR22" s="84" t="s">
        <v>67</v>
      </c>
      <c r="CS22" s="84" t="s">
        <v>68</v>
      </c>
      <c r="CT22" s="84" t="s">
        <v>69</v>
      </c>
      <c r="CU22" s="84" t="s">
        <v>70</v>
      </c>
      <c r="CV22" s="84" t="s">
        <v>71</v>
      </c>
      <c r="CW22" s="84" t="s">
        <v>72</v>
      </c>
      <c r="CX22" s="84" t="s">
        <v>73</v>
      </c>
      <c r="CY22" s="84" t="s">
        <v>74</v>
      </c>
      <c r="CZ22" s="84" t="s">
        <v>75</v>
      </c>
      <c r="DA22" s="84" t="s">
        <v>76</v>
      </c>
      <c r="DB22" s="84" t="s">
        <v>77</v>
      </c>
      <c r="DC22" s="84" t="s">
        <v>78</v>
      </c>
      <c r="DD22" s="84" t="s">
        <v>79</v>
      </c>
      <c r="DE22" s="84" t="s">
        <v>80</v>
      </c>
      <c r="DF22" s="84" t="s">
        <v>81</v>
      </c>
      <c r="DG22" s="84" t="s">
        <v>82</v>
      </c>
      <c r="DH22" s="84" t="s">
        <v>83</v>
      </c>
      <c r="DI22" s="84" t="s">
        <v>84</v>
      </c>
      <c r="DJ22" s="84" t="s">
        <v>85</v>
      </c>
      <c r="DK22" s="84" t="s">
        <v>86</v>
      </c>
      <c r="DL22" s="84" t="s">
        <v>87</v>
      </c>
      <c r="DM22" s="84" t="s">
        <v>88</v>
      </c>
      <c r="DN22" s="84" t="s">
        <v>89</v>
      </c>
      <c r="DO22" s="84" t="s">
        <v>90</v>
      </c>
      <c r="DP22" s="84" t="s">
        <v>91</v>
      </c>
      <c r="DQ22" s="84" t="s">
        <v>92</v>
      </c>
      <c r="DR22" s="84" t="s">
        <v>93</v>
      </c>
      <c r="DS22" s="84" t="s">
        <v>94</v>
      </c>
      <c r="DT22" s="84" t="s">
        <v>95</v>
      </c>
      <c r="DU22" s="84" t="s">
        <v>96</v>
      </c>
      <c r="DV22" s="84" t="s">
        <v>97</v>
      </c>
      <c r="DW22" s="84" t="s">
        <v>98</v>
      </c>
      <c r="DX22" s="84" t="s">
        <v>99</v>
      </c>
      <c r="DY22" s="84" t="s">
        <v>100</v>
      </c>
      <c r="DZ22" s="84" t="s">
        <v>101</v>
      </c>
      <c r="EA22" s="84" t="s">
        <v>102</v>
      </c>
      <c r="EB22" s="84" t="s">
        <v>103</v>
      </c>
      <c r="EC22" s="84" t="s">
        <v>104</v>
      </c>
      <c r="ED22" s="150"/>
      <c r="EE22" s="150"/>
      <c r="EF22" s="150"/>
      <c r="EG22" s="150"/>
      <c r="EH22" s="150"/>
      <c r="EI22" s="150"/>
      <c r="EJ22" s="150"/>
    </row>
    <row r="23">
      <c r="A23" s="4"/>
      <c r="B23" s="4"/>
      <c r="C23" s="4"/>
      <c r="D23" s="122"/>
      <c r="E23" s="29"/>
      <c r="F23" s="29"/>
      <c r="G23" s="29"/>
      <c r="H23" s="29"/>
      <c r="I23" s="29"/>
      <c r="J23" s="29"/>
      <c r="K23" s="29"/>
      <c r="L23" s="29"/>
      <c r="M23" s="29"/>
      <c r="N23" s="29"/>
      <c r="O23" s="4"/>
      <c r="P23" s="4"/>
      <c r="Q23" s="4"/>
      <c r="R23" s="77"/>
      <c r="S23" s="151"/>
      <c r="T23" s="129" t="s">
        <v>159</v>
      </c>
      <c r="U23" s="152" t="s">
        <v>160</v>
      </c>
      <c r="V23" s="153">
        <v>1.0</v>
      </c>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4"/>
      <c r="CA23" s="120" t="s">
        <v>21</v>
      </c>
      <c r="CB23" s="93" t="str">
        <f t="shared" ref="CB23:DB23" si="22">IFERROR(INDIRECT("'Bloque "&amp;V24&amp;" Semana "&amp;V23&amp;"'"&amp;"!"&amp;"CE15"),"")</f>
        <v/>
      </c>
      <c r="CC23" s="93" t="str">
        <f t="shared" si="22"/>
        <v/>
      </c>
      <c r="CD23" s="93" t="str">
        <f t="shared" si="22"/>
        <v/>
      </c>
      <c r="CE23" s="93" t="str">
        <f t="shared" si="22"/>
        <v/>
      </c>
      <c r="CF23" s="93" t="str">
        <f t="shared" si="22"/>
        <v/>
      </c>
      <c r="CG23" s="93" t="str">
        <f t="shared" si="22"/>
        <v/>
      </c>
      <c r="CH23" s="93" t="str">
        <f t="shared" si="22"/>
        <v/>
      </c>
      <c r="CI23" s="93" t="str">
        <f t="shared" si="22"/>
        <v/>
      </c>
      <c r="CJ23" s="93" t="str">
        <f t="shared" si="22"/>
        <v/>
      </c>
      <c r="CK23" s="93" t="str">
        <f t="shared" si="22"/>
        <v/>
      </c>
      <c r="CL23" s="93" t="str">
        <f t="shared" si="22"/>
        <v/>
      </c>
      <c r="CM23" s="93" t="str">
        <f t="shared" si="22"/>
        <v/>
      </c>
      <c r="CN23" s="93" t="str">
        <f t="shared" si="22"/>
        <v/>
      </c>
      <c r="CO23" s="93" t="str">
        <f t="shared" si="22"/>
        <v/>
      </c>
      <c r="CP23" s="93" t="str">
        <f t="shared" si="22"/>
        <v/>
      </c>
      <c r="CQ23" s="93" t="str">
        <f t="shared" si="22"/>
        <v/>
      </c>
      <c r="CR23" s="93" t="str">
        <f t="shared" si="22"/>
        <v/>
      </c>
      <c r="CS23" s="93" t="str">
        <f t="shared" si="22"/>
        <v/>
      </c>
      <c r="CT23" s="93" t="str">
        <f t="shared" si="22"/>
        <v/>
      </c>
      <c r="CU23" s="93" t="str">
        <f t="shared" si="22"/>
        <v/>
      </c>
      <c r="CV23" s="93" t="str">
        <f t="shared" si="22"/>
        <v/>
      </c>
      <c r="CW23" s="93" t="str">
        <f t="shared" si="22"/>
        <v/>
      </c>
      <c r="CX23" s="93" t="str">
        <f t="shared" si="22"/>
        <v/>
      </c>
      <c r="CY23" s="93" t="str">
        <f t="shared" si="22"/>
        <v/>
      </c>
      <c r="CZ23" s="93" t="str">
        <f t="shared" si="22"/>
        <v/>
      </c>
      <c r="DA23" s="93" t="str">
        <f t="shared" si="22"/>
        <v/>
      </c>
      <c r="DB23" s="93" t="str">
        <f t="shared" si="22"/>
        <v/>
      </c>
      <c r="DC23" s="93" t="str">
        <f t="shared" ref="DC23:EC23" si="23">IFERROR(INDIRECT("'Bloque "&amp;V41&amp;" Semana "&amp;V40&amp;"'"&amp;"!"&amp;"CE15"),"")</f>
        <v/>
      </c>
      <c r="DD23" s="93" t="str">
        <f t="shared" si="23"/>
        <v/>
      </c>
      <c r="DE23" s="93" t="str">
        <f t="shared" si="23"/>
        <v/>
      </c>
      <c r="DF23" s="93" t="str">
        <f t="shared" si="23"/>
        <v/>
      </c>
      <c r="DG23" s="93" t="str">
        <f t="shared" si="23"/>
        <v/>
      </c>
      <c r="DH23" s="93" t="str">
        <f t="shared" si="23"/>
        <v/>
      </c>
      <c r="DI23" s="93" t="str">
        <f t="shared" si="23"/>
        <v/>
      </c>
      <c r="DJ23" s="93" t="str">
        <f t="shared" si="23"/>
        <v/>
      </c>
      <c r="DK23" s="93" t="str">
        <f t="shared" si="23"/>
        <v/>
      </c>
      <c r="DL23" s="93" t="str">
        <f t="shared" si="23"/>
        <v/>
      </c>
      <c r="DM23" s="93" t="str">
        <f t="shared" si="23"/>
        <v/>
      </c>
      <c r="DN23" s="93" t="str">
        <f t="shared" si="23"/>
        <v/>
      </c>
      <c r="DO23" s="93" t="str">
        <f t="shared" si="23"/>
        <v/>
      </c>
      <c r="DP23" s="93" t="str">
        <f t="shared" si="23"/>
        <v/>
      </c>
      <c r="DQ23" s="93" t="str">
        <f t="shared" si="23"/>
        <v/>
      </c>
      <c r="DR23" s="93" t="str">
        <f t="shared" si="23"/>
        <v/>
      </c>
      <c r="DS23" s="93" t="str">
        <f t="shared" si="23"/>
        <v/>
      </c>
      <c r="DT23" s="93" t="str">
        <f t="shared" si="23"/>
        <v/>
      </c>
      <c r="DU23" s="93" t="str">
        <f t="shared" si="23"/>
        <v/>
      </c>
      <c r="DV23" s="93" t="str">
        <f t="shared" si="23"/>
        <v/>
      </c>
      <c r="DW23" s="93" t="str">
        <f t="shared" si="23"/>
        <v/>
      </c>
      <c r="DX23" s="93" t="str">
        <f t="shared" si="23"/>
        <v/>
      </c>
      <c r="DY23" s="93" t="str">
        <f t="shared" si="23"/>
        <v/>
      </c>
      <c r="DZ23" s="93" t="str">
        <f t="shared" si="23"/>
        <v/>
      </c>
      <c r="EA23" s="93" t="str">
        <f t="shared" si="23"/>
        <v/>
      </c>
      <c r="EB23" s="93" t="str">
        <f t="shared" si="23"/>
        <v/>
      </c>
      <c r="EC23" s="93" t="str">
        <f t="shared" si="23"/>
        <v/>
      </c>
    </row>
    <row r="24">
      <c r="A24" s="4"/>
      <c r="B24" s="4"/>
      <c r="C24" s="4"/>
      <c r="D24" s="122"/>
      <c r="E24" s="29"/>
      <c r="F24" s="29"/>
      <c r="G24" s="29"/>
      <c r="H24" s="29"/>
      <c r="I24" s="29"/>
      <c r="J24" s="29"/>
      <c r="K24" s="29"/>
      <c r="L24" s="29"/>
      <c r="M24" s="29"/>
      <c r="N24" s="29"/>
      <c r="O24" s="4"/>
      <c r="P24" s="4"/>
      <c r="Q24" s="4"/>
      <c r="R24" s="77"/>
      <c r="S24" s="155"/>
      <c r="T24" s="129" t="s">
        <v>161</v>
      </c>
      <c r="U24" s="152" t="s">
        <v>162</v>
      </c>
      <c r="V24" s="153">
        <v>1.0</v>
      </c>
      <c r="W24" s="156"/>
      <c r="X24" s="156"/>
      <c r="Y24" s="156"/>
      <c r="Z24" s="156"/>
      <c r="AA24" s="156"/>
      <c r="AB24" s="156"/>
      <c r="AC24" s="156"/>
      <c r="AD24" s="153"/>
      <c r="AE24" s="153"/>
      <c r="AF24" s="153"/>
      <c r="AG24" s="153"/>
      <c r="AH24" s="153"/>
      <c r="AI24" s="153"/>
      <c r="AJ24" s="153"/>
      <c r="AK24" s="153"/>
      <c r="AL24" s="153"/>
      <c r="AM24" s="153"/>
      <c r="AN24" s="153"/>
      <c r="AO24" s="153"/>
      <c r="AP24" s="153"/>
      <c r="AQ24" s="153"/>
      <c r="AR24" s="153"/>
      <c r="AS24" s="153"/>
      <c r="AT24" s="153"/>
      <c r="AU24" s="153"/>
      <c r="AV24" s="154"/>
      <c r="BX24" s="106"/>
      <c r="BY24" s="106"/>
      <c r="BZ24" s="106"/>
      <c r="CA24" s="120" t="s">
        <v>36</v>
      </c>
      <c r="CB24" s="93" t="str">
        <f t="shared" ref="CB24:DB24" si="24">IFERROR(INDIRECT("'Bloque "&amp;V24&amp;" Semana "&amp;V23&amp;"'"&amp;"!"&amp;"CE16"),"")</f>
        <v/>
      </c>
      <c r="CC24" s="93" t="str">
        <f t="shared" si="24"/>
        <v/>
      </c>
      <c r="CD24" s="93" t="str">
        <f t="shared" si="24"/>
        <v/>
      </c>
      <c r="CE24" s="93" t="str">
        <f t="shared" si="24"/>
        <v/>
      </c>
      <c r="CF24" s="93" t="str">
        <f t="shared" si="24"/>
        <v/>
      </c>
      <c r="CG24" s="93" t="str">
        <f t="shared" si="24"/>
        <v/>
      </c>
      <c r="CH24" s="93" t="str">
        <f t="shared" si="24"/>
        <v/>
      </c>
      <c r="CI24" s="93" t="str">
        <f t="shared" si="24"/>
        <v/>
      </c>
      <c r="CJ24" s="93" t="str">
        <f t="shared" si="24"/>
        <v/>
      </c>
      <c r="CK24" s="93" t="str">
        <f t="shared" si="24"/>
        <v/>
      </c>
      <c r="CL24" s="93" t="str">
        <f t="shared" si="24"/>
        <v/>
      </c>
      <c r="CM24" s="93" t="str">
        <f t="shared" si="24"/>
        <v/>
      </c>
      <c r="CN24" s="93" t="str">
        <f t="shared" si="24"/>
        <v/>
      </c>
      <c r="CO24" s="93" t="str">
        <f t="shared" si="24"/>
        <v/>
      </c>
      <c r="CP24" s="93" t="str">
        <f t="shared" si="24"/>
        <v/>
      </c>
      <c r="CQ24" s="93" t="str">
        <f t="shared" si="24"/>
        <v/>
      </c>
      <c r="CR24" s="93" t="str">
        <f t="shared" si="24"/>
        <v/>
      </c>
      <c r="CS24" s="93" t="str">
        <f t="shared" si="24"/>
        <v/>
      </c>
      <c r="CT24" s="93" t="str">
        <f t="shared" si="24"/>
        <v/>
      </c>
      <c r="CU24" s="93" t="str">
        <f t="shared" si="24"/>
        <v/>
      </c>
      <c r="CV24" s="93" t="str">
        <f t="shared" si="24"/>
        <v/>
      </c>
      <c r="CW24" s="93" t="str">
        <f t="shared" si="24"/>
        <v/>
      </c>
      <c r="CX24" s="93" t="str">
        <f t="shared" si="24"/>
        <v/>
      </c>
      <c r="CY24" s="93" t="str">
        <f t="shared" si="24"/>
        <v/>
      </c>
      <c r="CZ24" s="93" t="str">
        <f t="shared" si="24"/>
        <v/>
      </c>
      <c r="DA24" s="93" t="str">
        <f t="shared" si="24"/>
        <v/>
      </c>
      <c r="DB24" s="93" t="str">
        <f t="shared" si="24"/>
        <v/>
      </c>
      <c r="DC24" s="93" t="str">
        <f t="shared" ref="DC24:EC24" si="25">IFERROR(INDIRECT("'Bloque "&amp;V41&amp;" Semana "&amp;V40&amp;"'"&amp;"!"&amp;"CE16"),"")</f>
        <v/>
      </c>
      <c r="DD24" s="93" t="str">
        <f t="shared" si="25"/>
        <v/>
      </c>
      <c r="DE24" s="93" t="str">
        <f t="shared" si="25"/>
        <v/>
      </c>
      <c r="DF24" s="93" t="str">
        <f t="shared" si="25"/>
        <v/>
      </c>
      <c r="DG24" s="93" t="str">
        <f t="shared" si="25"/>
        <v/>
      </c>
      <c r="DH24" s="93" t="str">
        <f t="shared" si="25"/>
        <v/>
      </c>
      <c r="DI24" s="93" t="str">
        <f t="shared" si="25"/>
        <v/>
      </c>
      <c r="DJ24" s="93" t="str">
        <f t="shared" si="25"/>
        <v/>
      </c>
      <c r="DK24" s="93" t="str">
        <f t="shared" si="25"/>
        <v/>
      </c>
      <c r="DL24" s="93" t="str">
        <f t="shared" si="25"/>
        <v/>
      </c>
      <c r="DM24" s="93" t="str">
        <f t="shared" si="25"/>
        <v/>
      </c>
      <c r="DN24" s="93" t="str">
        <f t="shared" si="25"/>
        <v/>
      </c>
      <c r="DO24" s="93" t="str">
        <f t="shared" si="25"/>
        <v/>
      </c>
      <c r="DP24" s="93" t="str">
        <f t="shared" si="25"/>
        <v/>
      </c>
      <c r="DQ24" s="93" t="str">
        <f t="shared" si="25"/>
        <v/>
      </c>
      <c r="DR24" s="93" t="str">
        <f t="shared" si="25"/>
        <v/>
      </c>
      <c r="DS24" s="93" t="str">
        <f t="shared" si="25"/>
        <v/>
      </c>
      <c r="DT24" s="93" t="str">
        <f t="shared" si="25"/>
        <v/>
      </c>
      <c r="DU24" s="93" t="str">
        <f t="shared" si="25"/>
        <v/>
      </c>
      <c r="DV24" s="93" t="str">
        <f t="shared" si="25"/>
        <v/>
      </c>
      <c r="DW24" s="93" t="str">
        <f t="shared" si="25"/>
        <v/>
      </c>
      <c r="DX24" s="93" t="str">
        <f t="shared" si="25"/>
        <v/>
      </c>
      <c r="DY24" s="93" t="str">
        <f t="shared" si="25"/>
        <v/>
      </c>
      <c r="DZ24" s="93" t="str">
        <f t="shared" si="25"/>
        <v/>
      </c>
      <c r="EA24" s="93" t="str">
        <f t="shared" si="25"/>
        <v/>
      </c>
      <c r="EB24" s="93" t="str">
        <f t="shared" si="25"/>
        <v/>
      </c>
      <c r="EC24" s="93" t="str">
        <f t="shared" si="25"/>
        <v/>
      </c>
      <c r="ED24" s="106"/>
      <c r="EE24" s="106"/>
      <c r="EF24" s="106"/>
      <c r="EG24" s="106"/>
      <c r="EH24" s="106"/>
      <c r="EI24" s="106"/>
      <c r="EJ24" s="106"/>
    </row>
    <row r="25">
      <c r="A25" s="4"/>
      <c r="B25" s="4"/>
      <c r="C25" s="4"/>
      <c r="D25" s="122"/>
      <c r="E25" s="29"/>
      <c r="F25" s="29"/>
      <c r="G25" s="29"/>
      <c r="H25" s="29"/>
      <c r="I25" s="29"/>
      <c r="J25" s="29"/>
      <c r="K25" s="29"/>
      <c r="L25" s="29"/>
      <c r="M25" s="29"/>
      <c r="N25" s="29"/>
      <c r="O25" s="4"/>
      <c r="P25" s="4"/>
      <c r="Q25" s="4"/>
      <c r="R25" s="77"/>
      <c r="T25" s="157"/>
      <c r="U25" s="152" t="s">
        <v>163</v>
      </c>
      <c r="V25" s="158" t="s">
        <v>148</v>
      </c>
      <c r="W25" s="158"/>
      <c r="X25" s="158"/>
      <c r="Y25" s="158"/>
      <c r="Z25" s="158"/>
      <c r="AA25" s="158"/>
      <c r="AB25" s="158"/>
      <c r="AC25" s="158"/>
      <c r="AD25" s="159"/>
      <c r="AE25" s="159"/>
      <c r="AF25" s="159"/>
      <c r="AG25" s="159"/>
      <c r="AH25" s="159"/>
      <c r="AI25" s="159"/>
      <c r="AJ25" s="159"/>
      <c r="AK25" s="159"/>
      <c r="AL25" s="159"/>
      <c r="AM25" s="159"/>
      <c r="AN25" s="159"/>
      <c r="AO25" s="159"/>
      <c r="AP25" s="159"/>
      <c r="AQ25" s="159"/>
      <c r="AR25" s="159"/>
      <c r="AS25" s="159"/>
      <c r="AT25" s="159"/>
      <c r="AU25" s="159"/>
      <c r="AV25" s="160"/>
      <c r="BX25" s="106"/>
      <c r="BY25" s="106"/>
      <c r="BZ25" s="106"/>
      <c r="CA25" s="120" t="s">
        <v>42</v>
      </c>
      <c r="CB25" s="93" t="str">
        <f t="shared" ref="CB25:DB25" si="26">IFERROR(INDIRECT("'Bloque "&amp;V24&amp;" Semana "&amp;V23&amp;"'"&amp;"!"&amp;"CE17"),"")</f>
        <v/>
      </c>
      <c r="CC25" s="93" t="str">
        <f t="shared" si="26"/>
        <v/>
      </c>
      <c r="CD25" s="93" t="str">
        <f t="shared" si="26"/>
        <v/>
      </c>
      <c r="CE25" s="93" t="str">
        <f t="shared" si="26"/>
        <v/>
      </c>
      <c r="CF25" s="93" t="str">
        <f t="shared" si="26"/>
        <v/>
      </c>
      <c r="CG25" s="93" t="str">
        <f t="shared" si="26"/>
        <v/>
      </c>
      <c r="CH25" s="93" t="str">
        <f t="shared" si="26"/>
        <v/>
      </c>
      <c r="CI25" s="93" t="str">
        <f t="shared" si="26"/>
        <v/>
      </c>
      <c r="CJ25" s="93" t="str">
        <f t="shared" si="26"/>
        <v/>
      </c>
      <c r="CK25" s="93" t="str">
        <f t="shared" si="26"/>
        <v/>
      </c>
      <c r="CL25" s="93" t="str">
        <f t="shared" si="26"/>
        <v/>
      </c>
      <c r="CM25" s="93" t="str">
        <f t="shared" si="26"/>
        <v/>
      </c>
      <c r="CN25" s="93" t="str">
        <f t="shared" si="26"/>
        <v/>
      </c>
      <c r="CO25" s="93" t="str">
        <f t="shared" si="26"/>
        <v/>
      </c>
      <c r="CP25" s="93" t="str">
        <f t="shared" si="26"/>
        <v/>
      </c>
      <c r="CQ25" s="93" t="str">
        <f t="shared" si="26"/>
        <v/>
      </c>
      <c r="CR25" s="93" t="str">
        <f t="shared" si="26"/>
        <v/>
      </c>
      <c r="CS25" s="93" t="str">
        <f t="shared" si="26"/>
        <v/>
      </c>
      <c r="CT25" s="93" t="str">
        <f t="shared" si="26"/>
        <v/>
      </c>
      <c r="CU25" s="93" t="str">
        <f t="shared" si="26"/>
        <v/>
      </c>
      <c r="CV25" s="93" t="str">
        <f t="shared" si="26"/>
        <v/>
      </c>
      <c r="CW25" s="93" t="str">
        <f t="shared" si="26"/>
        <v/>
      </c>
      <c r="CX25" s="93" t="str">
        <f t="shared" si="26"/>
        <v/>
      </c>
      <c r="CY25" s="93" t="str">
        <f t="shared" si="26"/>
        <v/>
      </c>
      <c r="CZ25" s="93" t="str">
        <f t="shared" si="26"/>
        <v/>
      </c>
      <c r="DA25" s="93" t="str">
        <f t="shared" si="26"/>
        <v/>
      </c>
      <c r="DB25" s="93" t="str">
        <f t="shared" si="26"/>
        <v/>
      </c>
      <c r="DC25" s="93" t="str">
        <f t="shared" ref="DC25:EC25" si="27">IFERROR(INDIRECT("'Bloque "&amp;V41&amp;" Semana "&amp;V40&amp;"'"&amp;"!"&amp;"CE17"),"")</f>
        <v/>
      </c>
      <c r="DD25" s="93" t="str">
        <f t="shared" si="27"/>
        <v/>
      </c>
      <c r="DE25" s="93" t="str">
        <f t="shared" si="27"/>
        <v/>
      </c>
      <c r="DF25" s="93" t="str">
        <f t="shared" si="27"/>
        <v/>
      </c>
      <c r="DG25" s="93" t="str">
        <f t="shared" si="27"/>
        <v/>
      </c>
      <c r="DH25" s="93" t="str">
        <f t="shared" si="27"/>
        <v/>
      </c>
      <c r="DI25" s="93" t="str">
        <f t="shared" si="27"/>
        <v/>
      </c>
      <c r="DJ25" s="93" t="str">
        <f t="shared" si="27"/>
        <v/>
      </c>
      <c r="DK25" s="93" t="str">
        <f t="shared" si="27"/>
        <v/>
      </c>
      <c r="DL25" s="93" t="str">
        <f t="shared" si="27"/>
        <v/>
      </c>
      <c r="DM25" s="93" t="str">
        <f t="shared" si="27"/>
        <v/>
      </c>
      <c r="DN25" s="93" t="str">
        <f t="shared" si="27"/>
        <v/>
      </c>
      <c r="DO25" s="93" t="str">
        <f t="shared" si="27"/>
        <v/>
      </c>
      <c r="DP25" s="93" t="str">
        <f t="shared" si="27"/>
        <v/>
      </c>
      <c r="DQ25" s="93" t="str">
        <f t="shared" si="27"/>
        <v/>
      </c>
      <c r="DR25" s="93" t="str">
        <f t="shared" si="27"/>
        <v/>
      </c>
      <c r="DS25" s="93" t="str">
        <f t="shared" si="27"/>
        <v/>
      </c>
      <c r="DT25" s="93" t="str">
        <f t="shared" si="27"/>
        <v/>
      </c>
      <c r="DU25" s="93" t="str">
        <f t="shared" si="27"/>
        <v/>
      </c>
      <c r="DV25" s="93" t="str">
        <f t="shared" si="27"/>
        <v/>
      </c>
      <c r="DW25" s="93" t="str">
        <f t="shared" si="27"/>
        <v/>
      </c>
      <c r="DX25" s="93" t="str">
        <f t="shared" si="27"/>
        <v/>
      </c>
      <c r="DY25" s="93" t="str">
        <f t="shared" si="27"/>
        <v/>
      </c>
      <c r="DZ25" s="93" t="str">
        <f t="shared" si="27"/>
        <v/>
      </c>
      <c r="EA25" s="93" t="str">
        <f t="shared" si="27"/>
        <v/>
      </c>
      <c r="EB25" s="93" t="str">
        <f t="shared" si="27"/>
        <v/>
      </c>
      <c r="EC25" s="93" t="str">
        <f t="shared" si="27"/>
        <v/>
      </c>
      <c r="ED25" s="106"/>
      <c r="EE25" s="106"/>
      <c r="EF25" s="106"/>
      <c r="EG25" s="106"/>
      <c r="EH25" s="106"/>
      <c r="EI25" s="106"/>
      <c r="EJ25" s="106"/>
    </row>
    <row r="26">
      <c r="A26" s="4"/>
      <c r="B26" s="4"/>
      <c r="C26" s="4"/>
      <c r="D26" s="122"/>
      <c r="E26" s="29"/>
      <c r="F26" s="29"/>
      <c r="G26" s="29"/>
      <c r="H26" s="29"/>
      <c r="I26" s="29"/>
      <c r="J26" s="29"/>
      <c r="K26" s="29"/>
      <c r="L26" s="29"/>
      <c r="M26" s="29"/>
      <c r="N26" s="29"/>
      <c r="O26" s="4"/>
      <c r="P26" s="4"/>
      <c r="Q26" s="4"/>
      <c r="R26" s="77"/>
      <c r="T26" s="157"/>
      <c r="U26" s="161" t="s">
        <v>164</v>
      </c>
      <c r="V26" s="162" t="s">
        <v>165</v>
      </c>
      <c r="W26" s="163"/>
      <c r="X26" s="163"/>
      <c r="Y26" s="163"/>
      <c r="Z26" s="163"/>
      <c r="AA26" s="163"/>
      <c r="AB26" s="163"/>
      <c r="AC26" s="163"/>
      <c r="AD26" s="162"/>
      <c r="AE26" s="162"/>
      <c r="AF26" s="162"/>
      <c r="AG26" s="162"/>
      <c r="AH26" s="162"/>
      <c r="AI26" s="162"/>
      <c r="AJ26" s="162"/>
      <c r="AK26" s="162"/>
      <c r="AL26" s="162"/>
      <c r="AM26" s="162"/>
      <c r="AN26" s="162"/>
      <c r="AO26" s="162"/>
      <c r="AP26" s="162"/>
      <c r="AQ26" s="162"/>
      <c r="AR26" s="162"/>
      <c r="AS26" s="162"/>
      <c r="AT26" s="162"/>
      <c r="AU26" s="162"/>
      <c r="AV26" s="164"/>
      <c r="BX26" s="150"/>
      <c r="BY26" s="150"/>
      <c r="BZ26" s="150"/>
      <c r="CA26" s="165" t="s">
        <v>105</v>
      </c>
      <c r="CB26" s="150" t="str">
        <f t="shared" ref="CB26:DB26" si="28">IFERROR(INDIRECT("'Bloque "&amp;V24&amp;" Semana "&amp;V23&amp;"'"&amp;"!"&amp;"CE18"),"")</f>
        <v/>
      </c>
      <c r="CC26" s="150" t="str">
        <f t="shared" si="28"/>
        <v/>
      </c>
      <c r="CD26" s="150" t="str">
        <f t="shared" si="28"/>
        <v/>
      </c>
      <c r="CE26" s="150" t="str">
        <f t="shared" si="28"/>
        <v/>
      </c>
      <c r="CF26" s="150" t="str">
        <f t="shared" si="28"/>
        <v/>
      </c>
      <c r="CG26" s="150" t="str">
        <f t="shared" si="28"/>
        <v/>
      </c>
      <c r="CH26" s="150" t="str">
        <f t="shared" si="28"/>
        <v/>
      </c>
      <c r="CI26" s="150" t="str">
        <f t="shared" si="28"/>
        <v/>
      </c>
      <c r="CJ26" s="150" t="str">
        <f t="shared" si="28"/>
        <v/>
      </c>
      <c r="CK26" s="150" t="str">
        <f t="shared" si="28"/>
        <v/>
      </c>
      <c r="CL26" s="150" t="str">
        <f t="shared" si="28"/>
        <v/>
      </c>
      <c r="CM26" s="150" t="str">
        <f t="shared" si="28"/>
        <v/>
      </c>
      <c r="CN26" s="150" t="str">
        <f t="shared" si="28"/>
        <v/>
      </c>
      <c r="CO26" s="150" t="str">
        <f t="shared" si="28"/>
        <v/>
      </c>
      <c r="CP26" s="150" t="str">
        <f t="shared" si="28"/>
        <v/>
      </c>
      <c r="CQ26" s="150" t="str">
        <f t="shared" si="28"/>
        <v/>
      </c>
      <c r="CR26" s="150" t="str">
        <f t="shared" si="28"/>
        <v/>
      </c>
      <c r="CS26" s="150" t="str">
        <f t="shared" si="28"/>
        <v/>
      </c>
      <c r="CT26" s="150" t="str">
        <f t="shared" si="28"/>
        <v/>
      </c>
      <c r="CU26" s="150" t="str">
        <f t="shared" si="28"/>
        <v/>
      </c>
      <c r="CV26" s="150" t="str">
        <f t="shared" si="28"/>
        <v/>
      </c>
      <c r="CW26" s="150" t="str">
        <f t="shared" si="28"/>
        <v/>
      </c>
      <c r="CX26" s="150" t="str">
        <f t="shared" si="28"/>
        <v/>
      </c>
      <c r="CY26" s="150" t="str">
        <f t="shared" si="28"/>
        <v/>
      </c>
      <c r="CZ26" s="150" t="str">
        <f t="shared" si="28"/>
        <v/>
      </c>
      <c r="DA26" s="150" t="str">
        <f t="shared" si="28"/>
        <v/>
      </c>
      <c r="DB26" s="150" t="str">
        <f t="shared" si="28"/>
        <v/>
      </c>
      <c r="DC26" s="150" t="str">
        <f t="shared" ref="DC26:EC26" si="29">IFERROR(INDIRECT("'Bloque "&amp;V41&amp;" Semana "&amp;V40&amp;"'"&amp;"!"&amp;"CE18"),"")</f>
        <v/>
      </c>
      <c r="DD26" s="150" t="str">
        <f t="shared" si="29"/>
        <v/>
      </c>
      <c r="DE26" s="150" t="str">
        <f t="shared" si="29"/>
        <v/>
      </c>
      <c r="DF26" s="150" t="str">
        <f t="shared" si="29"/>
        <v/>
      </c>
      <c r="DG26" s="150" t="str">
        <f t="shared" si="29"/>
        <v/>
      </c>
      <c r="DH26" s="150" t="str">
        <f t="shared" si="29"/>
        <v/>
      </c>
      <c r="DI26" s="150" t="str">
        <f t="shared" si="29"/>
        <v/>
      </c>
      <c r="DJ26" s="150" t="str">
        <f t="shared" si="29"/>
        <v/>
      </c>
      <c r="DK26" s="150" t="str">
        <f t="shared" si="29"/>
        <v/>
      </c>
      <c r="DL26" s="150" t="str">
        <f t="shared" si="29"/>
        <v/>
      </c>
      <c r="DM26" s="150" t="str">
        <f t="shared" si="29"/>
        <v/>
      </c>
      <c r="DN26" s="150" t="str">
        <f t="shared" si="29"/>
        <v/>
      </c>
      <c r="DO26" s="150" t="str">
        <f t="shared" si="29"/>
        <v/>
      </c>
      <c r="DP26" s="150" t="str">
        <f t="shared" si="29"/>
        <v/>
      </c>
      <c r="DQ26" s="150" t="str">
        <f t="shared" si="29"/>
        <v/>
      </c>
      <c r="DR26" s="150" t="str">
        <f t="shared" si="29"/>
        <v/>
      </c>
      <c r="DS26" s="150" t="str">
        <f t="shared" si="29"/>
        <v/>
      </c>
      <c r="DT26" s="150" t="str">
        <f t="shared" si="29"/>
        <v/>
      </c>
      <c r="DU26" s="150" t="str">
        <f t="shared" si="29"/>
        <v/>
      </c>
      <c r="DV26" s="150" t="str">
        <f t="shared" si="29"/>
        <v/>
      </c>
      <c r="DW26" s="150" t="str">
        <f t="shared" si="29"/>
        <v/>
      </c>
      <c r="DX26" s="150" t="str">
        <f t="shared" si="29"/>
        <v/>
      </c>
      <c r="DY26" s="150" t="str">
        <f t="shared" si="29"/>
        <v/>
      </c>
      <c r="DZ26" s="150" t="str">
        <f t="shared" si="29"/>
        <v/>
      </c>
      <c r="EA26" s="150" t="str">
        <f t="shared" si="29"/>
        <v/>
      </c>
      <c r="EB26" s="150" t="str">
        <f t="shared" si="29"/>
        <v/>
      </c>
      <c r="EC26" s="150" t="str">
        <f t="shared" si="29"/>
        <v/>
      </c>
      <c r="ED26" s="150"/>
      <c r="EE26" s="150"/>
      <c r="EF26" s="150"/>
      <c r="EG26" s="150"/>
      <c r="EH26" s="150"/>
      <c r="EI26" s="150"/>
      <c r="EJ26" s="150"/>
    </row>
    <row r="27">
      <c r="A27" s="4"/>
      <c r="B27" s="4"/>
      <c r="C27" s="4"/>
      <c r="D27" s="122"/>
      <c r="E27" s="29"/>
      <c r="F27" s="29"/>
      <c r="G27" s="29"/>
      <c r="H27" s="29"/>
      <c r="I27" s="29"/>
      <c r="J27" s="29"/>
      <c r="K27" s="29"/>
      <c r="L27" s="29"/>
      <c r="M27" s="29"/>
      <c r="N27" s="29"/>
      <c r="O27" s="4"/>
      <c r="P27" s="4"/>
      <c r="Q27" s="4"/>
      <c r="R27" s="77"/>
      <c r="T27" s="157"/>
      <c r="U27" s="166"/>
      <c r="V27" s="167"/>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68"/>
      <c r="BS27" s="168"/>
      <c r="BT27" s="168"/>
      <c r="BU27" s="168"/>
      <c r="BV27" s="168"/>
      <c r="BW27" s="168"/>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row>
    <row r="28">
      <c r="A28" s="4"/>
      <c r="B28" s="4"/>
      <c r="C28" s="4"/>
      <c r="D28" s="122"/>
      <c r="E28" s="29"/>
      <c r="F28" s="29"/>
      <c r="G28" s="29"/>
      <c r="H28" s="29"/>
      <c r="I28" s="29"/>
      <c r="J28" s="29"/>
      <c r="K28" s="29"/>
      <c r="L28" s="29"/>
      <c r="M28" s="29"/>
      <c r="N28" s="29"/>
      <c r="O28" s="4"/>
      <c r="P28" s="4"/>
      <c r="Q28" s="4"/>
      <c r="R28" s="77"/>
      <c r="T28" s="157"/>
      <c r="V28" s="167"/>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8"/>
      <c r="BR28" s="168"/>
      <c r="BS28" s="168"/>
      <c r="BT28" s="168"/>
      <c r="BU28" s="168"/>
      <c r="BV28" s="168"/>
      <c r="BW28" s="168"/>
      <c r="BX28" s="150"/>
      <c r="BY28" s="150"/>
      <c r="BZ28" s="150"/>
      <c r="CA28" s="144" t="s">
        <v>166</v>
      </c>
      <c r="CB28" s="108"/>
      <c r="CC28" s="108"/>
      <c r="CD28" s="108"/>
      <c r="CE28" s="108"/>
      <c r="CF28" s="108"/>
      <c r="CG28" s="108"/>
      <c r="CH28" s="108"/>
      <c r="CI28" s="108"/>
      <c r="CJ28" s="108"/>
      <c r="CK28" s="108"/>
      <c r="CL28" s="108"/>
      <c r="CM28" s="108"/>
      <c r="CN28" s="108"/>
      <c r="CO28" s="108"/>
      <c r="CP28" s="108"/>
      <c r="CQ28" s="108"/>
      <c r="CR28" s="108"/>
      <c r="CS28" s="108"/>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row>
    <row r="29">
      <c r="A29" s="4"/>
      <c r="B29" s="4"/>
      <c r="C29" s="4"/>
      <c r="D29" s="122"/>
      <c r="E29" s="29"/>
      <c r="F29" s="29"/>
      <c r="G29" s="29"/>
      <c r="H29" s="29"/>
      <c r="I29" s="29"/>
      <c r="J29" s="29"/>
      <c r="K29" s="29"/>
      <c r="L29" s="29"/>
      <c r="M29" s="29"/>
      <c r="N29" s="29"/>
      <c r="O29" s="4"/>
      <c r="P29" s="4"/>
      <c r="Q29" s="4"/>
      <c r="R29" s="77"/>
      <c r="T29" s="157"/>
      <c r="U29" s="169"/>
      <c r="V29" s="169"/>
      <c r="W29" s="169"/>
      <c r="X29" s="169"/>
      <c r="Y29" s="169"/>
      <c r="Z29" s="169"/>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69"/>
      <c r="BA29" s="169"/>
      <c r="BB29" s="169"/>
      <c r="BC29" s="169"/>
      <c r="BD29" s="169"/>
      <c r="BE29" s="169"/>
      <c r="BF29" s="169"/>
      <c r="BG29" s="169"/>
      <c r="BH29" s="169"/>
      <c r="BI29" s="169"/>
      <c r="BJ29" s="169"/>
      <c r="BK29" s="169"/>
      <c r="BL29" s="169"/>
      <c r="BM29" s="169"/>
      <c r="BN29" s="169"/>
      <c r="BO29" s="169"/>
      <c r="BP29" s="169"/>
      <c r="BQ29" s="169"/>
      <c r="BR29" s="169"/>
      <c r="BS29" s="169"/>
      <c r="BT29" s="169"/>
      <c r="BU29" s="169"/>
      <c r="BV29" s="169"/>
      <c r="BW29" s="169"/>
      <c r="CA29" s="83"/>
      <c r="CB29" s="84" t="s">
        <v>51</v>
      </c>
      <c r="CC29" s="84" t="s">
        <v>52</v>
      </c>
      <c r="CD29" s="84" t="s">
        <v>53</v>
      </c>
      <c r="CE29" s="84" t="s">
        <v>54</v>
      </c>
      <c r="CF29" s="84" t="s">
        <v>55</v>
      </c>
      <c r="CG29" s="84" t="s">
        <v>56</v>
      </c>
      <c r="CH29" s="84" t="s">
        <v>57</v>
      </c>
      <c r="CI29" s="84" t="s">
        <v>58</v>
      </c>
      <c r="CJ29" s="84" t="s">
        <v>59</v>
      </c>
      <c r="CK29" s="84" t="s">
        <v>60</v>
      </c>
      <c r="CL29" s="84" t="s">
        <v>61</v>
      </c>
      <c r="CM29" s="84" t="s">
        <v>62</v>
      </c>
      <c r="CN29" s="84" t="s">
        <v>63</v>
      </c>
      <c r="CO29" s="84" t="s">
        <v>64</v>
      </c>
      <c r="CP29" s="84" t="s">
        <v>65</v>
      </c>
      <c r="CQ29" s="84" t="s">
        <v>66</v>
      </c>
      <c r="CR29" s="84" t="s">
        <v>67</v>
      </c>
      <c r="CS29" s="84" t="s">
        <v>68</v>
      </c>
      <c r="CT29" s="84" t="s">
        <v>69</v>
      </c>
      <c r="CU29" s="84" t="s">
        <v>70</v>
      </c>
      <c r="CV29" s="84" t="s">
        <v>71</v>
      </c>
      <c r="CW29" s="84" t="s">
        <v>72</v>
      </c>
      <c r="CX29" s="84" t="s">
        <v>73</v>
      </c>
      <c r="CY29" s="84" t="s">
        <v>74</v>
      </c>
      <c r="CZ29" s="84" t="s">
        <v>75</v>
      </c>
      <c r="DA29" s="84" t="s">
        <v>76</v>
      </c>
      <c r="DB29" s="84" t="s">
        <v>77</v>
      </c>
      <c r="DC29" s="84" t="s">
        <v>78</v>
      </c>
      <c r="DD29" s="84" t="s">
        <v>79</v>
      </c>
      <c r="DE29" s="84" t="s">
        <v>80</v>
      </c>
      <c r="DF29" s="84" t="s">
        <v>81</v>
      </c>
      <c r="DG29" s="84" t="s">
        <v>82</v>
      </c>
      <c r="DH29" s="84" t="s">
        <v>83</v>
      </c>
      <c r="DI29" s="84" t="s">
        <v>84</v>
      </c>
      <c r="DJ29" s="84" t="s">
        <v>85</v>
      </c>
      <c r="DK29" s="84" t="s">
        <v>86</v>
      </c>
      <c r="DL29" s="84" t="s">
        <v>87</v>
      </c>
      <c r="DM29" s="84" t="s">
        <v>88</v>
      </c>
      <c r="DN29" s="84" t="s">
        <v>89</v>
      </c>
      <c r="DO29" s="84" t="s">
        <v>90</v>
      </c>
      <c r="DP29" s="84" t="s">
        <v>91</v>
      </c>
      <c r="DQ29" s="84" t="s">
        <v>92</v>
      </c>
      <c r="DR29" s="84" t="s">
        <v>93</v>
      </c>
      <c r="DS29" s="84" t="s">
        <v>94</v>
      </c>
      <c r="DT29" s="84" t="s">
        <v>95</v>
      </c>
      <c r="DU29" s="84" t="s">
        <v>96</v>
      </c>
      <c r="DV29" s="84" t="s">
        <v>97</v>
      </c>
      <c r="DW29" s="84" t="s">
        <v>98</v>
      </c>
      <c r="DX29" s="84" t="s">
        <v>99</v>
      </c>
      <c r="DY29" s="84" t="s">
        <v>100</v>
      </c>
      <c r="DZ29" s="84" t="s">
        <v>101</v>
      </c>
      <c r="EA29" s="84" t="s">
        <v>102</v>
      </c>
      <c r="EB29" s="84" t="s">
        <v>103</v>
      </c>
      <c r="EC29" s="84" t="s">
        <v>104</v>
      </c>
    </row>
    <row r="30">
      <c r="A30" s="4"/>
      <c r="B30" s="4"/>
      <c r="C30" s="4"/>
      <c r="D30" s="122"/>
      <c r="E30" s="29"/>
      <c r="F30" s="29"/>
      <c r="G30" s="29"/>
      <c r="H30" s="29"/>
      <c r="I30" s="29"/>
      <c r="J30" s="29"/>
      <c r="K30" s="29"/>
      <c r="L30" s="29"/>
      <c r="M30" s="29"/>
      <c r="N30" s="29"/>
      <c r="O30" s="4"/>
      <c r="P30" s="4"/>
      <c r="Q30" s="4"/>
      <c r="R30" s="77"/>
      <c r="T30" s="157"/>
      <c r="U30" s="106"/>
      <c r="V30" s="116" t="s">
        <v>167</v>
      </c>
      <c r="W30" s="116" t="s">
        <v>168</v>
      </c>
      <c r="X30" s="116" t="s">
        <v>169</v>
      </c>
      <c r="Y30" s="116" t="s">
        <v>170</v>
      </c>
      <c r="Z30" s="116" t="s">
        <v>171</v>
      </c>
      <c r="AA30" s="116" t="s">
        <v>172</v>
      </c>
      <c r="AB30" s="116" t="s">
        <v>173</v>
      </c>
      <c r="AC30" s="116" t="s">
        <v>174</v>
      </c>
      <c r="AD30" s="116" t="s">
        <v>175</v>
      </c>
      <c r="AE30" s="116" t="s">
        <v>176</v>
      </c>
      <c r="AF30" s="116" t="s">
        <v>177</v>
      </c>
      <c r="AG30" s="116" t="s">
        <v>178</v>
      </c>
      <c r="AH30" s="116" t="s">
        <v>179</v>
      </c>
      <c r="AI30" s="116" t="s">
        <v>180</v>
      </c>
      <c r="AJ30" s="116" t="s">
        <v>181</v>
      </c>
      <c r="AK30" s="116" t="s">
        <v>182</v>
      </c>
      <c r="AL30" s="116" t="s">
        <v>183</v>
      </c>
      <c r="AM30" s="116" t="s">
        <v>184</v>
      </c>
      <c r="AN30" s="116" t="s">
        <v>185</v>
      </c>
      <c r="AO30" s="116" t="s">
        <v>186</v>
      </c>
      <c r="AP30" s="116" t="s">
        <v>187</v>
      </c>
      <c r="AQ30" s="116" t="s">
        <v>188</v>
      </c>
      <c r="AR30" s="116" t="s">
        <v>189</v>
      </c>
      <c r="AS30" s="116" t="s">
        <v>190</v>
      </c>
      <c r="AT30" s="116" t="s">
        <v>191</v>
      </c>
      <c r="AU30" s="116" t="s">
        <v>192</v>
      </c>
      <c r="AV30" s="116" t="s">
        <v>193</v>
      </c>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20" t="s">
        <v>194</v>
      </c>
      <c r="CB30" s="93" t="str">
        <f t="shared" ref="CB30:DB30" si="30">IFERROR(INDIRECT("'Bloque "&amp;V24&amp;" Semana "&amp;V23&amp;"'"&amp;"!"&amp;"AK17"),"")</f>
        <v/>
      </c>
      <c r="CC30" s="93" t="str">
        <f t="shared" si="30"/>
        <v/>
      </c>
      <c r="CD30" s="93" t="str">
        <f t="shared" si="30"/>
        <v/>
      </c>
      <c r="CE30" s="93" t="str">
        <f t="shared" si="30"/>
        <v/>
      </c>
      <c r="CF30" s="93" t="str">
        <f t="shared" si="30"/>
        <v/>
      </c>
      <c r="CG30" s="93" t="str">
        <f t="shared" si="30"/>
        <v/>
      </c>
      <c r="CH30" s="93" t="str">
        <f t="shared" si="30"/>
        <v/>
      </c>
      <c r="CI30" s="93" t="str">
        <f t="shared" si="30"/>
        <v/>
      </c>
      <c r="CJ30" s="93" t="str">
        <f t="shared" si="30"/>
        <v/>
      </c>
      <c r="CK30" s="93" t="str">
        <f t="shared" si="30"/>
        <v/>
      </c>
      <c r="CL30" s="93" t="str">
        <f t="shared" si="30"/>
        <v/>
      </c>
      <c r="CM30" s="93" t="str">
        <f t="shared" si="30"/>
        <v/>
      </c>
      <c r="CN30" s="93" t="str">
        <f t="shared" si="30"/>
        <v/>
      </c>
      <c r="CO30" s="93" t="str">
        <f t="shared" si="30"/>
        <v/>
      </c>
      <c r="CP30" s="93" t="str">
        <f t="shared" si="30"/>
        <v/>
      </c>
      <c r="CQ30" s="93" t="str">
        <f t="shared" si="30"/>
        <v/>
      </c>
      <c r="CR30" s="93" t="str">
        <f t="shared" si="30"/>
        <v/>
      </c>
      <c r="CS30" s="93" t="str">
        <f t="shared" si="30"/>
        <v/>
      </c>
      <c r="CT30" s="93" t="str">
        <f t="shared" si="30"/>
        <v/>
      </c>
      <c r="CU30" s="93" t="str">
        <f t="shared" si="30"/>
        <v/>
      </c>
      <c r="CV30" s="93" t="str">
        <f t="shared" si="30"/>
        <v/>
      </c>
      <c r="CW30" s="93" t="str">
        <f t="shared" si="30"/>
        <v/>
      </c>
      <c r="CX30" s="93" t="str">
        <f t="shared" si="30"/>
        <v/>
      </c>
      <c r="CY30" s="93" t="str">
        <f t="shared" si="30"/>
        <v/>
      </c>
      <c r="CZ30" s="93" t="str">
        <f t="shared" si="30"/>
        <v/>
      </c>
      <c r="DA30" s="93" t="str">
        <f t="shared" si="30"/>
        <v/>
      </c>
      <c r="DB30" s="93" t="str">
        <f t="shared" si="30"/>
        <v/>
      </c>
      <c r="DC30" s="93" t="str">
        <f t="shared" ref="DC30:EC30" si="31">IFERROR(INDIRECT("'Bloque "&amp;V41&amp;" Semana "&amp;V40&amp;"'"&amp;"!"&amp;"AK17"),"")</f>
        <v/>
      </c>
      <c r="DD30" s="93" t="str">
        <f t="shared" si="31"/>
        <v/>
      </c>
      <c r="DE30" s="93" t="str">
        <f t="shared" si="31"/>
        <v/>
      </c>
      <c r="DF30" s="93" t="str">
        <f t="shared" si="31"/>
        <v/>
      </c>
      <c r="DG30" s="93" t="str">
        <f t="shared" si="31"/>
        <v/>
      </c>
      <c r="DH30" s="93" t="str">
        <f t="shared" si="31"/>
        <v/>
      </c>
      <c r="DI30" s="93" t="str">
        <f t="shared" si="31"/>
        <v/>
      </c>
      <c r="DJ30" s="93" t="str">
        <f t="shared" si="31"/>
        <v/>
      </c>
      <c r="DK30" s="93" t="str">
        <f t="shared" si="31"/>
        <v/>
      </c>
      <c r="DL30" s="93" t="str">
        <f t="shared" si="31"/>
        <v/>
      </c>
      <c r="DM30" s="93" t="str">
        <f t="shared" si="31"/>
        <v/>
      </c>
      <c r="DN30" s="93" t="str">
        <f t="shared" si="31"/>
        <v/>
      </c>
      <c r="DO30" s="93" t="str">
        <f t="shared" si="31"/>
        <v/>
      </c>
      <c r="DP30" s="93" t="str">
        <f t="shared" si="31"/>
        <v/>
      </c>
      <c r="DQ30" s="93" t="str">
        <f t="shared" si="31"/>
        <v/>
      </c>
      <c r="DR30" s="93" t="str">
        <f t="shared" si="31"/>
        <v/>
      </c>
      <c r="DS30" s="93" t="str">
        <f t="shared" si="31"/>
        <v/>
      </c>
      <c r="DT30" s="93" t="str">
        <f t="shared" si="31"/>
        <v/>
      </c>
      <c r="DU30" s="93" t="str">
        <f t="shared" si="31"/>
        <v/>
      </c>
      <c r="DV30" s="93" t="str">
        <f t="shared" si="31"/>
        <v/>
      </c>
      <c r="DW30" s="93" t="str">
        <f t="shared" si="31"/>
        <v/>
      </c>
      <c r="DX30" s="93" t="str">
        <f t="shared" si="31"/>
        <v/>
      </c>
      <c r="DY30" s="93" t="str">
        <f t="shared" si="31"/>
        <v/>
      </c>
      <c r="DZ30" s="93" t="str">
        <f t="shared" si="31"/>
        <v/>
      </c>
      <c r="EA30" s="93" t="str">
        <f t="shared" si="31"/>
        <v/>
      </c>
      <c r="EB30" s="93" t="str">
        <f t="shared" si="31"/>
        <v/>
      </c>
      <c r="EC30" s="93" t="str">
        <f t="shared" si="31"/>
        <v/>
      </c>
      <c r="ED30" s="106"/>
      <c r="EE30" s="106"/>
      <c r="EF30" s="106"/>
      <c r="EG30" s="106"/>
      <c r="EH30" s="106"/>
      <c r="EI30" s="106"/>
      <c r="EJ30" s="106"/>
    </row>
    <row r="31">
      <c r="A31" s="4"/>
      <c r="B31" s="4"/>
      <c r="C31" s="4"/>
      <c r="D31" s="122"/>
      <c r="E31" s="29"/>
      <c r="F31" s="29"/>
      <c r="G31" s="29"/>
      <c r="H31" s="29"/>
      <c r="I31" s="29"/>
      <c r="J31" s="29"/>
      <c r="K31" s="29"/>
      <c r="L31" s="29"/>
      <c r="M31" s="29"/>
      <c r="N31" s="29"/>
      <c r="O31" s="4"/>
      <c r="P31" s="4"/>
      <c r="Q31" s="4"/>
      <c r="R31" s="77"/>
      <c r="T31" s="157"/>
      <c r="V31" s="118" t="str">
        <f t="shared" ref="V31:AV31" si="32">TEXT(V32,"mmmm")</f>
        <v>julio</v>
      </c>
      <c r="W31" s="118" t="str">
        <f t="shared" si="32"/>
        <v>agosto</v>
      </c>
      <c r="X31" s="118" t="str">
        <f t="shared" si="32"/>
        <v>agosto</v>
      </c>
      <c r="Y31" s="118" t="str">
        <f t="shared" si="32"/>
        <v>agosto</v>
      </c>
      <c r="Z31" s="118" t="str">
        <f t="shared" si="32"/>
        <v>agosto</v>
      </c>
      <c r="AA31" s="118" t="str">
        <f t="shared" si="32"/>
        <v>septiembre</v>
      </c>
      <c r="AB31" s="118" t="str">
        <f t="shared" si="32"/>
        <v>septiembre</v>
      </c>
      <c r="AC31" s="118" t="str">
        <f t="shared" si="32"/>
        <v>septiembre</v>
      </c>
      <c r="AD31" s="118" t="str">
        <f t="shared" si="32"/>
        <v>septiembre</v>
      </c>
      <c r="AE31" s="118" t="str">
        <f t="shared" si="32"/>
        <v>septiembre</v>
      </c>
      <c r="AF31" s="118" t="str">
        <f t="shared" si="32"/>
        <v>octubre</v>
      </c>
      <c r="AG31" s="118" t="str">
        <f t="shared" si="32"/>
        <v>octubre</v>
      </c>
      <c r="AH31" s="118" t="str">
        <f t="shared" si="32"/>
        <v>octubre</v>
      </c>
      <c r="AI31" s="118" t="str">
        <f t="shared" si="32"/>
        <v>octubre</v>
      </c>
      <c r="AJ31" s="118" t="str">
        <f t="shared" si="32"/>
        <v>noviembre</v>
      </c>
      <c r="AK31" s="118" t="str">
        <f t="shared" si="32"/>
        <v>noviembre</v>
      </c>
      <c r="AL31" s="118" t="str">
        <f t="shared" si="32"/>
        <v>noviembre</v>
      </c>
      <c r="AM31" s="118" t="str">
        <f t="shared" si="32"/>
        <v>noviembre</v>
      </c>
      <c r="AN31" s="118" t="str">
        <f t="shared" si="32"/>
        <v>diciembre</v>
      </c>
      <c r="AO31" s="118" t="str">
        <f t="shared" si="32"/>
        <v>diciembre</v>
      </c>
      <c r="AP31" s="118" t="str">
        <f t="shared" si="32"/>
        <v>diciembre</v>
      </c>
      <c r="AQ31" s="118" t="str">
        <f t="shared" si="32"/>
        <v>diciembre</v>
      </c>
      <c r="AR31" s="118" t="str">
        <f t="shared" si="32"/>
        <v>diciembre</v>
      </c>
      <c r="AS31" s="118" t="str">
        <f t="shared" si="32"/>
        <v>enero</v>
      </c>
      <c r="AT31" s="118" t="str">
        <f t="shared" si="32"/>
        <v>enero</v>
      </c>
      <c r="AU31" s="118" t="str">
        <f t="shared" si="32"/>
        <v>enero</v>
      </c>
      <c r="AV31" s="118" t="str">
        <f t="shared" si="32"/>
        <v>enero</v>
      </c>
      <c r="BX31" s="106"/>
      <c r="BY31" s="106"/>
      <c r="BZ31" s="106"/>
      <c r="CA31" s="120" t="s">
        <v>195</v>
      </c>
      <c r="CB31" s="88" t="str">
        <f t="shared" ref="CB31:DB31" si="33">IFERROR(INDIRECT("'Bloque "&amp;V24&amp;" Semana "&amp;V23&amp;"'"&amp;"!"&amp;"BM16"),"")</f>
        <v/>
      </c>
      <c r="CC31" s="88" t="str">
        <f t="shared" si="33"/>
        <v/>
      </c>
      <c r="CD31" s="88" t="str">
        <f t="shared" si="33"/>
        <v/>
      </c>
      <c r="CE31" s="88" t="str">
        <f t="shared" si="33"/>
        <v/>
      </c>
      <c r="CF31" s="88" t="str">
        <f t="shared" si="33"/>
        <v/>
      </c>
      <c r="CG31" s="88" t="str">
        <f t="shared" si="33"/>
        <v/>
      </c>
      <c r="CH31" s="88" t="str">
        <f t="shared" si="33"/>
        <v/>
      </c>
      <c r="CI31" s="88" t="str">
        <f t="shared" si="33"/>
        <v/>
      </c>
      <c r="CJ31" s="88" t="str">
        <f t="shared" si="33"/>
        <v/>
      </c>
      <c r="CK31" s="88" t="str">
        <f t="shared" si="33"/>
        <v/>
      </c>
      <c r="CL31" s="88" t="str">
        <f t="shared" si="33"/>
        <v/>
      </c>
      <c r="CM31" s="88" t="str">
        <f t="shared" si="33"/>
        <v/>
      </c>
      <c r="CN31" s="88" t="str">
        <f t="shared" si="33"/>
        <v/>
      </c>
      <c r="CO31" s="88" t="str">
        <f t="shared" si="33"/>
        <v/>
      </c>
      <c r="CP31" s="88" t="str">
        <f t="shared" si="33"/>
        <v/>
      </c>
      <c r="CQ31" s="88" t="str">
        <f t="shared" si="33"/>
        <v/>
      </c>
      <c r="CR31" s="88" t="str">
        <f t="shared" si="33"/>
        <v/>
      </c>
      <c r="CS31" s="88" t="str">
        <f t="shared" si="33"/>
        <v/>
      </c>
      <c r="CT31" s="88" t="str">
        <f t="shared" si="33"/>
        <v/>
      </c>
      <c r="CU31" s="88" t="str">
        <f t="shared" si="33"/>
        <v/>
      </c>
      <c r="CV31" s="88" t="str">
        <f t="shared" si="33"/>
        <v/>
      </c>
      <c r="CW31" s="88" t="str">
        <f t="shared" si="33"/>
        <v/>
      </c>
      <c r="CX31" s="88" t="str">
        <f t="shared" si="33"/>
        <v/>
      </c>
      <c r="CY31" s="88" t="str">
        <f t="shared" si="33"/>
        <v/>
      </c>
      <c r="CZ31" s="88" t="str">
        <f t="shared" si="33"/>
        <v/>
      </c>
      <c r="DA31" s="88" t="str">
        <f t="shared" si="33"/>
        <v/>
      </c>
      <c r="DB31" s="88" t="str">
        <f t="shared" si="33"/>
        <v/>
      </c>
      <c r="DC31" s="88" t="str">
        <f t="shared" ref="DC31:EC31" si="34">IFERROR(INDIRECT("'Bloque "&amp;V41&amp;" Semana "&amp;V40&amp;"'"&amp;"!"&amp;"BM16"),"")</f>
        <v/>
      </c>
      <c r="DD31" s="88" t="str">
        <f t="shared" si="34"/>
        <v/>
      </c>
      <c r="DE31" s="88" t="str">
        <f t="shared" si="34"/>
        <v/>
      </c>
      <c r="DF31" s="88" t="str">
        <f t="shared" si="34"/>
        <v/>
      </c>
      <c r="DG31" s="88" t="str">
        <f t="shared" si="34"/>
        <v/>
      </c>
      <c r="DH31" s="88" t="str">
        <f t="shared" si="34"/>
        <v/>
      </c>
      <c r="DI31" s="88" t="str">
        <f t="shared" si="34"/>
        <v/>
      </c>
      <c r="DJ31" s="88" t="str">
        <f t="shared" si="34"/>
        <v/>
      </c>
      <c r="DK31" s="88" t="str">
        <f t="shared" si="34"/>
        <v/>
      </c>
      <c r="DL31" s="88" t="str">
        <f t="shared" si="34"/>
        <v/>
      </c>
      <c r="DM31" s="88" t="str">
        <f t="shared" si="34"/>
        <v/>
      </c>
      <c r="DN31" s="88" t="str">
        <f t="shared" si="34"/>
        <v/>
      </c>
      <c r="DO31" s="88" t="str">
        <f t="shared" si="34"/>
        <v/>
      </c>
      <c r="DP31" s="88" t="str">
        <f t="shared" si="34"/>
        <v/>
      </c>
      <c r="DQ31" s="88" t="str">
        <f t="shared" si="34"/>
        <v/>
      </c>
      <c r="DR31" s="88" t="str">
        <f t="shared" si="34"/>
        <v/>
      </c>
      <c r="DS31" s="88" t="str">
        <f t="shared" si="34"/>
        <v/>
      </c>
      <c r="DT31" s="88" t="str">
        <f t="shared" si="34"/>
        <v/>
      </c>
      <c r="DU31" s="88" t="str">
        <f t="shared" si="34"/>
        <v/>
      </c>
      <c r="DV31" s="88" t="str">
        <f t="shared" si="34"/>
        <v/>
      </c>
      <c r="DW31" s="88" t="str">
        <f t="shared" si="34"/>
        <v/>
      </c>
      <c r="DX31" s="88" t="str">
        <f t="shared" si="34"/>
        <v/>
      </c>
      <c r="DY31" s="88" t="str">
        <f t="shared" si="34"/>
        <v/>
      </c>
      <c r="DZ31" s="88" t="str">
        <f t="shared" si="34"/>
        <v/>
      </c>
      <c r="EA31" s="88" t="str">
        <f t="shared" si="34"/>
        <v/>
      </c>
      <c r="EB31" s="88" t="str">
        <f t="shared" si="34"/>
        <v/>
      </c>
      <c r="EC31" s="88" t="str">
        <f t="shared" si="34"/>
        <v/>
      </c>
      <c r="ED31" s="106"/>
      <c r="EE31" s="106"/>
      <c r="EF31" s="106"/>
      <c r="EG31" s="106"/>
      <c r="EH31" s="106"/>
      <c r="EI31" s="106"/>
      <c r="EJ31" s="106"/>
    </row>
    <row r="32">
      <c r="A32" s="4"/>
      <c r="B32" s="4"/>
      <c r="C32" s="4"/>
      <c r="D32" s="122"/>
      <c r="E32" s="29"/>
      <c r="F32" s="29"/>
      <c r="G32" s="29"/>
      <c r="H32" s="29"/>
      <c r="I32" s="29"/>
      <c r="J32" s="29"/>
      <c r="K32" s="29"/>
      <c r="L32" s="29"/>
      <c r="M32" s="29"/>
      <c r="N32" s="29"/>
      <c r="O32" s="4"/>
      <c r="P32" s="4"/>
      <c r="Q32" s="4"/>
      <c r="R32" s="77"/>
      <c r="T32" s="157"/>
      <c r="U32" s="130" t="str">
        <f>TEXT($U$13,"dddd")</f>
        <v>lunes</v>
      </c>
      <c r="V32" s="131">
        <f>AV15+7</f>
        <v>45502</v>
      </c>
      <c r="W32" s="132">
        <f t="shared" ref="W32:AV32" si="35">V32+7</f>
        <v>45509</v>
      </c>
      <c r="X32" s="132">
        <f t="shared" si="35"/>
        <v>45516</v>
      </c>
      <c r="Y32" s="132">
        <f t="shared" si="35"/>
        <v>45523</v>
      </c>
      <c r="Z32" s="132">
        <f t="shared" si="35"/>
        <v>45530</v>
      </c>
      <c r="AA32" s="132">
        <f t="shared" si="35"/>
        <v>45537</v>
      </c>
      <c r="AB32" s="132">
        <f t="shared" si="35"/>
        <v>45544</v>
      </c>
      <c r="AC32" s="132">
        <f t="shared" si="35"/>
        <v>45551</v>
      </c>
      <c r="AD32" s="132">
        <f t="shared" si="35"/>
        <v>45558</v>
      </c>
      <c r="AE32" s="132">
        <f t="shared" si="35"/>
        <v>45565</v>
      </c>
      <c r="AF32" s="132">
        <f t="shared" si="35"/>
        <v>45572</v>
      </c>
      <c r="AG32" s="132">
        <f t="shared" si="35"/>
        <v>45579</v>
      </c>
      <c r="AH32" s="132">
        <f t="shared" si="35"/>
        <v>45586</v>
      </c>
      <c r="AI32" s="132">
        <f t="shared" si="35"/>
        <v>45593</v>
      </c>
      <c r="AJ32" s="132">
        <f t="shared" si="35"/>
        <v>45600</v>
      </c>
      <c r="AK32" s="132">
        <f t="shared" si="35"/>
        <v>45607</v>
      </c>
      <c r="AL32" s="132">
        <f t="shared" si="35"/>
        <v>45614</v>
      </c>
      <c r="AM32" s="132">
        <f t="shared" si="35"/>
        <v>45621</v>
      </c>
      <c r="AN32" s="132">
        <f t="shared" si="35"/>
        <v>45628</v>
      </c>
      <c r="AO32" s="132">
        <f t="shared" si="35"/>
        <v>45635</v>
      </c>
      <c r="AP32" s="132">
        <f t="shared" si="35"/>
        <v>45642</v>
      </c>
      <c r="AQ32" s="132">
        <f t="shared" si="35"/>
        <v>45649</v>
      </c>
      <c r="AR32" s="132">
        <f t="shared" si="35"/>
        <v>45656</v>
      </c>
      <c r="AS32" s="132">
        <f t="shared" si="35"/>
        <v>45663</v>
      </c>
      <c r="AT32" s="132">
        <f t="shared" si="35"/>
        <v>45670</v>
      </c>
      <c r="AU32" s="132">
        <f t="shared" si="35"/>
        <v>45677</v>
      </c>
      <c r="AV32" s="170">
        <f t="shared" si="35"/>
        <v>45684</v>
      </c>
      <c r="BX32" s="171"/>
      <c r="BY32" s="171"/>
      <c r="BZ32" s="171"/>
      <c r="CA32" s="83" t="s">
        <v>196</v>
      </c>
      <c r="CB32" s="84" t="str">
        <f t="shared" ref="CB32:DB32" si="36">IFERROR(INDIRECT("'Bloque "&amp;V24&amp;" Semana "&amp;V23&amp;"'"&amp;"!"&amp;"BI16"),"")</f>
        <v/>
      </c>
      <c r="CC32" s="84" t="str">
        <f t="shared" si="36"/>
        <v/>
      </c>
      <c r="CD32" s="84" t="str">
        <f t="shared" si="36"/>
        <v/>
      </c>
      <c r="CE32" s="84" t="str">
        <f t="shared" si="36"/>
        <v/>
      </c>
      <c r="CF32" s="84" t="str">
        <f t="shared" si="36"/>
        <v/>
      </c>
      <c r="CG32" s="84" t="str">
        <f t="shared" si="36"/>
        <v/>
      </c>
      <c r="CH32" s="84" t="str">
        <f t="shared" si="36"/>
        <v/>
      </c>
      <c r="CI32" s="84" t="str">
        <f t="shared" si="36"/>
        <v/>
      </c>
      <c r="CJ32" s="84" t="str">
        <f t="shared" si="36"/>
        <v/>
      </c>
      <c r="CK32" s="84" t="str">
        <f t="shared" si="36"/>
        <v/>
      </c>
      <c r="CL32" s="84" t="str">
        <f t="shared" si="36"/>
        <v/>
      </c>
      <c r="CM32" s="84" t="str">
        <f t="shared" si="36"/>
        <v/>
      </c>
      <c r="CN32" s="84" t="str">
        <f t="shared" si="36"/>
        <v/>
      </c>
      <c r="CO32" s="84" t="str">
        <f t="shared" si="36"/>
        <v/>
      </c>
      <c r="CP32" s="84" t="str">
        <f t="shared" si="36"/>
        <v/>
      </c>
      <c r="CQ32" s="84" t="str">
        <f t="shared" si="36"/>
        <v/>
      </c>
      <c r="CR32" s="84" t="str">
        <f t="shared" si="36"/>
        <v/>
      </c>
      <c r="CS32" s="84" t="str">
        <f t="shared" si="36"/>
        <v/>
      </c>
      <c r="CT32" s="84" t="str">
        <f t="shared" si="36"/>
        <v/>
      </c>
      <c r="CU32" s="84" t="str">
        <f t="shared" si="36"/>
        <v/>
      </c>
      <c r="CV32" s="84" t="str">
        <f t="shared" si="36"/>
        <v/>
      </c>
      <c r="CW32" s="84" t="str">
        <f t="shared" si="36"/>
        <v/>
      </c>
      <c r="CX32" s="84" t="str">
        <f t="shared" si="36"/>
        <v/>
      </c>
      <c r="CY32" s="84" t="str">
        <f t="shared" si="36"/>
        <v/>
      </c>
      <c r="CZ32" s="84" t="str">
        <f t="shared" si="36"/>
        <v/>
      </c>
      <c r="DA32" s="84" t="str">
        <f t="shared" si="36"/>
        <v/>
      </c>
      <c r="DB32" s="84" t="str">
        <f t="shared" si="36"/>
        <v/>
      </c>
      <c r="DC32" s="84" t="str">
        <f t="shared" ref="DC32:EC32" si="37">IFERROR(INDIRECT("'Bloque "&amp;V41&amp;" Semana "&amp;V40&amp;"'"&amp;"!"&amp;"BI16"),"")</f>
        <v/>
      </c>
      <c r="DD32" s="84" t="str">
        <f t="shared" si="37"/>
        <v/>
      </c>
      <c r="DE32" s="84" t="str">
        <f t="shared" si="37"/>
        <v/>
      </c>
      <c r="DF32" s="84" t="str">
        <f t="shared" si="37"/>
        <v/>
      </c>
      <c r="DG32" s="84" t="str">
        <f t="shared" si="37"/>
        <v/>
      </c>
      <c r="DH32" s="84" t="str">
        <f t="shared" si="37"/>
        <v/>
      </c>
      <c r="DI32" s="84" t="str">
        <f t="shared" si="37"/>
        <v/>
      </c>
      <c r="DJ32" s="84" t="str">
        <f t="shared" si="37"/>
        <v/>
      </c>
      <c r="DK32" s="84" t="str">
        <f t="shared" si="37"/>
        <v/>
      </c>
      <c r="DL32" s="84" t="str">
        <f t="shared" si="37"/>
        <v/>
      </c>
      <c r="DM32" s="84" t="str">
        <f t="shared" si="37"/>
        <v/>
      </c>
      <c r="DN32" s="84" t="str">
        <f t="shared" si="37"/>
        <v/>
      </c>
      <c r="DO32" s="84" t="str">
        <f t="shared" si="37"/>
        <v/>
      </c>
      <c r="DP32" s="84" t="str">
        <f t="shared" si="37"/>
        <v/>
      </c>
      <c r="DQ32" s="84" t="str">
        <f t="shared" si="37"/>
        <v/>
      </c>
      <c r="DR32" s="84" t="str">
        <f t="shared" si="37"/>
        <v/>
      </c>
      <c r="DS32" s="84" t="str">
        <f t="shared" si="37"/>
        <v/>
      </c>
      <c r="DT32" s="84" t="str">
        <f t="shared" si="37"/>
        <v/>
      </c>
      <c r="DU32" s="84" t="str">
        <f t="shared" si="37"/>
        <v/>
      </c>
      <c r="DV32" s="84" t="str">
        <f t="shared" si="37"/>
        <v/>
      </c>
      <c r="DW32" s="84" t="str">
        <f t="shared" si="37"/>
        <v/>
      </c>
      <c r="DX32" s="84" t="str">
        <f t="shared" si="37"/>
        <v/>
      </c>
      <c r="DY32" s="84" t="str">
        <f t="shared" si="37"/>
        <v/>
      </c>
      <c r="DZ32" s="84" t="str">
        <f t="shared" si="37"/>
        <v/>
      </c>
      <c r="EA32" s="84" t="str">
        <f t="shared" si="37"/>
        <v/>
      </c>
      <c r="EB32" s="84" t="str">
        <f t="shared" si="37"/>
        <v/>
      </c>
      <c r="EC32" s="84" t="str">
        <f t="shared" si="37"/>
        <v/>
      </c>
      <c r="ED32" s="171"/>
      <c r="EE32" s="171"/>
      <c r="EF32" s="171"/>
      <c r="EG32" s="171"/>
      <c r="EH32" s="171"/>
      <c r="EI32" s="171"/>
      <c r="EJ32" s="171"/>
    </row>
    <row r="33">
      <c r="A33" s="4"/>
      <c r="B33" s="4"/>
      <c r="C33" s="4"/>
      <c r="D33" s="122"/>
      <c r="E33" s="29"/>
      <c r="F33" s="29"/>
      <c r="G33" s="29"/>
      <c r="H33" s="29"/>
      <c r="I33" s="29"/>
      <c r="J33" s="29"/>
      <c r="K33" s="29"/>
      <c r="L33" s="29"/>
      <c r="M33" s="29"/>
      <c r="N33" s="29"/>
      <c r="O33" s="4"/>
      <c r="P33" s="4"/>
      <c r="Q33" s="4"/>
      <c r="R33" s="77"/>
      <c r="T33" s="157"/>
      <c r="U33" s="130" t="str">
        <f>TEXT($U$13+1,"dddd")</f>
        <v>martes</v>
      </c>
      <c r="V33" s="131">
        <f t="shared" ref="V33:AV33" si="38">V32+1</f>
        <v>45503</v>
      </c>
      <c r="W33" s="132">
        <f t="shared" si="38"/>
        <v>45510</v>
      </c>
      <c r="X33" s="132">
        <f t="shared" si="38"/>
        <v>45517</v>
      </c>
      <c r="Y33" s="132">
        <f t="shared" si="38"/>
        <v>45524</v>
      </c>
      <c r="Z33" s="132">
        <f t="shared" si="38"/>
        <v>45531</v>
      </c>
      <c r="AA33" s="132">
        <f t="shared" si="38"/>
        <v>45538</v>
      </c>
      <c r="AB33" s="132">
        <f t="shared" si="38"/>
        <v>45545</v>
      </c>
      <c r="AC33" s="132">
        <f t="shared" si="38"/>
        <v>45552</v>
      </c>
      <c r="AD33" s="132">
        <f t="shared" si="38"/>
        <v>45559</v>
      </c>
      <c r="AE33" s="132">
        <f t="shared" si="38"/>
        <v>45566</v>
      </c>
      <c r="AF33" s="132">
        <f t="shared" si="38"/>
        <v>45573</v>
      </c>
      <c r="AG33" s="132">
        <f t="shared" si="38"/>
        <v>45580</v>
      </c>
      <c r="AH33" s="132">
        <f t="shared" si="38"/>
        <v>45587</v>
      </c>
      <c r="AI33" s="132">
        <f t="shared" si="38"/>
        <v>45594</v>
      </c>
      <c r="AJ33" s="132">
        <f t="shared" si="38"/>
        <v>45601</v>
      </c>
      <c r="AK33" s="132">
        <f t="shared" si="38"/>
        <v>45608</v>
      </c>
      <c r="AL33" s="132">
        <f t="shared" si="38"/>
        <v>45615</v>
      </c>
      <c r="AM33" s="132">
        <f t="shared" si="38"/>
        <v>45622</v>
      </c>
      <c r="AN33" s="132">
        <f t="shared" si="38"/>
        <v>45629</v>
      </c>
      <c r="AO33" s="132">
        <f t="shared" si="38"/>
        <v>45636</v>
      </c>
      <c r="AP33" s="132">
        <f t="shared" si="38"/>
        <v>45643</v>
      </c>
      <c r="AQ33" s="132">
        <f t="shared" si="38"/>
        <v>45650</v>
      </c>
      <c r="AR33" s="132">
        <f t="shared" si="38"/>
        <v>45657</v>
      </c>
      <c r="AS33" s="132">
        <f t="shared" si="38"/>
        <v>45664</v>
      </c>
      <c r="AT33" s="132">
        <f t="shared" si="38"/>
        <v>45671</v>
      </c>
      <c r="AU33" s="132">
        <f t="shared" si="38"/>
        <v>45678</v>
      </c>
      <c r="AV33" s="170">
        <f t="shared" si="38"/>
        <v>45685</v>
      </c>
      <c r="BX33" s="171"/>
      <c r="BY33" s="171"/>
      <c r="BZ33" s="171"/>
      <c r="CA33" s="171"/>
      <c r="CB33" s="171"/>
      <c r="CC33" s="171"/>
      <c r="CD33" s="171"/>
      <c r="CE33" s="171"/>
      <c r="CF33" s="171"/>
      <c r="CG33" s="171"/>
      <c r="CH33" s="171"/>
      <c r="CI33" s="171"/>
      <c r="CJ33" s="171"/>
      <c r="CK33" s="171"/>
      <c r="CL33" s="171"/>
      <c r="CM33" s="171"/>
      <c r="CN33" s="171"/>
      <c r="CO33" s="171"/>
      <c r="CP33" s="171"/>
      <c r="CQ33" s="171"/>
      <c r="CR33" s="171"/>
      <c r="CS33" s="171"/>
      <c r="CT33" s="171"/>
      <c r="CU33" s="171"/>
      <c r="CV33" s="171"/>
      <c r="CW33" s="171"/>
      <c r="CX33" s="171"/>
      <c r="CY33" s="171"/>
      <c r="CZ33" s="171"/>
      <c r="DA33" s="171"/>
      <c r="DB33" s="171"/>
      <c r="DC33" s="171"/>
      <c r="DD33" s="171"/>
      <c r="DE33" s="171"/>
      <c r="DF33" s="171"/>
      <c r="DG33" s="171"/>
      <c r="DH33" s="171"/>
      <c r="DI33" s="171"/>
      <c r="DJ33" s="171"/>
      <c r="DK33" s="171"/>
      <c r="DL33" s="171"/>
      <c r="DM33" s="171"/>
      <c r="DN33" s="171"/>
      <c r="DO33" s="171"/>
      <c r="DP33" s="171"/>
      <c r="DQ33" s="171"/>
      <c r="DR33" s="171"/>
      <c r="DS33" s="171"/>
      <c r="DT33" s="171"/>
      <c r="DU33" s="171"/>
      <c r="DV33" s="171"/>
      <c r="DW33" s="171"/>
      <c r="DX33" s="171"/>
      <c r="DY33" s="171"/>
      <c r="DZ33" s="171"/>
      <c r="EA33" s="171"/>
      <c r="EB33" s="171"/>
      <c r="EC33" s="171"/>
      <c r="ED33" s="171"/>
      <c r="EE33" s="171"/>
      <c r="EF33" s="171"/>
      <c r="EG33" s="171"/>
      <c r="EH33" s="171"/>
      <c r="EI33" s="171"/>
      <c r="EJ33" s="171"/>
    </row>
    <row r="34">
      <c r="A34" s="4"/>
      <c r="B34" s="4"/>
      <c r="C34" s="4"/>
      <c r="D34" s="122"/>
      <c r="E34" s="29"/>
      <c r="F34" s="29"/>
      <c r="G34" s="29"/>
      <c r="H34" s="29"/>
      <c r="I34" s="29"/>
      <c r="J34" s="29"/>
      <c r="K34" s="29"/>
      <c r="L34" s="29"/>
      <c r="M34" s="29"/>
      <c r="N34" s="29"/>
      <c r="O34" s="4"/>
      <c r="P34" s="4"/>
      <c r="Q34" s="4"/>
      <c r="R34" s="77"/>
      <c r="T34" s="157"/>
      <c r="U34" s="130" t="str">
        <f>TEXT($U$13+2,"dddd")</f>
        <v>miércoles</v>
      </c>
      <c r="V34" s="131">
        <f t="shared" ref="V34:AV34" si="39">V33+1</f>
        <v>45504</v>
      </c>
      <c r="W34" s="132">
        <f t="shared" si="39"/>
        <v>45511</v>
      </c>
      <c r="X34" s="132">
        <f t="shared" si="39"/>
        <v>45518</v>
      </c>
      <c r="Y34" s="132">
        <f t="shared" si="39"/>
        <v>45525</v>
      </c>
      <c r="Z34" s="132">
        <f t="shared" si="39"/>
        <v>45532</v>
      </c>
      <c r="AA34" s="132">
        <f t="shared" si="39"/>
        <v>45539</v>
      </c>
      <c r="AB34" s="132">
        <f t="shared" si="39"/>
        <v>45546</v>
      </c>
      <c r="AC34" s="132">
        <f t="shared" si="39"/>
        <v>45553</v>
      </c>
      <c r="AD34" s="132">
        <f t="shared" si="39"/>
        <v>45560</v>
      </c>
      <c r="AE34" s="132">
        <f t="shared" si="39"/>
        <v>45567</v>
      </c>
      <c r="AF34" s="132">
        <f t="shared" si="39"/>
        <v>45574</v>
      </c>
      <c r="AG34" s="132">
        <f t="shared" si="39"/>
        <v>45581</v>
      </c>
      <c r="AH34" s="132">
        <f t="shared" si="39"/>
        <v>45588</v>
      </c>
      <c r="AI34" s="132">
        <f t="shared" si="39"/>
        <v>45595</v>
      </c>
      <c r="AJ34" s="132">
        <f t="shared" si="39"/>
        <v>45602</v>
      </c>
      <c r="AK34" s="132">
        <f t="shared" si="39"/>
        <v>45609</v>
      </c>
      <c r="AL34" s="132">
        <f t="shared" si="39"/>
        <v>45616</v>
      </c>
      <c r="AM34" s="132">
        <f t="shared" si="39"/>
        <v>45623</v>
      </c>
      <c r="AN34" s="132">
        <f t="shared" si="39"/>
        <v>45630</v>
      </c>
      <c r="AO34" s="132">
        <f t="shared" si="39"/>
        <v>45637</v>
      </c>
      <c r="AP34" s="132">
        <f t="shared" si="39"/>
        <v>45644</v>
      </c>
      <c r="AQ34" s="132">
        <f t="shared" si="39"/>
        <v>45651</v>
      </c>
      <c r="AR34" s="132">
        <f t="shared" si="39"/>
        <v>45658</v>
      </c>
      <c r="AS34" s="132">
        <f t="shared" si="39"/>
        <v>45665</v>
      </c>
      <c r="AT34" s="132">
        <f t="shared" si="39"/>
        <v>45672</v>
      </c>
      <c r="AU34" s="132">
        <f t="shared" si="39"/>
        <v>45679</v>
      </c>
      <c r="AV34" s="170">
        <f t="shared" si="39"/>
        <v>45686</v>
      </c>
      <c r="BX34" s="171"/>
      <c r="BY34" s="171"/>
      <c r="BZ34" s="171"/>
      <c r="CA34" s="171"/>
      <c r="CB34" s="171"/>
      <c r="CC34" s="171"/>
      <c r="CD34" s="171"/>
      <c r="CE34" s="171"/>
      <c r="CF34" s="171"/>
      <c r="CG34" s="171"/>
      <c r="CH34" s="171"/>
      <c r="CI34" s="171"/>
      <c r="CJ34" s="171"/>
      <c r="CK34" s="171"/>
      <c r="CL34" s="171"/>
      <c r="CM34" s="171"/>
      <c r="CN34" s="171"/>
      <c r="CO34" s="171"/>
      <c r="CP34" s="171"/>
      <c r="CQ34" s="171"/>
      <c r="CR34" s="171"/>
      <c r="CS34" s="171"/>
      <c r="CT34" s="171"/>
      <c r="CU34" s="171"/>
      <c r="CV34" s="171"/>
      <c r="CW34" s="171"/>
      <c r="CX34" s="171"/>
      <c r="CY34" s="171"/>
      <c r="CZ34" s="171"/>
      <c r="DA34" s="171"/>
      <c r="DB34" s="171"/>
      <c r="DC34" s="171"/>
      <c r="DD34" s="171"/>
      <c r="DE34" s="171"/>
      <c r="DF34" s="171"/>
      <c r="DG34" s="171"/>
      <c r="DH34" s="171"/>
      <c r="DI34" s="171"/>
      <c r="DJ34" s="171"/>
      <c r="DK34" s="171"/>
      <c r="DL34" s="171"/>
      <c r="DM34" s="171"/>
      <c r="DN34" s="171"/>
      <c r="DO34" s="171"/>
      <c r="DP34" s="171"/>
      <c r="DQ34" s="171"/>
      <c r="DR34" s="171"/>
      <c r="DS34" s="171"/>
      <c r="DT34" s="171"/>
      <c r="DU34" s="171"/>
      <c r="DV34" s="171"/>
      <c r="DW34" s="171"/>
      <c r="DX34" s="171"/>
      <c r="DY34" s="171"/>
      <c r="DZ34" s="171"/>
      <c r="EA34" s="171"/>
      <c r="EB34" s="171"/>
      <c r="EC34" s="171"/>
      <c r="ED34" s="171"/>
      <c r="EE34" s="171"/>
      <c r="EF34" s="171"/>
      <c r="EG34" s="171"/>
      <c r="EH34" s="171"/>
      <c r="EI34" s="171"/>
      <c r="EJ34" s="171"/>
    </row>
    <row r="35">
      <c r="A35" s="4"/>
      <c r="B35" s="4"/>
      <c r="C35" s="4"/>
      <c r="D35" s="122"/>
      <c r="E35" s="29"/>
      <c r="F35" s="29"/>
      <c r="G35" s="29"/>
      <c r="H35" s="29"/>
      <c r="I35" s="29"/>
      <c r="J35" s="29"/>
      <c r="K35" s="29"/>
      <c r="L35" s="29"/>
      <c r="M35" s="29"/>
      <c r="N35" s="29"/>
      <c r="O35" s="4"/>
      <c r="P35" s="4"/>
      <c r="Q35" s="4"/>
      <c r="R35" s="77"/>
      <c r="T35" s="157"/>
      <c r="U35" s="130" t="str">
        <f>TEXT($U$13+3,"dddd")</f>
        <v>jueves</v>
      </c>
      <c r="V35" s="131">
        <f t="shared" ref="V35:AV35" si="40">V34+1</f>
        <v>45505</v>
      </c>
      <c r="W35" s="132">
        <f t="shared" si="40"/>
        <v>45512</v>
      </c>
      <c r="X35" s="132">
        <f t="shared" si="40"/>
        <v>45519</v>
      </c>
      <c r="Y35" s="132">
        <f t="shared" si="40"/>
        <v>45526</v>
      </c>
      <c r="Z35" s="132">
        <f t="shared" si="40"/>
        <v>45533</v>
      </c>
      <c r="AA35" s="132">
        <f t="shared" si="40"/>
        <v>45540</v>
      </c>
      <c r="AB35" s="132">
        <f t="shared" si="40"/>
        <v>45547</v>
      </c>
      <c r="AC35" s="132">
        <f t="shared" si="40"/>
        <v>45554</v>
      </c>
      <c r="AD35" s="132">
        <f t="shared" si="40"/>
        <v>45561</v>
      </c>
      <c r="AE35" s="132">
        <f t="shared" si="40"/>
        <v>45568</v>
      </c>
      <c r="AF35" s="132">
        <f t="shared" si="40"/>
        <v>45575</v>
      </c>
      <c r="AG35" s="132">
        <f t="shared" si="40"/>
        <v>45582</v>
      </c>
      <c r="AH35" s="132">
        <f t="shared" si="40"/>
        <v>45589</v>
      </c>
      <c r="AI35" s="132">
        <f t="shared" si="40"/>
        <v>45596</v>
      </c>
      <c r="AJ35" s="132">
        <f t="shared" si="40"/>
        <v>45603</v>
      </c>
      <c r="AK35" s="132">
        <f t="shared" si="40"/>
        <v>45610</v>
      </c>
      <c r="AL35" s="132">
        <f t="shared" si="40"/>
        <v>45617</v>
      </c>
      <c r="AM35" s="132">
        <f t="shared" si="40"/>
        <v>45624</v>
      </c>
      <c r="AN35" s="132">
        <f t="shared" si="40"/>
        <v>45631</v>
      </c>
      <c r="AO35" s="132">
        <f t="shared" si="40"/>
        <v>45638</v>
      </c>
      <c r="AP35" s="132">
        <f t="shared" si="40"/>
        <v>45645</v>
      </c>
      <c r="AQ35" s="132">
        <f t="shared" si="40"/>
        <v>45652</v>
      </c>
      <c r="AR35" s="132">
        <f t="shared" si="40"/>
        <v>45659</v>
      </c>
      <c r="AS35" s="132">
        <f t="shared" si="40"/>
        <v>45666</v>
      </c>
      <c r="AT35" s="132">
        <f t="shared" si="40"/>
        <v>45673</v>
      </c>
      <c r="AU35" s="132">
        <f t="shared" si="40"/>
        <v>45680</v>
      </c>
      <c r="AV35" s="170">
        <f t="shared" si="40"/>
        <v>45687</v>
      </c>
      <c r="CA35" s="144" t="s">
        <v>197</v>
      </c>
      <c r="CB35" s="108"/>
      <c r="CC35" s="108"/>
      <c r="CD35" s="108"/>
      <c r="CE35" s="108"/>
      <c r="CF35" s="108"/>
      <c r="CG35" s="108"/>
      <c r="CH35" s="108"/>
      <c r="CI35" s="108"/>
      <c r="CJ35" s="108"/>
      <c r="CK35" s="108"/>
      <c r="CL35" s="108"/>
      <c r="CM35" s="108"/>
      <c r="CN35" s="108"/>
      <c r="CO35" s="108"/>
      <c r="CP35" s="108"/>
      <c r="CQ35" s="108"/>
      <c r="CR35" s="108"/>
      <c r="CS35" s="108"/>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row>
    <row r="36">
      <c r="A36" s="4"/>
      <c r="B36" s="4"/>
      <c r="C36" s="4"/>
      <c r="D36" s="122"/>
      <c r="E36" s="29"/>
      <c r="F36" s="29"/>
      <c r="G36" s="29"/>
      <c r="H36" s="29"/>
      <c r="I36" s="29"/>
      <c r="J36" s="29"/>
      <c r="K36" s="29"/>
      <c r="L36" s="29"/>
      <c r="M36" s="29"/>
      <c r="N36" s="29"/>
      <c r="O36" s="4"/>
      <c r="P36" s="4"/>
      <c r="Q36" s="4"/>
      <c r="R36" s="77"/>
      <c r="T36" s="157"/>
      <c r="U36" s="130" t="str">
        <f>TEXT($U$13+4,"dddd")</f>
        <v>viernes</v>
      </c>
      <c r="V36" s="131">
        <f t="shared" ref="V36:AV36" si="41">V35+1</f>
        <v>45506</v>
      </c>
      <c r="W36" s="132">
        <f t="shared" si="41"/>
        <v>45513</v>
      </c>
      <c r="X36" s="132">
        <f t="shared" si="41"/>
        <v>45520</v>
      </c>
      <c r="Y36" s="132">
        <f t="shared" si="41"/>
        <v>45527</v>
      </c>
      <c r="Z36" s="132">
        <f t="shared" si="41"/>
        <v>45534</v>
      </c>
      <c r="AA36" s="132">
        <f t="shared" si="41"/>
        <v>45541</v>
      </c>
      <c r="AB36" s="132">
        <f t="shared" si="41"/>
        <v>45548</v>
      </c>
      <c r="AC36" s="132">
        <f t="shared" si="41"/>
        <v>45555</v>
      </c>
      <c r="AD36" s="132">
        <f t="shared" si="41"/>
        <v>45562</v>
      </c>
      <c r="AE36" s="132">
        <f t="shared" si="41"/>
        <v>45569</v>
      </c>
      <c r="AF36" s="132">
        <f t="shared" si="41"/>
        <v>45576</v>
      </c>
      <c r="AG36" s="132">
        <f t="shared" si="41"/>
        <v>45583</v>
      </c>
      <c r="AH36" s="132">
        <f t="shared" si="41"/>
        <v>45590</v>
      </c>
      <c r="AI36" s="132">
        <f t="shared" si="41"/>
        <v>45597</v>
      </c>
      <c r="AJ36" s="132">
        <f t="shared" si="41"/>
        <v>45604</v>
      </c>
      <c r="AK36" s="132">
        <f t="shared" si="41"/>
        <v>45611</v>
      </c>
      <c r="AL36" s="132">
        <f t="shared" si="41"/>
        <v>45618</v>
      </c>
      <c r="AM36" s="132">
        <f t="shared" si="41"/>
        <v>45625</v>
      </c>
      <c r="AN36" s="132">
        <f t="shared" si="41"/>
        <v>45632</v>
      </c>
      <c r="AO36" s="132">
        <f t="shared" si="41"/>
        <v>45639</v>
      </c>
      <c r="AP36" s="132">
        <f t="shared" si="41"/>
        <v>45646</v>
      </c>
      <c r="AQ36" s="132">
        <f t="shared" si="41"/>
        <v>45653</v>
      </c>
      <c r="AR36" s="132">
        <f t="shared" si="41"/>
        <v>45660</v>
      </c>
      <c r="AS36" s="132">
        <f t="shared" si="41"/>
        <v>45667</v>
      </c>
      <c r="AT36" s="132">
        <f t="shared" si="41"/>
        <v>45674</v>
      </c>
      <c r="AU36" s="132">
        <f t="shared" si="41"/>
        <v>45681</v>
      </c>
      <c r="AV36" s="170">
        <f t="shared" si="41"/>
        <v>45688</v>
      </c>
      <c r="CA36" s="83"/>
      <c r="CB36" s="84" t="s">
        <v>51</v>
      </c>
      <c r="CC36" s="84" t="s">
        <v>52</v>
      </c>
      <c r="CD36" s="84" t="s">
        <v>53</v>
      </c>
      <c r="CE36" s="84" t="s">
        <v>54</v>
      </c>
      <c r="CF36" s="84" t="s">
        <v>55</v>
      </c>
      <c r="CG36" s="84" t="s">
        <v>56</v>
      </c>
      <c r="CH36" s="84" t="s">
        <v>57</v>
      </c>
      <c r="CI36" s="84" t="s">
        <v>58</v>
      </c>
      <c r="CJ36" s="84" t="s">
        <v>59</v>
      </c>
      <c r="CK36" s="84" t="s">
        <v>60</v>
      </c>
      <c r="CL36" s="84" t="s">
        <v>61</v>
      </c>
      <c r="CM36" s="84" t="s">
        <v>62</v>
      </c>
      <c r="CN36" s="84" t="s">
        <v>63</v>
      </c>
      <c r="CO36" s="84" t="s">
        <v>64</v>
      </c>
      <c r="CP36" s="84" t="s">
        <v>65</v>
      </c>
      <c r="CQ36" s="84" t="s">
        <v>66</v>
      </c>
      <c r="CR36" s="84" t="s">
        <v>67</v>
      </c>
      <c r="CS36" s="84" t="s">
        <v>68</v>
      </c>
      <c r="CT36" s="84" t="s">
        <v>69</v>
      </c>
      <c r="CU36" s="84" t="s">
        <v>70</v>
      </c>
      <c r="CV36" s="84" t="s">
        <v>71</v>
      </c>
      <c r="CW36" s="84" t="s">
        <v>72</v>
      </c>
      <c r="CX36" s="84" t="s">
        <v>73</v>
      </c>
      <c r="CY36" s="84" t="s">
        <v>74</v>
      </c>
      <c r="CZ36" s="84" t="s">
        <v>75</v>
      </c>
      <c r="DA36" s="84" t="s">
        <v>76</v>
      </c>
      <c r="DB36" s="84" t="s">
        <v>77</v>
      </c>
      <c r="DC36" s="84" t="s">
        <v>78</v>
      </c>
      <c r="DD36" s="84" t="s">
        <v>79</v>
      </c>
      <c r="DE36" s="84" t="s">
        <v>80</v>
      </c>
      <c r="DF36" s="84" t="s">
        <v>81</v>
      </c>
      <c r="DG36" s="84" t="s">
        <v>82</v>
      </c>
      <c r="DH36" s="84" t="s">
        <v>83</v>
      </c>
      <c r="DI36" s="84" t="s">
        <v>84</v>
      </c>
      <c r="DJ36" s="84" t="s">
        <v>85</v>
      </c>
      <c r="DK36" s="84" t="s">
        <v>86</v>
      </c>
      <c r="DL36" s="84" t="s">
        <v>87</v>
      </c>
      <c r="DM36" s="84" t="s">
        <v>88</v>
      </c>
      <c r="DN36" s="84" t="s">
        <v>89</v>
      </c>
      <c r="DO36" s="84" t="s">
        <v>90</v>
      </c>
      <c r="DP36" s="84" t="s">
        <v>91</v>
      </c>
      <c r="DQ36" s="84" t="s">
        <v>92</v>
      </c>
      <c r="DR36" s="84" t="s">
        <v>93</v>
      </c>
      <c r="DS36" s="84" t="s">
        <v>94</v>
      </c>
      <c r="DT36" s="84" t="s">
        <v>95</v>
      </c>
      <c r="DU36" s="84" t="s">
        <v>96</v>
      </c>
      <c r="DV36" s="84" t="s">
        <v>97</v>
      </c>
      <c r="DW36" s="84" t="s">
        <v>98</v>
      </c>
      <c r="DX36" s="84" t="s">
        <v>99</v>
      </c>
      <c r="DY36" s="84" t="s">
        <v>100</v>
      </c>
      <c r="DZ36" s="84" t="s">
        <v>101</v>
      </c>
      <c r="EA36" s="84" t="s">
        <v>102</v>
      </c>
      <c r="EB36" s="84" t="s">
        <v>103</v>
      </c>
      <c r="EC36" s="84" t="s">
        <v>104</v>
      </c>
    </row>
    <row r="37">
      <c r="A37" s="4"/>
      <c r="B37" s="4"/>
      <c r="C37" s="4"/>
      <c r="D37" s="122"/>
      <c r="E37" s="29"/>
      <c r="F37" s="29"/>
      <c r="G37" s="29"/>
      <c r="H37" s="29"/>
      <c r="I37" s="29"/>
      <c r="J37" s="29"/>
      <c r="K37" s="29"/>
      <c r="L37" s="29"/>
      <c r="M37" s="29"/>
      <c r="N37" s="29"/>
      <c r="O37" s="4"/>
      <c r="P37" s="4"/>
      <c r="Q37" s="4"/>
      <c r="R37" s="77"/>
      <c r="T37" s="157"/>
      <c r="U37" s="130" t="str">
        <f>TEXT($U$13+5,"dddd")</f>
        <v>sábado</v>
      </c>
      <c r="V37" s="131">
        <f t="shared" ref="V37:AV37" si="42">V36+1</f>
        <v>45507</v>
      </c>
      <c r="W37" s="132">
        <f t="shared" si="42"/>
        <v>45514</v>
      </c>
      <c r="X37" s="132">
        <f t="shared" si="42"/>
        <v>45521</v>
      </c>
      <c r="Y37" s="132">
        <f t="shared" si="42"/>
        <v>45528</v>
      </c>
      <c r="Z37" s="132">
        <f t="shared" si="42"/>
        <v>45535</v>
      </c>
      <c r="AA37" s="132">
        <f t="shared" si="42"/>
        <v>45542</v>
      </c>
      <c r="AB37" s="132">
        <f t="shared" si="42"/>
        <v>45549</v>
      </c>
      <c r="AC37" s="132">
        <f t="shared" si="42"/>
        <v>45556</v>
      </c>
      <c r="AD37" s="132">
        <f t="shared" si="42"/>
        <v>45563</v>
      </c>
      <c r="AE37" s="132">
        <f t="shared" si="42"/>
        <v>45570</v>
      </c>
      <c r="AF37" s="132">
        <f t="shared" si="42"/>
        <v>45577</v>
      </c>
      <c r="AG37" s="132">
        <f t="shared" si="42"/>
        <v>45584</v>
      </c>
      <c r="AH37" s="132">
        <f t="shared" si="42"/>
        <v>45591</v>
      </c>
      <c r="AI37" s="132">
        <f t="shared" si="42"/>
        <v>45598</v>
      </c>
      <c r="AJ37" s="132">
        <f t="shared" si="42"/>
        <v>45605</v>
      </c>
      <c r="AK37" s="132">
        <f t="shared" si="42"/>
        <v>45612</v>
      </c>
      <c r="AL37" s="132">
        <f t="shared" si="42"/>
        <v>45619</v>
      </c>
      <c r="AM37" s="132">
        <f t="shared" si="42"/>
        <v>45626</v>
      </c>
      <c r="AN37" s="132">
        <f t="shared" si="42"/>
        <v>45633</v>
      </c>
      <c r="AO37" s="132">
        <f t="shared" si="42"/>
        <v>45640</v>
      </c>
      <c r="AP37" s="132">
        <f t="shared" si="42"/>
        <v>45647</v>
      </c>
      <c r="AQ37" s="132">
        <f t="shared" si="42"/>
        <v>45654</v>
      </c>
      <c r="AR37" s="132">
        <f t="shared" si="42"/>
        <v>45661</v>
      </c>
      <c r="AS37" s="132">
        <f t="shared" si="42"/>
        <v>45668</v>
      </c>
      <c r="AT37" s="132">
        <f t="shared" si="42"/>
        <v>45675</v>
      </c>
      <c r="AU37" s="132">
        <f t="shared" si="42"/>
        <v>45682</v>
      </c>
      <c r="AV37" s="170">
        <f t="shared" si="42"/>
        <v>45689</v>
      </c>
      <c r="CA37" s="120" t="s">
        <v>21</v>
      </c>
      <c r="CB37" s="172" t="str">
        <f t="shared" ref="CB37:DB37" si="43">IFERROR(INDIRECT("'Bloque "&amp;V24&amp;" Semana "&amp;V23&amp;"'"&amp;"!"&amp;"CC15"),"")</f>
        <v/>
      </c>
      <c r="CC37" s="172" t="str">
        <f t="shared" si="43"/>
        <v/>
      </c>
      <c r="CD37" s="172" t="str">
        <f t="shared" si="43"/>
        <v/>
      </c>
      <c r="CE37" s="172" t="str">
        <f t="shared" si="43"/>
        <v/>
      </c>
      <c r="CF37" s="172" t="str">
        <f t="shared" si="43"/>
        <v/>
      </c>
      <c r="CG37" s="172" t="str">
        <f t="shared" si="43"/>
        <v/>
      </c>
      <c r="CH37" s="172" t="str">
        <f t="shared" si="43"/>
        <v/>
      </c>
      <c r="CI37" s="172" t="str">
        <f t="shared" si="43"/>
        <v/>
      </c>
      <c r="CJ37" s="172" t="str">
        <f t="shared" si="43"/>
        <v/>
      </c>
      <c r="CK37" s="172" t="str">
        <f t="shared" si="43"/>
        <v/>
      </c>
      <c r="CL37" s="172" t="str">
        <f t="shared" si="43"/>
        <v/>
      </c>
      <c r="CM37" s="172" t="str">
        <f t="shared" si="43"/>
        <v/>
      </c>
      <c r="CN37" s="172" t="str">
        <f t="shared" si="43"/>
        <v/>
      </c>
      <c r="CO37" s="172" t="str">
        <f t="shared" si="43"/>
        <v/>
      </c>
      <c r="CP37" s="172" t="str">
        <f t="shared" si="43"/>
        <v/>
      </c>
      <c r="CQ37" s="172" t="str">
        <f t="shared" si="43"/>
        <v/>
      </c>
      <c r="CR37" s="172" t="str">
        <f t="shared" si="43"/>
        <v/>
      </c>
      <c r="CS37" s="172" t="str">
        <f t="shared" si="43"/>
        <v/>
      </c>
      <c r="CT37" s="172" t="str">
        <f t="shared" si="43"/>
        <v/>
      </c>
      <c r="CU37" s="172" t="str">
        <f t="shared" si="43"/>
        <v/>
      </c>
      <c r="CV37" s="172" t="str">
        <f t="shared" si="43"/>
        <v/>
      </c>
      <c r="CW37" s="172" t="str">
        <f t="shared" si="43"/>
        <v/>
      </c>
      <c r="CX37" s="172" t="str">
        <f t="shared" si="43"/>
        <v/>
      </c>
      <c r="CY37" s="172" t="str">
        <f t="shared" si="43"/>
        <v/>
      </c>
      <c r="CZ37" s="172" t="str">
        <f t="shared" si="43"/>
        <v/>
      </c>
      <c r="DA37" s="172" t="str">
        <f t="shared" si="43"/>
        <v/>
      </c>
      <c r="DB37" s="172" t="str">
        <f t="shared" si="43"/>
        <v/>
      </c>
      <c r="DC37" s="93" t="str">
        <f t="shared" ref="DC37:EC37" si="44">IFERROR(INDIRECT("'Bloque "&amp;V41&amp;" Semana "&amp;V40&amp;"'"&amp;"!"&amp;"CC15"),"")</f>
        <v/>
      </c>
      <c r="DD37" s="93" t="str">
        <f t="shared" si="44"/>
        <v/>
      </c>
      <c r="DE37" s="93" t="str">
        <f t="shared" si="44"/>
        <v/>
      </c>
      <c r="DF37" s="93" t="str">
        <f t="shared" si="44"/>
        <v/>
      </c>
      <c r="DG37" s="93" t="str">
        <f t="shared" si="44"/>
        <v/>
      </c>
      <c r="DH37" s="93" t="str">
        <f t="shared" si="44"/>
        <v/>
      </c>
      <c r="DI37" s="93" t="str">
        <f t="shared" si="44"/>
        <v/>
      </c>
      <c r="DJ37" s="93" t="str">
        <f t="shared" si="44"/>
        <v/>
      </c>
      <c r="DK37" s="93" t="str">
        <f t="shared" si="44"/>
        <v/>
      </c>
      <c r="DL37" s="93" t="str">
        <f t="shared" si="44"/>
        <v/>
      </c>
      <c r="DM37" s="93" t="str">
        <f t="shared" si="44"/>
        <v/>
      </c>
      <c r="DN37" s="93" t="str">
        <f t="shared" si="44"/>
        <v/>
      </c>
      <c r="DO37" s="93" t="str">
        <f t="shared" si="44"/>
        <v/>
      </c>
      <c r="DP37" s="93" t="str">
        <f t="shared" si="44"/>
        <v/>
      </c>
      <c r="DQ37" s="93" t="str">
        <f t="shared" si="44"/>
        <v/>
      </c>
      <c r="DR37" s="93" t="str">
        <f t="shared" si="44"/>
        <v/>
      </c>
      <c r="DS37" s="93" t="str">
        <f t="shared" si="44"/>
        <v/>
      </c>
      <c r="DT37" s="93" t="str">
        <f t="shared" si="44"/>
        <v/>
      </c>
      <c r="DU37" s="93" t="str">
        <f t="shared" si="44"/>
        <v/>
      </c>
      <c r="DV37" s="93" t="str">
        <f t="shared" si="44"/>
        <v/>
      </c>
      <c r="DW37" s="93" t="str">
        <f t="shared" si="44"/>
        <v/>
      </c>
      <c r="DX37" s="93" t="str">
        <f t="shared" si="44"/>
        <v/>
      </c>
      <c r="DY37" s="93" t="str">
        <f t="shared" si="44"/>
        <v/>
      </c>
      <c r="DZ37" s="93" t="str">
        <f t="shared" si="44"/>
        <v/>
      </c>
      <c r="EA37" s="93" t="str">
        <f t="shared" si="44"/>
        <v/>
      </c>
      <c r="EB37" s="93" t="str">
        <f t="shared" si="44"/>
        <v/>
      </c>
      <c r="EC37" s="93" t="str">
        <f t="shared" si="44"/>
        <v/>
      </c>
    </row>
    <row r="38">
      <c r="A38" s="4"/>
      <c r="B38" s="4"/>
      <c r="C38" s="4"/>
      <c r="D38" s="122"/>
      <c r="E38" s="29"/>
      <c r="F38" s="29"/>
      <c r="G38" s="29"/>
      <c r="H38" s="29"/>
      <c r="I38" s="29"/>
      <c r="J38" s="29"/>
      <c r="K38" s="29"/>
      <c r="L38" s="29"/>
      <c r="M38" s="29"/>
      <c r="N38" s="29"/>
      <c r="O38" s="4"/>
      <c r="P38" s="4"/>
      <c r="Q38" s="4"/>
      <c r="R38" s="77"/>
      <c r="T38" s="157"/>
      <c r="U38" s="141" t="str">
        <f>TEXT($U$13+6,"dddd")</f>
        <v>domingo</v>
      </c>
      <c r="V38" s="142">
        <f t="shared" ref="V38:AV38" si="45">V37+1</f>
        <v>45508</v>
      </c>
      <c r="W38" s="143">
        <f t="shared" si="45"/>
        <v>45515</v>
      </c>
      <c r="X38" s="143">
        <f t="shared" si="45"/>
        <v>45522</v>
      </c>
      <c r="Y38" s="143">
        <f t="shared" si="45"/>
        <v>45529</v>
      </c>
      <c r="Z38" s="143">
        <f t="shared" si="45"/>
        <v>45536</v>
      </c>
      <c r="AA38" s="143">
        <f t="shared" si="45"/>
        <v>45543</v>
      </c>
      <c r="AB38" s="143">
        <f t="shared" si="45"/>
        <v>45550</v>
      </c>
      <c r="AC38" s="143">
        <f t="shared" si="45"/>
        <v>45557</v>
      </c>
      <c r="AD38" s="143">
        <f t="shared" si="45"/>
        <v>45564</v>
      </c>
      <c r="AE38" s="143">
        <f t="shared" si="45"/>
        <v>45571</v>
      </c>
      <c r="AF38" s="143">
        <f t="shared" si="45"/>
        <v>45578</v>
      </c>
      <c r="AG38" s="143">
        <f t="shared" si="45"/>
        <v>45585</v>
      </c>
      <c r="AH38" s="143">
        <f t="shared" si="45"/>
        <v>45592</v>
      </c>
      <c r="AI38" s="143">
        <f t="shared" si="45"/>
        <v>45599</v>
      </c>
      <c r="AJ38" s="143">
        <f t="shared" si="45"/>
        <v>45606</v>
      </c>
      <c r="AK38" s="143">
        <f t="shared" si="45"/>
        <v>45613</v>
      </c>
      <c r="AL38" s="143">
        <f t="shared" si="45"/>
        <v>45620</v>
      </c>
      <c r="AM38" s="143">
        <f t="shared" si="45"/>
        <v>45627</v>
      </c>
      <c r="AN38" s="143">
        <f t="shared" si="45"/>
        <v>45634</v>
      </c>
      <c r="AO38" s="143">
        <f t="shared" si="45"/>
        <v>45641</v>
      </c>
      <c r="AP38" s="143">
        <f t="shared" si="45"/>
        <v>45648</v>
      </c>
      <c r="AQ38" s="143">
        <f t="shared" si="45"/>
        <v>45655</v>
      </c>
      <c r="AR38" s="143">
        <f t="shared" si="45"/>
        <v>45662</v>
      </c>
      <c r="AS38" s="143">
        <f t="shared" si="45"/>
        <v>45669</v>
      </c>
      <c r="AT38" s="143">
        <f t="shared" si="45"/>
        <v>45676</v>
      </c>
      <c r="AU38" s="143">
        <f t="shared" si="45"/>
        <v>45683</v>
      </c>
      <c r="AV38" s="173">
        <f t="shared" si="45"/>
        <v>45690</v>
      </c>
      <c r="CA38" s="120" t="s">
        <v>36</v>
      </c>
      <c r="CB38" s="88" t="str">
        <f t="shared" ref="CB38:DB38" si="46">IFERROR(INDIRECT("'Bloque "&amp;V24&amp;" Semana "&amp;V23&amp;"'"&amp;"!"&amp;"CC16"),"")</f>
        <v/>
      </c>
      <c r="CC38" s="88" t="str">
        <f t="shared" si="46"/>
        <v/>
      </c>
      <c r="CD38" s="88" t="str">
        <f t="shared" si="46"/>
        <v/>
      </c>
      <c r="CE38" s="88" t="str">
        <f t="shared" si="46"/>
        <v/>
      </c>
      <c r="CF38" s="88" t="str">
        <f t="shared" si="46"/>
        <v/>
      </c>
      <c r="CG38" s="88" t="str">
        <f t="shared" si="46"/>
        <v/>
      </c>
      <c r="CH38" s="88" t="str">
        <f t="shared" si="46"/>
        <v/>
      </c>
      <c r="CI38" s="88" t="str">
        <f t="shared" si="46"/>
        <v/>
      </c>
      <c r="CJ38" s="88" t="str">
        <f t="shared" si="46"/>
        <v/>
      </c>
      <c r="CK38" s="88" t="str">
        <f t="shared" si="46"/>
        <v/>
      </c>
      <c r="CL38" s="88" t="str">
        <f t="shared" si="46"/>
        <v/>
      </c>
      <c r="CM38" s="88" t="str">
        <f t="shared" si="46"/>
        <v/>
      </c>
      <c r="CN38" s="88" t="str">
        <f t="shared" si="46"/>
        <v/>
      </c>
      <c r="CO38" s="88" t="str">
        <f t="shared" si="46"/>
        <v/>
      </c>
      <c r="CP38" s="88" t="str">
        <f t="shared" si="46"/>
        <v/>
      </c>
      <c r="CQ38" s="88" t="str">
        <f t="shared" si="46"/>
        <v/>
      </c>
      <c r="CR38" s="88" t="str">
        <f t="shared" si="46"/>
        <v/>
      </c>
      <c r="CS38" s="88" t="str">
        <f t="shared" si="46"/>
        <v/>
      </c>
      <c r="CT38" s="88" t="str">
        <f t="shared" si="46"/>
        <v/>
      </c>
      <c r="CU38" s="88" t="str">
        <f t="shared" si="46"/>
        <v/>
      </c>
      <c r="CV38" s="88" t="str">
        <f t="shared" si="46"/>
        <v/>
      </c>
      <c r="CW38" s="88" t="str">
        <f t="shared" si="46"/>
        <v/>
      </c>
      <c r="CX38" s="88" t="str">
        <f t="shared" si="46"/>
        <v/>
      </c>
      <c r="CY38" s="88" t="str">
        <f t="shared" si="46"/>
        <v/>
      </c>
      <c r="CZ38" s="88" t="str">
        <f t="shared" si="46"/>
        <v/>
      </c>
      <c r="DA38" s="88" t="str">
        <f t="shared" si="46"/>
        <v/>
      </c>
      <c r="DB38" s="88" t="str">
        <f t="shared" si="46"/>
        <v/>
      </c>
      <c r="DC38" s="88" t="str">
        <f t="shared" ref="DC38:EC38" si="47">IFERROR(INDIRECT("'Bloque "&amp;V41&amp;" Semana "&amp;V40&amp;"'"&amp;"!"&amp;"CC16"),"")</f>
        <v/>
      </c>
      <c r="DD38" s="88" t="str">
        <f t="shared" si="47"/>
        <v/>
      </c>
      <c r="DE38" s="88" t="str">
        <f t="shared" si="47"/>
        <v/>
      </c>
      <c r="DF38" s="88" t="str">
        <f t="shared" si="47"/>
        <v/>
      </c>
      <c r="DG38" s="88" t="str">
        <f t="shared" si="47"/>
        <v/>
      </c>
      <c r="DH38" s="88" t="str">
        <f t="shared" si="47"/>
        <v/>
      </c>
      <c r="DI38" s="88" t="str">
        <f t="shared" si="47"/>
        <v/>
      </c>
      <c r="DJ38" s="88" t="str">
        <f t="shared" si="47"/>
        <v/>
      </c>
      <c r="DK38" s="88" t="str">
        <f t="shared" si="47"/>
        <v/>
      </c>
      <c r="DL38" s="88" t="str">
        <f t="shared" si="47"/>
        <v/>
      </c>
      <c r="DM38" s="88" t="str">
        <f t="shared" si="47"/>
        <v/>
      </c>
      <c r="DN38" s="88" t="str">
        <f t="shared" si="47"/>
        <v/>
      </c>
      <c r="DO38" s="88" t="str">
        <f t="shared" si="47"/>
        <v/>
      </c>
      <c r="DP38" s="88" t="str">
        <f t="shared" si="47"/>
        <v/>
      </c>
      <c r="DQ38" s="88" t="str">
        <f t="shared" si="47"/>
        <v/>
      </c>
      <c r="DR38" s="88" t="str">
        <f t="shared" si="47"/>
        <v/>
      </c>
      <c r="DS38" s="88" t="str">
        <f t="shared" si="47"/>
        <v/>
      </c>
      <c r="DT38" s="88" t="str">
        <f t="shared" si="47"/>
        <v/>
      </c>
      <c r="DU38" s="88" t="str">
        <f t="shared" si="47"/>
        <v/>
      </c>
      <c r="DV38" s="88" t="str">
        <f t="shared" si="47"/>
        <v/>
      </c>
      <c r="DW38" s="88" t="str">
        <f t="shared" si="47"/>
        <v/>
      </c>
      <c r="DX38" s="88" t="str">
        <f t="shared" si="47"/>
        <v/>
      </c>
      <c r="DY38" s="88" t="str">
        <f t="shared" si="47"/>
        <v/>
      </c>
      <c r="DZ38" s="88" t="str">
        <f t="shared" si="47"/>
        <v/>
      </c>
      <c r="EA38" s="88" t="str">
        <f t="shared" si="47"/>
        <v/>
      </c>
      <c r="EB38" s="88" t="str">
        <f t="shared" si="47"/>
        <v/>
      </c>
      <c r="EC38" s="88" t="str">
        <f t="shared" si="47"/>
        <v/>
      </c>
    </row>
    <row r="39" ht="44.25" customHeight="1">
      <c r="A39" s="4"/>
      <c r="B39" s="4"/>
      <c r="C39" s="4"/>
      <c r="D39" s="122"/>
      <c r="E39" s="29"/>
      <c r="F39" s="29"/>
      <c r="G39" s="29"/>
      <c r="H39" s="29"/>
      <c r="I39" s="29"/>
      <c r="J39" s="29"/>
      <c r="K39" s="29"/>
      <c r="L39" s="29"/>
      <c r="M39" s="29"/>
      <c r="N39" s="29"/>
      <c r="O39" s="4"/>
      <c r="P39" s="4"/>
      <c r="Q39" s="4"/>
      <c r="R39" s="77"/>
      <c r="T39" s="157"/>
      <c r="U39" s="146" t="s">
        <v>158</v>
      </c>
      <c r="V39" s="174"/>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CA39" s="83" t="s">
        <v>42</v>
      </c>
      <c r="CB39" s="84" t="str">
        <f t="shared" ref="CB39:DB39" si="48">IFERROR(INDIRECT("'Bloque "&amp;V24&amp;" Semana "&amp;V23&amp;"'"&amp;"!"&amp;"CC17"),"")</f>
        <v/>
      </c>
      <c r="CC39" s="84" t="str">
        <f t="shared" si="48"/>
        <v/>
      </c>
      <c r="CD39" s="84" t="str">
        <f t="shared" si="48"/>
        <v/>
      </c>
      <c r="CE39" s="84" t="str">
        <f t="shared" si="48"/>
        <v/>
      </c>
      <c r="CF39" s="84" t="str">
        <f t="shared" si="48"/>
        <v/>
      </c>
      <c r="CG39" s="84" t="str">
        <f t="shared" si="48"/>
        <v/>
      </c>
      <c r="CH39" s="84" t="str">
        <f t="shared" si="48"/>
        <v/>
      </c>
      <c r="CI39" s="84" t="str">
        <f t="shared" si="48"/>
        <v/>
      </c>
      <c r="CJ39" s="84" t="str">
        <f t="shared" si="48"/>
        <v/>
      </c>
      <c r="CK39" s="84" t="str">
        <f t="shared" si="48"/>
        <v/>
      </c>
      <c r="CL39" s="84" t="str">
        <f t="shared" si="48"/>
        <v/>
      </c>
      <c r="CM39" s="84" t="str">
        <f t="shared" si="48"/>
        <v/>
      </c>
      <c r="CN39" s="84" t="str">
        <f t="shared" si="48"/>
        <v/>
      </c>
      <c r="CO39" s="84" t="str">
        <f t="shared" si="48"/>
        <v/>
      </c>
      <c r="CP39" s="84" t="str">
        <f t="shared" si="48"/>
        <v/>
      </c>
      <c r="CQ39" s="84" t="str">
        <f t="shared" si="48"/>
        <v/>
      </c>
      <c r="CR39" s="84" t="str">
        <f t="shared" si="48"/>
        <v/>
      </c>
      <c r="CS39" s="84" t="str">
        <f t="shared" si="48"/>
        <v/>
      </c>
      <c r="CT39" s="84" t="str">
        <f t="shared" si="48"/>
        <v/>
      </c>
      <c r="CU39" s="84" t="str">
        <f t="shared" si="48"/>
        <v/>
      </c>
      <c r="CV39" s="84" t="str">
        <f t="shared" si="48"/>
        <v/>
      </c>
      <c r="CW39" s="84" t="str">
        <f t="shared" si="48"/>
        <v/>
      </c>
      <c r="CX39" s="84" t="str">
        <f t="shared" si="48"/>
        <v/>
      </c>
      <c r="CY39" s="84" t="str">
        <f t="shared" si="48"/>
        <v/>
      </c>
      <c r="CZ39" s="84" t="str">
        <f t="shared" si="48"/>
        <v/>
      </c>
      <c r="DA39" s="84" t="str">
        <f t="shared" si="48"/>
        <v/>
      </c>
      <c r="DB39" s="84" t="str">
        <f t="shared" si="48"/>
        <v/>
      </c>
      <c r="DC39" s="84" t="str">
        <f t="shared" ref="DC39:EC39" si="49">IFERROR(INDIRECT("'Bloque "&amp;V41&amp;" Semana "&amp;V40&amp;"'"&amp;"!"&amp;"CC17"),"")</f>
        <v/>
      </c>
      <c r="DD39" s="84" t="str">
        <f t="shared" si="49"/>
        <v/>
      </c>
      <c r="DE39" s="84" t="str">
        <f t="shared" si="49"/>
        <v/>
      </c>
      <c r="DF39" s="84" t="str">
        <f t="shared" si="49"/>
        <v/>
      </c>
      <c r="DG39" s="84" t="str">
        <f t="shared" si="49"/>
        <v/>
      </c>
      <c r="DH39" s="84" t="str">
        <f t="shared" si="49"/>
        <v/>
      </c>
      <c r="DI39" s="84" t="str">
        <f t="shared" si="49"/>
        <v/>
      </c>
      <c r="DJ39" s="84" t="str">
        <f t="shared" si="49"/>
        <v/>
      </c>
      <c r="DK39" s="84" t="str">
        <f t="shared" si="49"/>
        <v/>
      </c>
      <c r="DL39" s="84" t="str">
        <f t="shared" si="49"/>
        <v/>
      </c>
      <c r="DM39" s="84" t="str">
        <f t="shared" si="49"/>
        <v/>
      </c>
      <c r="DN39" s="84" t="str">
        <f t="shared" si="49"/>
        <v/>
      </c>
      <c r="DO39" s="84" t="str">
        <f t="shared" si="49"/>
        <v/>
      </c>
      <c r="DP39" s="84" t="str">
        <f t="shared" si="49"/>
        <v/>
      </c>
      <c r="DQ39" s="84" t="str">
        <f t="shared" si="49"/>
        <v/>
      </c>
      <c r="DR39" s="84" t="str">
        <f t="shared" si="49"/>
        <v/>
      </c>
      <c r="DS39" s="84" t="str">
        <f t="shared" si="49"/>
        <v/>
      </c>
      <c r="DT39" s="84" t="str">
        <f t="shared" si="49"/>
        <v/>
      </c>
      <c r="DU39" s="84" t="str">
        <f t="shared" si="49"/>
        <v/>
      </c>
      <c r="DV39" s="84" t="str">
        <f t="shared" si="49"/>
        <v/>
      </c>
      <c r="DW39" s="84" t="str">
        <f t="shared" si="49"/>
        <v/>
      </c>
      <c r="DX39" s="84" t="str">
        <f t="shared" si="49"/>
        <v/>
      </c>
      <c r="DY39" s="84" t="str">
        <f t="shared" si="49"/>
        <v/>
      </c>
      <c r="DZ39" s="84" t="str">
        <f t="shared" si="49"/>
        <v/>
      </c>
      <c r="EA39" s="84" t="str">
        <f t="shared" si="49"/>
        <v/>
      </c>
      <c r="EB39" s="84" t="str">
        <f t="shared" si="49"/>
        <v/>
      </c>
      <c r="EC39" s="84" t="str">
        <f t="shared" si="49"/>
        <v/>
      </c>
    </row>
    <row r="40">
      <c r="A40" s="4"/>
      <c r="B40" s="4"/>
      <c r="C40" s="4"/>
      <c r="D40" s="122"/>
      <c r="E40" s="29"/>
      <c r="F40" s="29"/>
      <c r="G40" s="29"/>
      <c r="H40" s="29"/>
      <c r="I40" s="29"/>
      <c r="J40" s="29"/>
      <c r="K40" s="29"/>
      <c r="L40" s="29"/>
      <c r="M40" s="29"/>
      <c r="N40" s="29"/>
      <c r="O40" s="4"/>
      <c r="P40" s="4"/>
      <c r="Q40" s="4"/>
      <c r="R40" s="77"/>
      <c r="T40" s="157"/>
      <c r="U40" s="152" t="s">
        <v>160</v>
      </c>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7"/>
      <c r="CA40" s="171"/>
      <c r="CB40" s="171"/>
      <c r="CC40" s="171"/>
      <c r="CD40" s="171"/>
      <c r="CE40" s="171"/>
      <c r="CF40" s="171"/>
      <c r="CG40" s="171"/>
      <c r="CH40" s="171"/>
      <c r="CI40" s="171"/>
      <c r="CJ40" s="171"/>
      <c r="CK40" s="171"/>
      <c r="CL40" s="171"/>
      <c r="CM40" s="171"/>
      <c r="CN40" s="171"/>
      <c r="CO40" s="171"/>
      <c r="CP40" s="171"/>
      <c r="CQ40" s="171"/>
      <c r="CR40" s="171"/>
      <c r="CS40" s="171"/>
      <c r="CT40" s="171"/>
      <c r="CU40" s="171"/>
      <c r="CV40" s="171"/>
      <c r="CW40" s="171"/>
      <c r="CX40" s="171"/>
      <c r="CY40" s="171"/>
      <c r="CZ40" s="171"/>
      <c r="DA40" s="171"/>
      <c r="DB40" s="171"/>
      <c r="DC40" s="171"/>
      <c r="DD40" s="171"/>
      <c r="DE40" s="171"/>
      <c r="DF40" s="171"/>
      <c r="DG40" s="171"/>
      <c r="DH40" s="171"/>
      <c r="DI40" s="171"/>
      <c r="DJ40" s="171"/>
      <c r="DK40" s="171"/>
      <c r="DL40" s="171"/>
      <c r="DM40" s="171"/>
      <c r="DN40" s="171"/>
      <c r="DO40" s="171"/>
      <c r="DP40" s="171"/>
      <c r="DQ40" s="171"/>
      <c r="DR40" s="171"/>
      <c r="DS40" s="171"/>
      <c r="DT40" s="171"/>
      <c r="DU40" s="171"/>
      <c r="DV40" s="171"/>
      <c r="DW40" s="171"/>
      <c r="DX40" s="171"/>
      <c r="DY40" s="171"/>
      <c r="DZ40" s="171"/>
      <c r="EA40" s="171"/>
      <c r="EB40" s="171"/>
      <c r="EC40" s="171"/>
    </row>
    <row r="41">
      <c r="A41" s="4"/>
      <c r="B41" s="4"/>
      <c r="C41" s="4"/>
      <c r="D41" s="122"/>
      <c r="E41" s="29"/>
      <c r="F41" s="29"/>
      <c r="G41" s="29"/>
      <c r="H41" s="29"/>
      <c r="I41" s="29"/>
      <c r="J41" s="29"/>
      <c r="K41" s="29"/>
      <c r="L41" s="29"/>
      <c r="M41" s="29"/>
      <c r="N41" s="29"/>
      <c r="O41" s="4"/>
      <c r="P41" s="4"/>
      <c r="Q41" s="4"/>
      <c r="R41" s="77"/>
      <c r="T41" s="157"/>
      <c r="U41" s="152" t="s">
        <v>162</v>
      </c>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7"/>
      <c r="CA41" s="144" t="s">
        <v>198</v>
      </c>
      <c r="CB41" s="108"/>
      <c r="CC41" s="108"/>
      <c r="CD41" s="108"/>
      <c r="CE41" s="108"/>
      <c r="CF41" s="108"/>
      <c r="CG41" s="108"/>
      <c r="CH41" s="108"/>
      <c r="CI41" s="108"/>
      <c r="CJ41" s="108"/>
      <c r="CK41" s="108"/>
      <c r="CL41" s="108"/>
      <c r="CM41" s="108"/>
      <c r="CN41" s="108"/>
      <c r="CO41" s="108"/>
      <c r="CP41" s="108"/>
      <c r="CQ41" s="108"/>
      <c r="CR41" s="108"/>
      <c r="CS41" s="108"/>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row>
    <row r="42">
      <c r="A42" s="4"/>
      <c r="B42" s="4"/>
      <c r="C42" s="4"/>
      <c r="D42" s="122"/>
      <c r="E42" s="29"/>
      <c r="F42" s="29"/>
      <c r="G42" s="29"/>
      <c r="H42" s="29"/>
      <c r="I42" s="29"/>
      <c r="J42" s="29"/>
      <c r="K42" s="29"/>
      <c r="L42" s="29"/>
      <c r="M42" s="29"/>
      <c r="N42" s="29"/>
      <c r="O42" s="4"/>
      <c r="P42" s="4"/>
      <c r="Q42" s="4"/>
      <c r="R42" s="77"/>
      <c r="T42" s="157"/>
      <c r="U42" s="152" t="s">
        <v>163</v>
      </c>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9"/>
      <c r="CA42" s="83" t="s">
        <v>21</v>
      </c>
      <c r="CB42" s="84" t="s">
        <v>51</v>
      </c>
      <c r="CC42" s="84" t="s">
        <v>52</v>
      </c>
      <c r="CD42" s="84" t="s">
        <v>53</v>
      </c>
      <c r="CE42" s="84" t="s">
        <v>54</v>
      </c>
      <c r="CF42" s="84" t="s">
        <v>55</v>
      </c>
      <c r="CG42" s="84" t="s">
        <v>56</v>
      </c>
      <c r="CH42" s="84" t="s">
        <v>57</v>
      </c>
      <c r="CI42" s="84" t="s">
        <v>58</v>
      </c>
      <c r="CJ42" s="84" t="s">
        <v>59</v>
      </c>
      <c r="CK42" s="84" t="s">
        <v>60</v>
      </c>
      <c r="CL42" s="84" t="s">
        <v>61</v>
      </c>
      <c r="CM42" s="84" t="s">
        <v>62</v>
      </c>
      <c r="CN42" s="84" t="s">
        <v>63</v>
      </c>
      <c r="CO42" s="84" t="s">
        <v>64</v>
      </c>
      <c r="CP42" s="84" t="s">
        <v>65</v>
      </c>
      <c r="CQ42" s="84" t="s">
        <v>66</v>
      </c>
      <c r="CR42" s="84" t="s">
        <v>67</v>
      </c>
      <c r="CS42" s="84" t="s">
        <v>68</v>
      </c>
      <c r="CT42" s="84" t="s">
        <v>69</v>
      </c>
      <c r="CU42" s="84" t="s">
        <v>70</v>
      </c>
      <c r="CV42" s="84" t="s">
        <v>71</v>
      </c>
      <c r="CW42" s="84" t="s">
        <v>72</v>
      </c>
      <c r="CX42" s="84" t="s">
        <v>73</v>
      </c>
      <c r="CY42" s="84" t="s">
        <v>74</v>
      </c>
      <c r="CZ42" s="84" t="s">
        <v>75</v>
      </c>
      <c r="DA42" s="84" t="s">
        <v>76</v>
      </c>
      <c r="DB42" s="84" t="s">
        <v>77</v>
      </c>
      <c r="DC42" s="84" t="s">
        <v>78</v>
      </c>
      <c r="DD42" s="84" t="s">
        <v>79</v>
      </c>
      <c r="DE42" s="84" t="s">
        <v>80</v>
      </c>
      <c r="DF42" s="84" t="s">
        <v>81</v>
      </c>
      <c r="DG42" s="84" t="s">
        <v>82</v>
      </c>
      <c r="DH42" s="84" t="s">
        <v>83</v>
      </c>
      <c r="DI42" s="84" t="s">
        <v>84</v>
      </c>
      <c r="DJ42" s="84" t="s">
        <v>85</v>
      </c>
      <c r="DK42" s="84" t="s">
        <v>86</v>
      </c>
      <c r="DL42" s="84" t="s">
        <v>87</v>
      </c>
      <c r="DM42" s="84" t="s">
        <v>88</v>
      </c>
      <c r="DN42" s="84" t="s">
        <v>89</v>
      </c>
      <c r="DO42" s="84" t="s">
        <v>90</v>
      </c>
      <c r="DP42" s="84" t="s">
        <v>91</v>
      </c>
      <c r="DQ42" s="84" t="s">
        <v>92</v>
      </c>
      <c r="DR42" s="84" t="s">
        <v>93</v>
      </c>
      <c r="DS42" s="84" t="s">
        <v>94</v>
      </c>
      <c r="DT42" s="84" t="s">
        <v>95</v>
      </c>
      <c r="DU42" s="84" t="s">
        <v>96</v>
      </c>
      <c r="DV42" s="84" t="s">
        <v>97</v>
      </c>
      <c r="DW42" s="84" t="s">
        <v>98</v>
      </c>
      <c r="DX42" s="84" t="s">
        <v>99</v>
      </c>
      <c r="DY42" s="84" t="s">
        <v>100</v>
      </c>
      <c r="DZ42" s="84" t="s">
        <v>101</v>
      </c>
      <c r="EA42" s="84" t="s">
        <v>102</v>
      </c>
      <c r="EB42" s="84" t="s">
        <v>103</v>
      </c>
      <c r="EC42" s="84" t="s">
        <v>104</v>
      </c>
    </row>
    <row r="43">
      <c r="A43" s="4"/>
      <c r="B43" s="4"/>
      <c r="C43" s="4"/>
      <c r="D43" s="122"/>
      <c r="E43" s="29"/>
      <c r="F43" s="29"/>
      <c r="G43" s="29"/>
      <c r="H43" s="29"/>
      <c r="I43" s="29"/>
      <c r="J43" s="29"/>
      <c r="K43" s="29"/>
      <c r="L43" s="29"/>
      <c r="M43" s="29"/>
      <c r="N43" s="29"/>
      <c r="O43" s="4"/>
      <c r="P43" s="4"/>
      <c r="Q43" s="4"/>
      <c r="R43" s="77"/>
      <c r="T43" s="157"/>
      <c r="U43" s="161" t="s">
        <v>164</v>
      </c>
      <c r="V43" s="180"/>
      <c r="W43" s="18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1"/>
      <c r="CA43" s="120" t="s">
        <v>199</v>
      </c>
      <c r="CB43" s="93" t="str">
        <f t="shared" ref="CB43:DB43" si="50">IFERROR(INDIRECT("'Bloque "&amp;V24&amp;" Semana "&amp;V23&amp;"'"&amp;"!"&amp;"CC15"),"")</f>
        <v/>
      </c>
      <c r="CC43" s="93" t="str">
        <f t="shared" si="50"/>
        <v/>
      </c>
      <c r="CD43" s="93" t="str">
        <f t="shared" si="50"/>
        <v/>
      </c>
      <c r="CE43" s="93" t="str">
        <f t="shared" si="50"/>
        <v/>
      </c>
      <c r="CF43" s="93" t="str">
        <f t="shared" si="50"/>
        <v/>
      </c>
      <c r="CG43" s="93" t="str">
        <f t="shared" si="50"/>
        <v/>
      </c>
      <c r="CH43" s="93" t="str">
        <f t="shared" si="50"/>
        <v/>
      </c>
      <c r="CI43" s="93" t="str">
        <f t="shared" si="50"/>
        <v/>
      </c>
      <c r="CJ43" s="93" t="str">
        <f t="shared" si="50"/>
        <v/>
      </c>
      <c r="CK43" s="93" t="str">
        <f t="shared" si="50"/>
        <v/>
      </c>
      <c r="CL43" s="93" t="str">
        <f t="shared" si="50"/>
        <v/>
      </c>
      <c r="CM43" s="93" t="str">
        <f t="shared" si="50"/>
        <v/>
      </c>
      <c r="CN43" s="93" t="str">
        <f t="shared" si="50"/>
        <v/>
      </c>
      <c r="CO43" s="93" t="str">
        <f t="shared" si="50"/>
        <v/>
      </c>
      <c r="CP43" s="93" t="str">
        <f t="shared" si="50"/>
        <v/>
      </c>
      <c r="CQ43" s="93" t="str">
        <f t="shared" si="50"/>
        <v/>
      </c>
      <c r="CR43" s="93" t="str">
        <f t="shared" si="50"/>
        <v/>
      </c>
      <c r="CS43" s="93" t="str">
        <f t="shared" si="50"/>
        <v/>
      </c>
      <c r="CT43" s="93" t="str">
        <f t="shared" si="50"/>
        <v/>
      </c>
      <c r="CU43" s="93" t="str">
        <f t="shared" si="50"/>
        <v/>
      </c>
      <c r="CV43" s="93" t="str">
        <f t="shared" si="50"/>
        <v/>
      </c>
      <c r="CW43" s="93" t="str">
        <f t="shared" si="50"/>
        <v/>
      </c>
      <c r="CX43" s="93" t="str">
        <f t="shared" si="50"/>
        <v/>
      </c>
      <c r="CY43" s="93" t="str">
        <f t="shared" si="50"/>
        <v/>
      </c>
      <c r="CZ43" s="93" t="str">
        <f t="shared" si="50"/>
        <v/>
      </c>
      <c r="DA43" s="93" t="str">
        <f t="shared" si="50"/>
        <v/>
      </c>
      <c r="DB43" s="93" t="str">
        <f t="shared" si="50"/>
        <v/>
      </c>
      <c r="DC43" s="93" t="str">
        <f t="shared" ref="DC43:EC43" si="51">IFERROR(INDIRECT("'Bloque "&amp;V41&amp;" Semana "&amp;V40&amp;"'"&amp;"!"&amp;"CC15"),"")</f>
        <v/>
      </c>
      <c r="DD43" s="93" t="str">
        <f t="shared" si="51"/>
        <v/>
      </c>
      <c r="DE43" s="93" t="str">
        <f t="shared" si="51"/>
        <v/>
      </c>
      <c r="DF43" s="93" t="str">
        <f t="shared" si="51"/>
        <v/>
      </c>
      <c r="DG43" s="93" t="str">
        <f t="shared" si="51"/>
        <v/>
      </c>
      <c r="DH43" s="93" t="str">
        <f t="shared" si="51"/>
        <v/>
      </c>
      <c r="DI43" s="93" t="str">
        <f t="shared" si="51"/>
        <v/>
      </c>
      <c r="DJ43" s="93" t="str">
        <f t="shared" si="51"/>
        <v/>
      </c>
      <c r="DK43" s="93" t="str">
        <f t="shared" si="51"/>
        <v/>
      </c>
      <c r="DL43" s="93" t="str">
        <f t="shared" si="51"/>
        <v/>
      </c>
      <c r="DM43" s="93" t="str">
        <f t="shared" si="51"/>
        <v/>
      </c>
      <c r="DN43" s="93" t="str">
        <f t="shared" si="51"/>
        <v/>
      </c>
      <c r="DO43" s="93" t="str">
        <f t="shared" si="51"/>
        <v/>
      </c>
      <c r="DP43" s="93" t="str">
        <f t="shared" si="51"/>
        <v/>
      </c>
      <c r="DQ43" s="93" t="str">
        <f t="shared" si="51"/>
        <v/>
      </c>
      <c r="DR43" s="93" t="str">
        <f t="shared" si="51"/>
        <v/>
      </c>
      <c r="DS43" s="93" t="str">
        <f t="shared" si="51"/>
        <v/>
      </c>
      <c r="DT43" s="93" t="str">
        <f t="shared" si="51"/>
        <v/>
      </c>
      <c r="DU43" s="93" t="str">
        <f t="shared" si="51"/>
        <v/>
      </c>
      <c r="DV43" s="93" t="str">
        <f t="shared" si="51"/>
        <v/>
      </c>
      <c r="DW43" s="93" t="str">
        <f t="shared" si="51"/>
        <v/>
      </c>
      <c r="DX43" s="93" t="str">
        <f t="shared" si="51"/>
        <v/>
      </c>
      <c r="DY43" s="93" t="str">
        <f t="shared" si="51"/>
        <v/>
      </c>
      <c r="DZ43" s="93" t="str">
        <f t="shared" si="51"/>
        <v/>
      </c>
      <c r="EA43" s="93" t="str">
        <f t="shared" si="51"/>
        <v/>
      </c>
      <c r="EB43" s="93" t="str">
        <f t="shared" si="51"/>
        <v/>
      </c>
      <c r="EC43" s="93" t="str">
        <f t="shared" si="51"/>
        <v/>
      </c>
    </row>
    <row r="44">
      <c r="A44" s="4"/>
      <c r="B44" s="4"/>
      <c r="C44" s="4"/>
      <c r="D44" s="122"/>
      <c r="E44" s="29"/>
      <c r="F44" s="29"/>
      <c r="G44" s="29"/>
      <c r="H44" s="29"/>
      <c r="I44" s="29"/>
      <c r="J44" s="29"/>
      <c r="K44" s="29"/>
      <c r="L44" s="29"/>
      <c r="M44" s="29"/>
      <c r="N44" s="29"/>
      <c r="O44" s="4"/>
      <c r="P44" s="4"/>
      <c r="Q44" s="4"/>
      <c r="R44" s="77"/>
      <c r="CA44" s="120" t="s">
        <v>200</v>
      </c>
      <c r="CB44" s="182" t="str">
        <f t="shared" ref="CB44:DB44" si="52">IFERROR(INDIRECT("'Bloque "&amp;V24&amp;" Semana "&amp;V23&amp;"'"&amp;"!"&amp;"CD15"),"")</f>
        <v/>
      </c>
      <c r="CC44" s="182" t="str">
        <f t="shared" si="52"/>
        <v/>
      </c>
      <c r="CD44" s="182" t="str">
        <f t="shared" si="52"/>
        <v/>
      </c>
      <c r="CE44" s="182" t="str">
        <f t="shared" si="52"/>
        <v/>
      </c>
      <c r="CF44" s="182" t="str">
        <f t="shared" si="52"/>
        <v/>
      </c>
      <c r="CG44" s="182" t="str">
        <f t="shared" si="52"/>
        <v/>
      </c>
      <c r="CH44" s="182" t="str">
        <f t="shared" si="52"/>
        <v/>
      </c>
      <c r="CI44" s="182" t="str">
        <f t="shared" si="52"/>
        <v/>
      </c>
      <c r="CJ44" s="182" t="str">
        <f t="shared" si="52"/>
        <v/>
      </c>
      <c r="CK44" s="182" t="str">
        <f t="shared" si="52"/>
        <v/>
      </c>
      <c r="CL44" s="182" t="str">
        <f t="shared" si="52"/>
        <v/>
      </c>
      <c r="CM44" s="182" t="str">
        <f t="shared" si="52"/>
        <v/>
      </c>
      <c r="CN44" s="182" t="str">
        <f t="shared" si="52"/>
        <v/>
      </c>
      <c r="CO44" s="182" t="str">
        <f t="shared" si="52"/>
        <v/>
      </c>
      <c r="CP44" s="182" t="str">
        <f t="shared" si="52"/>
        <v/>
      </c>
      <c r="CQ44" s="182" t="str">
        <f t="shared" si="52"/>
        <v/>
      </c>
      <c r="CR44" s="182" t="str">
        <f t="shared" si="52"/>
        <v/>
      </c>
      <c r="CS44" s="182" t="str">
        <f t="shared" si="52"/>
        <v/>
      </c>
      <c r="CT44" s="182" t="str">
        <f t="shared" si="52"/>
        <v/>
      </c>
      <c r="CU44" s="182" t="str">
        <f t="shared" si="52"/>
        <v/>
      </c>
      <c r="CV44" s="182" t="str">
        <f t="shared" si="52"/>
        <v/>
      </c>
      <c r="CW44" s="182" t="str">
        <f t="shared" si="52"/>
        <v/>
      </c>
      <c r="CX44" s="182" t="str">
        <f t="shared" si="52"/>
        <v/>
      </c>
      <c r="CY44" s="182" t="str">
        <f t="shared" si="52"/>
        <v/>
      </c>
      <c r="CZ44" s="182" t="str">
        <f t="shared" si="52"/>
        <v/>
      </c>
      <c r="DA44" s="182" t="str">
        <f t="shared" si="52"/>
        <v/>
      </c>
      <c r="DB44" s="182" t="str">
        <f t="shared" si="52"/>
        <v/>
      </c>
      <c r="DC44" s="182" t="str">
        <f t="shared" ref="DC44:EC44" si="53">IFERROR(INDIRECT("'Bloque "&amp;V41&amp;" Semana "&amp;V40&amp;"'"&amp;"!"&amp;"CD15"),"")</f>
        <v/>
      </c>
      <c r="DD44" s="182" t="str">
        <f t="shared" si="53"/>
        <v/>
      </c>
      <c r="DE44" s="182" t="str">
        <f t="shared" si="53"/>
        <v/>
      </c>
      <c r="DF44" s="182" t="str">
        <f t="shared" si="53"/>
        <v/>
      </c>
      <c r="DG44" s="182" t="str">
        <f t="shared" si="53"/>
        <v/>
      </c>
      <c r="DH44" s="182" t="str">
        <f t="shared" si="53"/>
        <v/>
      </c>
      <c r="DI44" s="182" t="str">
        <f t="shared" si="53"/>
        <v/>
      </c>
      <c r="DJ44" s="182" t="str">
        <f t="shared" si="53"/>
        <v/>
      </c>
      <c r="DK44" s="182" t="str">
        <f t="shared" si="53"/>
        <v/>
      </c>
      <c r="DL44" s="182" t="str">
        <f t="shared" si="53"/>
        <v/>
      </c>
      <c r="DM44" s="182" t="str">
        <f t="shared" si="53"/>
        <v/>
      </c>
      <c r="DN44" s="182" t="str">
        <f t="shared" si="53"/>
        <v/>
      </c>
      <c r="DO44" s="182" t="str">
        <f t="shared" si="53"/>
        <v/>
      </c>
      <c r="DP44" s="182" t="str">
        <f t="shared" si="53"/>
        <v/>
      </c>
      <c r="DQ44" s="182" t="str">
        <f t="shared" si="53"/>
        <v/>
      </c>
      <c r="DR44" s="182" t="str">
        <f t="shared" si="53"/>
        <v/>
      </c>
      <c r="DS44" s="182" t="str">
        <f t="shared" si="53"/>
        <v/>
      </c>
      <c r="DT44" s="182" t="str">
        <f t="shared" si="53"/>
        <v/>
      </c>
      <c r="DU44" s="182" t="str">
        <f t="shared" si="53"/>
        <v/>
      </c>
      <c r="DV44" s="182" t="str">
        <f t="shared" si="53"/>
        <v/>
      </c>
      <c r="DW44" s="182" t="str">
        <f t="shared" si="53"/>
        <v/>
      </c>
      <c r="DX44" s="182" t="str">
        <f t="shared" si="53"/>
        <v/>
      </c>
      <c r="DY44" s="182" t="str">
        <f t="shared" si="53"/>
        <v/>
      </c>
      <c r="DZ44" s="182" t="str">
        <f t="shared" si="53"/>
        <v/>
      </c>
      <c r="EA44" s="182" t="str">
        <f t="shared" si="53"/>
        <v/>
      </c>
      <c r="EB44" s="182" t="str">
        <f t="shared" si="53"/>
        <v/>
      </c>
      <c r="EC44" s="182" t="str">
        <f t="shared" si="53"/>
        <v/>
      </c>
    </row>
    <row r="45" ht="46.5" customHeight="1">
      <c r="A45" s="4"/>
      <c r="B45" s="4"/>
      <c r="C45" s="4"/>
      <c r="D45" s="122"/>
      <c r="E45" s="29"/>
      <c r="F45" s="29"/>
      <c r="G45" s="29"/>
      <c r="H45" s="29"/>
      <c r="I45" s="29"/>
      <c r="J45" s="29"/>
      <c r="K45" s="29"/>
      <c r="L45" s="29"/>
      <c r="M45" s="29"/>
      <c r="N45" s="29"/>
      <c r="O45" s="4"/>
      <c r="P45" s="4"/>
      <c r="Q45" s="4"/>
      <c r="R45" s="77"/>
      <c r="S45" s="183" t="s">
        <v>201</v>
      </c>
      <c r="T45" s="184"/>
      <c r="U45" s="184"/>
      <c r="V45" s="184"/>
      <c r="W45" s="184"/>
      <c r="X45" s="184"/>
      <c r="Y45" s="184"/>
      <c r="Z45" s="184"/>
      <c r="AA45" s="184"/>
      <c r="AB45" s="184"/>
      <c r="AC45" s="184"/>
      <c r="AD45" s="184"/>
      <c r="AE45" s="184"/>
      <c r="AF45" s="184"/>
      <c r="AG45" s="184"/>
      <c r="AH45" s="184"/>
      <c r="AI45" s="184"/>
      <c r="AJ45" s="184"/>
      <c r="AK45" s="184"/>
      <c r="AL45" s="184"/>
      <c r="AM45" s="184"/>
      <c r="AN45" s="184"/>
      <c r="AO45" s="184"/>
      <c r="AP45" s="184"/>
      <c r="AQ45" s="184"/>
      <c r="AR45" s="184"/>
      <c r="AS45" s="184"/>
      <c r="AT45" s="184"/>
      <c r="AU45" s="184"/>
      <c r="AV45" s="184"/>
      <c r="AW45" s="184"/>
      <c r="CA45" s="83"/>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L45" s="84"/>
      <c r="DM45" s="84"/>
      <c r="DN45" s="84"/>
      <c r="DO45" s="84"/>
      <c r="DP45" s="84"/>
      <c r="DQ45" s="84"/>
      <c r="DR45" s="84"/>
      <c r="DS45" s="84"/>
      <c r="DT45" s="84"/>
      <c r="DU45" s="84"/>
      <c r="DV45" s="84"/>
      <c r="DW45" s="84"/>
      <c r="DX45" s="84"/>
      <c r="DY45" s="84"/>
      <c r="DZ45" s="84"/>
      <c r="EA45" s="84"/>
      <c r="EB45" s="84"/>
      <c r="EC45" s="84"/>
    </row>
    <row r="46">
      <c r="A46" s="4"/>
      <c r="B46" s="4"/>
      <c r="C46" s="4"/>
      <c r="D46" s="122"/>
      <c r="E46" s="29"/>
      <c r="F46" s="29"/>
      <c r="G46" s="29"/>
      <c r="H46" s="29"/>
      <c r="I46" s="29"/>
      <c r="J46" s="29"/>
      <c r="K46" s="29"/>
      <c r="L46" s="29"/>
      <c r="M46" s="29"/>
      <c r="N46" s="29"/>
      <c r="O46" s="4"/>
      <c r="P46" s="4"/>
      <c r="Q46" s="4"/>
      <c r="R46" s="77"/>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CA46" s="144" t="s">
        <v>198</v>
      </c>
      <c r="CB46" s="108"/>
      <c r="CC46" s="108"/>
      <c r="CD46" s="108"/>
      <c r="CE46" s="108"/>
      <c r="CF46" s="108"/>
      <c r="CG46" s="108"/>
      <c r="CH46" s="108"/>
      <c r="CI46" s="108"/>
      <c r="CJ46" s="108"/>
      <c r="CK46" s="108"/>
      <c r="CL46" s="108"/>
      <c r="CM46" s="108"/>
      <c r="CN46" s="108"/>
      <c r="CO46" s="108"/>
      <c r="CP46" s="108"/>
      <c r="CQ46" s="108"/>
      <c r="CR46" s="108"/>
      <c r="CS46" s="108"/>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row>
    <row r="47">
      <c r="A47" s="4"/>
      <c r="B47" s="4"/>
      <c r="C47" s="4"/>
      <c r="D47" s="122"/>
      <c r="E47" s="29"/>
      <c r="F47" s="29"/>
      <c r="G47" s="29"/>
      <c r="H47" s="29"/>
      <c r="I47" s="29"/>
      <c r="J47" s="29"/>
      <c r="K47" s="29"/>
      <c r="L47" s="29"/>
      <c r="M47" s="29"/>
      <c r="N47" s="29"/>
      <c r="O47" s="4"/>
      <c r="P47" s="4"/>
      <c r="Q47" s="4"/>
      <c r="R47" s="77"/>
      <c r="X47" s="186" t="s">
        <v>202</v>
      </c>
      <c r="Y47" s="186" t="s">
        <v>203</v>
      </c>
      <c r="Z47" s="186" t="s">
        <v>204</v>
      </c>
      <c r="AA47" s="186" t="s">
        <v>205</v>
      </c>
      <c r="AB47" s="186" t="s">
        <v>206</v>
      </c>
      <c r="AC47" s="186" t="s">
        <v>207</v>
      </c>
      <c r="AD47" s="186" t="s">
        <v>208</v>
      </c>
      <c r="AE47" s="187"/>
      <c r="AF47" s="186" t="s">
        <v>202</v>
      </c>
      <c r="AG47" s="186" t="s">
        <v>203</v>
      </c>
      <c r="AH47" s="186" t="s">
        <v>209</v>
      </c>
      <c r="AI47" s="186" t="s">
        <v>205</v>
      </c>
      <c r="AJ47" s="186" t="s">
        <v>206</v>
      </c>
      <c r="AK47" s="186" t="s">
        <v>207</v>
      </c>
      <c r="AL47" s="186" t="s">
        <v>208</v>
      </c>
      <c r="AM47" s="187"/>
      <c r="AN47" s="186" t="s">
        <v>202</v>
      </c>
      <c r="AO47" s="186" t="s">
        <v>203</v>
      </c>
      <c r="AP47" s="186" t="s">
        <v>209</v>
      </c>
      <c r="AQ47" s="186" t="s">
        <v>205</v>
      </c>
      <c r="AR47" s="186" t="s">
        <v>206</v>
      </c>
      <c r="AS47" s="186" t="s">
        <v>207</v>
      </c>
      <c r="AT47" s="186" t="s">
        <v>208</v>
      </c>
      <c r="AU47" s="187"/>
      <c r="CA47" s="83" t="s">
        <v>36</v>
      </c>
      <c r="CB47" s="84" t="s">
        <v>51</v>
      </c>
      <c r="CC47" s="84" t="s">
        <v>52</v>
      </c>
      <c r="CD47" s="84" t="s">
        <v>53</v>
      </c>
      <c r="CE47" s="84" t="s">
        <v>54</v>
      </c>
      <c r="CF47" s="84" t="s">
        <v>55</v>
      </c>
      <c r="CG47" s="84" t="s">
        <v>56</v>
      </c>
      <c r="CH47" s="84" t="s">
        <v>57</v>
      </c>
      <c r="CI47" s="84" t="s">
        <v>58</v>
      </c>
      <c r="CJ47" s="84" t="s">
        <v>59</v>
      </c>
      <c r="CK47" s="84" t="s">
        <v>60</v>
      </c>
      <c r="CL47" s="84" t="s">
        <v>61</v>
      </c>
      <c r="CM47" s="84" t="s">
        <v>62</v>
      </c>
      <c r="CN47" s="84" t="s">
        <v>63</v>
      </c>
      <c r="CO47" s="84" t="s">
        <v>64</v>
      </c>
      <c r="CP47" s="84" t="s">
        <v>65</v>
      </c>
      <c r="CQ47" s="84" t="s">
        <v>66</v>
      </c>
      <c r="CR47" s="84" t="s">
        <v>67</v>
      </c>
      <c r="CS47" s="84" t="s">
        <v>68</v>
      </c>
      <c r="CT47" s="84" t="s">
        <v>69</v>
      </c>
      <c r="CU47" s="84" t="s">
        <v>70</v>
      </c>
      <c r="CV47" s="84" t="s">
        <v>71</v>
      </c>
      <c r="CW47" s="84" t="s">
        <v>72</v>
      </c>
      <c r="CX47" s="84" t="s">
        <v>73</v>
      </c>
      <c r="CY47" s="84" t="s">
        <v>74</v>
      </c>
      <c r="CZ47" s="84" t="s">
        <v>75</v>
      </c>
      <c r="DA47" s="84" t="s">
        <v>76</v>
      </c>
      <c r="DB47" s="84" t="s">
        <v>77</v>
      </c>
      <c r="DC47" s="84" t="s">
        <v>78</v>
      </c>
      <c r="DD47" s="84" t="s">
        <v>79</v>
      </c>
      <c r="DE47" s="84" t="s">
        <v>80</v>
      </c>
      <c r="DF47" s="84" t="s">
        <v>81</v>
      </c>
      <c r="DG47" s="84" t="s">
        <v>82</v>
      </c>
      <c r="DH47" s="84" t="s">
        <v>83</v>
      </c>
      <c r="DI47" s="84" t="s">
        <v>84</v>
      </c>
      <c r="DJ47" s="84" t="s">
        <v>85</v>
      </c>
      <c r="DK47" s="84" t="s">
        <v>86</v>
      </c>
      <c r="DL47" s="84" t="s">
        <v>87</v>
      </c>
      <c r="DM47" s="84" t="s">
        <v>88</v>
      </c>
      <c r="DN47" s="84" t="s">
        <v>89</v>
      </c>
      <c r="DO47" s="84" t="s">
        <v>90</v>
      </c>
      <c r="DP47" s="84" t="s">
        <v>91</v>
      </c>
      <c r="DQ47" s="84" t="s">
        <v>92</v>
      </c>
      <c r="DR47" s="84" t="s">
        <v>93</v>
      </c>
      <c r="DS47" s="84" t="s">
        <v>94</v>
      </c>
      <c r="DT47" s="84" t="s">
        <v>95</v>
      </c>
      <c r="DU47" s="84" t="s">
        <v>96</v>
      </c>
      <c r="DV47" s="84" t="s">
        <v>97</v>
      </c>
      <c r="DW47" s="84" t="s">
        <v>98</v>
      </c>
      <c r="DX47" s="84" t="s">
        <v>99</v>
      </c>
      <c r="DY47" s="84" t="s">
        <v>100</v>
      </c>
      <c r="DZ47" s="84" t="s">
        <v>101</v>
      </c>
      <c r="EA47" s="84" t="s">
        <v>102</v>
      </c>
      <c r="EB47" s="84" t="s">
        <v>103</v>
      </c>
      <c r="EC47" s="84" t="s">
        <v>104</v>
      </c>
    </row>
    <row r="48">
      <c r="A48" s="4"/>
      <c r="B48" s="4"/>
      <c r="C48" s="4"/>
      <c r="D48" s="122"/>
      <c r="E48" s="29"/>
      <c r="F48" s="29"/>
      <c r="G48" s="29"/>
      <c r="H48" s="29"/>
      <c r="I48" s="29"/>
      <c r="J48" s="29"/>
      <c r="K48" s="29"/>
      <c r="L48" s="29"/>
      <c r="M48" s="29"/>
      <c r="N48" s="29"/>
      <c r="O48" s="4"/>
      <c r="P48" s="4"/>
      <c r="Q48" s="4"/>
      <c r="R48" s="77"/>
      <c r="X48" s="188" t="str">
        <f t="array" ref="X48">IFERROR(INDIRECT("'Bloque "&amp;$V$24&amp;" Semana "&amp;$V$23&amp;"'"&amp;"!"&amp;"E37"),"")</f>
        <v/>
      </c>
      <c r="AE48" s="186">
        <v>26.0</v>
      </c>
      <c r="AF48" s="188" t="str">
        <f t="array" ref="AF48">IFERROR(INDIRECT("'Bloque "&amp;W24&amp;" Semana "&amp;W23&amp;"'"&amp;"!"&amp;"E37"),"")</f>
        <v/>
      </c>
      <c r="AM48" s="186">
        <v>26.0</v>
      </c>
      <c r="AN48" s="188" t="str">
        <f t="array" ref="AN48">IFERROR(INDIRECT("'Bloque "&amp;X24&amp;" Semana "&amp;X23&amp;"'"&amp;"!"&amp;"E37"),"")</f>
        <v/>
      </c>
      <c r="AU48" s="186">
        <v>26.0</v>
      </c>
      <c r="CA48" s="120" t="s">
        <v>199</v>
      </c>
      <c r="CB48" s="93" t="str">
        <f t="shared" ref="CB48:DB48" si="54">IFERROR(INDIRECT("'Bloque "&amp;V24&amp;" Semana "&amp;V23&amp;"'"&amp;"!"&amp;"CC16"),"")</f>
        <v/>
      </c>
      <c r="CC48" s="93" t="str">
        <f t="shared" si="54"/>
        <v/>
      </c>
      <c r="CD48" s="93" t="str">
        <f t="shared" si="54"/>
        <v/>
      </c>
      <c r="CE48" s="93" t="str">
        <f t="shared" si="54"/>
        <v/>
      </c>
      <c r="CF48" s="93" t="str">
        <f t="shared" si="54"/>
        <v/>
      </c>
      <c r="CG48" s="93" t="str">
        <f t="shared" si="54"/>
        <v/>
      </c>
      <c r="CH48" s="93" t="str">
        <f t="shared" si="54"/>
        <v/>
      </c>
      <c r="CI48" s="93" t="str">
        <f t="shared" si="54"/>
        <v/>
      </c>
      <c r="CJ48" s="93" t="str">
        <f t="shared" si="54"/>
        <v/>
      </c>
      <c r="CK48" s="93" t="str">
        <f t="shared" si="54"/>
        <v/>
      </c>
      <c r="CL48" s="93" t="str">
        <f t="shared" si="54"/>
        <v/>
      </c>
      <c r="CM48" s="93" t="str">
        <f t="shared" si="54"/>
        <v/>
      </c>
      <c r="CN48" s="93" t="str">
        <f t="shared" si="54"/>
        <v/>
      </c>
      <c r="CO48" s="93" t="str">
        <f t="shared" si="54"/>
        <v/>
      </c>
      <c r="CP48" s="93" t="str">
        <f t="shared" si="54"/>
        <v/>
      </c>
      <c r="CQ48" s="93" t="str">
        <f t="shared" si="54"/>
        <v/>
      </c>
      <c r="CR48" s="93" t="str">
        <f t="shared" si="54"/>
        <v/>
      </c>
      <c r="CS48" s="93" t="str">
        <f t="shared" si="54"/>
        <v/>
      </c>
      <c r="CT48" s="93" t="str">
        <f t="shared" si="54"/>
        <v/>
      </c>
      <c r="CU48" s="93" t="str">
        <f t="shared" si="54"/>
        <v/>
      </c>
      <c r="CV48" s="93" t="str">
        <f t="shared" si="54"/>
        <v/>
      </c>
      <c r="CW48" s="93" t="str">
        <f t="shared" si="54"/>
        <v/>
      </c>
      <c r="CX48" s="93" t="str">
        <f t="shared" si="54"/>
        <v/>
      </c>
      <c r="CY48" s="93" t="str">
        <f t="shared" si="54"/>
        <v/>
      </c>
      <c r="CZ48" s="93" t="str">
        <f t="shared" si="54"/>
        <v/>
      </c>
      <c r="DA48" s="93" t="str">
        <f t="shared" si="54"/>
        <v/>
      </c>
      <c r="DB48" s="93" t="str">
        <f t="shared" si="54"/>
        <v/>
      </c>
      <c r="DC48" s="93" t="str">
        <f t="shared" ref="DC48:EC48" si="55">IFERROR(INDIRECT("'Bloque "&amp;V41&amp;" Semana "&amp;V40&amp;"'"&amp;"!"&amp;"CC16"),"")</f>
        <v/>
      </c>
      <c r="DD48" s="93" t="str">
        <f t="shared" si="55"/>
        <v/>
      </c>
      <c r="DE48" s="93" t="str">
        <f t="shared" si="55"/>
        <v/>
      </c>
      <c r="DF48" s="93" t="str">
        <f t="shared" si="55"/>
        <v/>
      </c>
      <c r="DG48" s="93" t="str">
        <f t="shared" si="55"/>
        <v/>
      </c>
      <c r="DH48" s="93" t="str">
        <f t="shared" si="55"/>
        <v/>
      </c>
      <c r="DI48" s="93" t="str">
        <f t="shared" si="55"/>
        <v/>
      </c>
      <c r="DJ48" s="93" t="str">
        <f t="shared" si="55"/>
        <v/>
      </c>
      <c r="DK48" s="93" t="str">
        <f t="shared" si="55"/>
        <v/>
      </c>
      <c r="DL48" s="93" t="str">
        <f t="shared" si="55"/>
        <v/>
      </c>
      <c r="DM48" s="93" t="str">
        <f t="shared" si="55"/>
        <v/>
      </c>
      <c r="DN48" s="93" t="str">
        <f t="shared" si="55"/>
        <v/>
      </c>
      <c r="DO48" s="93" t="str">
        <f t="shared" si="55"/>
        <v/>
      </c>
      <c r="DP48" s="93" t="str">
        <f t="shared" si="55"/>
        <v/>
      </c>
      <c r="DQ48" s="93" t="str">
        <f t="shared" si="55"/>
        <v/>
      </c>
      <c r="DR48" s="93" t="str">
        <f t="shared" si="55"/>
        <v/>
      </c>
      <c r="DS48" s="93" t="str">
        <f t="shared" si="55"/>
        <v/>
      </c>
      <c r="DT48" s="93" t="str">
        <f t="shared" si="55"/>
        <v/>
      </c>
      <c r="DU48" s="93" t="str">
        <f t="shared" si="55"/>
        <v/>
      </c>
      <c r="DV48" s="93" t="str">
        <f t="shared" si="55"/>
        <v/>
      </c>
      <c r="DW48" s="93" t="str">
        <f t="shared" si="55"/>
        <v/>
      </c>
      <c r="DX48" s="93" t="str">
        <f t="shared" si="55"/>
        <v/>
      </c>
      <c r="DY48" s="93" t="str">
        <f t="shared" si="55"/>
        <v/>
      </c>
      <c r="DZ48" s="93" t="str">
        <f t="shared" si="55"/>
        <v/>
      </c>
      <c r="EA48" s="93" t="str">
        <f t="shared" si="55"/>
        <v/>
      </c>
      <c r="EB48" s="93" t="str">
        <f t="shared" si="55"/>
        <v/>
      </c>
      <c r="EC48" s="93" t="str">
        <f t="shared" si="55"/>
        <v/>
      </c>
    </row>
    <row r="49">
      <c r="A49" s="4"/>
      <c r="B49" s="4"/>
      <c r="C49" s="4"/>
      <c r="D49" s="122"/>
      <c r="E49" s="29"/>
      <c r="F49" s="29"/>
      <c r="G49" s="29"/>
      <c r="H49" s="29"/>
      <c r="I49" s="29"/>
      <c r="J49" s="29"/>
      <c r="K49" s="29"/>
      <c r="L49" s="29"/>
      <c r="M49" s="29"/>
      <c r="N49" s="29"/>
      <c r="O49" s="4"/>
      <c r="P49" s="4"/>
      <c r="Q49" s="4"/>
      <c r="R49" s="77"/>
      <c r="X49" s="176" t="str">
        <f t="array" ref="X49">IFERROR(INDIRECT("'Bloque "&amp;$V$24&amp;" Semana "&amp;$V$23&amp;"'"&amp;"!"&amp;"E25"),"")</f>
        <v/>
      </c>
      <c r="AE49" s="186">
        <v>25.0</v>
      </c>
      <c r="AF49" s="176" t="str">
        <f t="array" ref="AF49">IFERROR(INDIRECT("'Bloque "&amp;W24&amp;" Semana "&amp;W23&amp;"'"&amp;"!"&amp;"E25"),"")</f>
        <v/>
      </c>
      <c r="AM49" s="186">
        <v>25.0</v>
      </c>
      <c r="AN49" s="176" t="str">
        <f t="array" ref="AN49">IFERROR(INDIRECT("'Bloque "&amp;X24&amp;" Semana "&amp;X23&amp;"'"&amp;"!"&amp;"E25"),"")</f>
        <v/>
      </c>
      <c r="AU49" s="186">
        <v>25.0</v>
      </c>
      <c r="CA49" s="120" t="s">
        <v>200</v>
      </c>
      <c r="CB49" s="182" t="str">
        <f t="shared" ref="CB49:DB49" si="56">IFERROR(INDIRECT("'Bloque "&amp;V24&amp;" Semana "&amp;V23&amp;"'"&amp;"!"&amp;"CD16"),"")</f>
        <v/>
      </c>
      <c r="CC49" s="182" t="str">
        <f t="shared" si="56"/>
        <v/>
      </c>
      <c r="CD49" s="182" t="str">
        <f t="shared" si="56"/>
        <v/>
      </c>
      <c r="CE49" s="182" t="str">
        <f t="shared" si="56"/>
        <v/>
      </c>
      <c r="CF49" s="182" t="str">
        <f t="shared" si="56"/>
        <v/>
      </c>
      <c r="CG49" s="182" t="str">
        <f t="shared" si="56"/>
        <v/>
      </c>
      <c r="CH49" s="182" t="str">
        <f t="shared" si="56"/>
        <v/>
      </c>
      <c r="CI49" s="182" t="str">
        <f t="shared" si="56"/>
        <v/>
      </c>
      <c r="CJ49" s="182" t="str">
        <f t="shared" si="56"/>
        <v/>
      </c>
      <c r="CK49" s="182" t="str">
        <f t="shared" si="56"/>
        <v/>
      </c>
      <c r="CL49" s="182" t="str">
        <f t="shared" si="56"/>
        <v/>
      </c>
      <c r="CM49" s="182" t="str">
        <f t="shared" si="56"/>
        <v/>
      </c>
      <c r="CN49" s="182" t="str">
        <f t="shared" si="56"/>
        <v/>
      </c>
      <c r="CO49" s="182" t="str">
        <f t="shared" si="56"/>
        <v/>
      </c>
      <c r="CP49" s="182" t="str">
        <f t="shared" si="56"/>
        <v/>
      </c>
      <c r="CQ49" s="182" t="str">
        <f t="shared" si="56"/>
        <v/>
      </c>
      <c r="CR49" s="182" t="str">
        <f t="shared" si="56"/>
        <v/>
      </c>
      <c r="CS49" s="182" t="str">
        <f t="shared" si="56"/>
        <v/>
      </c>
      <c r="CT49" s="182" t="str">
        <f t="shared" si="56"/>
        <v/>
      </c>
      <c r="CU49" s="182" t="str">
        <f t="shared" si="56"/>
        <v/>
      </c>
      <c r="CV49" s="182" t="str">
        <f t="shared" si="56"/>
        <v/>
      </c>
      <c r="CW49" s="182" t="str">
        <f t="shared" si="56"/>
        <v/>
      </c>
      <c r="CX49" s="182" t="str">
        <f t="shared" si="56"/>
        <v/>
      </c>
      <c r="CY49" s="182" t="str">
        <f t="shared" si="56"/>
        <v/>
      </c>
      <c r="CZ49" s="182" t="str">
        <f t="shared" si="56"/>
        <v/>
      </c>
      <c r="DA49" s="182" t="str">
        <f t="shared" si="56"/>
        <v/>
      </c>
      <c r="DB49" s="182" t="str">
        <f t="shared" si="56"/>
        <v/>
      </c>
      <c r="DC49" s="182" t="str">
        <f t="shared" ref="DC49:EC49" si="57">IFERROR(INDIRECT("'Bloque "&amp;V41&amp;" Semana "&amp;V40&amp;"'"&amp;"!"&amp;"CD16"),"")</f>
        <v/>
      </c>
      <c r="DD49" s="182" t="str">
        <f t="shared" si="57"/>
        <v/>
      </c>
      <c r="DE49" s="182" t="str">
        <f t="shared" si="57"/>
        <v/>
      </c>
      <c r="DF49" s="182" t="str">
        <f t="shared" si="57"/>
        <v/>
      </c>
      <c r="DG49" s="182" t="str">
        <f t="shared" si="57"/>
        <v/>
      </c>
      <c r="DH49" s="182" t="str">
        <f t="shared" si="57"/>
        <v/>
      </c>
      <c r="DI49" s="182" t="str">
        <f t="shared" si="57"/>
        <v/>
      </c>
      <c r="DJ49" s="182" t="str">
        <f t="shared" si="57"/>
        <v/>
      </c>
      <c r="DK49" s="182" t="str">
        <f t="shared" si="57"/>
        <v/>
      </c>
      <c r="DL49" s="182" t="str">
        <f t="shared" si="57"/>
        <v/>
      </c>
      <c r="DM49" s="182" t="str">
        <f t="shared" si="57"/>
        <v/>
      </c>
      <c r="DN49" s="182" t="str">
        <f t="shared" si="57"/>
        <v/>
      </c>
      <c r="DO49" s="182" t="str">
        <f t="shared" si="57"/>
        <v/>
      </c>
      <c r="DP49" s="182" t="str">
        <f t="shared" si="57"/>
        <v/>
      </c>
      <c r="DQ49" s="182" t="str">
        <f t="shared" si="57"/>
        <v/>
      </c>
      <c r="DR49" s="182" t="str">
        <f t="shared" si="57"/>
        <v/>
      </c>
      <c r="DS49" s="182" t="str">
        <f t="shared" si="57"/>
        <v/>
      </c>
      <c r="DT49" s="182" t="str">
        <f t="shared" si="57"/>
        <v/>
      </c>
      <c r="DU49" s="182" t="str">
        <f t="shared" si="57"/>
        <v/>
      </c>
      <c r="DV49" s="182" t="str">
        <f t="shared" si="57"/>
        <v/>
      </c>
      <c r="DW49" s="182" t="str">
        <f t="shared" si="57"/>
        <v/>
      </c>
      <c r="DX49" s="182" t="str">
        <f t="shared" si="57"/>
        <v/>
      </c>
      <c r="DY49" s="182" t="str">
        <f t="shared" si="57"/>
        <v/>
      </c>
      <c r="DZ49" s="182" t="str">
        <f t="shared" si="57"/>
        <v/>
      </c>
      <c r="EA49" s="182" t="str">
        <f t="shared" si="57"/>
        <v/>
      </c>
      <c r="EB49" s="182" t="str">
        <f t="shared" si="57"/>
        <v/>
      </c>
      <c r="EC49" s="182" t="str">
        <f t="shared" si="57"/>
        <v/>
      </c>
    </row>
    <row r="50">
      <c r="A50" s="4"/>
      <c r="B50" s="4"/>
      <c r="C50" s="4"/>
      <c r="D50" s="122"/>
      <c r="E50" s="29"/>
      <c r="F50" s="29"/>
      <c r="G50" s="29"/>
      <c r="H50" s="29"/>
      <c r="I50" s="29"/>
      <c r="J50" s="29"/>
      <c r="K50" s="29"/>
      <c r="L50" s="29"/>
      <c r="M50" s="29"/>
      <c r="N50" s="29"/>
      <c r="O50" s="4"/>
      <c r="P50" s="4"/>
      <c r="Q50" s="4"/>
      <c r="R50" s="77"/>
      <c r="X50" s="189" t="str">
        <f t="array" ref="X50">IFERROR(INDIRECT("'Bloque "&amp;$V$24&amp;" Semana "&amp;$V$23&amp;"'"&amp;"!"&amp;"E26"),"")</f>
        <v/>
      </c>
      <c r="AE50" s="186">
        <v>26.0</v>
      </c>
      <c r="AF50" s="189" t="str">
        <f t="array" ref="AF50">IFERROR(INDIRECT("'Bloque "&amp;W24&amp;" Semana "&amp;W23&amp;"'"&amp;"!"&amp;"E26"),"")</f>
        <v/>
      </c>
      <c r="AM50" s="186">
        <v>26.0</v>
      </c>
      <c r="AN50" s="189" t="str">
        <f t="array" ref="AN50">IFERROR(INDIRECT("'Bloque "&amp;X24&amp;" Semana "&amp;X23&amp;"'"&amp;"!"&amp;"E26"),"")</f>
        <v/>
      </c>
      <c r="AU50" s="186">
        <v>26.0</v>
      </c>
    </row>
    <row r="51">
      <c r="A51" s="4"/>
      <c r="B51" s="4"/>
      <c r="C51" s="4"/>
      <c r="D51" s="122"/>
      <c r="E51" s="29"/>
      <c r="F51" s="29"/>
      <c r="G51" s="29"/>
      <c r="H51" s="29"/>
      <c r="I51" s="29"/>
      <c r="J51" s="29"/>
      <c r="K51" s="29"/>
      <c r="L51" s="29"/>
      <c r="M51" s="29"/>
      <c r="N51" s="29"/>
      <c r="O51" s="4"/>
      <c r="P51" s="4"/>
      <c r="Q51" s="4"/>
      <c r="R51" s="77"/>
      <c r="X51" s="190" t="str">
        <f t="shared" ref="X51:AD51" si="58">IFERROR(INDIRECT("'Bloque "&amp;$V$24&amp;" Semana "&amp;$V$23&amp;"'"&amp;"!"&amp;X$47&amp;$AE51),"")</f>
        <v/>
      </c>
      <c r="Y51" s="190" t="str">
        <f t="shared" si="58"/>
        <v/>
      </c>
      <c r="Z51" s="190" t="str">
        <f t="shared" si="58"/>
        <v/>
      </c>
      <c r="AA51" s="190" t="str">
        <f t="shared" si="58"/>
        <v/>
      </c>
      <c r="AB51" s="190" t="str">
        <f t="shared" si="58"/>
        <v/>
      </c>
      <c r="AC51" s="190" t="str">
        <f t="shared" si="58"/>
        <v/>
      </c>
      <c r="AD51" s="190" t="str">
        <f t="shared" si="58"/>
        <v/>
      </c>
      <c r="AE51" s="191">
        <v>27.0</v>
      </c>
      <c r="AF51" s="190" t="str">
        <f t="shared" ref="AF51:AL51" si="59">IFERROR(INDIRECT("'Bloque "&amp;$W$24&amp;" Semana "&amp;$W$23&amp;"'"&amp;"!"&amp;AF$47&amp;$AM51),"")</f>
        <v/>
      </c>
      <c r="AG51" s="190" t="str">
        <f t="shared" si="59"/>
        <v/>
      </c>
      <c r="AH51" s="190" t="str">
        <f t="shared" si="59"/>
        <v/>
      </c>
      <c r="AI51" s="190" t="str">
        <f t="shared" si="59"/>
        <v/>
      </c>
      <c r="AJ51" s="190" t="str">
        <f t="shared" si="59"/>
        <v/>
      </c>
      <c r="AK51" s="190" t="str">
        <f t="shared" si="59"/>
        <v/>
      </c>
      <c r="AL51" s="190" t="str">
        <f t="shared" si="59"/>
        <v/>
      </c>
      <c r="AM51" s="191">
        <v>27.0</v>
      </c>
      <c r="AN51" s="190" t="str">
        <f t="shared" ref="AN51:AT51" si="60">IFERROR(INDIRECT("'Bloque "&amp;$X$24&amp;" Semana "&amp;$X$23&amp;"'"&amp;"!"&amp;AN$47&amp;$AU51),"")</f>
        <v/>
      </c>
      <c r="AO51" s="190" t="str">
        <f t="shared" si="60"/>
        <v/>
      </c>
      <c r="AP51" s="190" t="str">
        <f t="shared" si="60"/>
        <v/>
      </c>
      <c r="AQ51" s="190" t="str">
        <f t="shared" si="60"/>
        <v/>
      </c>
      <c r="AR51" s="190" t="str">
        <f t="shared" si="60"/>
        <v/>
      </c>
      <c r="AS51" s="190" t="str">
        <f t="shared" si="60"/>
        <v/>
      </c>
      <c r="AT51" s="190" t="str">
        <f t="shared" si="60"/>
        <v/>
      </c>
      <c r="AU51" s="191">
        <v>27.0</v>
      </c>
      <c r="CA51" s="144" t="s">
        <v>198</v>
      </c>
      <c r="CB51" s="108"/>
      <c r="CC51" s="108"/>
      <c r="CD51" s="108"/>
      <c r="CE51" s="108"/>
      <c r="CF51" s="108"/>
      <c r="CG51" s="108"/>
      <c r="CH51" s="108"/>
      <c r="CI51" s="108"/>
      <c r="CJ51" s="108"/>
      <c r="CK51" s="108"/>
      <c r="CL51" s="108"/>
      <c r="CM51" s="108"/>
      <c r="CN51" s="108"/>
      <c r="CO51" s="108"/>
      <c r="CP51" s="108"/>
      <c r="CQ51" s="108"/>
      <c r="CR51" s="108"/>
      <c r="CS51" s="108"/>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row>
    <row r="52">
      <c r="A52" s="4"/>
      <c r="B52" s="4"/>
      <c r="C52" s="4"/>
      <c r="D52" s="122"/>
      <c r="E52" s="29"/>
      <c r="F52" s="29"/>
      <c r="G52" s="29"/>
      <c r="H52" s="29"/>
      <c r="I52" s="29"/>
      <c r="J52" s="29"/>
      <c r="K52" s="29"/>
      <c r="L52" s="29"/>
      <c r="M52" s="29"/>
      <c r="N52" s="29"/>
      <c r="O52" s="4"/>
      <c r="P52" s="4"/>
      <c r="Q52" s="4"/>
      <c r="R52" s="77"/>
      <c r="X52" s="176" t="str">
        <f t="shared" ref="X52:AD52" si="61">IFERROR(INDIRECT("'Bloque "&amp;$V$24&amp;" Semana "&amp;$V$23&amp;"'"&amp;"!"&amp;X$47&amp;$AE52),"")</f>
        <v/>
      </c>
      <c r="Y52" s="176" t="str">
        <f t="shared" si="61"/>
        <v/>
      </c>
      <c r="Z52" s="176" t="str">
        <f t="shared" si="61"/>
        <v/>
      </c>
      <c r="AA52" s="176" t="str">
        <f t="shared" si="61"/>
        <v/>
      </c>
      <c r="AB52" s="176" t="str">
        <f t="shared" si="61"/>
        <v/>
      </c>
      <c r="AC52" s="176" t="str">
        <f t="shared" si="61"/>
        <v/>
      </c>
      <c r="AD52" s="176" t="str">
        <f t="shared" si="61"/>
        <v/>
      </c>
      <c r="AE52" s="191">
        <v>28.0</v>
      </c>
      <c r="AF52" s="176" t="str">
        <f t="shared" ref="AF52:AL52" si="62">IFERROR(INDIRECT("'Bloque "&amp;$W$24&amp;" Semana "&amp;$W$23&amp;"'"&amp;"!"&amp;AF$47&amp;$AM52),"")</f>
        <v/>
      </c>
      <c r="AG52" s="176" t="str">
        <f t="shared" si="62"/>
        <v/>
      </c>
      <c r="AH52" s="176" t="str">
        <f t="shared" si="62"/>
        <v/>
      </c>
      <c r="AI52" s="176" t="str">
        <f t="shared" si="62"/>
        <v/>
      </c>
      <c r="AJ52" s="176" t="str">
        <f t="shared" si="62"/>
        <v/>
      </c>
      <c r="AK52" s="176" t="str">
        <f t="shared" si="62"/>
        <v/>
      </c>
      <c r="AL52" s="176" t="str">
        <f t="shared" si="62"/>
        <v/>
      </c>
      <c r="AM52" s="191">
        <v>28.0</v>
      </c>
      <c r="AN52" s="176" t="str">
        <f t="shared" ref="AN52:AT52" si="63">IFERROR(INDIRECT("'Bloque "&amp;$X$24&amp;" Semana "&amp;$X$23&amp;"'"&amp;"!"&amp;AN$47&amp;$AU52),"")</f>
        <v/>
      </c>
      <c r="AO52" s="176" t="str">
        <f t="shared" si="63"/>
        <v/>
      </c>
      <c r="AP52" s="176" t="str">
        <f t="shared" si="63"/>
        <v/>
      </c>
      <c r="AQ52" s="176" t="str">
        <f t="shared" si="63"/>
        <v/>
      </c>
      <c r="AR52" s="176" t="str">
        <f t="shared" si="63"/>
        <v/>
      </c>
      <c r="AS52" s="176" t="str">
        <f t="shared" si="63"/>
        <v/>
      </c>
      <c r="AT52" s="176" t="str">
        <f t="shared" si="63"/>
        <v/>
      </c>
      <c r="AU52" s="191">
        <v>28.0</v>
      </c>
      <c r="CA52" s="83" t="s">
        <v>42</v>
      </c>
      <c r="CB52" s="84" t="s">
        <v>51</v>
      </c>
      <c r="CC52" s="84" t="s">
        <v>52</v>
      </c>
      <c r="CD52" s="84" t="s">
        <v>53</v>
      </c>
      <c r="CE52" s="84" t="s">
        <v>54</v>
      </c>
      <c r="CF52" s="84" t="s">
        <v>55</v>
      </c>
      <c r="CG52" s="84" t="s">
        <v>56</v>
      </c>
      <c r="CH52" s="84" t="s">
        <v>57</v>
      </c>
      <c r="CI52" s="84" t="s">
        <v>58</v>
      </c>
      <c r="CJ52" s="84" t="s">
        <v>59</v>
      </c>
      <c r="CK52" s="84" t="s">
        <v>60</v>
      </c>
      <c r="CL52" s="84" t="s">
        <v>61</v>
      </c>
      <c r="CM52" s="84" t="s">
        <v>62</v>
      </c>
      <c r="CN52" s="84" t="s">
        <v>63</v>
      </c>
      <c r="CO52" s="84" t="s">
        <v>64</v>
      </c>
      <c r="CP52" s="84" t="s">
        <v>65</v>
      </c>
      <c r="CQ52" s="84" t="s">
        <v>66</v>
      </c>
      <c r="CR52" s="84" t="s">
        <v>67</v>
      </c>
      <c r="CS52" s="84" t="s">
        <v>68</v>
      </c>
      <c r="CT52" s="84" t="s">
        <v>69</v>
      </c>
      <c r="CU52" s="84" t="s">
        <v>70</v>
      </c>
      <c r="CV52" s="84" t="s">
        <v>71</v>
      </c>
      <c r="CW52" s="84" t="s">
        <v>72</v>
      </c>
      <c r="CX52" s="84" t="s">
        <v>73</v>
      </c>
      <c r="CY52" s="84" t="s">
        <v>74</v>
      </c>
      <c r="CZ52" s="84" t="s">
        <v>75</v>
      </c>
      <c r="DA52" s="84" t="s">
        <v>76</v>
      </c>
      <c r="DB52" s="84" t="s">
        <v>77</v>
      </c>
      <c r="DC52" s="84" t="s">
        <v>78</v>
      </c>
      <c r="DD52" s="84" t="s">
        <v>79</v>
      </c>
      <c r="DE52" s="84" t="s">
        <v>80</v>
      </c>
      <c r="DF52" s="84" t="s">
        <v>81</v>
      </c>
      <c r="DG52" s="84" t="s">
        <v>82</v>
      </c>
      <c r="DH52" s="84" t="s">
        <v>83</v>
      </c>
      <c r="DI52" s="84" t="s">
        <v>84</v>
      </c>
      <c r="DJ52" s="84" t="s">
        <v>85</v>
      </c>
      <c r="DK52" s="84" t="s">
        <v>86</v>
      </c>
      <c r="DL52" s="84" t="s">
        <v>87</v>
      </c>
      <c r="DM52" s="84" t="s">
        <v>88</v>
      </c>
      <c r="DN52" s="84" t="s">
        <v>89</v>
      </c>
      <c r="DO52" s="84" t="s">
        <v>90</v>
      </c>
      <c r="DP52" s="84" t="s">
        <v>91</v>
      </c>
      <c r="DQ52" s="84" t="s">
        <v>92</v>
      </c>
      <c r="DR52" s="84" t="s">
        <v>93</v>
      </c>
      <c r="DS52" s="84" t="s">
        <v>94</v>
      </c>
      <c r="DT52" s="84" t="s">
        <v>95</v>
      </c>
      <c r="DU52" s="84" t="s">
        <v>96</v>
      </c>
      <c r="DV52" s="84" t="s">
        <v>97</v>
      </c>
      <c r="DW52" s="84" t="s">
        <v>98</v>
      </c>
      <c r="DX52" s="84" t="s">
        <v>99</v>
      </c>
      <c r="DY52" s="84" t="s">
        <v>100</v>
      </c>
      <c r="DZ52" s="84" t="s">
        <v>101</v>
      </c>
      <c r="EA52" s="84" t="s">
        <v>102</v>
      </c>
      <c r="EB52" s="84" t="s">
        <v>103</v>
      </c>
      <c r="EC52" s="84" t="s">
        <v>104</v>
      </c>
    </row>
    <row r="53">
      <c r="A53" s="4"/>
      <c r="B53" s="4"/>
      <c r="C53" s="4"/>
      <c r="D53" s="122"/>
      <c r="E53" s="29"/>
      <c r="F53" s="29"/>
      <c r="G53" s="29"/>
      <c r="H53" s="29"/>
      <c r="I53" s="29"/>
      <c r="J53" s="29"/>
      <c r="K53" s="29"/>
      <c r="L53" s="29"/>
      <c r="M53" s="29"/>
      <c r="N53" s="29"/>
      <c r="O53" s="4"/>
      <c r="P53" s="4"/>
      <c r="Q53" s="4"/>
      <c r="R53" s="77"/>
      <c r="X53" s="176" t="str">
        <f t="shared" ref="X53:AD53" si="64">IFERROR(INDIRECT("'Bloque "&amp;$V$24&amp;" Semana "&amp;$V$23&amp;"'"&amp;"!"&amp;X$47&amp;$AE53),"")</f>
        <v/>
      </c>
      <c r="Y53" s="176" t="str">
        <f t="shared" si="64"/>
        <v/>
      </c>
      <c r="Z53" s="176" t="str">
        <f t="shared" si="64"/>
        <v/>
      </c>
      <c r="AA53" s="176" t="str">
        <f t="shared" si="64"/>
        <v/>
      </c>
      <c r="AB53" s="176" t="str">
        <f t="shared" si="64"/>
        <v/>
      </c>
      <c r="AC53" s="176" t="str">
        <f t="shared" si="64"/>
        <v/>
      </c>
      <c r="AD53" s="176" t="str">
        <f t="shared" si="64"/>
        <v/>
      </c>
      <c r="AE53" s="191">
        <v>29.0</v>
      </c>
      <c r="AF53" s="176" t="str">
        <f t="shared" ref="AF53:AL53" si="65">IFERROR(INDIRECT("'Bloque "&amp;$W$24&amp;" Semana "&amp;$W$23&amp;"'"&amp;"!"&amp;AF$47&amp;$AM53),"")</f>
        <v/>
      </c>
      <c r="AG53" s="176" t="str">
        <f t="shared" si="65"/>
        <v/>
      </c>
      <c r="AH53" s="176" t="str">
        <f t="shared" si="65"/>
        <v/>
      </c>
      <c r="AI53" s="176" t="str">
        <f t="shared" si="65"/>
        <v/>
      </c>
      <c r="AJ53" s="176" t="str">
        <f t="shared" si="65"/>
        <v/>
      </c>
      <c r="AK53" s="176" t="str">
        <f t="shared" si="65"/>
        <v/>
      </c>
      <c r="AL53" s="176" t="str">
        <f t="shared" si="65"/>
        <v/>
      </c>
      <c r="AM53" s="191">
        <v>29.0</v>
      </c>
      <c r="AN53" s="176" t="str">
        <f t="shared" ref="AN53:AT53" si="66">IFERROR(INDIRECT("'Bloque "&amp;$X$24&amp;" Semana "&amp;$X$23&amp;"'"&amp;"!"&amp;AN$47&amp;$AU53),"")</f>
        <v/>
      </c>
      <c r="AO53" s="176" t="str">
        <f t="shared" si="66"/>
        <v/>
      </c>
      <c r="AP53" s="176" t="str">
        <f t="shared" si="66"/>
        <v/>
      </c>
      <c r="AQ53" s="176" t="str">
        <f t="shared" si="66"/>
        <v/>
      </c>
      <c r="AR53" s="176" t="str">
        <f t="shared" si="66"/>
        <v/>
      </c>
      <c r="AS53" s="176" t="str">
        <f t="shared" si="66"/>
        <v/>
      </c>
      <c r="AT53" s="176" t="str">
        <f t="shared" si="66"/>
        <v/>
      </c>
      <c r="AU53" s="191">
        <v>29.0</v>
      </c>
      <c r="CA53" s="120" t="s">
        <v>199</v>
      </c>
      <c r="CB53" s="93" t="str">
        <f t="shared" ref="CB53:DB53" si="67">IFERROR(INDIRECT("'Bloque "&amp;V24&amp;" Semana "&amp;V23&amp;"'"&amp;"!"&amp;"CC17"),"")</f>
        <v/>
      </c>
      <c r="CC53" s="93" t="str">
        <f t="shared" si="67"/>
        <v/>
      </c>
      <c r="CD53" s="93" t="str">
        <f t="shared" si="67"/>
        <v/>
      </c>
      <c r="CE53" s="93" t="str">
        <f t="shared" si="67"/>
        <v/>
      </c>
      <c r="CF53" s="93" t="str">
        <f t="shared" si="67"/>
        <v/>
      </c>
      <c r="CG53" s="93" t="str">
        <f t="shared" si="67"/>
        <v/>
      </c>
      <c r="CH53" s="93" t="str">
        <f t="shared" si="67"/>
        <v/>
      </c>
      <c r="CI53" s="93" t="str">
        <f t="shared" si="67"/>
        <v/>
      </c>
      <c r="CJ53" s="93" t="str">
        <f t="shared" si="67"/>
        <v/>
      </c>
      <c r="CK53" s="93" t="str">
        <f t="shared" si="67"/>
        <v/>
      </c>
      <c r="CL53" s="93" t="str">
        <f t="shared" si="67"/>
        <v/>
      </c>
      <c r="CM53" s="93" t="str">
        <f t="shared" si="67"/>
        <v/>
      </c>
      <c r="CN53" s="93" t="str">
        <f t="shared" si="67"/>
        <v/>
      </c>
      <c r="CO53" s="93" t="str">
        <f t="shared" si="67"/>
        <v/>
      </c>
      <c r="CP53" s="93" t="str">
        <f t="shared" si="67"/>
        <v/>
      </c>
      <c r="CQ53" s="93" t="str">
        <f t="shared" si="67"/>
        <v/>
      </c>
      <c r="CR53" s="93" t="str">
        <f t="shared" si="67"/>
        <v/>
      </c>
      <c r="CS53" s="93" t="str">
        <f t="shared" si="67"/>
        <v/>
      </c>
      <c r="CT53" s="93" t="str">
        <f t="shared" si="67"/>
        <v/>
      </c>
      <c r="CU53" s="93" t="str">
        <f t="shared" si="67"/>
        <v/>
      </c>
      <c r="CV53" s="93" t="str">
        <f t="shared" si="67"/>
        <v/>
      </c>
      <c r="CW53" s="93" t="str">
        <f t="shared" si="67"/>
        <v/>
      </c>
      <c r="CX53" s="93" t="str">
        <f t="shared" si="67"/>
        <v/>
      </c>
      <c r="CY53" s="93" t="str">
        <f t="shared" si="67"/>
        <v/>
      </c>
      <c r="CZ53" s="93" t="str">
        <f t="shared" si="67"/>
        <v/>
      </c>
      <c r="DA53" s="93" t="str">
        <f t="shared" si="67"/>
        <v/>
      </c>
      <c r="DB53" s="93" t="str">
        <f t="shared" si="67"/>
        <v/>
      </c>
      <c r="DC53" s="93" t="str">
        <f t="shared" ref="DC53:EC53" si="68">IFERROR(INDIRECT("'Bloque "&amp;V41&amp;" Semana "&amp;V40&amp;"'"&amp;"!"&amp;"CC17"),"")</f>
        <v/>
      </c>
      <c r="DD53" s="93" t="str">
        <f t="shared" si="68"/>
        <v/>
      </c>
      <c r="DE53" s="93" t="str">
        <f t="shared" si="68"/>
        <v/>
      </c>
      <c r="DF53" s="93" t="str">
        <f t="shared" si="68"/>
        <v/>
      </c>
      <c r="DG53" s="93" t="str">
        <f t="shared" si="68"/>
        <v/>
      </c>
      <c r="DH53" s="93" t="str">
        <f t="shared" si="68"/>
        <v/>
      </c>
      <c r="DI53" s="93" t="str">
        <f t="shared" si="68"/>
        <v/>
      </c>
      <c r="DJ53" s="93" t="str">
        <f t="shared" si="68"/>
        <v/>
      </c>
      <c r="DK53" s="93" t="str">
        <f t="shared" si="68"/>
        <v/>
      </c>
      <c r="DL53" s="93" t="str">
        <f t="shared" si="68"/>
        <v/>
      </c>
      <c r="DM53" s="93" t="str">
        <f t="shared" si="68"/>
        <v/>
      </c>
      <c r="DN53" s="93" t="str">
        <f t="shared" si="68"/>
        <v/>
      </c>
      <c r="DO53" s="93" t="str">
        <f t="shared" si="68"/>
        <v/>
      </c>
      <c r="DP53" s="93" t="str">
        <f t="shared" si="68"/>
        <v/>
      </c>
      <c r="DQ53" s="93" t="str">
        <f t="shared" si="68"/>
        <v/>
      </c>
      <c r="DR53" s="93" t="str">
        <f t="shared" si="68"/>
        <v/>
      </c>
      <c r="DS53" s="93" t="str">
        <f t="shared" si="68"/>
        <v/>
      </c>
      <c r="DT53" s="93" t="str">
        <f t="shared" si="68"/>
        <v/>
      </c>
      <c r="DU53" s="93" t="str">
        <f t="shared" si="68"/>
        <v/>
      </c>
      <c r="DV53" s="93" t="str">
        <f t="shared" si="68"/>
        <v/>
      </c>
      <c r="DW53" s="93" t="str">
        <f t="shared" si="68"/>
        <v/>
      </c>
      <c r="DX53" s="93" t="str">
        <f t="shared" si="68"/>
        <v/>
      </c>
      <c r="DY53" s="93" t="str">
        <f t="shared" si="68"/>
        <v/>
      </c>
      <c r="DZ53" s="93" t="str">
        <f t="shared" si="68"/>
        <v/>
      </c>
      <c r="EA53" s="93" t="str">
        <f t="shared" si="68"/>
        <v/>
      </c>
      <c r="EB53" s="93" t="str">
        <f t="shared" si="68"/>
        <v/>
      </c>
      <c r="EC53" s="93" t="str">
        <f t="shared" si="68"/>
        <v/>
      </c>
    </row>
    <row r="54">
      <c r="A54" s="4"/>
      <c r="B54" s="4"/>
      <c r="C54" s="4"/>
      <c r="D54" s="122"/>
      <c r="E54" s="29"/>
      <c r="F54" s="29"/>
      <c r="G54" s="29"/>
      <c r="H54" s="29"/>
      <c r="I54" s="29"/>
      <c r="J54" s="29"/>
      <c r="K54" s="29"/>
      <c r="L54" s="29"/>
      <c r="M54" s="29"/>
      <c r="N54" s="29"/>
      <c r="O54" s="4"/>
      <c r="P54" s="4"/>
      <c r="Q54" s="4"/>
      <c r="R54" s="77"/>
      <c r="X54" s="176" t="str">
        <f t="shared" ref="X54:AD54" si="69">IFERROR(INDIRECT("'Bloque "&amp;$V$24&amp;" Semana "&amp;$V$23&amp;"'"&amp;"!"&amp;X$47&amp;$AE54),"")</f>
        <v/>
      </c>
      <c r="Y54" s="176" t="str">
        <f t="shared" si="69"/>
        <v/>
      </c>
      <c r="Z54" s="176" t="str">
        <f t="shared" si="69"/>
        <v/>
      </c>
      <c r="AA54" s="176" t="str">
        <f t="shared" si="69"/>
        <v/>
      </c>
      <c r="AB54" s="176" t="str">
        <f t="shared" si="69"/>
        <v/>
      </c>
      <c r="AC54" s="176" t="str">
        <f t="shared" si="69"/>
        <v/>
      </c>
      <c r="AD54" s="176" t="str">
        <f t="shared" si="69"/>
        <v/>
      </c>
      <c r="AE54" s="191">
        <v>30.0</v>
      </c>
      <c r="AF54" s="176" t="str">
        <f t="shared" ref="AF54:AL54" si="70">IFERROR(INDIRECT("'Bloque "&amp;$W$24&amp;" Semana "&amp;$W$23&amp;"'"&amp;"!"&amp;AF$47&amp;$AM54),"")</f>
        <v/>
      </c>
      <c r="AG54" s="176" t="str">
        <f t="shared" si="70"/>
        <v/>
      </c>
      <c r="AH54" s="176" t="str">
        <f t="shared" si="70"/>
        <v/>
      </c>
      <c r="AI54" s="176" t="str">
        <f t="shared" si="70"/>
        <v/>
      </c>
      <c r="AJ54" s="176" t="str">
        <f t="shared" si="70"/>
        <v/>
      </c>
      <c r="AK54" s="176" t="str">
        <f t="shared" si="70"/>
        <v/>
      </c>
      <c r="AL54" s="176" t="str">
        <f t="shared" si="70"/>
        <v/>
      </c>
      <c r="AM54" s="191">
        <v>30.0</v>
      </c>
      <c r="AN54" s="176" t="str">
        <f t="shared" ref="AN54:AT54" si="71">IFERROR(INDIRECT("'Bloque "&amp;$X$24&amp;" Semana "&amp;$X$23&amp;"'"&amp;"!"&amp;AN$47&amp;$AU54),"")</f>
        <v/>
      </c>
      <c r="AO54" s="176" t="str">
        <f t="shared" si="71"/>
        <v/>
      </c>
      <c r="AP54" s="176" t="str">
        <f t="shared" si="71"/>
        <v/>
      </c>
      <c r="AQ54" s="176" t="str">
        <f t="shared" si="71"/>
        <v/>
      </c>
      <c r="AR54" s="176" t="str">
        <f t="shared" si="71"/>
        <v/>
      </c>
      <c r="AS54" s="176" t="str">
        <f t="shared" si="71"/>
        <v/>
      </c>
      <c r="AT54" s="176" t="str">
        <f t="shared" si="71"/>
        <v/>
      </c>
      <c r="AU54" s="191">
        <v>30.0</v>
      </c>
      <c r="CA54" s="120" t="s">
        <v>200</v>
      </c>
      <c r="CB54" s="182" t="str">
        <f t="shared" ref="CB54:DB54" si="72">IFERROR(INDIRECT("'Bloque "&amp;V24&amp;" Semana "&amp;V23&amp;"'"&amp;"!"&amp;"CD17"),"")</f>
        <v/>
      </c>
      <c r="CC54" s="182" t="str">
        <f t="shared" si="72"/>
        <v/>
      </c>
      <c r="CD54" s="182" t="str">
        <f t="shared" si="72"/>
        <v/>
      </c>
      <c r="CE54" s="182" t="str">
        <f t="shared" si="72"/>
        <v/>
      </c>
      <c r="CF54" s="182" t="str">
        <f t="shared" si="72"/>
        <v/>
      </c>
      <c r="CG54" s="182" t="str">
        <f t="shared" si="72"/>
        <v/>
      </c>
      <c r="CH54" s="182" t="str">
        <f t="shared" si="72"/>
        <v/>
      </c>
      <c r="CI54" s="182" t="str">
        <f t="shared" si="72"/>
        <v/>
      </c>
      <c r="CJ54" s="182" t="str">
        <f t="shared" si="72"/>
        <v/>
      </c>
      <c r="CK54" s="182" t="str">
        <f t="shared" si="72"/>
        <v/>
      </c>
      <c r="CL54" s="182" t="str">
        <f t="shared" si="72"/>
        <v/>
      </c>
      <c r="CM54" s="182" t="str">
        <f t="shared" si="72"/>
        <v/>
      </c>
      <c r="CN54" s="182" t="str">
        <f t="shared" si="72"/>
        <v/>
      </c>
      <c r="CO54" s="182" t="str">
        <f t="shared" si="72"/>
        <v/>
      </c>
      <c r="CP54" s="182" t="str">
        <f t="shared" si="72"/>
        <v/>
      </c>
      <c r="CQ54" s="182" t="str">
        <f t="shared" si="72"/>
        <v/>
      </c>
      <c r="CR54" s="182" t="str">
        <f t="shared" si="72"/>
        <v/>
      </c>
      <c r="CS54" s="182" t="str">
        <f t="shared" si="72"/>
        <v/>
      </c>
      <c r="CT54" s="182" t="str">
        <f t="shared" si="72"/>
        <v/>
      </c>
      <c r="CU54" s="182" t="str">
        <f t="shared" si="72"/>
        <v/>
      </c>
      <c r="CV54" s="182" t="str">
        <f t="shared" si="72"/>
        <v/>
      </c>
      <c r="CW54" s="182" t="str">
        <f t="shared" si="72"/>
        <v/>
      </c>
      <c r="CX54" s="182" t="str">
        <f t="shared" si="72"/>
        <v/>
      </c>
      <c r="CY54" s="182" t="str">
        <f t="shared" si="72"/>
        <v/>
      </c>
      <c r="CZ54" s="182" t="str">
        <f t="shared" si="72"/>
        <v/>
      </c>
      <c r="DA54" s="182" t="str">
        <f t="shared" si="72"/>
        <v/>
      </c>
      <c r="DB54" s="182" t="str">
        <f t="shared" si="72"/>
        <v/>
      </c>
      <c r="DC54" s="182" t="str">
        <f t="shared" ref="DC54:EC54" si="73">IFERROR(INDIRECT("'Bloque "&amp;V41&amp;" Semana "&amp;V40&amp;"'"&amp;"!"&amp;"CD17"),"")</f>
        <v/>
      </c>
      <c r="DD54" s="182" t="str">
        <f t="shared" si="73"/>
        <v/>
      </c>
      <c r="DE54" s="182" t="str">
        <f t="shared" si="73"/>
        <v/>
      </c>
      <c r="DF54" s="182" t="str">
        <f t="shared" si="73"/>
        <v/>
      </c>
      <c r="DG54" s="182" t="str">
        <f t="shared" si="73"/>
        <v/>
      </c>
      <c r="DH54" s="182" t="str">
        <f t="shared" si="73"/>
        <v/>
      </c>
      <c r="DI54" s="182" t="str">
        <f t="shared" si="73"/>
        <v/>
      </c>
      <c r="DJ54" s="182" t="str">
        <f t="shared" si="73"/>
        <v/>
      </c>
      <c r="DK54" s="182" t="str">
        <f t="shared" si="73"/>
        <v/>
      </c>
      <c r="DL54" s="182" t="str">
        <f t="shared" si="73"/>
        <v/>
      </c>
      <c r="DM54" s="182" t="str">
        <f t="shared" si="73"/>
        <v/>
      </c>
      <c r="DN54" s="182" t="str">
        <f t="shared" si="73"/>
        <v/>
      </c>
      <c r="DO54" s="182" t="str">
        <f t="shared" si="73"/>
        <v/>
      </c>
      <c r="DP54" s="182" t="str">
        <f t="shared" si="73"/>
        <v/>
      </c>
      <c r="DQ54" s="182" t="str">
        <f t="shared" si="73"/>
        <v/>
      </c>
      <c r="DR54" s="182" t="str">
        <f t="shared" si="73"/>
        <v/>
      </c>
      <c r="DS54" s="182" t="str">
        <f t="shared" si="73"/>
        <v/>
      </c>
      <c r="DT54" s="182" t="str">
        <f t="shared" si="73"/>
        <v/>
      </c>
      <c r="DU54" s="182" t="str">
        <f t="shared" si="73"/>
        <v/>
      </c>
      <c r="DV54" s="182" t="str">
        <f t="shared" si="73"/>
        <v/>
      </c>
      <c r="DW54" s="182" t="str">
        <f t="shared" si="73"/>
        <v/>
      </c>
      <c r="DX54" s="182" t="str">
        <f t="shared" si="73"/>
        <v/>
      </c>
      <c r="DY54" s="182" t="str">
        <f t="shared" si="73"/>
        <v/>
      </c>
      <c r="DZ54" s="182" t="str">
        <f t="shared" si="73"/>
        <v/>
      </c>
      <c r="EA54" s="182" t="str">
        <f t="shared" si="73"/>
        <v/>
      </c>
      <c r="EB54" s="182" t="str">
        <f t="shared" si="73"/>
        <v/>
      </c>
      <c r="EC54" s="182" t="str">
        <f t="shared" si="73"/>
        <v/>
      </c>
    </row>
    <row r="55">
      <c r="A55" s="4"/>
      <c r="B55" s="4"/>
      <c r="C55" s="4"/>
      <c r="D55" s="122"/>
      <c r="E55" s="29"/>
      <c r="F55" s="29"/>
      <c r="G55" s="29"/>
      <c r="H55" s="29"/>
      <c r="I55" s="29"/>
      <c r="J55" s="29"/>
      <c r="K55" s="29"/>
      <c r="L55" s="29"/>
      <c r="M55" s="29"/>
      <c r="N55" s="29"/>
      <c r="O55" s="4"/>
      <c r="P55" s="4"/>
      <c r="Q55" s="4"/>
      <c r="R55" s="77"/>
      <c r="X55" s="176" t="str">
        <f t="shared" ref="X55:AD55" si="74">IFERROR(INDIRECT("'Bloque "&amp;$V$24&amp;" Semana "&amp;$V$23&amp;"'"&amp;"!"&amp;X$47&amp;$AE55),"")</f>
        <v/>
      </c>
      <c r="Y55" s="176" t="str">
        <f t="shared" si="74"/>
        <v/>
      </c>
      <c r="Z55" s="176" t="str">
        <f t="shared" si="74"/>
        <v/>
      </c>
      <c r="AA55" s="176" t="str">
        <f t="shared" si="74"/>
        <v/>
      </c>
      <c r="AB55" s="176" t="str">
        <f t="shared" si="74"/>
        <v/>
      </c>
      <c r="AC55" s="176" t="str">
        <f t="shared" si="74"/>
        <v/>
      </c>
      <c r="AD55" s="176" t="str">
        <f t="shared" si="74"/>
        <v/>
      </c>
      <c r="AE55" s="191">
        <v>31.0</v>
      </c>
      <c r="AF55" s="176" t="str">
        <f t="shared" ref="AF55:AL55" si="75">IFERROR(INDIRECT("'Bloque "&amp;$W$24&amp;" Semana "&amp;$W$23&amp;"'"&amp;"!"&amp;AF$47&amp;$AM55),"")</f>
        <v/>
      </c>
      <c r="AG55" s="176" t="str">
        <f t="shared" si="75"/>
        <v/>
      </c>
      <c r="AH55" s="176" t="str">
        <f t="shared" si="75"/>
        <v/>
      </c>
      <c r="AI55" s="176" t="str">
        <f t="shared" si="75"/>
        <v/>
      </c>
      <c r="AJ55" s="176" t="str">
        <f t="shared" si="75"/>
        <v/>
      </c>
      <c r="AK55" s="176" t="str">
        <f t="shared" si="75"/>
        <v/>
      </c>
      <c r="AL55" s="176" t="str">
        <f t="shared" si="75"/>
        <v/>
      </c>
      <c r="AM55" s="191">
        <v>31.0</v>
      </c>
      <c r="AN55" s="176" t="str">
        <f t="shared" ref="AN55:AT55" si="76">IFERROR(INDIRECT("'Bloque "&amp;$X$24&amp;" Semana "&amp;$X$23&amp;"'"&amp;"!"&amp;AN$47&amp;$AU55),"")</f>
        <v/>
      </c>
      <c r="AO55" s="176" t="str">
        <f t="shared" si="76"/>
        <v/>
      </c>
      <c r="AP55" s="176" t="str">
        <f t="shared" si="76"/>
        <v/>
      </c>
      <c r="AQ55" s="176" t="str">
        <f t="shared" si="76"/>
        <v/>
      </c>
      <c r="AR55" s="176" t="str">
        <f t="shared" si="76"/>
        <v/>
      </c>
      <c r="AS55" s="176" t="str">
        <f t="shared" si="76"/>
        <v/>
      </c>
      <c r="AT55" s="176" t="str">
        <f t="shared" si="76"/>
        <v/>
      </c>
      <c r="AU55" s="191">
        <v>31.0</v>
      </c>
    </row>
    <row r="56">
      <c r="A56" s="4"/>
      <c r="B56" s="4"/>
      <c r="C56" s="4"/>
      <c r="D56" s="122"/>
      <c r="E56" s="29"/>
      <c r="F56" s="29"/>
      <c r="G56" s="29"/>
      <c r="H56" s="29"/>
      <c r="I56" s="29"/>
      <c r="J56" s="29"/>
      <c r="K56" s="29"/>
      <c r="L56" s="29"/>
      <c r="M56" s="29"/>
      <c r="N56" s="29"/>
      <c r="O56" s="4"/>
      <c r="P56" s="4"/>
      <c r="Q56" s="4"/>
      <c r="R56" s="77"/>
      <c r="X56" s="176" t="str">
        <f t="shared" ref="X56:AD56" si="77">IFERROR(INDIRECT("'Bloque "&amp;$V$24&amp;" Semana "&amp;$V$23&amp;"'"&amp;"!"&amp;X$47&amp;$AE56),"")</f>
        <v/>
      </c>
      <c r="Y56" s="176" t="str">
        <f t="shared" si="77"/>
        <v/>
      </c>
      <c r="Z56" s="176" t="str">
        <f t="shared" si="77"/>
        <v/>
      </c>
      <c r="AA56" s="176" t="str">
        <f t="shared" si="77"/>
        <v/>
      </c>
      <c r="AB56" s="176" t="str">
        <f t="shared" si="77"/>
        <v/>
      </c>
      <c r="AC56" s="176" t="str">
        <f t="shared" si="77"/>
        <v/>
      </c>
      <c r="AD56" s="176" t="str">
        <f t="shared" si="77"/>
        <v/>
      </c>
      <c r="AE56" s="191">
        <v>32.0</v>
      </c>
      <c r="AF56" s="176" t="str">
        <f t="shared" ref="AF56:AL56" si="78">IFERROR(INDIRECT("'Bloque "&amp;$W$24&amp;" Semana "&amp;$W$23&amp;"'"&amp;"!"&amp;AF$47&amp;$AM56),"")</f>
        <v/>
      </c>
      <c r="AG56" s="176" t="str">
        <f t="shared" si="78"/>
        <v/>
      </c>
      <c r="AH56" s="176" t="str">
        <f t="shared" si="78"/>
        <v/>
      </c>
      <c r="AI56" s="176" t="str">
        <f t="shared" si="78"/>
        <v/>
      </c>
      <c r="AJ56" s="176" t="str">
        <f t="shared" si="78"/>
        <v/>
      </c>
      <c r="AK56" s="176" t="str">
        <f t="shared" si="78"/>
        <v/>
      </c>
      <c r="AL56" s="176" t="str">
        <f t="shared" si="78"/>
        <v/>
      </c>
      <c r="AM56" s="191">
        <v>32.0</v>
      </c>
      <c r="AN56" s="176" t="str">
        <f t="shared" ref="AN56:AT56" si="79">IFERROR(INDIRECT("'Bloque "&amp;$X$24&amp;" Semana "&amp;$X$23&amp;"'"&amp;"!"&amp;AN$47&amp;$AU56),"")</f>
        <v/>
      </c>
      <c r="AO56" s="176" t="str">
        <f t="shared" si="79"/>
        <v/>
      </c>
      <c r="AP56" s="176" t="str">
        <f t="shared" si="79"/>
        <v/>
      </c>
      <c r="AQ56" s="176" t="str">
        <f t="shared" si="79"/>
        <v/>
      </c>
      <c r="AR56" s="176" t="str">
        <f t="shared" si="79"/>
        <v/>
      </c>
      <c r="AS56" s="176" t="str">
        <f t="shared" si="79"/>
        <v/>
      </c>
      <c r="AT56" s="176" t="str">
        <f t="shared" si="79"/>
        <v/>
      </c>
      <c r="AU56" s="191">
        <v>32.0</v>
      </c>
    </row>
    <row r="57">
      <c r="A57" s="4"/>
      <c r="B57" s="4"/>
      <c r="C57" s="4"/>
      <c r="D57" s="122"/>
      <c r="E57" s="29"/>
      <c r="F57" s="29"/>
      <c r="G57" s="29"/>
      <c r="H57" s="29"/>
      <c r="I57" s="29"/>
      <c r="J57" s="29"/>
      <c r="K57" s="29"/>
      <c r="L57" s="29"/>
      <c r="M57" s="29"/>
      <c r="N57" s="29"/>
      <c r="O57" s="4"/>
      <c r="P57" s="4"/>
      <c r="Q57" s="4"/>
      <c r="R57" s="77"/>
      <c r="X57" s="176" t="str">
        <f t="shared" ref="X57:AD57" si="80">IFERROR(INDIRECT("'Bloque "&amp;$V$24&amp;" Semana "&amp;$V$23&amp;"'"&amp;"!"&amp;X$47&amp;$AE57),"")</f>
        <v/>
      </c>
      <c r="Y57" s="176" t="str">
        <f t="shared" si="80"/>
        <v/>
      </c>
      <c r="Z57" s="176" t="str">
        <f t="shared" si="80"/>
        <v/>
      </c>
      <c r="AA57" s="176" t="str">
        <f t="shared" si="80"/>
        <v/>
      </c>
      <c r="AB57" s="176" t="str">
        <f t="shared" si="80"/>
        <v/>
      </c>
      <c r="AC57" s="176" t="str">
        <f t="shared" si="80"/>
        <v/>
      </c>
      <c r="AD57" s="176" t="str">
        <f t="shared" si="80"/>
        <v/>
      </c>
      <c r="AE57" s="191">
        <v>33.0</v>
      </c>
      <c r="AF57" s="176" t="str">
        <f t="shared" ref="AF57:AL57" si="81">IFERROR(INDIRECT("'Bloque "&amp;$W$24&amp;" Semana "&amp;$W$23&amp;"'"&amp;"!"&amp;AF$47&amp;$AM57),"")</f>
        <v/>
      </c>
      <c r="AG57" s="176" t="str">
        <f t="shared" si="81"/>
        <v/>
      </c>
      <c r="AH57" s="176" t="str">
        <f t="shared" si="81"/>
        <v/>
      </c>
      <c r="AI57" s="176" t="str">
        <f t="shared" si="81"/>
        <v/>
      </c>
      <c r="AJ57" s="176" t="str">
        <f t="shared" si="81"/>
        <v/>
      </c>
      <c r="AK57" s="176" t="str">
        <f t="shared" si="81"/>
        <v/>
      </c>
      <c r="AL57" s="176" t="str">
        <f t="shared" si="81"/>
        <v/>
      </c>
      <c r="AM57" s="191">
        <v>33.0</v>
      </c>
      <c r="AN57" s="176" t="str">
        <f t="shared" ref="AN57:AT57" si="82">IFERROR(INDIRECT("'Bloque "&amp;$X$24&amp;" Semana "&amp;$X$23&amp;"'"&amp;"!"&amp;AN$47&amp;$AU57),"")</f>
        <v/>
      </c>
      <c r="AO57" s="176" t="str">
        <f t="shared" si="82"/>
        <v/>
      </c>
      <c r="AP57" s="176" t="str">
        <f t="shared" si="82"/>
        <v/>
      </c>
      <c r="AQ57" s="176" t="str">
        <f t="shared" si="82"/>
        <v/>
      </c>
      <c r="AR57" s="176" t="str">
        <f t="shared" si="82"/>
        <v/>
      </c>
      <c r="AS57" s="176" t="str">
        <f t="shared" si="82"/>
        <v/>
      </c>
      <c r="AT57" s="176" t="str">
        <f t="shared" si="82"/>
        <v/>
      </c>
      <c r="AU57" s="191">
        <v>33.0</v>
      </c>
    </row>
    <row r="58">
      <c r="A58" s="4"/>
      <c r="B58" s="4"/>
      <c r="C58" s="4"/>
      <c r="D58" s="122"/>
      <c r="E58" s="29"/>
      <c r="F58" s="29"/>
      <c r="G58" s="29"/>
      <c r="H58" s="29"/>
      <c r="I58" s="29"/>
      <c r="J58" s="29"/>
      <c r="K58" s="29"/>
      <c r="L58" s="29"/>
      <c r="M58" s="29"/>
      <c r="N58" s="29"/>
      <c r="O58" s="4"/>
      <c r="P58" s="4"/>
      <c r="Q58" s="4"/>
      <c r="R58" s="77"/>
      <c r="X58" s="176" t="str">
        <f t="shared" ref="X58:AD58" si="83">IFERROR(INDIRECT("'Bloque "&amp;$V$24&amp;" Semana "&amp;$V$23&amp;"'"&amp;"!"&amp;X$47&amp;$AE58),"")</f>
        <v/>
      </c>
      <c r="Y58" s="176" t="str">
        <f t="shared" si="83"/>
        <v/>
      </c>
      <c r="Z58" s="176" t="str">
        <f t="shared" si="83"/>
        <v/>
      </c>
      <c r="AA58" s="176" t="str">
        <f t="shared" si="83"/>
        <v/>
      </c>
      <c r="AB58" s="176" t="str">
        <f t="shared" si="83"/>
        <v/>
      </c>
      <c r="AC58" s="176" t="str">
        <f t="shared" si="83"/>
        <v/>
      </c>
      <c r="AD58" s="176" t="str">
        <f t="shared" si="83"/>
        <v/>
      </c>
      <c r="AE58" s="191">
        <v>34.0</v>
      </c>
      <c r="AF58" s="176" t="str">
        <f t="shared" ref="AF58:AL58" si="84">IFERROR(INDIRECT("'Bloque "&amp;$W$24&amp;" Semana "&amp;$W$23&amp;"'"&amp;"!"&amp;AF$47&amp;$AM58),"")</f>
        <v/>
      </c>
      <c r="AG58" s="176" t="str">
        <f t="shared" si="84"/>
        <v/>
      </c>
      <c r="AH58" s="176" t="str">
        <f t="shared" si="84"/>
        <v/>
      </c>
      <c r="AI58" s="176" t="str">
        <f t="shared" si="84"/>
        <v/>
      </c>
      <c r="AJ58" s="176" t="str">
        <f t="shared" si="84"/>
        <v/>
      </c>
      <c r="AK58" s="176" t="str">
        <f t="shared" si="84"/>
        <v/>
      </c>
      <c r="AL58" s="176" t="str">
        <f t="shared" si="84"/>
        <v/>
      </c>
      <c r="AM58" s="191">
        <v>34.0</v>
      </c>
      <c r="AN58" s="176" t="str">
        <f t="shared" ref="AN58:AT58" si="85">IFERROR(INDIRECT("'Bloque "&amp;$X$24&amp;" Semana "&amp;$X$23&amp;"'"&amp;"!"&amp;AN$47&amp;$AU58),"")</f>
        <v/>
      </c>
      <c r="AO58" s="176" t="str">
        <f t="shared" si="85"/>
        <v/>
      </c>
      <c r="AP58" s="176" t="str">
        <f t="shared" si="85"/>
        <v/>
      </c>
      <c r="AQ58" s="176" t="str">
        <f t="shared" si="85"/>
        <v/>
      </c>
      <c r="AR58" s="176" t="str">
        <f t="shared" si="85"/>
        <v/>
      </c>
      <c r="AS58" s="176" t="str">
        <f t="shared" si="85"/>
        <v/>
      </c>
      <c r="AT58" s="176" t="str">
        <f t="shared" si="85"/>
        <v/>
      </c>
      <c r="AU58" s="191">
        <v>34.0</v>
      </c>
    </row>
    <row r="59">
      <c r="A59" s="4"/>
      <c r="B59" s="4"/>
      <c r="C59" s="4"/>
      <c r="D59" s="122"/>
      <c r="E59" s="29"/>
      <c r="F59" s="29"/>
      <c r="G59" s="29"/>
      <c r="H59" s="29"/>
      <c r="I59" s="29"/>
      <c r="J59" s="29"/>
      <c r="K59" s="29"/>
      <c r="L59" s="29"/>
      <c r="M59" s="29"/>
      <c r="N59" s="29"/>
      <c r="O59" s="4"/>
      <c r="P59" s="4"/>
      <c r="Q59" s="4"/>
      <c r="R59" s="77"/>
      <c r="X59" s="176" t="str">
        <f t="shared" ref="X59:AD59" si="86">IFERROR(INDIRECT("'Bloque "&amp;$V$24&amp;" Semana "&amp;$V$23&amp;"'"&amp;"!"&amp;X$47&amp;$AE59),"")</f>
        <v/>
      </c>
      <c r="Y59" s="176" t="str">
        <f t="shared" si="86"/>
        <v/>
      </c>
      <c r="Z59" s="176" t="str">
        <f t="shared" si="86"/>
        <v/>
      </c>
      <c r="AA59" s="176" t="str">
        <f t="shared" si="86"/>
        <v/>
      </c>
      <c r="AB59" s="176" t="str">
        <f t="shared" si="86"/>
        <v/>
      </c>
      <c r="AC59" s="176" t="str">
        <f t="shared" si="86"/>
        <v/>
      </c>
      <c r="AD59" s="176" t="str">
        <f t="shared" si="86"/>
        <v/>
      </c>
      <c r="AE59" s="191">
        <v>35.0</v>
      </c>
      <c r="AF59" s="176" t="str">
        <f t="shared" ref="AF59:AL59" si="87">IFERROR(INDIRECT("'Bloque "&amp;$W$24&amp;" Semana "&amp;$W$23&amp;"'"&amp;"!"&amp;AF$47&amp;$AM59),"")</f>
        <v/>
      </c>
      <c r="AG59" s="176" t="str">
        <f t="shared" si="87"/>
        <v/>
      </c>
      <c r="AH59" s="176" t="str">
        <f t="shared" si="87"/>
        <v/>
      </c>
      <c r="AI59" s="176" t="str">
        <f t="shared" si="87"/>
        <v/>
      </c>
      <c r="AJ59" s="176" t="str">
        <f t="shared" si="87"/>
        <v/>
      </c>
      <c r="AK59" s="176" t="str">
        <f t="shared" si="87"/>
        <v/>
      </c>
      <c r="AL59" s="176" t="str">
        <f t="shared" si="87"/>
        <v/>
      </c>
      <c r="AM59" s="191">
        <v>35.0</v>
      </c>
      <c r="AN59" s="176" t="str">
        <f t="shared" ref="AN59:AT59" si="88">IFERROR(INDIRECT("'Bloque "&amp;$X$24&amp;" Semana "&amp;$X$23&amp;"'"&amp;"!"&amp;AN$47&amp;$AU59),"")</f>
        <v/>
      </c>
      <c r="AO59" s="176" t="str">
        <f t="shared" si="88"/>
        <v/>
      </c>
      <c r="AP59" s="176" t="str">
        <f t="shared" si="88"/>
        <v/>
      </c>
      <c r="AQ59" s="176" t="str">
        <f t="shared" si="88"/>
        <v/>
      </c>
      <c r="AR59" s="176" t="str">
        <f t="shared" si="88"/>
        <v/>
      </c>
      <c r="AS59" s="176" t="str">
        <f t="shared" si="88"/>
        <v/>
      </c>
      <c r="AT59" s="176" t="str">
        <f t="shared" si="88"/>
        <v/>
      </c>
      <c r="AU59" s="191">
        <v>35.0</v>
      </c>
    </row>
    <row r="60">
      <c r="A60" s="4"/>
      <c r="B60" s="4"/>
      <c r="C60" s="4"/>
      <c r="D60" s="122"/>
      <c r="E60" s="29"/>
      <c r="F60" s="29"/>
      <c r="G60" s="29"/>
      <c r="H60" s="29"/>
      <c r="I60" s="29"/>
      <c r="J60" s="29"/>
      <c r="K60" s="29"/>
      <c r="L60" s="29"/>
      <c r="M60" s="29"/>
      <c r="N60" s="29"/>
      <c r="O60" s="4"/>
      <c r="P60" s="4"/>
      <c r="Q60" s="4"/>
      <c r="R60" s="77"/>
      <c r="V60" s="176"/>
      <c r="W60" s="176"/>
      <c r="X60" s="176"/>
      <c r="Y60" s="176"/>
      <c r="Z60" s="176"/>
      <c r="AA60" s="176"/>
      <c r="AB60" s="176"/>
      <c r="AC60" s="176"/>
      <c r="AD60" s="176"/>
      <c r="AE60" s="192"/>
      <c r="AF60" s="176"/>
      <c r="AG60" s="176"/>
      <c r="AH60" s="176"/>
      <c r="AI60" s="176"/>
      <c r="AJ60" s="176"/>
      <c r="AK60" s="176"/>
      <c r="AL60" s="176"/>
      <c r="AM60" s="192"/>
      <c r="AN60" s="176"/>
      <c r="AO60" s="176"/>
      <c r="AP60" s="176"/>
      <c r="AQ60" s="176"/>
      <c r="AR60" s="176"/>
      <c r="AU60" s="187"/>
    </row>
    <row r="61">
      <c r="A61" s="193"/>
      <c r="B61" s="193"/>
      <c r="C61" s="193"/>
      <c r="D61" s="194"/>
      <c r="E61" s="195"/>
      <c r="F61" s="195"/>
      <c r="G61" s="195"/>
      <c r="H61" s="195"/>
      <c r="I61" s="195"/>
      <c r="J61" s="195"/>
      <c r="K61" s="195"/>
      <c r="L61" s="195"/>
      <c r="M61" s="195"/>
      <c r="N61" s="195"/>
      <c r="O61" s="193"/>
      <c r="P61" s="193"/>
      <c r="Q61" s="193"/>
      <c r="R61" s="196"/>
      <c r="S61" s="187"/>
      <c r="T61" s="187"/>
      <c r="U61" s="187"/>
      <c r="V61" s="192"/>
      <c r="W61" s="192"/>
      <c r="X61" s="186" t="s">
        <v>202</v>
      </c>
      <c r="Y61" s="186" t="s">
        <v>203</v>
      </c>
      <c r="Z61" s="186" t="s">
        <v>209</v>
      </c>
      <c r="AA61" s="186" t="s">
        <v>205</v>
      </c>
      <c r="AB61" s="186" t="s">
        <v>206</v>
      </c>
      <c r="AC61" s="186" t="s">
        <v>207</v>
      </c>
      <c r="AD61" s="186" t="s">
        <v>208</v>
      </c>
      <c r="AE61" s="187"/>
      <c r="AF61" s="186" t="s">
        <v>202</v>
      </c>
      <c r="AG61" s="186" t="s">
        <v>203</v>
      </c>
      <c r="AH61" s="186" t="s">
        <v>209</v>
      </c>
      <c r="AI61" s="186" t="s">
        <v>205</v>
      </c>
      <c r="AJ61" s="186" t="s">
        <v>206</v>
      </c>
      <c r="AK61" s="186" t="s">
        <v>207</v>
      </c>
      <c r="AL61" s="186" t="s">
        <v>208</v>
      </c>
      <c r="AM61" s="187"/>
      <c r="AN61" s="186" t="s">
        <v>202</v>
      </c>
      <c r="AO61" s="186" t="s">
        <v>203</v>
      </c>
      <c r="AP61" s="186" t="s">
        <v>209</v>
      </c>
      <c r="AQ61" s="186" t="s">
        <v>205</v>
      </c>
      <c r="AR61" s="186" t="s">
        <v>206</v>
      </c>
      <c r="AS61" s="186" t="s">
        <v>207</v>
      </c>
      <c r="AT61" s="186" t="s">
        <v>208</v>
      </c>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187"/>
      <c r="BT61" s="187"/>
      <c r="BU61" s="187"/>
      <c r="BV61" s="187"/>
      <c r="BW61" s="187"/>
      <c r="BX61" s="187"/>
      <c r="BY61" s="187"/>
      <c r="BZ61" s="187"/>
      <c r="CA61" s="187"/>
      <c r="CB61" s="187"/>
      <c r="CC61" s="187"/>
      <c r="CD61" s="187"/>
      <c r="CE61" s="187"/>
      <c r="CF61" s="187"/>
      <c r="CG61" s="187"/>
      <c r="CH61" s="187"/>
      <c r="CI61" s="187"/>
      <c r="CJ61" s="187"/>
      <c r="CK61" s="187"/>
      <c r="CL61" s="187"/>
      <c r="CM61" s="187"/>
      <c r="CN61" s="187"/>
      <c r="CO61" s="187"/>
      <c r="CP61" s="187"/>
      <c r="CQ61" s="187"/>
      <c r="CR61" s="187"/>
      <c r="CS61" s="187"/>
      <c r="CT61" s="187"/>
      <c r="CU61" s="187"/>
      <c r="CV61" s="187"/>
      <c r="CW61" s="187"/>
      <c r="CX61" s="187"/>
      <c r="CY61" s="187"/>
      <c r="CZ61" s="187"/>
      <c r="DA61" s="187"/>
      <c r="DB61" s="187"/>
      <c r="DC61" s="187"/>
      <c r="DD61" s="187"/>
      <c r="DE61" s="187"/>
      <c r="DF61" s="187"/>
      <c r="DG61" s="187"/>
      <c r="DH61" s="187"/>
      <c r="DI61" s="187"/>
      <c r="DJ61" s="187"/>
      <c r="DK61" s="187"/>
      <c r="DL61" s="187"/>
      <c r="DM61" s="187"/>
      <c r="DN61" s="187"/>
      <c r="DO61" s="187"/>
      <c r="DP61" s="187"/>
      <c r="DQ61" s="187"/>
      <c r="DR61" s="187"/>
      <c r="DS61" s="187"/>
      <c r="DT61" s="187"/>
      <c r="DU61" s="187"/>
      <c r="DV61" s="187"/>
      <c r="DW61" s="187"/>
      <c r="DX61" s="187"/>
      <c r="DY61" s="187"/>
      <c r="DZ61" s="187"/>
      <c r="EA61" s="187"/>
      <c r="EB61" s="187"/>
      <c r="EC61" s="187"/>
      <c r="ED61" s="187"/>
      <c r="EE61" s="187"/>
      <c r="EF61" s="187"/>
      <c r="EG61" s="187"/>
      <c r="EH61" s="187"/>
      <c r="EI61" s="187"/>
      <c r="EJ61" s="187"/>
    </row>
    <row r="62">
      <c r="A62" s="4"/>
      <c r="B62" s="4"/>
      <c r="C62" s="4"/>
      <c r="D62" s="122"/>
      <c r="E62" s="29"/>
      <c r="F62" s="29"/>
      <c r="G62" s="29"/>
      <c r="H62" s="29"/>
      <c r="I62" s="29"/>
      <c r="J62" s="29"/>
      <c r="K62" s="29"/>
      <c r="L62" s="29"/>
      <c r="M62" s="29"/>
      <c r="N62" s="29"/>
      <c r="O62" s="4"/>
      <c r="P62" s="4"/>
      <c r="Q62" s="4"/>
      <c r="R62" s="77"/>
      <c r="V62" s="176"/>
      <c r="W62" s="176"/>
      <c r="X62" s="188" t="str">
        <f t="array" ref="X62">IFERROR(INDIRECT("'Bloque "&amp;$Y$24&amp;" Semana "&amp;$Y$23&amp;"'"&amp;"!"&amp;"E37"),"")</f>
        <v/>
      </c>
      <c r="AE62" s="186">
        <v>26.0</v>
      </c>
      <c r="AF62" s="188" t="str">
        <f t="array" ref="AF62">IFERROR(INDIRECT("'Bloque "&amp;$Z$24&amp;" Semana "&amp;$Z$23&amp;"'"&amp;"!"&amp;"E37"),"")</f>
        <v/>
      </c>
      <c r="AM62" s="186">
        <v>26.0</v>
      </c>
      <c r="AN62" s="188" t="str">
        <f t="array" ref="AN62">IFERROR(INDIRECT("'Bloque "&amp;$AA$24&amp;" Semana "&amp;$AA$23&amp;"'"&amp;"!"&amp;"E37"),"")</f>
        <v/>
      </c>
      <c r="AU62" s="186">
        <v>26.0</v>
      </c>
    </row>
    <row r="63">
      <c r="A63" s="4"/>
      <c r="B63" s="4"/>
      <c r="C63" s="4"/>
      <c r="D63" s="122"/>
      <c r="E63" s="29"/>
      <c r="F63" s="29"/>
      <c r="G63" s="29"/>
      <c r="H63" s="29"/>
      <c r="I63" s="29"/>
      <c r="J63" s="29"/>
      <c r="K63" s="29"/>
      <c r="L63" s="29"/>
      <c r="M63" s="29"/>
      <c r="N63" s="29"/>
      <c r="O63" s="4"/>
      <c r="P63" s="4"/>
      <c r="Q63" s="4"/>
      <c r="R63" s="77"/>
      <c r="V63" s="176"/>
      <c r="W63" s="176"/>
      <c r="X63" s="176" t="str">
        <f t="array" ref="X63">IFERROR(INDIRECT("'Bloque "&amp;$Y$24&amp;" Semana "&amp;$Y$23&amp;"'"&amp;"!"&amp;"E25"),"")</f>
        <v/>
      </c>
      <c r="AE63" s="186">
        <v>25.0</v>
      </c>
      <c r="AF63" s="176" t="str">
        <f t="array" ref="AF63">IFERROR(INDIRECT("'Bloque "&amp;$Z$24&amp;" Semana "&amp;$Z$23&amp;"'"&amp;"!"&amp;"E25"),"")</f>
        <v/>
      </c>
      <c r="AM63" s="186">
        <v>25.0</v>
      </c>
      <c r="AN63" s="176" t="str">
        <f t="array" ref="AN63">IFERROR(INDIRECT("'Bloque "&amp;$AA$24&amp;" Semana "&amp;$AA$23&amp;"'"&amp;"!"&amp;"E25"),"")</f>
        <v/>
      </c>
      <c r="AU63" s="186">
        <v>25.0</v>
      </c>
    </row>
    <row r="64">
      <c r="A64" s="4"/>
      <c r="B64" s="4"/>
      <c r="C64" s="4"/>
      <c r="D64" s="122"/>
      <c r="E64" s="29"/>
      <c r="F64" s="29"/>
      <c r="G64" s="29"/>
      <c r="H64" s="29"/>
      <c r="I64" s="29"/>
      <c r="J64" s="29"/>
      <c r="K64" s="29"/>
      <c r="L64" s="29"/>
      <c r="M64" s="29"/>
      <c r="N64" s="29"/>
      <c r="O64" s="4"/>
      <c r="P64" s="4"/>
      <c r="Q64" s="4"/>
      <c r="R64" s="77"/>
      <c r="V64" s="176"/>
      <c r="W64" s="176"/>
      <c r="X64" s="189" t="str">
        <f t="array" ref="X64">IFERROR(INDIRECT("'Bloque "&amp;$Y$24&amp;" Semana "&amp;$Y$23&amp;"'"&amp;"!"&amp;"E26"),"")</f>
        <v/>
      </c>
      <c r="AE64" s="186">
        <v>26.0</v>
      </c>
      <c r="AF64" s="189" t="str">
        <f t="array" ref="AF64">IFERROR(INDIRECT("'Bloque "&amp;$Z$24&amp;" Semana "&amp;$Z$23&amp;"'"&amp;"!"&amp;"E26"),"")</f>
        <v/>
      </c>
      <c r="AM64" s="186">
        <v>26.0</v>
      </c>
      <c r="AN64" s="189" t="str">
        <f t="array" ref="AN64">IFERROR(INDIRECT("'Bloque "&amp;$AA$24&amp;" Semana "&amp;$AA$23&amp;"'"&amp;"!"&amp;"E26"),"")</f>
        <v/>
      </c>
      <c r="AU64" s="186">
        <v>26.0</v>
      </c>
    </row>
    <row r="65">
      <c r="A65" s="4"/>
      <c r="B65" s="4"/>
      <c r="C65" s="4"/>
      <c r="D65" s="122"/>
      <c r="E65" s="29"/>
      <c r="F65" s="29"/>
      <c r="G65" s="29"/>
      <c r="H65" s="29"/>
      <c r="I65" s="29"/>
      <c r="J65" s="29"/>
      <c r="K65" s="29"/>
      <c r="L65" s="29"/>
      <c r="M65" s="29"/>
      <c r="N65" s="29"/>
      <c r="O65" s="4"/>
      <c r="P65" s="4"/>
      <c r="Q65" s="4"/>
      <c r="R65" s="77"/>
      <c r="V65" s="176"/>
      <c r="W65" s="176"/>
      <c r="X65" s="190" t="str">
        <f t="shared" ref="X65:AD65" si="89">IFERROR(INDIRECT("'Bloque "&amp;$Y$24&amp;" Semana "&amp;$Y$23&amp;"'"&amp;"!"&amp;X$61&amp;$AE65),"")</f>
        <v/>
      </c>
      <c r="Y65" s="190" t="str">
        <f t="shared" si="89"/>
        <v/>
      </c>
      <c r="Z65" s="190" t="str">
        <f t="shared" si="89"/>
        <v/>
      </c>
      <c r="AA65" s="190" t="str">
        <f t="shared" si="89"/>
        <v/>
      </c>
      <c r="AB65" s="190" t="str">
        <f t="shared" si="89"/>
        <v/>
      </c>
      <c r="AC65" s="190" t="str">
        <f t="shared" si="89"/>
        <v/>
      </c>
      <c r="AD65" s="190" t="str">
        <f t="shared" si="89"/>
        <v/>
      </c>
      <c r="AE65" s="191">
        <v>27.0</v>
      </c>
      <c r="AF65" s="190" t="str">
        <f t="shared" ref="AF65:AL65" si="90">IFERROR(INDIRECT("'Bloque "&amp;$Z$24&amp;" Semana "&amp;$Z$23&amp;"'"&amp;"!"&amp;AF$61&amp;$AM65),"")</f>
        <v/>
      </c>
      <c r="AG65" s="190" t="str">
        <f t="shared" si="90"/>
        <v/>
      </c>
      <c r="AH65" s="190" t="str">
        <f t="shared" si="90"/>
        <v/>
      </c>
      <c r="AI65" s="190" t="str">
        <f t="shared" si="90"/>
        <v/>
      </c>
      <c r="AJ65" s="190" t="str">
        <f t="shared" si="90"/>
        <v/>
      </c>
      <c r="AK65" s="190" t="str">
        <f t="shared" si="90"/>
        <v/>
      </c>
      <c r="AL65" s="190" t="str">
        <f t="shared" si="90"/>
        <v/>
      </c>
      <c r="AM65" s="191">
        <v>27.0</v>
      </c>
      <c r="AN65" s="190" t="str">
        <f t="shared" ref="AN65:AT65" si="91">IFERROR(INDIRECT("'Bloque "&amp;$AA$24&amp;" Semana "&amp;$AA$23&amp;"'"&amp;"!"&amp;AN$61&amp;$AU65),"")</f>
        <v/>
      </c>
      <c r="AO65" s="190" t="str">
        <f t="shared" si="91"/>
        <v/>
      </c>
      <c r="AP65" s="190" t="str">
        <f t="shared" si="91"/>
        <v/>
      </c>
      <c r="AQ65" s="190" t="str">
        <f t="shared" si="91"/>
        <v/>
      </c>
      <c r="AR65" s="190" t="str">
        <f t="shared" si="91"/>
        <v/>
      </c>
      <c r="AS65" s="190" t="str">
        <f t="shared" si="91"/>
        <v/>
      </c>
      <c r="AT65" s="190" t="str">
        <f t="shared" si="91"/>
        <v/>
      </c>
      <c r="AU65" s="191">
        <v>27.0</v>
      </c>
    </row>
    <row r="66">
      <c r="A66" s="4"/>
      <c r="B66" s="4"/>
      <c r="C66" s="4"/>
      <c r="D66" s="122"/>
      <c r="E66" s="29"/>
      <c r="F66" s="29"/>
      <c r="G66" s="29"/>
      <c r="H66" s="29"/>
      <c r="I66" s="29"/>
      <c r="J66" s="29"/>
      <c r="K66" s="29"/>
      <c r="L66" s="29"/>
      <c r="M66" s="29"/>
      <c r="N66" s="29"/>
      <c r="O66" s="4"/>
      <c r="P66" s="4"/>
      <c r="Q66" s="4"/>
      <c r="R66" s="77"/>
      <c r="V66" s="176"/>
      <c r="W66" s="176"/>
      <c r="X66" s="176" t="str">
        <f t="shared" ref="X66:AD66" si="92">IFERROR(INDIRECT("'Bloque "&amp;$Y$24&amp;" Semana "&amp;$Y$23&amp;"'"&amp;"!"&amp;X$61&amp;$AE66),"")</f>
        <v/>
      </c>
      <c r="Y66" s="176" t="str">
        <f t="shared" si="92"/>
        <v/>
      </c>
      <c r="Z66" s="176" t="str">
        <f t="shared" si="92"/>
        <v/>
      </c>
      <c r="AA66" s="176" t="str">
        <f t="shared" si="92"/>
        <v/>
      </c>
      <c r="AB66" s="176" t="str">
        <f t="shared" si="92"/>
        <v/>
      </c>
      <c r="AC66" s="176" t="str">
        <f t="shared" si="92"/>
        <v/>
      </c>
      <c r="AD66" s="176" t="str">
        <f t="shared" si="92"/>
        <v/>
      </c>
      <c r="AE66" s="191">
        <v>28.0</v>
      </c>
      <c r="AF66" s="197" t="str">
        <f t="shared" ref="AF66:AL66" si="93">IFERROR(INDIRECT("'Bloque "&amp;$Z$24&amp;" Semana "&amp;$Z$23&amp;"'"&amp;"!"&amp;AF$61&amp;$AM66),"")</f>
        <v/>
      </c>
      <c r="AG66" s="197" t="str">
        <f t="shared" si="93"/>
        <v/>
      </c>
      <c r="AH66" s="197" t="str">
        <f t="shared" si="93"/>
        <v/>
      </c>
      <c r="AI66" s="197" t="str">
        <f t="shared" si="93"/>
        <v/>
      </c>
      <c r="AJ66" s="197" t="str">
        <f t="shared" si="93"/>
        <v/>
      </c>
      <c r="AK66" s="197" t="str">
        <f t="shared" si="93"/>
        <v/>
      </c>
      <c r="AL66" s="197" t="str">
        <f t="shared" si="93"/>
        <v/>
      </c>
      <c r="AM66" s="191">
        <v>28.0</v>
      </c>
      <c r="AN66" s="197" t="str">
        <f t="shared" ref="AN66:AT66" si="94">IFERROR(INDIRECT("'Bloque "&amp;$AA$24&amp;" Semana "&amp;$AA$23&amp;"'"&amp;"!"&amp;AN$61&amp;$AU66),"")</f>
        <v/>
      </c>
      <c r="AO66" s="197" t="str">
        <f t="shared" si="94"/>
        <v/>
      </c>
      <c r="AP66" s="197" t="str">
        <f t="shared" si="94"/>
        <v/>
      </c>
      <c r="AQ66" s="197" t="str">
        <f t="shared" si="94"/>
        <v/>
      </c>
      <c r="AR66" s="197" t="str">
        <f t="shared" si="94"/>
        <v/>
      </c>
      <c r="AS66" s="197" t="str">
        <f t="shared" si="94"/>
        <v/>
      </c>
      <c r="AT66" s="197" t="str">
        <f t="shared" si="94"/>
        <v/>
      </c>
      <c r="AU66" s="191">
        <v>28.0</v>
      </c>
    </row>
    <row r="67">
      <c r="A67" s="4"/>
      <c r="B67" s="4"/>
      <c r="C67" s="4"/>
      <c r="D67" s="122"/>
      <c r="E67" s="29"/>
      <c r="F67" s="29"/>
      <c r="G67" s="29"/>
      <c r="H67" s="29"/>
      <c r="I67" s="29"/>
      <c r="J67" s="29"/>
      <c r="K67" s="29"/>
      <c r="L67" s="29"/>
      <c r="M67" s="29"/>
      <c r="N67" s="29"/>
      <c r="O67" s="4"/>
      <c r="P67" s="4"/>
      <c r="Q67" s="4"/>
      <c r="R67" s="77"/>
      <c r="V67" s="198"/>
      <c r="W67" s="176"/>
      <c r="X67" s="176" t="str">
        <f t="shared" ref="X67:AD67" si="95">IFERROR(INDIRECT("'Bloque "&amp;$Y$24&amp;" Semana "&amp;$Y$23&amp;"'"&amp;"!"&amp;X$61&amp;$AE67),"")</f>
        <v/>
      </c>
      <c r="Y67" s="176" t="str">
        <f t="shared" si="95"/>
        <v/>
      </c>
      <c r="Z67" s="176" t="str">
        <f t="shared" si="95"/>
        <v/>
      </c>
      <c r="AA67" s="176" t="str">
        <f t="shared" si="95"/>
        <v/>
      </c>
      <c r="AB67" s="176" t="str">
        <f t="shared" si="95"/>
        <v/>
      </c>
      <c r="AC67" s="176" t="str">
        <f t="shared" si="95"/>
        <v/>
      </c>
      <c r="AD67" s="176" t="str">
        <f t="shared" si="95"/>
        <v/>
      </c>
      <c r="AE67" s="191">
        <v>29.0</v>
      </c>
      <c r="AF67" s="197" t="str">
        <f t="shared" ref="AF67:AL67" si="96">IFERROR(INDIRECT("'Bloque "&amp;$Z$24&amp;" Semana "&amp;$Z$23&amp;"'"&amp;"!"&amp;AF$61&amp;$AM67),"")</f>
        <v/>
      </c>
      <c r="AG67" s="197" t="str">
        <f t="shared" si="96"/>
        <v/>
      </c>
      <c r="AH67" s="197" t="str">
        <f t="shared" si="96"/>
        <v/>
      </c>
      <c r="AI67" s="197" t="str">
        <f t="shared" si="96"/>
        <v/>
      </c>
      <c r="AJ67" s="197" t="str">
        <f t="shared" si="96"/>
        <v/>
      </c>
      <c r="AK67" s="197" t="str">
        <f t="shared" si="96"/>
        <v/>
      </c>
      <c r="AL67" s="197" t="str">
        <f t="shared" si="96"/>
        <v/>
      </c>
      <c r="AM67" s="191">
        <v>29.0</v>
      </c>
      <c r="AN67" s="197" t="str">
        <f t="shared" ref="AN67:AT67" si="97">IFERROR(INDIRECT("'Bloque "&amp;$AA$24&amp;" Semana "&amp;$AA$23&amp;"'"&amp;"!"&amp;AN$61&amp;$AU67),"")</f>
        <v/>
      </c>
      <c r="AO67" s="197" t="str">
        <f t="shared" si="97"/>
        <v/>
      </c>
      <c r="AP67" s="197" t="str">
        <f t="shared" si="97"/>
        <v/>
      </c>
      <c r="AQ67" s="197" t="str">
        <f t="shared" si="97"/>
        <v/>
      </c>
      <c r="AR67" s="197" t="str">
        <f t="shared" si="97"/>
        <v/>
      </c>
      <c r="AS67" s="197" t="str">
        <f t="shared" si="97"/>
        <v/>
      </c>
      <c r="AT67" s="197" t="str">
        <f t="shared" si="97"/>
        <v/>
      </c>
      <c r="AU67" s="191">
        <v>29.0</v>
      </c>
    </row>
    <row r="68">
      <c r="A68" s="4"/>
      <c r="B68" s="4"/>
      <c r="C68" s="4"/>
      <c r="D68" s="122"/>
      <c r="E68" s="29"/>
      <c r="F68" s="29"/>
      <c r="G68" s="29"/>
      <c r="H68" s="29"/>
      <c r="I68" s="29"/>
      <c r="J68" s="29"/>
      <c r="K68" s="29"/>
      <c r="L68" s="29"/>
      <c r="M68" s="29"/>
      <c r="N68" s="29"/>
      <c r="O68" s="4"/>
      <c r="P68" s="4"/>
      <c r="Q68" s="4"/>
      <c r="R68" s="77"/>
      <c r="V68" s="176"/>
      <c r="W68" s="176"/>
      <c r="X68" s="176" t="str">
        <f t="shared" ref="X68:AD68" si="98">IFERROR(INDIRECT("'Bloque "&amp;$Y$24&amp;" Semana "&amp;$Y$23&amp;"'"&amp;"!"&amp;X$61&amp;$AE68),"")</f>
        <v/>
      </c>
      <c r="Y68" s="176" t="str">
        <f t="shared" si="98"/>
        <v/>
      </c>
      <c r="Z68" s="176" t="str">
        <f t="shared" si="98"/>
        <v/>
      </c>
      <c r="AA68" s="176" t="str">
        <f t="shared" si="98"/>
        <v/>
      </c>
      <c r="AB68" s="176" t="str">
        <f t="shared" si="98"/>
        <v/>
      </c>
      <c r="AC68" s="176" t="str">
        <f t="shared" si="98"/>
        <v/>
      </c>
      <c r="AD68" s="176" t="str">
        <f t="shared" si="98"/>
        <v/>
      </c>
      <c r="AE68" s="191">
        <v>30.0</v>
      </c>
      <c r="AF68" s="190" t="str">
        <f t="shared" ref="AF68:AL68" si="99">IFERROR(INDIRECT("'Bloque "&amp;$Z$24&amp;" Semana "&amp;$Z$23&amp;"'"&amp;"!"&amp;AF$61&amp;$AM68),"")</f>
        <v/>
      </c>
      <c r="AG68" s="190" t="str">
        <f t="shared" si="99"/>
        <v/>
      </c>
      <c r="AH68" s="190" t="str">
        <f t="shared" si="99"/>
        <v/>
      </c>
      <c r="AI68" s="190" t="str">
        <f t="shared" si="99"/>
        <v/>
      </c>
      <c r="AJ68" s="190" t="str">
        <f t="shared" si="99"/>
        <v/>
      </c>
      <c r="AK68" s="190" t="str">
        <f t="shared" si="99"/>
        <v/>
      </c>
      <c r="AL68" s="190" t="str">
        <f t="shared" si="99"/>
        <v/>
      </c>
      <c r="AM68" s="191">
        <v>30.0</v>
      </c>
      <c r="AN68" s="197" t="str">
        <f t="shared" ref="AN68:AT68" si="100">IFERROR(INDIRECT("'Bloque "&amp;$AA$24&amp;" Semana "&amp;$AA$23&amp;"'"&amp;"!"&amp;AN$61&amp;$AU68),"")</f>
        <v/>
      </c>
      <c r="AO68" s="197" t="str">
        <f t="shared" si="100"/>
        <v/>
      </c>
      <c r="AP68" s="197" t="str">
        <f t="shared" si="100"/>
        <v/>
      </c>
      <c r="AQ68" s="197" t="str">
        <f t="shared" si="100"/>
        <v/>
      </c>
      <c r="AR68" s="197" t="str">
        <f t="shared" si="100"/>
        <v/>
      </c>
      <c r="AS68" s="197" t="str">
        <f t="shared" si="100"/>
        <v/>
      </c>
      <c r="AT68" s="197" t="str">
        <f t="shared" si="100"/>
        <v/>
      </c>
      <c r="AU68" s="191">
        <v>30.0</v>
      </c>
    </row>
    <row r="69">
      <c r="A69" s="4"/>
      <c r="B69" s="4"/>
      <c r="C69" s="4"/>
      <c r="D69" s="122"/>
      <c r="E69" s="29"/>
      <c r="F69" s="29"/>
      <c r="G69" s="29"/>
      <c r="H69" s="29"/>
      <c r="I69" s="29"/>
      <c r="J69" s="29"/>
      <c r="K69" s="29"/>
      <c r="L69" s="29"/>
      <c r="M69" s="29"/>
      <c r="N69" s="29"/>
      <c r="O69" s="4"/>
      <c r="P69" s="4"/>
      <c r="Q69" s="4"/>
      <c r="R69" s="77"/>
      <c r="V69" s="176"/>
      <c r="W69" s="176"/>
      <c r="X69" s="176" t="str">
        <f t="shared" ref="X69:AD69" si="101">IFERROR(INDIRECT("'Bloque "&amp;$Y$24&amp;" Semana "&amp;$Y$23&amp;"'"&amp;"!"&amp;X$61&amp;$AE69),"")</f>
        <v/>
      </c>
      <c r="Y69" s="176" t="str">
        <f t="shared" si="101"/>
        <v/>
      </c>
      <c r="Z69" s="176" t="str">
        <f t="shared" si="101"/>
        <v/>
      </c>
      <c r="AA69" s="176" t="str">
        <f t="shared" si="101"/>
        <v/>
      </c>
      <c r="AB69" s="176" t="str">
        <f t="shared" si="101"/>
        <v/>
      </c>
      <c r="AC69" s="176" t="str">
        <f t="shared" si="101"/>
        <v/>
      </c>
      <c r="AD69" s="176" t="str">
        <f t="shared" si="101"/>
        <v/>
      </c>
      <c r="AE69" s="191">
        <v>31.0</v>
      </c>
      <c r="AF69" s="190" t="str">
        <f t="shared" ref="AF69:AL69" si="102">IFERROR(INDIRECT("'Bloque "&amp;$Z$24&amp;" Semana "&amp;$Z$23&amp;"'"&amp;"!"&amp;AF$61&amp;$AM69),"")</f>
        <v/>
      </c>
      <c r="AG69" s="190" t="str">
        <f t="shared" si="102"/>
        <v/>
      </c>
      <c r="AH69" s="190" t="str">
        <f t="shared" si="102"/>
        <v/>
      </c>
      <c r="AI69" s="190" t="str">
        <f t="shared" si="102"/>
        <v/>
      </c>
      <c r="AJ69" s="190" t="str">
        <f t="shared" si="102"/>
        <v/>
      </c>
      <c r="AK69" s="190" t="str">
        <f t="shared" si="102"/>
        <v/>
      </c>
      <c r="AL69" s="190" t="str">
        <f t="shared" si="102"/>
        <v/>
      </c>
      <c r="AM69" s="191">
        <v>31.0</v>
      </c>
      <c r="AN69" s="197" t="str">
        <f t="shared" ref="AN69:AT69" si="103">IFERROR(INDIRECT("'Bloque "&amp;$AA$24&amp;" Semana "&amp;$AA$23&amp;"'"&amp;"!"&amp;AN$61&amp;$AU69),"")</f>
        <v/>
      </c>
      <c r="AO69" s="197" t="str">
        <f t="shared" si="103"/>
        <v/>
      </c>
      <c r="AP69" s="197" t="str">
        <f t="shared" si="103"/>
        <v/>
      </c>
      <c r="AQ69" s="197" t="str">
        <f t="shared" si="103"/>
        <v/>
      </c>
      <c r="AR69" s="197" t="str">
        <f t="shared" si="103"/>
        <v/>
      </c>
      <c r="AS69" s="197" t="str">
        <f t="shared" si="103"/>
        <v/>
      </c>
      <c r="AT69" s="197" t="str">
        <f t="shared" si="103"/>
        <v/>
      </c>
      <c r="AU69" s="191">
        <v>31.0</v>
      </c>
    </row>
    <row r="70">
      <c r="A70" s="4"/>
      <c r="B70" s="4"/>
      <c r="C70" s="4"/>
      <c r="D70" s="122"/>
      <c r="E70" s="29"/>
      <c r="F70" s="29"/>
      <c r="G70" s="29"/>
      <c r="H70" s="29"/>
      <c r="I70" s="29"/>
      <c r="J70" s="29"/>
      <c r="K70" s="29"/>
      <c r="L70" s="29"/>
      <c r="M70" s="29"/>
      <c r="N70" s="29"/>
      <c r="O70" s="4"/>
      <c r="P70" s="4"/>
      <c r="Q70" s="4"/>
      <c r="R70" s="77"/>
      <c r="V70" s="176"/>
      <c r="W70" s="176"/>
      <c r="X70" s="176" t="str">
        <f t="shared" ref="X70:AD70" si="104">IFERROR(INDIRECT("'Bloque "&amp;$Y$24&amp;" Semana "&amp;$Y$23&amp;"'"&amp;"!"&amp;X$61&amp;$AE70),"")</f>
        <v/>
      </c>
      <c r="Y70" s="176" t="str">
        <f t="shared" si="104"/>
        <v/>
      </c>
      <c r="Z70" s="176" t="str">
        <f t="shared" si="104"/>
        <v/>
      </c>
      <c r="AA70" s="176" t="str">
        <f t="shared" si="104"/>
        <v/>
      </c>
      <c r="AB70" s="176" t="str">
        <f t="shared" si="104"/>
        <v/>
      </c>
      <c r="AC70" s="176" t="str">
        <f t="shared" si="104"/>
        <v/>
      </c>
      <c r="AD70" s="176" t="str">
        <f t="shared" si="104"/>
        <v/>
      </c>
      <c r="AE70" s="191">
        <v>32.0</v>
      </c>
      <c r="AF70" s="190" t="str">
        <f t="shared" ref="AF70:AL70" si="105">IFERROR(INDIRECT("'Bloque "&amp;$Z$24&amp;" Semana "&amp;$Z$23&amp;"'"&amp;"!"&amp;AF$61&amp;$AM70),"")</f>
        <v/>
      </c>
      <c r="AG70" s="190" t="str">
        <f t="shared" si="105"/>
        <v/>
      </c>
      <c r="AH70" s="190" t="str">
        <f t="shared" si="105"/>
        <v/>
      </c>
      <c r="AI70" s="190" t="str">
        <f t="shared" si="105"/>
        <v/>
      </c>
      <c r="AJ70" s="190" t="str">
        <f t="shared" si="105"/>
        <v/>
      </c>
      <c r="AK70" s="190" t="str">
        <f t="shared" si="105"/>
        <v/>
      </c>
      <c r="AL70" s="190" t="str">
        <f t="shared" si="105"/>
        <v/>
      </c>
      <c r="AM70" s="191">
        <v>32.0</v>
      </c>
      <c r="AN70" s="197" t="str">
        <f t="shared" ref="AN70:AT70" si="106">IFERROR(INDIRECT("'Bloque "&amp;$AA$24&amp;" Semana "&amp;$AA$23&amp;"'"&amp;"!"&amp;AN$61&amp;$AU70),"")</f>
        <v/>
      </c>
      <c r="AO70" s="197" t="str">
        <f t="shared" si="106"/>
        <v/>
      </c>
      <c r="AP70" s="197" t="str">
        <f t="shared" si="106"/>
        <v/>
      </c>
      <c r="AQ70" s="197" t="str">
        <f t="shared" si="106"/>
        <v/>
      </c>
      <c r="AR70" s="197" t="str">
        <f t="shared" si="106"/>
        <v/>
      </c>
      <c r="AS70" s="197" t="str">
        <f t="shared" si="106"/>
        <v/>
      </c>
      <c r="AT70" s="197" t="str">
        <f t="shared" si="106"/>
        <v/>
      </c>
      <c r="AU70" s="191">
        <v>32.0</v>
      </c>
    </row>
    <row r="71">
      <c r="A71" s="4"/>
      <c r="B71" s="4"/>
      <c r="C71" s="4"/>
      <c r="D71" s="122"/>
      <c r="E71" s="29"/>
      <c r="F71" s="29"/>
      <c r="G71" s="29"/>
      <c r="H71" s="29"/>
      <c r="I71" s="29"/>
      <c r="J71" s="29"/>
      <c r="K71" s="29"/>
      <c r="L71" s="29"/>
      <c r="M71" s="29"/>
      <c r="N71" s="29"/>
      <c r="O71" s="4"/>
      <c r="P71" s="4"/>
      <c r="Q71" s="4"/>
      <c r="R71" s="77"/>
      <c r="V71" s="176"/>
      <c r="W71" s="176"/>
      <c r="X71" s="176" t="str">
        <f t="shared" ref="X71:AD71" si="107">IFERROR(INDIRECT("'Bloque "&amp;$Y$24&amp;" Semana "&amp;$Y$23&amp;"'"&amp;"!"&amp;X$61&amp;$AE71),"")</f>
        <v/>
      </c>
      <c r="Y71" s="176" t="str">
        <f t="shared" si="107"/>
        <v/>
      </c>
      <c r="Z71" s="176" t="str">
        <f t="shared" si="107"/>
        <v/>
      </c>
      <c r="AA71" s="176" t="str">
        <f t="shared" si="107"/>
        <v/>
      </c>
      <c r="AB71" s="176" t="str">
        <f t="shared" si="107"/>
        <v/>
      </c>
      <c r="AC71" s="176" t="str">
        <f t="shared" si="107"/>
        <v/>
      </c>
      <c r="AD71" s="176" t="str">
        <f t="shared" si="107"/>
        <v/>
      </c>
      <c r="AE71" s="191">
        <v>33.0</v>
      </c>
      <c r="AF71" s="190" t="str">
        <f t="shared" ref="AF71:AL71" si="108">IFERROR(INDIRECT("'Bloque "&amp;$Z$24&amp;" Semana "&amp;$Z$23&amp;"'"&amp;"!"&amp;AF$61&amp;$AM71),"")</f>
        <v/>
      </c>
      <c r="AG71" s="190" t="str">
        <f t="shared" si="108"/>
        <v/>
      </c>
      <c r="AH71" s="190" t="str">
        <f t="shared" si="108"/>
        <v/>
      </c>
      <c r="AI71" s="190" t="str">
        <f t="shared" si="108"/>
        <v/>
      </c>
      <c r="AJ71" s="190" t="str">
        <f t="shared" si="108"/>
        <v/>
      </c>
      <c r="AK71" s="190" t="str">
        <f t="shared" si="108"/>
        <v/>
      </c>
      <c r="AL71" s="190" t="str">
        <f t="shared" si="108"/>
        <v/>
      </c>
      <c r="AM71" s="191">
        <v>33.0</v>
      </c>
      <c r="AN71" s="197" t="str">
        <f t="shared" ref="AN71:AT71" si="109">IFERROR(INDIRECT("'Bloque "&amp;$AA$24&amp;" Semana "&amp;$AA$23&amp;"'"&amp;"!"&amp;AN$61&amp;$AU71),"")</f>
        <v/>
      </c>
      <c r="AO71" s="197" t="str">
        <f t="shared" si="109"/>
        <v/>
      </c>
      <c r="AP71" s="197" t="str">
        <f t="shared" si="109"/>
        <v/>
      </c>
      <c r="AQ71" s="197" t="str">
        <f t="shared" si="109"/>
        <v/>
      </c>
      <c r="AR71" s="197" t="str">
        <f t="shared" si="109"/>
        <v/>
      </c>
      <c r="AS71" s="197" t="str">
        <f t="shared" si="109"/>
        <v/>
      </c>
      <c r="AT71" s="197" t="str">
        <f t="shared" si="109"/>
        <v/>
      </c>
      <c r="AU71" s="191">
        <v>33.0</v>
      </c>
    </row>
    <row r="72">
      <c r="A72" s="4"/>
      <c r="B72" s="4"/>
      <c r="C72" s="4"/>
      <c r="D72" s="122"/>
      <c r="E72" s="29"/>
      <c r="F72" s="29"/>
      <c r="G72" s="29"/>
      <c r="H72" s="29"/>
      <c r="I72" s="29"/>
      <c r="J72" s="29"/>
      <c r="K72" s="29"/>
      <c r="L72" s="29"/>
      <c r="M72" s="29"/>
      <c r="N72" s="29"/>
      <c r="O72" s="4"/>
      <c r="P72" s="4"/>
      <c r="Q72" s="4"/>
      <c r="R72" s="77"/>
      <c r="V72" s="176"/>
      <c r="W72" s="176"/>
      <c r="X72" s="176" t="str">
        <f t="shared" ref="X72:AD72" si="110">IFERROR(INDIRECT("'Bloque "&amp;$Y$24&amp;" Semana "&amp;$Y$23&amp;"'"&amp;"!"&amp;X$61&amp;$AE72),"")</f>
        <v/>
      </c>
      <c r="Y72" s="176" t="str">
        <f t="shared" si="110"/>
        <v/>
      </c>
      <c r="Z72" s="176" t="str">
        <f t="shared" si="110"/>
        <v/>
      </c>
      <c r="AA72" s="176" t="str">
        <f t="shared" si="110"/>
        <v/>
      </c>
      <c r="AB72" s="176" t="str">
        <f t="shared" si="110"/>
        <v/>
      </c>
      <c r="AC72" s="176" t="str">
        <f t="shared" si="110"/>
        <v/>
      </c>
      <c r="AD72" s="176" t="str">
        <f t="shared" si="110"/>
        <v/>
      </c>
      <c r="AE72" s="191">
        <v>34.0</v>
      </c>
      <c r="AF72" s="190" t="str">
        <f t="shared" ref="AF72:AL72" si="111">IFERROR(INDIRECT("'Bloque "&amp;$Z$24&amp;" Semana "&amp;$Z$23&amp;"'"&amp;"!"&amp;AF$61&amp;$AM72),"")</f>
        <v/>
      </c>
      <c r="AG72" s="190" t="str">
        <f t="shared" si="111"/>
        <v/>
      </c>
      <c r="AH72" s="190" t="str">
        <f t="shared" si="111"/>
        <v/>
      </c>
      <c r="AI72" s="190" t="str">
        <f t="shared" si="111"/>
        <v/>
      </c>
      <c r="AJ72" s="190" t="str">
        <f t="shared" si="111"/>
        <v/>
      </c>
      <c r="AK72" s="190" t="str">
        <f t="shared" si="111"/>
        <v/>
      </c>
      <c r="AL72" s="190" t="str">
        <f t="shared" si="111"/>
        <v/>
      </c>
      <c r="AM72" s="191">
        <v>34.0</v>
      </c>
      <c r="AN72" s="197" t="str">
        <f t="shared" ref="AN72:AT72" si="112">IFERROR(INDIRECT("'Bloque "&amp;$AA$24&amp;" Semana "&amp;$AA$23&amp;"'"&amp;"!"&amp;AN$61&amp;$AU72),"")</f>
        <v/>
      </c>
      <c r="AO72" s="197" t="str">
        <f t="shared" si="112"/>
        <v/>
      </c>
      <c r="AP72" s="197" t="str">
        <f t="shared" si="112"/>
        <v/>
      </c>
      <c r="AQ72" s="197" t="str">
        <f t="shared" si="112"/>
        <v/>
      </c>
      <c r="AR72" s="197" t="str">
        <f t="shared" si="112"/>
        <v/>
      </c>
      <c r="AS72" s="197" t="str">
        <f t="shared" si="112"/>
        <v/>
      </c>
      <c r="AT72" s="197" t="str">
        <f t="shared" si="112"/>
        <v/>
      </c>
      <c r="AU72" s="191">
        <v>34.0</v>
      </c>
    </row>
    <row r="73">
      <c r="A73" s="4"/>
      <c r="B73" s="4"/>
      <c r="C73" s="4"/>
      <c r="D73" s="122"/>
      <c r="E73" s="29"/>
      <c r="F73" s="29"/>
      <c r="G73" s="29"/>
      <c r="H73" s="29"/>
      <c r="I73" s="29"/>
      <c r="J73" s="29"/>
      <c r="K73" s="29"/>
      <c r="L73" s="29"/>
      <c r="M73" s="29"/>
      <c r="N73" s="29"/>
      <c r="O73" s="4"/>
      <c r="P73" s="4"/>
      <c r="Q73" s="4"/>
      <c r="R73" s="77"/>
      <c r="V73" s="176"/>
      <c r="W73" s="176"/>
      <c r="X73" s="176" t="str">
        <f t="shared" ref="X73:AD73" si="113">IFERROR(INDIRECT("'Bloque "&amp;$Y$24&amp;" Semana "&amp;$Y$23&amp;"'"&amp;"!"&amp;X$61&amp;$AE73),"")</f>
        <v/>
      </c>
      <c r="Y73" s="176" t="str">
        <f t="shared" si="113"/>
        <v/>
      </c>
      <c r="Z73" s="176" t="str">
        <f t="shared" si="113"/>
        <v/>
      </c>
      <c r="AA73" s="176" t="str">
        <f t="shared" si="113"/>
        <v/>
      </c>
      <c r="AB73" s="176" t="str">
        <f t="shared" si="113"/>
        <v/>
      </c>
      <c r="AC73" s="176" t="str">
        <f t="shared" si="113"/>
        <v/>
      </c>
      <c r="AD73" s="176" t="str">
        <f t="shared" si="113"/>
        <v/>
      </c>
      <c r="AE73" s="191">
        <v>35.0</v>
      </c>
      <c r="AF73" s="190" t="str">
        <f t="shared" ref="AF73:AL73" si="114">IFERROR(INDIRECT("'Bloque "&amp;$Z$24&amp;" Semana "&amp;$Z$23&amp;"'"&amp;"!"&amp;AF$61&amp;$AM73),"")</f>
        <v/>
      </c>
      <c r="AG73" s="190" t="str">
        <f t="shared" si="114"/>
        <v/>
      </c>
      <c r="AH73" s="190" t="str">
        <f t="shared" si="114"/>
        <v/>
      </c>
      <c r="AI73" s="190" t="str">
        <f t="shared" si="114"/>
        <v/>
      </c>
      <c r="AJ73" s="190" t="str">
        <f t="shared" si="114"/>
        <v/>
      </c>
      <c r="AK73" s="190" t="str">
        <f t="shared" si="114"/>
        <v/>
      </c>
      <c r="AL73" s="190" t="str">
        <f t="shared" si="114"/>
        <v/>
      </c>
      <c r="AM73" s="191">
        <v>35.0</v>
      </c>
      <c r="AN73" s="197" t="str">
        <f t="shared" ref="AN73:AT73" si="115">IFERROR(INDIRECT("'Bloque "&amp;$AA$24&amp;" Semana "&amp;$AA$23&amp;"'"&amp;"!"&amp;AN$61&amp;$AU73),"")</f>
        <v/>
      </c>
      <c r="AO73" s="197" t="str">
        <f t="shared" si="115"/>
        <v/>
      </c>
      <c r="AP73" s="197" t="str">
        <f t="shared" si="115"/>
        <v/>
      </c>
      <c r="AQ73" s="197" t="str">
        <f t="shared" si="115"/>
        <v/>
      </c>
      <c r="AR73" s="197" t="str">
        <f t="shared" si="115"/>
        <v/>
      </c>
      <c r="AS73" s="197" t="str">
        <f t="shared" si="115"/>
        <v/>
      </c>
      <c r="AT73" s="197" t="str">
        <f t="shared" si="115"/>
        <v/>
      </c>
      <c r="AU73" s="191">
        <v>35.0</v>
      </c>
    </row>
    <row r="74">
      <c r="A74" s="4"/>
      <c r="B74" s="4"/>
      <c r="C74" s="4"/>
      <c r="D74" s="122"/>
      <c r="E74" s="29"/>
      <c r="F74" s="29"/>
      <c r="G74" s="29"/>
      <c r="H74" s="29"/>
      <c r="I74" s="29"/>
      <c r="J74" s="29"/>
      <c r="K74" s="29"/>
      <c r="L74" s="29"/>
      <c r="M74" s="29"/>
      <c r="N74" s="29"/>
      <c r="O74" s="4"/>
      <c r="P74" s="4"/>
      <c r="Q74" s="4"/>
      <c r="R74" s="77"/>
      <c r="V74" s="176"/>
      <c r="W74" s="176"/>
      <c r="X74" s="176"/>
      <c r="Y74" s="176"/>
      <c r="Z74" s="176"/>
      <c r="AA74" s="176"/>
      <c r="AB74" s="176"/>
      <c r="AC74" s="176"/>
      <c r="AD74" s="176"/>
      <c r="AE74" s="192"/>
      <c r="AF74" s="176"/>
      <c r="AG74" s="176"/>
      <c r="AH74" s="176"/>
      <c r="AI74" s="176"/>
      <c r="AJ74" s="176"/>
      <c r="AK74" s="176"/>
      <c r="AL74" s="176"/>
      <c r="AM74" s="192"/>
      <c r="AN74" s="176"/>
      <c r="AO74" s="176"/>
      <c r="AP74" s="176"/>
      <c r="AQ74" s="176"/>
      <c r="AR74" s="176"/>
      <c r="AU74" s="187"/>
    </row>
    <row r="75">
      <c r="A75" s="193"/>
      <c r="B75" s="193"/>
      <c r="C75" s="193"/>
      <c r="D75" s="194"/>
      <c r="E75" s="195"/>
      <c r="F75" s="195"/>
      <c r="G75" s="195"/>
      <c r="H75" s="195"/>
      <c r="I75" s="195"/>
      <c r="J75" s="195"/>
      <c r="K75" s="195"/>
      <c r="L75" s="195"/>
      <c r="M75" s="195"/>
      <c r="N75" s="195"/>
      <c r="O75" s="193"/>
      <c r="P75" s="193"/>
      <c r="Q75" s="193"/>
      <c r="R75" s="196"/>
      <c r="S75" s="187"/>
      <c r="T75" s="187"/>
      <c r="U75" s="187"/>
      <c r="V75" s="192"/>
      <c r="W75" s="192"/>
      <c r="X75" s="186" t="s">
        <v>202</v>
      </c>
      <c r="Y75" s="186" t="s">
        <v>203</v>
      </c>
      <c r="Z75" s="186" t="s">
        <v>209</v>
      </c>
      <c r="AA75" s="186" t="s">
        <v>205</v>
      </c>
      <c r="AB75" s="186" t="s">
        <v>206</v>
      </c>
      <c r="AC75" s="186" t="s">
        <v>207</v>
      </c>
      <c r="AD75" s="186" t="s">
        <v>208</v>
      </c>
      <c r="AE75" s="187"/>
      <c r="AF75" s="186" t="s">
        <v>202</v>
      </c>
      <c r="AG75" s="186" t="s">
        <v>203</v>
      </c>
      <c r="AH75" s="186" t="s">
        <v>209</v>
      </c>
      <c r="AI75" s="186" t="s">
        <v>205</v>
      </c>
      <c r="AJ75" s="186" t="s">
        <v>206</v>
      </c>
      <c r="AK75" s="186" t="s">
        <v>207</v>
      </c>
      <c r="AL75" s="186" t="s">
        <v>208</v>
      </c>
      <c r="AM75" s="187"/>
      <c r="AN75" s="186" t="s">
        <v>202</v>
      </c>
      <c r="AO75" s="186" t="s">
        <v>203</v>
      </c>
      <c r="AP75" s="186" t="s">
        <v>209</v>
      </c>
      <c r="AQ75" s="186" t="s">
        <v>205</v>
      </c>
      <c r="AR75" s="186" t="s">
        <v>206</v>
      </c>
      <c r="AS75" s="186" t="s">
        <v>207</v>
      </c>
      <c r="AT75" s="186" t="s">
        <v>208</v>
      </c>
      <c r="AU75" s="187"/>
      <c r="AV75" s="187"/>
      <c r="AW75" s="187"/>
      <c r="AX75" s="187"/>
      <c r="AY75" s="187"/>
      <c r="AZ75" s="187"/>
      <c r="BA75" s="187"/>
      <c r="BB75" s="187"/>
      <c r="BC75" s="187"/>
      <c r="BD75" s="187"/>
      <c r="BE75" s="187"/>
      <c r="BF75" s="187"/>
      <c r="BG75" s="187"/>
      <c r="BH75" s="187"/>
      <c r="BI75" s="187"/>
      <c r="BJ75" s="187"/>
      <c r="BK75" s="187"/>
      <c r="BL75" s="187"/>
      <c r="BM75" s="187"/>
      <c r="BN75" s="187"/>
      <c r="BO75" s="187"/>
      <c r="BP75" s="187"/>
      <c r="BQ75" s="187"/>
      <c r="BR75" s="187"/>
      <c r="BS75" s="187"/>
      <c r="BT75" s="187"/>
      <c r="BU75" s="187"/>
      <c r="BV75" s="187"/>
      <c r="BW75" s="187"/>
      <c r="BX75" s="187"/>
      <c r="BY75" s="187"/>
      <c r="BZ75" s="187"/>
      <c r="CA75" s="187"/>
      <c r="CB75" s="187"/>
      <c r="CC75" s="187"/>
      <c r="CD75" s="187"/>
      <c r="CE75" s="187"/>
      <c r="CF75" s="187"/>
      <c r="CG75" s="187"/>
      <c r="CH75" s="187"/>
      <c r="CI75" s="187"/>
      <c r="CJ75" s="187"/>
      <c r="CK75" s="187"/>
      <c r="CL75" s="187"/>
      <c r="CM75" s="187"/>
      <c r="CN75" s="187"/>
      <c r="CO75" s="187"/>
      <c r="CP75" s="187"/>
      <c r="CQ75" s="187"/>
      <c r="CR75" s="187"/>
      <c r="CS75" s="187"/>
      <c r="CT75" s="187"/>
      <c r="CU75" s="187"/>
      <c r="CV75" s="187"/>
      <c r="CW75" s="187"/>
      <c r="CX75" s="187"/>
      <c r="CY75" s="187"/>
      <c r="CZ75" s="187"/>
      <c r="DA75" s="187"/>
      <c r="DB75" s="187"/>
      <c r="DC75" s="187"/>
      <c r="DD75" s="187"/>
      <c r="DE75" s="187"/>
      <c r="DF75" s="187"/>
      <c r="DG75" s="187"/>
      <c r="DH75" s="187"/>
      <c r="DI75" s="187"/>
      <c r="DJ75" s="187"/>
      <c r="DK75" s="187"/>
      <c r="DL75" s="187"/>
      <c r="DM75" s="187"/>
      <c r="DN75" s="187"/>
      <c r="DO75" s="187"/>
      <c r="DP75" s="187"/>
      <c r="DQ75" s="187"/>
      <c r="DR75" s="187"/>
      <c r="DS75" s="187"/>
      <c r="DT75" s="187"/>
      <c r="DU75" s="187"/>
      <c r="DV75" s="187"/>
      <c r="DW75" s="187"/>
      <c r="DX75" s="187"/>
      <c r="DY75" s="187"/>
      <c r="DZ75" s="187"/>
      <c r="EA75" s="187"/>
      <c r="EB75" s="187"/>
      <c r="EC75" s="187"/>
      <c r="ED75" s="187"/>
      <c r="EE75" s="187"/>
      <c r="EF75" s="187"/>
      <c r="EG75" s="187"/>
      <c r="EH75" s="187"/>
      <c r="EI75" s="187"/>
      <c r="EJ75" s="187"/>
    </row>
    <row r="76">
      <c r="A76" s="4"/>
      <c r="B76" s="4"/>
      <c r="C76" s="4"/>
      <c r="D76" s="122"/>
      <c r="E76" s="29"/>
      <c r="F76" s="29"/>
      <c r="G76" s="29"/>
      <c r="H76" s="29"/>
      <c r="I76" s="29"/>
      <c r="J76" s="29"/>
      <c r="K76" s="29"/>
      <c r="L76" s="29"/>
      <c r="M76" s="29"/>
      <c r="N76" s="29"/>
      <c r="O76" s="4"/>
      <c r="P76" s="4"/>
      <c r="Q76" s="4"/>
      <c r="R76" s="77"/>
      <c r="V76" s="176"/>
      <c r="W76" s="176"/>
      <c r="X76" s="188" t="str">
        <f t="array" ref="X76">IFERROR(INDIRECT("'Bloque "&amp;$AB$24&amp;" Semana "&amp;$AB$23&amp;"'"&amp;"!"&amp;"E37"),"")</f>
        <v/>
      </c>
      <c r="AE76" s="186">
        <v>26.0</v>
      </c>
      <c r="AF76" s="188" t="str">
        <f t="array" ref="AF76">IFERROR(INDIRECT("'Bloque "&amp;$AC$24&amp;" Semana "&amp;$AC$23&amp;"'"&amp;"!"&amp;"E37"),"")</f>
        <v/>
      </c>
      <c r="AM76" s="186">
        <v>26.0</v>
      </c>
      <c r="AN76" s="188" t="str">
        <f t="array" ref="AN76">IFERROR(INDIRECT("'Bloque "&amp;$AD$24&amp;" Semana "&amp;$AD$23&amp;"'"&amp;"!"&amp;"E37"),"")</f>
        <v/>
      </c>
      <c r="AU76" s="186">
        <v>26.0</v>
      </c>
    </row>
    <row r="77">
      <c r="A77" s="4"/>
      <c r="B77" s="4"/>
      <c r="C77" s="4"/>
      <c r="D77" s="122"/>
      <c r="E77" s="29"/>
      <c r="F77" s="29"/>
      <c r="G77" s="29"/>
      <c r="H77" s="29"/>
      <c r="I77" s="29"/>
      <c r="J77" s="29"/>
      <c r="K77" s="29"/>
      <c r="L77" s="29"/>
      <c r="M77" s="29"/>
      <c r="N77" s="29"/>
      <c r="O77" s="4"/>
      <c r="P77" s="4"/>
      <c r="Q77" s="4"/>
      <c r="R77" s="77"/>
      <c r="V77" s="176"/>
      <c r="W77" s="176"/>
      <c r="X77" s="176" t="str">
        <f t="array" ref="X77">IFERROR(INDIRECT("'Bloque "&amp;$AB$24&amp;" Semana "&amp;$AB$23&amp;"'"&amp;"!"&amp;"E25"),"")</f>
        <v/>
      </c>
      <c r="AE77" s="186">
        <v>25.0</v>
      </c>
      <c r="AF77" s="176" t="str">
        <f t="array" ref="AF77">IFERROR(INDIRECT("'Bloque "&amp;$AC$24&amp;" Semana "&amp;$AC$23&amp;"'"&amp;"!"&amp;"E25"),"")</f>
        <v/>
      </c>
      <c r="AM77" s="186">
        <v>25.0</v>
      </c>
      <c r="AN77" s="176" t="str">
        <f t="array" ref="AN77">IFERROR(INDIRECT("'Bloque "&amp;$AD$24&amp;" Semana "&amp;$AD$23&amp;"'"&amp;"!"&amp;"E25"),"")</f>
        <v/>
      </c>
      <c r="AU77" s="186">
        <v>25.0</v>
      </c>
    </row>
    <row r="78">
      <c r="A78" s="4"/>
      <c r="B78" s="4"/>
      <c r="C78" s="4"/>
      <c r="D78" s="122"/>
      <c r="E78" s="29"/>
      <c r="F78" s="29"/>
      <c r="G78" s="29"/>
      <c r="H78" s="29"/>
      <c r="I78" s="29"/>
      <c r="J78" s="29"/>
      <c r="K78" s="29"/>
      <c r="L78" s="29"/>
      <c r="M78" s="29"/>
      <c r="N78" s="29"/>
      <c r="O78" s="4"/>
      <c r="P78" s="4"/>
      <c r="Q78" s="4"/>
      <c r="R78" s="77"/>
      <c r="V78" s="176"/>
      <c r="W78" s="176"/>
      <c r="X78" s="189" t="str">
        <f t="array" ref="X78">IFERROR(INDIRECT("'Bloque "&amp;$AB$24&amp;" Semana "&amp;$AB$23&amp;"'"&amp;"!"&amp;"E26"),"")</f>
        <v/>
      </c>
      <c r="AE78" s="186">
        <v>26.0</v>
      </c>
      <c r="AF78" s="189" t="str">
        <f t="array" ref="AF78">IFERROR(INDIRECT("'Bloque "&amp;$AC$24&amp;" Semana "&amp;$AC$23&amp;"'"&amp;"!"&amp;"E26"),"")</f>
        <v/>
      </c>
      <c r="AM78" s="186">
        <v>26.0</v>
      </c>
      <c r="AN78" s="189" t="str">
        <f t="array" ref="AN78">IFERROR(INDIRECT("'Bloque "&amp;$AD$24&amp;" Semana "&amp;$AD$23&amp;"'"&amp;"!"&amp;"E26"),"")</f>
        <v/>
      </c>
      <c r="AU78" s="186">
        <v>26.0</v>
      </c>
    </row>
    <row r="79">
      <c r="A79" s="4"/>
      <c r="B79" s="4"/>
      <c r="C79" s="4"/>
      <c r="D79" s="122"/>
      <c r="E79" s="29"/>
      <c r="F79" s="29"/>
      <c r="G79" s="29"/>
      <c r="H79" s="29"/>
      <c r="I79" s="29"/>
      <c r="J79" s="29"/>
      <c r="K79" s="29"/>
      <c r="L79" s="29"/>
      <c r="M79" s="29"/>
      <c r="N79" s="29"/>
      <c r="O79" s="4"/>
      <c r="P79" s="4"/>
      <c r="Q79" s="4"/>
      <c r="R79" s="77"/>
      <c r="V79" s="176"/>
      <c r="W79" s="176"/>
      <c r="X79" s="190" t="str">
        <f t="shared" ref="X79:AD79" si="116">IFERROR(INDIRECT("'Bloque "&amp;$AB$24&amp;" Semana "&amp;$AB$23&amp;"'"&amp;"!"&amp;X$75&amp;$AE79),"")</f>
        <v/>
      </c>
      <c r="Y79" s="190" t="str">
        <f t="shared" si="116"/>
        <v/>
      </c>
      <c r="Z79" s="190" t="str">
        <f t="shared" si="116"/>
        <v/>
      </c>
      <c r="AA79" s="190" t="str">
        <f t="shared" si="116"/>
        <v/>
      </c>
      <c r="AB79" s="190" t="str">
        <f t="shared" si="116"/>
        <v/>
      </c>
      <c r="AC79" s="190" t="str">
        <f t="shared" si="116"/>
        <v/>
      </c>
      <c r="AD79" s="190" t="str">
        <f t="shared" si="116"/>
        <v/>
      </c>
      <c r="AE79" s="191">
        <v>27.0</v>
      </c>
      <c r="AF79" s="190" t="str">
        <f t="shared" ref="AF79:AL79" si="117">IFERROR(INDIRECT("'Bloque "&amp;$AC$24&amp;" Semana "&amp;$AC$23&amp;"'"&amp;"!"&amp;AF$75&amp;$AM79),"")</f>
        <v/>
      </c>
      <c r="AG79" s="190" t="str">
        <f t="shared" si="117"/>
        <v/>
      </c>
      <c r="AH79" s="190" t="str">
        <f t="shared" si="117"/>
        <v/>
      </c>
      <c r="AI79" s="190" t="str">
        <f t="shared" si="117"/>
        <v/>
      </c>
      <c r="AJ79" s="190" t="str">
        <f t="shared" si="117"/>
        <v/>
      </c>
      <c r="AK79" s="190" t="str">
        <f t="shared" si="117"/>
        <v/>
      </c>
      <c r="AL79" s="190" t="str">
        <f t="shared" si="117"/>
        <v/>
      </c>
      <c r="AM79" s="191">
        <v>27.0</v>
      </c>
      <c r="AN79" s="190" t="str">
        <f t="shared" ref="AN79:AT79" si="118">IFERROR(INDIRECT("'Bloque "&amp;$AD$24&amp;" Semana "&amp;$AD$23&amp;"'"&amp;"!"&amp;AN$75&amp;$AU79),"")</f>
        <v/>
      </c>
      <c r="AO79" s="190" t="str">
        <f t="shared" si="118"/>
        <v/>
      </c>
      <c r="AP79" s="190" t="str">
        <f t="shared" si="118"/>
        <v/>
      </c>
      <c r="AQ79" s="190" t="str">
        <f t="shared" si="118"/>
        <v/>
      </c>
      <c r="AR79" s="190" t="str">
        <f t="shared" si="118"/>
        <v/>
      </c>
      <c r="AS79" s="190" t="str">
        <f t="shared" si="118"/>
        <v/>
      </c>
      <c r="AT79" s="190" t="str">
        <f t="shared" si="118"/>
        <v/>
      </c>
      <c r="AU79" s="191">
        <v>27.0</v>
      </c>
    </row>
    <row r="80">
      <c r="A80" s="4"/>
      <c r="B80" s="4"/>
      <c r="C80" s="4"/>
      <c r="D80" s="122"/>
      <c r="E80" s="29"/>
      <c r="F80" s="29"/>
      <c r="G80" s="29"/>
      <c r="H80" s="29"/>
      <c r="I80" s="29"/>
      <c r="J80" s="29"/>
      <c r="K80" s="29"/>
      <c r="L80" s="29"/>
      <c r="M80" s="29"/>
      <c r="N80" s="29"/>
      <c r="O80" s="4"/>
      <c r="P80" s="4"/>
      <c r="Q80" s="4"/>
      <c r="R80" s="77"/>
      <c r="V80" s="176"/>
      <c r="W80" s="176"/>
      <c r="X80" s="197" t="str">
        <f t="shared" ref="X80:AD80" si="119">IFERROR(INDIRECT("'Bloque "&amp;$AB$24&amp;" Semana "&amp;$AB$23&amp;"'"&amp;"!"&amp;X$75&amp;$AE80),"")</f>
        <v/>
      </c>
      <c r="Y80" s="197" t="str">
        <f t="shared" si="119"/>
        <v/>
      </c>
      <c r="Z80" s="197" t="str">
        <f t="shared" si="119"/>
        <v/>
      </c>
      <c r="AA80" s="197" t="str">
        <f t="shared" si="119"/>
        <v/>
      </c>
      <c r="AB80" s="197" t="str">
        <f t="shared" si="119"/>
        <v/>
      </c>
      <c r="AC80" s="197" t="str">
        <f t="shared" si="119"/>
        <v/>
      </c>
      <c r="AD80" s="197" t="str">
        <f t="shared" si="119"/>
        <v/>
      </c>
      <c r="AE80" s="191">
        <v>28.0</v>
      </c>
      <c r="AF80" s="197" t="str">
        <f t="shared" ref="AF80:AL80" si="120">IFERROR(INDIRECT("'Bloque "&amp;$AC$24&amp;" Semana "&amp;$AC$23&amp;"'"&amp;"!"&amp;AF$75&amp;$AM80),"")</f>
        <v/>
      </c>
      <c r="AG80" s="197" t="str">
        <f t="shared" si="120"/>
        <v/>
      </c>
      <c r="AH80" s="197" t="str">
        <f t="shared" si="120"/>
        <v/>
      </c>
      <c r="AI80" s="197" t="str">
        <f t="shared" si="120"/>
        <v/>
      </c>
      <c r="AJ80" s="197" t="str">
        <f t="shared" si="120"/>
        <v/>
      </c>
      <c r="AK80" s="197" t="str">
        <f t="shared" si="120"/>
        <v/>
      </c>
      <c r="AL80" s="197" t="str">
        <f t="shared" si="120"/>
        <v/>
      </c>
      <c r="AM80" s="191">
        <v>28.0</v>
      </c>
      <c r="AN80" s="197" t="str">
        <f t="shared" ref="AN80:AT80" si="121">IFERROR(INDIRECT("'Bloque "&amp;$AD$24&amp;" Semana "&amp;$AD$23&amp;"'"&amp;"!"&amp;AN$75&amp;$AU80),"")</f>
        <v/>
      </c>
      <c r="AO80" s="197" t="str">
        <f t="shared" si="121"/>
        <v/>
      </c>
      <c r="AP80" s="197" t="str">
        <f t="shared" si="121"/>
        <v/>
      </c>
      <c r="AQ80" s="197" t="str">
        <f t="shared" si="121"/>
        <v/>
      </c>
      <c r="AR80" s="197" t="str">
        <f t="shared" si="121"/>
        <v/>
      </c>
      <c r="AS80" s="197" t="str">
        <f t="shared" si="121"/>
        <v/>
      </c>
      <c r="AT80" s="197" t="str">
        <f t="shared" si="121"/>
        <v/>
      </c>
      <c r="AU80" s="191">
        <v>28.0</v>
      </c>
    </row>
    <row r="81">
      <c r="A81" s="4"/>
      <c r="B81" s="4"/>
      <c r="C81" s="4"/>
      <c r="D81" s="122"/>
      <c r="E81" s="29"/>
      <c r="F81" s="29"/>
      <c r="G81" s="29"/>
      <c r="H81" s="29"/>
      <c r="I81" s="29"/>
      <c r="J81" s="29"/>
      <c r="K81" s="29"/>
      <c r="L81" s="29"/>
      <c r="M81" s="29"/>
      <c r="N81" s="29"/>
      <c r="O81" s="4"/>
      <c r="P81" s="4"/>
      <c r="Q81" s="4"/>
      <c r="R81" s="77"/>
      <c r="V81" s="176"/>
      <c r="W81" s="176"/>
      <c r="X81" s="197" t="str">
        <f t="shared" ref="X81:AD81" si="122">IFERROR(INDIRECT("'Bloque "&amp;$AB$24&amp;" Semana "&amp;$AB$23&amp;"'"&amp;"!"&amp;X$75&amp;$AE81),"")</f>
        <v/>
      </c>
      <c r="Y81" s="197" t="str">
        <f t="shared" si="122"/>
        <v/>
      </c>
      <c r="Z81" s="197" t="str">
        <f t="shared" si="122"/>
        <v/>
      </c>
      <c r="AA81" s="197" t="str">
        <f t="shared" si="122"/>
        <v/>
      </c>
      <c r="AB81" s="197" t="str">
        <f t="shared" si="122"/>
        <v/>
      </c>
      <c r="AC81" s="197" t="str">
        <f t="shared" si="122"/>
        <v/>
      </c>
      <c r="AD81" s="197" t="str">
        <f t="shared" si="122"/>
        <v/>
      </c>
      <c r="AE81" s="191">
        <v>29.0</v>
      </c>
      <c r="AF81" s="197" t="str">
        <f t="shared" ref="AF81:AL81" si="123">IFERROR(INDIRECT("'Bloque "&amp;$AC$24&amp;" Semana "&amp;$AC$23&amp;"'"&amp;"!"&amp;AF$75&amp;$AM81),"")</f>
        <v/>
      </c>
      <c r="AG81" s="197" t="str">
        <f t="shared" si="123"/>
        <v/>
      </c>
      <c r="AH81" s="197" t="str">
        <f t="shared" si="123"/>
        <v/>
      </c>
      <c r="AI81" s="197" t="str">
        <f t="shared" si="123"/>
        <v/>
      </c>
      <c r="AJ81" s="197" t="str">
        <f t="shared" si="123"/>
        <v/>
      </c>
      <c r="AK81" s="197" t="str">
        <f t="shared" si="123"/>
        <v/>
      </c>
      <c r="AL81" s="197" t="str">
        <f t="shared" si="123"/>
        <v/>
      </c>
      <c r="AM81" s="191">
        <v>29.0</v>
      </c>
      <c r="AN81" s="197" t="str">
        <f t="shared" ref="AN81:AT81" si="124">IFERROR(INDIRECT("'Bloque "&amp;$AD$24&amp;" Semana "&amp;$AD$23&amp;"'"&amp;"!"&amp;AN$75&amp;$AU81),"")</f>
        <v/>
      </c>
      <c r="AO81" s="197" t="str">
        <f t="shared" si="124"/>
        <v/>
      </c>
      <c r="AP81" s="197" t="str">
        <f t="shared" si="124"/>
        <v/>
      </c>
      <c r="AQ81" s="197" t="str">
        <f t="shared" si="124"/>
        <v/>
      </c>
      <c r="AR81" s="197" t="str">
        <f t="shared" si="124"/>
        <v/>
      </c>
      <c r="AS81" s="197" t="str">
        <f t="shared" si="124"/>
        <v/>
      </c>
      <c r="AT81" s="197" t="str">
        <f t="shared" si="124"/>
        <v/>
      </c>
      <c r="AU81" s="191">
        <v>29.0</v>
      </c>
    </row>
    <row r="82">
      <c r="A82" s="4"/>
      <c r="B82" s="4"/>
      <c r="C82" s="4"/>
      <c r="D82" s="122"/>
      <c r="E82" s="29"/>
      <c r="F82" s="29"/>
      <c r="G82" s="29"/>
      <c r="H82" s="29"/>
      <c r="I82" s="29"/>
      <c r="J82" s="29"/>
      <c r="K82" s="29"/>
      <c r="L82" s="29"/>
      <c r="M82" s="29"/>
      <c r="N82" s="29"/>
      <c r="O82" s="4"/>
      <c r="P82" s="4"/>
      <c r="Q82" s="4"/>
      <c r="R82" s="77"/>
      <c r="V82" s="176"/>
      <c r="W82" s="176"/>
      <c r="X82" s="197" t="str">
        <f t="shared" ref="X82:AD82" si="125">IFERROR(INDIRECT("'Bloque "&amp;$AB$24&amp;" Semana "&amp;$AB$23&amp;"'"&amp;"!"&amp;X$75&amp;$AE82),"")</f>
        <v/>
      </c>
      <c r="Y82" s="197" t="str">
        <f t="shared" si="125"/>
        <v/>
      </c>
      <c r="Z82" s="197" t="str">
        <f t="shared" si="125"/>
        <v/>
      </c>
      <c r="AA82" s="197" t="str">
        <f t="shared" si="125"/>
        <v/>
      </c>
      <c r="AB82" s="197" t="str">
        <f t="shared" si="125"/>
        <v/>
      </c>
      <c r="AC82" s="197" t="str">
        <f t="shared" si="125"/>
        <v/>
      </c>
      <c r="AD82" s="197" t="str">
        <f t="shared" si="125"/>
        <v/>
      </c>
      <c r="AE82" s="191">
        <v>30.0</v>
      </c>
      <c r="AF82" s="197" t="str">
        <f t="shared" ref="AF82:AL82" si="126">IFERROR(INDIRECT("'Bloque "&amp;$AC$24&amp;" Semana "&amp;$AC$23&amp;"'"&amp;"!"&amp;AF$75&amp;$AM82),"")</f>
        <v/>
      </c>
      <c r="AG82" s="197" t="str">
        <f t="shared" si="126"/>
        <v/>
      </c>
      <c r="AH82" s="197" t="str">
        <f t="shared" si="126"/>
        <v/>
      </c>
      <c r="AI82" s="197" t="str">
        <f t="shared" si="126"/>
        <v/>
      </c>
      <c r="AJ82" s="197" t="str">
        <f t="shared" si="126"/>
        <v/>
      </c>
      <c r="AK82" s="197" t="str">
        <f t="shared" si="126"/>
        <v/>
      </c>
      <c r="AL82" s="197" t="str">
        <f t="shared" si="126"/>
        <v/>
      </c>
      <c r="AM82" s="191">
        <v>30.0</v>
      </c>
      <c r="AN82" s="197" t="str">
        <f t="shared" ref="AN82:AT82" si="127">IFERROR(INDIRECT("'Bloque "&amp;$AD$24&amp;" Semana "&amp;$AD$23&amp;"'"&amp;"!"&amp;AN$75&amp;$AU82),"")</f>
        <v/>
      </c>
      <c r="AO82" s="197" t="str">
        <f t="shared" si="127"/>
        <v/>
      </c>
      <c r="AP82" s="197" t="str">
        <f t="shared" si="127"/>
        <v/>
      </c>
      <c r="AQ82" s="197" t="str">
        <f t="shared" si="127"/>
        <v/>
      </c>
      <c r="AR82" s="197" t="str">
        <f t="shared" si="127"/>
        <v/>
      </c>
      <c r="AS82" s="197" t="str">
        <f t="shared" si="127"/>
        <v/>
      </c>
      <c r="AT82" s="197" t="str">
        <f t="shared" si="127"/>
        <v/>
      </c>
      <c r="AU82" s="191">
        <v>30.0</v>
      </c>
    </row>
    <row r="83">
      <c r="A83" s="4"/>
      <c r="B83" s="4"/>
      <c r="C83" s="4"/>
      <c r="D83" s="122"/>
      <c r="E83" s="29"/>
      <c r="F83" s="29"/>
      <c r="G83" s="29"/>
      <c r="H83" s="29"/>
      <c r="I83" s="29"/>
      <c r="J83" s="29"/>
      <c r="K83" s="29"/>
      <c r="L83" s="29"/>
      <c r="M83" s="29"/>
      <c r="N83" s="29"/>
      <c r="O83" s="4"/>
      <c r="P83" s="4"/>
      <c r="Q83" s="4"/>
      <c r="R83" s="77"/>
      <c r="V83" s="176"/>
      <c r="W83" s="176"/>
      <c r="X83" s="197" t="str">
        <f t="shared" ref="X83:AD83" si="128">IFERROR(INDIRECT("'Bloque "&amp;$AB$24&amp;" Semana "&amp;$AB$23&amp;"'"&amp;"!"&amp;X$75&amp;$AE83),"")</f>
        <v/>
      </c>
      <c r="Y83" s="197" t="str">
        <f t="shared" si="128"/>
        <v/>
      </c>
      <c r="Z83" s="197" t="str">
        <f t="shared" si="128"/>
        <v/>
      </c>
      <c r="AA83" s="197" t="str">
        <f t="shared" si="128"/>
        <v/>
      </c>
      <c r="AB83" s="197" t="str">
        <f t="shared" si="128"/>
        <v/>
      </c>
      <c r="AC83" s="197" t="str">
        <f t="shared" si="128"/>
        <v/>
      </c>
      <c r="AD83" s="197" t="str">
        <f t="shared" si="128"/>
        <v/>
      </c>
      <c r="AE83" s="191">
        <v>31.0</v>
      </c>
      <c r="AF83" s="197" t="str">
        <f t="shared" ref="AF83:AL83" si="129">IFERROR(INDIRECT("'Bloque "&amp;$AC$24&amp;" Semana "&amp;$AC$23&amp;"'"&amp;"!"&amp;AF$75&amp;$AM83),"")</f>
        <v/>
      </c>
      <c r="AG83" s="197" t="str">
        <f t="shared" si="129"/>
        <v/>
      </c>
      <c r="AH83" s="197" t="str">
        <f t="shared" si="129"/>
        <v/>
      </c>
      <c r="AI83" s="197" t="str">
        <f t="shared" si="129"/>
        <v/>
      </c>
      <c r="AJ83" s="197" t="str">
        <f t="shared" si="129"/>
        <v/>
      </c>
      <c r="AK83" s="197" t="str">
        <f t="shared" si="129"/>
        <v/>
      </c>
      <c r="AL83" s="197" t="str">
        <f t="shared" si="129"/>
        <v/>
      </c>
      <c r="AM83" s="191">
        <v>31.0</v>
      </c>
      <c r="AN83" s="197" t="str">
        <f t="shared" ref="AN83:AT83" si="130">IFERROR(INDIRECT("'Bloque "&amp;$AD$24&amp;" Semana "&amp;$AD$23&amp;"'"&amp;"!"&amp;AN$75&amp;$AU83),"")</f>
        <v/>
      </c>
      <c r="AO83" s="197" t="str">
        <f t="shared" si="130"/>
        <v/>
      </c>
      <c r="AP83" s="197" t="str">
        <f t="shared" si="130"/>
        <v/>
      </c>
      <c r="AQ83" s="197" t="str">
        <f t="shared" si="130"/>
        <v/>
      </c>
      <c r="AR83" s="197" t="str">
        <f t="shared" si="130"/>
        <v/>
      </c>
      <c r="AS83" s="197" t="str">
        <f t="shared" si="130"/>
        <v/>
      </c>
      <c r="AT83" s="197" t="str">
        <f t="shared" si="130"/>
        <v/>
      </c>
      <c r="AU83" s="191">
        <v>31.0</v>
      </c>
    </row>
    <row r="84">
      <c r="A84" s="4"/>
      <c r="B84" s="4"/>
      <c r="C84" s="4"/>
      <c r="D84" s="122"/>
      <c r="E84" s="29"/>
      <c r="F84" s="29"/>
      <c r="G84" s="29"/>
      <c r="H84" s="29"/>
      <c r="I84" s="29"/>
      <c r="J84" s="29"/>
      <c r="K84" s="29"/>
      <c r="L84" s="29"/>
      <c r="M84" s="29"/>
      <c r="N84" s="29"/>
      <c r="O84" s="4"/>
      <c r="P84" s="4"/>
      <c r="Q84" s="4"/>
      <c r="R84" s="77"/>
      <c r="V84" s="176"/>
      <c r="W84" s="176"/>
      <c r="X84" s="197" t="str">
        <f t="shared" ref="X84:AD84" si="131">IFERROR(INDIRECT("'Bloque "&amp;$AB$24&amp;" Semana "&amp;$AB$23&amp;"'"&amp;"!"&amp;X$75&amp;$AE84),"")</f>
        <v/>
      </c>
      <c r="Y84" s="197" t="str">
        <f t="shared" si="131"/>
        <v/>
      </c>
      <c r="Z84" s="197" t="str">
        <f t="shared" si="131"/>
        <v/>
      </c>
      <c r="AA84" s="197" t="str">
        <f t="shared" si="131"/>
        <v/>
      </c>
      <c r="AB84" s="197" t="str">
        <f t="shared" si="131"/>
        <v/>
      </c>
      <c r="AC84" s="197" t="str">
        <f t="shared" si="131"/>
        <v/>
      </c>
      <c r="AD84" s="197" t="str">
        <f t="shared" si="131"/>
        <v/>
      </c>
      <c r="AE84" s="191">
        <v>32.0</v>
      </c>
      <c r="AF84" s="197" t="str">
        <f t="shared" ref="AF84:AL84" si="132">IFERROR(INDIRECT("'Bloque "&amp;$AC$24&amp;" Semana "&amp;$AC$23&amp;"'"&amp;"!"&amp;AF$75&amp;$AM84),"")</f>
        <v/>
      </c>
      <c r="AG84" s="197" t="str">
        <f t="shared" si="132"/>
        <v/>
      </c>
      <c r="AH84" s="197" t="str">
        <f t="shared" si="132"/>
        <v/>
      </c>
      <c r="AI84" s="197" t="str">
        <f t="shared" si="132"/>
        <v/>
      </c>
      <c r="AJ84" s="197" t="str">
        <f t="shared" si="132"/>
        <v/>
      </c>
      <c r="AK84" s="197" t="str">
        <f t="shared" si="132"/>
        <v/>
      </c>
      <c r="AL84" s="197" t="str">
        <f t="shared" si="132"/>
        <v/>
      </c>
      <c r="AM84" s="191">
        <v>32.0</v>
      </c>
      <c r="AN84" s="197" t="str">
        <f t="shared" ref="AN84:AT84" si="133">IFERROR(INDIRECT("'Bloque "&amp;$AD$24&amp;" Semana "&amp;$AD$23&amp;"'"&amp;"!"&amp;AN$75&amp;$AU84),"")</f>
        <v/>
      </c>
      <c r="AO84" s="197" t="str">
        <f t="shared" si="133"/>
        <v/>
      </c>
      <c r="AP84" s="197" t="str">
        <f t="shared" si="133"/>
        <v/>
      </c>
      <c r="AQ84" s="197" t="str">
        <f t="shared" si="133"/>
        <v/>
      </c>
      <c r="AR84" s="197" t="str">
        <f t="shared" si="133"/>
        <v/>
      </c>
      <c r="AS84" s="197" t="str">
        <f t="shared" si="133"/>
        <v/>
      </c>
      <c r="AT84" s="197" t="str">
        <f t="shared" si="133"/>
        <v/>
      </c>
      <c r="AU84" s="191">
        <v>32.0</v>
      </c>
    </row>
    <row r="85">
      <c r="A85" s="4"/>
      <c r="B85" s="4"/>
      <c r="C85" s="4"/>
      <c r="D85" s="122"/>
      <c r="E85" s="29"/>
      <c r="F85" s="29"/>
      <c r="G85" s="29"/>
      <c r="H85" s="29"/>
      <c r="I85" s="29"/>
      <c r="J85" s="29"/>
      <c r="K85" s="29"/>
      <c r="L85" s="29"/>
      <c r="M85" s="29"/>
      <c r="N85" s="29"/>
      <c r="O85" s="4"/>
      <c r="P85" s="4"/>
      <c r="Q85" s="4"/>
      <c r="R85" s="77"/>
      <c r="V85" s="176"/>
      <c r="W85" s="176"/>
      <c r="X85" s="197" t="str">
        <f t="shared" ref="X85:AD85" si="134">IFERROR(INDIRECT("'Bloque "&amp;$AB$24&amp;" Semana "&amp;$AB$23&amp;"'"&amp;"!"&amp;X$75&amp;$AE85),"")</f>
        <v/>
      </c>
      <c r="Y85" s="197" t="str">
        <f t="shared" si="134"/>
        <v/>
      </c>
      <c r="Z85" s="197" t="str">
        <f t="shared" si="134"/>
        <v/>
      </c>
      <c r="AA85" s="197" t="str">
        <f t="shared" si="134"/>
        <v/>
      </c>
      <c r="AB85" s="197" t="str">
        <f t="shared" si="134"/>
        <v/>
      </c>
      <c r="AC85" s="197" t="str">
        <f t="shared" si="134"/>
        <v/>
      </c>
      <c r="AD85" s="197" t="str">
        <f t="shared" si="134"/>
        <v/>
      </c>
      <c r="AE85" s="191">
        <v>33.0</v>
      </c>
      <c r="AF85" s="197" t="str">
        <f t="shared" ref="AF85:AL85" si="135">IFERROR(INDIRECT("'Bloque "&amp;$AC$24&amp;" Semana "&amp;$AC$23&amp;"'"&amp;"!"&amp;AF$75&amp;$AM85),"")</f>
        <v/>
      </c>
      <c r="AG85" s="197" t="str">
        <f t="shared" si="135"/>
        <v/>
      </c>
      <c r="AH85" s="197" t="str">
        <f t="shared" si="135"/>
        <v/>
      </c>
      <c r="AI85" s="197" t="str">
        <f t="shared" si="135"/>
        <v/>
      </c>
      <c r="AJ85" s="197" t="str">
        <f t="shared" si="135"/>
        <v/>
      </c>
      <c r="AK85" s="197" t="str">
        <f t="shared" si="135"/>
        <v/>
      </c>
      <c r="AL85" s="197" t="str">
        <f t="shared" si="135"/>
        <v/>
      </c>
      <c r="AM85" s="191">
        <v>33.0</v>
      </c>
      <c r="AN85" s="197" t="str">
        <f t="shared" ref="AN85:AT85" si="136">IFERROR(INDIRECT("'Bloque "&amp;$AD$24&amp;" Semana "&amp;$AD$23&amp;"'"&amp;"!"&amp;AN$75&amp;$AU85),"")</f>
        <v/>
      </c>
      <c r="AO85" s="197" t="str">
        <f t="shared" si="136"/>
        <v/>
      </c>
      <c r="AP85" s="197" t="str">
        <f t="shared" si="136"/>
        <v/>
      </c>
      <c r="AQ85" s="197" t="str">
        <f t="shared" si="136"/>
        <v/>
      </c>
      <c r="AR85" s="197" t="str">
        <f t="shared" si="136"/>
        <v/>
      </c>
      <c r="AS85" s="197" t="str">
        <f t="shared" si="136"/>
        <v/>
      </c>
      <c r="AT85" s="197" t="str">
        <f t="shared" si="136"/>
        <v/>
      </c>
      <c r="AU85" s="191">
        <v>33.0</v>
      </c>
    </row>
    <row r="86">
      <c r="A86" s="4"/>
      <c r="B86" s="4"/>
      <c r="C86" s="4"/>
      <c r="D86" s="122"/>
      <c r="E86" s="29"/>
      <c r="F86" s="29"/>
      <c r="G86" s="29"/>
      <c r="H86" s="29"/>
      <c r="I86" s="29"/>
      <c r="J86" s="29"/>
      <c r="K86" s="29"/>
      <c r="L86" s="29"/>
      <c r="M86" s="29"/>
      <c r="N86" s="29"/>
      <c r="O86" s="4"/>
      <c r="P86" s="4"/>
      <c r="Q86" s="4"/>
      <c r="R86" s="77"/>
      <c r="V86" s="176"/>
      <c r="W86" s="176"/>
      <c r="X86" s="197" t="str">
        <f t="shared" ref="X86:AD86" si="137">IFERROR(INDIRECT("'Bloque "&amp;$AB$24&amp;" Semana "&amp;$AB$23&amp;"'"&amp;"!"&amp;X$75&amp;$AE86),"")</f>
        <v/>
      </c>
      <c r="Y86" s="197" t="str">
        <f t="shared" si="137"/>
        <v/>
      </c>
      <c r="Z86" s="197" t="str">
        <f t="shared" si="137"/>
        <v/>
      </c>
      <c r="AA86" s="197" t="str">
        <f t="shared" si="137"/>
        <v/>
      </c>
      <c r="AB86" s="197" t="str">
        <f t="shared" si="137"/>
        <v/>
      </c>
      <c r="AC86" s="197" t="str">
        <f t="shared" si="137"/>
        <v/>
      </c>
      <c r="AD86" s="197" t="str">
        <f t="shared" si="137"/>
        <v/>
      </c>
      <c r="AE86" s="191">
        <v>34.0</v>
      </c>
      <c r="AF86" s="197" t="str">
        <f t="shared" ref="AF86:AL86" si="138">IFERROR(INDIRECT("'Bloque "&amp;$AC$24&amp;" Semana "&amp;$AC$23&amp;"'"&amp;"!"&amp;AF$75&amp;$AM86),"")</f>
        <v/>
      </c>
      <c r="AG86" s="197" t="str">
        <f t="shared" si="138"/>
        <v/>
      </c>
      <c r="AH86" s="197" t="str">
        <f t="shared" si="138"/>
        <v/>
      </c>
      <c r="AI86" s="197" t="str">
        <f t="shared" si="138"/>
        <v/>
      </c>
      <c r="AJ86" s="197" t="str">
        <f t="shared" si="138"/>
        <v/>
      </c>
      <c r="AK86" s="197" t="str">
        <f t="shared" si="138"/>
        <v/>
      </c>
      <c r="AL86" s="197" t="str">
        <f t="shared" si="138"/>
        <v/>
      </c>
      <c r="AM86" s="191">
        <v>34.0</v>
      </c>
      <c r="AN86" s="197" t="str">
        <f t="shared" ref="AN86:AT86" si="139">IFERROR(INDIRECT("'Bloque "&amp;$AD$24&amp;" Semana "&amp;$AD$23&amp;"'"&amp;"!"&amp;AN$75&amp;$AU86),"")</f>
        <v/>
      </c>
      <c r="AO86" s="197" t="str">
        <f t="shared" si="139"/>
        <v/>
      </c>
      <c r="AP86" s="197" t="str">
        <f t="shared" si="139"/>
        <v/>
      </c>
      <c r="AQ86" s="197" t="str">
        <f t="shared" si="139"/>
        <v/>
      </c>
      <c r="AR86" s="197" t="str">
        <f t="shared" si="139"/>
        <v/>
      </c>
      <c r="AS86" s="197" t="str">
        <f t="shared" si="139"/>
        <v/>
      </c>
      <c r="AT86" s="197" t="str">
        <f t="shared" si="139"/>
        <v/>
      </c>
      <c r="AU86" s="191">
        <v>34.0</v>
      </c>
    </row>
    <row r="87">
      <c r="A87" s="4"/>
      <c r="B87" s="4"/>
      <c r="C87" s="4"/>
      <c r="D87" s="122"/>
      <c r="E87" s="29"/>
      <c r="F87" s="29"/>
      <c r="G87" s="29"/>
      <c r="H87" s="29"/>
      <c r="I87" s="29"/>
      <c r="J87" s="29"/>
      <c r="K87" s="29"/>
      <c r="L87" s="29"/>
      <c r="M87" s="29"/>
      <c r="N87" s="29"/>
      <c r="O87" s="4"/>
      <c r="P87" s="4"/>
      <c r="Q87" s="4"/>
      <c r="R87" s="77"/>
      <c r="V87" s="176"/>
      <c r="W87" s="176"/>
      <c r="X87" s="197" t="str">
        <f t="shared" ref="X87:AD87" si="140">IFERROR(INDIRECT("'Bloque "&amp;$AB$24&amp;" Semana "&amp;$AB$23&amp;"'"&amp;"!"&amp;X$75&amp;$AE87),"")</f>
        <v/>
      </c>
      <c r="Y87" s="197" t="str">
        <f t="shared" si="140"/>
        <v/>
      </c>
      <c r="Z87" s="197" t="str">
        <f t="shared" si="140"/>
        <v/>
      </c>
      <c r="AA87" s="197" t="str">
        <f t="shared" si="140"/>
        <v/>
      </c>
      <c r="AB87" s="197" t="str">
        <f t="shared" si="140"/>
        <v/>
      </c>
      <c r="AC87" s="197" t="str">
        <f t="shared" si="140"/>
        <v/>
      </c>
      <c r="AD87" s="197" t="str">
        <f t="shared" si="140"/>
        <v/>
      </c>
      <c r="AE87" s="191">
        <v>35.0</v>
      </c>
      <c r="AF87" s="197" t="str">
        <f t="shared" ref="AF87:AL87" si="141">IFERROR(INDIRECT("'Bloque "&amp;$AC$24&amp;" Semana "&amp;$AC$23&amp;"'"&amp;"!"&amp;AF$75&amp;$AM87),"")</f>
        <v/>
      </c>
      <c r="AG87" s="197" t="str">
        <f t="shared" si="141"/>
        <v/>
      </c>
      <c r="AH87" s="197" t="str">
        <f t="shared" si="141"/>
        <v/>
      </c>
      <c r="AI87" s="197" t="str">
        <f t="shared" si="141"/>
        <v/>
      </c>
      <c r="AJ87" s="197" t="str">
        <f t="shared" si="141"/>
        <v/>
      </c>
      <c r="AK87" s="197" t="str">
        <f t="shared" si="141"/>
        <v/>
      </c>
      <c r="AL87" s="197" t="str">
        <f t="shared" si="141"/>
        <v/>
      </c>
      <c r="AM87" s="191">
        <v>35.0</v>
      </c>
      <c r="AN87" s="197" t="str">
        <f t="shared" ref="AN87:AT87" si="142">IFERROR(INDIRECT("'Bloque "&amp;$AD$24&amp;" Semana "&amp;$AD$23&amp;"'"&amp;"!"&amp;AN$75&amp;$AU87),"")</f>
        <v/>
      </c>
      <c r="AO87" s="197" t="str">
        <f t="shared" si="142"/>
        <v/>
      </c>
      <c r="AP87" s="197" t="str">
        <f t="shared" si="142"/>
        <v/>
      </c>
      <c r="AQ87" s="197" t="str">
        <f t="shared" si="142"/>
        <v/>
      </c>
      <c r="AR87" s="197" t="str">
        <f t="shared" si="142"/>
        <v/>
      </c>
      <c r="AS87" s="197" t="str">
        <f t="shared" si="142"/>
        <v/>
      </c>
      <c r="AT87" s="197" t="str">
        <f t="shared" si="142"/>
        <v/>
      </c>
      <c r="AU87" s="191">
        <v>35.0</v>
      </c>
    </row>
    <row r="88">
      <c r="A88" s="4"/>
      <c r="B88" s="4"/>
      <c r="C88" s="4"/>
      <c r="D88" s="122"/>
      <c r="E88" s="29"/>
      <c r="F88" s="29"/>
      <c r="G88" s="29"/>
      <c r="H88" s="29"/>
      <c r="I88" s="29"/>
      <c r="J88" s="29"/>
      <c r="K88" s="29"/>
      <c r="L88" s="29"/>
      <c r="M88" s="29"/>
      <c r="N88" s="29"/>
      <c r="O88" s="4"/>
      <c r="P88" s="4"/>
      <c r="Q88" s="4"/>
      <c r="R88" s="77"/>
      <c r="V88" s="176"/>
      <c r="W88" s="176"/>
      <c r="X88" s="176"/>
      <c r="Y88" s="176"/>
      <c r="Z88" s="176"/>
      <c r="AA88" s="176"/>
      <c r="AB88" s="176"/>
      <c r="AC88" s="176"/>
      <c r="AD88" s="176"/>
      <c r="AE88" s="192"/>
      <c r="AF88" s="176"/>
      <c r="AG88" s="176"/>
      <c r="AH88" s="176"/>
      <c r="AI88" s="176"/>
      <c r="AJ88" s="176"/>
      <c r="AK88" s="176"/>
      <c r="AL88" s="176"/>
      <c r="AM88" s="192"/>
      <c r="AN88" s="176"/>
      <c r="AO88" s="176"/>
      <c r="AP88" s="176"/>
      <c r="AQ88" s="176"/>
      <c r="AR88" s="176"/>
      <c r="AU88" s="187"/>
    </row>
    <row r="89">
      <c r="A89" s="193"/>
      <c r="B89" s="193"/>
      <c r="C89" s="193"/>
      <c r="D89" s="194"/>
      <c r="E89" s="195"/>
      <c r="F89" s="195"/>
      <c r="G89" s="195"/>
      <c r="H89" s="195"/>
      <c r="I89" s="195"/>
      <c r="J89" s="195"/>
      <c r="K89" s="195"/>
      <c r="L89" s="195"/>
      <c r="M89" s="195"/>
      <c r="N89" s="195"/>
      <c r="O89" s="193"/>
      <c r="P89" s="193"/>
      <c r="Q89" s="193"/>
      <c r="R89" s="196"/>
      <c r="S89" s="187"/>
      <c r="T89" s="187"/>
      <c r="U89" s="187"/>
      <c r="V89" s="192"/>
      <c r="W89" s="192"/>
      <c r="X89" s="186" t="s">
        <v>202</v>
      </c>
      <c r="Y89" s="186" t="s">
        <v>203</v>
      </c>
      <c r="Z89" s="186" t="s">
        <v>209</v>
      </c>
      <c r="AA89" s="186" t="s">
        <v>205</v>
      </c>
      <c r="AB89" s="186" t="s">
        <v>206</v>
      </c>
      <c r="AC89" s="186" t="s">
        <v>207</v>
      </c>
      <c r="AD89" s="186" t="s">
        <v>208</v>
      </c>
      <c r="AE89" s="187"/>
      <c r="AF89" s="186" t="s">
        <v>202</v>
      </c>
      <c r="AG89" s="186" t="s">
        <v>203</v>
      </c>
      <c r="AH89" s="186" t="s">
        <v>209</v>
      </c>
      <c r="AI89" s="186" t="s">
        <v>205</v>
      </c>
      <c r="AJ89" s="186" t="s">
        <v>206</v>
      </c>
      <c r="AK89" s="186" t="s">
        <v>207</v>
      </c>
      <c r="AL89" s="186" t="s">
        <v>208</v>
      </c>
      <c r="AM89" s="187"/>
      <c r="AN89" s="186" t="s">
        <v>202</v>
      </c>
      <c r="AO89" s="186" t="s">
        <v>203</v>
      </c>
      <c r="AP89" s="186" t="s">
        <v>209</v>
      </c>
      <c r="AQ89" s="186" t="s">
        <v>205</v>
      </c>
      <c r="AR89" s="186" t="s">
        <v>206</v>
      </c>
      <c r="AS89" s="186" t="s">
        <v>207</v>
      </c>
      <c r="AT89" s="186" t="s">
        <v>208</v>
      </c>
      <c r="AU89" s="187"/>
      <c r="AV89" s="187"/>
      <c r="AW89" s="187"/>
      <c r="AX89" s="187"/>
      <c r="AY89" s="187"/>
      <c r="AZ89" s="187"/>
      <c r="BA89" s="187"/>
      <c r="BB89" s="187"/>
      <c r="BC89" s="187"/>
      <c r="BD89" s="187"/>
      <c r="BE89" s="187"/>
      <c r="BF89" s="187"/>
      <c r="BG89" s="187"/>
      <c r="BH89" s="187"/>
      <c r="BI89" s="187"/>
      <c r="BJ89" s="187"/>
      <c r="BK89" s="187"/>
      <c r="BL89" s="187"/>
      <c r="BM89" s="187"/>
      <c r="BN89" s="187"/>
      <c r="BO89" s="187"/>
      <c r="BP89" s="187"/>
      <c r="BQ89" s="187"/>
      <c r="BR89" s="187"/>
      <c r="BS89" s="187"/>
      <c r="BT89" s="187"/>
      <c r="BU89" s="187"/>
      <c r="BV89" s="187"/>
      <c r="BW89" s="187"/>
      <c r="BX89" s="187"/>
      <c r="BY89" s="187"/>
      <c r="BZ89" s="187"/>
      <c r="CA89" s="187"/>
      <c r="CB89" s="187"/>
      <c r="CC89" s="187"/>
      <c r="CD89" s="187"/>
      <c r="CE89" s="187"/>
      <c r="CF89" s="187"/>
      <c r="CG89" s="187"/>
      <c r="CH89" s="187"/>
      <c r="CI89" s="187"/>
      <c r="CJ89" s="187"/>
      <c r="CK89" s="187"/>
      <c r="CL89" s="187"/>
      <c r="CM89" s="187"/>
      <c r="CN89" s="187"/>
      <c r="CO89" s="187"/>
      <c r="CP89" s="187"/>
      <c r="CQ89" s="187"/>
      <c r="CR89" s="187"/>
      <c r="CS89" s="187"/>
      <c r="CT89" s="187"/>
      <c r="CU89" s="187"/>
      <c r="CV89" s="187"/>
      <c r="CW89" s="187"/>
      <c r="CX89" s="187"/>
      <c r="CY89" s="187"/>
      <c r="CZ89" s="187"/>
      <c r="DA89" s="187"/>
      <c r="DB89" s="187"/>
      <c r="DC89" s="187"/>
      <c r="DD89" s="187"/>
      <c r="DE89" s="187"/>
      <c r="DF89" s="187"/>
      <c r="DG89" s="187"/>
      <c r="DH89" s="187"/>
      <c r="DI89" s="187"/>
      <c r="DJ89" s="187"/>
      <c r="DK89" s="187"/>
      <c r="DL89" s="187"/>
      <c r="DM89" s="187"/>
      <c r="DN89" s="187"/>
      <c r="DO89" s="187"/>
      <c r="DP89" s="187"/>
      <c r="DQ89" s="187"/>
      <c r="DR89" s="187"/>
      <c r="DS89" s="187"/>
      <c r="DT89" s="187"/>
      <c r="DU89" s="187"/>
      <c r="DV89" s="187"/>
      <c r="DW89" s="187"/>
      <c r="DX89" s="187"/>
      <c r="DY89" s="187"/>
      <c r="DZ89" s="187"/>
      <c r="EA89" s="187"/>
      <c r="EB89" s="187"/>
      <c r="EC89" s="187"/>
      <c r="ED89" s="187"/>
      <c r="EE89" s="187"/>
      <c r="EF89" s="187"/>
      <c r="EG89" s="187"/>
      <c r="EH89" s="187"/>
      <c r="EI89" s="187"/>
      <c r="EJ89" s="187"/>
    </row>
    <row r="90">
      <c r="A90" s="4"/>
      <c r="B90" s="4"/>
      <c r="C90" s="4"/>
      <c r="D90" s="122"/>
      <c r="E90" s="29"/>
      <c r="F90" s="29"/>
      <c r="G90" s="29"/>
      <c r="H90" s="29"/>
      <c r="I90" s="29"/>
      <c r="J90" s="29"/>
      <c r="K90" s="29"/>
      <c r="L90" s="29"/>
      <c r="M90" s="29"/>
      <c r="N90" s="29"/>
      <c r="O90" s="4"/>
      <c r="P90" s="4"/>
      <c r="Q90" s="4"/>
      <c r="R90" s="77"/>
      <c r="V90" s="176"/>
      <c r="W90" s="176"/>
      <c r="X90" s="188" t="str">
        <f t="array" ref="X90">IFERROR(INDIRECT("'Bloque "&amp;$AE$24&amp;" Semana "&amp;$AE$23&amp;"'"&amp;"!"&amp;"E37"),"")</f>
        <v/>
      </c>
      <c r="AE90" s="186">
        <v>26.0</v>
      </c>
      <c r="AF90" s="188" t="str">
        <f t="array" ref="AF90">IFERROR(INDIRECT("'Bloque "&amp;$AF$24&amp;" Semana "&amp;$AF$23&amp;"'"&amp;"!"&amp;"E37"),"")</f>
        <v/>
      </c>
      <c r="AM90" s="186">
        <v>26.0</v>
      </c>
      <c r="AN90" s="188" t="str">
        <f t="array" ref="AN90">IFERROR(INDIRECT("'Bloque "&amp;$AG$24&amp;" Semana "&amp;$AG$23&amp;"'"&amp;"!"&amp;"E37"),"")</f>
        <v/>
      </c>
      <c r="AU90" s="186">
        <v>26.0</v>
      </c>
    </row>
    <row r="91">
      <c r="A91" s="4"/>
      <c r="B91" s="4"/>
      <c r="C91" s="4"/>
      <c r="D91" s="122"/>
      <c r="E91" s="29"/>
      <c r="F91" s="29"/>
      <c r="G91" s="29"/>
      <c r="H91" s="29"/>
      <c r="I91" s="29"/>
      <c r="J91" s="29"/>
      <c r="K91" s="29"/>
      <c r="L91" s="29"/>
      <c r="M91" s="29"/>
      <c r="N91" s="29"/>
      <c r="O91" s="4"/>
      <c r="P91" s="4"/>
      <c r="Q91" s="4"/>
      <c r="R91" s="77"/>
      <c r="V91" s="176"/>
      <c r="W91" s="176"/>
      <c r="X91" s="176" t="str">
        <f t="array" ref="X91">IFERROR(INDIRECT("'Bloque "&amp;$AE$24&amp;" Semana "&amp;$AE$23&amp;"'"&amp;"!"&amp;"E25"),"")</f>
        <v/>
      </c>
      <c r="AE91" s="186">
        <v>25.0</v>
      </c>
      <c r="AF91" s="176" t="str">
        <f t="array" ref="AF91">IFERROR(INDIRECT("'Bloque "&amp;$AF$24&amp;" Semana "&amp;$AF$23&amp;"'"&amp;"!"&amp;"E25"),"")</f>
        <v/>
      </c>
      <c r="AM91" s="186">
        <v>25.0</v>
      </c>
      <c r="AN91" s="176" t="str">
        <f t="array" ref="AN91">IFERROR(INDIRECT("'Bloque "&amp;$AG$24&amp;" Semana "&amp;$AG$23&amp;"'"&amp;"!"&amp;"E25"),"")</f>
        <v/>
      </c>
      <c r="AU91" s="186">
        <v>25.0</v>
      </c>
    </row>
    <row r="92">
      <c r="A92" s="4"/>
      <c r="B92" s="4"/>
      <c r="C92" s="4"/>
      <c r="D92" s="122"/>
      <c r="E92" s="29"/>
      <c r="F92" s="29"/>
      <c r="G92" s="29"/>
      <c r="H92" s="29"/>
      <c r="I92" s="29"/>
      <c r="J92" s="29"/>
      <c r="K92" s="29"/>
      <c r="L92" s="29"/>
      <c r="M92" s="29"/>
      <c r="N92" s="29"/>
      <c r="O92" s="4"/>
      <c r="P92" s="4"/>
      <c r="Q92" s="4"/>
      <c r="R92" s="77"/>
      <c r="V92" s="176"/>
      <c r="W92" s="176"/>
      <c r="X92" s="189" t="str">
        <f t="array" ref="X92">IFERROR(INDIRECT("'Bloque "&amp;$AE$24&amp;" Semana "&amp;$AE$23&amp;"'"&amp;"!"&amp;"E26"),"")</f>
        <v/>
      </c>
      <c r="AE92" s="186">
        <v>26.0</v>
      </c>
      <c r="AF92" s="189" t="str">
        <f t="array" ref="AF92">IFERROR(INDIRECT("'Bloque "&amp;$AF$24&amp;" Semana "&amp;$AF$23&amp;"'"&amp;"!"&amp;"E26"),"")</f>
        <v/>
      </c>
      <c r="AM92" s="186">
        <v>26.0</v>
      </c>
      <c r="AN92" s="189" t="str">
        <f t="array" ref="AN92">IFERROR(INDIRECT("'Bloque "&amp;$AG$24&amp;" Semana "&amp;$AG$23&amp;"'"&amp;"!"&amp;"E26"),"")</f>
        <v/>
      </c>
      <c r="AU92" s="186">
        <v>26.0</v>
      </c>
    </row>
    <row r="93">
      <c r="A93" s="4"/>
      <c r="B93" s="4"/>
      <c r="C93" s="4"/>
      <c r="D93" s="122"/>
      <c r="E93" s="29"/>
      <c r="F93" s="29"/>
      <c r="G93" s="29"/>
      <c r="H93" s="29"/>
      <c r="I93" s="29"/>
      <c r="J93" s="29"/>
      <c r="K93" s="29"/>
      <c r="L93" s="29"/>
      <c r="M93" s="29"/>
      <c r="N93" s="29"/>
      <c r="O93" s="4"/>
      <c r="P93" s="4"/>
      <c r="Q93" s="4"/>
      <c r="R93" s="77"/>
      <c r="V93" s="176"/>
      <c r="W93" s="176"/>
      <c r="X93" s="190" t="str">
        <f t="shared" ref="X93:AD93" si="143">IFERROR(INDIRECT("'Bloque "&amp;$AE$24&amp;" Semana "&amp;$AE$23&amp;"'"&amp;"!"&amp;X$89&amp;$AE93),"")</f>
        <v/>
      </c>
      <c r="Y93" s="190" t="str">
        <f t="shared" si="143"/>
        <v/>
      </c>
      <c r="Z93" s="190" t="str">
        <f t="shared" si="143"/>
        <v/>
      </c>
      <c r="AA93" s="190" t="str">
        <f t="shared" si="143"/>
        <v/>
      </c>
      <c r="AB93" s="190" t="str">
        <f t="shared" si="143"/>
        <v/>
      </c>
      <c r="AC93" s="190" t="str">
        <f t="shared" si="143"/>
        <v/>
      </c>
      <c r="AD93" s="190" t="str">
        <f t="shared" si="143"/>
        <v/>
      </c>
      <c r="AE93" s="191">
        <v>27.0</v>
      </c>
      <c r="AF93" s="190" t="str">
        <f t="shared" ref="AF93:AL93" si="144">IFERROR(INDIRECT("'Bloque "&amp;$AF$24&amp;" Semana "&amp;$AF$23&amp;"'"&amp;"!"&amp;AF$89&amp;$AM93),"")</f>
        <v/>
      </c>
      <c r="AG93" s="190" t="str">
        <f t="shared" si="144"/>
        <v/>
      </c>
      <c r="AH93" s="190" t="str">
        <f t="shared" si="144"/>
        <v/>
      </c>
      <c r="AI93" s="190" t="str">
        <f t="shared" si="144"/>
        <v/>
      </c>
      <c r="AJ93" s="190" t="str">
        <f t="shared" si="144"/>
        <v/>
      </c>
      <c r="AK93" s="190" t="str">
        <f t="shared" si="144"/>
        <v/>
      </c>
      <c r="AL93" s="190" t="str">
        <f t="shared" si="144"/>
        <v/>
      </c>
      <c r="AM93" s="191">
        <v>27.0</v>
      </c>
      <c r="AN93" s="190" t="str">
        <f t="shared" ref="AN93:AT93" si="145">IFERROR(INDIRECT("'Bloque "&amp;$AG$24&amp;" Semana "&amp;$AG$23&amp;"'"&amp;"!"&amp;AN$89&amp;$AU93),"")</f>
        <v/>
      </c>
      <c r="AO93" s="190" t="str">
        <f t="shared" si="145"/>
        <v/>
      </c>
      <c r="AP93" s="190" t="str">
        <f t="shared" si="145"/>
        <v/>
      </c>
      <c r="AQ93" s="190" t="str">
        <f t="shared" si="145"/>
        <v/>
      </c>
      <c r="AR93" s="190" t="str">
        <f t="shared" si="145"/>
        <v/>
      </c>
      <c r="AS93" s="190" t="str">
        <f t="shared" si="145"/>
        <v/>
      </c>
      <c r="AT93" s="190" t="str">
        <f t="shared" si="145"/>
        <v/>
      </c>
      <c r="AU93" s="191">
        <v>27.0</v>
      </c>
    </row>
    <row r="94">
      <c r="A94" s="4"/>
      <c r="B94" s="4"/>
      <c r="C94" s="4"/>
      <c r="D94" s="122"/>
      <c r="E94" s="29"/>
      <c r="F94" s="29"/>
      <c r="G94" s="29"/>
      <c r="H94" s="29"/>
      <c r="I94" s="29"/>
      <c r="J94" s="29"/>
      <c r="K94" s="29"/>
      <c r="L94" s="29"/>
      <c r="M94" s="29"/>
      <c r="N94" s="29"/>
      <c r="O94" s="4"/>
      <c r="P94" s="4"/>
      <c r="Q94" s="4"/>
      <c r="R94" s="77"/>
      <c r="V94" s="176"/>
      <c r="W94" s="176"/>
      <c r="X94" s="197" t="str">
        <f t="shared" ref="X94:AD94" si="146">IFERROR(INDIRECT("'Bloque "&amp;$AE$24&amp;" Semana "&amp;$AE$23&amp;"'"&amp;"!"&amp;X$89&amp;$AE94),"")</f>
        <v/>
      </c>
      <c r="Y94" s="197" t="str">
        <f t="shared" si="146"/>
        <v/>
      </c>
      <c r="Z94" s="197" t="str">
        <f t="shared" si="146"/>
        <v/>
      </c>
      <c r="AA94" s="197" t="str">
        <f t="shared" si="146"/>
        <v/>
      </c>
      <c r="AB94" s="197" t="str">
        <f t="shared" si="146"/>
        <v/>
      </c>
      <c r="AC94" s="197" t="str">
        <f t="shared" si="146"/>
        <v/>
      </c>
      <c r="AD94" s="197" t="str">
        <f t="shared" si="146"/>
        <v/>
      </c>
      <c r="AE94" s="191">
        <v>28.0</v>
      </c>
      <c r="AF94" s="197" t="str">
        <f t="shared" ref="AF94:AL94" si="147">IFERROR(INDIRECT("'Bloque "&amp;$AF$24&amp;" Semana "&amp;$AF$23&amp;"'"&amp;"!"&amp;AF$89&amp;$AM94),"")</f>
        <v/>
      </c>
      <c r="AG94" s="197" t="str">
        <f t="shared" si="147"/>
        <v/>
      </c>
      <c r="AH94" s="197" t="str">
        <f t="shared" si="147"/>
        <v/>
      </c>
      <c r="AI94" s="197" t="str">
        <f t="shared" si="147"/>
        <v/>
      </c>
      <c r="AJ94" s="197" t="str">
        <f t="shared" si="147"/>
        <v/>
      </c>
      <c r="AK94" s="197" t="str">
        <f t="shared" si="147"/>
        <v/>
      </c>
      <c r="AL94" s="197" t="str">
        <f t="shared" si="147"/>
        <v/>
      </c>
      <c r="AM94" s="191">
        <v>28.0</v>
      </c>
      <c r="AN94" s="197" t="str">
        <f t="shared" ref="AN94:AT94" si="148">IFERROR(INDIRECT("'Bloque "&amp;$AG$24&amp;" Semana "&amp;$AG$23&amp;"'"&amp;"!"&amp;AN$89&amp;$AU94),"")</f>
        <v/>
      </c>
      <c r="AO94" s="197" t="str">
        <f t="shared" si="148"/>
        <v/>
      </c>
      <c r="AP94" s="197" t="str">
        <f t="shared" si="148"/>
        <v/>
      </c>
      <c r="AQ94" s="197" t="str">
        <f t="shared" si="148"/>
        <v/>
      </c>
      <c r="AR94" s="197" t="str">
        <f t="shared" si="148"/>
        <v/>
      </c>
      <c r="AS94" s="197" t="str">
        <f t="shared" si="148"/>
        <v/>
      </c>
      <c r="AT94" s="197" t="str">
        <f t="shared" si="148"/>
        <v/>
      </c>
      <c r="AU94" s="191">
        <v>28.0</v>
      </c>
    </row>
    <row r="95">
      <c r="A95" s="4"/>
      <c r="B95" s="4"/>
      <c r="C95" s="4"/>
      <c r="D95" s="122"/>
      <c r="E95" s="29"/>
      <c r="F95" s="29"/>
      <c r="G95" s="29"/>
      <c r="H95" s="29"/>
      <c r="I95" s="29"/>
      <c r="J95" s="29"/>
      <c r="K95" s="29"/>
      <c r="L95" s="29"/>
      <c r="M95" s="29"/>
      <c r="N95" s="29"/>
      <c r="O95" s="4"/>
      <c r="P95" s="4"/>
      <c r="Q95" s="4"/>
      <c r="R95" s="77"/>
      <c r="V95" s="176"/>
      <c r="W95" s="176"/>
      <c r="X95" s="197" t="str">
        <f t="shared" ref="X95:AD95" si="149">IFERROR(INDIRECT("'Bloque "&amp;$AE$24&amp;" Semana "&amp;$AE$23&amp;"'"&amp;"!"&amp;X$89&amp;$AE95),"")</f>
        <v/>
      </c>
      <c r="Y95" s="197" t="str">
        <f t="shared" si="149"/>
        <v/>
      </c>
      <c r="Z95" s="197" t="str">
        <f t="shared" si="149"/>
        <v/>
      </c>
      <c r="AA95" s="197" t="str">
        <f t="shared" si="149"/>
        <v/>
      </c>
      <c r="AB95" s="197" t="str">
        <f t="shared" si="149"/>
        <v/>
      </c>
      <c r="AC95" s="197" t="str">
        <f t="shared" si="149"/>
        <v/>
      </c>
      <c r="AD95" s="197" t="str">
        <f t="shared" si="149"/>
        <v/>
      </c>
      <c r="AE95" s="191">
        <v>29.0</v>
      </c>
      <c r="AF95" s="197" t="str">
        <f t="shared" ref="AF95:AL95" si="150">IFERROR(INDIRECT("'Bloque "&amp;$AF$24&amp;" Semana "&amp;$AF$23&amp;"'"&amp;"!"&amp;AF$89&amp;$AM95),"")</f>
        <v/>
      </c>
      <c r="AG95" s="197" t="str">
        <f t="shared" si="150"/>
        <v/>
      </c>
      <c r="AH95" s="197" t="str">
        <f t="shared" si="150"/>
        <v/>
      </c>
      <c r="AI95" s="197" t="str">
        <f t="shared" si="150"/>
        <v/>
      </c>
      <c r="AJ95" s="197" t="str">
        <f t="shared" si="150"/>
        <v/>
      </c>
      <c r="AK95" s="197" t="str">
        <f t="shared" si="150"/>
        <v/>
      </c>
      <c r="AL95" s="197" t="str">
        <f t="shared" si="150"/>
        <v/>
      </c>
      <c r="AM95" s="191">
        <v>29.0</v>
      </c>
      <c r="AN95" s="197" t="str">
        <f t="shared" ref="AN95:AT95" si="151">IFERROR(INDIRECT("'Bloque "&amp;$AG$24&amp;" Semana "&amp;$AG$23&amp;"'"&amp;"!"&amp;AN$89&amp;$AU95),"")</f>
        <v/>
      </c>
      <c r="AO95" s="197" t="str">
        <f t="shared" si="151"/>
        <v/>
      </c>
      <c r="AP95" s="197" t="str">
        <f t="shared" si="151"/>
        <v/>
      </c>
      <c r="AQ95" s="197" t="str">
        <f t="shared" si="151"/>
        <v/>
      </c>
      <c r="AR95" s="197" t="str">
        <f t="shared" si="151"/>
        <v/>
      </c>
      <c r="AS95" s="197" t="str">
        <f t="shared" si="151"/>
        <v/>
      </c>
      <c r="AT95" s="197" t="str">
        <f t="shared" si="151"/>
        <v/>
      </c>
      <c r="AU95" s="191">
        <v>29.0</v>
      </c>
    </row>
    <row r="96">
      <c r="A96" s="4"/>
      <c r="B96" s="4"/>
      <c r="C96" s="4"/>
      <c r="D96" s="122"/>
      <c r="E96" s="29"/>
      <c r="F96" s="29"/>
      <c r="G96" s="29"/>
      <c r="H96" s="29"/>
      <c r="I96" s="29"/>
      <c r="J96" s="29"/>
      <c r="K96" s="29"/>
      <c r="L96" s="29"/>
      <c r="M96" s="29"/>
      <c r="N96" s="29"/>
      <c r="O96" s="4"/>
      <c r="P96" s="4"/>
      <c r="Q96" s="4"/>
      <c r="R96" s="77"/>
      <c r="V96" s="176"/>
      <c r="W96" s="176"/>
      <c r="X96" s="197" t="str">
        <f t="shared" ref="X96:AD96" si="152">IFERROR(INDIRECT("'Bloque "&amp;$AE$24&amp;" Semana "&amp;$AE$23&amp;"'"&amp;"!"&amp;X$89&amp;$AE96),"")</f>
        <v/>
      </c>
      <c r="Y96" s="197" t="str">
        <f t="shared" si="152"/>
        <v/>
      </c>
      <c r="Z96" s="197" t="str">
        <f t="shared" si="152"/>
        <v/>
      </c>
      <c r="AA96" s="197" t="str">
        <f t="shared" si="152"/>
        <v/>
      </c>
      <c r="AB96" s="197" t="str">
        <f t="shared" si="152"/>
        <v/>
      </c>
      <c r="AC96" s="197" t="str">
        <f t="shared" si="152"/>
        <v/>
      </c>
      <c r="AD96" s="197" t="str">
        <f t="shared" si="152"/>
        <v/>
      </c>
      <c r="AE96" s="191">
        <v>30.0</v>
      </c>
      <c r="AF96" s="197" t="str">
        <f t="shared" ref="AF96:AL96" si="153">IFERROR(INDIRECT("'Bloque "&amp;$AF$24&amp;" Semana "&amp;$AF$23&amp;"'"&amp;"!"&amp;AF$89&amp;$AM96),"")</f>
        <v/>
      </c>
      <c r="AG96" s="197" t="str">
        <f t="shared" si="153"/>
        <v/>
      </c>
      <c r="AH96" s="197" t="str">
        <f t="shared" si="153"/>
        <v/>
      </c>
      <c r="AI96" s="197" t="str">
        <f t="shared" si="153"/>
        <v/>
      </c>
      <c r="AJ96" s="197" t="str">
        <f t="shared" si="153"/>
        <v/>
      </c>
      <c r="AK96" s="197" t="str">
        <f t="shared" si="153"/>
        <v/>
      </c>
      <c r="AL96" s="197" t="str">
        <f t="shared" si="153"/>
        <v/>
      </c>
      <c r="AM96" s="191">
        <v>30.0</v>
      </c>
      <c r="AN96" s="197" t="str">
        <f t="shared" ref="AN96:AT96" si="154">IFERROR(INDIRECT("'Bloque "&amp;$AG$24&amp;" Semana "&amp;$AG$23&amp;"'"&amp;"!"&amp;AN$89&amp;$AU96),"")</f>
        <v/>
      </c>
      <c r="AO96" s="197" t="str">
        <f t="shared" si="154"/>
        <v/>
      </c>
      <c r="AP96" s="197" t="str">
        <f t="shared" si="154"/>
        <v/>
      </c>
      <c r="AQ96" s="197" t="str">
        <f t="shared" si="154"/>
        <v/>
      </c>
      <c r="AR96" s="197" t="str">
        <f t="shared" si="154"/>
        <v/>
      </c>
      <c r="AS96" s="197" t="str">
        <f t="shared" si="154"/>
        <v/>
      </c>
      <c r="AT96" s="197" t="str">
        <f t="shared" si="154"/>
        <v/>
      </c>
      <c r="AU96" s="191">
        <v>30.0</v>
      </c>
    </row>
    <row r="97">
      <c r="A97" s="4"/>
      <c r="B97" s="4"/>
      <c r="C97" s="4"/>
      <c r="D97" s="122"/>
      <c r="E97" s="29"/>
      <c r="F97" s="29"/>
      <c r="G97" s="29"/>
      <c r="H97" s="29"/>
      <c r="I97" s="29"/>
      <c r="J97" s="29"/>
      <c r="K97" s="29"/>
      <c r="L97" s="29"/>
      <c r="M97" s="29"/>
      <c r="N97" s="29"/>
      <c r="O97" s="4"/>
      <c r="P97" s="4"/>
      <c r="Q97" s="4"/>
      <c r="R97" s="77"/>
      <c r="V97" s="176"/>
      <c r="W97" s="176"/>
      <c r="X97" s="197" t="str">
        <f t="shared" ref="X97:AD97" si="155">IFERROR(INDIRECT("'Bloque "&amp;$AE$24&amp;" Semana "&amp;$AE$23&amp;"'"&amp;"!"&amp;X$89&amp;$AE97),"")</f>
        <v/>
      </c>
      <c r="Y97" s="197" t="str">
        <f t="shared" si="155"/>
        <v/>
      </c>
      <c r="Z97" s="197" t="str">
        <f t="shared" si="155"/>
        <v/>
      </c>
      <c r="AA97" s="197" t="str">
        <f t="shared" si="155"/>
        <v/>
      </c>
      <c r="AB97" s="197" t="str">
        <f t="shared" si="155"/>
        <v/>
      </c>
      <c r="AC97" s="197" t="str">
        <f t="shared" si="155"/>
        <v/>
      </c>
      <c r="AD97" s="197" t="str">
        <f t="shared" si="155"/>
        <v/>
      </c>
      <c r="AE97" s="191">
        <v>31.0</v>
      </c>
      <c r="AF97" s="197" t="str">
        <f t="shared" ref="AF97:AL97" si="156">IFERROR(INDIRECT("'Bloque "&amp;$AF$24&amp;" Semana "&amp;$AF$23&amp;"'"&amp;"!"&amp;AF$89&amp;$AM97),"")</f>
        <v/>
      </c>
      <c r="AG97" s="197" t="str">
        <f t="shared" si="156"/>
        <v/>
      </c>
      <c r="AH97" s="197" t="str">
        <f t="shared" si="156"/>
        <v/>
      </c>
      <c r="AI97" s="197" t="str">
        <f t="shared" si="156"/>
        <v/>
      </c>
      <c r="AJ97" s="197" t="str">
        <f t="shared" si="156"/>
        <v/>
      </c>
      <c r="AK97" s="197" t="str">
        <f t="shared" si="156"/>
        <v/>
      </c>
      <c r="AL97" s="197" t="str">
        <f t="shared" si="156"/>
        <v/>
      </c>
      <c r="AM97" s="191">
        <v>31.0</v>
      </c>
      <c r="AN97" s="197" t="str">
        <f t="shared" ref="AN97:AT97" si="157">IFERROR(INDIRECT("'Bloque "&amp;$AG$24&amp;" Semana "&amp;$AG$23&amp;"'"&amp;"!"&amp;AN$89&amp;$AU97),"")</f>
        <v/>
      </c>
      <c r="AO97" s="197" t="str">
        <f t="shared" si="157"/>
        <v/>
      </c>
      <c r="AP97" s="197" t="str">
        <f t="shared" si="157"/>
        <v/>
      </c>
      <c r="AQ97" s="197" t="str">
        <f t="shared" si="157"/>
        <v/>
      </c>
      <c r="AR97" s="197" t="str">
        <f t="shared" si="157"/>
        <v/>
      </c>
      <c r="AS97" s="197" t="str">
        <f t="shared" si="157"/>
        <v/>
      </c>
      <c r="AT97" s="197" t="str">
        <f t="shared" si="157"/>
        <v/>
      </c>
      <c r="AU97" s="191">
        <v>31.0</v>
      </c>
    </row>
    <row r="98">
      <c r="A98" s="4"/>
      <c r="B98" s="4"/>
      <c r="C98" s="4"/>
      <c r="D98" s="122"/>
      <c r="E98" s="29"/>
      <c r="F98" s="29"/>
      <c r="G98" s="29"/>
      <c r="H98" s="29"/>
      <c r="I98" s="29"/>
      <c r="J98" s="29"/>
      <c r="K98" s="29"/>
      <c r="L98" s="29"/>
      <c r="M98" s="29"/>
      <c r="N98" s="29"/>
      <c r="O98" s="4"/>
      <c r="P98" s="4"/>
      <c r="Q98" s="4"/>
      <c r="R98" s="77"/>
      <c r="V98" s="176"/>
      <c r="W98" s="176"/>
      <c r="X98" s="197" t="str">
        <f t="shared" ref="X98:AD98" si="158">IFERROR(INDIRECT("'Bloque "&amp;$AE$24&amp;" Semana "&amp;$AE$23&amp;"'"&amp;"!"&amp;X$89&amp;$AE98),"")</f>
        <v/>
      </c>
      <c r="Y98" s="197" t="str">
        <f t="shared" si="158"/>
        <v/>
      </c>
      <c r="Z98" s="197" t="str">
        <f t="shared" si="158"/>
        <v/>
      </c>
      <c r="AA98" s="197" t="str">
        <f t="shared" si="158"/>
        <v/>
      </c>
      <c r="AB98" s="197" t="str">
        <f t="shared" si="158"/>
        <v/>
      </c>
      <c r="AC98" s="197" t="str">
        <f t="shared" si="158"/>
        <v/>
      </c>
      <c r="AD98" s="197" t="str">
        <f t="shared" si="158"/>
        <v/>
      </c>
      <c r="AE98" s="191">
        <v>32.0</v>
      </c>
      <c r="AF98" s="197" t="str">
        <f t="shared" ref="AF98:AL98" si="159">IFERROR(INDIRECT("'Bloque "&amp;$AF$24&amp;" Semana "&amp;$AF$23&amp;"'"&amp;"!"&amp;AF$89&amp;$AM98),"")</f>
        <v/>
      </c>
      <c r="AG98" s="197" t="str">
        <f t="shared" si="159"/>
        <v/>
      </c>
      <c r="AH98" s="197" t="str">
        <f t="shared" si="159"/>
        <v/>
      </c>
      <c r="AI98" s="197" t="str">
        <f t="shared" si="159"/>
        <v/>
      </c>
      <c r="AJ98" s="197" t="str">
        <f t="shared" si="159"/>
        <v/>
      </c>
      <c r="AK98" s="197" t="str">
        <f t="shared" si="159"/>
        <v/>
      </c>
      <c r="AL98" s="197" t="str">
        <f t="shared" si="159"/>
        <v/>
      </c>
      <c r="AM98" s="191">
        <v>32.0</v>
      </c>
      <c r="AN98" s="197" t="str">
        <f t="shared" ref="AN98:AT98" si="160">IFERROR(INDIRECT("'Bloque "&amp;$AG$24&amp;" Semana "&amp;$AG$23&amp;"'"&amp;"!"&amp;AN$89&amp;$AU98),"")</f>
        <v/>
      </c>
      <c r="AO98" s="197" t="str">
        <f t="shared" si="160"/>
        <v/>
      </c>
      <c r="AP98" s="197" t="str">
        <f t="shared" si="160"/>
        <v/>
      </c>
      <c r="AQ98" s="197" t="str">
        <f t="shared" si="160"/>
        <v/>
      </c>
      <c r="AR98" s="197" t="str">
        <f t="shared" si="160"/>
        <v/>
      </c>
      <c r="AS98" s="197" t="str">
        <f t="shared" si="160"/>
        <v/>
      </c>
      <c r="AT98" s="197" t="str">
        <f t="shared" si="160"/>
        <v/>
      </c>
      <c r="AU98" s="191">
        <v>32.0</v>
      </c>
    </row>
    <row r="99">
      <c r="A99" s="4"/>
      <c r="B99" s="4"/>
      <c r="C99" s="4"/>
      <c r="D99" s="122"/>
      <c r="E99" s="29"/>
      <c r="F99" s="29"/>
      <c r="G99" s="29"/>
      <c r="H99" s="29"/>
      <c r="I99" s="29"/>
      <c r="J99" s="29"/>
      <c r="K99" s="29"/>
      <c r="L99" s="29"/>
      <c r="M99" s="29"/>
      <c r="N99" s="29"/>
      <c r="O99" s="4"/>
      <c r="P99" s="4"/>
      <c r="Q99" s="4"/>
      <c r="R99" s="77"/>
      <c r="V99" s="176"/>
      <c r="W99" s="176"/>
      <c r="X99" s="197" t="str">
        <f t="shared" ref="X99:AD99" si="161">IFERROR(INDIRECT("'Bloque "&amp;$AE$24&amp;" Semana "&amp;$AE$23&amp;"'"&amp;"!"&amp;X$89&amp;$AE99),"")</f>
        <v/>
      </c>
      <c r="Y99" s="197" t="str">
        <f t="shared" si="161"/>
        <v/>
      </c>
      <c r="Z99" s="197" t="str">
        <f t="shared" si="161"/>
        <v/>
      </c>
      <c r="AA99" s="197" t="str">
        <f t="shared" si="161"/>
        <v/>
      </c>
      <c r="AB99" s="197" t="str">
        <f t="shared" si="161"/>
        <v/>
      </c>
      <c r="AC99" s="197" t="str">
        <f t="shared" si="161"/>
        <v/>
      </c>
      <c r="AD99" s="197" t="str">
        <f t="shared" si="161"/>
        <v/>
      </c>
      <c r="AE99" s="191">
        <v>33.0</v>
      </c>
      <c r="AF99" s="197" t="str">
        <f t="shared" ref="AF99:AL99" si="162">IFERROR(INDIRECT("'Bloque "&amp;$AF$24&amp;" Semana "&amp;$AF$23&amp;"'"&amp;"!"&amp;AF$89&amp;$AM99),"")</f>
        <v/>
      </c>
      <c r="AG99" s="197" t="str">
        <f t="shared" si="162"/>
        <v/>
      </c>
      <c r="AH99" s="197" t="str">
        <f t="shared" si="162"/>
        <v/>
      </c>
      <c r="AI99" s="197" t="str">
        <f t="shared" si="162"/>
        <v/>
      </c>
      <c r="AJ99" s="197" t="str">
        <f t="shared" si="162"/>
        <v/>
      </c>
      <c r="AK99" s="197" t="str">
        <f t="shared" si="162"/>
        <v/>
      </c>
      <c r="AL99" s="197" t="str">
        <f t="shared" si="162"/>
        <v/>
      </c>
      <c r="AM99" s="191">
        <v>33.0</v>
      </c>
      <c r="AN99" s="197" t="str">
        <f t="shared" ref="AN99:AT99" si="163">IFERROR(INDIRECT("'Bloque "&amp;$AG$24&amp;" Semana "&amp;$AG$23&amp;"'"&amp;"!"&amp;AN$89&amp;$AU99),"")</f>
        <v/>
      </c>
      <c r="AO99" s="197" t="str">
        <f t="shared" si="163"/>
        <v/>
      </c>
      <c r="AP99" s="197" t="str">
        <f t="shared" si="163"/>
        <v/>
      </c>
      <c r="AQ99" s="197" t="str">
        <f t="shared" si="163"/>
        <v/>
      </c>
      <c r="AR99" s="197" t="str">
        <f t="shared" si="163"/>
        <v/>
      </c>
      <c r="AS99" s="197" t="str">
        <f t="shared" si="163"/>
        <v/>
      </c>
      <c r="AT99" s="197" t="str">
        <f t="shared" si="163"/>
        <v/>
      </c>
      <c r="AU99" s="191">
        <v>33.0</v>
      </c>
    </row>
    <row r="100">
      <c r="A100" s="4"/>
      <c r="B100" s="4"/>
      <c r="C100" s="4"/>
      <c r="D100" s="122"/>
      <c r="E100" s="29"/>
      <c r="F100" s="29"/>
      <c r="G100" s="29"/>
      <c r="H100" s="29"/>
      <c r="I100" s="29"/>
      <c r="J100" s="29"/>
      <c r="K100" s="29"/>
      <c r="L100" s="29"/>
      <c r="M100" s="29"/>
      <c r="N100" s="29"/>
      <c r="O100" s="4"/>
      <c r="P100" s="4"/>
      <c r="Q100" s="4"/>
      <c r="R100" s="77"/>
      <c r="V100" s="176"/>
      <c r="W100" s="176"/>
      <c r="X100" s="197" t="str">
        <f t="shared" ref="X100:AD100" si="164">IFERROR(INDIRECT("'Bloque "&amp;$AE$24&amp;" Semana "&amp;$AE$23&amp;"'"&amp;"!"&amp;X$89&amp;$AE100),"")</f>
        <v/>
      </c>
      <c r="Y100" s="197" t="str">
        <f t="shared" si="164"/>
        <v/>
      </c>
      <c r="Z100" s="197" t="str">
        <f t="shared" si="164"/>
        <v/>
      </c>
      <c r="AA100" s="197" t="str">
        <f t="shared" si="164"/>
        <v/>
      </c>
      <c r="AB100" s="197" t="str">
        <f t="shared" si="164"/>
        <v/>
      </c>
      <c r="AC100" s="197" t="str">
        <f t="shared" si="164"/>
        <v/>
      </c>
      <c r="AD100" s="197" t="str">
        <f t="shared" si="164"/>
        <v/>
      </c>
      <c r="AE100" s="191">
        <v>34.0</v>
      </c>
      <c r="AF100" s="197" t="str">
        <f t="shared" ref="AF100:AL100" si="165">IFERROR(INDIRECT("'Bloque "&amp;$AF$24&amp;" Semana "&amp;$AF$23&amp;"'"&amp;"!"&amp;AF$89&amp;$AM100),"")</f>
        <v/>
      </c>
      <c r="AG100" s="197" t="str">
        <f t="shared" si="165"/>
        <v/>
      </c>
      <c r="AH100" s="197" t="str">
        <f t="shared" si="165"/>
        <v/>
      </c>
      <c r="AI100" s="197" t="str">
        <f t="shared" si="165"/>
        <v/>
      </c>
      <c r="AJ100" s="197" t="str">
        <f t="shared" si="165"/>
        <v/>
      </c>
      <c r="AK100" s="197" t="str">
        <f t="shared" si="165"/>
        <v/>
      </c>
      <c r="AL100" s="197" t="str">
        <f t="shared" si="165"/>
        <v/>
      </c>
      <c r="AM100" s="191">
        <v>34.0</v>
      </c>
      <c r="AN100" s="197" t="str">
        <f t="shared" ref="AN100:AT100" si="166">IFERROR(INDIRECT("'Bloque "&amp;$AG$24&amp;" Semana "&amp;$AG$23&amp;"'"&amp;"!"&amp;AN$89&amp;$AU100),"")</f>
        <v/>
      </c>
      <c r="AO100" s="197" t="str">
        <f t="shared" si="166"/>
        <v/>
      </c>
      <c r="AP100" s="197" t="str">
        <f t="shared" si="166"/>
        <v/>
      </c>
      <c r="AQ100" s="197" t="str">
        <f t="shared" si="166"/>
        <v/>
      </c>
      <c r="AR100" s="197" t="str">
        <f t="shared" si="166"/>
        <v/>
      </c>
      <c r="AS100" s="197" t="str">
        <f t="shared" si="166"/>
        <v/>
      </c>
      <c r="AT100" s="197" t="str">
        <f t="shared" si="166"/>
        <v/>
      </c>
      <c r="AU100" s="191">
        <v>34.0</v>
      </c>
    </row>
    <row r="101">
      <c r="A101" s="4"/>
      <c r="B101" s="4"/>
      <c r="C101" s="4"/>
      <c r="D101" s="122"/>
      <c r="E101" s="29"/>
      <c r="F101" s="29"/>
      <c r="G101" s="29"/>
      <c r="H101" s="29"/>
      <c r="I101" s="29"/>
      <c r="J101" s="29"/>
      <c r="K101" s="29"/>
      <c r="L101" s="29"/>
      <c r="M101" s="29"/>
      <c r="N101" s="29"/>
      <c r="O101" s="4"/>
      <c r="P101" s="4"/>
      <c r="Q101" s="4"/>
      <c r="R101" s="77"/>
      <c r="V101" s="176"/>
      <c r="W101" s="176"/>
      <c r="X101" s="197" t="str">
        <f t="shared" ref="X101:AD101" si="167">IFERROR(INDIRECT("'Bloque "&amp;$AE$24&amp;" Semana "&amp;$AE$23&amp;"'"&amp;"!"&amp;X$89&amp;$AE101),"")</f>
        <v/>
      </c>
      <c r="Y101" s="197" t="str">
        <f t="shared" si="167"/>
        <v/>
      </c>
      <c r="Z101" s="197" t="str">
        <f t="shared" si="167"/>
        <v/>
      </c>
      <c r="AA101" s="197" t="str">
        <f t="shared" si="167"/>
        <v/>
      </c>
      <c r="AB101" s="197" t="str">
        <f t="shared" si="167"/>
        <v/>
      </c>
      <c r="AC101" s="197" t="str">
        <f t="shared" si="167"/>
        <v/>
      </c>
      <c r="AD101" s="197" t="str">
        <f t="shared" si="167"/>
        <v/>
      </c>
      <c r="AE101" s="191">
        <v>35.0</v>
      </c>
      <c r="AF101" s="197" t="str">
        <f t="shared" ref="AF101:AL101" si="168">IFERROR(INDIRECT("'Bloque "&amp;$AF$24&amp;" Semana "&amp;$AF$23&amp;"'"&amp;"!"&amp;AF$89&amp;$AM101),"")</f>
        <v/>
      </c>
      <c r="AG101" s="197" t="str">
        <f t="shared" si="168"/>
        <v/>
      </c>
      <c r="AH101" s="197" t="str">
        <f t="shared" si="168"/>
        <v/>
      </c>
      <c r="AI101" s="197" t="str">
        <f t="shared" si="168"/>
        <v/>
      </c>
      <c r="AJ101" s="197" t="str">
        <f t="shared" si="168"/>
        <v/>
      </c>
      <c r="AK101" s="197" t="str">
        <f t="shared" si="168"/>
        <v/>
      </c>
      <c r="AL101" s="197" t="str">
        <f t="shared" si="168"/>
        <v/>
      </c>
      <c r="AM101" s="191">
        <v>35.0</v>
      </c>
      <c r="AN101" s="197" t="str">
        <f t="shared" ref="AN101:AT101" si="169">IFERROR(INDIRECT("'Bloque "&amp;$AG$24&amp;" Semana "&amp;$AG$23&amp;"'"&amp;"!"&amp;AN$89&amp;$AU101),"")</f>
        <v/>
      </c>
      <c r="AO101" s="197" t="str">
        <f t="shared" si="169"/>
        <v/>
      </c>
      <c r="AP101" s="197" t="str">
        <f t="shared" si="169"/>
        <v/>
      </c>
      <c r="AQ101" s="197" t="str">
        <f t="shared" si="169"/>
        <v/>
      </c>
      <c r="AR101" s="197" t="str">
        <f t="shared" si="169"/>
        <v/>
      </c>
      <c r="AS101" s="197" t="str">
        <f t="shared" si="169"/>
        <v/>
      </c>
      <c r="AT101" s="197" t="str">
        <f t="shared" si="169"/>
        <v/>
      </c>
      <c r="AU101" s="191">
        <v>35.0</v>
      </c>
    </row>
    <row r="102">
      <c r="A102" s="4"/>
      <c r="B102" s="4"/>
      <c r="C102" s="4"/>
      <c r="D102" s="122"/>
      <c r="E102" s="29"/>
      <c r="F102" s="29"/>
      <c r="G102" s="29"/>
      <c r="H102" s="29"/>
      <c r="I102" s="29"/>
      <c r="J102" s="29"/>
      <c r="K102" s="29"/>
      <c r="L102" s="29"/>
      <c r="M102" s="29"/>
      <c r="N102" s="29"/>
      <c r="O102" s="4"/>
      <c r="P102" s="4"/>
      <c r="Q102" s="4"/>
      <c r="R102" s="77"/>
      <c r="V102" s="176"/>
      <c r="W102" s="176"/>
      <c r="X102" s="176"/>
      <c r="Y102" s="176"/>
      <c r="Z102" s="176"/>
      <c r="AA102" s="176"/>
      <c r="AB102" s="176"/>
      <c r="AC102" s="176"/>
      <c r="AD102" s="176"/>
      <c r="AE102" s="192"/>
      <c r="AF102" s="176"/>
      <c r="AG102" s="176"/>
      <c r="AH102" s="176"/>
      <c r="AI102" s="176"/>
      <c r="AJ102" s="176"/>
      <c r="AK102" s="176"/>
      <c r="AL102" s="176"/>
      <c r="AM102" s="192"/>
      <c r="AN102" s="176"/>
      <c r="AO102" s="176"/>
      <c r="AP102" s="176"/>
      <c r="AQ102" s="176"/>
      <c r="AR102" s="176"/>
      <c r="AU102" s="187"/>
    </row>
    <row r="103">
      <c r="A103" s="193"/>
      <c r="B103" s="193"/>
      <c r="C103" s="193"/>
      <c r="D103" s="194"/>
      <c r="E103" s="195"/>
      <c r="F103" s="195"/>
      <c r="G103" s="195"/>
      <c r="H103" s="195"/>
      <c r="I103" s="195"/>
      <c r="J103" s="195"/>
      <c r="K103" s="195"/>
      <c r="L103" s="195"/>
      <c r="M103" s="195"/>
      <c r="N103" s="195"/>
      <c r="O103" s="193"/>
      <c r="P103" s="193"/>
      <c r="Q103" s="193"/>
      <c r="R103" s="196"/>
      <c r="S103" s="187"/>
      <c r="T103" s="187"/>
      <c r="U103" s="187"/>
      <c r="V103" s="192"/>
      <c r="W103" s="192"/>
      <c r="X103" s="186" t="s">
        <v>202</v>
      </c>
      <c r="Y103" s="186" t="s">
        <v>203</v>
      </c>
      <c r="Z103" s="186" t="s">
        <v>209</v>
      </c>
      <c r="AA103" s="186" t="s">
        <v>205</v>
      </c>
      <c r="AB103" s="186" t="s">
        <v>206</v>
      </c>
      <c r="AC103" s="186" t="s">
        <v>207</v>
      </c>
      <c r="AD103" s="186" t="s">
        <v>208</v>
      </c>
      <c r="AE103" s="187"/>
      <c r="AF103" s="186" t="s">
        <v>202</v>
      </c>
      <c r="AG103" s="186" t="s">
        <v>203</v>
      </c>
      <c r="AH103" s="186" t="s">
        <v>209</v>
      </c>
      <c r="AI103" s="186" t="s">
        <v>205</v>
      </c>
      <c r="AJ103" s="186" t="s">
        <v>206</v>
      </c>
      <c r="AK103" s="186" t="s">
        <v>207</v>
      </c>
      <c r="AL103" s="186" t="s">
        <v>208</v>
      </c>
      <c r="AM103" s="187"/>
      <c r="AN103" s="186" t="s">
        <v>202</v>
      </c>
      <c r="AO103" s="186" t="s">
        <v>203</v>
      </c>
      <c r="AP103" s="186" t="s">
        <v>209</v>
      </c>
      <c r="AQ103" s="186" t="s">
        <v>205</v>
      </c>
      <c r="AR103" s="186" t="s">
        <v>206</v>
      </c>
      <c r="AS103" s="186" t="s">
        <v>207</v>
      </c>
      <c r="AT103" s="186" t="s">
        <v>208</v>
      </c>
      <c r="AU103" s="187"/>
      <c r="AV103" s="187"/>
      <c r="AW103" s="187"/>
      <c r="AX103" s="187"/>
      <c r="AY103" s="187"/>
      <c r="AZ103" s="187"/>
      <c r="BA103" s="187"/>
      <c r="BB103" s="187"/>
      <c r="BC103" s="187"/>
      <c r="BD103" s="187"/>
      <c r="BE103" s="187"/>
      <c r="BF103" s="187"/>
      <c r="BG103" s="187"/>
      <c r="BH103" s="187"/>
      <c r="BI103" s="187"/>
      <c r="BJ103" s="187"/>
      <c r="BK103" s="187"/>
      <c r="BL103" s="187"/>
      <c r="BM103" s="187"/>
      <c r="BN103" s="187"/>
      <c r="BO103" s="187"/>
      <c r="BP103" s="187"/>
      <c r="BQ103" s="187"/>
      <c r="BR103" s="187"/>
      <c r="BS103" s="187"/>
      <c r="BT103" s="187"/>
      <c r="BU103" s="187"/>
      <c r="BV103" s="187"/>
      <c r="BW103" s="187"/>
      <c r="BX103" s="187"/>
      <c r="BY103" s="187"/>
      <c r="BZ103" s="187"/>
      <c r="CA103" s="187"/>
      <c r="CB103" s="187"/>
      <c r="CC103" s="187"/>
      <c r="CD103" s="187"/>
      <c r="CE103" s="187"/>
      <c r="CF103" s="187"/>
      <c r="CG103" s="187"/>
      <c r="CH103" s="187"/>
      <c r="CI103" s="187"/>
      <c r="CJ103" s="187"/>
      <c r="CK103" s="187"/>
      <c r="CL103" s="187"/>
      <c r="CM103" s="187"/>
      <c r="CN103" s="187"/>
      <c r="CO103" s="187"/>
      <c r="CP103" s="187"/>
      <c r="CQ103" s="187"/>
      <c r="CR103" s="187"/>
      <c r="CS103" s="187"/>
      <c r="CT103" s="187"/>
      <c r="CU103" s="187"/>
      <c r="CV103" s="187"/>
      <c r="CW103" s="187"/>
      <c r="CX103" s="187"/>
      <c r="CY103" s="187"/>
      <c r="CZ103" s="187"/>
      <c r="DA103" s="187"/>
      <c r="DB103" s="187"/>
      <c r="DC103" s="187"/>
      <c r="DD103" s="187"/>
      <c r="DE103" s="187"/>
      <c r="DF103" s="187"/>
      <c r="DG103" s="187"/>
      <c r="DH103" s="187"/>
      <c r="DI103" s="187"/>
      <c r="DJ103" s="187"/>
      <c r="DK103" s="187"/>
      <c r="DL103" s="187"/>
      <c r="DM103" s="187"/>
      <c r="DN103" s="187"/>
      <c r="DO103" s="187"/>
      <c r="DP103" s="187"/>
      <c r="DQ103" s="187"/>
      <c r="DR103" s="187"/>
      <c r="DS103" s="187"/>
      <c r="DT103" s="187"/>
      <c r="DU103" s="187"/>
      <c r="DV103" s="187"/>
      <c r="DW103" s="187"/>
      <c r="DX103" s="187"/>
      <c r="DY103" s="187"/>
      <c r="DZ103" s="187"/>
      <c r="EA103" s="187"/>
      <c r="EB103" s="187"/>
      <c r="EC103" s="187"/>
      <c r="ED103" s="187"/>
      <c r="EE103" s="187"/>
      <c r="EF103" s="187"/>
      <c r="EG103" s="187"/>
      <c r="EH103" s="187"/>
      <c r="EI103" s="187"/>
      <c r="EJ103" s="187"/>
    </row>
    <row r="104">
      <c r="A104" s="4"/>
      <c r="B104" s="4"/>
      <c r="C104" s="4"/>
      <c r="D104" s="122"/>
      <c r="E104" s="29"/>
      <c r="F104" s="29"/>
      <c r="G104" s="29"/>
      <c r="H104" s="29"/>
      <c r="I104" s="29"/>
      <c r="J104" s="29"/>
      <c r="K104" s="29"/>
      <c r="L104" s="29"/>
      <c r="M104" s="29"/>
      <c r="N104" s="29"/>
      <c r="O104" s="4"/>
      <c r="P104" s="4"/>
      <c r="Q104" s="4"/>
      <c r="R104" s="77"/>
      <c r="V104" s="176"/>
      <c r="W104" s="176"/>
      <c r="X104" s="188" t="str">
        <f t="array" ref="X104">IFERROR(INDIRECT("'Bloque "&amp;$AH$24&amp;" Semana "&amp;$AH$23&amp;"'"&amp;"!"&amp;"E37"),"")</f>
        <v/>
      </c>
      <c r="AE104" s="186">
        <v>26.0</v>
      </c>
      <c r="AF104" s="188" t="str">
        <f t="array" ref="AF104">IFERROR(INDIRECT("'Bloque "&amp;$AI$24&amp;" Semana "&amp;$AI$23&amp;"'"&amp;"!"&amp;"E37"),"")</f>
        <v/>
      </c>
      <c r="AM104" s="186">
        <v>26.0</v>
      </c>
      <c r="AN104" s="188" t="str">
        <f t="array" ref="AN104">IFERROR(INDIRECT("'Bloque "&amp;$AJ$24&amp;" Semana "&amp;$AJ$23&amp;"'"&amp;"!"&amp;"E37"),"")</f>
        <v/>
      </c>
      <c r="AU104" s="186">
        <v>26.0</v>
      </c>
    </row>
    <row r="105">
      <c r="A105" s="4"/>
      <c r="B105" s="4"/>
      <c r="C105" s="4"/>
      <c r="D105" s="122"/>
      <c r="E105" s="29"/>
      <c r="F105" s="29"/>
      <c r="G105" s="29"/>
      <c r="H105" s="29"/>
      <c r="I105" s="29"/>
      <c r="J105" s="29"/>
      <c r="K105" s="29"/>
      <c r="L105" s="29"/>
      <c r="M105" s="29"/>
      <c r="N105" s="29"/>
      <c r="O105" s="4"/>
      <c r="P105" s="4"/>
      <c r="Q105" s="4"/>
      <c r="R105" s="77"/>
      <c r="V105" s="176"/>
      <c r="W105" s="176"/>
      <c r="X105" s="176" t="str">
        <f t="array" ref="X105">IFERROR(INDIRECT("'Bloque "&amp;$AH$24&amp;" Semana "&amp;$AH$23&amp;"'"&amp;"!"&amp;"E25"),"")</f>
        <v/>
      </c>
      <c r="AE105" s="186">
        <v>25.0</v>
      </c>
      <c r="AF105" s="176" t="str">
        <f t="array" ref="AF105">IFERROR(INDIRECT("'Bloque "&amp;$AI$24&amp;" Semana "&amp;$AI$23&amp;"'"&amp;"!"&amp;"E25"),"")</f>
        <v/>
      </c>
      <c r="AM105" s="186">
        <v>25.0</v>
      </c>
      <c r="AN105" s="176" t="str">
        <f t="array" ref="AN105">IFERROR(INDIRECT("'Bloque "&amp;$AJ$24&amp;" Semana "&amp;$AJ$23&amp;"'"&amp;"!"&amp;"E25"),"")</f>
        <v/>
      </c>
      <c r="AU105" s="186">
        <v>25.0</v>
      </c>
    </row>
    <row r="106">
      <c r="A106" s="4"/>
      <c r="B106" s="4"/>
      <c r="C106" s="4"/>
      <c r="D106" s="122"/>
      <c r="E106" s="29"/>
      <c r="F106" s="29"/>
      <c r="G106" s="29"/>
      <c r="H106" s="29"/>
      <c r="I106" s="29"/>
      <c r="J106" s="29"/>
      <c r="K106" s="29"/>
      <c r="L106" s="29"/>
      <c r="M106" s="29"/>
      <c r="N106" s="29"/>
      <c r="O106" s="4"/>
      <c r="P106" s="4"/>
      <c r="Q106" s="4"/>
      <c r="R106" s="77"/>
      <c r="V106" s="176"/>
      <c r="W106" s="176"/>
      <c r="X106" s="189" t="str">
        <f t="array" ref="X106">IFERROR(INDIRECT("'Bloque "&amp;$AH$24&amp;" Semana "&amp;$AH$23&amp;"'"&amp;"!"&amp;"E26"),"")</f>
        <v/>
      </c>
      <c r="AE106" s="186">
        <v>26.0</v>
      </c>
      <c r="AF106" s="189" t="str">
        <f t="array" ref="AF106">IFERROR(INDIRECT("'Bloque "&amp;$AI$24&amp;" Semana "&amp;$AI$23&amp;"'"&amp;"!"&amp;"E26"),"")</f>
        <v/>
      </c>
      <c r="AM106" s="186">
        <v>26.0</v>
      </c>
      <c r="AN106" s="189" t="str">
        <f t="array" ref="AN106">IFERROR(INDIRECT("'Bloque "&amp;$AJ$24&amp;" Semana "&amp;$AJ$23&amp;"'"&amp;"!"&amp;"E26"),"")</f>
        <v/>
      </c>
      <c r="AU106" s="186">
        <v>26.0</v>
      </c>
    </row>
    <row r="107">
      <c r="A107" s="4"/>
      <c r="B107" s="4"/>
      <c r="C107" s="4"/>
      <c r="D107" s="122"/>
      <c r="E107" s="29"/>
      <c r="F107" s="29"/>
      <c r="G107" s="29"/>
      <c r="H107" s="29"/>
      <c r="I107" s="29"/>
      <c r="J107" s="29"/>
      <c r="K107" s="29"/>
      <c r="L107" s="29"/>
      <c r="M107" s="29"/>
      <c r="N107" s="29"/>
      <c r="O107" s="4"/>
      <c r="P107" s="4"/>
      <c r="Q107" s="4"/>
      <c r="R107" s="77"/>
      <c r="V107" s="176"/>
      <c r="W107" s="176"/>
      <c r="X107" s="190" t="str">
        <f t="shared" ref="X107:AD107" si="170">IFERROR(INDIRECT("'Bloque "&amp;$AH$24&amp;" Semana "&amp;$AH$23&amp;"'"&amp;"!"&amp;X$103&amp;$AE107),"")</f>
        <v/>
      </c>
      <c r="Y107" s="190" t="str">
        <f t="shared" si="170"/>
        <v/>
      </c>
      <c r="Z107" s="190" t="str">
        <f t="shared" si="170"/>
        <v/>
      </c>
      <c r="AA107" s="190" t="str">
        <f t="shared" si="170"/>
        <v/>
      </c>
      <c r="AB107" s="190" t="str">
        <f t="shared" si="170"/>
        <v/>
      </c>
      <c r="AC107" s="190" t="str">
        <f t="shared" si="170"/>
        <v/>
      </c>
      <c r="AD107" s="190" t="str">
        <f t="shared" si="170"/>
        <v/>
      </c>
      <c r="AE107" s="191">
        <v>27.0</v>
      </c>
      <c r="AF107" s="190" t="str">
        <f t="shared" ref="AF107:AL107" si="171">IFERROR(INDIRECT("'Bloque "&amp;$AI$24&amp;" Semana "&amp;$AI$23&amp;"'"&amp;"!"&amp;AF$103&amp;$AM107),"")</f>
        <v/>
      </c>
      <c r="AG107" s="190" t="str">
        <f t="shared" si="171"/>
        <v/>
      </c>
      <c r="AH107" s="190" t="str">
        <f t="shared" si="171"/>
        <v/>
      </c>
      <c r="AI107" s="190" t="str">
        <f t="shared" si="171"/>
        <v/>
      </c>
      <c r="AJ107" s="190" t="str">
        <f t="shared" si="171"/>
        <v/>
      </c>
      <c r="AK107" s="190" t="str">
        <f t="shared" si="171"/>
        <v/>
      </c>
      <c r="AL107" s="190" t="str">
        <f t="shared" si="171"/>
        <v/>
      </c>
      <c r="AM107" s="191">
        <v>27.0</v>
      </c>
      <c r="AN107" s="190" t="str">
        <f t="shared" ref="AN107:AT107" si="172">IFERROR(INDIRECT("'Bloque "&amp;$AJ$24&amp;" Semana "&amp;$AJ$23&amp;"'"&amp;"!"&amp;AN$103&amp;$AU107),"")</f>
        <v/>
      </c>
      <c r="AO107" s="190" t="str">
        <f t="shared" si="172"/>
        <v/>
      </c>
      <c r="AP107" s="190" t="str">
        <f t="shared" si="172"/>
        <v/>
      </c>
      <c r="AQ107" s="190" t="str">
        <f t="shared" si="172"/>
        <v/>
      </c>
      <c r="AR107" s="190" t="str">
        <f t="shared" si="172"/>
        <v/>
      </c>
      <c r="AS107" s="190" t="str">
        <f t="shared" si="172"/>
        <v/>
      </c>
      <c r="AT107" s="190" t="str">
        <f t="shared" si="172"/>
        <v/>
      </c>
      <c r="AU107" s="191">
        <v>27.0</v>
      </c>
    </row>
    <row r="108">
      <c r="A108" s="4"/>
      <c r="B108" s="4"/>
      <c r="C108" s="4"/>
      <c r="D108" s="122"/>
      <c r="E108" s="29"/>
      <c r="F108" s="29"/>
      <c r="G108" s="29"/>
      <c r="H108" s="29"/>
      <c r="I108" s="29"/>
      <c r="J108" s="29"/>
      <c r="K108" s="29"/>
      <c r="L108" s="29"/>
      <c r="M108" s="29"/>
      <c r="N108" s="29"/>
      <c r="O108" s="4"/>
      <c r="P108" s="4"/>
      <c r="Q108" s="4"/>
      <c r="R108" s="77"/>
      <c r="V108" s="176"/>
      <c r="W108" s="176"/>
      <c r="X108" s="197" t="str">
        <f t="shared" ref="X108:AD108" si="173">IFERROR(INDIRECT("'Bloque "&amp;$AH$24&amp;" Semana "&amp;$AH$23&amp;"'"&amp;"!"&amp;X$103&amp;$AE108),"")</f>
        <v/>
      </c>
      <c r="Y108" s="197" t="str">
        <f t="shared" si="173"/>
        <v/>
      </c>
      <c r="Z108" s="197" t="str">
        <f t="shared" si="173"/>
        <v/>
      </c>
      <c r="AA108" s="197" t="str">
        <f t="shared" si="173"/>
        <v/>
      </c>
      <c r="AB108" s="197" t="str">
        <f t="shared" si="173"/>
        <v/>
      </c>
      <c r="AC108" s="197" t="str">
        <f t="shared" si="173"/>
        <v/>
      </c>
      <c r="AD108" s="197" t="str">
        <f t="shared" si="173"/>
        <v/>
      </c>
      <c r="AE108" s="191">
        <v>28.0</v>
      </c>
      <c r="AF108" s="197" t="str">
        <f t="shared" ref="AF108:AL108" si="174">IFERROR(INDIRECT("'Bloque "&amp;$AI$24&amp;" Semana "&amp;$AI$23&amp;"'"&amp;"!"&amp;AF$103&amp;$AM108),"")</f>
        <v/>
      </c>
      <c r="AG108" s="197" t="str">
        <f t="shared" si="174"/>
        <v/>
      </c>
      <c r="AH108" s="197" t="str">
        <f t="shared" si="174"/>
        <v/>
      </c>
      <c r="AI108" s="197" t="str">
        <f t="shared" si="174"/>
        <v/>
      </c>
      <c r="AJ108" s="197" t="str">
        <f t="shared" si="174"/>
        <v/>
      </c>
      <c r="AK108" s="197" t="str">
        <f t="shared" si="174"/>
        <v/>
      </c>
      <c r="AL108" s="197" t="str">
        <f t="shared" si="174"/>
        <v/>
      </c>
      <c r="AM108" s="191">
        <v>28.0</v>
      </c>
      <c r="AN108" s="197" t="str">
        <f t="shared" ref="AN108:AT108" si="175">IFERROR(INDIRECT("'Bloque "&amp;$AJ$24&amp;" Semana "&amp;$AJ$23&amp;"'"&amp;"!"&amp;AN$103&amp;$AU108),"")</f>
        <v/>
      </c>
      <c r="AO108" s="197" t="str">
        <f t="shared" si="175"/>
        <v/>
      </c>
      <c r="AP108" s="197" t="str">
        <f t="shared" si="175"/>
        <v/>
      </c>
      <c r="AQ108" s="197" t="str">
        <f t="shared" si="175"/>
        <v/>
      </c>
      <c r="AR108" s="197" t="str">
        <f t="shared" si="175"/>
        <v/>
      </c>
      <c r="AS108" s="197" t="str">
        <f t="shared" si="175"/>
        <v/>
      </c>
      <c r="AT108" s="197" t="str">
        <f t="shared" si="175"/>
        <v/>
      </c>
      <c r="AU108" s="191">
        <v>28.0</v>
      </c>
    </row>
    <row r="109">
      <c r="A109" s="4"/>
      <c r="B109" s="4"/>
      <c r="C109" s="4"/>
      <c r="D109" s="122"/>
      <c r="E109" s="29"/>
      <c r="F109" s="29"/>
      <c r="G109" s="29"/>
      <c r="H109" s="29"/>
      <c r="I109" s="29"/>
      <c r="J109" s="29"/>
      <c r="K109" s="29"/>
      <c r="L109" s="29"/>
      <c r="M109" s="29"/>
      <c r="N109" s="29"/>
      <c r="O109" s="4"/>
      <c r="P109" s="4"/>
      <c r="Q109" s="4"/>
      <c r="R109" s="77"/>
      <c r="V109" s="176"/>
      <c r="W109" s="176"/>
      <c r="X109" s="197" t="str">
        <f t="shared" ref="X109:AD109" si="176">IFERROR(INDIRECT("'Bloque "&amp;$AH$24&amp;" Semana "&amp;$AH$23&amp;"'"&amp;"!"&amp;X$103&amp;$AE109),"")</f>
        <v/>
      </c>
      <c r="Y109" s="197" t="str">
        <f t="shared" si="176"/>
        <v/>
      </c>
      <c r="Z109" s="197" t="str">
        <f t="shared" si="176"/>
        <v/>
      </c>
      <c r="AA109" s="197" t="str">
        <f t="shared" si="176"/>
        <v/>
      </c>
      <c r="AB109" s="197" t="str">
        <f t="shared" si="176"/>
        <v/>
      </c>
      <c r="AC109" s="197" t="str">
        <f t="shared" si="176"/>
        <v/>
      </c>
      <c r="AD109" s="197" t="str">
        <f t="shared" si="176"/>
        <v/>
      </c>
      <c r="AE109" s="191">
        <v>29.0</v>
      </c>
      <c r="AF109" s="197" t="str">
        <f t="shared" ref="AF109:AL109" si="177">IFERROR(INDIRECT("'Bloque "&amp;$AI$24&amp;" Semana "&amp;$AI$23&amp;"'"&amp;"!"&amp;AF$103&amp;$AM109),"")</f>
        <v/>
      </c>
      <c r="AG109" s="197" t="str">
        <f t="shared" si="177"/>
        <v/>
      </c>
      <c r="AH109" s="197" t="str">
        <f t="shared" si="177"/>
        <v/>
      </c>
      <c r="AI109" s="197" t="str">
        <f t="shared" si="177"/>
        <v/>
      </c>
      <c r="AJ109" s="197" t="str">
        <f t="shared" si="177"/>
        <v/>
      </c>
      <c r="AK109" s="197" t="str">
        <f t="shared" si="177"/>
        <v/>
      </c>
      <c r="AL109" s="197" t="str">
        <f t="shared" si="177"/>
        <v/>
      </c>
      <c r="AM109" s="191">
        <v>29.0</v>
      </c>
      <c r="AN109" s="197" t="str">
        <f t="shared" ref="AN109:AT109" si="178">IFERROR(INDIRECT("'Bloque "&amp;$AJ$24&amp;" Semana "&amp;$AJ$23&amp;"'"&amp;"!"&amp;AN$103&amp;$AU109),"")</f>
        <v/>
      </c>
      <c r="AO109" s="197" t="str">
        <f t="shared" si="178"/>
        <v/>
      </c>
      <c r="AP109" s="197" t="str">
        <f t="shared" si="178"/>
        <v/>
      </c>
      <c r="AQ109" s="197" t="str">
        <f t="shared" si="178"/>
        <v/>
      </c>
      <c r="AR109" s="197" t="str">
        <f t="shared" si="178"/>
        <v/>
      </c>
      <c r="AS109" s="197" t="str">
        <f t="shared" si="178"/>
        <v/>
      </c>
      <c r="AT109" s="197" t="str">
        <f t="shared" si="178"/>
        <v/>
      </c>
      <c r="AU109" s="191">
        <v>29.0</v>
      </c>
    </row>
    <row r="110">
      <c r="A110" s="4"/>
      <c r="B110" s="4"/>
      <c r="C110" s="4"/>
      <c r="D110" s="122"/>
      <c r="E110" s="29"/>
      <c r="F110" s="29"/>
      <c r="G110" s="29"/>
      <c r="H110" s="29"/>
      <c r="I110" s="29"/>
      <c r="J110" s="29"/>
      <c r="K110" s="29"/>
      <c r="L110" s="29"/>
      <c r="M110" s="29"/>
      <c r="N110" s="29"/>
      <c r="O110" s="4"/>
      <c r="P110" s="4"/>
      <c r="Q110" s="4"/>
      <c r="R110" s="77"/>
      <c r="V110" s="176"/>
      <c r="W110" s="176"/>
      <c r="X110" s="197" t="str">
        <f t="shared" ref="X110:AD110" si="179">IFERROR(INDIRECT("'Bloque "&amp;$AH$24&amp;" Semana "&amp;$AH$23&amp;"'"&amp;"!"&amp;X$103&amp;$AE110),"")</f>
        <v/>
      </c>
      <c r="Y110" s="197" t="str">
        <f t="shared" si="179"/>
        <v/>
      </c>
      <c r="Z110" s="197" t="str">
        <f t="shared" si="179"/>
        <v/>
      </c>
      <c r="AA110" s="197" t="str">
        <f t="shared" si="179"/>
        <v/>
      </c>
      <c r="AB110" s="197" t="str">
        <f t="shared" si="179"/>
        <v/>
      </c>
      <c r="AC110" s="197" t="str">
        <f t="shared" si="179"/>
        <v/>
      </c>
      <c r="AD110" s="197" t="str">
        <f t="shared" si="179"/>
        <v/>
      </c>
      <c r="AE110" s="191">
        <v>30.0</v>
      </c>
      <c r="AF110" s="197" t="str">
        <f t="shared" ref="AF110:AL110" si="180">IFERROR(INDIRECT("'Bloque "&amp;$AI$24&amp;" Semana "&amp;$AI$23&amp;"'"&amp;"!"&amp;AF$103&amp;$AM110),"")</f>
        <v/>
      </c>
      <c r="AG110" s="197" t="str">
        <f t="shared" si="180"/>
        <v/>
      </c>
      <c r="AH110" s="197" t="str">
        <f t="shared" si="180"/>
        <v/>
      </c>
      <c r="AI110" s="197" t="str">
        <f t="shared" si="180"/>
        <v/>
      </c>
      <c r="AJ110" s="197" t="str">
        <f t="shared" si="180"/>
        <v/>
      </c>
      <c r="AK110" s="197" t="str">
        <f t="shared" si="180"/>
        <v/>
      </c>
      <c r="AL110" s="197" t="str">
        <f t="shared" si="180"/>
        <v/>
      </c>
      <c r="AM110" s="191">
        <v>30.0</v>
      </c>
      <c r="AN110" s="197" t="str">
        <f t="shared" ref="AN110:AT110" si="181">IFERROR(INDIRECT("'Bloque "&amp;$AJ$24&amp;" Semana "&amp;$AJ$23&amp;"'"&amp;"!"&amp;AN$103&amp;$AU110),"")</f>
        <v/>
      </c>
      <c r="AO110" s="197" t="str">
        <f t="shared" si="181"/>
        <v/>
      </c>
      <c r="AP110" s="197" t="str">
        <f t="shared" si="181"/>
        <v/>
      </c>
      <c r="AQ110" s="197" t="str">
        <f t="shared" si="181"/>
        <v/>
      </c>
      <c r="AR110" s="197" t="str">
        <f t="shared" si="181"/>
        <v/>
      </c>
      <c r="AS110" s="197" t="str">
        <f t="shared" si="181"/>
        <v/>
      </c>
      <c r="AT110" s="197" t="str">
        <f t="shared" si="181"/>
        <v/>
      </c>
      <c r="AU110" s="191">
        <v>30.0</v>
      </c>
    </row>
    <row r="111">
      <c r="A111" s="4"/>
      <c r="B111" s="4"/>
      <c r="C111" s="4"/>
      <c r="D111" s="122"/>
      <c r="E111" s="29"/>
      <c r="F111" s="29"/>
      <c r="G111" s="29"/>
      <c r="H111" s="29"/>
      <c r="I111" s="29"/>
      <c r="J111" s="29"/>
      <c r="K111" s="29"/>
      <c r="L111" s="29"/>
      <c r="M111" s="29"/>
      <c r="N111" s="29"/>
      <c r="O111" s="4"/>
      <c r="P111" s="4"/>
      <c r="Q111" s="4"/>
      <c r="R111" s="77"/>
      <c r="V111" s="176"/>
      <c r="W111" s="176"/>
      <c r="X111" s="197" t="str">
        <f t="shared" ref="X111:AD111" si="182">IFERROR(INDIRECT("'Bloque "&amp;$AH$24&amp;" Semana "&amp;$AH$23&amp;"'"&amp;"!"&amp;X$103&amp;$AE111),"")</f>
        <v/>
      </c>
      <c r="Y111" s="197" t="str">
        <f t="shared" si="182"/>
        <v/>
      </c>
      <c r="Z111" s="197" t="str">
        <f t="shared" si="182"/>
        <v/>
      </c>
      <c r="AA111" s="197" t="str">
        <f t="shared" si="182"/>
        <v/>
      </c>
      <c r="AB111" s="197" t="str">
        <f t="shared" si="182"/>
        <v/>
      </c>
      <c r="AC111" s="197" t="str">
        <f t="shared" si="182"/>
        <v/>
      </c>
      <c r="AD111" s="197" t="str">
        <f t="shared" si="182"/>
        <v/>
      </c>
      <c r="AE111" s="191">
        <v>31.0</v>
      </c>
      <c r="AF111" s="197" t="str">
        <f t="shared" ref="AF111:AL111" si="183">IFERROR(INDIRECT("'Bloque "&amp;$AI$24&amp;" Semana "&amp;$AI$23&amp;"'"&amp;"!"&amp;AF$103&amp;$AM111),"")</f>
        <v/>
      </c>
      <c r="AG111" s="197" t="str">
        <f t="shared" si="183"/>
        <v/>
      </c>
      <c r="AH111" s="197" t="str">
        <f t="shared" si="183"/>
        <v/>
      </c>
      <c r="AI111" s="197" t="str">
        <f t="shared" si="183"/>
        <v/>
      </c>
      <c r="AJ111" s="197" t="str">
        <f t="shared" si="183"/>
        <v/>
      </c>
      <c r="AK111" s="197" t="str">
        <f t="shared" si="183"/>
        <v/>
      </c>
      <c r="AL111" s="197" t="str">
        <f t="shared" si="183"/>
        <v/>
      </c>
      <c r="AM111" s="191">
        <v>31.0</v>
      </c>
      <c r="AN111" s="197" t="str">
        <f t="shared" ref="AN111:AT111" si="184">IFERROR(INDIRECT("'Bloque "&amp;$AJ$24&amp;" Semana "&amp;$AJ$23&amp;"'"&amp;"!"&amp;AN$103&amp;$AU111),"")</f>
        <v/>
      </c>
      <c r="AO111" s="197" t="str">
        <f t="shared" si="184"/>
        <v/>
      </c>
      <c r="AP111" s="197" t="str">
        <f t="shared" si="184"/>
        <v/>
      </c>
      <c r="AQ111" s="197" t="str">
        <f t="shared" si="184"/>
        <v/>
      </c>
      <c r="AR111" s="197" t="str">
        <f t="shared" si="184"/>
        <v/>
      </c>
      <c r="AS111" s="197" t="str">
        <f t="shared" si="184"/>
        <v/>
      </c>
      <c r="AT111" s="197" t="str">
        <f t="shared" si="184"/>
        <v/>
      </c>
      <c r="AU111" s="191">
        <v>31.0</v>
      </c>
    </row>
    <row r="112">
      <c r="A112" s="4"/>
      <c r="B112" s="4"/>
      <c r="C112" s="4"/>
      <c r="D112" s="122"/>
      <c r="E112" s="29"/>
      <c r="F112" s="29"/>
      <c r="G112" s="29"/>
      <c r="H112" s="29"/>
      <c r="I112" s="29"/>
      <c r="J112" s="29"/>
      <c r="K112" s="29"/>
      <c r="L112" s="29"/>
      <c r="M112" s="29"/>
      <c r="N112" s="29"/>
      <c r="O112" s="4"/>
      <c r="P112" s="4"/>
      <c r="Q112" s="4"/>
      <c r="R112" s="77"/>
      <c r="V112" s="176"/>
      <c r="W112" s="176"/>
      <c r="X112" s="197" t="str">
        <f t="shared" ref="X112:AD112" si="185">IFERROR(INDIRECT("'Bloque "&amp;$AH$24&amp;" Semana "&amp;$AH$23&amp;"'"&amp;"!"&amp;X$103&amp;$AE112),"")</f>
        <v/>
      </c>
      <c r="Y112" s="197" t="str">
        <f t="shared" si="185"/>
        <v/>
      </c>
      <c r="Z112" s="197" t="str">
        <f t="shared" si="185"/>
        <v/>
      </c>
      <c r="AA112" s="197" t="str">
        <f t="shared" si="185"/>
        <v/>
      </c>
      <c r="AB112" s="197" t="str">
        <f t="shared" si="185"/>
        <v/>
      </c>
      <c r="AC112" s="197" t="str">
        <f t="shared" si="185"/>
        <v/>
      </c>
      <c r="AD112" s="197" t="str">
        <f t="shared" si="185"/>
        <v/>
      </c>
      <c r="AE112" s="191">
        <v>32.0</v>
      </c>
      <c r="AF112" s="197" t="str">
        <f t="shared" ref="AF112:AL112" si="186">IFERROR(INDIRECT("'Bloque "&amp;$AI$24&amp;" Semana "&amp;$AI$23&amp;"'"&amp;"!"&amp;AF$103&amp;$AM112),"")</f>
        <v/>
      </c>
      <c r="AG112" s="197" t="str">
        <f t="shared" si="186"/>
        <v/>
      </c>
      <c r="AH112" s="197" t="str">
        <f t="shared" si="186"/>
        <v/>
      </c>
      <c r="AI112" s="197" t="str">
        <f t="shared" si="186"/>
        <v/>
      </c>
      <c r="AJ112" s="197" t="str">
        <f t="shared" si="186"/>
        <v/>
      </c>
      <c r="AK112" s="197" t="str">
        <f t="shared" si="186"/>
        <v/>
      </c>
      <c r="AL112" s="197" t="str">
        <f t="shared" si="186"/>
        <v/>
      </c>
      <c r="AM112" s="191">
        <v>32.0</v>
      </c>
      <c r="AN112" s="197" t="str">
        <f t="shared" ref="AN112:AT112" si="187">IFERROR(INDIRECT("'Bloque "&amp;$AJ$24&amp;" Semana "&amp;$AJ$23&amp;"'"&amp;"!"&amp;AN$103&amp;$AU112),"")</f>
        <v/>
      </c>
      <c r="AO112" s="197" t="str">
        <f t="shared" si="187"/>
        <v/>
      </c>
      <c r="AP112" s="197" t="str">
        <f t="shared" si="187"/>
        <v/>
      </c>
      <c r="AQ112" s="197" t="str">
        <f t="shared" si="187"/>
        <v/>
      </c>
      <c r="AR112" s="197" t="str">
        <f t="shared" si="187"/>
        <v/>
      </c>
      <c r="AS112" s="197" t="str">
        <f t="shared" si="187"/>
        <v/>
      </c>
      <c r="AT112" s="197" t="str">
        <f t="shared" si="187"/>
        <v/>
      </c>
      <c r="AU112" s="191">
        <v>32.0</v>
      </c>
    </row>
    <row r="113">
      <c r="A113" s="4"/>
      <c r="B113" s="4"/>
      <c r="C113" s="4"/>
      <c r="D113" s="122"/>
      <c r="E113" s="29"/>
      <c r="F113" s="29"/>
      <c r="G113" s="29"/>
      <c r="H113" s="29"/>
      <c r="I113" s="29"/>
      <c r="J113" s="29"/>
      <c r="K113" s="29"/>
      <c r="L113" s="29"/>
      <c r="M113" s="29"/>
      <c r="N113" s="29"/>
      <c r="O113" s="4"/>
      <c r="P113" s="4"/>
      <c r="Q113" s="4"/>
      <c r="R113" s="77"/>
      <c r="V113" s="176"/>
      <c r="W113" s="176"/>
      <c r="X113" s="197" t="str">
        <f t="shared" ref="X113:AD113" si="188">IFERROR(INDIRECT("'Bloque "&amp;$AH$24&amp;" Semana "&amp;$AH$23&amp;"'"&amp;"!"&amp;X$103&amp;$AE113),"")</f>
        <v/>
      </c>
      <c r="Y113" s="197" t="str">
        <f t="shared" si="188"/>
        <v/>
      </c>
      <c r="Z113" s="197" t="str">
        <f t="shared" si="188"/>
        <v/>
      </c>
      <c r="AA113" s="197" t="str">
        <f t="shared" si="188"/>
        <v/>
      </c>
      <c r="AB113" s="197" t="str">
        <f t="shared" si="188"/>
        <v/>
      </c>
      <c r="AC113" s="197" t="str">
        <f t="shared" si="188"/>
        <v/>
      </c>
      <c r="AD113" s="197" t="str">
        <f t="shared" si="188"/>
        <v/>
      </c>
      <c r="AE113" s="191">
        <v>33.0</v>
      </c>
      <c r="AF113" s="197" t="str">
        <f t="shared" ref="AF113:AL113" si="189">IFERROR(INDIRECT("'Bloque "&amp;$AI$24&amp;" Semana "&amp;$AI$23&amp;"'"&amp;"!"&amp;AF$103&amp;$AM113),"")</f>
        <v/>
      </c>
      <c r="AG113" s="197" t="str">
        <f t="shared" si="189"/>
        <v/>
      </c>
      <c r="AH113" s="197" t="str">
        <f t="shared" si="189"/>
        <v/>
      </c>
      <c r="AI113" s="197" t="str">
        <f t="shared" si="189"/>
        <v/>
      </c>
      <c r="AJ113" s="197" t="str">
        <f t="shared" si="189"/>
        <v/>
      </c>
      <c r="AK113" s="197" t="str">
        <f t="shared" si="189"/>
        <v/>
      </c>
      <c r="AL113" s="197" t="str">
        <f t="shared" si="189"/>
        <v/>
      </c>
      <c r="AM113" s="191">
        <v>33.0</v>
      </c>
      <c r="AN113" s="197" t="str">
        <f t="shared" ref="AN113:AT113" si="190">IFERROR(INDIRECT("'Bloque "&amp;$AJ$24&amp;" Semana "&amp;$AJ$23&amp;"'"&amp;"!"&amp;AN$103&amp;$AU113),"")</f>
        <v/>
      </c>
      <c r="AO113" s="197" t="str">
        <f t="shared" si="190"/>
        <v/>
      </c>
      <c r="AP113" s="197" t="str">
        <f t="shared" si="190"/>
        <v/>
      </c>
      <c r="AQ113" s="197" t="str">
        <f t="shared" si="190"/>
        <v/>
      </c>
      <c r="AR113" s="197" t="str">
        <f t="shared" si="190"/>
        <v/>
      </c>
      <c r="AS113" s="197" t="str">
        <f t="shared" si="190"/>
        <v/>
      </c>
      <c r="AT113" s="197" t="str">
        <f t="shared" si="190"/>
        <v/>
      </c>
      <c r="AU113" s="191">
        <v>33.0</v>
      </c>
    </row>
    <row r="114">
      <c r="A114" s="4"/>
      <c r="B114" s="4"/>
      <c r="C114" s="4"/>
      <c r="D114" s="122"/>
      <c r="E114" s="29"/>
      <c r="F114" s="29"/>
      <c r="G114" s="29"/>
      <c r="H114" s="29"/>
      <c r="I114" s="29"/>
      <c r="J114" s="29"/>
      <c r="K114" s="29"/>
      <c r="L114" s="29"/>
      <c r="M114" s="29"/>
      <c r="N114" s="29"/>
      <c r="O114" s="4"/>
      <c r="P114" s="4"/>
      <c r="Q114" s="4"/>
      <c r="R114" s="77"/>
      <c r="V114" s="176"/>
      <c r="W114" s="176"/>
      <c r="X114" s="197" t="str">
        <f t="shared" ref="X114:AD114" si="191">IFERROR(INDIRECT("'Bloque "&amp;$AH$24&amp;" Semana "&amp;$AH$23&amp;"'"&amp;"!"&amp;X$103&amp;$AE114),"")</f>
        <v/>
      </c>
      <c r="Y114" s="197" t="str">
        <f t="shared" si="191"/>
        <v/>
      </c>
      <c r="Z114" s="197" t="str">
        <f t="shared" si="191"/>
        <v/>
      </c>
      <c r="AA114" s="197" t="str">
        <f t="shared" si="191"/>
        <v/>
      </c>
      <c r="AB114" s="197" t="str">
        <f t="shared" si="191"/>
        <v/>
      </c>
      <c r="AC114" s="197" t="str">
        <f t="shared" si="191"/>
        <v/>
      </c>
      <c r="AD114" s="197" t="str">
        <f t="shared" si="191"/>
        <v/>
      </c>
      <c r="AE114" s="191">
        <v>34.0</v>
      </c>
      <c r="AF114" s="197" t="str">
        <f t="shared" ref="AF114:AL114" si="192">IFERROR(INDIRECT("'Bloque "&amp;$AI$24&amp;" Semana "&amp;$AI$23&amp;"'"&amp;"!"&amp;AF$103&amp;$AM114),"")</f>
        <v/>
      </c>
      <c r="AG114" s="197" t="str">
        <f t="shared" si="192"/>
        <v/>
      </c>
      <c r="AH114" s="197" t="str">
        <f t="shared" si="192"/>
        <v/>
      </c>
      <c r="AI114" s="197" t="str">
        <f t="shared" si="192"/>
        <v/>
      </c>
      <c r="AJ114" s="197" t="str">
        <f t="shared" si="192"/>
        <v/>
      </c>
      <c r="AK114" s="197" t="str">
        <f t="shared" si="192"/>
        <v/>
      </c>
      <c r="AL114" s="197" t="str">
        <f t="shared" si="192"/>
        <v/>
      </c>
      <c r="AM114" s="191">
        <v>34.0</v>
      </c>
      <c r="AN114" s="197" t="str">
        <f t="shared" ref="AN114:AT114" si="193">IFERROR(INDIRECT("'Bloque "&amp;$AJ$24&amp;" Semana "&amp;$AJ$23&amp;"'"&amp;"!"&amp;AN$103&amp;$AU114),"")</f>
        <v/>
      </c>
      <c r="AO114" s="197" t="str">
        <f t="shared" si="193"/>
        <v/>
      </c>
      <c r="AP114" s="197" t="str">
        <f t="shared" si="193"/>
        <v/>
      </c>
      <c r="AQ114" s="197" t="str">
        <f t="shared" si="193"/>
        <v/>
      </c>
      <c r="AR114" s="197" t="str">
        <f t="shared" si="193"/>
        <v/>
      </c>
      <c r="AS114" s="197" t="str">
        <f t="shared" si="193"/>
        <v/>
      </c>
      <c r="AT114" s="197" t="str">
        <f t="shared" si="193"/>
        <v/>
      </c>
      <c r="AU114" s="191">
        <v>34.0</v>
      </c>
    </row>
    <row r="115">
      <c r="A115" s="4"/>
      <c r="B115" s="4"/>
      <c r="C115" s="4"/>
      <c r="D115" s="122"/>
      <c r="E115" s="29"/>
      <c r="F115" s="29"/>
      <c r="G115" s="29"/>
      <c r="H115" s="29"/>
      <c r="I115" s="29"/>
      <c r="J115" s="29"/>
      <c r="K115" s="29"/>
      <c r="L115" s="29"/>
      <c r="M115" s="29"/>
      <c r="N115" s="29"/>
      <c r="O115" s="4"/>
      <c r="P115" s="4"/>
      <c r="Q115" s="4"/>
      <c r="R115" s="77"/>
      <c r="V115" s="176"/>
      <c r="W115" s="176"/>
      <c r="X115" s="197" t="str">
        <f t="shared" ref="X115:AD115" si="194">IFERROR(INDIRECT("'Bloque "&amp;$AH$24&amp;" Semana "&amp;$AH$23&amp;"'"&amp;"!"&amp;X$103&amp;$AE115),"")</f>
        <v/>
      </c>
      <c r="Y115" s="197" t="str">
        <f t="shared" si="194"/>
        <v/>
      </c>
      <c r="Z115" s="197" t="str">
        <f t="shared" si="194"/>
        <v/>
      </c>
      <c r="AA115" s="197" t="str">
        <f t="shared" si="194"/>
        <v/>
      </c>
      <c r="AB115" s="197" t="str">
        <f t="shared" si="194"/>
        <v/>
      </c>
      <c r="AC115" s="197" t="str">
        <f t="shared" si="194"/>
        <v/>
      </c>
      <c r="AD115" s="197" t="str">
        <f t="shared" si="194"/>
        <v/>
      </c>
      <c r="AE115" s="191">
        <v>35.0</v>
      </c>
      <c r="AF115" s="197" t="str">
        <f t="shared" ref="AF115:AL115" si="195">IFERROR(INDIRECT("'Bloque "&amp;$AI$24&amp;" Semana "&amp;$AI$23&amp;"'"&amp;"!"&amp;AF$103&amp;$AM115),"")</f>
        <v/>
      </c>
      <c r="AG115" s="197" t="str">
        <f t="shared" si="195"/>
        <v/>
      </c>
      <c r="AH115" s="197" t="str">
        <f t="shared" si="195"/>
        <v/>
      </c>
      <c r="AI115" s="197" t="str">
        <f t="shared" si="195"/>
        <v/>
      </c>
      <c r="AJ115" s="197" t="str">
        <f t="shared" si="195"/>
        <v/>
      </c>
      <c r="AK115" s="197" t="str">
        <f t="shared" si="195"/>
        <v/>
      </c>
      <c r="AL115" s="197" t="str">
        <f t="shared" si="195"/>
        <v/>
      </c>
      <c r="AM115" s="191">
        <v>35.0</v>
      </c>
      <c r="AN115" s="197" t="str">
        <f t="shared" ref="AN115:AT115" si="196">IFERROR(INDIRECT("'Bloque "&amp;$AJ$24&amp;" Semana "&amp;$AJ$23&amp;"'"&amp;"!"&amp;AN$103&amp;$AU115),"")</f>
        <v/>
      </c>
      <c r="AO115" s="197" t="str">
        <f t="shared" si="196"/>
        <v/>
      </c>
      <c r="AP115" s="197" t="str">
        <f t="shared" si="196"/>
        <v/>
      </c>
      <c r="AQ115" s="197" t="str">
        <f t="shared" si="196"/>
        <v/>
      </c>
      <c r="AR115" s="197" t="str">
        <f t="shared" si="196"/>
        <v/>
      </c>
      <c r="AS115" s="197" t="str">
        <f t="shared" si="196"/>
        <v/>
      </c>
      <c r="AT115" s="197" t="str">
        <f t="shared" si="196"/>
        <v/>
      </c>
      <c r="AU115" s="191">
        <v>35.0</v>
      </c>
    </row>
    <row r="116">
      <c r="A116" s="4"/>
      <c r="B116" s="4"/>
      <c r="C116" s="4"/>
      <c r="D116" s="122"/>
      <c r="E116" s="29"/>
      <c r="F116" s="29"/>
      <c r="G116" s="29"/>
      <c r="H116" s="29"/>
      <c r="I116" s="29"/>
      <c r="J116" s="29"/>
      <c r="K116" s="29"/>
      <c r="L116" s="29"/>
      <c r="M116" s="29"/>
      <c r="N116" s="29"/>
      <c r="O116" s="4"/>
      <c r="P116" s="4"/>
      <c r="Q116" s="4"/>
      <c r="R116" s="77"/>
      <c r="V116" s="176"/>
      <c r="W116" s="176"/>
      <c r="X116" s="176"/>
      <c r="Y116" s="176"/>
      <c r="Z116" s="176"/>
      <c r="AA116" s="176"/>
      <c r="AB116" s="176"/>
      <c r="AC116" s="176"/>
      <c r="AD116" s="176"/>
      <c r="AE116" s="192"/>
      <c r="AF116" s="176"/>
      <c r="AG116" s="176"/>
      <c r="AH116" s="176"/>
      <c r="AI116" s="176"/>
      <c r="AJ116" s="176"/>
      <c r="AK116" s="176"/>
      <c r="AL116" s="176"/>
      <c r="AM116" s="192"/>
      <c r="AN116" s="176"/>
      <c r="AO116" s="176"/>
      <c r="AP116" s="176"/>
      <c r="AQ116" s="176"/>
      <c r="AR116" s="176"/>
      <c r="AU116" s="187"/>
    </row>
    <row r="117">
      <c r="A117" s="193"/>
      <c r="B117" s="193"/>
      <c r="C117" s="193"/>
      <c r="D117" s="194"/>
      <c r="E117" s="195"/>
      <c r="F117" s="195"/>
      <c r="G117" s="195"/>
      <c r="H117" s="195"/>
      <c r="I117" s="195"/>
      <c r="J117" s="195"/>
      <c r="K117" s="195"/>
      <c r="L117" s="195"/>
      <c r="M117" s="195"/>
      <c r="N117" s="195"/>
      <c r="O117" s="193"/>
      <c r="P117" s="193"/>
      <c r="Q117" s="193"/>
      <c r="R117" s="196"/>
      <c r="S117" s="187"/>
      <c r="T117" s="187"/>
      <c r="U117" s="187"/>
      <c r="V117" s="192"/>
      <c r="W117" s="192"/>
      <c r="X117" s="186" t="s">
        <v>202</v>
      </c>
      <c r="Y117" s="186" t="s">
        <v>203</v>
      </c>
      <c r="Z117" s="186" t="s">
        <v>209</v>
      </c>
      <c r="AA117" s="186" t="s">
        <v>205</v>
      </c>
      <c r="AB117" s="186" t="s">
        <v>206</v>
      </c>
      <c r="AC117" s="186" t="s">
        <v>207</v>
      </c>
      <c r="AD117" s="186" t="s">
        <v>208</v>
      </c>
      <c r="AE117" s="187"/>
      <c r="AF117" s="186" t="s">
        <v>202</v>
      </c>
      <c r="AG117" s="186" t="s">
        <v>203</v>
      </c>
      <c r="AH117" s="186" t="s">
        <v>209</v>
      </c>
      <c r="AI117" s="186" t="s">
        <v>205</v>
      </c>
      <c r="AJ117" s="186" t="s">
        <v>206</v>
      </c>
      <c r="AK117" s="186" t="s">
        <v>207</v>
      </c>
      <c r="AL117" s="186" t="s">
        <v>208</v>
      </c>
      <c r="AM117" s="187"/>
      <c r="AN117" s="186" t="s">
        <v>202</v>
      </c>
      <c r="AO117" s="186" t="s">
        <v>203</v>
      </c>
      <c r="AP117" s="186" t="s">
        <v>209</v>
      </c>
      <c r="AQ117" s="186" t="s">
        <v>205</v>
      </c>
      <c r="AR117" s="186" t="s">
        <v>206</v>
      </c>
      <c r="AS117" s="186" t="s">
        <v>207</v>
      </c>
      <c r="AT117" s="186" t="s">
        <v>208</v>
      </c>
      <c r="AU117" s="187"/>
      <c r="AV117" s="187"/>
      <c r="AW117" s="187"/>
      <c r="AX117" s="187"/>
      <c r="AY117" s="187"/>
      <c r="AZ117" s="187"/>
      <c r="BA117" s="187"/>
      <c r="BB117" s="187"/>
      <c r="BC117" s="187"/>
      <c r="BD117" s="187"/>
      <c r="BE117" s="187"/>
      <c r="BF117" s="187"/>
      <c r="BG117" s="187"/>
      <c r="BH117" s="187"/>
      <c r="BI117" s="187"/>
      <c r="BJ117" s="187"/>
      <c r="BK117" s="187"/>
      <c r="BL117" s="187"/>
      <c r="BM117" s="187"/>
      <c r="BN117" s="187"/>
      <c r="BO117" s="187"/>
      <c r="BP117" s="187"/>
      <c r="BQ117" s="187"/>
      <c r="BR117" s="187"/>
      <c r="BS117" s="187"/>
      <c r="BT117" s="187"/>
      <c r="BU117" s="187"/>
      <c r="BV117" s="187"/>
      <c r="BW117" s="187"/>
      <c r="BX117" s="187"/>
      <c r="BY117" s="187"/>
      <c r="BZ117" s="187"/>
      <c r="CA117" s="187"/>
      <c r="CB117" s="187"/>
      <c r="CC117" s="187"/>
      <c r="CD117" s="187"/>
      <c r="CE117" s="187"/>
      <c r="CF117" s="187"/>
      <c r="CG117" s="187"/>
      <c r="CH117" s="187"/>
      <c r="CI117" s="187"/>
      <c r="CJ117" s="187"/>
      <c r="CK117" s="187"/>
      <c r="CL117" s="187"/>
      <c r="CM117" s="187"/>
      <c r="CN117" s="187"/>
      <c r="CO117" s="187"/>
      <c r="CP117" s="187"/>
      <c r="CQ117" s="187"/>
      <c r="CR117" s="187"/>
      <c r="CS117" s="187"/>
      <c r="CT117" s="187"/>
      <c r="CU117" s="187"/>
      <c r="CV117" s="187"/>
      <c r="CW117" s="187"/>
      <c r="CX117" s="187"/>
      <c r="CY117" s="187"/>
      <c r="CZ117" s="187"/>
      <c r="DA117" s="187"/>
      <c r="DB117" s="187"/>
      <c r="DC117" s="187"/>
      <c r="DD117" s="187"/>
      <c r="DE117" s="187"/>
      <c r="DF117" s="187"/>
      <c r="DG117" s="187"/>
      <c r="DH117" s="187"/>
      <c r="DI117" s="187"/>
      <c r="DJ117" s="187"/>
      <c r="DK117" s="187"/>
      <c r="DL117" s="187"/>
      <c r="DM117" s="187"/>
      <c r="DN117" s="187"/>
      <c r="DO117" s="187"/>
      <c r="DP117" s="187"/>
      <c r="DQ117" s="187"/>
      <c r="DR117" s="187"/>
      <c r="DS117" s="187"/>
      <c r="DT117" s="187"/>
      <c r="DU117" s="187"/>
      <c r="DV117" s="187"/>
      <c r="DW117" s="187"/>
      <c r="DX117" s="187"/>
      <c r="DY117" s="187"/>
      <c r="DZ117" s="187"/>
      <c r="EA117" s="187"/>
      <c r="EB117" s="187"/>
      <c r="EC117" s="187"/>
      <c r="ED117" s="187"/>
      <c r="EE117" s="187"/>
      <c r="EF117" s="187"/>
      <c r="EG117" s="187"/>
      <c r="EH117" s="187"/>
      <c r="EI117" s="187"/>
      <c r="EJ117" s="187"/>
    </row>
    <row r="118">
      <c r="A118" s="4"/>
      <c r="B118" s="4"/>
      <c r="C118" s="4"/>
      <c r="D118" s="122"/>
      <c r="E118" s="29"/>
      <c r="F118" s="29"/>
      <c r="G118" s="29"/>
      <c r="H118" s="29"/>
      <c r="I118" s="29"/>
      <c r="J118" s="29"/>
      <c r="K118" s="29"/>
      <c r="L118" s="29"/>
      <c r="M118" s="29"/>
      <c r="N118" s="29"/>
      <c r="O118" s="4"/>
      <c r="P118" s="4"/>
      <c r="Q118" s="4"/>
      <c r="R118" s="77"/>
      <c r="V118" s="176"/>
      <c r="W118" s="176"/>
      <c r="X118" s="188" t="str">
        <f t="array" ref="X118">IFERROR(INDIRECT("'Bloque "&amp;$AK$24&amp;" Semana "&amp;$AK$23&amp;"'"&amp;"!"&amp;"E37"),"")</f>
        <v/>
      </c>
      <c r="AE118" s="186">
        <v>26.0</v>
      </c>
      <c r="AF118" s="188" t="str">
        <f t="array" ref="AF118">IFERROR(INDIRECT("'Bloque "&amp;$AL$24&amp;" Semana "&amp;$AL$23&amp;"'"&amp;"!"&amp;"E37"),"")</f>
        <v/>
      </c>
      <c r="AM118" s="186">
        <v>26.0</v>
      </c>
      <c r="AN118" s="188" t="str">
        <f t="array" ref="AN118">IFERROR(INDIRECT("'Bloque "&amp;$AM$24&amp;" Semana "&amp;$AM$23&amp;"'"&amp;"!"&amp;"E37"),"")</f>
        <v/>
      </c>
      <c r="AU118" s="186">
        <v>26.0</v>
      </c>
    </row>
    <row r="119">
      <c r="A119" s="4"/>
      <c r="B119" s="4"/>
      <c r="C119" s="4"/>
      <c r="D119" s="122"/>
      <c r="E119" s="29"/>
      <c r="F119" s="29"/>
      <c r="G119" s="29"/>
      <c r="H119" s="29"/>
      <c r="I119" s="29"/>
      <c r="J119" s="29"/>
      <c r="K119" s="29"/>
      <c r="L119" s="29"/>
      <c r="M119" s="29"/>
      <c r="N119" s="29"/>
      <c r="O119" s="4"/>
      <c r="P119" s="4"/>
      <c r="Q119" s="4"/>
      <c r="R119" s="77"/>
      <c r="V119" s="176"/>
      <c r="W119" s="176"/>
      <c r="X119" s="176" t="str">
        <f t="array" ref="X119">IFERROR(INDIRECT("'Bloque "&amp;$AK$24&amp;" Semana "&amp;$AK$23&amp;"'"&amp;"!"&amp;"E25"),"")</f>
        <v/>
      </c>
      <c r="AE119" s="186">
        <v>25.0</v>
      </c>
      <c r="AF119" s="176" t="str">
        <f t="array" ref="AF119">IFERROR(INDIRECT("'Bloque "&amp;$AL$24&amp;" Semana "&amp;$AL$23&amp;"'"&amp;"!"&amp;"E25"),"")</f>
        <v/>
      </c>
      <c r="AM119" s="186">
        <v>25.0</v>
      </c>
      <c r="AN119" s="176" t="str">
        <f t="array" ref="AN119">IFERROR(INDIRECT("'Bloque "&amp;$AM$24&amp;" Semana "&amp;$AM$23&amp;"'"&amp;"!"&amp;"E25"),"")</f>
        <v/>
      </c>
      <c r="AU119" s="186">
        <v>25.0</v>
      </c>
    </row>
    <row r="120">
      <c r="A120" s="4"/>
      <c r="B120" s="4"/>
      <c r="C120" s="4"/>
      <c r="D120" s="122"/>
      <c r="E120" s="29"/>
      <c r="F120" s="29"/>
      <c r="G120" s="29"/>
      <c r="H120" s="29"/>
      <c r="I120" s="29"/>
      <c r="J120" s="29"/>
      <c r="K120" s="29"/>
      <c r="L120" s="29"/>
      <c r="M120" s="29"/>
      <c r="N120" s="29"/>
      <c r="O120" s="4"/>
      <c r="P120" s="4"/>
      <c r="Q120" s="4"/>
      <c r="R120" s="77"/>
      <c r="V120" s="176"/>
      <c r="W120" s="176"/>
      <c r="X120" s="189" t="str">
        <f t="array" ref="X120">IFERROR(INDIRECT("'Bloque "&amp;$AK$24&amp;" Semana "&amp;$AK$23&amp;"'"&amp;"!"&amp;"E26"),"")</f>
        <v/>
      </c>
      <c r="AE120" s="186">
        <v>26.0</v>
      </c>
      <c r="AF120" s="189" t="str">
        <f t="array" ref="AF120">IFERROR(INDIRECT("'Bloque "&amp;$AL$24&amp;" Semana "&amp;$AL$23&amp;"'"&amp;"!"&amp;"E26"),"")</f>
        <v/>
      </c>
      <c r="AM120" s="186">
        <v>26.0</v>
      </c>
      <c r="AN120" s="189" t="str">
        <f t="array" ref="AN120">IFERROR(INDIRECT("'Bloque "&amp;$AM$24&amp;" Semana "&amp;$AM$23&amp;"'"&amp;"!"&amp;"E26"),"")</f>
        <v/>
      </c>
      <c r="AU120" s="186">
        <v>26.0</v>
      </c>
    </row>
    <row r="121">
      <c r="A121" s="4"/>
      <c r="B121" s="4"/>
      <c r="C121" s="4"/>
      <c r="D121" s="122"/>
      <c r="E121" s="29"/>
      <c r="F121" s="29"/>
      <c r="G121" s="29"/>
      <c r="H121" s="29"/>
      <c r="I121" s="29"/>
      <c r="J121" s="29"/>
      <c r="K121" s="29"/>
      <c r="L121" s="29"/>
      <c r="M121" s="29"/>
      <c r="N121" s="29"/>
      <c r="O121" s="4"/>
      <c r="P121" s="4"/>
      <c r="Q121" s="4"/>
      <c r="R121" s="77"/>
      <c r="V121" s="176"/>
      <c r="W121" s="176"/>
      <c r="X121" s="190" t="str">
        <f t="shared" ref="X121:AD121" si="197">IFERROR(INDIRECT("'Bloque "&amp;$AK$24&amp;" Semana "&amp;$AK$23&amp;"'"&amp;"!"&amp;X$117&amp;$AE121),"")</f>
        <v/>
      </c>
      <c r="Y121" s="190" t="str">
        <f t="shared" si="197"/>
        <v/>
      </c>
      <c r="Z121" s="190" t="str">
        <f t="shared" si="197"/>
        <v/>
      </c>
      <c r="AA121" s="190" t="str">
        <f t="shared" si="197"/>
        <v/>
      </c>
      <c r="AB121" s="190" t="str">
        <f t="shared" si="197"/>
        <v/>
      </c>
      <c r="AC121" s="190" t="str">
        <f t="shared" si="197"/>
        <v/>
      </c>
      <c r="AD121" s="190" t="str">
        <f t="shared" si="197"/>
        <v/>
      </c>
      <c r="AE121" s="191">
        <v>27.0</v>
      </c>
      <c r="AF121" s="190" t="str">
        <f t="shared" ref="AF121:AL121" si="198">IFERROR(INDIRECT("'Bloque "&amp;$AL$24&amp;" Semana "&amp;$AL$23&amp;"'"&amp;"!"&amp;AF$117&amp;$AM121),"")</f>
        <v/>
      </c>
      <c r="AG121" s="190" t="str">
        <f t="shared" si="198"/>
        <v/>
      </c>
      <c r="AH121" s="190" t="str">
        <f t="shared" si="198"/>
        <v/>
      </c>
      <c r="AI121" s="190" t="str">
        <f t="shared" si="198"/>
        <v/>
      </c>
      <c r="AJ121" s="190" t="str">
        <f t="shared" si="198"/>
        <v/>
      </c>
      <c r="AK121" s="190" t="str">
        <f t="shared" si="198"/>
        <v/>
      </c>
      <c r="AL121" s="190" t="str">
        <f t="shared" si="198"/>
        <v/>
      </c>
      <c r="AM121" s="191">
        <v>27.0</v>
      </c>
      <c r="AN121" s="190" t="str">
        <f t="shared" ref="AN121:AT121" si="199">IFERROR(INDIRECT("'Bloque "&amp;$AM$24&amp;" Semana "&amp;$AM$23&amp;"'"&amp;"!"&amp;AN$117&amp;$AU121),"")</f>
        <v/>
      </c>
      <c r="AO121" s="190" t="str">
        <f t="shared" si="199"/>
        <v/>
      </c>
      <c r="AP121" s="190" t="str">
        <f t="shared" si="199"/>
        <v/>
      </c>
      <c r="AQ121" s="190" t="str">
        <f t="shared" si="199"/>
        <v/>
      </c>
      <c r="AR121" s="190" t="str">
        <f t="shared" si="199"/>
        <v/>
      </c>
      <c r="AS121" s="190" t="str">
        <f t="shared" si="199"/>
        <v/>
      </c>
      <c r="AT121" s="190" t="str">
        <f t="shared" si="199"/>
        <v/>
      </c>
      <c r="AU121" s="191">
        <v>27.0</v>
      </c>
    </row>
    <row r="122">
      <c r="A122" s="4"/>
      <c r="B122" s="4"/>
      <c r="C122" s="4"/>
      <c r="D122" s="122"/>
      <c r="E122" s="29"/>
      <c r="F122" s="29"/>
      <c r="G122" s="29"/>
      <c r="H122" s="29"/>
      <c r="I122" s="29"/>
      <c r="J122" s="29"/>
      <c r="K122" s="29"/>
      <c r="L122" s="29"/>
      <c r="M122" s="29"/>
      <c r="N122" s="29"/>
      <c r="O122" s="4"/>
      <c r="P122" s="4"/>
      <c r="Q122" s="4"/>
      <c r="R122" s="77"/>
      <c r="V122" s="176"/>
      <c r="W122" s="176"/>
      <c r="X122" s="197" t="str">
        <f t="shared" ref="X122:AD122" si="200">IFERROR(INDIRECT("'Bloque "&amp;$AK$24&amp;" Semana "&amp;$AK$23&amp;"'"&amp;"!"&amp;X$117&amp;$AE122),"")</f>
        <v/>
      </c>
      <c r="Y122" s="197" t="str">
        <f t="shared" si="200"/>
        <v/>
      </c>
      <c r="Z122" s="197" t="str">
        <f t="shared" si="200"/>
        <v/>
      </c>
      <c r="AA122" s="197" t="str">
        <f t="shared" si="200"/>
        <v/>
      </c>
      <c r="AB122" s="197" t="str">
        <f t="shared" si="200"/>
        <v/>
      </c>
      <c r="AC122" s="197" t="str">
        <f t="shared" si="200"/>
        <v/>
      </c>
      <c r="AD122" s="197" t="str">
        <f t="shared" si="200"/>
        <v/>
      </c>
      <c r="AE122" s="191">
        <v>28.0</v>
      </c>
      <c r="AF122" s="197" t="str">
        <f t="shared" ref="AF122:AL122" si="201">IFERROR(INDIRECT("'Bloque "&amp;$AL$24&amp;" Semana "&amp;$AL$23&amp;"'"&amp;"!"&amp;AF$117&amp;$AM122),"")</f>
        <v/>
      </c>
      <c r="AG122" s="197" t="str">
        <f t="shared" si="201"/>
        <v/>
      </c>
      <c r="AH122" s="197" t="str">
        <f t="shared" si="201"/>
        <v/>
      </c>
      <c r="AI122" s="197" t="str">
        <f t="shared" si="201"/>
        <v/>
      </c>
      <c r="AJ122" s="197" t="str">
        <f t="shared" si="201"/>
        <v/>
      </c>
      <c r="AK122" s="197" t="str">
        <f t="shared" si="201"/>
        <v/>
      </c>
      <c r="AL122" s="197" t="str">
        <f t="shared" si="201"/>
        <v/>
      </c>
      <c r="AM122" s="191">
        <v>28.0</v>
      </c>
      <c r="AN122" s="197" t="str">
        <f t="shared" ref="AN122:AT122" si="202">IFERROR(INDIRECT("'Bloque "&amp;$AM$24&amp;" Semana "&amp;$AM$23&amp;"'"&amp;"!"&amp;AN$117&amp;$AU122),"")</f>
        <v/>
      </c>
      <c r="AO122" s="197" t="str">
        <f t="shared" si="202"/>
        <v/>
      </c>
      <c r="AP122" s="197" t="str">
        <f t="shared" si="202"/>
        <v/>
      </c>
      <c r="AQ122" s="197" t="str">
        <f t="shared" si="202"/>
        <v/>
      </c>
      <c r="AR122" s="197" t="str">
        <f t="shared" si="202"/>
        <v/>
      </c>
      <c r="AS122" s="197" t="str">
        <f t="shared" si="202"/>
        <v/>
      </c>
      <c r="AT122" s="197" t="str">
        <f t="shared" si="202"/>
        <v/>
      </c>
      <c r="AU122" s="191">
        <v>28.0</v>
      </c>
    </row>
    <row r="123">
      <c r="A123" s="4"/>
      <c r="B123" s="4"/>
      <c r="C123" s="4"/>
      <c r="D123" s="122"/>
      <c r="E123" s="29"/>
      <c r="F123" s="29"/>
      <c r="G123" s="29"/>
      <c r="H123" s="29"/>
      <c r="I123" s="29"/>
      <c r="J123" s="29"/>
      <c r="K123" s="29"/>
      <c r="L123" s="29"/>
      <c r="M123" s="29"/>
      <c r="N123" s="29"/>
      <c r="O123" s="4"/>
      <c r="P123" s="4"/>
      <c r="Q123" s="4"/>
      <c r="R123" s="77"/>
      <c r="V123" s="176"/>
      <c r="W123" s="176"/>
      <c r="X123" s="197" t="str">
        <f t="shared" ref="X123:AD123" si="203">IFERROR(INDIRECT("'Bloque "&amp;$AK$24&amp;" Semana "&amp;$AK$23&amp;"'"&amp;"!"&amp;X$117&amp;$AE123),"")</f>
        <v/>
      </c>
      <c r="Y123" s="197" t="str">
        <f t="shared" si="203"/>
        <v/>
      </c>
      <c r="Z123" s="197" t="str">
        <f t="shared" si="203"/>
        <v/>
      </c>
      <c r="AA123" s="197" t="str">
        <f t="shared" si="203"/>
        <v/>
      </c>
      <c r="AB123" s="197" t="str">
        <f t="shared" si="203"/>
        <v/>
      </c>
      <c r="AC123" s="197" t="str">
        <f t="shared" si="203"/>
        <v/>
      </c>
      <c r="AD123" s="197" t="str">
        <f t="shared" si="203"/>
        <v/>
      </c>
      <c r="AE123" s="191">
        <v>29.0</v>
      </c>
      <c r="AF123" s="197" t="str">
        <f t="shared" ref="AF123:AL123" si="204">IFERROR(INDIRECT("'Bloque "&amp;$AL$24&amp;" Semana "&amp;$AL$23&amp;"'"&amp;"!"&amp;AF$117&amp;$AM123),"")</f>
        <v/>
      </c>
      <c r="AG123" s="197" t="str">
        <f t="shared" si="204"/>
        <v/>
      </c>
      <c r="AH123" s="197" t="str">
        <f t="shared" si="204"/>
        <v/>
      </c>
      <c r="AI123" s="197" t="str">
        <f t="shared" si="204"/>
        <v/>
      </c>
      <c r="AJ123" s="197" t="str">
        <f t="shared" si="204"/>
        <v/>
      </c>
      <c r="AK123" s="197" t="str">
        <f t="shared" si="204"/>
        <v/>
      </c>
      <c r="AL123" s="197" t="str">
        <f t="shared" si="204"/>
        <v/>
      </c>
      <c r="AM123" s="191">
        <v>29.0</v>
      </c>
      <c r="AN123" s="197" t="str">
        <f t="shared" ref="AN123:AT123" si="205">IFERROR(INDIRECT("'Bloque "&amp;$AM$24&amp;" Semana "&amp;$AM$23&amp;"'"&amp;"!"&amp;AN$117&amp;$AU123),"")</f>
        <v/>
      </c>
      <c r="AO123" s="197" t="str">
        <f t="shared" si="205"/>
        <v/>
      </c>
      <c r="AP123" s="197" t="str">
        <f t="shared" si="205"/>
        <v/>
      </c>
      <c r="AQ123" s="197" t="str">
        <f t="shared" si="205"/>
        <v/>
      </c>
      <c r="AR123" s="197" t="str">
        <f t="shared" si="205"/>
        <v/>
      </c>
      <c r="AS123" s="197" t="str">
        <f t="shared" si="205"/>
        <v/>
      </c>
      <c r="AT123" s="197" t="str">
        <f t="shared" si="205"/>
        <v/>
      </c>
      <c r="AU123" s="191">
        <v>29.0</v>
      </c>
    </row>
    <row r="124">
      <c r="A124" s="4"/>
      <c r="B124" s="4"/>
      <c r="C124" s="4"/>
      <c r="D124" s="122"/>
      <c r="E124" s="29"/>
      <c r="F124" s="29"/>
      <c r="G124" s="29"/>
      <c r="H124" s="29"/>
      <c r="I124" s="29"/>
      <c r="J124" s="29"/>
      <c r="K124" s="29"/>
      <c r="L124" s="29"/>
      <c r="M124" s="29"/>
      <c r="N124" s="29"/>
      <c r="O124" s="4"/>
      <c r="P124" s="4"/>
      <c r="Q124" s="4"/>
      <c r="R124" s="77"/>
      <c r="V124" s="176"/>
      <c r="W124" s="176"/>
      <c r="X124" s="197" t="str">
        <f t="shared" ref="X124:AD124" si="206">IFERROR(INDIRECT("'Bloque "&amp;$AK$24&amp;" Semana "&amp;$AK$23&amp;"'"&amp;"!"&amp;X$117&amp;$AE124),"")</f>
        <v/>
      </c>
      <c r="Y124" s="197" t="str">
        <f t="shared" si="206"/>
        <v/>
      </c>
      <c r="Z124" s="197" t="str">
        <f t="shared" si="206"/>
        <v/>
      </c>
      <c r="AA124" s="197" t="str">
        <f t="shared" si="206"/>
        <v/>
      </c>
      <c r="AB124" s="197" t="str">
        <f t="shared" si="206"/>
        <v/>
      </c>
      <c r="AC124" s="197" t="str">
        <f t="shared" si="206"/>
        <v/>
      </c>
      <c r="AD124" s="197" t="str">
        <f t="shared" si="206"/>
        <v/>
      </c>
      <c r="AE124" s="191">
        <v>30.0</v>
      </c>
      <c r="AF124" s="197" t="str">
        <f t="shared" ref="AF124:AL124" si="207">IFERROR(INDIRECT("'Bloque "&amp;$AL$24&amp;" Semana "&amp;$AL$23&amp;"'"&amp;"!"&amp;AF$117&amp;$AM124),"")</f>
        <v/>
      </c>
      <c r="AG124" s="197" t="str">
        <f t="shared" si="207"/>
        <v/>
      </c>
      <c r="AH124" s="197" t="str">
        <f t="shared" si="207"/>
        <v/>
      </c>
      <c r="AI124" s="197" t="str">
        <f t="shared" si="207"/>
        <v/>
      </c>
      <c r="AJ124" s="197" t="str">
        <f t="shared" si="207"/>
        <v/>
      </c>
      <c r="AK124" s="197" t="str">
        <f t="shared" si="207"/>
        <v/>
      </c>
      <c r="AL124" s="197" t="str">
        <f t="shared" si="207"/>
        <v/>
      </c>
      <c r="AM124" s="191">
        <v>30.0</v>
      </c>
      <c r="AN124" s="197" t="str">
        <f t="shared" ref="AN124:AT124" si="208">IFERROR(INDIRECT("'Bloque "&amp;$AM$24&amp;" Semana "&amp;$AM$23&amp;"'"&amp;"!"&amp;AN$117&amp;$AU124),"")</f>
        <v/>
      </c>
      <c r="AO124" s="197" t="str">
        <f t="shared" si="208"/>
        <v/>
      </c>
      <c r="AP124" s="197" t="str">
        <f t="shared" si="208"/>
        <v/>
      </c>
      <c r="AQ124" s="197" t="str">
        <f t="shared" si="208"/>
        <v/>
      </c>
      <c r="AR124" s="197" t="str">
        <f t="shared" si="208"/>
        <v/>
      </c>
      <c r="AS124" s="197" t="str">
        <f t="shared" si="208"/>
        <v/>
      </c>
      <c r="AT124" s="197" t="str">
        <f t="shared" si="208"/>
        <v/>
      </c>
      <c r="AU124" s="191">
        <v>30.0</v>
      </c>
    </row>
    <row r="125">
      <c r="A125" s="4"/>
      <c r="B125" s="4"/>
      <c r="C125" s="4"/>
      <c r="D125" s="122"/>
      <c r="E125" s="29"/>
      <c r="F125" s="29"/>
      <c r="G125" s="29"/>
      <c r="H125" s="29"/>
      <c r="I125" s="29"/>
      <c r="J125" s="29"/>
      <c r="K125" s="29"/>
      <c r="L125" s="29"/>
      <c r="M125" s="29"/>
      <c r="N125" s="29"/>
      <c r="O125" s="4"/>
      <c r="P125" s="4"/>
      <c r="Q125" s="4"/>
      <c r="R125" s="77"/>
      <c r="V125" s="176"/>
      <c r="W125" s="176"/>
      <c r="X125" s="197" t="str">
        <f t="shared" ref="X125:AD125" si="209">IFERROR(INDIRECT("'Bloque "&amp;$AK$24&amp;" Semana "&amp;$AK$23&amp;"'"&amp;"!"&amp;X$117&amp;$AE125),"")</f>
        <v/>
      </c>
      <c r="Y125" s="197" t="str">
        <f t="shared" si="209"/>
        <v/>
      </c>
      <c r="Z125" s="197" t="str">
        <f t="shared" si="209"/>
        <v/>
      </c>
      <c r="AA125" s="197" t="str">
        <f t="shared" si="209"/>
        <v/>
      </c>
      <c r="AB125" s="197" t="str">
        <f t="shared" si="209"/>
        <v/>
      </c>
      <c r="AC125" s="197" t="str">
        <f t="shared" si="209"/>
        <v/>
      </c>
      <c r="AD125" s="197" t="str">
        <f t="shared" si="209"/>
        <v/>
      </c>
      <c r="AE125" s="191">
        <v>31.0</v>
      </c>
      <c r="AF125" s="197" t="str">
        <f t="shared" ref="AF125:AL125" si="210">IFERROR(INDIRECT("'Bloque "&amp;$AL$24&amp;" Semana "&amp;$AL$23&amp;"'"&amp;"!"&amp;AF$117&amp;$AM125),"")</f>
        <v/>
      </c>
      <c r="AG125" s="197" t="str">
        <f t="shared" si="210"/>
        <v/>
      </c>
      <c r="AH125" s="197" t="str">
        <f t="shared" si="210"/>
        <v/>
      </c>
      <c r="AI125" s="197" t="str">
        <f t="shared" si="210"/>
        <v/>
      </c>
      <c r="AJ125" s="197" t="str">
        <f t="shared" si="210"/>
        <v/>
      </c>
      <c r="AK125" s="197" t="str">
        <f t="shared" si="210"/>
        <v/>
      </c>
      <c r="AL125" s="197" t="str">
        <f t="shared" si="210"/>
        <v/>
      </c>
      <c r="AM125" s="191">
        <v>31.0</v>
      </c>
      <c r="AN125" s="197" t="str">
        <f t="shared" ref="AN125:AT125" si="211">IFERROR(INDIRECT("'Bloque "&amp;$AM$24&amp;" Semana "&amp;$AM$23&amp;"'"&amp;"!"&amp;AN$117&amp;$AU125),"")</f>
        <v/>
      </c>
      <c r="AO125" s="197" t="str">
        <f t="shared" si="211"/>
        <v/>
      </c>
      <c r="AP125" s="197" t="str">
        <f t="shared" si="211"/>
        <v/>
      </c>
      <c r="AQ125" s="197" t="str">
        <f t="shared" si="211"/>
        <v/>
      </c>
      <c r="AR125" s="197" t="str">
        <f t="shared" si="211"/>
        <v/>
      </c>
      <c r="AS125" s="197" t="str">
        <f t="shared" si="211"/>
        <v/>
      </c>
      <c r="AT125" s="197" t="str">
        <f t="shared" si="211"/>
        <v/>
      </c>
      <c r="AU125" s="191">
        <v>31.0</v>
      </c>
    </row>
    <row r="126">
      <c r="A126" s="4"/>
      <c r="B126" s="4"/>
      <c r="C126" s="4"/>
      <c r="D126" s="122"/>
      <c r="E126" s="29"/>
      <c r="F126" s="29"/>
      <c r="G126" s="29"/>
      <c r="H126" s="29"/>
      <c r="I126" s="29"/>
      <c r="J126" s="29"/>
      <c r="K126" s="29"/>
      <c r="L126" s="29"/>
      <c r="M126" s="29"/>
      <c r="N126" s="29"/>
      <c r="O126" s="4"/>
      <c r="P126" s="4"/>
      <c r="Q126" s="4"/>
      <c r="R126" s="77"/>
      <c r="V126" s="176"/>
      <c r="W126" s="176"/>
      <c r="X126" s="197" t="str">
        <f t="shared" ref="X126:AD126" si="212">IFERROR(INDIRECT("'Bloque "&amp;$AK$24&amp;" Semana "&amp;$AK$23&amp;"'"&amp;"!"&amp;X$117&amp;$AE126),"")</f>
        <v/>
      </c>
      <c r="Y126" s="197" t="str">
        <f t="shared" si="212"/>
        <v/>
      </c>
      <c r="Z126" s="197" t="str">
        <f t="shared" si="212"/>
        <v/>
      </c>
      <c r="AA126" s="197" t="str">
        <f t="shared" si="212"/>
        <v/>
      </c>
      <c r="AB126" s="197" t="str">
        <f t="shared" si="212"/>
        <v/>
      </c>
      <c r="AC126" s="197" t="str">
        <f t="shared" si="212"/>
        <v/>
      </c>
      <c r="AD126" s="197" t="str">
        <f t="shared" si="212"/>
        <v/>
      </c>
      <c r="AE126" s="191">
        <v>32.0</v>
      </c>
      <c r="AF126" s="197" t="str">
        <f t="shared" ref="AF126:AL126" si="213">IFERROR(INDIRECT("'Bloque "&amp;$AL$24&amp;" Semana "&amp;$AL$23&amp;"'"&amp;"!"&amp;AF$117&amp;$AM126),"")</f>
        <v/>
      </c>
      <c r="AG126" s="197" t="str">
        <f t="shared" si="213"/>
        <v/>
      </c>
      <c r="AH126" s="197" t="str">
        <f t="shared" si="213"/>
        <v/>
      </c>
      <c r="AI126" s="197" t="str">
        <f t="shared" si="213"/>
        <v/>
      </c>
      <c r="AJ126" s="197" t="str">
        <f t="shared" si="213"/>
        <v/>
      </c>
      <c r="AK126" s="197" t="str">
        <f t="shared" si="213"/>
        <v/>
      </c>
      <c r="AL126" s="197" t="str">
        <f t="shared" si="213"/>
        <v/>
      </c>
      <c r="AM126" s="191">
        <v>32.0</v>
      </c>
      <c r="AN126" s="197" t="str">
        <f t="shared" ref="AN126:AT126" si="214">IFERROR(INDIRECT("'Bloque "&amp;$AM$24&amp;" Semana "&amp;$AM$23&amp;"'"&amp;"!"&amp;AN$117&amp;$AU126),"")</f>
        <v/>
      </c>
      <c r="AO126" s="197" t="str">
        <f t="shared" si="214"/>
        <v/>
      </c>
      <c r="AP126" s="197" t="str">
        <f t="shared" si="214"/>
        <v/>
      </c>
      <c r="AQ126" s="197" t="str">
        <f t="shared" si="214"/>
        <v/>
      </c>
      <c r="AR126" s="197" t="str">
        <f t="shared" si="214"/>
        <v/>
      </c>
      <c r="AS126" s="197" t="str">
        <f t="shared" si="214"/>
        <v/>
      </c>
      <c r="AT126" s="197" t="str">
        <f t="shared" si="214"/>
        <v/>
      </c>
      <c r="AU126" s="191">
        <v>32.0</v>
      </c>
    </row>
    <row r="127">
      <c r="A127" s="4"/>
      <c r="B127" s="4"/>
      <c r="C127" s="4"/>
      <c r="D127" s="122"/>
      <c r="E127" s="29"/>
      <c r="F127" s="29"/>
      <c r="G127" s="29"/>
      <c r="H127" s="29"/>
      <c r="I127" s="29"/>
      <c r="J127" s="29"/>
      <c r="K127" s="29"/>
      <c r="L127" s="29"/>
      <c r="M127" s="29"/>
      <c r="N127" s="29"/>
      <c r="O127" s="4"/>
      <c r="P127" s="4"/>
      <c r="Q127" s="4"/>
      <c r="R127" s="77"/>
      <c r="V127" s="176"/>
      <c r="W127" s="176"/>
      <c r="X127" s="197" t="str">
        <f t="shared" ref="X127:AD127" si="215">IFERROR(INDIRECT("'Bloque "&amp;$AK$24&amp;" Semana "&amp;$AK$23&amp;"'"&amp;"!"&amp;X$117&amp;$AE127),"")</f>
        <v/>
      </c>
      <c r="Y127" s="197" t="str">
        <f t="shared" si="215"/>
        <v/>
      </c>
      <c r="Z127" s="197" t="str">
        <f t="shared" si="215"/>
        <v/>
      </c>
      <c r="AA127" s="197" t="str">
        <f t="shared" si="215"/>
        <v/>
      </c>
      <c r="AB127" s="197" t="str">
        <f t="shared" si="215"/>
        <v/>
      </c>
      <c r="AC127" s="197" t="str">
        <f t="shared" si="215"/>
        <v/>
      </c>
      <c r="AD127" s="197" t="str">
        <f t="shared" si="215"/>
        <v/>
      </c>
      <c r="AE127" s="191">
        <v>33.0</v>
      </c>
      <c r="AF127" s="197" t="str">
        <f t="shared" ref="AF127:AL127" si="216">IFERROR(INDIRECT("'Bloque "&amp;$AL$24&amp;" Semana "&amp;$AL$23&amp;"'"&amp;"!"&amp;AF$117&amp;$AM127),"")</f>
        <v/>
      </c>
      <c r="AG127" s="197" t="str">
        <f t="shared" si="216"/>
        <v/>
      </c>
      <c r="AH127" s="197" t="str">
        <f t="shared" si="216"/>
        <v/>
      </c>
      <c r="AI127" s="197" t="str">
        <f t="shared" si="216"/>
        <v/>
      </c>
      <c r="AJ127" s="197" t="str">
        <f t="shared" si="216"/>
        <v/>
      </c>
      <c r="AK127" s="197" t="str">
        <f t="shared" si="216"/>
        <v/>
      </c>
      <c r="AL127" s="197" t="str">
        <f t="shared" si="216"/>
        <v/>
      </c>
      <c r="AM127" s="191">
        <v>33.0</v>
      </c>
      <c r="AN127" s="197" t="str">
        <f t="shared" ref="AN127:AT127" si="217">IFERROR(INDIRECT("'Bloque "&amp;$AM$24&amp;" Semana "&amp;$AM$23&amp;"'"&amp;"!"&amp;AN$117&amp;$AU127),"")</f>
        <v/>
      </c>
      <c r="AO127" s="197" t="str">
        <f t="shared" si="217"/>
        <v/>
      </c>
      <c r="AP127" s="197" t="str">
        <f t="shared" si="217"/>
        <v/>
      </c>
      <c r="AQ127" s="197" t="str">
        <f t="shared" si="217"/>
        <v/>
      </c>
      <c r="AR127" s="197" t="str">
        <f t="shared" si="217"/>
        <v/>
      </c>
      <c r="AS127" s="197" t="str">
        <f t="shared" si="217"/>
        <v/>
      </c>
      <c r="AT127" s="197" t="str">
        <f t="shared" si="217"/>
        <v/>
      </c>
      <c r="AU127" s="191">
        <v>33.0</v>
      </c>
    </row>
    <row r="128">
      <c r="A128" s="4"/>
      <c r="B128" s="4"/>
      <c r="C128" s="4"/>
      <c r="D128" s="122"/>
      <c r="E128" s="29"/>
      <c r="F128" s="29"/>
      <c r="G128" s="29"/>
      <c r="H128" s="29"/>
      <c r="I128" s="29"/>
      <c r="J128" s="29"/>
      <c r="K128" s="29"/>
      <c r="L128" s="29"/>
      <c r="M128" s="29"/>
      <c r="N128" s="29"/>
      <c r="O128" s="4"/>
      <c r="P128" s="4"/>
      <c r="Q128" s="4"/>
      <c r="R128" s="77"/>
      <c r="V128" s="176"/>
      <c r="W128" s="176"/>
      <c r="X128" s="197" t="str">
        <f t="shared" ref="X128:AD128" si="218">IFERROR(INDIRECT("'Bloque "&amp;$AK$24&amp;" Semana "&amp;$AK$23&amp;"'"&amp;"!"&amp;X$117&amp;$AE128),"")</f>
        <v/>
      </c>
      <c r="Y128" s="197" t="str">
        <f t="shared" si="218"/>
        <v/>
      </c>
      <c r="Z128" s="197" t="str">
        <f t="shared" si="218"/>
        <v/>
      </c>
      <c r="AA128" s="197" t="str">
        <f t="shared" si="218"/>
        <v/>
      </c>
      <c r="AB128" s="197" t="str">
        <f t="shared" si="218"/>
        <v/>
      </c>
      <c r="AC128" s="197" t="str">
        <f t="shared" si="218"/>
        <v/>
      </c>
      <c r="AD128" s="197" t="str">
        <f t="shared" si="218"/>
        <v/>
      </c>
      <c r="AE128" s="191">
        <v>34.0</v>
      </c>
      <c r="AF128" s="197" t="str">
        <f t="shared" ref="AF128:AL128" si="219">IFERROR(INDIRECT("'Bloque "&amp;$AL$24&amp;" Semana "&amp;$AL$23&amp;"'"&amp;"!"&amp;AF$117&amp;$AM128),"")</f>
        <v/>
      </c>
      <c r="AG128" s="197" t="str">
        <f t="shared" si="219"/>
        <v/>
      </c>
      <c r="AH128" s="197" t="str">
        <f t="shared" si="219"/>
        <v/>
      </c>
      <c r="AI128" s="197" t="str">
        <f t="shared" si="219"/>
        <v/>
      </c>
      <c r="AJ128" s="197" t="str">
        <f t="shared" si="219"/>
        <v/>
      </c>
      <c r="AK128" s="197" t="str">
        <f t="shared" si="219"/>
        <v/>
      </c>
      <c r="AL128" s="197" t="str">
        <f t="shared" si="219"/>
        <v/>
      </c>
      <c r="AM128" s="191">
        <v>34.0</v>
      </c>
      <c r="AN128" s="197" t="str">
        <f t="shared" ref="AN128:AT128" si="220">IFERROR(INDIRECT("'Bloque "&amp;$AM$24&amp;" Semana "&amp;$AM$23&amp;"'"&amp;"!"&amp;AN$117&amp;$AU128),"")</f>
        <v/>
      </c>
      <c r="AO128" s="197" t="str">
        <f t="shared" si="220"/>
        <v/>
      </c>
      <c r="AP128" s="197" t="str">
        <f t="shared" si="220"/>
        <v/>
      </c>
      <c r="AQ128" s="197" t="str">
        <f t="shared" si="220"/>
        <v/>
      </c>
      <c r="AR128" s="197" t="str">
        <f t="shared" si="220"/>
        <v/>
      </c>
      <c r="AS128" s="197" t="str">
        <f t="shared" si="220"/>
        <v/>
      </c>
      <c r="AT128" s="197" t="str">
        <f t="shared" si="220"/>
        <v/>
      </c>
      <c r="AU128" s="191">
        <v>34.0</v>
      </c>
    </row>
    <row r="129">
      <c r="A129" s="4"/>
      <c r="B129" s="4"/>
      <c r="C129" s="4"/>
      <c r="D129" s="122"/>
      <c r="E129" s="29"/>
      <c r="F129" s="29"/>
      <c r="G129" s="29"/>
      <c r="H129" s="29"/>
      <c r="I129" s="29"/>
      <c r="J129" s="29"/>
      <c r="K129" s="29"/>
      <c r="L129" s="29"/>
      <c r="M129" s="29"/>
      <c r="N129" s="29"/>
      <c r="O129" s="4"/>
      <c r="P129" s="4"/>
      <c r="Q129" s="4"/>
      <c r="R129" s="77"/>
      <c r="V129" s="176"/>
      <c r="W129" s="176"/>
      <c r="X129" s="197" t="str">
        <f t="shared" ref="X129:AD129" si="221">IFERROR(INDIRECT("'Bloque "&amp;$AK$24&amp;" Semana "&amp;$AK$23&amp;"'"&amp;"!"&amp;X$117&amp;$AE129),"")</f>
        <v/>
      </c>
      <c r="Y129" s="197" t="str">
        <f t="shared" si="221"/>
        <v/>
      </c>
      <c r="Z129" s="197" t="str">
        <f t="shared" si="221"/>
        <v/>
      </c>
      <c r="AA129" s="197" t="str">
        <f t="shared" si="221"/>
        <v/>
      </c>
      <c r="AB129" s="197" t="str">
        <f t="shared" si="221"/>
        <v/>
      </c>
      <c r="AC129" s="197" t="str">
        <f t="shared" si="221"/>
        <v/>
      </c>
      <c r="AD129" s="197" t="str">
        <f t="shared" si="221"/>
        <v/>
      </c>
      <c r="AE129" s="191">
        <v>35.0</v>
      </c>
      <c r="AF129" s="197" t="str">
        <f t="shared" ref="AF129:AL129" si="222">IFERROR(INDIRECT("'Bloque "&amp;$AL$24&amp;" Semana "&amp;$AL$23&amp;"'"&amp;"!"&amp;AF$117&amp;$AM129),"")</f>
        <v/>
      </c>
      <c r="AG129" s="197" t="str">
        <f t="shared" si="222"/>
        <v/>
      </c>
      <c r="AH129" s="197" t="str">
        <f t="shared" si="222"/>
        <v/>
      </c>
      <c r="AI129" s="197" t="str">
        <f t="shared" si="222"/>
        <v/>
      </c>
      <c r="AJ129" s="197" t="str">
        <f t="shared" si="222"/>
        <v/>
      </c>
      <c r="AK129" s="197" t="str">
        <f t="shared" si="222"/>
        <v/>
      </c>
      <c r="AL129" s="197" t="str">
        <f t="shared" si="222"/>
        <v/>
      </c>
      <c r="AM129" s="191">
        <v>35.0</v>
      </c>
      <c r="AN129" s="197" t="str">
        <f t="shared" ref="AN129:AT129" si="223">IFERROR(INDIRECT("'Bloque "&amp;$AM$24&amp;" Semana "&amp;$AM$23&amp;"'"&amp;"!"&amp;AN$117&amp;$AU129),"")</f>
        <v/>
      </c>
      <c r="AO129" s="197" t="str">
        <f t="shared" si="223"/>
        <v/>
      </c>
      <c r="AP129" s="197" t="str">
        <f t="shared" si="223"/>
        <v/>
      </c>
      <c r="AQ129" s="197" t="str">
        <f t="shared" si="223"/>
        <v/>
      </c>
      <c r="AR129" s="197" t="str">
        <f t="shared" si="223"/>
        <v/>
      </c>
      <c r="AS129" s="197" t="str">
        <f t="shared" si="223"/>
        <v/>
      </c>
      <c r="AT129" s="197" t="str">
        <f t="shared" si="223"/>
        <v/>
      </c>
      <c r="AU129" s="191">
        <v>35.0</v>
      </c>
    </row>
    <row r="130">
      <c r="A130" s="4"/>
      <c r="B130" s="4"/>
      <c r="C130" s="4"/>
      <c r="D130" s="122"/>
      <c r="E130" s="29"/>
      <c r="F130" s="29"/>
      <c r="G130" s="29"/>
      <c r="H130" s="29"/>
      <c r="I130" s="29"/>
      <c r="J130" s="29"/>
      <c r="K130" s="29"/>
      <c r="L130" s="29"/>
      <c r="M130" s="29"/>
      <c r="N130" s="29"/>
      <c r="O130" s="4"/>
      <c r="P130" s="4"/>
      <c r="Q130" s="4"/>
      <c r="R130" s="77"/>
      <c r="V130" s="176"/>
      <c r="W130" s="176"/>
      <c r="X130" s="176"/>
      <c r="Y130" s="176"/>
      <c r="Z130" s="176"/>
      <c r="AA130" s="176"/>
      <c r="AB130" s="176"/>
      <c r="AC130" s="176"/>
      <c r="AD130" s="176"/>
      <c r="AE130" s="192"/>
      <c r="AF130" s="176"/>
      <c r="AG130" s="176"/>
      <c r="AH130" s="176"/>
      <c r="AI130" s="176"/>
      <c r="AJ130" s="176"/>
      <c r="AK130" s="176"/>
      <c r="AL130" s="176"/>
      <c r="AM130" s="192"/>
      <c r="AN130" s="176"/>
      <c r="AO130" s="176"/>
      <c r="AP130" s="176"/>
      <c r="AQ130" s="176"/>
      <c r="AR130" s="176"/>
      <c r="AU130" s="187"/>
    </row>
    <row r="131">
      <c r="A131" s="193"/>
      <c r="B131" s="193"/>
      <c r="C131" s="193"/>
      <c r="D131" s="194"/>
      <c r="E131" s="195"/>
      <c r="F131" s="195"/>
      <c r="G131" s="195"/>
      <c r="H131" s="195"/>
      <c r="I131" s="195"/>
      <c r="J131" s="195"/>
      <c r="K131" s="195"/>
      <c r="L131" s="195"/>
      <c r="M131" s="195"/>
      <c r="N131" s="195"/>
      <c r="O131" s="193"/>
      <c r="P131" s="193"/>
      <c r="Q131" s="193"/>
      <c r="R131" s="196"/>
      <c r="S131" s="187"/>
      <c r="T131" s="187"/>
      <c r="U131" s="187"/>
      <c r="V131" s="192"/>
      <c r="W131" s="192"/>
      <c r="X131" s="186" t="s">
        <v>202</v>
      </c>
      <c r="Y131" s="186" t="s">
        <v>203</v>
      </c>
      <c r="Z131" s="186" t="s">
        <v>209</v>
      </c>
      <c r="AA131" s="186" t="s">
        <v>205</v>
      </c>
      <c r="AB131" s="186" t="s">
        <v>206</v>
      </c>
      <c r="AC131" s="186" t="s">
        <v>207</v>
      </c>
      <c r="AD131" s="186" t="s">
        <v>208</v>
      </c>
      <c r="AE131" s="187"/>
      <c r="AF131" s="186" t="s">
        <v>202</v>
      </c>
      <c r="AG131" s="186" t="s">
        <v>203</v>
      </c>
      <c r="AH131" s="186" t="s">
        <v>209</v>
      </c>
      <c r="AI131" s="186" t="s">
        <v>205</v>
      </c>
      <c r="AJ131" s="186" t="s">
        <v>206</v>
      </c>
      <c r="AK131" s="186" t="s">
        <v>207</v>
      </c>
      <c r="AL131" s="186" t="s">
        <v>208</v>
      </c>
      <c r="AM131" s="187"/>
      <c r="AN131" s="186" t="s">
        <v>202</v>
      </c>
      <c r="AO131" s="186" t="s">
        <v>203</v>
      </c>
      <c r="AP131" s="186" t="s">
        <v>209</v>
      </c>
      <c r="AQ131" s="186" t="s">
        <v>205</v>
      </c>
      <c r="AR131" s="186" t="s">
        <v>206</v>
      </c>
      <c r="AS131" s="186" t="s">
        <v>207</v>
      </c>
      <c r="AT131" s="186" t="s">
        <v>208</v>
      </c>
      <c r="AU131" s="187"/>
      <c r="AV131" s="187"/>
      <c r="AW131" s="187"/>
      <c r="AX131" s="187"/>
      <c r="AY131" s="187"/>
      <c r="AZ131" s="187"/>
      <c r="BA131" s="187"/>
      <c r="BB131" s="187"/>
      <c r="BC131" s="187"/>
      <c r="BD131" s="187"/>
      <c r="BE131" s="187"/>
      <c r="BF131" s="187"/>
      <c r="BG131" s="187"/>
      <c r="BH131" s="187"/>
      <c r="BI131" s="187"/>
      <c r="BJ131" s="187"/>
      <c r="BK131" s="187"/>
      <c r="BL131" s="187"/>
      <c r="BM131" s="187"/>
      <c r="BN131" s="187"/>
      <c r="BO131" s="187"/>
      <c r="BP131" s="187"/>
      <c r="BQ131" s="187"/>
      <c r="BR131" s="187"/>
      <c r="BS131" s="187"/>
      <c r="BT131" s="187"/>
      <c r="BU131" s="187"/>
      <c r="BV131" s="187"/>
      <c r="BW131" s="187"/>
      <c r="BX131" s="187"/>
      <c r="BY131" s="187"/>
      <c r="BZ131" s="187"/>
      <c r="CA131" s="187"/>
      <c r="CB131" s="187"/>
      <c r="CC131" s="187"/>
      <c r="CD131" s="187"/>
      <c r="CE131" s="187"/>
      <c r="CF131" s="187"/>
      <c r="CG131" s="187"/>
      <c r="CH131" s="187"/>
      <c r="CI131" s="187"/>
      <c r="CJ131" s="187"/>
      <c r="CK131" s="187"/>
      <c r="CL131" s="187"/>
      <c r="CM131" s="187"/>
      <c r="CN131" s="187"/>
      <c r="CO131" s="187"/>
      <c r="CP131" s="187"/>
      <c r="CQ131" s="187"/>
      <c r="CR131" s="187"/>
      <c r="CS131" s="187"/>
      <c r="CT131" s="187"/>
      <c r="CU131" s="187"/>
      <c r="CV131" s="187"/>
      <c r="CW131" s="187"/>
      <c r="CX131" s="187"/>
      <c r="CY131" s="187"/>
      <c r="CZ131" s="187"/>
      <c r="DA131" s="187"/>
      <c r="DB131" s="187"/>
      <c r="DC131" s="187"/>
      <c r="DD131" s="187"/>
      <c r="DE131" s="187"/>
      <c r="DF131" s="187"/>
      <c r="DG131" s="187"/>
      <c r="DH131" s="187"/>
      <c r="DI131" s="187"/>
      <c r="DJ131" s="187"/>
      <c r="DK131" s="187"/>
      <c r="DL131" s="187"/>
      <c r="DM131" s="187"/>
      <c r="DN131" s="187"/>
      <c r="DO131" s="187"/>
      <c r="DP131" s="187"/>
      <c r="DQ131" s="187"/>
      <c r="DR131" s="187"/>
      <c r="DS131" s="187"/>
      <c r="DT131" s="187"/>
      <c r="DU131" s="187"/>
      <c r="DV131" s="187"/>
      <c r="DW131" s="187"/>
      <c r="DX131" s="187"/>
      <c r="DY131" s="187"/>
      <c r="DZ131" s="187"/>
      <c r="EA131" s="187"/>
      <c r="EB131" s="187"/>
      <c r="EC131" s="187"/>
      <c r="ED131" s="187"/>
      <c r="EE131" s="187"/>
      <c r="EF131" s="187"/>
      <c r="EG131" s="187"/>
      <c r="EH131" s="187"/>
      <c r="EI131" s="187"/>
      <c r="EJ131" s="187"/>
    </row>
    <row r="132">
      <c r="A132" s="4"/>
      <c r="B132" s="4"/>
      <c r="C132" s="4"/>
      <c r="D132" s="122"/>
      <c r="E132" s="29"/>
      <c r="F132" s="29"/>
      <c r="G132" s="29"/>
      <c r="H132" s="29"/>
      <c r="I132" s="29"/>
      <c r="J132" s="29"/>
      <c r="K132" s="29"/>
      <c r="L132" s="29"/>
      <c r="M132" s="29"/>
      <c r="N132" s="29"/>
      <c r="O132" s="4"/>
      <c r="P132" s="4"/>
      <c r="Q132" s="4"/>
      <c r="R132" s="77"/>
      <c r="V132" s="176"/>
      <c r="W132" s="176"/>
      <c r="X132" s="188" t="str">
        <f t="array" ref="X132">IFERROR(INDIRECT("'Bloque "&amp;$AN$24&amp;" Semana "&amp;$AN$23&amp;"'"&amp;"!"&amp;"E37"),"")</f>
        <v/>
      </c>
      <c r="AE132" s="186">
        <v>26.0</v>
      </c>
      <c r="AF132" s="188" t="str">
        <f t="array" ref="AF132">IFERROR(INDIRECT("'Bloque "&amp;$AO$24&amp;" Semana "&amp;$AO$23&amp;"'"&amp;"!"&amp;"E37"),"")</f>
        <v/>
      </c>
      <c r="AM132" s="186">
        <v>26.0</v>
      </c>
      <c r="AN132" s="188" t="str">
        <f t="array" ref="AN132">IFERROR(INDIRECT("'Bloque "&amp;$AP$24&amp;" Semana "&amp;$AP$23&amp;"'"&amp;"!"&amp;"E37"),"")</f>
        <v/>
      </c>
      <c r="AU132" s="186">
        <v>26.0</v>
      </c>
    </row>
    <row r="133">
      <c r="A133" s="4"/>
      <c r="B133" s="4"/>
      <c r="C133" s="4"/>
      <c r="D133" s="122"/>
      <c r="E133" s="29"/>
      <c r="F133" s="29"/>
      <c r="G133" s="29"/>
      <c r="H133" s="29"/>
      <c r="I133" s="29"/>
      <c r="J133" s="29"/>
      <c r="K133" s="29"/>
      <c r="L133" s="29"/>
      <c r="M133" s="29"/>
      <c r="N133" s="29"/>
      <c r="O133" s="4"/>
      <c r="P133" s="4"/>
      <c r="Q133" s="4"/>
      <c r="R133" s="77"/>
      <c r="V133" s="176"/>
      <c r="W133" s="176"/>
      <c r="X133" s="176" t="str">
        <f t="array" ref="X133">IFERROR(INDIRECT("'Bloque "&amp;$AN$24&amp;" Semana "&amp;$AN$23&amp;"'"&amp;"!"&amp;"E25"),"")</f>
        <v/>
      </c>
      <c r="AE133" s="186">
        <v>25.0</v>
      </c>
      <c r="AF133" s="176" t="str">
        <f t="array" ref="AF133">IFERROR(INDIRECT("'Bloque "&amp;$AO$24&amp;" Semana "&amp;$AO$23&amp;"'"&amp;"!"&amp;"E25"),"")</f>
        <v/>
      </c>
      <c r="AM133" s="186">
        <v>25.0</v>
      </c>
      <c r="AN133" s="176" t="str">
        <f t="array" ref="AN133">IFERROR(INDIRECT("'Bloque "&amp;$AP$24&amp;" Semana "&amp;$AP$23&amp;"'"&amp;"!"&amp;"E25"),"")</f>
        <v/>
      </c>
      <c r="AU133" s="186">
        <v>25.0</v>
      </c>
    </row>
    <row r="134">
      <c r="A134" s="4"/>
      <c r="B134" s="4"/>
      <c r="C134" s="4"/>
      <c r="D134" s="122"/>
      <c r="E134" s="29"/>
      <c r="F134" s="29"/>
      <c r="G134" s="29"/>
      <c r="H134" s="29"/>
      <c r="I134" s="29"/>
      <c r="J134" s="29"/>
      <c r="K134" s="29"/>
      <c r="L134" s="29"/>
      <c r="M134" s="29"/>
      <c r="N134" s="29"/>
      <c r="O134" s="4"/>
      <c r="P134" s="4"/>
      <c r="Q134" s="4"/>
      <c r="R134" s="77"/>
      <c r="V134" s="176"/>
      <c r="W134" s="176"/>
      <c r="X134" s="189" t="str">
        <f t="array" ref="X134">IFERROR(INDIRECT("'Bloque "&amp;$AN$24&amp;" Semana "&amp;$AN$23&amp;"'"&amp;"!"&amp;"E26"),"")</f>
        <v/>
      </c>
      <c r="AE134" s="186">
        <v>26.0</v>
      </c>
      <c r="AF134" s="189" t="str">
        <f t="array" ref="AF134">IFERROR(INDIRECT("'Bloque "&amp;$AO$24&amp;" Semana "&amp;$AO$23&amp;"'"&amp;"!"&amp;"E26"),"")</f>
        <v/>
      </c>
      <c r="AM134" s="186">
        <v>26.0</v>
      </c>
      <c r="AN134" s="189" t="str">
        <f t="array" ref="AN134">IFERROR(INDIRECT("'Bloque "&amp;$AP$24&amp;" Semana "&amp;$AP$23&amp;"'"&amp;"!"&amp;"E26"),"")</f>
        <v/>
      </c>
      <c r="AU134" s="186">
        <v>26.0</v>
      </c>
    </row>
    <row r="135">
      <c r="A135" s="4"/>
      <c r="B135" s="4"/>
      <c r="C135" s="4"/>
      <c r="D135" s="122"/>
      <c r="E135" s="29"/>
      <c r="F135" s="29"/>
      <c r="G135" s="29"/>
      <c r="H135" s="29"/>
      <c r="I135" s="29"/>
      <c r="J135" s="29"/>
      <c r="K135" s="29"/>
      <c r="L135" s="29"/>
      <c r="M135" s="29"/>
      <c r="N135" s="29"/>
      <c r="O135" s="4"/>
      <c r="P135" s="4"/>
      <c r="Q135" s="4"/>
      <c r="R135" s="77"/>
      <c r="V135" s="176"/>
      <c r="W135" s="176"/>
      <c r="X135" s="190" t="str">
        <f t="shared" ref="X135:AD135" si="224">IFERROR(INDIRECT("'Bloque "&amp;$AN$24&amp;" Semana "&amp;$AN$23&amp;"'"&amp;"!"&amp;X$131&amp;$AE135),"")</f>
        <v/>
      </c>
      <c r="Y135" s="190" t="str">
        <f t="shared" si="224"/>
        <v/>
      </c>
      <c r="Z135" s="190" t="str">
        <f t="shared" si="224"/>
        <v/>
      </c>
      <c r="AA135" s="190" t="str">
        <f t="shared" si="224"/>
        <v/>
      </c>
      <c r="AB135" s="190" t="str">
        <f t="shared" si="224"/>
        <v/>
      </c>
      <c r="AC135" s="190" t="str">
        <f t="shared" si="224"/>
        <v/>
      </c>
      <c r="AD135" s="190" t="str">
        <f t="shared" si="224"/>
        <v/>
      </c>
      <c r="AE135" s="191">
        <v>27.0</v>
      </c>
      <c r="AF135" s="190" t="str">
        <f t="shared" ref="AF135:AL135" si="225">IFERROR(INDIRECT("'Bloque "&amp;$AO$24&amp;" Semana "&amp;$AO$23&amp;"'"&amp;"!"&amp;AF$131&amp;$AM135),"")</f>
        <v/>
      </c>
      <c r="AG135" s="190" t="str">
        <f t="shared" si="225"/>
        <v/>
      </c>
      <c r="AH135" s="190" t="str">
        <f t="shared" si="225"/>
        <v/>
      </c>
      <c r="AI135" s="190" t="str">
        <f t="shared" si="225"/>
        <v/>
      </c>
      <c r="AJ135" s="190" t="str">
        <f t="shared" si="225"/>
        <v/>
      </c>
      <c r="AK135" s="190" t="str">
        <f t="shared" si="225"/>
        <v/>
      </c>
      <c r="AL135" s="190" t="str">
        <f t="shared" si="225"/>
        <v/>
      </c>
      <c r="AM135" s="191">
        <v>27.0</v>
      </c>
      <c r="AN135" s="190" t="str">
        <f t="shared" ref="AN135:AT135" si="226">IFERROR(INDIRECT("'Bloque "&amp;$AP$24&amp;" Semana "&amp;$AP$23&amp;"'"&amp;"!"&amp;AN$131&amp;$AU135),"")</f>
        <v/>
      </c>
      <c r="AO135" s="190" t="str">
        <f t="shared" si="226"/>
        <v/>
      </c>
      <c r="AP135" s="190" t="str">
        <f t="shared" si="226"/>
        <v/>
      </c>
      <c r="AQ135" s="190" t="str">
        <f t="shared" si="226"/>
        <v/>
      </c>
      <c r="AR135" s="190" t="str">
        <f t="shared" si="226"/>
        <v/>
      </c>
      <c r="AS135" s="190" t="str">
        <f t="shared" si="226"/>
        <v/>
      </c>
      <c r="AT135" s="190" t="str">
        <f t="shared" si="226"/>
        <v/>
      </c>
      <c r="AU135" s="191">
        <v>27.0</v>
      </c>
    </row>
    <row r="136">
      <c r="A136" s="4"/>
      <c r="B136" s="4"/>
      <c r="C136" s="4"/>
      <c r="D136" s="122"/>
      <c r="E136" s="29"/>
      <c r="F136" s="29"/>
      <c r="G136" s="29"/>
      <c r="H136" s="29"/>
      <c r="I136" s="29"/>
      <c r="J136" s="29"/>
      <c r="K136" s="29"/>
      <c r="L136" s="29"/>
      <c r="M136" s="29"/>
      <c r="N136" s="29"/>
      <c r="O136" s="4"/>
      <c r="P136" s="4"/>
      <c r="Q136" s="4"/>
      <c r="R136" s="77"/>
      <c r="V136" s="176"/>
      <c r="W136" s="176"/>
      <c r="X136" s="197" t="str">
        <f t="shared" ref="X136:AD136" si="227">IFERROR(INDIRECT("'Bloque "&amp;$AN$24&amp;" Semana "&amp;$AN$23&amp;"'"&amp;"!"&amp;X$131&amp;$AE136),"")</f>
        <v/>
      </c>
      <c r="Y136" s="197" t="str">
        <f t="shared" si="227"/>
        <v/>
      </c>
      <c r="Z136" s="197" t="str">
        <f t="shared" si="227"/>
        <v/>
      </c>
      <c r="AA136" s="197" t="str">
        <f t="shared" si="227"/>
        <v/>
      </c>
      <c r="AB136" s="197" t="str">
        <f t="shared" si="227"/>
        <v/>
      </c>
      <c r="AC136" s="197" t="str">
        <f t="shared" si="227"/>
        <v/>
      </c>
      <c r="AD136" s="197" t="str">
        <f t="shared" si="227"/>
        <v/>
      </c>
      <c r="AE136" s="191">
        <v>28.0</v>
      </c>
      <c r="AF136" s="197" t="str">
        <f t="shared" ref="AF136:AL136" si="228">IFERROR(INDIRECT("'Bloque "&amp;$AO$24&amp;" Semana "&amp;$AO$23&amp;"'"&amp;"!"&amp;AF$131&amp;$AM136),"")</f>
        <v/>
      </c>
      <c r="AG136" s="197" t="str">
        <f t="shared" si="228"/>
        <v/>
      </c>
      <c r="AH136" s="197" t="str">
        <f t="shared" si="228"/>
        <v/>
      </c>
      <c r="AI136" s="197" t="str">
        <f t="shared" si="228"/>
        <v/>
      </c>
      <c r="AJ136" s="197" t="str">
        <f t="shared" si="228"/>
        <v/>
      </c>
      <c r="AK136" s="197" t="str">
        <f t="shared" si="228"/>
        <v/>
      </c>
      <c r="AL136" s="197" t="str">
        <f t="shared" si="228"/>
        <v/>
      </c>
      <c r="AM136" s="191">
        <v>28.0</v>
      </c>
      <c r="AN136" s="197" t="str">
        <f t="shared" ref="AN136:AT136" si="229">IFERROR(INDIRECT("'Bloque "&amp;$AP$24&amp;" Semana "&amp;$AP$23&amp;"'"&amp;"!"&amp;AN$131&amp;$AU136),"")</f>
        <v/>
      </c>
      <c r="AO136" s="197" t="str">
        <f t="shared" si="229"/>
        <v/>
      </c>
      <c r="AP136" s="197" t="str">
        <f t="shared" si="229"/>
        <v/>
      </c>
      <c r="AQ136" s="197" t="str">
        <f t="shared" si="229"/>
        <v/>
      </c>
      <c r="AR136" s="197" t="str">
        <f t="shared" si="229"/>
        <v/>
      </c>
      <c r="AS136" s="197" t="str">
        <f t="shared" si="229"/>
        <v/>
      </c>
      <c r="AT136" s="197" t="str">
        <f t="shared" si="229"/>
        <v/>
      </c>
      <c r="AU136" s="191">
        <v>28.0</v>
      </c>
    </row>
    <row r="137">
      <c r="A137" s="4"/>
      <c r="B137" s="4"/>
      <c r="C137" s="4"/>
      <c r="D137" s="122"/>
      <c r="E137" s="29"/>
      <c r="F137" s="29"/>
      <c r="G137" s="29"/>
      <c r="H137" s="29"/>
      <c r="I137" s="29"/>
      <c r="J137" s="29"/>
      <c r="K137" s="29"/>
      <c r="L137" s="29"/>
      <c r="M137" s="29"/>
      <c r="N137" s="29"/>
      <c r="O137" s="4"/>
      <c r="P137" s="4"/>
      <c r="Q137" s="4"/>
      <c r="R137" s="77"/>
      <c r="V137" s="176"/>
      <c r="W137" s="176"/>
      <c r="X137" s="197" t="str">
        <f t="shared" ref="X137:AD137" si="230">IFERROR(INDIRECT("'Bloque "&amp;$AN$24&amp;" Semana "&amp;$AN$23&amp;"'"&amp;"!"&amp;X$131&amp;$AE137),"")</f>
        <v/>
      </c>
      <c r="Y137" s="197" t="str">
        <f t="shared" si="230"/>
        <v/>
      </c>
      <c r="Z137" s="197" t="str">
        <f t="shared" si="230"/>
        <v/>
      </c>
      <c r="AA137" s="197" t="str">
        <f t="shared" si="230"/>
        <v/>
      </c>
      <c r="AB137" s="197" t="str">
        <f t="shared" si="230"/>
        <v/>
      </c>
      <c r="AC137" s="197" t="str">
        <f t="shared" si="230"/>
        <v/>
      </c>
      <c r="AD137" s="197" t="str">
        <f t="shared" si="230"/>
        <v/>
      </c>
      <c r="AE137" s="191">
        <v>29.0</v>
      </c>
      <c r="AF137" s="197" t="str">
        <f t="shared" ref="AF137:AL137" si="231">IFERROR(INDIRECT("'Bloque "&amp;$AO$24&amp;" Semana "&amp;$AO$23&amp;"'"&amp;"!"&amp;AF$131&amp;$AM137),"")</f>
        <v/>
      </c>
      <c r="AG137" s="197" t="str">
        <f t="shared" si="231"/>
        <v/>
      </c>
      <c r="AH137" s="197" t="str">
        <f t="shared" si="231"/>
        <v/>
      </c>
      <c r="AI137" s="197" t="str">
        <f t="shared" si="231"/>
        <v/>
      </c>
      <c r="AJ137" s="197" t="str">
        <f t="shared" si="231"/>
        <v/>
      </c>
      <c r="AK137" s="197" t="str">
        <f t="shared" si="231"/>
        <v/>
      </c>
      <c r="AL137" s="197" t="str">
        <f t="shared" si="231"/>
        <v/>
      </c>
      <c r="AM137" s="191">
        <v>29.0</v>
      </c>
      <c r="AN137" s="197" t="str">
        <f t="shared" ref="AN137:AT137" si="232">IFERROR(INDIRECT("'Bloque "&amp;$AP$24&amp;" Semana "&amp;$AP$23&amp;"'"&amp;"!"&amp;AN$131&amp;$AU137),"")</f>
        <v/>
      </c>
      <c r="AO137" s="197" t="str">
        <f t="shared" si="232"/>
        <v/>
      </c>
      <c r="AP137" s="197" t="str">
        <f t="shared" si="232"/>
        <v/>
      </c>
      <c r="AQ137" s="197" t="str">
        <f t="shared" si="232"/>
        <v/>
      </c>
      <c r="AR137" s="197" t="str">
        <f t="shared" si="232"/>
        <v/>
      </c>
      <c r="AS137" s="197" t="str">
        <f t="shared" si="232"/>
        <v/>
      </c>
      <c r="AT137" s="197" t="str">
        <f t="shared" si="232"/>
        <v/>
      </c>
      <c r="AU137" s="191">
        <v>29.0</v>
      </c>
    </row>
    <row r="138">
      <c r="A138" s="4"/>
      <c r="B138" s="4"/>
      <c r="C138" s="4"/>
      <c r="D138" s="122"/>
      <c r="E138" s="29"/>
      <c r="F138" s="29"/>
      <c r="G138" s="29"/>
      <c r="H138" s="29"/>
      <c r="I138" s="29"/>
      <c r="J138" s="29"/>
      <c r="K138" s="29"/>
      <c r="L138" s="29"/>
      <c r="M138" s="29"/>
      <c r="N138" s="29"/>
      <c r="O138" s="4"/>
      <c r="P138" s="4"/>
      <c r="Q138" s="4"/>
      <c r="R138" s="77"/>
      <c r="V138" s="176"/>
      <c r="W138" s="176"/>
      <c r="X138" s="197" t="str">
        <f t="shared" ref="X138:AD138" si="233">IFERROR(INDIRECT("'Bloque "&amp;$AN$24&amp;" Semana "&amp;$AN$23&amp;"'"&amp;"!"&amp;X$131&amp;$AE138),"")</f>
        <v/>
      </c>
      <c r="Y138" s="197" t="str">
        <f t="shared" si="233"/>
        <v/>
      </c>
      <c r="Z138" s="197" t="str">
        <f t="shared" si="233"/>
        <v/>
      </c>
      <c r="AA138" s="197" t="str">
        <f t="shared" si="233"/>
        <v/>
      </c>
      <c r="AB138" s="197" t="str">
        <f t="shared" si="233"/>
        <v/>
      </c>
      <c r="AC138" s="197" t="str">
        <f t="shared" si="233"/>
        <v/>
      </c>
      <c r="AD138" s="197" t="str">
        <f t="shared" si="233"/>
        <v/>
      </c>
      <c r="AE138" s="191">
        <v>30.0</v>
      </c>
      <c r="AF138" s="197" t="str">
        <f t="shared" ref="AF138:AL138" si="234">IFERROR(INDIRECT("'Bloque "&amp;$AO$24&amp;" Semana "&amp;$AO$23&amp;"'"&amp;"!"&amp;AF$131&amp;$AM138),"")</f>
        <v/>
      </c>
      <c r="AG138" s="197" t="str">
        <f t="shared" si="234"/>
        <v/>
      </c>
      <c r="AH138" s="197" t="str">
        <f t="shared" si="234"/>
        <v/>
      </c>
      <c r="AI138" s="197" t="str">
        <f t="shared" si="234"/>
        <v/>
      </c>
      <c r="AJ138" s="197" t="str">
        <f t="shared" si="234"/>
        <v/>
      </c>
      <c r="AK138" s="197" t="str">
        <f t="shared" si="234"/>
        <v/>
      </c>
      <c r="AL138" s="197" t="str">
        <f t="shared" si="234"/>
        <v/>
      </c>
      <c r="AM138" s="191">
        <v>30.0</v>
      </c>
      <c r="AN138" s="197" t="str">
        <f t="shared" ref="AN138:AT138" si="235">IFERROR(INDIRECT("'Bloque "&amp;$AP$24&amp;" Semana "&amp;$AP$23&amp;"'"&amp;"!"&amp;AN$131&amp;$AU138),"")</f>
        <v/>
      </c>
      <c r="AO138" s="197" t="str">
        <f t="shared" si="235"/>
        <v/>
      </c>
      <c r="AP138" s="197" t="str">
        <f t="shared" si="235"/>
        <v/>
      </c>
      <c r="AQ138" s="197" t="str">
        <f t="shared" si="235"/>
        <v/>
      </c>
      <c r="AR138" s="197" t="str">
        <f t="shared" si="235"/>
        <v/>
      </c>
      <c r="AS138" s="197" t="str">
        <f t="shared" si="235"/>
        <v/>
      </c>
      <c r="AT138" s="197" t="str">
        <f t="shared" si="235"/>
        <v/>
      </c>
      <c r="AU138" s="191">
        <v>30.0</v>
      </c>
    </row>
    <row r="139">
      <c r="A139" s="4"/>
      <c r="B139" s="4"/>
      <c r="C139" s="4"/>
      <c r="D139" s="122"/>
      <c r="E139" s="29"/>
      <c r="F139" s="29"/>
      <c r="G139" s="29"/>
      <c r="H139" s="29"/>
      <c r="I139" s="29"/>
      <c r="J139" s="29"/>
      <c r="K139" s="29"/>
      <c r="L139" s="29"/>
      <c r="M139" s="29"/>
      <c r="N139" s="29"/>
      <c r="O139" s="4"/>
      <c r="P139" s="4"/>
      <c r="Q139" s="4"/>
      <c r="R139" s="77"/>
      <c r="V139" s="176"/>
      <c r="W139" s="176"/>
      <c r="X139" s="197" t="str">
        <f t="shared" ref="X139:AD139" si="236">IFERROR(INDIRECT("'Bloque "&amp;$AN$24&amp;" Semana "&amp;$AN$23&amp;"'"&amp;"!"&amp;X$131&amp;$AE139),"")</f>
        <v/>
      </c>
      <c r="Y139" s="197" t="str">
        <f t="shared" si="236"/>
        <v/>
      </c>
      <c r="Z139" s="197" t="str">
        <f t="shared" si="236"/>
        <v/>
      </c>
      <c r="AA139" s="197" t="str">
        <f t="shared" si="236"/>
        <v/>
      </c>
      <c r="AB139" s="197" t="str">
        <f t="shared" si="236"/>
        <v/>
      </c>
      <c r="AC139" s="197" t="str">
        <f t="shared" si="236"/>
        <v/>
      </c>
      <c r="AD139" s="197" t="str">
        <f t="shared" si="236"/>
        <v/>
      </c>
      <c r="AE139" s="191">
        <v>31.0</v>
      </c>
      <c r="AF139" s="197" t="str">
        <f t="shared" ref="AF139:AL139" si="237">IFERROR(INDIRECT("'Bloque "&amp;$AO$24&amp;" Semana "&amp;$AO$23&amp;"'"&amp;"!"&amp;AF$131&amp;$AM139),"")</f>
        <v/>
      </c>
      <c r="AG139" s="197" t="str">
        <f t="shared" si="237"/>
        <v/>
      </c>
      <c r="AH139" s="197" t="str">
        <f t="shared" si="237"/>
        <v/>
      </c>
      <c r="AI139" s="197" t="str">
        <f t="shared" si="237"/>
        <v/>
      </c>
      <c r="AJ139" s="197" t="str">
        <f t="shared" si="237"/>
        <v/>
      </c>
      <c r="AK139" s="197" t="str">
        <f t="shared" si="237"/>
        <v/>
      </c>
      <c r="AL139" s="197" t="str">
        <f t="shared" si="237"/>
        <v/>
      </c>
      <c r="AM139" s="191">
        <v>31.0</v>
      </c>
      <c r="AN139" s="197" t="str">
        <f t="shared" ref="AN139:AT139" si="238">IFERROR(INDIRECT("'Bloque "&amp;$AP$24&amp;" Semana "&amp;$AP$23&amp;"'"&amp;"!"&amp;AN$131&amp;$AU139),"")</f>
        <v/>
      </c>
      <c r="AO139" s="197" t="str">
        <f t="shared" si="238"/>
        <v/>
      </c>
      <c r="AP139" s="197" t="str">
        <f t="shared" si="238"/>
        <v/>
      </c>
      <c r="AQ139" s="197" t="str">
        <f t="shared" si="238"/>
        <v/>
      </c>
      <c r="AR139" s="197" t="str">
        <f t="shared" si="238"/>
        <v/>
      </c>
      <c r="AS139" s="197" t="str">
        <f t="shared" si="238"/>
        <v/>
      </c>
      <c r="AT139" s="197" t="str">
        <f t="shared" si="238"/>
        <v/>
      </c>
      <c r="AU139" s="191">
        <v>31.0</v>
      </c>
    </row>
    <row r="140">
      <c r="A140" s="4"/>
      <c r="B140" s="4"/>
      <c r="C140" s="4"/>
      <c r="D140" s="122"/>
      <c r="E140" s="29"/>
      <c r="F140" s="29"/>
      <c r="G140" s="29"/>
      <c r="H140" s="29"/>
      <c r="I140" s="29"/>
      <c r="J140" s="29"/>
      <c r="K140" s="29"/>
      <c r="L140" s="29"/>
      <c r="M140" s="29"/>
      <c r="N140" s="29"/>
      <c r="O140" s="4"/>
      <c r="P140" s="4"/>
      <c r="Q140" s="4"/>
      <c r="R140" s="77"/>
      <c r="V140" s="176"/>
      <c r="W140" s="176"/>
      <c r="X140" s="197" t="str">
        <f t="shared" ref="X140:AD140" si="239">IFERROR(INDIRECT("'Bloque "&amp;$AN$24&amp;" Semana "&amp;$AN$23&amp;"'"&amp;"!"&amp;X$131&amp;$AE140),"")</f>
        <v/>
      </c>
      <c r="Y140" s="197" t="str">
        <f t="shared" si="239"/>
        <v/>
      </c>
      <c r="Z140" s="197" t="str">
        <f t="shared" si="239"/>
        <v/>
      </c>
      <c r="AA140" s="197" t="str">
        <f t="shared" si="239"/>
        <v/>
      </c>
      <c r="AB140" s="197" t="str">
        <f t="shared" si="239"/>
        <v/>
      </c>
      <c r="AC140" s="197" t="str">
        <f t="shared" si="239"/>
        <v/>
      </c>
      <c r="AD140" s="197" t="str">
        <f t="shared" si="239"/>
        <v/>
      </c>
      <c r="AE140" s="191">
        <v>32.0</v>
      </c>
      <c r="AF140" s="197" t="str">
        <f t="shared" ref="AF140:AL140" si="240">IFERROR(INDIRECT("'Bloque "&amp;$AO$24&amp;" Semana "&amp;$AO$23&amp;"'"&amp;"!"&amp;AF$131&amp;$AM140),"")</f>
        <v/>
      </c>
      <c r="AG140" s="197" t="str">
        <f t="shared" si="240"/>
        <v/>
      </c>
      <c r="AH140" s="197" t="str">
        <f t="shared" si="240"/>
        <v/>
      </c>
      <c r="AI140" s="197" t="str">
        <f t="shared" si="240"/>
        <v/>
      </c>
      <c r="AJ140" s="197" t="str">
        <f t="shared" si="240"/>
        <v/>
      </c>
      <c r="AK140" s="197" t="str">
        <f t="shared" si="240"/>
        <v/>
      </c>
      <c r="AL140" s="197" t="str">
        <f t="shared" si="240"/>
        <v/>
      </c>
      <c r="AM140" s="191">
        <v>32.0</v>
      </c>
      <c r="AN140" s="197" t="str">
        <f t="shared" ref="AN140:AT140" si="241">IFERROR(INDIRECT("'Bloque "&amp;$AP$24&amp;" Semana "&amp;$AP$23&amp;"'"&amp;"!"&amp;AN$131&amp;$AU140),"")</f>
        <v/>
      </c>
      <c r="AO140" s="197" t="str">
        <f t="shared" si="241"/>
        <v/>
      </c>
      <c r="AP140" s="197" t="str">
        <f t="shared" si="241"/>
        <v/>
      </c>
      <c r="AQ140" s="197" t="str">
        <f t="shared" si="241"/>
        <v/>
      </c>
      <c r="AR140" s="197" t="str">
        <f t="shared" si="241"/>
        <v/>
      </c>
      <c r="AS140" s="197" t="str">
        <f t="shared" si="241"/>
        <v/>
      </c>
      <c r="AT140" s="197" t="str">
        <f t="shared" si="241"/>
        <v/>
      </c>
      <c r="AU140" s="191">
        <v>32.0</v>
      </c>
    </row>
    <row r="141">
      <c r="A141" s="4"/>
      <c r="B141" s="4"/>
      <c r="C141" s="4"/>
      <c r="D141" s="122"/>
      <c r="E141" s="29"/>
      <c r="F141" s="29"/>
      <c r="G141" s="29"/>
      <c r="H141" s="29"/>
      <c r="I141" s="29"/>
      <c r="J141" s="29"/>
      <c r="K141" s="29"/>
      <c r="L141" s="29"/>
      <c r="M141" s="29"/>
      <c r="N141" s="29"/>
      <c r="O141" s="4"/>
      <c r="P141" s="4"/>
      <c r="Q141" s="4"/>
      <c r="R141" s="77"/>
      <c r="V141" s="176"/>
      <c r="W141" s="176"/>
      <c r="X141" s="197" t="str">
        <f t="shared" ref="X141:AD141" si="242">IFERROR(INDIRECT("'Bloque "&amp;$AN$24&amp;" Semana "&amp;$AN$23&amp;"'"&amp;"!"&amp;X$131&amp;$AE141),"")</f>
        <v/>
      </c>
      <c r="Y141" s="197" t="str">
        <f t="shared" si="242"/>
        <v/>
      </c>
      <c r="Z141" s="197" t="str">
        <f t="shared" si="242"/>
        <v/>
      </c>
      <c r="AA141" s="197" t="str">
        <f t="shared" si="242"/>
        <v/>
      </c>
      <c r="AB141" s="197" t="str">
        <f t="shared" si="242"/>
        <v/>
      </c>
      <c r="AC141" s="197" t="str">
        <f t="shared" si="242"/>
        <v/>
      </c>
      <c r="AD141" s="197" t="str">
        <f t="shared" si="242"/>
        <v/>
      </c>
      <c r="AE141" s="191">
        <v>33.0</v>
      </c>
      <c r="AF141" s="197" t="str">
        <f t="shared" ref="AF141:AL141" si="243">IFERROR(INDIRECT("'Bloque "&amp;$AO$24&amp;" Semana "&amp;$AO$23&amp;"'"&amp;"!"&amp;AF$131&amp;$AM141),"")</f>
        <v/>
      </c>
      <c r="AG141" s="197" t="str">
        <f t="shared" si="243"/>
        <v/>
      </c>
      <c r="AH141" s="197" t="str">
        <f t="shared" si="243"/>
        <v/>
      </c>
      <c r="AI141" s="197" t="str">
        <f t="shared" si="243"/>
        <v/>
      </c>
      <c r="AJ141" s="197" t="str">
        <f t="shared" si="243"/>
        <v/>
      </c>
      <c r="AK141" s="197" t="str">
        <f t="shared" si="243"/>
        <v/>
      </c>
      <c r="AL141" s="197" t="str">
        <f t="shared" si="243"/>
        <v/>
      </c>
      <c r="AM141" s="191">
        <v>33.0</v>
      </c>
      <c r="AN141" s="197" t="str">
        <f t="shared" ref="AN141:AT141" si="244">IFERROR(INDIRECT("'Bloque "&amp;$AP$24&amp;" Semana "&amp;$AP$23&amp;"'"&amp;"!"&amp;AN$131&amp;$AU141),"")</f>
        <v/>
      </c>
      <c r="AO141" s="197" t="str">
        <f t="shared" si="244"/>
        <v/>
      </c>
      <c r="AP141" s="197" t="str">
        <f t="shared" si="244"/>
        <v/>
      </c>
      <c r="AQ141" s="197" t="str">
        <f t="shared" si="244"/>
        <v/>
      </c>
      <c r="AR141" s="197" t="str">
        <f t="shared" si="244"/>
        <v/>
      </c>
      <c r="AS141" s="197" t="str">
        <f t="shared" si="244"/>
        <v/>
      </c>
      <c r="AT141" s="197" t="str">
        <f t="shared" si="244"/>
        <v/>
      </c>
      <c r="AU141" s="191">
        <v>33.0</v>
      </c>
    </row>
    <row r="142">
      <c r="A142" s="4"/>
      <c r="B142" s="4"/>
      <c r="C142" s="4"/>
      <c r="D142" s="122"/>
      <c r="E142" s="29"/>
      <c r="F142" s="29"/>
      <c r="G142" s="29"/>
      <c r="H142" s="29"/>
      <c r="I142" s="29"/>
      <c r="J142" s="29"/>
      <c r="K142" s="29"/>
      <c r="L142" s="29"/>
      <c r="M142" s="29"/>
      <c r="N142" s="29"/>
      <c r="O142" s="4"/>
      <c r="P142" s="4"/>
      <c r="Q142" s="4"/>
      <c r="R142" s="77"/>
      <c r="V142" s="176"/>
      <c r="W142" s="176"/>
      <c r="X142" s="197" t="str">
        <f t="shared" ref="X142:AD142" si="245">IFERROR(INDIRECT("'Bloque "&amp;$AN$24&amp;" Semana "&amp;$AN$23&amp;"'"&amp;"!"&amp;X$131&amp;$AE142),"")</f>
        <v/>
      </c>
      <c r="Y142" s="197" t="str">
        <f t="shared" si="245"/>
        <v/>
      </c>
      <c r="Z142" s="197" t="str">
        <f t="shared" si="245"/>
        <v/>
      </c>
      <c r="AA142" s="197" t="str">
        <f t="shared" si="245"/>
        <v/>
      </c>
      <c r="AB142" s="197" t="str">
        <f t="shared" si="245"/>
        <v/>
      </c>
      <c r="AC142" s="197" t="str">
        <f t="shared" si="245"/>
        <v/>
      </c>
      <c r="AD142" s="197" t="str">
        <f t="shared" si="245"/>
        <v/>
      </c>
      <c r="AE142" s="191">
        <v>34.0</v>
      </c>
      <c r="AF142" s="197" t="str">
        <f t="shared" ref="AF142:AL142" si="246">IFERROR(INDIRECT("'Bloque "&amp;$AO$24&amp;" Semana "&amp;$AO$23&amp;"'"&amp;"!"&amp;AF$131&amp;$AM142),"")</f>
        <v/>
      </c>
      <c r="AG142" s="197" t="str">
        <f t="shared" si="246"/>
        <v/>
      </c>
      <c r="AH142" s="197" t="str">
        <f t="shared" si="246"/>
        <v/>
      </c>
      <c r="AI142" s="197" t="str">
        <f t="shared" si="246"/>
        <v/>
      </c>
      <c r="AJ142" s="197" t="str">
        <f t="shared" si="246"/>
        <v/>
      </c>
      <c r="AK142" s="197" t="str">
        <f t="shared" si="246"/>
        <v/>
      </c>
      <c r="AL142" s="197" t="str">
        <f t="shared" si="246"/>
        <v/>
      </c>
      <c r="AM142" s="191">
        <v>34.0</v>
      </c>
      <c r="AN142" s="197" t="str">
        <f t="shared" ref="AN142:AT142" si="247">IFERROR(INDIRECT("'Bloque "&amp;$AP$24&amp;" Semana "&amp;$AP$23&amp;"'"&amp;"!"&amp;AN$131&amp;$AU142),"")</f>
        <v/>
      </c>
      <c r="AO142" s="197" t="str">
        <f t="shared" si="247"/>
        <v/>
      </c>
      <c r="AP142" s="197" t="str">
        <f t="shared" si="247"/>
        <v/>
      </c>
      <c r="AQ142" s="197" t="str">
        <f t="shared" si="247"/>
        <v/>
      </c>
      <c r="AR142" s="197" t="str">
        <f t="shared" si="247"/>
        <v/>
      </c>
      <c r="AS142" s="197" t="str">
        <f t="shared" si="247"/>
        <v/>
      </c>
      <c r="AT142" s="197" t="str">
        <f t="shared" si="247"/>
        <v/>
      </c>
      <c r="AU142" s="191">
        <v>34.0</v>
      </c>
    </row>
    <row r="143">
      <c r="A143" s="4"/>
      <c r="B143" s="4"/>
      <c r="C143" s="4"/>
      <c r="D143" s="122"/>
      <c r="E143" s="29"/>
      <c r="F143" s="29"/>
      <c r="G143" s="29"/>
      <c r="H143" s="29"/>
      <c r="I143" s="29"/>
      <c r="J143" s="29"/>
      <c r="K143" s="29"/>
      <c r="L143" s="29"/>
      <c r="M143" s="29"/>
      <c r="N143" s="29"/>
      <c r="O143" s="4"/>
      <c r="P143" s="4"/>
      <c r="Q143" s="4"/>
      <c r="R143" s="77"/>
      <c r="V143" s="176"/>
      <c r="W143" s="176"/>
      <c r="X143" s="197" t="str">
        <f t="shared" ref="X143:AD143" si="248">IFERROR(INDIRECT("'Bloque "&amp;$AN$24&amp;" Semana "&amp;$AN$23&amp;"'"&amp;"!"&amp;X$131&amp;$AE143),"")</f>
        <v/>
      </c>
      <c r="Y143" s="197" t="str">
        <f t="shared" si="248"/>
        <v/>
      </c>
      <c r="Z143" s="197" t="str">
        <f t="shared" si="248"/>
        <v/>
      </c>
      <c r="AA143" s="197" t="str">
        <f t="shared" si="248"/>
        <v/>
      </c>
      <c r="AB143" s="197" t="str">
        <f t="shared" si="248"/>
        <v/>
      </c>
      <c r="AC143" s="197" t="str">
        <f t="shared" si="248"/>
        <v/>
      </c>
      <c r="AD143" s="197" t="str">
        <f t="shared" si="248"/>
        <v/>
      </c>
      <c r="AE143" s="191">
        <v>35.0</v>
      </c>
      <c r="AF143" s="197" t="str">
        <f t="shared" ref="AF143:AL143" si="249">IFERROR(INDIRECT("'Bloque "&amp;$AO$24&amp;" Semana "&amp;$AO$23&amp;"'"&amp;"!"&amp;AF$131&amp;$AM143),"")</f>
        <v/>
      </c>
      <c r="AG143" s="197" t="str">
        <f t="shared" si="249"/>
        <v/>
      </c>
      <c r="AH143" s="197" t="str">
        <f t="shared" si="249"/>
        <v/>
      </c>
      <c r="AI143" s="197" t="str">
        <f t="shared" si="249"/>
        <v/>
      </c>
      <c r="AJ143" s="197" t="str">
        <f t="shared" si="249"/>
        <v/>
      </c>
      <c r="AK143" s="197" t="str">
        <f t="shared" si="249"/>
        <v/>
      </c>
      <c r="AL143" s="197" t="str">
        <f t="shared" si="249"/>
        <v/>
      </c>
      <c r="AM143" s="191">
        <v>35.0</v>
      </c>
      <c r="AN143" s="197" t="str">
        <f t="shared" ref="AN143:AT143" si="250">IFERROR(INDIRECT("'Bloque "&amp;$AP$24&amp;" Semana "&amp;$AP$23&amp;"'"&amp;"!"&amp;AN$131&amp;$AU143),"")</f>
        <v/>
      </c>
      <c r="AO143" s="197" t="str">
        <f t="shared" si="250"/>
        <v/>
      </c>
      <c r="AP143" s="197" t="str">
        <f t="shared" si="250"/>
        <v/>
      </c>
      <c r="AQ143" s="197" t="str">
        <f t="shared" si="250"/>
        <v/>
      </c>
      <c r="AR143" s="197" t="str">
        <f t="shared" si="250"/>
        <v/>
      </c>
      <c r="AS143" s="197" t="str">
        <f t="shared" si="250"/>
        <v/>
      </c>
      <c r="AT143" s="197" t="str">
        <f t="shared" si="250"/>
        <v/>
      </c>
      <c r="AU143" s="191">
        <v>35.0</v>
      </c>
    </row>
    <row r="144">
      <c r="A144" s="4"/>
      <c r="B144" s="4"/>
      <c r="C144" s="4"/>
      <c r="D144" s="122"/>
      <c r="E144" s="29"/>
      <c r="F144" s="29"/>
      <c r="G144" s="29"/>
      <c r="H144" s="29"/>
      <c r="I144" s="29"/>
      <c r="J144" s="29"/>
      <c r="K144" s="29"/>
      <c r="L144" s="29"/>
      <c r="M144" s="29"/>
      <c r="N144" s="29"/>
      <c r="O144" s="4"/>
      <c r="P144" s="4"/>
      <c r="Q144" s="4"/>
      <c r="R144" s="77"/>
      <c r="V144" s="176"/>
      <c r="W144" s="176"/>
      <c r="X144" s="176"/>
      <c r="Y144" s="176"/>
      <c r="Z144" s="176"/>
      <c r="AA144" s="176"/>
      <c r="AB144" s="176"/>
      <c r="AC144" s="176"/>
      <c r="AD144" s="176"/>
      <c r="AE144" s="192"/>
      <c r="AF144" s="176"/>
      <c r="AG144" s="176"/>
      <c r="AH144" s="176"/>
      <c r="AI144" s="176"/>
      <c r="AJ144" s="176"/>
      <c r="AK144" s="176"/>
      <c r="AL144" s="176"/>
      <c r="AM144" s="192"/>
      <c r="AN144" s="176"/>
      <c r="AO144" s="176"/>
      <c r="AP144" s="176"/>
      <c r="AQ144" s="176"/>
      <c r="AR144" s="176"/>
      <c r="AU144" s="187"/>
    </row>
    <row r="145">
      <c r="A145" s="193"/>
      <c r="B145" s="193"/>
      <c r="C145" s="193"/>
      <c r="D145" s="194"/>
      <c r="E145" s="195"/>
      <c r="F145" s="195"/>
      <c r="G145" s="195"/>
      <c r="H145" s="195"/>
      <c r="I145" s="195"/>
      <c r="J145" s="195"/>
      <c r="K145" s="195"/>
      <c r="L145" s="195"/>
      <c r="M145" s="195"/>
      <c r="N145" s="195"/>
      <c r="O145" s="193"/>
      <c r="P145" s="193"/>
      <c r="Q145" s="193"/>
      <c r="R145" s="196"/>
      <c r="S145" s="187"/>
      <c r="T145" s="187"/>
      <c r="U145" s="187"/>
      <c r="V145" s="192"/>
      <c r="W145" s="192"/>
      <c r="X145" s="186" t="s">
        <v>202</v>
      </c>
      <c r="Y145" s="186" t="s">
        <v>203</v>
      </c>
      <c r="Z145" s="186" t="s">
        <v>209</v>
      </c>
      <c r="AA145" s="186" t="s">
        <v>205</v>
      </c>
      <c r="AB145" s="186" t="s">
        <v>206</v>
      </c>
      <c r="AC145" s="186" t="s">
        <v>207</v>
      </c>
      <c r="AD145" s="186" t="s">
        <v>208</v>
      </c>
      <c r="AE145" s="187"/>
      <c r="AF145" s="186" t="s">
        <v>202</v>
      </c>
      <c r="AG145" s="186" t="s">
        <v>203</v>
      </c>
      <c r="AH145" s="186" t="s">
        <v>209</v>
      </c>
      <c r="AI145" s="186" t="s">
        <v>205</v>
      </c>
      <c r="AJ145" s="186" t="s">
        <v>206</v>
      </c>
      <c r="AK145" s="186" t="s">
        <v>207</v>
      </c>
      <c r="AL145" s="186" t="s">
        <v>208</v>
      </c>
      <c r="AM145" s="187"/>
      <c r="AN145" s="186" t="s">
        <v>202</v>
      </c>
      <c r="AO145" s="186" t="s">
        <v>203</v>
      </c>
      <c r="AP145" s="186" t="s">
        <v>209</v>
      </c>
      <c r="AQ145" s="186" t="s">
        <v>205</v>
      </c>
      <c r="AR145" s="186" t="s">
        <v>206</v>
      </c>
      <c r="AS145" s="186" t="s">
        <v>207</v>
      </c>
      <c r="AT145" s="186" t="s">
        <v>208</v>
      </c>
      <c r="AU145" s="187"/>
      <c r="AV145" s="187"/>
      <c r="AW145" s="187"/>
      <c r="AX145" s="187"/>
      <c r="AY145" s="187"/>
      <c r="AZ145" s="187"/>
      <c r="BA145" s="187"/>
      <c r="BB145" s="187"/>
      <c r="BC145" s="187"/>
      <c r="BD145" s="187"/>
      <c r="BE145" s="187"/>
      <c r="BF145" s="187"/>
      <c r="BG145" s="187"/>
      <c r="BH145" s="187"/>
      <c r="BI145" s="187"/>
      <c r="BJ145" s="187"/>
      <c r="BK145" s="187"/>
      <c r="BL145" s="187"/>
      <c r="BM145" s="187"/>
      <c r="BN145" s="187"/>
      <c r="BO145" s="187"/>
      <c r="BP145" s="187"/>
      <c r="BQ145" s="187"/>
      <c r="BR145" s="187"/>
      <c r="BS145" s="187"/>
      <c r="BT145" s="187"/>
      <c r="BU145" s="187"/>
      <c r="BV145" s="187"/>
      <c r="BW145" s="187"/>
      <c r="BX145" s="187"/>
      <c r="BY145" s="187"/>
      <c r="BZ145" s="187"/>
      <c r="CA145" s="187"/>
      <c r="CB145" s="187"/>
      <c r="CC145" s="187"/>
      <c r="CD145" s="187"/>
      <c r="CE145" s="187"/>
      <c r="CF145" s="187"/>
      <c r="CG145" s="187"/>
      <c r="CH145" s="187"/>
      <c r="CI145" s="187"/>
      <c r="CJ145" s="187"/>
      <c r="CK145" s="187"/>
      <c r="CL145" s="187"/>
      <c r="CM145" s="187"/>
      <c r="CN145" s="187"/>
      <c r="CO145" s="187"/>
      <c r="CP145" s="187"/>
      <c r="CQ145" s="187"/>
      <c r="CR145" s="187"/>
      <c r="CS145" s="187"/>
      <c r="CT145" s="187"/>
      <c r="CU145" s="187"/>
      <c r="CV145" s="187"/>
      <c r="CW145" s="187"/>
      <c r="CX145" s="187"/>
      <c r="CY145" s="187"/>
      <c r="CZ145" s="187"/>
      <c r="DA145" s="187"/>
      <c r="DB145" s="187"/>
      <c r="DC145" s="187"/>
      <c r="DD145" s="187"/>
      <c r="DE145" s="187"/>
      <c r="DF145" s="187"/>
      <c r="DG145" s="187"/>
      <c r="DH145" s="187"/>
      <c r="DI145" s="187"/>
      <c r="DJ145" s="187"/>
      <c r="DK145" s="187"/>
      <c r="DL145" s="187"/>
      <c r="DM145" s="187"/>
      <c r="DN145" s="187"/>
      <c r="DO145" s="187"/>
      <c r="DP145" s="187"/>
      <c r="DQ145" s="187"/>
      <c r="DR145" s="187"/>
      <c r="DS145" s="187"/>
      <c r="DT145" s="187"/>
      <c r="DU145" s="187"/>
      <c r="DV145" s="187"/>
      <c r="DW145" s="187"/>
      <c r="DX145" s="187"/>
      <c r="DY145" s="187"/>
      <c r="DZ145" s="187"/>
      <c r="EA145" s="187"/>
      <c r="EB145" s="187"/>
      <c r="EC145" s="187"/>
      <c r="ED145" s="187"/>
      <c r="EE145" s="187"/>
      <c r="EF145" s="187"/>
      <c r="EG145" s="187"/>
      <c r="EH145" s="187"/>
      <c r="EI145" s="187"/>
      <c r="EJ145" s="187"/>
    </row>
    <row r="146">
      <c r="A146" s="4"/>
      <c r="B146" s="4"/>
      <c r="C146" s="4"/>
      <c r="D146" s="122"/>
      <c r="E146" s="29"/>
      <c r="F146" s="29"/>
      <c r="G146" s="29"/>
      <c r="H146" s="29"/>
      <c r="I146" s="29"/>
      <c r="J146" s="29"/>
      <c r="K146" s="29"/>
      <c r="L146" s="29"/>
      <c r="M146" s="29"/>
      <c r="N146" s="29"/>
      <c r="O146" s="4"/>
      <c r="P146" s="4"/>
      <c r="Q146" s="4"/>
      <c r="R146" s="77"/>
      <c r="V146" s="176"/>
      <c r="W146" s="176"/>
      <c r="X146" s="188" t="str">
        <f t="array" ref="X146">IFERROR(INDIRECT("'Bloque "&amp;$AQ$24&amp;" Semana "&amp;$AQ$23&amp;"'"&amp;"!"&amp;"E37"),"")</f>
        <v/>
      </c>
      <c r="AE146" s="186">
        <v>26.0</v>
      </c>
      <c r="AF146" s="188" t="str">
        <f t="array" ref="AF146">IFERROR(INDIRECT("'Bloque "&amp;$AR$24&amp;" Semana "&amp;$AR$23&amp;"'"&amp;"!"&amp;"E37"),"")</f>
        <v/>
      </c>
      <c r="AM146" s="186">
        <v>26.0</v>
      </c>
      <c r="AN146" s="188" t="str">
        <f t="array" ref="AN146">IFERROR(INDIRECT("'Bloque "&amp;$AS$24&amp;" Semana "&amp;$AS$23&amp;"'"&amp;"!"&amp;"E37"),"")</f>
        <v/>
      </c>
      <c r="AU146" s="186">
        <v>26.0</v>
      </c>
    </row>
    <row r="147">
      <c r="A147" s="4"/>
      <c r="B147" s="4"/>
      <c r="C147" s="4"/>
      <c r="D147" s="122"/>
      <c r="E147" s="29"/>
      <c r="F147" s="29"/>
      <c r="G147" s="29"/>
      <c r="H147" s="29"/>
      <c r="I147" s="29"/>
      <c r="J147" s="29"/>
      <c r="K147" s="29"/>
      <c r="L147" s="29"/>
      <c r="M147" s="29"/>
      <c r="N147" s="29"/>
      <c r="O147" s="4"/>
      <c r="P147" s="4"/>
      <c r="Q147" s="4"/>
      <c r="R147" s="77"/>
      <c r="V147" s="176"/>
      <c r="W147" s="176"/>
      <c r="X147" s="176" t="str">
        <f t="array" ref="X147">IFERROR(INDIRECT("'Bloque "&amp;$AQ$24&amp;" Semana "&amp;$AQ$23&amp;"'"&amp;"!"&amp;"E25"),"")</f>
        <v/>
      </c>
      <c r="AE147" s="186">
        <v>25.0</v>
      </c>
      <c r="AF147" s="176" t="str">
        <f t="array" ref="AF147">IFERROR(INDIRECT("'Bloque "&amp;$AR$24&amp;" Semana "&amp;$AR$23&amp;"'"&amp;"!"&amp;"E25"),"")</f>
        <v/>
      </c>
      <c r="AM147" s="186">
        <v>25.0</v>
      </c>
      <c r="AN147" s="176" t="str">
        <f t="array" ref="AN147">IFERROR(INDIRECT("'Bloque "&amp;$AS$24&amp;" Semana "&amp;$AS$23&amp;"'"&amp;"!"&amp;"E25"),"")</f>
        <v/>
      </c>
      <c r="AU147" s="186">
        <v>25.0</v>
      </c>
    </row>
    <row r="148">
      <c r="A148" s="4"/>
      <c r="B148" s="4"/>
      <c r="C148" s="4"/>
      <c r="D148" s="122"/>
      <c r="E148" s="29"/>
      <c r="F148" s="29"/>
      <c r="G148" s="29"/>
      <c r="H148" s="29"/>
      <c r="I148" s="29"/>
      <c r="J148" s="29"/>
      <c r="K148" s="29"/>
      <c r="L148" s="29"/>
      <c r="M148" s="29"/>
      <c r="N148" s="29"/>
      <c r="O148" s="4"/>
      <c r="P148" s="4"/>
      <c r="Q148" s="4"/>
      <c r="R148" s="77"/>
      <c r="V148" s="176"/>
      <c r="W148" s="176"/>
      <c r="X148" s="189" t="str">
        <f t="array" ref="X148">IFERROR(INDIRECT("'Bloque "&amp;$AQ$24&amp;" Semana "&amp;$AQ$23&amp;"'"&amp;"!"&amp;"E26"),"")</f>
        <v/>
      </c>
      <c r="AE148" s="186">
        <v>26.0</v>
      </c>
      <c r="AF148" s="189" t="str">
        <f t="array" ref="AF148">IFERROR(INDIRECT("'Bloque "&amp;$AR$24&amp;" Semana "&amp;$AR$23&amp;"'"&amp;"!"&amp;"E26"),"")</f>
        <v/>
      </c>
      <c r="AM148" s="186">
        <v>26.0</v>
      </c>
      <c r="AN148" s="189" t="str">
        <f t="array" ref="AN148">IFERROR(INDIRECT("'Bloque "&amp;$AS$24&amp;" Semana "&amp;$AS$23&amp;"'"&amp;"!"&amp;"E26"),"")</f>
        <v/>
      </c>
      <c r="AU148" s="186">
        <v>26.0</v>
      </c>
    </row>
    <row r="149">
      <c r="A149" s="4"/>
      <c r="B149" s="4"/>
      <c r="C149" s="4"/>
      <c r="D149" s="122"/>
      <c r="E149" s="29"/>
      <c r="F149" s="29"/>
      <c r="G149" s="29"/>
      <c r="H149" s="29"/>
      <c r="I149" s="29"/>
      <c r="J149" s="29"/>
      <c r="K149" s="29"/>
      <c r="L149" s="29"/>
      <c r="M149" s="29"/>
      <c r="N149" s="29"/>
      <c r="O149" s="4"/>
      <c r="P149" s="4"/>
      <c r="Q149" s="4"/>
      <c r="R149" s="77"/>
      <c r="V149" s="176"/>
      <c r="W149" s="176"/>
      <c r="X149" s="190" t="str">
        <f t="shared" ref="X149:AD149" si="251">IFERROR(INDIRECT("'Bloque "&amp;$AQ$24&amp;" Semana "&amp;$AQ$23&amp;"'"&amp;"!"&amp;X$145&amp;$AE149),"")</f>
        <v/>
      </c>
      <c r="Y149" s="190" t="str">
        <f t="shared" si="251"/>
        <v/>
      </c>
      <c r="Z149" s="190" t="str">
        <f t="shared" si="251"/>
        <v/>
      </c>
      <c r="AA149" s="190" t="str">
        <f t="shared" si="251"/>
        <v/>
      </c>
      <c r="AB149" s="190" t="str">
        <f t="shared" si="251"/>
        <v/>
      </c>
      <c r="AC149" s="190" t="str">
        <f t="shared" si="251"/>
        <v/>
      </c>
      <c r="AD149" s="190" t="str">
        <f t="shared" si="251"/>
        <v/>
      </c>
      <c r="AE149" s="191">
        <v>27.0</v>
      </c>
      <c r="AF149" s="190" t="str">
        <f t="shared" ref="AF149:AL149" si="252">IFERROR(INDIRECT("'Bloque "&amp;$AR$24&amp;" Semana "&amp;$AR$23&amp;"'"&amp;"!"&amp;AF$145&amp;$AM149),"")</f>
        <v/>
      </c>
      <c r="AG149" s="190" t="str">
        <f t="shared" si="252"/>
        <v/>
      </c>
      <c r="AH149" s="190" t="str">
        <f t="shared" si="252"/>
        <v/>
      </c>
      <c r="AI149" s="190" t="str">
        <f t="shared" si="252"/>
        <v/>
      </c>
      <c r="AJ149" s="190" t="str">
        <f t="shared" si="252"/>
        <v/>
      </c>
      <c r="AK149" s="190" t="str">
        <f t="shared" si="252"/>
        <v/>
      </c>
      <c r="AL149" s="190" t="str">
        <f t="shared" si="252"/>
        <v/>
      </c>
      <c r="AM149" s="191">
        <v>27.0</v>
      </c>
      <c r="AN149" s="190" t="str">
        <f t="shared" ref="AN149:AT149" si="253">IFERROR(INDIRECT("'Bloque "&amp;$AS$24&amp;" Semana "&amp;$AS$23&amp;"'"&amp;"!"&amp;AN$145&amp;$AU149),"")</f>
        <v/>
      </c>
      <c r="AO149" s="190" t="str">
        <f t="shared" si="253"/>
        <v/>
      </c>
      <c r="AP149" s="190" t="str">
        <f t="shared" si="253"/>
        <v/>
      </c>
      <c r="AQ149" s="190" t="str">
        <f t="shared" si="253"/>
        <v/>
      </c>
      <c r="AR149" s="190" t="str">
        <f t="shared" si="253"/>
        <v/>
      </c>
      <c r="AS149" s="190" t="str">
        <f t="shared" si="253"/>
        <v/>
      </c>
      <c r="AT149" s="190" t="str">
        <f t="shared" si="253"/>
        <v/>
      </c>
      <c r="AU149" s="191">
        <v>27.0</v>
      </c>
    </row>
    <row r="150">
      <c r="A150" s="4"/>
      <c r="B150" s="4"/>
      <c r="C150" s="4"/>
      <c r="D150" s="122"/>
      <c r="E150" s="29"/>
      <c r="F150" s="29"/>
      <c r="G150" s="29"/>
      <c r="H150" s="29"/>
      <c r="I150" s="29"/>
      <c r="J150" s="29"/>
      <c r="K150" s="29"/>
      <c r="L150" s="29"/>
      <c r="M150" s="29"/>
      <c r="N150" s="29"/>
      <c r="O150" s="4"/>
      <c r="P150" s="4"/>
      <c r="Q150" s="4"/>
      <c r="R150" s="77"/>
      <c r="V150" s="176"/>
      <c r="W150" s="176"/>
      <c r="X150" s="197" t="str">
        <f t="shared" ref="X150:AD150" si="254">IFERROR(INDIRECT("'Bloque "&amp;$AQ$24&amp;" Semana "&amp;$AQ$23&amp;"'"&amp;"!"&amp;X$145&amp;$AE150),"")</f>
        <v/>
      </c>
      <c r="Y150" s="197" t="str">
        <f t="shared" si="254"/>
        <v/>
      </c>
      <c r="Z150" s="197" t="str">
        <f t="shared" si="254"/>
        <v/>
      </c>
      <c r="AA150" s="197" t="str">
        <f t="shared" si="254"/>
        <v/>
      </c>
      <c r="AB150" s="197" t="str">
        <f t="shared" si="254"/>
        <v/>
      </c>
      <c r="AC150" s="197" t="str">
        <f t="shared" si="254"/>
        <v/>
      </c>
      <c r="AD150" s="197" t="str">
        <f t="shared" si="254"/>
        <v/>
      </c>
      <c r="AE150" s="191">
        <v>28.0</v>
      </c>
      <c r="AF150" s="197" t="str">
        <f t="shared" ref="AF150:AL150" si="255">IFERROR(INDIRECT("'Bloque "&amp;$AR$24&amp;" Semana "&amp;$AR$23&amp;"'"&amp;"!"&amp;AF$145&amp;$AM150),"")</f>
        <v/>
      </c>
      <c r="AG150" s="197" t="str">
        <f t="shared" si="255"/>
        <v/>
      </c>
      <c r="AH150" s="197" t="str">
        <f t="shared" si="255"/>
        <v/>
      </c>
      <c r="AI150" s="197" t="str">
        <f t="shared" si="255"/>
        <v/>
      </c>
      <c r="AJ150" s="197" t="str">
        <f t="shared" si="255"/>
        <v/>
      </c>
      <c r="AK150" s="197" t="str">
        <f t="shared" si="255"/>
        <v/>
      </c>
      <c r="AL150" s="197" t="str">
        <f t="shared" si="255"/>
        <v/>
      </c>
      <c r="AM150" s="191">
        <v>28.0</v>
      </c>
      <c r="AN150" s="197" t="str">
        <f t="shared" ref="AN150:AT150" si="256">IFERROR(INDIRECT("'Bloque "&amp;$AS$24&amp;" Semana "&amp;$AS$23&amp;"'"&amp;"!"&amp;AN$145&amp;$AU150),"")</f>
        <v/>
      </c>
      <c r="AO150" s="197" t="str">
        <f t="shared" si="256"/>
        <v/>
      </c>
      <c r="AP150" s="197" t="str">
        <f t="shared" si="256"/>
        <v/>
      </c>
      <c r="AQ150" s="197" t="str">
        <f t="shared" si="256"/>
        <v/>
      </c>
      <c r="AR150" s="197" t="str">
        <f t="shared" si="256"/>
        <v/>
      </c>
      <c r="AS150" s="197" t="str">
        <f t="shared" si="256"/>
        <v/>
      </c>
      <c r="AT150" s="197" t="str">
        <f t="shared" si="256"/>
        <v/>
      </c>
      <c r="AU150" s="191">
        <v>28.0</v>
      </c>
    </row>
    <row r="151">
      <c r="A151" s="4"/>
      <c r="B151" s="4"/>
      <c r="C151" s="4"/>
      <c r="D151" s="122"/>
      <c r="E151" s="29"/>
      <c r="F151" s="29"/>
      <c r="G151" s="29"/>
      <c r="H151" s="29"/>
      <c r="I151" s="29"/>
      <c r="J151" s="29"/>
      <c r="K151" s="29"/>
      <c r="L151" s="29"/>
      <c r="M151" s="29"/>
      <c r="N151" s="29"/>
      <c r="O151" s="4"/>
      <c r="P151" s="4"/>
      <c r="Q151" s="4"/>
      <c r="R151" s="77"/>
      <c r="V151" s="176"/>
      <c r="W151" s="176"/>
      <c r="X151" s="197" t="str">
        <f t="shared" ref="X151:AD151" si="257">IFERROR(INDIRECT("'Bloque "&amp;$AQ$24&amp;" Semana "&amp;$AQ$23&amp;"'"&amp;"!"&amp;X$145&amp;$AE151),"")</f>
        <v/>
      </c>
      <c r="Y151" s="197" t="str">
        <f t="shared" si="257"/>
        <v/>
      </c>
      <c r="Z151" s="197" t="str">
        <f t="shared" si="257"/>
        <v/>
      </c>
      <c r="AA151" s="197" t="str">
        <f t="shared" si="257"/>
        <v/>
      </c>
      <c r="AB151" s="197" t="str">
        <f t="shared" si="257"/>
        <v/>
      </c>
      <c r="AC151" s="197" t="str">
        <f t="shared" si="257"/>
        <v/>
      </c>
      <c r="AD151" s="197" t="str">
        <f t="shared" si="257"/>
        <v/>
      </c>
      <c r="AE151" s="191">
        <v>29.0</v>
      </c>
      <c r="AF151" s="197" t="str">
        <f t="shared" ref="AF151:AL151" si="258">IFERROR(INDIRECT("'Bloque "&amp;$AR$24&amp;" Semana "&amp;$AR$23&amp;"'"&amp;"!"&amp;AF$145&amp;$AM151),"")</f>
        <v/>
      </c>
      <c r="AG151" s="197" t="str">
        <f t="shared" si="258"/>
        <v/>
      </c>
      <c r="AH151" s="197" t="str">
        <f t="shared" si="258"/>
        <v/>
      </c>
      <c r="AI151" s="197" t="str">
        <f t="shared" si="258"/>
        <v/>
      </c>
      <c r="AJ151" s="197" t="str">
        <f t="shared" si="258"/>
        <v/>
      </c>
      <c r="AK151" s="197" t="str">
        <f t="shared" si="258"/>
        <v/>
      </c>
      <c r="AL151" s="197" t="str">
        <f t="shared" si="258"/>
        <v/>
      </c>
      <c r="AM151" s="191">
        <v>29.0</v>
      </c>
      <c r="AN151" s="197" t="str">
        <f t="shared" ref="AN151:AT151" si="259">IFERROR(INDIRECT("'Bloque "&amp;$AS$24&amp;" Semana "&amp;$AS$23&amp;"'"&amp;"!"&amp;AN$145&amp;$AU151),"")</f>
        <v/>
      </c>
      <c r="AO151" s="197" t="str">
        <f t="shared" si="259"/>
        <v/>
      </c>
      <c r="AP151" s="197" t="str">
        <f t="shared" si="259"/>
        <v/>
      </c>
      <c r="AQ151" s="197" t="str">
        <f t="shared" si="259"/>
        <v/>
      </c>
      <c r="AR151" s="197" t="str">
        <f t="shared" si="259"/>
        <v/>
      </c>
      <c r="AS151" s="197" t="str">
        <f t="shared" si="259"/>
        <v/>
      </c>
      <c r="AT151" s="197" t="str">
        <f t="shared" si="259"/>
        <v/>
      </c>
      <c r="AU151" s="191">
        <v>29.0</v>
      </c>
    </row>
    <row r="152">
      <c r="A152" s="4"/>
      <c r="B152" s="4"/>
      <c r="C152" s="4"/>
      <c r="D152" s="122"/>
      <c r="E152" s="29"/>
      <c r="F152" s="29"/>
      <c r="G152" s="29"/>
      <c r="H152" s="29"/>
      <c r="I152" s="29"/>
      <c r="J152" s="29"/>
      <c r="K152" s="29"/>
      <c r="L152" s="29"/>
      <c r="M152" s="29"/>
      <c r="N152" s="29"/>
      <c r="O152" s="4"/>
      <c r="P152" s="4"/>
      <c r="Q152" s="4"/>
      <c r="R152" s="77"/>
      <c r="V152" s="176"/>
      <c r="W152" s="176"/>
      <c r="X152" s="197" t="str">
        <f t="shared" ref="X152:AD152" si="260">IFERROR(INDIRECT("'Bloque "&amp;$AQ$24&amp;" Semana "&amp;$AQ$23&amp;"'"&amp;"!"&amp;X$145&amp;$AE152),"")</f>
        <v/>
      </c>
      <c r="Y152" s="197" t="str">
        <f t="shared" si="260"/>
        <v/>
      </c>
      <c r="Z152" s="197" t="str">
        <f t="shared" si="260"/>
        <v/>
      </c>
      <c r="AA152" s="197" t="str">
        <f t="shared" si="260"/>
        <v/>
      </c>
      <c r="AB152" s="197" t="str">
        <f t="shared" si="260"/>
        <v/>
      </c>
      <c r="AC152" s="197" t="str">
        <f t="shared" si="260"/>
        <v/>
      </c>
      <c r="AD152" s="197" t="str">
        <f t="shared" si="260"/>
        <v/>
      </c>
      <c r="AE152" s="191">
        <v>30.0</v>
      </c>
      <c r="AF152" s="197" t="str">
        <f t="shared" ref="AF152:AL152" si="261">IFERROR(INDIRECT("'Bloque "&amp;$AR$24&amp;" Semana "&amp;$AR$23&amp;"'"&amp;"!"&amp;AF$145&amp;$AM152),"")</f>
        <v/>
      </c>
      <c r="AG152" s="197" t="str">
        <f t="shared" si="261"/>
        <v/>
      </c>
      <c r="AH152" s="197" t="str">
        <f t="shared" si="261"/>
        <v/>
      </c>
      <c r="AI152" s="197" t="str">
        <f t="shared" si="261"/>
        <v/>
      </c>
      <c r="AJ152" s="197" t="str">
        <f t="shared" si="261"/>
        <v/>
      </c>
      <c r="AK152" s="197" t="str">
        <f t="shared" si="261"/>
        <v/>
      </c>
      <c r="AL152" s="197" t="str">
        <f t="shared" si="261"/>
        <v/>
      </c>
      <c r="AM152" s="191">
        <v>30.0</v>
      </c>
      <c r="AN152" s="197" t="str">
        <f t="shared" ref="AN152:AT152" si="262">IFERROR(INDIRECT("'Bloque "&amp;$AS$24&amp;" Semana "&amp;$AS$23&amp;"'"&amp;"!"&amp;AN$145&amp;$AU152),"")</f>
        <v/>
      </c>
      <c r="AO152" s="197" t="str">
        <f t="shared" si="262"/>
        <v/>
      </c>
      <c r="AP152" s="197" t="str">
        <f t="shared" si="262"/>
        <v/>
      </c>
      <c r="AQ152" s="197" t="str">
        <f t="shared" si="262"/>
        <v/>
      </c>
      <c r="AR152" s="197" t="str">
        <f t="shared" si="262"/>
        <v/>
      </c>
      <c r="AS152" s="197" t="str">
        <f t="shared" si="262"/>
        <v/>
      </c>
      <c r="AT152" s="197" t="str">
        <f t="shared" si="262"/>
        <v/>
      </c>
      <c r="AU152" s="191">
        <v>30.0</v>
      </c>
    </row>
    <row r="153">
      <c r="A153" s="4"/>
      <c r="B153" s="4"/>
      <c r="C153" s="4"/>
      <c r="D153" s="122"/>
      <c r="E153" s="29"/>
      <c r="F153" s="29"/>
      <c r="G153" s="29"/>
      <c r="H153" s="29"/>
      <c r="I153" s="29"/>
      <c r="J153" s="29"/>
      <c r="K153" s="29"/>
      <c r="L153" s="29"/>
      <c r="M153" s="29"/>
      <c r="N153" s="29"/>
      <c r="O153" s="4"/>
      <c r="P153" s="4"/>
      <c r="Q153" s="4"/>
      <c r="R153" s="77"/>
      <c r="V153" s="176"/>
      <c r="W153" s="176"/>
      <c r="X153" s="197" t="str">
        <f t="shared" ref="X153:AD153" si="263">IFERROR(INDIRECT("'Bloque "&amp;$AQ$24&amp;" Semana "&amp;$AQ$23&amp;"'"&amp;"!"&amp;X$145&amp;$AE153),"")</f>
        <v/>
      </c>
      <c r="Y153" s="197" t="str">
        <f t="shared" si="263"/>
        <v/>
      </c>
      <c r="Z153" s="197" t="str">
        <f t="shared" si="263"/>
        <v/>
      </c>
      <c r="AA153" s="197" t="str">
        <f t="shared" si="263"/>
        <v/>
      </c>
      <c r="AB153" s="197" t="str">
        <f t="shared" si="263"/>
        <v/>
      </c>
      <c r="AC153" s="197" t="str">
        <f t="shared" si="263"/>
        <v/>
      </c>
      <c r="AD153" s="197" t="str">
        <f t="shared" si="263"/>
        <v/>
      </c>
      <c r="AE153" s="191">
        <v>31.0</v>
      </c>
      <c r="AF153" s="197" t="str">
        <f t="shared" ref="AF153:AL153" si="264">IFERROR(INDIRECT("'Bloque "&amp;$AR$24&amp;" Semana "&amp;$AR$23&amp;"'"&amp;"!"&amp;AF$145&amp;$AM153),"")</f>
        <v/>
      </c>
      <c r="AG153" s="197" t="str">
        <f t="shared" si="264"/>
        <v/>
      </c>
      <c r="AH153" s="197" t="str">
        <f t="shared" si="264"/>
        <v/>
      </c>
      <c r="AI153" s="197" t="str">
        <f t="shared" si="264"/>
        <v/>
      </c>
      <c r="AJ153" s="197" t="str">
        <f t="shared" si="264"/>
        <v/>
      </c>
      <c r="AK153" s="197" t="str">
        <f t="shared" si="264"/>
        <v/>
      </c>
      <c r="AL153" s="197" t="str">
        <f t="shared" si="264"/>
        <v/>
      </c>
      <c r="AM153" s="191">
        <v>31.0</v>
      </c>
      <c r="AN153" s="197" t="str">
        <f t="shared" ref="AN153:AT153" si="265">IFERROR(INDIRECT("'Bloque "&amp;$AS$24&amp;" Semana "&amp;$AS$23&amp;"'"&amp;"!"&amp;AN$145&amp;$AU153),"")</f>
        <v/>
      </c>
      <c r="AO153" s="197" t="str">
        <f t="shared" si="265"/>
        <v/>
      </c>
      <c r="AP153" s="197" t="str">
        <f t="shared" si="265"/>
        <v/>
      </c>
      <c r="AQ153" s="197" t="str">
        <f t="shared" si="265"/>
        <v/>
      </c>
      <c r="AR153" s="197" t="str">
        <f t="shared" si="265"/>
        <v/>
      </c>
      <c r="AS153" s="197" t="str">
        <f t="shared" si="265"/>
        <v/>
      </c>
      <c r="AT153" s="197" t="str">
        <f t="shared" si="265"/>
        <v/>
      </c>
      <c r="AU153" s="191">
        <v>31.0</v>
      </c>
    </row>
    <row r="154">
      <c r="A154" s="4"/>
      <c r="B154" s="4"/>
      <c r="C154" s="4"/>
      <c r="D154" s="122"/>
      <c r="E154" s="29"/>
      <c r="F154" s="29"/>
      <c r="G154" s="29"/>
      <c r="H154" s="29"/>
      <c r="I154" s="29"/>
      <c r="J154" s="29"/>
      <c r="K154" s="29"/>
      <c r="L154" s="29"/>
      <c r="M154" s="29"/>
      <c r="N154" s="29"/>
      <c r="O154" s="4"/>
      <c r="P154" s="4"/>
      <c r="Q154" s="4"/>
      <c r="R154" s="77"/>
      <c r="V154" s="176"/>
      <c r="W154" s="176"/>
      <c r="X154" s="197" t="str">
        <f t="shared" ref="X154:AD154" si="266">IFERROR(INDIRECT("'Bloque "&amp;$AQ$24&amp;" Semana "&amp;$AQ$23&amp;"'"&amp;"!"&amp;X$145&amp;$AE154),"")</f>
        <v/>
      </c>
      <c r="Y154" s="197" t="str">
        <f t="shared" si="266"/>
        <v/>
      </c>
      <c r="Z154" s="197" t="str">
        <f t="shared" si="266"/>
        <v/>
      </c>
      <c r="AA154" s="197" t="str">
        <f t="shared" si="266"/>
        <v/>
      </c>
      <c r="AB154" s="197" t="str">
        <f t="shared" si="266"/>
        <v/>
      </c>
      <c r="AC154" s="197" t="str">
        <f t="shared" si="266"/>
        <v/>
      </c>
      <c r="AD154" s="197" t="str">
        <f t="shared" si="266"/>
        <v/>
      </c>
      <c r="AE154" s="191">
        <v>32.0</v>
      </c>
      <c r="AF154" s="197" t="str">
        <f t="shared" ref="AF154:AL154" si="267">IFERROR(INDIRECT("'Bloque "&amp;$AR$24&amp;" Semana "&amp;$AR$23&amp;"'"&amp;"!"&amp;AF$145&amp;$AM154),"")</f>
        <v/>
      </c>
      <c r="AG154" s="197" t="str">
        <f t="shared" si="267"/>
        <v/>
      </c>
      <c r="AH154" s="197" t="str">
        <f t="shared" si="267"/>
        <v/>
      </c>
      <c r="AI154" s="197" t="str">
        <f t="shared" si="267"/>
        <v/>
      </c>
      <c r="AJ154" s="197" t="str">
        <f t="shared" si="267"/>
        <v/>
      </c>
      <c r="AK154" s="197" t="str">
        <f t="shared" si="267"/>
        <v/>
      </c>
      <c r="AL154" s="197" t="str">
        <f t="shared" si="267"/>
        <v/>
      </c>
      <c r="AM154" s="191">
        <v>32.0</v>
      </c>
      <c r="AN154" s="197" t="str">
        <f t="shared" ref="AN154:AT154" si="268">IFERROR(INDIRECT("'Bloque "&amp;$AS$24&amp;" Semana "&amp;$AS$23&amp;"'"&amp;"!"&amp;AN$145&amp;$AU154),"")</f>
        <v/>
      </c>
      <c r="AO154" s="197" t="str">
        <f t="shared" si="268"/>
        <v/>
      </c>
      <c r="AP154" s="197" t="str">
        <f t="shared" si="268"/>
        <v/>
      </c>
      <c r="AQ154" s="197" t="str">
        <f t="shared" si="268"/>
        <v/>
      </c>
      <c r="AR154" s="197" t="str">
        <f t="shared" si="268"/>
        <v/>
      </c>
      <c r="AS154" s="197" t="str">
        <f t="shared" si="268"/>
        <v/>
      </c>
      <c r="AT154" s="197" t="str">
        <f t="shared" si="268"/>
        <v/>
      </c>
      <c r="AU154" s="191">
        <v>32.0</v>
      </c>
    </row>
    <row r="155">
      <c r="A155" s="4"/>
      <c r="B155" s="4"/>
      <c r="C155" s="4"/>
      <c r="D155" s="122"/>
      <c r="E155" s="29"/>
      <c r="F155" s="29"/>
      <c r="G155" s="29"/>
      <c r="H155" s="29"/>
      <c r="I155" s="29"/>
      <c r="J155" s="29"/>
      <c r="K155" s="29"/>
      <c r="L155" s="29"/>
      <c r="M155" s="29"/>
      <c r="N155" s="29"/>
      <c r="O155" s="4"/>
      <c r="P155" s="4"/>
      <c r="Q155" s="4"/>
      <c r="R155" s="77"/>
      <c r="V155" s="176"/>
      <c r="W155" s="176"/>
      <c r="X155" s="197" t="str">
        <f t="shared" ref="X155:AD155" si="269">IFERROR(INDIRECT("'Bloque "&amp;$AQ$24&amp;" Semana "&amp;$AQ$23&amp;"'"&amp;"!"&amp;X$145&amp;$AE155),"")</f>
        <v/>
      </c>
      <c r="Y155" s="197" t="str">
        <f t="shared" si="269"/>
        <v/>
      </c>
      <c r="Z155" s="197" t="str">
        <f t="shared" si="269"/>
        <v/>
      </c>
      <c r="AA155" s="197" t="str">
        <f t="shared" si="269"/>
        <v/>
      </c>
      <c r="AB155" s="197" t="str">
        <f t="shared" si="269"/>
        <v/>
      </c>
      <c r="AC155" s="197" t="str">
        <f t="shared" si="269"/>
        <v/>
      </c>
      <c r="AD155" s="197" t="str">
        <f t="shared" si="269"/>
        <v/>
      </c>
      <c r="AE155" s="191">
        <v>33.0</v>
      </c>
      <c r="AF155" s="197" t="str">
        <f t="shared" ref="AF155:AL155" si="270">IFERROR(INDIRECT("'Bloque "&amp;$AR$24&amp;" Semana "&amp;$AR$23&amp;"'"&amp;"!"&amp;AF$145&amp;$AM155),"")</f>
        <v/>
      </c>
      <c r="AG155" s="197" t="str">
        <f t="shared" si="270"/>
        <v/>
      </c>
      <c r="AH155" s="197" t="str">
        <f t="shared" si="270"/>
        <v/>
      </c>
      <c r="AI155" s="197" t="str">
        <f t="shared" si="270"/>
        <v/>
      </c>
      <c r="AJ155" s="197" t="str">
        <f t="shared" si="270"/>
        <v/>
      </c>
      <c r="AK155" s="197" t="str">
        <f t="shared" si="270"/>
        <v/>
      </c>
      <c r="AL155" s="197" t="str">
        <f t="shared" si="270"/>
        <v/>
      </c>
      <c r="AM155" s="191">
        <v>33.0</v>
      </c>
      <c r="AN155" s="197" t="str">
        <f t="shared" ref="AN155:AT155" si="271">IFERROR(INDIRECT("'Bloque "&amp;$AS$24&amp;" Semana "&amp;$AS$23&amp;"'"&amp;"!"&amp;AN$145&amp;$AU155),"")</f>
        <v/>
      </c>
      <c r="AO155" s="197" t="str">
        <f t="shared" si="271"/>
        <v/>
      </c>
      <c r="AP155" s="197" t="str">
        <f t="shared" si="271"/>
        <v/>
      </c>
      <c r="AQ155" s="197" t="str">
        <f t="shared" si="271"/>
        <v/>
      </c>
      <c r="AR155" s="197" t="str">
        <f t="shared" si="271"/>
        <v/>
      </c>
      <c r="AS155" s="197" t="str">
        <f t="shared" si="271"/>
        <v/>
      </c>
      <c r="AT155" s="197" t="str">
        <f t="shared" si="271"/>
        <v/>
      </c>
      <c r="AU155" s="191">
        <v>33.0</v>
      </c>
    </row>
    <row r="156">
      <c r="A156" s="4"/>
      <c r="B156" s="4"/>
      <c r="C156" s="4"/>
      <c r="D156" s="122"/>
      <c r="E156" s="29"/>
      <c r="F156" s="29"/>
      <c r="G156" s="29"/>
      <c r="H156" s="29"/>
      <c r="I156" s="29"/>
      <c r="J156" s="29"/>
      <c r="K156" s="29"/>
      <c r="L156" s="29"/>
      <c r="M156" s="29"/>
      <c r="N156" s="29"/>
      <c r="O156" s="4"/>
      <c r="P156" s="4"/>
      <c r="Q156" s="4"/>
      <c r="R156" s="77"/>
      <c r="V156" s="176"/>
      <c r="W156" s="176"/>
      <c r="X156" s="197" t="str">
        <f t="shared" ref="X156:AD156" si="272">IFERROR(INDIRECT("'Bloque "&amp;$AQ$24&amp;" Semana "&amp;$AQ$23&amp;"'"&amp;"!"&amp;X$145&amp;$AE156),"")</f>
        <v/>
      </c>
      <c r="Y156" s="197" t="str">
        <f t="shared" si="272"/>
        <v/>
      </c>
      <c r="Z156" s="197" t="str">
        <f t="shared" si="272"/>
        <v/>
      </c>
      <c r="AA156" s="197" t="str">
        <f t="shared" si="272"/>
        <v/>
      </c>
      <c r="AB156" s="197" t="str">
        <f t="shared" si="272"/>
        <v/>
      </c>
      <c r="AC156" s="197" t="str">
        <f t="shared" si="272"/>
        <v/>
      </c>
      <c r="AD156" s="197" t="str">
        <f t="shared" si="272"/>
        <v/>
      </c>
      <c r="AE156" s="191">
        <v>34.0</v>
      </c>
      <c r="AF156" s="197" t="str">
        <f t="shared" ref="AF156:AL156" si="273">IFERROR(INDIRECT("'Bloque "&amp;$AR$24&amp;" Semana "&amp;$AR$23&amp;"'"&amp;"!"&amp;AF$145&amp;$AM156),"")</f>
        <v/>
      </c>
      <c r="AG156" s="197" t="str">
        <f t="shared" si="273"/>
        <v/>
      </c>
      <c r="AH156" s="197" t="str">
        <f t="shared" si="273"/>
        <v/>
      </c>
      <c r="AI156" s="197" t="str">
        <f t="shared" si="273"/>
        <v/>
      </c>
      <c r="AJ156" s="197" t="str">
        <f t="shared" si="273"/>
        <v/>
      </c>
      <c r="AK156" s="197" t="str">
        <f t="shared" si="273"/>
        <v/>
      </c>
      <c r="AL156" s="197" t="str">
        <f t="shared" si="273"/>
        <v/>
      </c>
      <c r="AM156" s="191">
        <v>34.0</v>
      </c>
      <c r="AN156" s="197" t="str">
        <f t="shared" ref="AN156:AT156" si="274">IFERROR(INDIRECT("'Bloque "&amp;$AS$24&amp;" Semana "&amp;$AS$23&amp;"'"&amp;"!"&amp;AN$145&amp;$AU156),"")</f>
        <v/>
      </c>
      <c r="AO156" s="197" t="str">
        <f t="shared" si="274"/>
        <v/>
      </c>
      <c r="AP156" s="197" t="str">
        <f t="shared" si="274"/>
        <v/>
      </c>
      <c r="AQ156" s="197" t="str">
        <f t="shared" si="274"/>
        <v/>
      </c>
      <c r="AR156" s="197" t="str">
        <f t="shared" si="274"/>
        <v/>
      </c>
      <c r="AS156" s="197" t="str">
        <f t="shared" si="274"/>
        <v/>
      </c>
      <c r="AT156" s="197" t="str">
        <f t="shared" si="274"/>
        <v/>
      </c>
      <c r="AU156" s="191">
        <v>34.0</v>
      </c>
    </row>
    <row r="157">
      <c r="A157" s="4"/>
      <c r="B157" s="4"/>
      <c r="C157" s="4"/>
      <c r="D157" s="122"/>
      <c r="E157" s="29"/>
      <c r="F157" s="29"/>
      <c r="G157" s="29"/>
      <c r="H157" s="29"/>
      <c r="I157" s="29"/>
      <c r="J157" s="29"/>
      <c r="K157" s="29"/>
      <c r="L157" s="29"/>
      <c r="M157" s="29"/>
      <c r="N157" s="29"/>
      <c r="O157" s="4"/>
      <c r="P157" s="4"/>
      <c r="Q157" s="4"/>
      <c r="R157" s="77"/>
      <c r="V157" s="176"/>
      <c r="W157" s="176"/>
      <c r="X157" s="197" t="str">
        <f t="shared" ref="X157:AD157" si="275">IFERROR(INDIRECT("'Bloque "&amp;$AQ$24&amp;" Semana "&amp;$AQ$23&amp;"'"&amp;"!"&amp;X$145&amp;$AE157),"")</f>
        <v/>
      </c>
      <c r="Y157" s="197" t="str">
        <f t="shared" si="275"/>
        <v/>
      </c>
      <c r="Z157" s="197" t="str">
        <f t="shared" si="275"/>
        <v/>
      </c>
      <c r="AA157" s="197" t="str">
        <f t="shared" si="275"/>
        <v/>
      </c>
      <c r="AB157" s="197" t="str">
        <f t="shared" si="275"/>
        <v/>
      </c>
      <c r="AC157" s="197" t="str">
        <f t="shared" si="275"/>
        <v/>
      </c>
      <c r="AD157" s="197" t="str">
        <f t="shared" si="275"/>
        <v/>
      </c>
      <c r="AE157" s="191">
        <v>35.0</v>
      </c>
      <c r="AF157" s="197" t="str">
        <f t="shared" ref="AF157:AL157" si="276">IFERROR(INDIRECT("'Bloque "&amp;$AR$24&amp;" Semana "&amp;$AR$23&amp;"'"&amp;"!"&amp;AF$145&amp;$AM157),"")</f>
        <v/>
      </c>
      <c r="AG157" s="197" t="str">
        <f t="shared" si="276"/>
        <v/>
      </c>
      <c r="AH157" s="197" t="str">
        <f t="shared" si="276"/>
        <v/>
      </c>
      <c r="AI157" s="197" t="str">
        <f t="shared" si="276"/>
        <v/>
      </c>
      <c r="AJ157" s="197" t="str">
        <f t="shared" si="276"/>
        <v/>
      </c>
      <c r="AK157" s="197" t="str">
        <f t="shared" si="276"/>
        <v/>
      </c>
      <c r="AL157" s="197" t="str">
        <f t="shared" si="276"/>
        <v/>
      </c>
      <c r="AM157" s="191">
        <v>35.0</v>
      </c>
      <c r="AN157" s="197" t="str">
        <f t="shared" ref="AN157:AT157" si="277">IFERROR(INDIRECT("'Bloque "&amp;$AS$24&amp;" Semana "&amp;$AS$23&amp;"'"&amp;"!"&amp;AN$145&amp;$AU157),"")</f>
        <v/>
      </c>
      <c r="AO157" s="197" t="str">
        <f t="shared" si="277"/>
        <v/>
      </c>
      <c r="AP157" s="197" t="str">
        <f t="shared" si="277"/>
        <v/>
      </c>
      <c r="AQ157" s="197" t="str">
        <f t="shared" si="277"/>
        <v/>
      </c>
      <c r="AR157" s="197" t="str">
        <f t="shared" si="277"/>
        <v/>
      </c>
      <c r="AS157" s="197" t="str">
        <f t="shared" si="277"/>
        <v/>
      </c>
      <c r="AT157" s="197" t="str">
        <f t="shared" si="277"/>
        <v/>
      </c>
      <c r="AU157" s="191">
        <v>35.0</v>
      </c>
    </row>
    <row r="158">
      <c r="A158" s="4"/>
      <c r="B158" s="4"/>
      <c r="C158" s="4"/>
      <c r="D158" s="122"/>
      <c r="E158" s="29"/>
      <c r="F158" s="29"/>
      <c r="G158" s="29"/>
      <c r="H158" s="29"/>
      <c r="I158" s="29"/>
      <c r="J158" s="29"/>
      <c r="K158" s="29"/>
      <c r="L158" s="29"/>
      <c r="M158" s="29"/>
      <c r="N158" s="29"/>
      <c r="O158" s="4"/>
      <c r="P158" s="4"/>
      <c r="Q158" s="4"/>
      <c r="R158" s="77"/>
      <c r="V158" s="176"/>
      <c r="W158" s="176"/>
      <c r="X158" s="176"/>
      <c r="Y158" s="176"/>
      <c r="Z158" s="176"/>
      <c r="AA158" s="176"/>
      <c r="AB158" s="176"/>
      <c r="AC158" s="176"/>
      <c r="AD158" s="176"/>
      <c r="AE158" s="192"/>
      <c r="AF158" s="176"/>
      <c r="AG158" s="176"/>
      <c r="AH158" s="176"/>
      <c r="AI158" s="176"/>
      <c r="AJ158" s="176"/>
      <c r="AK158" s="176"/>
      <c r="AL158" s="176"/>
      <c r="AM158" s="192"/>
      <c r="AN158" s="176"/>
      <c r="AO158" s="176"/>
      <c r="AP158" s="176"/>
      <c r="AQ158" s="176"/>
      <c r="AR158" s="176"/>
      <c r="AU158" s="187"/>
    </row>
    <row r="159">
      <c r="A159" s="193"/>
      <c r="B159" s="193"/>
      <c r="C159" s="193"/>
      <c r="D159" s="194"/>
      <c r="E159" s="195"/>
      <c r="F159" s="195"/>
      <c r="G159" s="195"/>
      <c r="H159" s="195"/>
      <c r="I159" s="195"/>
      <c r="J159" s="195"/>
      <c r="K159" s="195"/>
      <c r="L159" s="195"/>
      <c r="M159" s="195"/>
      <c r="N159" s="195"/>
      <c r="O159" s="193"/>
      <c r="P159" s="193"/>
      <c r="Q159" s="193"/>
      <c r="R159" s="196"/>
      <c r="S159" s="187"/>
      <c r="T159" s="187"/>
      <c r="U159" s="187"/>
      <c r="V159" s="192"/>
      <c r="W159" s="192"/>
      <c r="X159" s="186" t="s">
        <v>202</v>
      </c>
      <c r="Y159" s="186" t="s">
        <v>203</v>
      </c>
      <c r="Z159" s="186" t="s">
        <v>209</v>
      </c>
      <c r="AA159" s="186" t="s">
        <v>205</v>
      </c>
      <c r="AB159" s="186" t="s">
        <v>206</v>
      </c>
      <c r="AC159" s="186" t="s">
        <v>207</v>
      </c>
      <c r="AD159" s="186" t="s">
        <v>208</v>
      </c>
      <c r="AE159" s="187"/>
      <c r="AF159" s="186" t="s">
        <v>202</v>
      </c>
      <c r="AG159" s="186" t="s">
        <v>203</v>
      </c>
      <c r="AH159" s="186" t="s">
        <v>209</v>
      </c>
      <c r="AI159" s="186" t="s">
        <v>205</v>
      </c>
      <c r="AJ159" s="186" t="s">
        <v>206</v>
      </c>
      <c r="AK159" s="186" t="s">
        <v>207</v>
      </c>
      <c r="AL159" s="186" t="s">
        <v>208</v>
      </c>
      <c r="AM159" s="187"/>
      <c r="AN159" s="186" t="s">
        <v>202</v>
      </c>
      <c r="AO159" s="186" t="s">
        <v>203</v>
      </c>
      <c r="AP159" s="186" t="s">
        <v>209</v>
      </c>
      <c r="AQ159" s="186" t="s">
        <v>205</v>
      </c>
      <c r="AR159" s="186" t="s">
        <v>206</v>
      </c>
      <c r="AS159" s="186" t="s">
        <v>207</v>
      </c>
      <c r="AT159" s="186" t="s">
        <v>208</v>
      </c>
      <c r="AU159" s="187"/>
      <c r="AV159" s="187"/>
      <c r="AW159" s="187"/>
      <c r="AX159" s="187"/>
      <c r="AY159" s="187"/>
      <c r="AZ159" s="187"/>
      <c r="BA159" s="187"/>
      <c r="BB159" s="187"/>
      <c r="BC159" s="187"/>
      <c r="BD159" s="187"/>
      <c r="BE159" s="187"/>
      <c r="BF159" s="187"/>
      <c r="BG159" s="187"/>
      <c r="BH159" s="187"/>
      <c r="BI159" s="187"/>
      <c r="BJ159" s="187"/>
      <c r="BK159" s="187"/>
      <c r="BL159" s="187"/>
      <c r="BM159" s="187"/>
      <c r="BN159" s="187"/>
      <c r="BO159" s="187"/>
      <c r="BP159" s="187"/>
      <c r="BQ159" s="187"/>
      <c r="BR159" s="187"/>
      <c r="BS159" s="187"/>
      <c r="BT159" s="187"/>
      <c r="BU159" s="187"/>
      <c r="BV159" s="187"/>
      <c r="BW159" s="187"/>
      <c r="BX159" s="187"/>
      <c r="BY159" s="187"/>
      <c r="BZ159" s="187"/>
      <c r="CA159" s="187"/>
      <c r="CB159" s="187"/>
      <c r="CC159" s="187"/>
      <c r="CD159" s="187"/>
      <c r="CE159" s="187"/>
      <c r="CF159" s="187"/>
      <c r="CG159" s="187"/>
      <c r="CH159" s="187"/>
      <c r="CI159" s="187"/>
      <c r="CJ159" s="187"/>
      <c r="CK159" s="187"/>
      <c r="CL159" s="187"/>
      <c r="CM159" s="187"/>
      <c r="CN159" s="187"/>
      <c r="CO159" s="187"/>
      <c r="CP159" s="187"/>
      <c r="CQ159" s="187"/>
      <c r="CR159" s="187"/>
      <c r="CS159" s="187"/>
      <c r="CT159" s="187"/>
      <c r="CU159" s="187"/>
      <c r="CV159" s="187"/>
      <c r="CW159" s="187"/>
      <c r="CX159" s="187"/>
      <c r="CY159" s="187"/>
      <c r="CZ159" s="187"/>
      <c r="DA159" s="187"/>
      <c r="DB159" s="187"/>
      <c r="DC159" s="187"/>
      <c r="DD159" s="187"/>
      <c r="DE159" s="187"/>
      <c r="DF159" s="187"/>
      <c r="DG159" s="187"/>
      <c r="DH159" s="187"/>
      <c r="DI159" s="187"/>
      <c r="DJ159" s="187"/>
      <c r="DK159" s="187"/>
      <c r="DL159" s="187"/>
      <c r="DM159" s="187"/>
      <c r="DN159" s="187"/>
      <c r="DO159" s="187"/>
      <c r="DP159" s="187"/>
      <c r="DQ159" s="187"/>
      <c r="DR159" s="187"/>
      <c r="DS159" s="187"/>
      <c r="DT159" s="187"/>
      <c r="DU159" s="187"/>
      <c r="DV159" s="187"/>
      <c r="DW159" s="187"/>
      <c r="DX159" s="187"/>
      <c r="DY159" s="187"/>
      <c r="DZ159" s="187"/>
      <c r="EA159" s="187"/>
      <c r="EB159" s="187"/>
      <c r="EC159" s="187"/>
      <c r="ED159" s="187"/>
      <c r="EE159" s="187"/>
      <c r="EF159" s="187"/>
      <c r="EG159" s="187"/>
      <c r="EH159" s="187"/>
      <c r="EI159" s="187"/>
      <c r="EJ159" s="187"/>
    </row>
    <row r="160">
      <c r="A160" s="4"/>
      <c r="B160" s="4"/>
      <c r="C160" s="4"/>
      <c r="D160" s="122"/>
      <c r="E160" s="29"/>
      <c r="F160" s="29"/>
      <c r="G160" s="29"/>
      <c r="H160" s="29"/>
      <c r="I160" s="29"/>
      <c r="J160" s="29"/>
      <c r="K160" s="29"/>
      <c r="L160" s="29"/>
      <c r="M160" s="29"/>
      <c r="N160" s="29"/>
      <c r="O160" s="4"/>
      <c r="P160" s="4"/>
      <c r="Q160" s="4"/>
      <c r="R160" s="77"/>
      <c r="V160" s="176"/>
      <c r="W160" s="176"/>
      <c r="X160" s="188" t="str">
        <f t="array" ref="X160">IFERROR(INDIRECT("'Bloque "&amp;$AT$24&amp;" Semana "&amp;$AT$23&amp;"'"&amp;"!"&amp;"E37"),"")</f>
        <v/>
      </c>
      <c r="AE160" s="186">
        <v>26.0</v>
      </c>
      <c r="AF160" s="188" t="str">
        <f t="array" ref="AF160">IFERROR(INDIRECT("'Bloque "&amp;$AU$24&amp;" Semana "&amp;$AU$23&amp;"'"&amp;"!"&amp;"E37"),"")</f>
        <v/>
      </c>
      <c r="AM160" s="186">
        <v>26.0</v>
      </c>
      <c r="AN160" s="188" t="str">
        <f t="array" ref="AN160">IFERROR(INDIRECT("'Bloque "&amp;$AV$24&amp;" Semana "&amp;$AV$23&amp;"'"&amp;"!"&amp;"E37"),"")</f>
        <v/>
      </c>
      <c r="AU160" s="186">
        <v>26.0</v>
      </c>
    </row>
    <row r="161">
      <c r="A161" s="4"/>
      <c r="B161" s="4"/>
      <c r="C161" s="4"/>
      <c r="D161" s="122"/>
      <c r="E161" s="29"/>
      <c r="F161" s="29"/>
      <c r="G161" s="29"/>
      <c r="H161" s="29"/>
      <c r="I161" s="29"/>
      <c r="J161" s="29"/>
      <c r="K161" s="29"/>
      <c r="L161" s="29"/>
      <c r="M161" s="29"/>
      <c r="N161" s="29"/>
      <c r="O161" s="4"/>
      <c r="P161" s="4"/>
      <c r="Q161" s="4"/>
      <c r="R161" s="77"/>
      <c r="V161" s="176"/>
      <c r="W161" s="176"/>
      <c r="X161" s="176" t="str">
        <f t="array" ref="X161">IFERROR(INDIRECT("'Bloque "&amp;$AT$24&amp;" Semana "&amp;$AT$23&amp;"'"&amp;"!"&amp;"E25"),"")</f>
        <v/>
      </c>
      <c r="AE161" s="186">
        <v>25.0</v>
      </c>
      <c r="AF161" s="176" t="str">
        <f t="array" ref="AF161">IFERROR(INDIRECT("'Bloque "&amp;$AU$24&amp;" Semana "&amp;$AU$23&amp;"'"&amp;"!"&amp;"E25"),"")</f>
        <v/>
      </c>
      <c r="AM161" s="186">
        <v>25.0</v>
      </c>
      <c r="AN161" s="176" t="str">
        <f t="array" ref="AN161">IFERROR(INDIRECT("'Bloque "&amp;$AV$24&amp;" Semana "&amp;$AV$23&amp;"'"&amp;"!"&amp;"E25"),"")</f>
        <v/>
      </c>
      <c r="AU161" s="186">
        <v>25.0</v>
      </c>
    </row>
    <row r="162">
      <c r="A162" s="4"/>
      <c r="B162" s="4"/>
      <c r="C162" s="4"/>
      <c r="D162" s="122"/>
      <c r="E162" s="29"/>
      <c r="F162" s="29"/>
      <c r="G162" s="29"/>
      <c r="H162" s="29"/>
      <c r="I162" s="29"/>
      <c r="J162" s="29"/>
      <c r="K162" s="29"/>
      <c r="L162" s="29"/>
      <c r="M162" s="29"/>
      <c r="N162" s="29"/>
      <c r="O162" s="4"/>
      <c r="P162" s="4"/>
      <c r="Q162" s="4"/>
      <c r="R162" s="77"/>
      <c r="V162" s="176"/>
      <c r="W162" s="176"/>
      <c r="X162" s="189" t="str">
        <f t="array" ref="X162">IFERROR(INDIRECT("'Bloque "&amp;$AT$24&amp;" Semana "&amp;$AT$23&amp;"'"&amp;"!"&amp;"E26"),"")</f>
        <v/>
      </c>
      <c r="AE162" s="186">
        <v>26.0</v>
      </c>
      <c r="AF162" s="189" t="str">
        <f t="array" ref="AF162">IFERROR(INDIRECT("'Bloque "&amp;$AU$24&amp;" Semana "&amp;$AU$23&amp;"'"&amp;"!"&amp;"E26"),"")</f>
        <v/>
      </c>
      <c r="AM162" s="186">
        <v>26.0</v>
      </c>
      <c r="AN162" s="189" t="str">
        <f t="array" ref="AN162">IFERROR(INDIRECT("'Bloque "&amp;$AV$24&amp;" Semana "&amp;$AV$23&amp;"'"&amp;"!"&amp;"E26"),"")</f>
        <v/>
      </c>
      <c r="AU162" s="186">
        <v>26.0</v>
      </c>
    </row>
    <row r="163">
      <c r="A163" s="4"/>
      <c r="B163" s="4"/>
      <c r="C163" s="4"/>
      <c r="D163" s="122"/>
      <c r="E163" s="29"/>
      <c r="F163" s="29"/>
      <c r="G163" s="29"/>
      <c r="H163" s="29"/>
      <c r="I163" s="29"/>
      <c r="J163" s="29"/>
      <c r="K163" s="29"/>
      <c r="L163" s="29"/>
      <c r="M163" s="29"/>
      <c r="N163" s="29"/>
      <c r="O163" s="4"/>
      <c r="P163" s="4"/>
      <c r="Q163" s="4"/>
      <c r="R163" s="77"/>
      <c r="V163" s="176"/>
      <c r="W163" s="176"/>
      <c r="X163" s="190" t="str">
        <f t="shared" ref="X163:AD163" si="278">IFERROR(INDIRECT("'Bloque "&amp;$AT$24&amp;" Semana "&amp;$AT$23&amp;"'"&amp;"!"&amp;X$159&amp;$AE163),"")</f>
        <v/>
      </c>
      <c r="Y163" s="190" t="str">
        <f t="shared" si="278"/>
        <v/>
      </c>
      <c r="Z163" s="190" t="str">
        <f t="shared" si="278"/>
        <v/>
      </c>
      <c r="AA163" s="190" t="str">
        <f t="shared" si="278"/>
        <v/>
      </c>
      <c r="AB163" s="190" t="str">
        <f t="shared" si="278"/>
        <v/>
      </c>
      <c r="AC163" s="190" t="str">
        <f t="shared" si="278"/>
        <v/>
      </c>
      <c r="AD163" s="190" t="str">
        <f t="shared" si="278"/>
        <v/>
      </c>
      <c r="AE163" s="191">
        <v>27.0</v>
      </c>
      <c r="AF163" s="190" t="str">
        <f t="shared" ref="AF163:AL163" si="279">IFERROR(INDIRECT("'Bloque "&amp;$AU$24&amp;" Semana "&amp;$AU$23&amp;"'"&amp;"!"&amp;AF$159&amp;$AM163),"")</f>
        <v/>
      </c>
      <c r="AG163" s="190" t="str">
        <f t="shared" si="279"/>
        <v/>
      </c>
      <c r="AH163" s="190" t="str">
        <f t="shared" si="279"/>
        <v/>
      </c>
      <c r="AI163" s="190" t="str">
        <f t="shared" si="279"/>
        <v/>
      </c>
      <c r="AJ163" s="190" t="str">
        <f t="shared" si="279"/>
        <v/>
      </c>
      <c r="AK163" s="190" t="str">
        <f t="shared" si="279"/>
        <v/>
      </c>
      <c r="AL163" s="190" t="str">
        <f t="shared" si="279"/>
        <v/>
      </c>
      <c r="AM163" s="191">
        <v>27.0</v>
      </c>
      <c r="AN163" s="190" t="str">
        <f t="shared" ref="AN163:AT163" si="280">IFERROR(INDIRECT("'Bloque "&amp;$AV$24&amp;" Semana "&amp;$AV$23&amp;"'"&amp;"!"&amp;AN$159&amp;$AU163),"")</f>
        <v/>
      </c>
      <c r="AO163" s="190" t="str">
        <f t="shared" si="280"/>
        <v/>
      </c>
      <c r="AP163" s="190" t="str">
        <f t="shared" si="280"/>
        <v/>
      </c>
      <c r="AQ163" s="190" t="str">
        <f t="shared" si="280"/>
        <v/>
      </c>
      <c r="AR163" s="190" t="str">
        <f t="shared" si="280"/>
        <v/>
      </c>
      <c r="AS163" s="190" t="str">
        <f t="shared" si="280"/>
        <v/>
      </c>
      <c r="AT163" s="190" t="str">
        <f t="shared" si="280"/>
        <v/>
      </c>
      <c r="AU163" s="191">
        <v>27.0</v>
      </c>
    </row>
    <row r="164">
      <c r="A164" s="4"/>
      <c r="B164" s="4"/>
      <c r="C164" s="4"/>
      <c r="D164" s="122"/>
      <c r="E164" s="29"/>
      <c r="F164" s="29"/>
      <c r="G164" s="29"/>
      <c r="H164" s="29"/>
      <c r="I164" s="29"/>
      <c r="J164" s="29"/>
      <c r="K164" s="29"/>
      <c r="L164" s="29"/>
      <c r="M164" s="29"/>
      <c r="N164" s="29"/>
      <c r="O164" s="4"/>
      <c r="P164" s="4"/>
      <c r="Q164" s="4"/>
      <c r="R164" s="77"/>
      <c r="V164" s="176"/>
      <c r="W164" s="176"/>
      <c r="X164" s="197" t="str">
        <f t="shared" ref="X164:AD164" si="281">IFERROR(INDIRECT("'Bloque "&amp;$AT$24&amp;" Semana "&amp;$AT$23&amp;"'"&amp;"!"&amp;X$159&amp;$AE164),"")</f>
        <v/>
      </c>
      <c r="Y164" s="197" t="str">
        <f t="shared" si="281"/>
        <v/>
      </c>
      <c r="Z164" s="197" t="str">
        <f t="shared" si="281"/>
        <v/>
      </c>
      <c r="AA164" s="197" t="str">
        <f t="shared" si="281"/>
        <v/>
      </c>
      <c r="AB164" s="197" t="str">
        <f t="shared" si="281"/>
        <v/>
      </c>
      <c r="AC164" s="197" t="str">
        <f t="shared" si="281"/>
        <v/>
      </c>
      <c r="AD164" s="197" t="str">
        <f t="shared" si="281"/>
        <v/>
      </c>
      <c r="AE164" s="191">
        <v>28.0</v>
      </c>
      <c r="AF164" s="197" t="str">
        <f t="shared" ref="AF164:AL164" si="282">IFERROR(INDIRECT("'Bloque "&amp;$AU$24&amp;" Semana "&amp;$AU$23&amp;"'"&amp;"!"&amp;AF$159&amp;$AM164),"")</f>
        <v/>
      </c>
      <c r="AG164" s="197" t="str">
        <f t="shared" si="282"/>
        <v/>
      </c>
      <c r="AH164" s="197" t="str">
        <f t="shared" si="282"/>
        <v/>
      </c>
      <c r="AI164" s="197" t="str">
        <f t="shared" si="282"/>
        <v/>
      </c>
      <c r="AJ164" s="197" t="str">
        <f t="shared" si="282"/>
        <v/>
      </c>
      <c r="AK164" s="197" t="str">
        <f t="shared" si="282"/>
        <v/>
      </c>
      <c r="AL164" s="197" t="str">
        <f t="shared" si="282"/>
        <v/>
      </c>
      <c r="AM164" s="191">
        <v>28.0</v>
      </c>
      <c r="AN164" s="197" t="str">
        <f t="shared" ref="AN164:AT164" si="283">IFERROR(INDIRECT("'Bloque "&amp;$AV$24&amp;" Semana "&amp;$AV$23&amp;"'"&amp;"!"&amp;AN$159&amp;$AU164),"")</f>
        <v/>
      </c>
      <c r="AO164" s="197" t="str">
        <f t="shared" si="283"/>
        <v/>
      </c>
      <c r="AP164" s="197" t="str">
        <f t="shared" si="283"/>
        <v/>
      </c>
      <c r="AQ164" s="197" t="str">
        <f t="shared" si="283"/>
        <v/>
      </c>
      <c r="AR164" s="197" t="str">
        <f t="shared" si="283"/>
        <v/>
      </c>
      <c r="AS164" s="197" t="str">
        <f t="shared" si="283"/>
        <v/>
      </c>
      <c r="AT164" s="197" t="str">
        <f t="shared" si="283"/>
        <v/>
      </c>
      <c r="AU164" s="191">
        <v>28.0</v>
      </c>
    </row>
    <row r="165">
      <c r="A165" s="4"/>
      <c r="B165" s="4"/>
      <c r="C165" s="4"/>
      <c r="D165" s="122"/>
      <c r="E165" s="29"/>
      <c r="F165" s="29"/>
      <c r="G165" s="29"/>
      <c r="H165" s="29"/>
      <c r="I165" s="29"/>
      <c r="J165" s="29"/>
      <c r="K165" s="29"/>
      <c r="L165" s="29"/>
      <c r="M165" s="29"/>
      <c r="N165" s="29"/>
      <c r="O165" s="4"/>
      <c r="P165" s="4"/>
      <c r="Q165" s="4"/>
      <c r="R165" s="77"/>
      <c r="V165" s="176"/>
      <c r="W165" s="176"/>
      <c r="X165" s="197" t="str">
        <f t="shared" ref="X165:AD165" si="284">IFERROR(INDIRECT("'Bloque "&amp;$AT$24&amp;" Semana "&amp;$AT$23&amp;"'"&amp;"!"&amp;X$159&amp;$AE165),"")</f>
        <v/>
      </c>
      <c r="Y165" s="197" t="str">
        <f t="shared" si="284"/>
        <v/>
      </c>
      <c r="Z165" s="197" t="str">
        <f t="shared" si="284"/>
        <v/>
      </c>
      <c r="AA165" s="197" t="str">
        <f t="shared" si="284"/>
        <v/>
      </c>
      <c r="AB165" s="197" t="str">
        <f t="shared" si="284"/>
        <v/>
      </c>
      <c r="AC165" s="197" t="str">
        <f t="shared" si="284"/>
        <v/>
      </c>
      <c r="AD165" s="197" t="str">
        <f t="shared" si="284"/>
        <v/>
      </c>
      <c r="AE165" s="191">
        <v>29.0</v>
      </c>
      <c r="AF165" s="197" t="str">
        <f t="shared" ref="AF165:AL165" si="285">IFERROR(INDIRECT("'Bloque "&amp;$AU$24&amp;" Semana "&amp;$AU$23&amp;"'"&amp;"!"&amp;AF$159&amp;$AM165),"")</f>
        <v/>
      </c>
      <c r="AG165" s="197" t="str">
        <f t="shared" si="285"/>
        <v/>
      </c>
      <c r="AH165" s="197" t="str">
        <f t="shared" si="285"/>
        <v/>
      </c>
      <c r="AI165" s="197" t="str">
        <f t="shared" si="285"/>
        <v/>
      </c>
      <c r="AJ165" s="197" t="str">
        <f t="shared" si="285"/>
        <v/>
      </c>
      <c r="AK165" s="197" t="str">
        <f t="shared" si="285"/>
        <v/>
      </c>
      <c r="AL165" s="197" t="str">
        <f t="shared" si="285"/>
        <v/>
      </c>
      <c r="AM165" s="191">
        <v>29.0</v>
      </c>
      <c r="AN165" s="197" t="str">
        <f t="shared" ref="AN165:AT165" si="286">IFERROR(INDIRECT("'Bloque "&amp;$AV$24&amp;" Semana "&amp;$AV$23&amp;"'"&amp;"!"&amp;AN$159&amp;$AU165),"")</f>
        <v/>
      </c>
      <c r="AO165" s="197" t="str">
        <f t="shared" si="286"/>
        <v/>
      </c>
      <c r="AP165" s="197" t="str">
        <f t="shared" si="286"/>
        <v/>
      </c>
      <c r="AQ165" s="197" t="str">
        <f t="shared" si="286"/>
        <v/>
      </c>
      <c r="AR165" s="197" t="str">
        <f t="shared" si="286"/>
        <v/>
      </c>
      <c r="AS165" s="197" t="str">
        <f t="shared" si="286"/>
        <v/>
      </c>
      <c r="AT165" s="197" t="str">
        <f t="shared" si="286"/>
        <v/>
      </c>
      <c r="AU165" s="191">
        <v>29.0</v>
      </c>
    </row>
    <row r="166">
      <c r="A166" s="4"/>
      <c r="B166" s="4"/>
      <c r="C166" s="4"/>
      <c r="D166" s="122"/>
      <c r="E166" s="29"/>
      <c r="F166" s="29"/>
      <c r="G166" s="29"/>
      <c r="H166" s="29"/>
      <c r="I166" s="29"/>
      <c r="J166" s="29"/>
      <c r="K166" s="29"/>
      <c r="L166" s="29"/>
      <c r="M166" s="29"/>
      <c r="N166" s="29"/>
      <c r="O166" s="4"/>
      <c r="P166" s="4"/>
      <c r="Q166" s="4"/>
      <c r="R166" s="77"/>
      <c r="V166" s="176"/>
      <c r="W166" s="176"/>
      <c r="X166" s="197" t="str">
        <f t="shared" ref="X166:AD166" si="287">IFERROR(INDIRECT("'Bloque "&amp;$AT$24&amp;" Semana "&amp;$AT$23&amp;"'"&amp;"!"&amp;X$159&amp;$AE166),"")</f>
        <v/>
      </c>
      <c r="Y166" s="197" t="str">
        <f t="shared" si="287"/>
        <v/>
      </c>
      <c r="Z166" s="197" t="str">
        <f t="shared" si="287"/>
        <v/>
      </c>
      <c r="AA166" s="197" t="str">
        <f t="shared" si="287"/>
        <v/>
      </c>
      <c r="AB166" s="197" t="str">
        <f t="shared" si="287"/>
        <v/>
      </c>
      <c r="AC166" s="197" t="str">
        <f t="shared" si="287"/>
        <v/>
      </c>
      <c r="AD166" s="197" t="str">
        <f t="shared" si="287"/>
        <v/>
      </c>
      <c r="AE166" s="191">
        <v>30.0</v>
      </c>
      <c r="AF166" s="197" t="str">
        <f t="shared" ref="AF166:AL166" si="288">IFERROR(INDIRECT("'Bloque "&amp;$AU$24&amp;" Semana "&amp;$AU$23&amp;"'"&amp;"!"&amp;AF$159&amp;$AM166),"")</f>
        <v/>
      </c>
      <c r="AG166" s="197" t="str">
        <f t="shared" si="288"/>
        <v/>
      </c>
      <c r="AH166" s="197" t="str">
        <f t="shared" si="288"/>
        <v/>
      </c>
      <c r="AI166" s="197" t="str">
        <f t="shared" si="288"/>
        <v/>
      </c>
      <c r="AJ166" s="197" t="str">
        <f t="shared" si="288"/>
        <v/>
      </c>
      <c r="AK166" s="197" t="str">
        <f t="shared" si="288"/>
        <v/>
      </c>
      <c r="AL166" s="197" t="str">
        <f t="shared" si="288"/>
        <v/>
      </c>
      <c r="AM166" s="191">
        <v>30.0</v>
      </c>
      <c r="AN166" s="197" t="str">
        <f t="shared" ref="AN166:AT166" si="289">IFERROR(INDIRECT("'Bloque "&amp;$AV$24&amp;" Semana "&amp;$AV$23&amp;"'"&amp;"!"&amp;AN$159&amp;$AU166),"")</f>
        <v/>
      </c>
      <c r="AO166" s="197" t="str">
        <f t="shared" si="289"/>
        <v/>
      </c>
      <c r="AP166" s="197" t="str">
        <f t="shared" si="289"/>
        <v/>
      </c>
      <c r="AQ166" s="197" t="str">
        <f t="shared" si="289"/>
        <v/>
      </c>
      <c r="AR166" s="197" t="str">
        <f t="shared" si="289"/>
        <v/>
      </c>
      <c r="AS166" s="197" t="str">
        <f t="shared" si="289"/>
        <v/>
      </c>
      <c r="AT166" s="197" t="str">
        <f t="shared" si="289"/>
        <v/>
      </c>
      <c r="AU166" s="191">
        <v>30.0</v>
      </c>
    </row>
    <row r="167">
      <c r="A167" s="4"/>
      <c r="B167" s="4"/>
      <c r="C167" s="4"/>
      <c r="D167" s="122"/>
      <c r="E167" s="29"/>
      <c r="F167" s="29"/>
      <c r="G167" s="29"/>
      <c r="H167" s="29"/>
      <c r="I167" s="29"/>
      <c r="J167" s="29"/>
      <c r="K167" s="29"/>
      <c r="L167" s="29"/>
      <c r="M167" s="29"/>
      <c r="N167" s="29"/>
      <c r="O167" s="4"/>
      <c r="P167" s="4"/>
      <c r="Q167" s="4"/>
      <c r="R167" s="77"/>
      <c r="V167" s="176"/>
      <c r="W167" s="176"/>
      <c r="X167" s="197" t="str">
        <f t="shared" ref="X167:AD167" si="290">IFERROR(INDIRECT("'Bloque "&amp;$AT$24&amp;" Semana "&amp;$AT$23&amp;"'"&amp;"!"&amp;X$159&amp;$AE167),"")</f>
        <v/>
      </c>
      <c r="Y167" s="197" t="str">
        <f t="shared" si="290"/>
        <v/>
      </c>
      <c r="Z167" s="197" t="str">
        <f t="shared" si="290"/>
        <v/>
      </c>
      <c r="AA167" s="197" t="str">
        <f t="shared" si="290"/>
        <v/>
      </c>
      <c r="AB167" s="197" t="str">
        <f t="shared" si="290"/>
        <v/>
      </c>
      <c r="AC167" s="197" t="str">
        <f t="shared" si="290"/>
        <v/>
      </c>
      <c r="AD167" s="197" t="str">
        <f t="shared" si="290"/>
        <v/>
      </c>
      <c r="AE167" s="191">
        <v>31.0</v>
      </c>
      <c r="AF167" s="197" t="str">
        <f t="shared" ref="AF167:AL167" si="291">IFERROR(INDIRECT("'Bloque "&amp;$AU$24&amp;" Semana "&amp;$AU$23&amp;"'"&amp;"!"&amp;AF$159&amp;$AM167),"")</f>
        <v/>
      </c>
      <c r="AG167" s="197" t="str">
        <f t="shared" si="291"/>
        <v/>
      </c>
      <c r="AH167" s="197" t="str">
        <f t="shared" si="291"/>
        <v/>
      </c>
      <c r="AI167" s="197" t="str">
        <f t="shared" si="291"/>
        <v/>
      </c>
      <c r="AJ167" s="197" t="str">
        <f t="shared" si="291"/>
        <v/>
      </c>
      <c r="AK167" s="197" t="str">
        <f t="shared" si="291"/>
        <v/>
      </c>
      <c r="AL167" s="197" t="str">
        <f t="shared" si="291"/>
        <v/>
      </c>
      <c r="AM167" s="191">
        <v>31.0</v>
      </c>
      <c r="AN167" s="197" t="str">
        <f t="shared" ref="AN167:AT167" si="292">IFERROR(INDIRECT("'Bloque "&amp;$AV$24&amp;" Semana "&amp;$AV$23&amp;"'"&amp;"!"&amp;AN$159&amp;$AU167),"")</f>
        <v/>
      </c>
      <c r="AO167" s="197" t="str">
        <f t="shared" si="292"/>
        <v/>
      </c>
      <c r="AP167" s="197" t="str">
        <f t="shared" si="292"/>
        <v/>
      </c>
      <c r="AQ167" s="197" t="str">
        <f t="shared" si="292"/>
        <v/>
      </c>
      <c r="AR167" s="197" t="str">
        <f t="shared" si="292"/>
        <v/>
      </c>
      <c r="AS167" s="197" t="str">
        <f t="shared" si="292"/>
        <v/>
      </c>
      <c r="AT167" s="197" t="str">
        <f t="shared" si="292"/>
        <v/>
      </c>
      <c r="AU167" s="191">
        <v>31.0</v>
      </c>
    </row>
    <row r="168">
      <c r="A168" s="4"/>
      <c r="B168" s="4"/>
      <c r="C168" s="4"/>
      <c r="D168" s="122"/>
      <c r="E168" s="29"/>
      <c r="F168" s="29"/>
      <c r="G168" s="29"/>
      <c r="H168" s="29"/>
      <c r="I168" s="29"/>
      <c r="J168" s="29"/>
      <c r="K168" s="29"/>
      <c r="L168" s="29"/>
      <c r="M168" s="29"/>
      <c r="N168" s="29"/>
      <c r="O168" s="4"/>
      <c r="P168" s="4"/>
      <c r="Q168" s="4"/>
      <c r="R168" s="77"/>
      <c r="V168" s="176"/>
      <c r="W168" s="176"/>
      <c r="X168" s="197" t="str">
        <f t="shared" ref="X168:AD168" si="293">IFERROR(INDIRECT("'Bloque "&amp;$AT$24&amp;" Semana "&amp;$AT$23&amp;"'"&amp;"!"&amp;X$159&amp;$AE168),"")</f>
        <v/>
      </c>
      <c r="Y168" s="197" t="str">
        <f t="shared" si="293"/>
        <v/>
      </c>
      <c r="Z168" s="197" t="str">
        <f t="shared" si="293"/>
        <v/>
      </c>
      <c r="AA168" s="197" t="str">
        <f t="shared" si="293"/>
        <v/>
      </c>
      <c r="AB168" s="197" t="str">
        <f t="shared" si="293"/>
        <v/>
      </c>
      <c r="AC168" s="197" t="str">
        <f t="shared" si="293"/>
        <v/>
      </c>
      <c r="AD168" s="197" t="str">
        <f t="shared" si="293"/>
        <v/>
      </c>
      <c r="AE168" s="191">
        <v>32.0</v>
      </c>
      <c r="AF168" s="197" t="str">
        <f t="shared" ref="AF168:AL168" si="294">IFERROR(INDIRECT("'Bloque "&amp;$AU$24&amp;" Semana "&amp;$AU$23&amp;"'"&amp;"!"&amp;AF$159&amp;$AM168),"")</f>
        <v/>
      </c>
      <c r="AG168" s="197" t="str">
        <f t="shared" si="294"/>
        <v/>
      </c>
      <c r="AH168" s="197" t="str">
        <f t="shared" si="294"/>
        <v/>
      </c>
      <c r="AI168" s="197" t="str">
        <f t="shared" si="294"/>
        <v/>
      </c>
      <c r="AJ168" s="197" t="str">
        <f t="shared" si="294"/>
        <v/>
      </c>
      <c r="AK168" s="197" t="str">
        <f t="shared" si="294"/>
        <v/>
      </c>
      <c r="AL168" s="197" t="str">
        <f t="shared" si="294"/>
        <v/>
      </c>
      <c r="AM168" s="191">
        <v>32.0</v>
      </c>
      <c r="AN168" s="197" t="str">
        <f t="shared" ref="AN168:AT168" si="295">IFERROR(INDIRECT("'Bloque "&amp;$AV$24&amp;" Semana "&amp;$AV$23&amp;"'"&amp;"!"&amp;AN$159&amp;$AU168),"")</f>
        <v/>
      </c>
      <c r="AO168" s="197" t="str">
        <f t="shared" si="295"/>
        <v/>
      </c>
      <c r="AP168" s="197" t="str">
        <f t="shared" si="295"/>
        <v/>
      </c>
      <c r="AQ168" s="197" t="str">
        <f t="shared" si="295"/>
        <v/>
      </c>
      <c r="AR168" s="197" t="str">
        <f t="shared" si="295"/>
        <v/>
      </c>
      <c r="AS168" s="197" t="str">
        <f t="shared" si="295"/>
        <v/>
      </c>
      <c r="AT168" s="197" t="str">
        <f t="shared" si="295"/>
        <v/>
      </c>
      <c r="AU168" s="191">
        <v>32.0</v>
      </c>
    </row>
    <row r="169">
      <c r="A169" s="4"/>
      <c r="B169" s="4"/>
      <c r="C169" s="4"/>
      <c r="D169" s="122"/>
      <c r="E169" s="29"/>
      <c r="F169" s="29"/>
      <c r="G169" s="29"/>
      <c r="H169" s="29"/>
      <c r="I169" s="29"/>
      <c r="J169" s="29"/>
      <c r="K169" s="29"/>
      <c r="L169" s="29"/>
      <c r="M169" s="29"/>
      <c r="N169" s="29"/>
      <c r="O169" s="4"/>
      <c r="P169" s="4"/>
      <c r="Q169" s="4"/>
      <c r="R169" s="77"/>
      <c r="V169" s="176"/>
      <c r="W169" s="176"/>
      <c r="X169" s="197" t="str">
        <f t="shared" ref="X169:AD169" si="296">IFERROR(INDIRECT("'Bloque "&amp;$AT$24&amp;" Semana "&amp;$AT$23&amp;"'"&amp;"!"&amp;X$159&amp;$AE169),"")</f>
        <v/>
      </c>
      <c r="Y169" s="197" t="str">
        <f t="shared" si="296"/>
        <v/>
      </c>
      <c r="Z169" s="197" t="str">
        <f t="shared" si="296"/>
        <v/>
      </c>
      <c r="AA169" s="197" t="str">
        <f t="shared" si="296"/>
        <v/>
      </c>
      <c r="AB169" s="197" t="str">
        <f t="shared" si="296"/>
        <v/>
      </c>
      <c r="AC169" s="197" t="str">
        <f t="shared" si="296"/>
        <v/>
      </c>
      <c r="AD169" s="197" t="str">
        <f t="shared" si="296"/>
        <v/>
      </c>
      <c r="AE169" s="191">
        <v>33.0</v>
      </c>
      <c r="AF169" s="197" t="str">
        <f t="shared" ref="AF169:AL169" si="297">IFERROR(INDIRECT("'Bloque "&amp;$AU$24&amp;" Semana "&amp;$AU$23&amp;"'"&amp;"!"&amp;AF$159&amp;$AM169),"")</f>
        <v/>
      </c>
      <c r="AG169" s="197" t="str">
        <f t="shared" si="297"/>
        <v/>
      </c>
      <c r="AH169" s="197" t="str">
        <f t="shared" si="297"/>
        <v/>
      </c>
      <c r="AI169" s="197" t="str">
        <f t="shared" si="297"/>
        <v/>
      </c>
      <c r="AJ169" s="197" t="str">
        <f t="shared" si="297"/>
        <v/>
      </c>
      <c r="AK169" s="197" t="str">
        <f t="shared" si="297"/>
        <v/>
      </c>
      <c r="AL169" s="197" t="str">
        <f t="shared" si="297"/>
        <v/>
      </c>
      <c r="AM169" s="191">
        <v>33.0</v>
      </c>
      <c r="AN169" s="197" t="str">
        <f t="shared" ref="AN169:AT169" si="298">IFERROR(INDIRECT("'Bloque "&amp;$AV$24&amp;" Semana "&amp;$AV$23&amp;"'"&amp;"!"&amp;AN$159&amp;$AU169),"")</f>
        <v/>
      </c>
      <c r="AO169" s="197" t="str">
        <f t="shared" si="298"/>
        <v/>
      </c>
      <c r="AP169" s="197" t="str">
        <f t="shared" si="298"/>
        <v/>
      </c>
      <c r="AQ169" s="197" t="str">
        <f t="shared" si="298"/>
        <v/>
      </c>
      <c r="AR169" s="197" t="str">
        <f t="shared" si="298"/>
        <v/>
      </c>
      <c r="AS169" s="197" t="str">
        <f t="shared" si="298"/>
        <v/>
      </c>
      <c r="AT169" s="197" t="str">
        <f t="shared" si="298"/>
        <v/>
      </c>
      <c r="AU169" s="191">
        <v>33.0</v>
      </c>
    </row>
    <row r="170">
      <c r="A170" s="4"/>
      <c r="B170" s="4"/>
      <c r="C170" s="4"/>
      <c r="D170" s="122"/>
      <c r="E170" s="29"/>
      <c r="F170" s="29"/>
      <c r="G170" s="29"/>
      <c r="H170" s="29"/>
      <c r="I170" s="29"/>
      <c r="J170" s="29"/>
      <c r="K170" s="29"/>
      <c r="L170" s="29"/>
      <c r="M170" s="29"/>
      <c r="N170" s="29"/>
      <c r="O170" s="4"/>
      <c r="P170" s="4"/>
      <c r="Q170" s="4"/>
      <c r="R170" s="77"/>
      <c r="V170" s="176"/>
      <c r="W170" s="176"/>
      <c r="X170" s="197" t="str">
        <f t="shared" ref="X170:AD170" si="299">IFERROR(INDIRECT("'Bloque "&amp;$AT$24&amp;" Semana "&amp;$AT$23&amp;"'"&amp;"!"&amp;X$159&amp;$AE170),"")</f>
        <v/>
      </c>
      <c r="Y170" s="197" t="str">
        <f t="shared" si="299"/>
        <v/>
      </c>
      <c r="Z170" s="197" t="str">
        <f t="shared" si="299"/>
        <v/>
      </c>
      <c r="AA170" s="197" t="str">
        <f t="shared" si="299"/>
        <v/>
      </c>
      <c r="AB170" s="197" t="str">
        <f t="shared" si="299"/>
        <v/>
      </c>
      <c r="AC170" s="197" t="str">
        <f t="shared" si="299"/>
        <v/>
      </c>
      <c r="AD170" s="197" t="str">
        <f t="shared" si="299"/>
        <v/>
      </c>
      <c r="AE170" s="191">
        <v>34.0</v>
      </c>
      <c r="AF170" s="197" t="str">
        <f t="shared" ref="AF170:AL170" si="300">IFERROR(INDIRECT("'Bloque "&amp;$AU$24&amp;" Semana "&amp;$AU$23&amp;"'"&amp;"!"&amp;AF$159&amp;$AM170),"")</f>
        <v/>
      </c>
      <c r="AG170" s="197" t="str">
        <f t="shared" si="300"/>
        <v/>
      </c>
      <c r="AH170" s="197" t="str">
        <f t="shared" si="300"/>
        <v/>
      </c>
      <c r="AI170" s="197" t="str">
        <f t="shared" si="300"/>
        <v/>
      </c>
      <c r="AJ170" s="197" t="str">
        <f t="shared" si="300"/>
        <v/>
      </c>
      <c r="AK170" s="197" t="str">
        <f t="shared" si="300"/>
        <v/>
      </c>
      <c r="AL170" s="197" t="str">
        <f t="shared" si="300"/>
        <v/>
      </c>
      <c r="AM170" s="191">
        <v>34.0</v>
      </c>
      <c r="AN170" s="197" t="str">
        <f t="shared" ref="AN170:AT170" si="301">IFERROR(INDIRECT("'Bloque "&amp;$AV$24&amp;" Semana "&amp;$AV$23&amp;"'"&amp;"!"&amp;AN$159&amp;$AU170),"")</f>
        <v/>
      </c>
      <c r="AO170" s="197" t="str">
        <f t="shared" si="301"/>
        <v/>
      </c>
      <c r="AP170" s="197" t="str">
        <f t="shared" si="301"/>
        <v/>
      </c>
      <c r="AQ170" s="197" t="str">
        <f t="shared" si="301"/>
        <v/>
      </c>
      <c r="AR170" s="197" t="str">
        <f t="shared" si="301"/>
        <v/>
      </c>
      <c r="AS170" s="197" t="str">
        <f t="shared" si="301"/>
        <v/>
      </c>
      <c r="AT170" s="197" t="str">
        <f t="shared" si="301"/>
        <v/>
      </c>
      <c r="AU170" s="191">
        <v>34.0</v>
      </c>
    </row>
    <row r="171">
      <c r="A171" s="4"/>
      <c r="B171" s="4"/>
      <c r="C171" s="4"/>
      <c r="D171" s="122"/>
      <c r="E171" s="29"/>
      <c r="F171" s="29"/>
      <c r="G171" s="29"/>
      <c r="H171" s="29"/>
      <c r="I171" s="29"/>
      <c r="J171" s="29"/>
      <c r="K171" s="29"/>
      <c r="L171" s="29"/>
      <c r="M171" s="29"/>
      <c r="N171" s="29"/>
      <c r="O171" s="4"/>
      <c r="P171" s="4"/>
      <c r="Q171" s="4"/>
      <c r="R171" s="77"/>
      <c r="V171" s="176"/>
      <c r="W171" s="176"/>
      <c r="X171" s="197" t="str">
        <f t="shared" ref="X171:AD171" si="302">IFERROR(INDIRECT("'Bloque "&amp;$AT$24&amp;" Semana "&amp;$AT$23&amp;"'"&amp;"!"&amp;X$159&amp;$AE171),"")</f>
        <v/>
      </c>
      <c r="Y171" s="197" t="str">
        <f t="shared" si="302"/>
        <v/>
      </c>
      <c r="Z171" s="197" t="str">
        <f t="shared" si="302"/>
        <v/>
      </c>
      <c r="AA171" s="197" t="str">
        <f t="shared" si="302"/>
        <v/>
      </c>
      <c r="AB171" s="197" t="str">
        <f t="shared" si="302"/>
        <v/>
      </c>
      <c r="AC171" s="197" t="str">
        <f t="shared" si="302"/>
        <v/>
      </c>
      <c r="AD171" s="197" t="str">
        <f t="shared" si="302"/>
        <v/>
      </c>
      <c r="AE171" s="191">
        <v>35.0</v>
      </c>
      <c r="AF171" s="197" t="str">
        <f t="shared" ref="AF171:AL171" si="303">IFERROR(INDIRECT("'Bloque "&amp;$AU$24&amp;" Semana "&amp;$AU$23&amp;"'"&amp;"!"&amp;AF$159&amp;$AM171),"")</f>
        <v/>
      </c>
      <c r="AG171" s="197" t="str">
        <f t="shared" si="303"/>
        <v/>
      </c>
      <c r="AH171" s="197" t="str">
        <f t="shared" si="303"/>
        <v/>
      </c>
      <c r="AI171" s="197" t="str">
        <f t="shared" si="303"/>
        <v/>
      </c>
      <c r="AJ171" s="197" t="str">
        <f t="shared" si="303"/>
        <v/>
      </c>
      <c r="AK171" s="197" t="str">
        <f t="shared" si="303"/>
        <v/>
      </c>
      <c r="AL171" s="197" t="str">
        <f t="shared" si="303"/>
        <v/>
      </c>
      <c r="AM171" s="191">
        <v>35.0</v>
      </c>
      <c r="AN171" s="197" t="str">
        <f t="shared" ref="AN171:AT171" si="304">IFERROR(INDIRECT("'Bloque "&amp;$AV$24&amp;" Semana "&amp;$AV$23&amp;"'"&amp;"!"&amp;AN$159&amp;$AU171),"")</f>
        <v/>
      </c>
      <c r="AO171" s="197" t="str">
        <f t="shared" si="304"/>
        <v/>
      </c>
      <c r="AP171" s="197" t="str">
        <f t="shared" si="304"/>
        <v/>
      </c>
      <c r="AQ171" s="197" t="str">
        <f t="shared" si="304"/>
        <v/>
      </c>
      <c r="AR171" s="197" t="str">
        <f t="shared" si="304"/>
        <v/>
      </c>
      <c r="AS171" s="197" t="str">
        <f t="shared" si="304"/>
        <v/>
      </c>
      <c r="AT171" s="197" t="str">
        <f t="shared" si="304"/>
        <v/>
      </c>
      <c r="AU171" s="191">
        <v>35.0</v>
      </c>
    </row>
    <row r="172">
      <c r="A172" s="4"/>
      <c r="B172" s="4"/>
      <c r="C172" s="4"/>
      <c r="D172" s="122"/>
      <c r="E172" s="29"/>
      <c r="F172" s="29"/>
      <c r="G172" s="29"/>
      <c r="H172" s="29"/>
      <c r="I172" s="29"/>
      <c r="J172" s="29"/>
      <c r="K172" s="29"/>
      <c r="L172" s="29"/>
      <c r="M172" s="29"/>
      <c r="N172" s="29"/>
      <c r="O172" s="4"/>
      <c r="P172" s="4"/>
      <c r="Q172" s="4"/>
      <c r="R172" s="77"/>
      <c r="V172" s="176"/>
      <c r="W172" s="176"/>
      <c r="X172" s="176"/>
      <c r="Y172" s="176"/>
      <c r="Z172" s="176"/>
      <c r="AA172" s="176"/>
      <c r="AB172" s="176"/>
      <c r="AC172" s="176"/>
      <c r="AD172" s="176"/>
      <c r="AE172" s="192"/>
      <c r="AF172" s="176"/>
      <c r="AG172" s="176"/>
      <c r="AH172" s="176"/>
      <c r="AI172" s="176"/>
      <c r="AJ172" s="176"/>
      <c r="AK172" s="176"/>
      <c r="AL172" s="176"/>
      <c r="AM172" s="192"/>
      <c r="AN172" s="176"/>
      <c r="AO172" s="176"/>
      <c r="AP172" s="176"/>
      <c r="AQ172" s="176"/>
      <c r="AR172" s="176"/>
      <c r="AU172" s="187"/>
    </row>
    <row r="173">
      <c r="A173" s="193"/>
      <c r="B173" s="193"/>
      <c r="C173" s="193"/>
      <c r="D173" s="194"/>
      <c r="E173" s="195"/>
      <c r="F173" s="195"/>
      <c r="G173" s="195"/>
      <c r="H173" s="195"/>
      <c r="I173" s="195"/>
      <c r="J173" s="195"/>
      <c r="K173" s="195"/>
      <c r="L173" s="195"/>
      <c r="M173" s="195"/>
      <c r="N173" s="195"/>
      <c r="O173" s="193"/>
      <c r="P173" s="193"/>
      <c r="Q173" s="193"/>
      <c r="R173" s="196"/>
      <c r="S173" s="187"/>
      <c r="T173" s="187"/>
      <c r="U173" s="187"/>
      <c r="V173" s="192"/>
      <c r="W173" s="192"/>
      <c r="X173" s="186" t="s">
        <v>202</v>
      </c>
      <c r="Y173" s="186" t="s">
        <v>203</v>
      </c>
      <c r="Z173" s="186" t="s">
        <v>209</v>
      </c>
      <c r="AA173" s="186" t="s">
        <v>205</v>
      </c>
      <c r="AB173" s="186" t="s">
        <v>206</v>
      </c>
      <c r="AC173" s="186" t="s">
        <v>207</v>
      </c>
      <c r="AD173" s="186" t="s">
        <v>208</v>
      </c>
      <c r="AE173" s="187"/>
      <c r="AF173" s="186" t="s">
        <v>202</v>
      </c>
      <c r="AG173" s="186" t="s">
        <v>203</v>
      </c>
      <c r="AH173" s="186" t="s">
        <v>209</v>
      </c>
      <c r="AI173" s="186" t="s">
        <v>205</v>
      </c>
      <c r="AJ173" s="186" t="s">
        <v>206</v>
      </c>
      <c r="AK173" s="186" t="s">
        <v>207</v>
      </c>
      <c r="AL173" s="186" t="s">
        <v>208</v>
      </c>
      <c r="AM173" s="187"/>
      <c r="AN173" s="186" t="s">
        <v>202</v>
      </c>
      <c r="AO173" s="186" t="s">
        <v>203</v>
      </c>
      <c r="AP173" s="186" t="s">
        <v>209</v>
      </c>
      <c r="AQ173" s="186" t="s">
        <v>205</v>
      </c>
      <c r="AR173" s="186" t="s">
        <v>206</v>
      </c>
      <c r="AS173" s="186" t="s">
        <v>207</v>
      </c>
      <c r="AT173" s="186" t="s">
        <v>208</v>
      </c>
      <c r="AU173" s="187"/>
      <c r="AV173" s="187"/>
      <c r="AW173" s="187"/>
      <c r="AX173" s="187"/>
      <c r="AY173" s="187"/>
      <c r="AZ173" s="187"/>
      <c r="BA173" s="187"/>
      <c r="BB173" s="187"/>
      <c r="BC173" s="187"/>
      <c r="BD173" s="187"/>
      <c r="BE173" s="187"/>
      <c r="BF173" s="187"/>
      <c r="BG173" s="187"/>
      <c r="BH173" s="187"/>
      <c r="BI173" s="187"/>
      <c r="BJ173" s="187"/>
      <c r="BK173" s="187"/>
      <c r="BL173" s="187"/>
      <c r="BM173" s="187"/>
      <c r="BN173" s="187"/>
      <c r="BO173" s="187"/>
      <c r="BP173" s="187"/>
      <c r="BQ173" s="187"/>
      <c r="BR173" s="187"/>
      <c r="BS173" s="187"/>
      <c r="BT173" s="187"/>
      <c r="BU173" s="187"/>
      <c r="BV173" s="187"/>
      <c r="BW173" s="187"/>
      <c r="BX173" s="187"/>
      <c r="BY173" s="187"/>
      <c r="BZ173" s="187"/>
      <c r="CA173" s="187"/>
      <c r="CB173" s="187"/>
      <c r="CC173" s="187"/>
      <c r="CD173" s="187"/>
      <c r="CE173" s="187"/>
      <c r="CF173" s="187"/>
      <c r="CG173" s="187"/>
      <c r="CH173" s="187"/>
      <c r="CI173" s="187"/>
      <c r="CJ173" s="187"/>
      <c r="CK173" s="187"/>
      <c r="CL173" s="187"/>
      <c r="CM173" s="187"/>
      <c r="CN173" s="187"/>
      <c r="CO173" s="187"/>
      <c r="CP173" s="187"/>
      <c r="CQ173" s="187"/>
      <c r="CR173" s="187"/>
      <c r="CS173" s="187"/>
      <c r="CT173" s="187"/>
      <c r="CU173" s="187"/>
      <c r="CV173" s="187"/>
      <c r="CW173" s="187"/>
      <c r="CX173" s="187"/>
      <c r="CY173" s="187"/>
      <c r="CZ173" s="187"/>
      <c r="DA173" s="187"/>
      <c r="DB173" s="187"/>
      <c r="DC173" s="187"/>
      <c r="DD173" s="187"/>
      <c r="DE173" s="187"/>
      <c r="DF173" s="187"/>
      <c r="DG173" s="187"/>
      <c r="DH173" s="187"/>
      <c r="DI173" s="187"/>
      <c r="DJ173" s="187"/>
      <c r="DK173" s="187"/>
      <c r="DL173" s="187"/>
      <c r="DM173" s="187"/>
      <c r="DN173" s="187"/>
      <c r="DO173" s="187"/>
      <c r="DP173" s="187"/>
      <c r="DQ173" s="187"/>
      <c r="DR173" s="187"/>
      <c r="DS173" s="187"/>
      <c r="DT173" s="187"/>
      <c r="DU173" s="187"/>
      <c r="DV173" s="187"/>
      <c r="DW173" s="187"/>
      <c r="DX173" s="187"/>
      <c r="DY173" s="187"/>
      <c r="DZ173" s="187"/>
      <c r="EA173" s="187"/>
      <c r="EB173" s="187"/>
      <c r="EC173" s="187"/>
      <c r="ED173" s="187"/>
      <c r="EE173" s="187"/>
      <c r="EF173" s="187"/>
      <c r="EG173" s="187"/>
      <c r="EH173" s="187"/>
      <c r="EI173" s="187"/>
      <c r="EJ173" s="187"/>
    </row>
    <row r="174">
      <c r="A174" s="4"/>
      <c r="B174" s="4"/>
      <c r="C174" s="4"/>
      <c r="D174" s="122"/>
      <c r="E174" s="29"/>
      <c r="F174" s="29"/>
      <c r="G174" s="29"/>
      <c r="H174" s="29"/>
      <c r="I174" s="29"/>
      <c r="J174" s="29"/>
      <c r="K174" s="29"/>
      <c r="L174" s="29"/>
      <c r="M174" s="29"/>
      <c r="N174" s="29"/>
      <c r="O174" s="4"/>
      <c r="P174" s="4"/>
      <c r="Q174" s="4"/>
      <c r="R174" s="77"/>
      <c r="V174" s="176"/>
      <c r="W174" s="176"/>
      <c r="X174" s="188" t="str">
        <f t="array" ref="X174">IFERROR(INDIRECT("'Bloque "&amp;$V$41&amp;" Semana "&amp;$V$40&amp;"'"&amp;"!"&amp;"E37"),"")</f>
        <v/>
      </c>
      <c r="AE174" s="186">
        <v>26.0</v>
      </c>
      <c r="AF174" s="188" t="str">
        <f t="array" ref="AF174">IFERROR(INDIRECT("'Bloque "&amp;$W$41&amp;" Semana "&amp;$W$40&amp;"'"&amp;"!"&amp;"E37"),"")</f>
        <v/>
      </c>
      <c r="AM174" s="186">
        <v>26.0</v>
      </c>
      <c r="AN174" s="188" t="str">
        <f t="array" ref="AN174">IFERROR(INDIRECT("'Bloque "&amp;$X$41&amp;" Semana "&amp;$X$40&amp;"'"&amp;"!"&amp;"E37"),"")</f>
        <v/>
      </c>
      <c r="AU174" s="186">
        <v>26.0</v>
      </c>
    </row>
    <row r="175">
      <c r="A175" s="4"/>
      <c r="B175" s="4"/>
      <c r="C175" s="4"/>
      <c r="D175" s="122"/>
      <c r="E175" s="29"/>
      <c r="F175" s="29"/>
      <c r="G175" s="29"/>
      <c r="H175" s="29"/>
      <c r="I175" s="29"/>
      <c r="J175" s="29"/>
      <c r="K175" s="29"/>
      <c r="L175" s="29"/>
      <c r="M175" s="29"/>
      <c r="N175" s="29"/>
      <c r="O175" s="4"/>
      <c r="P175" s="4"/>
      <c r="Q175" s="4"/>
      <c r="R175" s="77"/>
      <c r="V175" s="176"/>
      <c r="W175" s="176"/>
      <c r="X175" s="176" t="str">
        <f t="array" ref="X175">IFERROR(INDIRECT("'Bloque "&amp;$V$41&amp;" Semana "&amp;$V$40&amp;"'"&amp;"!"&amp;"E25"),"")</f>
        <v/>
      </c>
      <c r="AE175" s="186">
        <v>25.0</v>
      </c>
      <c r="AF175" s="176" t="str">
        <f t="array" ref="AF175">IFERROR(INDIRECT("'Bloque "&amp;$W$41&amp;" Semana "&amp;$W$40&amp;"'"&amp;"!"&amp;"E25"),"")</f>
        <v/>
      </c>
      <c r="AM175" s="186">
        <v>25.0</v>
      </c>
      <c r="AN175" s="176" t="str">
        <f t="array" ref="AN175">IFERROR(INDIRECT("'Bloque "&amp;$X$41&amp;" Semana "&amp;$X$40&amp;"'"&amp;"!"&amp;"E25"),"")</f>
        <v/>
      </c>
      <c r="AU175" s="186">
        <v>25.0</v>
      </c>
    </row>
    <row r="176">
      <c r="A176" s="4"/>
      <c r="B176" s="4"/>
      <c r="C176" s="4"/>
      <c r="D176" s="122"/>
      <c r="E176" s="29"/>
      <c r="F176" s="29"/>
      <c r="G176" s="29"/>
      <c r="H176" s="29"/>
      <c r="I176" s="29"/>
      <c r="J176" s="29"/>
      <c r="K176" s="29"/>
      <c r="L176" s="29"/>
      <c r="M176" s="29"/>
      <c r="N176" s="29"/>
      <c r="O176" s="4"/>
      <c r="P176" s="4"/>
      <c r="Q176" s="4"/>
      <c r="R176" s="77"/>
      <c r="V176" s="176"/>
      <c r="W176" s="176"/>
      <c r="X176" s="189" t="str">
        <f t="array" ref="X176">IFERROR(INDIRECT("'Bloque "&amp;$V$41&amp;" Semana "&amp;$V$40&amp;"'"&amp;"!"&amp;"E26"),"")</f>
        <v/>
      </c>
      <c r="AE176" s="186">
        <v>26.0</v>
      </c>
      <c r="AF176" s="189" t="str">
        <f t="array" ref="AF176">IFERROR(INDIRECT("'Bloque "&amp;$W$41&amp;" Semana "&amp;$W$40&amp;"'"&amp;"!"&amp;"E26"),"")</f>
        <v/>
      </c>
      <c r="AM176" s="186">
        <v>26.0</v>
      </c>
      <c r="AN176" s="189" t="str">
        <f t="array" ref="AN176">IFERROR(INDIRECT("'Bloque "&amp;$X$41&amp;" Semana "&amp;$X$40&amp;"'"&amp;"!"&amp;"E26"),"")</f>
        <v/>
      </c>
      <c r="AU176" s="186">
        <v>26.0</v>
      </c>
    </row>
    <row r="177">
      <c r="A177" s="4"/>
      <c r="B177" s="4"/>
      <c r="C177" s="4"/>
      <c r="D177" s="122"/>
      <c r="E177" s="29"/>
      <c r="F177" s="29"/>
      <c r="G177" s="29"/>
      <c r="H177" s="29"/>
      <c r="I177" s="29"/>
      <c r="J177" s="29"/>
      <c r="K177" s="29"/>
      <c r="L177" s="29"/>
      <c r="M177" s="29"/>
      <c r="N177" s="29"/>
      <c r="O177" s="4"/>
      <c r="P177" s="4"/>
      <c r="Q177" s="4"/>
      <c r="R177" s="77"/>
      <c r="V177" s="176"/>
      <c r="W177" s="176"/>
      <c r="X177" s="190" t="str">
        <f t="shared" ref="X177:AD177" si="305">IFERROR(INDIRECT("'Bloque "&amp;$V$41&amp;" Semana "&amp;$V$40&amp;"'"&amp;"!"&amp;X$173&amp;$AE177),"")</f>
        <v/>
      </c>
      <c r="Y177" s="190" t="str">
        <f t="shared" si="305"/>
        <v/>
      </c>
      <c r="Z177" s="190" t="str">
        <f t="shared" si="305"/>
        <v/>
      </c>
      <c r="AA177" s="190" t="str">
        <f t="shared" si="305"/>
        <v/>
      </c>
      <c r="AB177" s="190" t="str">
        <f t="shared" si="305"/>
        <v/>
      </c>
      <c r="AC177" s="190" t="str">
        <f t="shared" si="305"/>
        <v/>
      </c>
      <c r="AD177" s="190" t="str">
        <f t="shared" si="305"/>
        <v/>
      </c>
      <c r="AE177" s="191">
        <v>27.0</v>
      </c>
      <c r="AF177" s="190" t="str">
        <f t="shared" ref="AF177:AL177" si="306">IFERROR(INDIRECT("'Bloque "&amp;$W$41&amp;" Semana "&amp;$W$40&amp;"'"&amp;"!"&amp;AF$173&amp;$AM177),"")</f>
        <v/>
      </c>
      <c r="AG177" s="190" t="str">
        <f t="shared" si="306"/>
        <v/>
      </c>
      <c r="AH177" s="190" t="str">
        <f t="shared" si="306"/>
        <v/>
      </c>
      <c r="AI177" s="190" t="str">
        <f t="shared" si="306"/>
        <v/>
      </c>
      <c r="AJ177" s="190" t="str">
        <f t="shared" si="306"/>
        <v/>
      </c>
      <c r="AK177" s="190" t="str">
        <f t="shared" si="306"/>
        <v/>
      </c>
      <c r="AL177" s="190" t="str">
        <f t="shared" si="306"/>
        <v/>
      </c>
      <c r="AM177" s="191">
        <v>27.0</v>
      </c>
      <c r="AN177" s="190" t="str">
        <f t="shared" ref="AN177:AT177" si="307">IFERROR(INDIRECT("'Bloque "&amp;$X$41&amp;" Semana "&amp;$X$40&amp;"'"&amp;"!"&amp;AN$173&amp;$AU177),"")</f>
        <v/>
      </c>
      <c r="AO177" s="190" t="str">
        <f t="shared" si="307"/>
        <v/>
      </c>
      <c r="AP177" s="190" t="str">
        <f t="shared" si="307"/>
        <v/>
      </c>
      <c r="AQ177" s="190" t="str">
        <f t="shared" si="307"/>
        <v/>
      </c>
      <c r="AR177" s="190" t="str">
        <f t="shared" si="307"/>
        <v/>
      </c>
      <c r="AS177" s="190" t="str">
        <f t="shared" si="307"/>
        <v/>
      </c>
      <c r="AT177" s="190" t="str">
        <f t="shared" si="307"/>
        <v/>
      </c>
      <c r="AU177" s="191">
        <v>27.0</v>
      </c>
    </row>
    <row r="178">
      <c r="A178" s="4"/>
      <c r="B178" s="4"/>
      <c r="C178" s="4"/>
      <c r="D178" s="122"/>
      <c r="E178" s="29"/>
      <c r="F178" s="29"/>
      <c r="G178" s="29"/>
      <c r="H178" s="29"/>
      <c r="I178" s="29"/>
      <c r="J178" s="29"/>
      <c r="K178" s="29"/>
      <c r="L178" s="29"/>
      <c r="M178" s="29"/>
      <c r="N178" s="29"/>
      <c r="O178" s="4"/>
      <c r="P178" s="4"/>
      <c r="Q178" s="4"/>
      <c r="R178" s="77"/>
      <c r="V178" s="176"/>
      <c r="W178" s="176"/>
      <c r="X178" s="197" t="str">
        <f t="shared" ref="X178:AD178" si="308">IFERROR(INDIRECT("'Bloque "&amp;$V$41&amp;" Semana "&amp;$V$40&amp;"'"&amp;"!"&amp;X$173&amp;$AE178),"")</f>
        <v/>
      </c>
      <c r="Y178" s="197" t="str">
        <f t="shared" si="308"/>
        <v/>
      </c>
      <c r="Z178" s="197" t="str">
        <f t="shared" si="308"/>
        <v/>
      </c>
      <c r="AA178" s="197" t="str">
        <f t="shared" si="308"/>
        <v/>
      </c>
      <c r="AB178" s="197" t="str">
        <f t="shared" si="308"/>
        <v/>
      </c>
      <c r="AC178" s="197" t="str">
        <f t="shared" si="308"/>
        <v/>
      </c>
      <c r="AD178" s="197" t="str">
        <f t="shared" si="308"/>
        <v/>
      </c>
      <c r="AE178" s="191">
        <v>28.0</v>
      </c>
      <c r="AF178" s="197" t="str">
        <f t="shared" ref="AF178:AL178" si="309">IFERROR(INDIRECT("'Bloque "&amp;$W$41&amp;" Semana "&amp;$W$40&amp;"'"&amp;"!"&amp;AF$173&amp;$AM178),"")</f>
        <v/>
      </c>
      <c r="AG178" s="197" t="str">
        <f t="shared" si="309"/>
        <v/>
      </c>
      <c r="AH178" s="197" t="str">
        <f t="shared" si="309"/>
        <v/>
      </c>
      <c r="AI178" s="197" t="str">
        <f t="shared" si="309"/>
        <v/>
      </c>
      <c r="AJ178" s="197" t="str">
        <f t="shared" si="309"/>
        <v/>
      </c>
      <c r="AK178" s="197" t="str">
        <f t="shared" si="309"/>
        <v/>
      </c>
      <c r="AL178" s="197" t="str">
        <f t="shared" si="309"/>
        <v/>
      </c>
      <c r="AM178" s="191">
        <v>28.0</v>
      </c>
      <c r="AN178" s="197" t="str">
        <f t="shared" ref="AN178:AT178" si="310">IFERROR(INDIRECT("'Bloque "&amp;$X$41&amp;" Semana "&amp;$X$40&amp;"'"&amp;"!"&amp;AN$173&amp;$AU178),"")</f>
        <v/>
      </c>
      <c r="AO178" s="197" t="str">
        <f t="shared" si="310"/>
        <v/>
      </c>
      <c r="AP178" s="197" t="str">
        <f t="shared" si="310"/>
        <v/>
      </c>
      <c r="AQ178" s="197" t="str">
        <f t="shared" si="310"/>
        <v/>
      </c>
      <c r="AR178" s="197" t="str">
        <f t="shared" si="310"/>
        <v/>
      </c>
      <c r="AS178" s="197" t="str">
        <f t="shared" si="310"/>
        <v/>
      </c>
      <c r="AT178" s="197" t="str">
        <f t="shared" si="310"/>
        <v/>
      </c>
      <c r="AU178" s="191">
        <v>28.0</v>
      </c>
    </row>
    <row r="179">
      <c r="A179" s="4"/>
      <c r="B179" s="4"/>
      <c r="C179" s="4"/>
      <c r="D179" s="122"/>
      <c r="E179" s="29"/>
      <c r="F179" s="29"/>
      <c r="G179" s="29"/>
      <c r="H179" s="29"/>
      <c r="I179" s="29"/>
      <c r="J179" s="29"/>
      <c r="K179" s="29"/>
      <c r="L179" s="29"/>
      <c r="M179" s="29"/>
      <c r="N179" s="29"/>
      <c r="O179" s="4"/>
      <c r="P179" s="4"/>
      <c r="Q179" s="4"/>
      <c r="R179" s="77"/>
      <c r="V179" s="176"/>
      <c r="W179" s="176"/>
      <c r="X179" s="197" t="str">
        <f t="shared" ref="X179:AD179" si="311">IFERROR(INDIRECT("'Bloque "&amp;$V$41&amp;" Semana "&amp;$V$40&amp;"'"&amp;"!"&amp;X$173&amp;$AE179),"")</f>
        <v/>
      </c>
      <c r="Y179" s="197" t="str">
        <f t="shared" si="311"/>
        <v/>
      </c>
      <c r="Z179" s="197" t="str">
        <f t="shared" si="311"/>
        <v/>
      </c>
      <c r="AA179" s="197" t="str">
        <f t="shared" si="311"/>
        <v/>
      </c>
      <c r="AB179" s="197" t="str">
        <f t="shared" si="311"/>
        <v/>
      </c>
      <c r="AC179" s="197" t="str">
        <f t="shared" si="311"/>
        <v/>
      </c>
      <c r="AD179" s="197" t="str">
        <f t="shared" si="311"/>
        <v/>
      </c>
      <c r="AE179" s="191">
        <v>29.0</v>
      </c>
      <c r="AF179" s="197" t="str">
        <f t="shared" ref="AF179:AL179" si="312">IFERROR(INDIRECT("'Bloque "&amp;$W$41&amp;" Semana "&amp;$W$40&amp;"'"&amp;"!"&amp;AF$173&amp;$AM179),"")</f>
        <v/>
      </c>
      <c r="AG179" s="197" t="str">
        <f t="shared" si="312"/>
        <v/>
      </c>
      <c r="AH179" s="197" t="str">
        <f t="shared" si="312"/>
        <v/>
      </c>
      <c r="AI179" s="197" t="str">
        <f t="shared" si="312"/>
        <v/>
      </c>
      <c r="AJ179" s="197" t="str">
        <f t="shared" si="312"/>
        <v/>
      </c>
      <c r="AK179" s="197" t="str">
        <f t="shared" si="312"/>
        <v/>
      </c>
      <c r="AL179" s="197" t="str">
        <f t="shared" si="312"/>
        <v/>
      </c>
      <c r="AM179" s="191">
        <v>29.0</v>
      </c>
      <c r="AN179" s="197" t="str">
        <f t="shared" ref="AN179:AT179" si="313">IFERROR(INDIRECT("'Bloque "&amp;$X$41&amp;" Semana "&amp;$X$40&amp;"'"&amp;"!"&amp;AN$173&amp;$AU179),"")</f>
        <v/>
      </c>
      <c r="AO179" s="197" t="str">
        <f t="shared" si="313"/>
        <v/>
      </c>
      <c r="AP179" s="197" t="str">
        <f t="shared" si="313"/>
        <v/>
      </c>
      <c r="AQ179" s="197" t="str">
        <f t="shared" si="313"/>
        <v/>
      </c>
      <c r="AR179" s="197" t="str">
        <f t="shared" si="313"/>
        <v/>
      </c>
      <c r="AS179" s="197" t="str">
        <f t="shared" si="313"/>
        <v/>
      </c>
      <c r="AT179" s="197" t="str">
        <f t="shared" si="313"/>
        <v/>
      </c>
      <c r="AU179" s="191">
        <v>29.0</v>
      </c>
    </row>
    <row r="180">
      <c r="A180" s="4"/>
      <c r="B180" s="4"/>
      <c r="C180" s="4"/>
      <c r="D180" s="122"/>
      <c r="E180" s="29"/>
      <c r="F180" s="29"/>
      <c r="G180" s="29"/>
      <c r="H180" s="29"/>
      <c r="I180" s="29"/>
      <c r="J180" s="29"/>
      <c r="K180" s="29"/>
      <c r="L180" s="29"/>
      <c r="M180" s="29"/>
      <c r="N180" s="29"/>
      <c r="O180" s="4"/>
      <c r="P180" s="4"/>
      <c r="Q180" s="4"/>
      <c r="R180" s="77"/>
      <c r="V180" s="176"/>
      <c r="W180" s="176"/>
      <c r="X180" s="197" t="str">
        <f t="shared" ref="X180:AD180" si="314">IFERROR(INDIRECT("'Bloque "&amp;$V$41&amp;" Semana "&amp;$V$40&amp;"'"&amp;"!"&amp;X$173&amp;$AE180),"")</f>
        <v/>
      </c>
      <c r="Y180" s="197" t="str">
        <f t="shared" si="314"/>
        <v/>
      </c>
      <c r="Z180" s="197" t="str">
        <f t="shared" si="314"/>
        <v/>
      </c>
      <c r="AA180" s="197" t="str">
        <f t="shared" si="314"/>
        <v/>
      </c>
      <c r="AB180" s="197" t="str">
        <f t="shared" si="314"/>
        <v/>
      </c>
      <c r="AC180" s="197" t="str">
        <f t="shared" si="314"/>
        <v/>
      </c>
      <c r="AD180" s="197" t="str">
        <f t="shared" si="314"/>
        <v/>
      </c>
      <c r="AE180" s="191">
        <v>30.0</v>
      </c>
      <c r="AF180" s="197" t="str">
        <f t="shared" ref="AF180:AL180" si="315">IFERROR(INDIRECT("'Bloque "&amp;$W$41&amp;" Semana "&amp;$W$40&amp;"'"&amp;"!"&amp;AF$173&amp;$AM180),"")</f>
        <v/>
      </c>
      <c r="AG180" s="197" t="str">
        <f t="shared" si="315"/>
        <v/>
      </c>
      <c r="AH180" s="197" t="str">
        <f t="shared" si="315"/>
        <v/>
      </c>
      <c r="AI180" s="197" t="str">
        <f t="shared" si="315"/>
        <v/>
      </c>
      <c r="AJ180" s="197" t="str">
        <f t="shared" si="315"/>
        <v/>
      </c>
      <c r="AK180" s="197" t="str">
        <f t="shared" si="315"/>
        <v/>
      </c>
      <c r="AL180" s="197" t="str">
        <f t="shared" si="315"/>
        <v/>
      </c>
      <c r="AM180" s="191">
        <v>30.0</v>
      </c>
      <c r="AN180" s="197" t="str">
        <f t="shared" ref="AN180:AT180" si="316">IFERROR(INDIRECT("'Bloque "&amp;$X$41&amp;" Semana "&amp;$X$40&amp;"'"&amp;"!"&amp;AN$173&amp;$AU180),"")</f>
        <v/>
      </c>
      <c r="AO180" s="197" t="str">
        <f t="shared" si="316"/>
        <v/>
      </c>
      <c r="AP180" s="197" t="str">
        <f t="shared" si="316"/>
        <v/>
      </c>
      <c r="AQ180" s="197" t="str">
        <f t="shared" si="316"/>
        <v/>
      </c>
      <c r="AR180" s="197" t="str">
        <f t="shared" si="316"/>
        <v/>
      </c>
      <c r="AS180" s="197" t="str">
        <f t="shared" si="316"/>
        <v/>
      </c>
      <c r="AT180" s="197" t="str">
        <f t="shared" si="316"/>
        <v/>
      </c>
      <c r="AU180" s="191">
        <v>30.0</v>
      </c>
    </row>
    <row r="181">
      <c r="A181" s="4"/>
      <c r="B181" s="4"/>
      <c r="C181" s="4"/>
      <c r="D181" s="122"/>
      <c r="E181" s="29"/>
      <c r="F181" s="29"/>
      <c r="G181" s="29"/>
      <c r="H181" s="29"/>
      <c r="I181" s="29"/>
      <c r="J181" s="29"/>
      <c r="K181" s="29"/>
      <c r="L181" s="29"/>
      <c r="M181" s="29"/>
      <c r="N181" s="29"/>
      <c r="O181" s="4"/>
      <c r="P181" s="4"/>
      <c r="Q181" s="4"/>
      <c r="R181" s="77"/>
      <c r="V181" s="176"/>
      <c r="W181" s="176"/>
      <c r="X181" s="197" t="str">
        <f t="shared" ref="X181:AD181" si="317">IFERROR(INDIRECT("'Bloque "&amp;$V$41&amp;" Semana "&amp;$V$40&amp;"'"&amp;"!"&amp;X$173&amp;$AE181),"")</f>
        <v/>
      </c>
      <c r="Y181" s="197" t="str">
        <f t="shared" si="317"/>
        <v/>
      </c>
      <c r="Z181" s="197" t="str">
        <f t="shared" si="317"/>
        <v/>
      </c>
      <c r="AA181" s="197" t="str">
        <f t="shared" si="317"/>
        <v/>
      </c>
      <c r="AB181" s="197" t="str">
        <f t="shared" si="317"/>
        <v/>
      </c>
      <c r="AC181" s="197" t="str">
        <f t="shared" si="317"/>
        <v/>
      </c>
      <c r="AD181" s="197" t="str">
        <f t="shared" si="317"/>
        <v/>
      </c>
      <c r="AE181" s="191">
        <v>31.0</v>
      </c>
      <c r="AF181" s="197" t="str">
        <f t="shared" ref="AF181:AL181" si="318">IFERROR(INDIRECT("'Bloque "&amp;$W$41&amp;" Semana "&amp;$W$40&amp;"'"&amp;"!"&amp;AF$173&amp;$AM181),"")</f>
        <v/>
      </c>
      <c r="AG181" s="197" t="str">
        <f t="shared" si="318"/>
        <v/>
      </c>
      <c r="AH181" s="197" t="str">
        <f t="shared" si="318"/>
        <v/>
      </c>
      <c r="AI181" s="197" t="str">
        <f t="shared" si="318"/>
        <v/>
      </c>
      <c r="AJ181" s="197" t="str">
        <f t="shared" si="318"/>
        <v/>
      </c>
      <c r="AK181" s="197" t="str">
        <f t="shared" si="318"/>
        <v/>
      </c>
      <c r="AL181" s="197" t="str">
        <f t="shared" si="318"/>
        <v/>
      </c>
      <c r="AM181" s="191">
        <v>31.0</v>
      </c>
      <c r="AN181" s="197" t="str">
        <f t="shared" ref="AN181:AT181" si="319">IFERROR(INDIRECT("'Bloque "&amp;$X$41&amp;" Semana "&amp;$X$40&amp;"'"&amp;"!"&amp;AN$173&amp;$AU181),"")</f>
        <v/>
      </c>
      <c r="AO181" s="197" t="str">
        <f t="shared" si="319"/>
        <v/>
      </c>
      <c r="AP181" s="197" t="str">
        <f t="shared" si="319"/>
        <v/>
      </c>
      <c r="AQ181" s="197" t="str">
        <f t="shared" si="319"/>
        <v/>
      </c>
      <c r="AR181" s="197" t="str">
        <f t="shared" si="319"/>
        <v/>
      </c>
      <c r="AS181" s="197" t="str">
        <f t="shared" si="319"/>
        <v/>
      </c>
      <c r="AT181" s="197" t="str">
        <f t="shared" si="319"/>
        <v/>
      </c>
      <c r="AU181" s="191">
        <v>31.0</v>
      </c>
    </row>
    <row r="182">
      <c r="A182" s="4"/>
      <c r="B182" s="4"/>
      <c r="C182" s="4"/>
      <c r="D182" s="122"/>
      <c r="E182" s="29"/>
      <c r="F182" s="29"/>
      <c r="G182" s="29"/>
      <c r="H182" s="29"/>
      <c r="I182" s="29"/>
      <c r="J182" s="29"/>
      <c r="K182" s="29"/>
      <c r="L182" s="29"/>
      <c r="M182" s="29"/>
      <c r="N182" s="29"/>
      <c r="O182" s="4"/>
      <c r="P182" s="4"/>
      <c r="Q182" s="4"/>
      <c r="R182" s="77"/>
      <c r="V182" s="176"/>
      <c r="W182" s="176"/>
      <c r="X182" s="197" t="str">
        <f t="shared" ref="X182:AD182" si="320">IFERROR(INDIRECT("'Bloque "&amp;$V$41&amp;" Semana "&amp;$V$40&amp;"'"&amp;"!"&amp;X$173&amp;$AE182),"")</f>
        <v/>
      </c>
      <c r="Y182" s="197" t="str">
        <f t="shared" si="320"/>
        <v/>
      </c>
      <c r="Z182" s="197" t="str">
        <f t="shared" si="320"/>
        <v/>
      </c>
      <c r="AA182" s="197" t="str">
        <f t="shared" si="320"/>
        <v/>
      </c>
      <c r="AB182" s="197" t="str">
        <f t="shared" si="320"/>
        <v/>
      </c>
      <c r="AC182" s="197" t="str">
        <f t="shared" si="320"/>
        <v/>
      </c>
      <c r="AD182" s="197" t="str">
        <f t="shared" si="320"/>
        <v/>
      </c>
      <c r="AE182" s="191">
        <v>32.0</v>
      </c>
      <c r="AF182" s="197" t="str">
        <f t="shared" ref="AF182:AL182" si="321">IFERROR(INDIRECT("'Bloque "&amp;$W$41&amp;" Semana "&amp;$W$40&amp;"'"&amp;"!"&amp;AF$173&amp;$AM182),"")</f>
        <v/>
      </c>
      <c r="AG182" s="197" t="str">
        <f t="shared" si="321"/>
        <v/>
      </c>
      <c r="AH182" s="197" t="str">
        <f t="shared" si="321"/>
        <v/>
      </c>
      <c r="AI182" s="197" t="str">
        <f t="shared" si="321"/>
        <v/>
      </c>
      <c r="AJ182" s="197" t="str">
        <f t="shared" si="321"/>
        <v/>
      </c>
      <c r="AK182" s="197" t="str">
        <f t="shared" si="321"/>
        <v/>
      </c>
      <c r="AL182" s="197" t="str">
        <f t="shared" si="321"/>
        <v/>
      </c>
      <c r="AM182" s="191">
        <v>32.0</v>
      </c>
      <c r="AN182" s="197" t="str">
        <f t="shared" ref="AN182:AT182" si="322">IFERROR(INDIRECT("'Bloque "&amp;$X$41&amp;" Semana "&amp;$X$40&amp;"'"&amp;"!"&amp;AN$173&amp;$AU182),"")</f>
        <v/>
      </c>
      <c r="AO182" s="197" t="str">
        <f t="shared" si="322"/>
        <v/>
      </c>
      <c r="AP182" s="197" t="str">
        <f t="shared" si="322"/>
        <v/>
      </c>
      <c r="AQ182" s="197" t="str">
        <f t="shared" si="322"/>
        <v/>
      </c>
      <c r="AR182" s="197" t="str">
        <f t="shared" si="322"/>
        <v/>
      </c>
      <c r="AS182" s="197" t="str">
        <f t="shared" si="322"/>
        <v/>
      </c>
      <c r="AT182" s="197" t="str">
        <f t="shared" si="322"/>
        <v/>
      </c>
      <c r="AU182" s="191">
        <v>32.0</v>
      </c>
    </row>
    <row r="183">
      <c r="A183" s="4"/>
      <c r="B183" s="4"/>
      <c r="C183" s="4"/>
      <c r="D183" s="122"/>
      <c r="E183" s="29"/>
      <c r="F183" s="29"/>
      <c r="G183" s="29"/>
      <c r="H183" s="29"/>
      <c r="I183" s="29"/>
      <c r="J183" s="29"/>
      <c r="K183" s="29"/>
      <c r="L183" s="29"/>
      <c r="M183" s="29"/>
      <c r="N183" s="29"/>
      <c r="O183" s="4"/>
      <c r="P183" s="4"/>
      <c r="Q183" s="4"/>
      <c r="R183" s="77"/>
      <c r="V183" s="176"/>
      <c r="W183" s="176"/>
      <c r="X183" s="197" t="str">
        <f t="shared" ref="X183:AD183" si="323">IFERROR(INDIRECT("'Bloque "&amp;$V$41&amp;" Semana "&amp;$V$40&amp;"'"&amp;"!"&amp;X$173&amp;$AE183),"")</f>
        <v/>
      </c>
      <c r="Y183" s="197" t="str">
        <f t="shared" si="323"/>
        <v/>
      </c>
      <c r="Z183" s="197" t="str">
        <f t="shared" si="323"/>
        <v/>
      </c>
      <c r="AA183" s="197" t="str">
        <f t="shared" si="323"/>
        <v/>
      </c>
      <c r="AB183" s="197" t="str">
        <f t="shared" si="323"/>
        <v/>
      </c>
      <c r="AC183" s="197" t="str">
        <f t="shared" si="323"/>
        <v/>
      </c>
      <c r="AD183" s="197" t="str">
        <f t="shared" si="323"/>
        <v/>
      </c>
      <c r="AE183" s="191">
        <v>33.0</v>
      </c>
      <c r="AF183" s="197" t="str">
        <f t="shared" ref="AF183:AL183" si="324">IFERROR(INDIRECT("'Bloque "&amp;$W$41&amp;" Semana "&amp;$W$40&amp;"'"&amp;"!"&amp;AF$173&amp;$AM183),"")</f>
        <v/>
      </c>
      <c r="AG183" s="197" t="str">
        <f t="shared" si="324"/>
        <v/>
      </c>
      <c r="AH183" s="197" t="str">
        <f t="shared" si="324"/>
        <v/>
      </c>
      <c r="AI183" s="197" t="str">
        <f t="shared" si="324"/>
        <v/>
      </c>
      <c r="AJ183" s="197" t="str">
        <f t="shared" si="324"/>
        <v/>
      </c>
      <c r="AK183" s="197" t="str">
        <f t="shared" si="324"/>
        <v/>
      </c>
      <c r="AL183" s="197" t="str">
        <f t="shared" si="324"/>
        <v/>
      </c>
      <c r="AM183" s="191">
        <v>33.0</v>
      </c>
      <c r="AN183" s="197" t="str">
        <f t="shared" ref="AN183:AT183" si="325">IFERROR(INDIRECT("'Bloque "&amp;$X$41&amp;" Semana "&amp;$X$40&amp;"'"&amp;"!"&amp;AN$173&amp;$AU183),"")</f>
        <v/>
      </c>
      <c r="AO183" s="197" t="str">
        <f t="shared" si="325"/>
        <v/>
      </c>
      <c r="AP183" s="197" t="str">
        <f t="shared" si="325"/>
        <v/>
      </c>
      <c r="AQ183" s="197" t="str">
        <f t="shared" si="325"/>
        <v/>
      </c>
      <c r="AR183" s="197" t="str">
        <f t="shared" si="325"/>
        <v/>
      </c>
      <c r="AS183" s="197" t="str">
        <f t="shared" si="325"/>
        <v/>
      </c>
      <c r="AT183" s="197" t="str">
        <f t="shared" si="325"/>
        <v/>
      </c>
      <c r="AU183" s="191">
        <v>33.0</v>
      </c>
    </row>
    <row r="184">
      <c r="A184" s="4"/>
      <c r="B184" s="4"/>
      <c r="C184" s="4"/>
      <c r="D184" s="122"/>
      <c r="E184" s="29"/>
      <c r="F184" s="29"/>
      <c r="G184" s="29"/>
      <c r="H184" s="29"/>
      <c r="I184" s="29"/>
      <c r="J184" s="29"/>
      <c r="K184" s="29"/>
      <c r="L184" s="29"/>
      <c r="M184" s="29"/>
      <c r="N184" s="29"/>
      <c r="O184" s="4"/>
      <c r="P184" s="4"/>
      <c r="Q184" s="4"/>
      <c r="R184" s="77"/>
      <c r="V184" s="176"/>
      <c r="W184" s="176"/>
      <c r="X184" s="197" t="str">
        <f t="shared" ref="X184:AD184" si="326">IFERROR(INDIRECT("'Bloque "&amp;$V$41&amp;" Semana "&amp;$V$40&amp;"'"&amp;"!"&amp;X$173&amp;$AE184),"")</f>
        <v/>
      </c>
      <c r="Y184" s="197" t="str">
        <f t="shared" si="326"/>
        <v/>
      </c>
      <c r="Z184" s="197" t="str">
        <f t="shared" si="326"/>
        <v/>
      </c>
      <c r="AA184" s="197" t="str">
        <f t="shared" si="326"/>
        <v/>
      </c>
      <c r="AB184" s="197" t="str">
        <f t="shared" si="326"/>
        <v/>
      </c>
      <c r="AC184" s="197" t="str">
        <f t="shared" si="326"/>
        <v/>
      </c>
      <c r="AD184" s="197" t="str">
        <f t="shared" si="326"/>
        <v/>
      </c>
      <c r="AE184" s="191">
        <v>34.0</v>
      </c>
      <c r="AF184" s="197" t="str">
        <f t="shared" ref="AF184:AL184" si="327">IFERROR(INDIRECT("'Bloque "&amp;$W$41&amp;" Semana "&amp;$W$40&amp;"'"&amp;"!"&amp;AF$173&amp;$AM184),"")</f>
        <v/>
      </c>
      <c r="AG184" s="197" t="str">
        <f t="shared" si="327"/>
        <v/>
      </c>
      <c r="AH184" s="197" t="str">
        <f t="shared" si="327"/>
        <v/>
      </c>
      <c r="AI184" s="197" t="str">
        <f t="shared" si="327"/>
        <v/>
      </c>
      <c r="AJ184" s="197" t="str">
        <f t="shared" si="327"/>
        <v/>
      </c>
      <c r="AK184" s="197" t="str">
        <f t="shared" si="327"/>
        <v/>
      </c>
      <c r="AL184" s="197" t="str">
        <f t="shared" si="327"/>
        <v/>
      </c>
      <c r="AM184" s="191">
        <v>34.0</v>
      </c>
      <c r="AN184" s="197" t="str">
        <f t="shared" ref="AN184:AT184" si="328">IFERROR(INDIRECT("'Bloque "&amp;$X$41&amp;" Semana "&amp;$X$40&amp;"'"&amp;"!"&amp;AN$173&amp;$AU184),"")</f>
        <v/>
      </c>
      <c r="AO184" s="197" t="str">
        <f t="shared" si="328"/>
        <v/>
      </c>
      <c r="AP184" s="197" t="str">
        <f t="shared" si="328"/>
        <v/>
      </c>
      <c r="AQ184" s="197" t="str">
        <f t="shared" si="328"/>
        <v/>
      </c>
      <c r="AR184" s="197" t="str">
        <f t="shared" si="328"/>
        <v/>
      </c>
      <c r="AS184" s="197" t="str">
        <f t="shared" si="328"/>
        <v/>
      </c>
      <c r="AT184" s="197" t="str">
        <f t="shared" si="328"/>
        <v/>
      </c>
      <c r="AU184" s="191">
        <v>34.0</v>
      </c>
    </row>
    <row r="185">
      <c r="A185" s="4"/>
      <c r="B185" s="4"/>
      <c r="C185" s="4"/>
      <c r="D185" s="122"/>
      <c r="E185" s="29"/>
      <c r="F185" s="29"/>
      <c r="G185" s="29"/>
      <c r="H185" s="29"/>
      <c r="I185" s="29"/>
      <c r="J185" s="29"/>
      <c r="K185" s="29"/>
      <c r="L185" s="29"/>
      <c r="M185" s="29"/>
      <c r="N185" s="29"/>
      <c r="O185" s="4"/>
      <c r="P185" s="4"/>
      <c r="Q185" s="4"/>
      <c r="R185" s="77"/>
      <c r="V185" s="176"/>
      <c r="W185" s="176"/>
      <c r="X185" s="197" t="str">
        <f t="shared" ref="X185:AD185" si="329">IFERROR(INDIRECT("'Bloque "&amp;$V$41&amp;" Semana "&amp;$V$40&amp;"'"&amp;"!"&amp;X$173&amp;$AE185),"")</f>
        <v/>
      </c>
      <c r="Y185" s="197" t="str">
        <f t="shared" si="329"/>
        <v/>
      </c>
      <c r="Z185" s="197" t="str">
        <f t="shared" si="329"/>
        <v/>
      </c>
      <c r="AA185" s="197" t="str">
        <f t="shared" si="329"/>
        <v/>
      </c>
      <c r="AB185" s="197" t="str">
        <f t="shared" si="329"/>
        <v/>
      </c>
      <c r="AC185" s="197" t="str">
        <f t="shared" si="329"/>
        <v/>
      </c>
      <c r="AD185" s="197" t="str">
        <f t="shared" si="329"/>
        <v/>
      </c>
      <c r="AE185" s="191">
        <v>35.0</v>
      </c>
      <c r="AF185" s="197" t="str">
        <f t="shared" ref="AF185:AL185" si="330">IFERROR(INDIRECT("'Bloque "&amp;$W$41&amp;" Semana "&amp;$W$40&amp;"'"&amp;"!"&amp;AF$173&amp;$AM185),"")</f>
        <v/>
      </c>
      <c r="AG185" s="197" t="str">
        <f t="shared" si="330"/>
        <v/>
      </c>
      <c r="AH185" s="197" t="str">
        <f t="shared" si="330"/>
        <v/>
      </c>
      <c r="AI185" s="197" t="str">
        <f t="shared" si="330"/>
        <v/>
      </c>
      <c r="AJ185" s="197" t="str">
        <f t="shared" si="330"/>
        <v/>
      </c>
      <c r="AK185" s="197" t="str">
        <f t="shared" si="330"/>
        <v/>
      </c>
      <c r="AL185" s="197" t="str">
        <f t="shared" si="330"/>
        <v/>
      </c>
      <c r="AM185" s="191">
        <v>35.0</v>
      </c>
      <c r="AN185" s="197" t="str">
        <f t="shared" ref="AN185:AT185" si="331">IFERROR(INDIRECT("'Bloque "&amp;$X$41&amp;" Semana "&amp;$X$40&amp;"'"&amp;"!"&amp;AN$173&amp;$AU185),"")</f>
        <v/>
      </c>
      <c r="AO185" s="197" t="str">
        <f t="shared" si="331"/>
        <v/>
      </c>
      <c r="AP185" s="197" t="str">
        <f t="shared" si="331"/>
        <v/>
      </c>
      <c r="AQ185" s="197" t="str">
        <f t="shared" si="331"/>
        <v/>
      </c>
      <c r="AR185" s="197" t="str">
        <f t="shared" si="331"/>
        <v/>
      </c>
      <c r="AS185" s="197" t="str">
        <f t="shared" si="331"/>
        <v/>
      </c>
      <c r="AT185" s="197" t="str">
        <f t="shared" si="331"/>
        <v/>
      </c>
      <c r="AU185" s="191">
        <v>35.0</v>
      </c>
    </row>
    <row r="186">
      <c r="A186" s="4"/>
      <c r="B186" s="4"/>
      <c r="C186" s="4"/>
      <c r="D186" s="122"/>
      <c r="E186" s="29"/>
      <c r="F186" s="29"/>
      <c r="G186" s="29"/>
      <c r="H186" s="29"/>
      <c r="I186" s="29"/>
      <c r="J186" s="29"/>
      <c r="K186" s="29"/>
      <c r="L186" s="29"/>
      <c r="M186" s="29"/>
      <c r="N186" s="29"/>
      <c r="O186" s="4"/>
      <c r="P186" s="4"/>
      <c r="Q186" s="4"/>
      <c r="R186" s="77"/>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6"/>
    </row>
    <row r="187">
      <c r="A187" s="193"/>
      <c r="B187" s="193"/>
      <c r="C187" s="193"/>
      <c r="D187" s="194"/>
      <c r="E187" s="195"/>
      <c r="F187" s="195"/>
      <c r="G187" s="195"/>
      <c r="H187" s="195"/>
      <c r="I187" s="195"/>
      <c r="J187" s="195"/>
      <c r="K187" s="195"/>
      <c r="L187" s="195"/>
      <c r="M187" s="195"/>
      <c r="N187" s="195"/>
      <c r="O187" s="193"/>
      <c r="P187" s="193"/>
      <c r="Q187" s="193"/>
      <c r="R187" s="196"/>
      <c r="S187" s="187"/>
      <c r="T187" s="187"/>
      <c r="U187" s="187"/>
      <c r="V187" s="192"/>
      <c r="W187" s="192"/>
      <c r="X187" s="186" t="s">
        <v>202</v>
      </c>
      <c r="Y187" s="186" t="s">
        <v>203</v>
      </c>
      <c r="Z187" s="186" t="s">
        <v>209</v>
      </c>
      <c r="AA187" s="186" t="s">
        <v>205</v>
      </c>
      <c r="AB187" s="186" t="s">
        <v>206</v>
      </c>
      <c r="AC187" s="186" t="s">
        <v>207</v>
      </c>
      <c r="AD187" s="186" t="s">
        <v>208</v>
      </c>
      <c r="AE187" s="187"/>
      <c r="AF187" s="186" t="s">
        <v>202</v>
      </c>
      <c r="AG187" s="186" t="s">
        <v>203</v>
      </c>
      <c r="AH187" s="186" t="s">
        <v>209</v>
      </c>
      <c r="AI187" s="186" t="s">
        <v>205</v>
      </c>
      <c r="AJ187" s="186" t="s">
        <v>206</v>
      </c>
      <c r="AK187" s="186" t="s">
        <v>207</v>
      </c>
      <c r="AL187" s="186" t="s">
        <v>208</v>
      </c>
      <c r="AM187" s="187"/>
      <c r="AN187" s="186" t="s">
        <v>202</v>
      </c>
      <c r="AO187" s="186" t="s">
        <v>203</v>
      </c>
      <c r="AP187" s="186" t="s">
        <v>209</v>
      </c>
      <c r="AQ187" s="186" t="s">
        <v>205</v>
      </c>
      <c r="AR187" s="186" t="s">
        <v>206</v>
      </c>
      <c r="AS187" s="186" t="s">
        <v>207</v>
      </c>
      <c r="AT187" s="186" t="s">
        <v>208</v>
      </c>
      <c r="AU187" s="187"/>
      <c r="AV187" s="187"/>
      <c r="AW187" s="187"/>
      <c r="AX187" s="187"/>
      <c r="AY187" s="187"/>
      <c r="AZ187" s="187"/>
      <c r="BA187" s="187"/>
      <c r="BB187" s="187"/>
      <c r="BC187" s="187"/>
      <c r="BD187" s="187"/>
      <c r="BE187" s="187"/>
      <c r="BF187" s="187"/>
      <c r="BG187" s="187"/>
      <c r="BH187" s="187"/>
      <c r="BI187" s="187"/>
      <c r="BJ187" s="187"/>
      <c r="BK187" s="187"/>
      <c r="BL187" s="187"/>
      <c r="BM187" s="187"/>
      <c r="BN187" s="187"/>
      <c r="BO187" s="187"/>
      <c r="BP187" s="187"/>
      <c r="BQ187" s="187"/>
      <c r="BR187" s="187"/>
      <c r="BS187" s="187"/>
      <c r="BT187" s="187"/>
      <c r="BU187" s="187"/>
      <c r="BV187" s="187"/>
      <c r="BW187" s="187"/>
      <c r="BX187" s="187"/>
      <c r="BY187" s="187"/>
      <c r="BZ187" s="187"/>
      <c r="CA187" s="187"/>
      <c r="CB187" s="187"/>
      <c r="CC187" s="187"/>
      <c r="CD187" s="187"/>
      <c r="CE187" s="187"/>
      <c r="CF187" s="187"/>
      <c r="CG187" s="187"/>
      <c r="CH187" s="187"/>
      <c r="CI187" s="187"/>
      <c r="CJ187" s="187"/>
      <c r="CK187" s="187"/>
      <c r="CL187" s="187"/>
      <c r="CM187" s="187"/>
      <c r="CN187" s="187"/>
      <c r="CO187" s="187"/>
      <c r="CP187" s="187"/>
      <c r="CQ187" s="187"/>
      <c r="CR187" s="187"/>
      <c r="CS187" s="187"/>
      <c r="CT187" s="187"/>
      <c r="CU187" s="187"/>
      <c r="CV187" s="187"/>
      <c r="CW187" s="187"/>
      <c r="CX187" s="187"/>
      <c r="CY187" s="187"/>
      <c r="CZ187" s="187"/>
      <c r="DA187" s="187"/>
      <c r="DB187" s="187"/>
      <c r="DC187" s="187"/>
      <c r="DD187" s="187"/>
      <c r="DE187" s="187"/>
      <c r="DF187" s="187"/>
      <c r="DG187" s="187"/>
      <c r="DH187" s="187"/>
      <c r="DI187" s="187"/>
      <c r="DJ187" s="187"/>
      <c r="DK187" s="187"/>
      <c r="DL187" s="187"/>
      <c r="DM187" s="187"/>
      <c r="DN187" s="187"/>
      <c r="DO187" s="187"/>
      <c r="DP187" s="187"/>
      <c r="DQ187" s="187"/>
      <c r="DR187" s="187"/>
      <c r="DS187" s="187"/>
      <c r="DT187" s="187"/>
      <c r="DU187" s="187"/>
      <c r="DV187" s="187"/>
      <c r="DW187" s="187"/>
      <c r="DX187" s="187"/>
      <c r="DY187" s="187"/>
      <c r="DZ187" s="187"/>
      <c r="EA187" s="187"/>
      <c r="EB187" s="187"/>
      <c r="EC187" s="187"/>
      <c r="ED187" s="187"/>
      <c r="EE187" s="187"/>
      <c r="EF187" s="187"/>
      <c r="EG187" s="187"/>
      <c r="EH187" s="187"/>
      <c r="EI187" s="187"/>
      <c r="EJ187" s="187"/>
    </row>
    <row r="188">
      <c r="A188" s="4"/>
      <c r="B188" s="4"/>
      <c r="C188" s="4"/>
      <c r="D188" s="122"/>
      <c r="E188" s="29"/>
      <c r="F188" s="29"/>
      <c r="G188" s="29"/>
      <c r="H188" s="29"/>
      <c r="I188" s="29"/>
      <c r="J188" s="29"/>
      <c r="K188" s="29"/>
      <c r="L188" s="29"/>
      <c r="M188" s="29"/>
      <c r="N188" s="29"/>
      <c r="O188" s="4"/>
      <c r="P188" s="4"/>
      <c r="Q188" s="4"/>
      <c r="R188" s="77"/>
      <c r="V188" s="176"/>
      <c r="W188" s="176"/>
      <c r="X188" s="188" t="str">
        <f t="array" ref="X188">IFERROR(INDIRECT("'Bloque "&amp;$Y$41&amp;" Semana "&amp;$Y$40&amp;"'"&amp;"!"&amp;"E37"),"")</f>
        <v/>
      </c>
      <c r="AE188" s="186">
        <v>26.0</v>
      </c>
      <c r="AF188" s="188" t="str">
        <f t="array" ref="AF188">IFERROR(INDIRECT("'Bloque "&amp;$Z$41&amp;" Semana "&amp;$Z$40&amp;"'"&amp;"!"&amp;"E37"),"")</f>
        <v/>
      </c>
      <c r="AM188" s="186">
        <v>26.0</v>
      </c>
      <c r="AN188" s="188" t="str">
        <f t="array" ref="AN188">IFERROR(INDIRECT("'Bloque "&amp;$AA$41&amp;" Semana "&amp;$AA$40&amp;"'"&amp;"!"&amp;"E37"),"")</f>
        <v/>
      </c>
      <c r="AU188" s="186">
        <v>26.0</v>
      </c>
    </row>
    <row r="189">
      <c r="A189" s="4"/>
      <c r="B189" s="4"/>
      <c r="C189" s="4"/>
      <c r="D189" s="122"/>
      <c r="E189" s="29"/>
      <c r="F189" s="29"/>
      <c r="G189" s="29"/>
      <c r="H189" s="29"/>
      <c r="I189" s="29"/>
      <c r="J189" s="29"/>
      <c r="K189" s="29"/>
      <c r="L189" s="29"/>
      <c r="M189" s="29"/>
      <c r="N189" s="29"/>
      <c r="O189" s="4"/>
      <c r="P189" s="4"/>
      <c r="Q189" s="4"/>
      <c r="R189" s="77"/>
      <c r="V189" s="176"/>
      <c r="W189" s="176"/>
      <c r="X189" s="176" t="str">
        <f t="array" ref="X189">IFERROR(INDIRECT("'Bloque "&amp;$Y$41&amp;" Semana "&amp;$Y$40&amp;"'"&amp;"!"&amp;"E25"),"")</f>
        <v/>
      </c>
      <c r="AE189" s="186">
        <v>25.0</v>
      </c>
      <c r="AF189" s="176" t="str">
        <f t="array" ref="AF189">IFERROR(INDIRECT("'Bloque "&amp;$Z$41&amp;" Semana "&amp;$Z$40&amp;"'"&amp;"!"&amp;"E25"),"")</f>
        <v/>
      </c>
      <c r="AM189" s="186">
        <v>25.0</v>
      </c>
      <c r="AN189" s="176" t="str">
        <f t="array" ref="AN189">IFERROR(INDIRECT("'Bloque "&amp;$AA$41&amp;" Semana "&amp;$AA$40&amp;"'"&amp;"!"&amp;"E25"),"")</f>
        <v/>
      </c>
      <c r="AU189" s="186">
        <v>25.0</v>
      </c>
    </row>
    <row r="190">
      <c r="A190" s="4"/>
      <c r="B190" s="4"/>
      <c r="C190" s="4"/>
      <c r="D190" s="122"/>
      <c r="E190" s="29"/>
      <c r="F190" s="29"/>
      <c r="G190" s="29"/>
      <c r="H190" s="29"/>
      <c r="I190" s="29"/>
      <c r="J190" s="29"/>
      <c r="K190" s="29"/>
      <c r="L190" s="29"/>
      <c r="M190" s="29"/>
      <c r="N190" s="29"/>
      <c r="O190" s="4"/>
      <c r="P190" s="4"/>
      <c r="Q190" s="4"/>
      <c r="R190" s="77"/>
      <c r="V190" s="176"/>
      <c r="W190" s="176"/>
      <c r="X190" s="189" t="str">
        <f t="array" ref="X190">IFERROR(INDIRECT("'Bloque "&amp;$Y$41&amp;" Semana "&amp;$Y$40&amp;"'"&amp;"!"&amp;"E26"),"")</f>
        <v/>
      </c>
      <c r="AE190" s="186">
        <v>26.0</v>
      </c>
      <c r="AF190" s="189" t="str">
        <f t="array" ref="AF190">IFERROR(INDIRECT("'Bloque "&amp;$Z$41&amp;" Semana "&amp;$Z$40&amp;"'"&amp;"!"&amp;"E26"),"")</f>
        <v/>
      </c>
      <c r="AM190" s="186">
        <v>26.0</v>
      </c>
      <c r="AN190" s="189" t="str">
        <f t="array" ref="AN190">IFERROR(INDIRECT("'Bloque "&amp;$AA$41&amp;" Semana "&amp;$AA$40&amp;"'"&amp;"!"&amp;"E26"),"")</f>
        <v/>
      </c>
      <c r="AU190" s="186">
        <v>26.0</v>
      </c>
    </row>
    <row r="191">
      <c r="A191" s="4"/>
      <c r="B191" s="4"/>
      <c r="C191" s="4"/>
      <c r="D191" s="122"/>
      <c r="E191" s="29"/>
      <c r="F191" s="29"/>
      <c r="G191" s="29"/>
      <c r="H191" s="29"/>
      <c r="I191" s="29"/>
      <c r="J191" s="29"/>
      <c r="K191" s="29"/>
      <c r="L191" s="29"/>
      <c r="M191" s="29"/>
      <c r="N191" s="29"/>
      <c r="O191" s="4"/>
      <c r="P191" s="4"/>
      <c r="Q191" s="4"/>
      <c r="R191" s="77"/>
      <c r="V191" s="176"/>
      <c r="W191" s="176"/>
      <c r="X191" s="190" t="str">
        <f t="shared" ref="X191:AD191" si="332">IFERROR(INDIRECT("'Bloque "&amp;$Y$41&amp;" Semana "&amp;$Y$40&amp;"'"&amp;"!"&amp;X$187&amp;$AE191),"")</f>
        <v/>
      </c>
      <c r="Y191" s="190" t="str">
        <f t="shared" si="332"/>
        <v/>
      </c>
      <c r="Z191" s="190" t="str">
        <f t="shared" si="332"/>
        <v/>
      </c>
      <c r="AA191" s="190" t="str">
        <f t="shared" si="332"/>
        <v/>
      </c>
      <c r="AB191" s="190" t="str">
        <f t="shared" si="332"/>
        <v/>
      </c>
      <c r="AC191" s="190" t="str">
        <f t="shared" si="332"/>
        <v/>
      </c>
      <c r="AD191" s="190" t="str">
        <f t="shared" si="332"/>
        <v/>
      </c>
      <c r="AE191" s="191">
        <v>27.0</v>
      </c>
      <c r="AF191" s="190" t="str">
        <f t="shared" ref="AF191:AL191" si="333">IFERROR(INDIRECT("'Bloque "&amp;$Z$41&amp;" Semana "&amp;$Z$40&amp;"'"&amp;"!"&amp;AF$187&amp;$AM191),"")</f>
        <v/>
      </c>
      <c r="AG191" s="190" t="str">
        <f t="shared" si="333"/>
        <v/>
      </c>
      <c r="AH191" s="190" t="str">
        <f t="shared" si="333"/>
        <v/>
      </c>
      <c r="AI191" s="190" t="str">
        <f t="shared" si="333"/>
        <v/>
      </c>
      <c r="AJ191" s="190" t="str">
        <f t="shared" si="333"/>
        <v/>
      </c>
      <c r="AK191" s="190" t="str">
        <f t="shared" si="333"/>
        <v/>
      </c>
      <c r="AL191" s="190" t="str">
        <f t="shared" si="333"/>
        <v/>
      </c>
      <c r="AM191" s="191">
        <v>27.0</v>
      </c>
      <c r="AN191" s="190" t="str">
        <f t="shared" ref="AN191:AT191" si="334">IFERROR(INDIRECT("'Bloque "&amp;$AA$41&amp;" Semana "&amp;$AA$40&amp;"'"&amp;"!"&amp;AN$187&amp;$AU191),"")</f>
        <v/>
      </c>
      <c r="AO191" s="190" t="str">
        <f t="shared" si="334"/>
        <v/>
      </c>
      <c r="AP191" s="190" t="str">
        <f t="shared" si="334"/>
        <v/>
      </c>
      <c r="AQ191" s="190" t="str">
        <f t="shared" si="334"/>
        <v/>
      </c>
      <c r="AR191" s="190" t="str">
        <f t="shared" si="334"/>
        <v/>
      </c>
      <c r="AS191" s="190" t="str">
        <f t="shared" si="334"/>
        <v/>
      </c>
      <c r="AT191" s="190" t="str">
        <f t="shared" si="334"/>
        <v/>
      </c>
      <c r="AU191" s="191">
        <v>27.0</v>
      </c>
    </row>
    <row r="192">
      <c r="A192" s="4"/>
      <c r="B192" s="4"/>
      <c r="C192" s="4"/>
      <c r="D192" s="122"/>
      <c r="E192" s="29"/>
      <c r="F192" s="29"/>
      <c r="G192" s="29"/>
      <c r="H192" s="29"/>
      <c r="I192" s="29"/>
      <c r="J192" s="29"/>
      <c r="K192" s="29"/>
      <c r="L192" s="29"/>
      <c r="M192" s="29"/>
      <c r="N192" s="29"/>
      <c r="O192" s="4"/>
      <c r="P192" s="4"/>
      <c r="Q192" s="4"/>
      <c r="R192" s="77"/>
      <c r="V192" s="176"/>
      <c r="W192" s="176"/>
      <c r="X192" s="197" t="str">
        <f t="shared" ref="X192:AD192" si="335">IFERROR(INDIRECT("'Bloque "&amp;$Y$41&amp;" Semana "&amp;$Y$40&amp;"'"&amp;"!"&amp;X$187&amp;$AE192),"")</f>
        <v/>
      </c>
      <c r="Y192" s="197" t="str">
        <f t="shared" si="335"/>
        <v/>
      </c>
      <c r="Z192" s="197" t="str">
        <f t="shared" si="335"/>
        <v/>
      </c>
      <c r="AA192" s="197" t="str">
        <f t="shared" si="335"/>
        <v/>
      </c>
      <c r="AB192" s="197" t="str">
        <f t="shared" si="335"/>
        <v/>
      </c>
      <c r="AC192" s="197" t="str">
        <f t="shared" si="335"/>
        <v/>
      </c>
      <c r="AD192" s="197" t="str">
        <f t="shared" si="335"/>
        <v/>
      </c>
      <c r="AE192" s="191">
        <v>28.0</v>
      </c>
      <c r="AF192" s="197" t="str">
        <f t="shared" ref="AF192:AL192" si="336">IFERROR(INDIRECT("'Bloque "&amp;$Z$41&amp;" Semana "&amp;$Z$40&amp;"'"&amp;"!"&amp;AF$187&amp;$AM192),"")</f>
        <v/>
      </c>
      <c r="AG192" s="197" t="str">
        <f t="shared" si="336"/>
        <v/>
      </c>
      <c r="AH192" s="197" t="str">
        <f t="shared" si="336"/>
        <v/>
      </c>
      <c r="AI192" s="197" t="str">
        <f t="shared" si="336"/>
        <v/>
      </c>
      <c r="AJ192" s="197" t="str">
        <f t="shared" si="336"/>
        <v/>
      </c>
      <c r="AK192" s="197" t="str">
        <f t="shared" si="336"/>
        <v/>
      </c>
      <c r="AL192" s="197" t="str">
        <f t="shared" si="336"/>
        <v/>
      </c>
      <c r="AM192" s="191">
        <v>28.0</v>
      </c>
      <c r="AN192" s="197" t="str">
        <f t="shared" ref="AN192:AT192" si="337">IFERROR(INDIRECT("'Bloque "&amp;$AA$41&amp;" Semana "&amp;$AA$40&amp;"'"&amp;"!"&amp;AN$187&amp;$AU192),"")</f>
        <v/>
      </c>
      <c r="AO192" s="197" t="str">
        <f t="shared" si="337"/>
        <v/>
      </c>
      <c r="AP192" s="197" t="str">
        <f t="shared" si="337"/>
        <v/>
      </c>
      <c r="AQ192" s="197" t="str">
        <f t="shared" si="337"/>
        <v/>
      </c>
      <c r="AR192" s="197" t="str">
        <f t="shared" si="337"/>
        <v/>
      </c>
      <c r="AS192" s="197" t="str">
        <f t="shared" si="337"/>
        <v/>
      </c>
      <c r="AT192" s="197" t="str">
        <f t="shared" si="337"/>
        <v/>
      </c>
      <c r="AU192" s="191">
        <v>28.0</v>
      </c>
    </row>
    <row r="193">
      <c r="A193" s="4"/>
      <c r="B193" s="4"/>
      <c r="C193" s="4"/>
      <c r="D193" s="122"/>
      <c r="E193" s="29"/>
      <c r="F193" s="29"/>
      <c r="G193" s="29"/>
      <c r="H193" s="29"/>
      <c r="I193" s="29"/>
      <c r="J193" s="29"/>
      <c r="K193" s="29"/>
      <c r="L193" s="29"/>
      <c r="M193" s="29"/>
      <c r="N193" s="29"/>
      <c r="O193" s="4"/>
      <c r="P193" s="4"/>
      <c r="Q193" s="4"/>
      <c r="R193" s="77"/>
      <c r="V193" s="176"/>
      <c r="W193" s="176"/>
      <c r="X193" s="197" t="str">
        <f t="shared" ref="X193:AD193" si="338">IFERROR(INDIRECT("'Bloque "&amp;$Y$41&amp;" Semana "&amp;$Y$40&amp;"'"&amp;"!"&amp;X$187&amp;$AE193),"")</f>
        <v/>
      </c>
      <c r="Y193" s="197" t="str">
        <f t="shared" si="338"/>
        <v/>
      </c>
      <c r="Z193" s="197" t="str">
        <f t="shared" si="338"/>
        <v/>
      </c>
      <c r="AA193" s="197" t="str">
        <f t="shared" si="338"/>
        <v/>
      </c>
      <c r="AB193" s="197" t="str">
        <f t="shared" si="338"/>
        <v/>
      </c>
      <c r="AC193" s="197" t="str">
        <f t="shared" si="338"/>
        <v/>
      </c>
      <c r="AD193" s="197" t="str">
        <f t="shared" si="338"/>
        <v/>
      </c>
      <c r="AE193" s="191">
        <v>29.0</v>
      </c>
      <c r="AF193" s="197" t="str">
        <f t="shared" ref="AF193:AL193" si="339">IFERROR(INDIRECT("'Bloque "&amp;$Z$41&amp;" Semana "&amp;$Z$40&amp;"'"&amp;"!"&amp;AF$187&amp;$AM193),"")</f>
        <v/>
      </c>
      <c r="AG193" s="197" t="str">
        <f t="shared" si="339"/>
        <v/>
      </c>
      <c r="AH193" s="197" t="str">
        <f t="shared" si="339"/>
        <v/>
      </c>
      <c r="AI193" s="197" t="str">
        <f t="shared" si="339"/>
        <v/>
      </c>
      <c r="AJ193" s="197" t="str">
        <f t="shared" si="339"/>
        <v/>
      </c>
      <c r="AK193" s="197" t="str">
        <f t="shared" si="339"/>
        <v/>
      </c>
      <c r="AL193" s="197" t="str">
        <f t="shared" si="339"/>
        <v/>
      </c>
      <c r="AM193" s="191">
        <v>29.0</v>
      </c>
      <c r="AN193" s="197" t="str">
        <f t="shared" ref="AN193:AT193" si="340">IFERROR(INDIRECT("'Bloque "&amp;$AA$41&amp;" Semana "&amp;$AA$40&amp;"'"&amp;"!"&amp;AN$187&amp;$AU193),"")</f>
        <v/>
      </c>
      <c r="AO193" s="197" t="str">
        <f t="shared" si="340"/>
        <v/>
      </c>
      <c r="AP193" s="197" t="str">
        <f t="shared" si="340"/>
        <v/>
      </c>
      <c r="AQ193" s="197" t="str">
        <f t="shared" si="340"/>
        <v/>
      </c>
      <c r="AR193" s="197" t="str">
        <f t="shared" si="340"/>
        <v/>
      </c>
      <c r="AS193" s="197" t="str">
        <f t="shared" si="340"/>
        <v/>
      </c>
      <c r="AT193" s="197" t="str">
        <f t="shared" si="340"/>
        <v/>
      </c>
      <c r="AU193" s="191">
        <v>29.0</v>
      </c>
    </row>
    <row r="194">
      <c r="A194" s="4"/>
      <c r="B194" s="4"/>
      <c r="C194" s="4"/>
      <c r="D194" s="122"/>
      <c r="E194" s="29"/>
      <c r="F194" s="29"/>
      <c r="G194" s="29"/>
      <c r="H194" s="29"/>
      <c r="I194" s="29"/>
      <c r="J194" s="29"/>
      <c r="K194" s="29"/>
      <c r="L194" s="29"/>
      <c r="M194" s="29"/>
      <c r="N194" s="29"/>
      <c r="O194" s="4"/>
      <c r="P194" s="4"/>
      <c r="Q194" s="4"/>
      <c r="R194" s="77"/>
      <c r="V194" s="176"/>
      <c r="W194" s="176"/>
      <c r="X194" s="197" t="str">
        <f t="shared" ref="X194:AD194" si="341">IFERROR(INDIRECT("'Bloque "&amp;$Y$41&amp;" Semana "&amp;$Y$40&amp;"'"&amp;"!"&amp;X$187&amp;$AE194),"")</f>
        <v/>
      </c>
      <c r="Y194" s="197" t="str">
        <f t="shared" si="341"/>
        <v/>
      </c>
      <c r="Z194" s="197" t="str">
        <f t="shared" si="341"/>
        <v/>
      </c>
      <c r="AA194" s="197" t="str">
        <f t="shared" si="341"/>
        <v/>
      </c>
      <c r="AB194" s="197" t="str">
        <f t="shared" si="341"/>
        <v/>
      </c>
      <c r="AC194" s="197" t="str">
        <f t="shared" si="341"/>
        <v/>
      </c>
      <c r="AD194" s="197" t="str">
        <f t="shared" si="341"/>
        <v/>
      </c>
      <c r="AE194" s="191">
        <v>30.0</v>
      </c>
      <c r="AF194" s="197" t="str">
        <f t="shared" ref="AF194:AL194" si="342">IFERROR(INDIRECT("'Bloque "&amp;$Z$41&amp;" Semana "&amp;$Z$40&amp;"'"&amp;"!"&amp;AF$187&amp;$AM194),"")</f>
        <v/>
      </c>
      <c r="AG194" s="197" t="str">
        <f t="shared" si="342"/>
        <v/>
      </c>
      <c r="AH194" s="197" t="str">
        <f t="shared" si="342"/>
        <v/>
      </c>
      <c r="AI194" s="197" t="str">
        <f t="shared" si="342"/>
        <v/>
      </c>
      <c r="AJ194" s="197" t="str">
        <f t="shared" si="342"/>
        <v/>
      </c>
      <c r="AK194" s="197" t="str">
        <f t="shared" si="342"/>
        <v/>
      </c>
      <c r="AL194" s="197" t="str">
        <f t="shared" si="342"/>
        <v/>
      </c>
      <c r="AM194" s="191">
        <v>30.0</v>
      </c>
      <c r="AN194" s="197" t="str">
        <f t="shared" ref="AN194:AT194" si="343">IFERROR(INDIRECT("'Bloque "&amp;$AA$41&amp;" Semana "&amp;$AA$40&amp;"'"&amp;"!"&amp;AN$187&amp;$AU194),"")</f>
        <v/>
      </c>
      <c r="AO194" s="197" t="str">
        <f t="shared" si="343"/>
        <v/>
      </c>
      <c r="AP194" s="197" t="str">
        <f t="shared" si="343"/>
        <v/>
      </c>
      <c r="AQ194" s="197" t="str">
        <f t="shared" si="343"/>
        <v/>
      </c>
      <c r="AR194" s="197" t="str">
        <f t="shared" si="343"/>
        <v/>
      </c>
      <c r="AS194" s="197" t="str">
        <f t="shared" si="343"/>
        <v/>
      </c>
      <c r="AT194" s="197" t="str">
        <f t="shared" si="343"/>
        <v/>
      </c>
      <c r="AU194" s="191">
        <v>30.0</v>
      </c>
    </row>
    <row r="195">
      <c r="A195" s="4"/>
      <c r="B195" s="4"/>
      <c r="C195" s="4"/>
      <c r="D195" s="122"/>
      <c r="E195" s="29"/>
      <c r="F195" s="29"/>
      <c r="G195" s="29"/>
      <c r="H195" s="29"/>
      <c r="I195" s="29"/>
      <c r="J195" s="29"/>
      <c r="K195" s="29"/>
      <c r="L195" s="29"/>
      <c r="M195" s="29"/>
      <c r="N195" s="29"/>
      <c r="O195" s="4"/>
      <c r="P195" s="4"/>
      <c r="Q195" s="4"/>
      <c r="R195" s="77"/>
      <c r="V195" s="176"/>
      <c r="W195" s="176"/>
      <c r="X195" s="197" t="str">
        <f t="shared" ref="X195:AD195" si="344">IFERROR(INDIRECT("'Bloque "&amp;$Y$41&amp;" Semana "&amp;$Y$40&amp;"'"&amp;"!"&amp;X$187&amp;$AE195),"")</f>
        <v/>
      </c>
      <c r="Y195" s="197" t="str">
        <f t="shared" si="344"/>
        <v/>
      </c>
      <c r="Z195" s="197" t="str">
        <f t="shared" si="344"/>
        <v/>
      </c>
      <c r="AA195" s="197" t="str">
        <f t="shared" si="344"/>
        <v/>
      </c>
      <c r="AB195" s="197" t="str">
        <f t="shared" si="344"/>
        <v/>
      </c>
      <c r="AC195" s="197" t="str">
        <f t="shared" si="344"/>
        <v/>
      </c>
      <c r="AD195" s="197" t="str">
        <f t="shared" si="344"/>
        <v/>
      </c>
      <c r="AE195" s="191">
        <v>31.0</v>
      </c>
      <c r="AF195" s="197" t="str">
        <f t="shared" ref="AF195:AL195" si="345">IFERROR(INDIRECT("'Bloque "&amp;$Z$41&amp;" Semana "&amp;$Z$40&amp;"'"&amp;"!"&amp;AF$187&amp;$AM195),"")</f>
        <v/>
      </c>
      <c r="AG195" s="197" t="str">
        <f t="shared" si="345"/>
        <v/>
      </c>
      <c r="AH195" s="197" t="str">
        <f t="shared" si="345"/>
        <v/>
      </c>
      <c r="AI195" s="197" t="str">
        <f t="shared" si="345"/>
        <v/>
      </c>
      <c r="AJ195" s="197" t="str">
        <f t="shared" si="345"/>
        <v/>
      </c>
      <c r="AK195" s="197" t="str">
        <f t="shared" si="345"/>
        <v/>
      </c>
      <c r="AL195" s="197" t="str">
        <f t="shared" si="345"/>
        <v/>
      </c>
      <c r="AM195" s="191">
        <v>31.0</v>
      </c>
      <c r="AN195" s="197" t="str">
        <f t="shared" ref="AN195:AT195" si="346">IFERROR(INDIRECT("'Bloque "&amp;$AA$41&amp;" Semana "&amp;$AA$40&amp;"'"&amp;"!"&amp;AN$187&amp;$AU195),"")</f>
        <v/>
      </c>
      <c r="AO195" s="197" t="str">
        <f t="shared" si="346"/>
        <v/>
      </c>
      <c r="AP195" s="197" t="str">
        <f t="shared" si="346"/>
        <v/>
      </c>
      <c r="AQ195" s="197" t="str">
        <f t="shared" si="346"/>
        <v/>
      </c>
      <c r="AR195" s="197" t="str">
        <f t="shared" si="346"/>
        <v/>
      </c>
      <c r="AS195" s="197" t="str">
        <f t="shared" si="346"/>
        <v/>
      </c>
      <c r="AT195" s="197" t="str">
        <f t="shared" si="346"/>
        <v/>
      </c>
      <c r="AU195" s="191">
        <v>31.0</v>
      </c>
    </row>
    <row r="196">
      <c r="A196" s="4"/>
      <c r="B196" s="4"/>
      <c r="C196" s="4"/>
      <c r="D196" s="122"/>
      <c r="E196" s="29"/>
      <c r="F196" s="29"/>
      <c r="G196" s="29"/>
      <c r="H196" s="29"/>
      <c r="I196" s="29"/>
      <c r="J196" s="29"/>
      <c r="K196" s="29"/>
      <c r="L196" s="29"/>
      <c r="M196" s="29"/>
      <c r="N196" s="29"/>
      <c r="O196" s="4"/>
      <c r="P196" s="4"/>
      <c r="Q196" s="4"/>
      <c r="R196" s="77"/>
      <c r="V196" s="176"/>
      <c r="W196" s="176"/>
      <c r="X196" s="197" t="str">
        <f t="shared" ref="X196:AD196" si="347">IFERROR(INDIRECT("'Bloque "&amp;$Y$41&amp;" Semana "&amp;$Y$40&amp;"'"&amp;"!"&amp;X$187&amp;$AE196),"")</f>
        <v/>
      </c>
      <c r="Y196" s="197" t="str">
        <f t="shared" si="347"/>
        <v/>
      </c>
      <c r="Z196" s="197" t="str">
        <f t="shared" si="347"/>
        <v/>
      </c>
      <c r="AA196" s="197" t="str">
        <f t="shared" si="347"/>
        <v/>
      </c>
      <c r="AB196" s="197" t="str">
        <f t="shared" si="347"/>
        <v/>
      </c>
      <c r="AC196" s="197" t="str">
        <f t="shared" si="347"/>
        <v/>
      </c>
      <c r="AD196" s="197" t="str">
        <f t="shared" si="347"/>
        <v/>
      </c>
      <c r="AE196" s="191">
        <v>32.0</v>
      </c>
      <c r="AF196" s="197" t="str">
        <f t="shared" ref="AF196:AL196" si="348">IFERROR(INDIRECT("'Bloque "&amp;$Z$41&amp;" Semana "&amp;$Z$40&amp;"'"&amp;"!"&amp;AF$187&amp;$AM196),"")</f>
        <v/>
      </c>
      <c r="AG196" s="197" t="str">
        <f t="shared" si="348"/>
        <v/>
      </c>
      <c r="AH196" s="197" t="str">
        <f t="shared" si="348"/>
        <v/>
      </c>
      <c r="AI196" s="197" t="str">
        <f t="shared" si="348"/>
        <v/>
      </c>
      <c r="AJ196" s="197" t="str">
        <f t="shared" si="348"/>
        <v/>
      </c>
      <c r="AK196" s="197" t="str">
        <f t="shared" si="348"/>
        <v/>
      </c>
      <c r="AL196" s="197" t="str">
        <f t="shared" si="348"/>
        <v/>
      </c>
      <c r="AM196" s="191">
        <v>32.0</v>
      </c>
      <c r="AN196" s="197" t="str">
        <f t="shared" ref="AN196:AT196" si="349">IFERROR(INDIRECT("'Bloque "&amp;$AA$41&amp;" Semana "&amp;$AA$40&amp;"'"&amp;"!"&amp;AN$187&amp;$AU196),"")</f>
        <v/>
      </c>
      <c r="AO196" s="197" t="str">
        <f t="shared" si="349"/>
        <v/>
      </c>
      <c r="AP196" s="197" t="str">
        <f t="shared" si="349"/>
        <v/>
      </c>
      <c r="AQ196" s="197" t="str">
        <f t="shared" si="349"/>
        <v/>
      </c>
      <c r="AR196" s="197" t="str">
        <f t="shared" si="349"/>
        <v/>
      </c>
      <c r="AS196" s="197" t="str">
        <f t="shared" si="349"/>
        <v/>
      </c>
      <c r="AT196" s="197" t="str">
        <f t="shared" si="349"/>
        <v/>
      </c>
      <c r="AU196" s="191">
        <v>32.0</v>
      </c>
    </row>
    <row r="197">
      <c r="A197" s="4"/>
      <c r="B197" s="4"/>
      <c r="C197" s="4"/>
      <c r="D197" s="122"/>
      <c r="E197" s="29"/>
      <c r="F197" s="29"/>
      <c r="G197" s="29"/>
      <c r="H197" s="29"/>
      <c r="I197" s="29"/>
      <c r="J197" s="29"/>
      <c r="K197" s="29"/>
      <c r="L197" s="29"/>
      <c r="M197" s="29"/>
      <c r="N197" s="29"/>
      <c r="O197" s="4"/>
      <c r="P197" s="4"/>
      <c r="Q197" s="4"/>
      <c r="R197" s="77"/>
      <c r="V197" s="176"/>
      <c r="W197" s="176"/>
      <c r="X197" s="197" t="str">
        <f t="shared" ref="X197:AD197" si="350">IFERROR(INDIRECT("'Bloque "&amp;$Y$41&amp;" Semana "&amp;$Y$40&amp;"'"&amp;"!"&amp;X$187&amp;$AE197),"")</f>
        <v/>
      </c>
      <c r="Y197" s="197" t="str">
        <f t="shared" si="350"/>
        <v/>
      </c>
      <c r="Z197" s="197" t="str">
        <f t="shared" si="350"/>
        <v/>
      </c>
      <c r="AA197" s="197" t="str">
        <f t="shared" si="350"/>
        <v/>
      </c>
      <c r="AB197" s="197" t="str">
        <f t="shared" si="350"/>
        <v/>
      </c>
      <c r="AC197" s="197" t="str">
        <f t="shared" si="350"/>
        <v/>
      </c>
      <c r="AD197" s="197" t="str">
        <f t="shared" si="350"/>
        <v/>
      </c>
      <c r="AE197" s="191">
        <v>33.0</v>
      </c>
      <c r="AF197" s="197" t="str">
        <f t="shared" ref="AF197:AL197" si="351">IFERROR(INDIRECT("'Bloque "&amp;$Z$41&amp;" Semana "&amp;$Z$40&amp;"'"&amp;"!"&amp;AF$187&amp;$AM197),"")</f>
        <v/>
      </c>
      <c r="AG197" s="197" t="str">
        <f t="shared" si="351"/>
        <v/>
      </c>
      <c r="AH197" s="197" t="str">
        <f t="shared" si="351"/>
        <v/>
      </c>
      <c r="AI197" s="197" t="str">
        <f t="shared" si="351"/>
        <v/>
      </c>
      <c r="AJ197" s="197" t="str">
        <f t="shared" si="351"/>
        <v/>
      </c>
      <c r="AK197" s="197" t="str">
        <f t="shared" si="351"/>
        <v/>
      </c>
      <c r="AL197" s="197" t="str">
        <f t="shared" si="351"/>
        <v/>
      </c>
      <c r="AM197" s="191">
        <v>33.0</v>
      </c>
      <c r="AN197" s="197" t="str">
        <f t="shared" ref="AN197:AT197" si="352">IFERROR(INDIRECT("'Bloque "&amp;$AA$41&amp;" Semana "&amp;$AA$40&amp;"'"&amp;"!"&amp;AN$187&amp;$AU197),"")</f>
        <v/>
      </c>
      <c r="AO197" s="197" t="str">
        <f t="shared" si="352"/>
        <v/>
      </c>
      <c r="AP197" s="197" t="str">
        <f t="shared" si="352"/>
        <v/>
      </c>
      <c r="AQ197" s="197" t="str">
        <f t="shared" si="352"/>
        <v/>
      </c>
      <c r="AR197" s="197" t="str">
        <f t="shared" si="352"/>
        <v/>
      </c>
      <c r="AS197" s="197" t="str">
        <f t="shared" si="352"/>
        <v/>
      </c>
      <c r="AT197" s="197" t="str">
        <f t="shared" si="352"/>
        <v/>
      </c>
      <c r="AU197" s="191">
        <v>33.0</v>
      </c>
    </row>
    <row r="198">
      <c r="A198" s="4"/>
      <c r="B198" s="4"/>
      <c r="C198" s="4"/>
      <c r="D198" s="122"/>
      <c r="E198" s="29"/>
      <c r="F198" s="29"/>
      <c r="G198" s="29"/>
      <c r="H198" s="29"/>
      <c r="I198" s="29"/>
      <c r="J198" s="29"/>
      <c r="K198" s="29"/>
      <c r="L198" s="29"/>
      <c r="M198" s="29"/>
      <c r="N198" s="29"/>
      <c r="O198" s="4"/>
      <c r="P198" s="4"/>
      <c r="Q198" s="4"/>
      <c r="R198" s="77"/>
      <c r="V198" s="176"/>
      <c r="W198" s="176"/>
      <c r="X198" s="197" t="str">
        <f t="shared" ref="X198:AD198" si="353">IFERROR(INDIRECT("'Bloque "&amp;$Y$41&amp;" Semana "&amp;$Y$40&amp;"'"&amp;"!"&amp;X$187&amp;$AE198),"")</f>
        <v/>
      </c>
      <c r="Y198" s="197" t="str">
        <f t="shared" si="353"/>
        <v/>
      </c>
      <c r="Z198" s="197" t="str">
        <f t="shared" si="353"/>
        <v/>
      </c>
      <c r="AA198" s="197" t="str">
        <f t="shared" si="353"/>
        <v/>
      </c>
      <c r="AB198" s="197" t="str">
        <f t="shared" si="353"/>
        <v/>
      </c>
      <c r="AC198" s="197" t="str">
        <f t="shared" si="353"/>
        <v/>
      </c>
      <c r="AD198" s="197" t="str">
        <f t="shared" si="353"/>
        <v/>
      </c>
      <c r="AE198" s="191">
        <v>34.0</v>
      </c>
      <c r="AF198" s="197" t="str">
        <f t="shared" ref="AF198:AL198" si="354">IFERROR(INDIRECT("'Bloque "&amp;$Z$41&amp;" Semana "&amp;$Z$40&amp;"'"&amp;"!"&amp;AF$187&amp;$AM198),"")</f>
        <v/>
      </c>
      <c r="AG198" s="197" t="str">
        <f t="shared" si="354"/>
        <v/>
      </c>
      <c r="AH198" s="197" t="str">
        <f t="shared" si="354"/>
        <v/>
      </c>
      <c r="AI198" s="197" t="str">
        <f t="shared" si="354"/>
        <v/>
      </c>
      <c r="AJ198" s="197" t="str">
        <f t="shared" si="354"/>
        <v/>
      </c>
      <c r="AK198" s="197" t="str">
        <f t="shared" si="354"/>
        <v/>
      </c>
      <c r="AL198" s="197" t="str">
        <f t="shared" si="354"/>
        <v/>
      </c>
      <c r="AM198" s="191">
        <v>34.0</v>
      </c>
      <c r="AN198" s="197" t="str">
        <f t="shared" ref="AN198:AT198" si="355">IFERROR(INDIRECT("'Bloque "&amp;$AA$41&amp;" Semana "&amp;$AA$40&amp;"'"&amp;"!"&amp;AN$187&amp;$AU198),"")</f>
        <v/>
      </c>
      <c r="AO198" s="197" t="str">
        <f t="shared" si="355"/>
        <v/>
      </c>
      <c r="AP198" s="197" t="str">
        <f t="shared" si="355"/>
        <v/>
      </c>
      <c r="AQ198" s="197" t="str">
        <f t="shared" si="355"/>
        <v/>
      </c>
      <c r="AR198" s="197" t="str">
        <f t="shared" si="355"/>
        <v/>
      </c>
      <c r="AS198" s="197" t="str">
        <f t="shared" si="355"/>
        <v/>
      </c>
      <c r="AT198" s="197" t="str">
        <f t="shared" si="355"/>
        <v/>
      </c>
      <c r="AU198" s="191">
        <v>34.0</v>
      </c>
    </row>
    <row r="199">
      <c r="A199" s="4"/>
      <c r="B199" s="4"/>
      <c r="C199" s="4"/>
      <c r="D199" s="122"/>
      <c r="E199" s="29"/>
      <c r="F199" s="29"/>
      <c r="G199" s="29"/>
      <c r="H199" s="29"/>
      <c r="I199" s="29"/>
      <c r="J199" s="29"/>
      <c r="K199" s="29"/>
      <c r="L199" s="29"/>
      <c r="M199" s="29"/>
      <c r="N199" s="29"/>
      <c r="O199" s="4"/>
      <c r="P199" s="4"/>
      <c r="Q199" s="4"/>
      <c r="R199" s="77"/>
      <c r="V199" s="176"/>
      <c r="W199" s="176"/>
      <c r="X199" s="197" t="str">
        <f t="shared" ref="X199:AD199" si="356">IFERROR(INDIRECT("'Bloque "&amp;$Y$41&amp;" Semana "&amp;$Y$40&amp;"'"&amp;"!"&amp;X$187&amp;$AE199),"")</f>
        <v/>
      </c>
      <c r="Y199" s="197" t="str">
        <f t="shared" si="356"/>
        <v/>
      </c>
      <c r="Z199" s="197" t="str">
        <f t="shared" si="356"/>
        <v/>
      </c>
      <c r="AA199" s="197" t="str">
        <f t="shared" si="356"/>
        <v/>
      </c>
      <c r="AB199" s="197" t="str">
        <f t="shared" si="356"/>
        <v/>
      </c>
      <c r="AC199" s="197" t="str">
        <f t="shared" si="356"/>
        <v/>
      </c>
      <c r="AD199" s="197" t="str">
        <f t="shared" si="356"/>
        <v/>
      </c>
      <c r="AE199" s="191">
        <v>35.0</v>
      </c>
      <c r="AF199" s="197" t="str">
        <f t="shared" ref="AF199:AL199" si="357">IFERROR(INDIRECT("'Bloque "&amp;$Z$41&amp;" Semana "&amp;$Z$40&amp;"'"&amp;"!"&amp;AF$187&amp;$AM199),"")</f>
        <v/>
      </c>
      <c r="AG199" s="197" t="str">
        <f t="shared" si="357"/>
        <v/>
      </c>
      <c r="AH199" s="197" t="str">
        <f t="shared" si="357"/>
        <v/>
      </c>
      <c r="AI199" s="197" t="str">
        <f t="shared" si="357"/>
        <v/>
      </c>
      <c r="AJ199" s="197" t="str">
        <f t="shared" si="357"/>
        <v/>
      </c>
      <c r="AK199" s="197" t="str">
        <f t="shared" si="357"/>
        <v/>
      </c>
      <c r="AL199" s="197" t="str">
        <f t="shared" si="357"/>
        <v/>
      </c>
      <c r="AM199" s="191">
        <v>35.0</v>
      </c>
      <c r="AN199" s="197" t="str">
        <f t="shared" ref="AN199:AT199" si="358">IFERROR(INDIRECT("'Bloque "&amp;$AA$41&amp;" Semana "&amp;$AA$40&amp;"'"&amp;"!"&amp;AN$187&amp;$AU199),"")</f>
        <v/>
      </c>
      <c r="AO199" s="197" t="str">
        <f t="shared" si="358"/>
        <v/>
      </c>
      <c r="AP199" s="197" t="str">
        <f t="shared" si="358"/>
        <v/>
      </c>
      <c r="AQ199" s="197" t="str">
        <f t="shared" si="358"/>
        <v/>
      </c>
      <c r="AR199" s="197" t="str">
        <f t="shared" si="358"/>
        <v/>
      </c>
      <c r="AS199" s="197" t="str">
        <f t="shared" si="358"/>
        <v/>
      </c>
      <c r="AT199" s="197" t="str">
        <f t="shared" si="358"/>
        <v/>
      </c>
      <c r="AU199" s="191">
        <v>35.0</v>
      </c>
    </row>
    <row r="200">
      <c r="A200" s="4"/>
      <c r="B200" s="4"/>
      <c r="C200" s="4"/>
      <c r="D200" s="122"/>
      <c r="E200" s="29"/>
      <c r="F200" s="29"/>
      <c r="G200" s="29"/>
      <c r="H200" s="29"/>
      <c r="I200" s="29"/>
      <c r="J200" s="29"/>
      <c r="K200" s="29"/>
      <c r="L200" s="29"/>
      <c r="M200" s="29"/>
      <c r="N200" s="29"/>
      <c r="O200" s="4"/>
      <c r="P200" s="4"/>
      <c r="Q200" s="4"/>
      <c r="R200" s="77"/>
      <c r="V200" s="176"/>
      <c r="W200" s="176"/>
      <c r="X200" s="176"/>
      <c r="Y200" s="176"/>
      <c r="Z200" s="176"/>
      <c r="AA200" s="176"/>
      <c r="AB200" s="176"/>
      <c r="AC200" s="176"/>
      <c r="AD200" s="176"/>
      <c r="AE200" s="192"/>
      <c r="AF200" s="176"/>
      <c r="AG200" s="176"/>
      <c r="AH200" s="176"/>
      <c r="AI200" s="176"/>
      <c r="AJ200" s="176"/>
      <c r="AK200" s="176"/>
      <c r="AL200" s="176"/>
      <c r="AM200" s="192"/>
      <c r="AN200" s="176"/>
      <c r="AO200" s="176"/>
      <c r="AP200" s="176"/>
      <c r="AQ200" s="176"/>
      <c r="AR200" s="176"/>
      <c r="AU200" s="187"/>
    </row>
    <row r="201">
      <c r="A201" s="193"/>
      <c r="B201" s="193"/>
      <c r="C201" s="193"/>
      <c r="D201" s="194"/>
      <c r="E201" s="195"/>
      <c r="F201" s="195"/>
      <c r="G201" s="195"/>
      <c r="H201" s="195"/>
      <c r="I201" s="195"/>
      <c r="J201" s="195"/>
      <c r="K201" s="195"/>
      <c r="L201" s="195"/>
      <c r="M201" s="195"/>
      <c r="N201" s="195"/>
      <c r="O201" s="193"/>
      <c r="P201" s="193"/>
      <c r="Q201" s="193"/>
      <c r="R201" s="196"/>
      <c r="S201" s="187"/>
      <c r="T201" s="187"/>
      <c r="U201" s="187"/>
      <c r="V201" s="192"/>
      <c r="W201" s="192"/>
      <c r="X201" s="186" t="s">
        <v>202</v>
      </c>
      <c r="Y201" s="186" t="s">
        <v>203</v>
      </c>
      <c r="Z201" s="186" t="s">
        <v>209</v>
      </c>
      <c r="AA201" s="186" t="s">
        <v>205</v>
      </c>
      <c r="AB201" s="186" t="s">
        <v>206</v>
      </c>
      <c r="AC201" s="186" t="s">
        <v>207</v>
      </c>
      <c r="AD201" s="186" t="s">
        <v>208</v>
      </c>
      <c r="AE201" s="187"/>
      <c r="AF201" s="186" t="s">
        <v>202</v>
      </c>
      <c r="AG201" s="186" t="s">
        <v>203</v>
      </c>
      <c r="AH201" s="186" t="s">
        <v>209</v>
      </c>
      <c r="AI201" s="186" t="s">
        <v>205</v>
      </c>
      <c r="AJ201" s="186" t="s">
        <v>206</v>
      </c>
      <c r="AK201" s="186" t="s">
        <v>207</v>
      </c>
      <c r="AL201" s="186" t="s">
        <v>208</v>
      </c>
      <c r="AM201" s="187"/>
      <c r="AN201" s="186" t="s">
        <v>202</v>
      </c>
      <c r="AO201" s="186" t="s">
        <v>203</v>
      </c>
      <c r="AP201" s="186" t="s">
        <v>209</v>
      </c>
      <c r="AQ201" s="186" t="s">
        <v>205</v>
      </c>
      <c r="AR201" s="186" t="s">
        <v>206</v>
      </c>
      <c r="AS201" s="186" t="s">
        <v>207</v>
      </c>
      <c r="AT201" s="186" t="s">
        <v>208</v>
      </c>
      <c r="AU201" s="187"/>
      <c r="AV201" s="187"/>
      <c r="AW201" s="187"/>
      <c r="AX201" s="187"/>
      <c r="AY201" s="187"/>
      <c r="AZ201" s="187"/>
      <c r="BA201" s="187"/>
      <c r="BB201" s="187"/>
      <c r="BC201" s="187"/>
      <c r="BD201" s="187"/>
      <c r="BE201" s="187"/>
      <c r="BF201" s="187"/>
      <c r="BG201" s="187"/>
      <c r="BH201" s="187"/>
      <c r="BI201" s="187"/>
      <c r="BJ201" s="187"/>
      <c r="BK201" s="187"/>
      <c r="BL201" s="187"/>
      <c r="BM201" s="187"/>
      <c r="BN201" s="187"/>
      <c r="BO201" s="187"/>
      <c r="BP201" s="187"/>
      <c r="BQ201" s="187"/>
      <c r="BR201" s="187"/>
      <c r="BS201" s="187"/>
      <c r="BT201" s="187"/>
      <c r="BU201" s="187"/>
      <c r="BV201" s="187"/>
      <c r="BW201" s="187"/>
      <c r="BX201" s="187"/>
      <c r="BY201" s="187"/>
      <c r="BZ201" s="187"/>
      <c r="CA201" s="187"/>
      <c r="CB201" s="187"/>
      <c r="CC201" s="187"/>
      <c r="CD201" s="187"/>
      <c r="CE201" s="187"/>
      <c r="CF201" s="187"/>
      <c r="CG201" s="187"/>
      <c r="CH201" s="187"/>
      <c r="CI201" s="187"/>
      <c r="CJ201" s="187"/>
      <c r="CK201" s="187"/>
      <c r="CL201" s="187"/>
      <c r="CM201" s="187"/>
      <c r="CN201" s="187"/>
      <c r="CO201" s="187"/>
      <c r="CP201" s="187"/>
      <c r="CQ201" s="187"/>
      <c r="CR201" s="187"/>
      <c r="CS201" s="187"/>
      <c r="CT201" s="187"/>
      <c r="CU201" s="187"/>
      <c r="CV201" s="187"/>
      <c r="CW201" s="187"/>
      <c r="CX201" s="187"/>
      <c r="CY201" s="187"/>
      <c r="CZ201" s="187"/>
      <c r="DA201" s="187"/>
      <c r="DB201" s="187"/>
      <c r="DC201" s="187"/>
      <c r="DD201" s="187"/>
      <c r="DE201" s="187"/>
      <c r="DF201" s="187"/>
      <c r="DG201" s="187"/>
      <c r="DH201" s="187"/>
      <c r="DI201" s="187"/>
      <c r="DJ201" s="187"/>
      <c r="DK201" s="187"/>
      <c r="DL201" s="187"/>
      <c r="DM201" s="187"/>
      <c r="DN201" s="187"/>
      <c r="DO201" s="187"/>
      <c r="DP201" s="187"/>
      <c r="DQ201" s="187"/>
      <c r="DR201" s="187"/>
      <c r="DS201" s="187"/>
      <c r="DT201" s="187"/>
      <c r="DU201" s="187"/>
      <c r="DV201" s="187"/>
      <c r="DW201" s="187"/>
      <c r="DX201" s="187"/>
      <c r="DY201" s="187"/>
      <c r="DZ201" s="187"/>
      <c r="EA201" s="187"/>
      <c r="EB201" s="187"/>
      <c r="EC201" s="187"/>
      <c r="ED201" s="187"/>
      <c r="EE201" s="187"/>
      <c r="EF201" s="187"/>
      <c r="EG201" s="187"/>
      <c r="EH201" s="187"/>
      <c r="EI201" s="187"/>
      <c r="EJ201" s="187"/>
    </row>
    <row r="202">
      <c r="A202" s="4"/>
      <c r="B202" s="4"/>
      <c r="C202" s="4"/>
      <c r="D202" s="122"/>
      <c r="E202" s="29"/>
      <c r="F202" s="29"/>
      <c r="G202" s="29"/>
      <c r="H202" s="29"/>
      <c r="I202" s="29"/>
      <c r="J202" s="29"/>
      <c r="K202" s="29"/>
      <c r="L202" s="29"/>
      <c r="M202" s="29"/>
      <c r="N202" s="29"/>
      <c r="O202" s="4"/>
      <c r="P202" s="4"/>
      <c r="Q202" s="4"/>
      <c r="R202" s="77"/>
      <c r="V202" s="176"/>
      <c r="W202" s="176"/>
      <c r="X202" s="188" t="str">
        <f t="array" ref="X202">IFERROR(INDIRECT("'Bloque "&amp;$AB$41&amp;" Semana "&amp;$AB$40&amp;"'"&amp;"!"&amp;"E37"),"")</f>
        <v/>
      </c>
      <c r="AE202" s="186">
        <v>26.0</v>
      </c>
      <c r="AF202" s="188" t="str">
        <f t="array" ref="AF202">IFERROR(INDIRECT("'Bloque "&amp;$AC$41&amp;" Semana "&amp;$AC$40&amp;"'"&amp;"!"&amp;"E37"),"")</f>
        <v/>
      </c>
      <c r="AM202" s="186">
        <v>26.0</v>
      </c>
      <c r="AN202" s="188" t="str">
        <f t="array" ref="AN202">IFERROR(INDIRECT("'Bloque "&amp;$AD$41&amp;" Semana "&amp;$AD$40&amp;"'"&amp;"!"&amp;"E37"),"")</f>
        <v/>
      </c>
      <c r="AU202" s="186">
        <v>26.0</v>
      </c>
    </row>
    <row r="203">
      <c r="A203" s="4"/>
      <c r="B203" s="4"/>
      <c r="C203" s="4"/>
      <c r="D203" s="122"/>
      <c r="E203" s="29"/>
      <c r="F203" s="29"/>
      <c r="G203" s="29"/>
      <c r="H203" s="29"/>
      <c r="I203" s="29"/>
      <c r="J203" s="29"/>
      <c r="K203" s="29"/>
      <c r="L203" s="29"/>
      <c r="M203" s="29"/>
      <c r="N203" s="29"/>
      <c r="O203" s="4"/>
      <c r="P203" s="4"/>
      <c r="Q203" s="4"/>
      <c r="R203" s="77"/>
      <c r="V203" s="176"/>
      <c r="W203" s="176"/>
      <c r="X203" s="176" t="str">
        <f t="array" ref="X203">IFERROR(INDIRECT("'Bloque "&amp;$AB$41&amp;" Semana "&amp;$AB$40&amp;"'"&amp;"!"&amp;"E25"),"")</f>
        <v/>
      </c>
      <c r="AE203" s="186">
        <v>25.0</v>
      </c>
      <c r="AF203" s="176" t="str">
        <f t="array" ref="AF203">IFERROR(INDIRECT("'Bloque "&amp;$AC$41&amp;" Semana "&amp;$AC$40&amp;"'"&amp;"!"&amp;"E25"),"")</f>
        <v/>
      </c>
      <c r="AM203" s="186">
        <v>25.0</v>
      </c>
      <c r="AN203" s="176" t="str">
        <f t="array" ref="AN203">IFERROR(INDIRECT("'Bloque "&amp;$AD$41&amp;" Semana "&amp;$AD$40&amp;"'"&amp;"!"&amp;"E25"),"")</f>
        <v/>
      </c>
      <c r="AU203" s="186">
        <v>25.0</v>
      </c>
    </row>
    <row r="204">
      <c r="A204" s="4"/>
      <c r="B204" s="4"/>
      <c r="C204" s="4"/>
      <c r="D204" s="122"/>
      <c r="E204" s="29"/>
      <c r="F204" s="29"/>
      <c r="G204" s="29"/>
      <c r="H204" s="29"/>
      <c r="I204" s="29"/>
      <c r="J204" s="29"/>
      <c r="K204" s="29"/>
      <c r="L204" s="29"/>
      <c r="M204" s="29"/>
      <c r="N204" s="29"/>
      <c r="O204" s="4"/>
      <c r="P204" s="4"/>
      <c r="Q204" s="4"/>
      <c r="R204" s="77"/>
      <c r="V204" s="176"/>
      <c r="W204" s="176"/>
      <c r="X204" s="189" t="str">
        <f t="array" ref="X204">IFERROR(INDIRECT("'Bloque "&amp;$AB$41&amp;" Semana "&amp;$AB$40&amp;"'"&amp;"!"&amp;"E26"),"")</f>
        <v/>
      </c>
      <c r="AE204" s="186">
        <v>26.0</v>
      </c>
      <c r="AF204" s="189" t="str">
        <f t="array" ref="AF204">IFERROR(INDIRECT("'Bloque "&amp;$AC$41&amp;" Semana "&amp;$AC$40&amp;"'"&amp;"!"&amp;"E26"),"")</f>
        <v/>
      </c>
      <c r="AM204" s="186">
        <v>26.0</v>
      </c>
      <c r="AN204" s="189" t="str">
        <f t="array" ref="AN204">IFERROR(INDIRECT("'Bloque "&amp;$AD$41&amp;" Semana "&amp;$AD$40&amp;"'"&amp;"!"&amp;"E26"),"")</f>
        <v/>
      </c>
      <c r="AU204" s="186">
        <v>26.0</v>
      </c>
    </row>
    <row r="205">
      <c r="A205" s="4"/>
      <c r="B205" s="4"/>
      <c r="C205" s="4"/>
      <c r="D205" s="122"/>
      <c r="E205" s="29"/>
      <c r="F205" s="29"/>
      <c r="G205" s="29"/>
      <c r="H205" s="29"/>
      <c r="I205" s="29"/>
      <c r="J205" s="29"/>
      <c r="K205" s="29"/>
      <c r="L205" s="29"/>
      <c r="M205" s="29"/>
      <c r="N205" s="29"/>
      <c r="O205" s="4"/>
      <c r="P205" s="4"/>
      <c r="Q205" s="4"/>
      <c r="R205" s="77"/>
      <c r="V205" s="176"/>
      <c r="W205" s="176"/>
      <c r="X205" s="190" t="str">
        <f t="shared" ref="X205:AD205" si="359">IFERROR(INDIRECT("'Bloque "&amp;$AB$41&amp;" Semana "&amp;$AB$40&amp;"'"&amp;"!"&amp;X$201&amp;$AE205),"")</f>
        <v/>
      </c>
      <c r="Y205" s="190" t="str">
        <f t="shared" si="359"/>
        <v/>
      </c>
      <c r="Z205" s="190" t="str">
        <f t="shared" si="359"/>
        <v/>
      </c>
      <c r="AA205" s="190" t="str">
        <f t="shared" si="359"/>
        <v/>
      </c>
      <c r="AB205" s="190" t="str">
        <f t="shared" si="359"/>
        <v/>
      </c>
      <c r="AC205" s="190" t="str">
        <f t="shared" si="359"/>
        <v/>
      </c>
      <c r="AD205" s="190" t="str">
        <f t="shared" si="359"/>
        <v/>
      </c>
      <c r="AE205" s="191">
        <v>27.0</v>
      </c>
      <c r="AF205" s="190" t="str">
        <f t="shared" ref="AF205:AL205" si="360">IFERROR(INDIRECT("'Bloque "&amp;$AC$41&amp;" Semana "&amp;$AC$40&amp;"'"&amp;"!"&amp;AF$201&amp;$AM205),"")</f>
        <v/>
      </c>
      <c r="AG205" s="190" t="str">
        <f t="shared" si="360"/>
        <v/>
      </c>
      <c r="AH205" s="190" t="str">
        <f t="shared" si="360"/>
        <v/>
      </c>
      <c r="AI205" s="190" t="str">
        <f t="shared" si="360"/>
        <v/>
      </c>
      <c r="AJ205" s="190" t="str">
        <f t="shared" si="360"/>
        <v/>
      </c>
      <c r="AK205" s="190" t="str">
        <f t="shared" si="360"/>
        <v/>
      </c>
      <c r="AL205" s="190" t="str">
        <f t="shared" si="360"/>
        <v/>
      </c>
      <c r="AM205" s="191">
        <v>27.0</v>
      </c>
      <c r="AN205" s="190" t="str">
        <f t="shared" ref="AN205:AT205" si="361">IFERROR(INDIRECT("'Bloque "&amp;$AD$41&amp;" Semana "&amp;$AD$40&amp;"'"&amp;"!"&amp;AN$201&amp;$AU205),"")</f>
        <v/>
      </c>
      <c r="AO205" s="190" t="str">
        <f t="shared" si="361"/>
        <v/>
      </c>
      <c r="AP205" s="190" t="str">
        <f t="shared" si="361"/>
        <v/>
      </c>
      <c r="AQ205" s="190" t="str">
        <f t="shared" si="361"/>
        <v/>
      </c>
      <c r="AR205" s="190" t="str">
        <f t="shared" si="361"/>
        <v/>
      </c>
      <c r="AS205" s="190" t="str">
        <f t="shared" si="361"/>
        <v/>
      </c>
      <c r="AT205" s="190" t="str">
        <f t="shared" si="361"/>
        <v/>
      </c>
      <c r="AU205" s="191">
        <v>27.0</v>
      </c>
    </row>
    <row r="206">
      <c r="A206" s="4"/>
      <c r="B206" s="4"/>
      <c r="C206" s="4"/>
      <c r="D206" s="122"/>
      <c r="E206" s="29"/>
      <c r="F206" s="29"/>
      <c r="G206" s="29"/>
      <c r="H206" s="29"/>
      <c r="I206" s="29"/>
      <c r="J206" s="29"/>
      <c r="K206" s="29"/>
      <c r="L206" s="29"/>
      <c r="M206" s="29"/>
      <c r="N206" s="29"/>
      <c r="O206" s="4"/>
      <c r="P206" s="4"/>
      <c r="Q206" s="4"/>
      <c r="R206" s="77"/>
      <c r="V206" s="176"/>
      <c r="W206" s="176"/>
      <c r="X206" s="197" t="str">
        <f t="shared" ref="X206:AD206" si="362">IFERROR(INDIRECT("'Bloque "&amp;$AB$41&amp;" Semana "&amp;$AB$40&amp;"'"&amp;"!"&amp;X$201&amp;$AE206),"")</f>
        <v/>
      </c>
      <c r="Y206" s="197" t="str">
        <f t="shared" si="362"/>
        <v/>
      </c>
      <c r="Z206" s="197" t="str">
        <f t="shared" si="362"/>
        <v/>
      </c>
      <c r="AA206" s="197" t="str">
        <f t="shared" si="362"/>
        <v/>
      </c>
      <c r="AB206" s="197" t="str">
        <f t="shared" si="362"/>
        <v/>
      </c>
      <c r="AC206" s="197" t="str">
        <f t="shared" si="362"/>
        <v/>
      </c>
      <c r="AD206" s="197" t="str">
        <f t="shared" si="362"/>
        <v/>
      </c>
      <c r="AE206" s="191">
        <v>28.0</v>
      </c>
      <c r="AF206" s="197" t="str">
        <f t="shared" ref="AF206:AL206" si="363">IFERROR(INDIRECT("'Bloque "&amp;$AC$41&amp;" Semana "&amp;$AC$40&amp;"'"&amp;"!"&amp;AF$201&amp;$AM206),"")</f>
        <v/>
      </c>
      <c r="AG206" s="197" t="str">
        <f t="shared" si="363"/>
        <v/>
      </c>
      <c r="AH206" s="197" t="str">
        <f t="shared" si="363"/>
        <v/>
      </c>
      <c r="AI206" s="197" t="str">
        <f t="shared" si="363"/>
        <v/>
      </c>
      <c r="AJ206" s="197" t="str">
        <f t="shared" si="363"/>
        <v/>
      </c>
      <c r="AK206" s="197" t="str">
        <f t="shared" si="363"/>
        <v/>
      </c>
      <c r="AL206" s="197" t="str">
        <f t="shared" si="363"/>
        <v/>
      </c>
      <c r="AM206" s="191">
        <v>28.0</v>
      </c>
      <c r="AN206" s="197" t="str">
        <f t="shared" ref="AN206:AT206" si="364">IFERROR(INDIRECT("'Bloque "&amp;$AD$41&amp;" Semana "&amp;$AD$40&amp;"'"&amp;"!"&amp;AN$201&amp;$AU206),"")</f>
        <v/>
      </c>
      <c r="AO206" s="197" t="str">
        <f t="shared" si="364"/>
        <v/>
      </c>
      <c r="AP206" s="197" t="str">
        <f t="shared" si="364"/>
        <v/>
      </c>
      <c r="AQ206" s="197" t="str">
        <f t="shared" si="364"/>
        <v/>
      </c>
      <c r="AR206" s="197" t="str">
        <f t="shared" si="364"/>
        <v/>
      </c>
      <c r="AS206" s="197" t="str">
        <f t="shared" si="364"/>
        <v/>
      </c>
      <c r="AT206" s="197" t="str">
        <f t="shared" si="364"/>
        <v/>
      </c>
      <c r="AU206" s="191">
        <v>28.0</v>
      </c>
    </row>
    <row r="207">
      <c r="A207" s="4"/>
      <c r="B207" s="4"/>
      <c r="C207" s="4"/>
      <c r="D207" s="122"/>
      <c r="E207" s="29"/>
      <c r="F207" s="29"/>
      <c r="G207" s="29"/>
      <c r="H207" s="29"/>
      <c r="I207" s="29"/>
      <c r="J207" s="29"/>
      <c r="K207" s="29"/>
      <c r="L207" s="29"/>
      <c r="M207" s="29"/>
      <c r="N207" s="29"/>
      <c r="O207" s="4"/>
      <c r="P207" s="4"/>
      <c r="Q207" s="4"/>
      <c r="R207" s="77"/>
      <c r="V207" s="176"/>
      <c r="W207" s="176"/>
      <c r="X207" s="197" t="str">
        <f t="shared" ref="X207:AD207" si="365">IFERROR(INDIRECT("'Bloque "&amp;$AB$41&amp;" Semana "&amp;$AB$40&amp;"'"&amp;"!"&amp;X$201&amp;$AE207),"")</f>
        <v/>
      </c>
      <c r="Y207" s="197" t="str">
        <f t="shared" si="365"/>
        <v/>
      </c>
      <c r="Z207" s="197" t="str">
        <f t="shared" si="365"/>
        <v/>
      </c>
      <c r="AA207" s="197" t="str">
        <f t="shared" si="365"/>
        <v/>
      </c>
      <c r="AB207" s="197" t="str">
        <f t="shared" si="365"/>
        <v/>
      </c>
      <c r="AC207" s="197" t="str">
        <f t="shared" si="365"/>
        <v/>
      </c>
      <c r="AD207" s="197" t="str">
        <f t="shared" si="365"/>
        <v/>
      </c>
      <c r="AE207" s="191">
        <v>29.0</v>
      </c>
      <c r="AF207" s="197" t="str">
        <f t="shared" ref="AF207:AL207" si="366">IFERROR(INDIRECT("'Bloque "&amp;$AC$41&amp;" Semana "&amp;$AC$40&amp;"'"&amp;"!"&amp;AF$201&amp;$AM207),"")</f>
        <v/>
      </c>
      <c r="AG207" s="197" t="str">
        <f t="shared" si="366"/>
        <v/>
      </c>
      <c r="AH207" s="197" t="str">
        <f t="shared" si="366"/>
        <v/>
      </c>
      <c r="AI207" s="197" t="str">
        <f t="shared" si="366"/>
        <v/>
      </c>
      <c r="AJ207" s="197" t="str">
        <f t="shared" si="366"/>
        <v/>
      </c>
      <c r="AK207" s="197" t="str">
        <f t="shared" si="366"/>
        <v/>
      </c>
      <c r="AL207" s="197" t="str">
        <f t="shared" si="366"/>
        <v/>
      </c>
      <c r="AM207" s="191">
        <v>29.0</v>
      </c>
      <c r="AN207" s="197" t="str">
        <f t="shared" ref="AN207:AT207" si="367">IFERROR(INDIRECT("'Bloque "&amp;$AD$41&amp;" Semana "&amp;$AD$40&amp;"'"&amp;"!"&amp;AN$201&amp;$AU207),"")</f>
        <v/>
      </c>
      <c r="AO207" s="197" t="str">
        <f t="shared" si="367"/>
        <v/>
      </c>
      <c r="AP207" s="197" t="str">
        <f t="shared" si="367"/>
        <v/>
      </c>
      <c r="AQ207" s="197" t="str">
        <f t="shared" si="367"/>
        <v/>
      </c>
      <c r="AR207" s="197" t="str">
        <f t="shared" si="367"/>
        <v/>
      </c>
      <c r="AS207" s="197" t="str">
        <f t="shared" si="367"/>
        <v/>
      </c>
      <c r="AT207" s="197" t="str">
        <f t="shared" si="367"/>
        <v/>
      </c>
      <c r="AU207" s="191">
        <v>29.0</v>
      </c>
    </row>
    <row r="208">
      <c r="A208" s="4"/>
      <c r="B208" s="4"/>
      <c r="C208" s="4"/>
      <c r="D208" s="122"/>
      <c r="E208" s="29"/>
      <c r="F208" s="29"/>
      <c r="G208" s="29"/>
      <c r="H208" s="29"/>
      <c r="I208" s="29"/>
      <c r="J208" s="29"/>
      <c r="K208" s="29"/>
      <c r="L208" s="29"/>
      <c r="M208" s="29"/>
      <c r="N208" s="29"/>
      <c r="O208" s="4"/>
      <c r="P208" s="4"/>
      <c r="Q208" s="4"/>
      <c r="R208" s="77"/>
      <c r="V208" s="176"/>
      <c r="W208" s="176"/>
      <c r="X208" s="197" t="str">
        <f t="shared" ref="X208:AD208" si="368">IFERROR(INDIRECT("'Bloque "&amp;$AB$41&amp;" Semana "&amp;$AB$40&amp;"'"&amp;"!"&amp;X$201&amp;$AE208),"")</f>
        <v/>
      </c>
      <c r="Y208" s="197" t="str">
        <f t="shared" si="368"/>
        <v/>
      </c>
      <c r="Z208" s="197" t="str">
        <f t="shared" si="368"/>
        <v/>
      </c>
      <c r="AA208" s="197" t="str">
        <f t="shared" si="368"/>
        <v/>
      </c>
      <c r="AB208" s="197" t="str">
        <f t="shared" si="368"/>
        <v/>
      </c>
      <c r="AC208" s="197" t="str">
        <f t="shared" si="368"/>
        <v/>
      </c>
      <c r="AD208" s="197" t="str">
        <f t="shared" si="368"/>
        <v/>
      </c>
      <c r="AE208" s="191">
        <v>30.0</v>
      </c>
      <c r="AF208" s="197" t="str">
        <f t="shared" ref="AF208:AL208" si="369">IFERROR(INDIRECT("'Bloque "&amp;$AC$41&amp;" Semana "&amp;$AC$40&amp;"'"&amp;"!"&amp;AF$201&amp;$AM208),"")</f>
        <v/>
      </c>
      <c r="AG208" s="197" t="str">
        <f t="shared" si="369"/>
        <v/>
      </c>
      <c r="AH208" s="197" t="str">
        <f t="shared" si="369"/>
        <v/>
      </c>
      <c r="AI208" s="197" t="str">
        <f t="shared" si="369"/>
        <v/>
      </c>
      <c r="AJ208" s="197" t="str">
        <f t="shared" si="369"/>
        <v/>
      </c>
      <c r="AK208" s="197" t="str">
        <f t="shared" si="369"/>
        <v/>
      </c>
      <c r="AL208" s="197" t="str">
        <f t="shared" si="369"/>
        <v/>
      </c>
      <c r="AM208" s="191">
        <v>30.0</v>
      </c>
      <c r="AN208" s="197" t="str">
        <f t="shared" ref="AN208:AT208" si="370">IFERROR(INDIRECT("'Bloque "&amp;$AD$41&amp;" Semana "&amp;$AD$40&amp;"'"&amp;"!"&amp;AN$201&amp;$AU208),"")</f>
        <v/>
      </c>
      <c r="AO208" s="197" t="str">
        <f t="shared" si="370"/>
        <v/>
      </c>
      <c r="AP208" s="197" t="str">
        <f t="shared" si="370"/>
        <v/>
      </c>
      <c r="AQ208" s="197" t="str">
        <f t="shared" si="370"/>
        <v/>
      </c>
      <c r="AR208" s="197" t="str">
        <f t="shared" si="370"/>
        <v/>
      </c>
      <c r="AS208" s="197" t="str">
        <f t="shared" si="370"/>
        <v/>
      </c>
      <c r="AT208" s="197" t="str">
        <f t="shared" si="370"/>
        <v/>
      </c>
      <c r="AU208" s="191">
        <v>30.0</v>
      </c>
    </row>
    <row r="209">
      <c r="A209" s="4"/>
      <c r="B209" s="4"/>
      <c r="C209" s="4"/>
      <c r="D209" s="122"/>
      <c r="E209" s="29"/>
      <c r="F209" s="29"/>
      <c r="G209" s="29"/>
      <c r="H209" s="29"/>
      <c r="I209" s="29"/>
      <c r="J209" s="29"/>
      <c r="K209" s="29"/>
      <c r="L209" s="29"/>
      <c r="M209" s="29"/>
      <c r="N209" s="29"/>
      <c r="O209" s="4"/>
      <c r="P209" s="4"/>
      <c r="Q209" s="4"/>
      <c r="R209" s="77"/>
      <c r="V209" s="176"/>
      <c r="W209" s="176"/>
      <c r="X209" s="197" t="str">
        <f t="shared" ref="X209:AD209" si="371">IFERROR(INDIRECT("'Bloque "&amp;$AB$41&amp;" Semana "&amp;$AB$40&amp;"'"&amp;"!"&amp;X$201&amp;$AE209),"")</f>
        <v/>
      </c>
      <c r="Y209" s="197" t="str">
        <f t="shared" si="371"/>
        <v/>
      </c>
      <c r="Z209" s="197" t="str">
        <f t="shared" si="371"/>
        <v/>
      </c>
      <c r="AA209" s="197" t="str">
        <f t="shared" si="371"/>
        <v/>
      </c>
      <c r="AB209" s="197" t="str">
        <f t="shared" si="371"/>
        <v/>
      </c>
      <c r="AC209" s="197" t="str">
        <f t="shared" si="371"/>
        <v/>
      </c>
      <c r="AD209" s="197" t="str">
        <f t="shared" si="371"/>
        <v/>
      </c>
      <c r="AE209" s="191">
        <v>31.0</v>
      </c>
      <c r="AF209" s="197" t="str">
        <f t="shared" ref="AF209:AL209" si="372">IFERROR(INDIRECT("'Bloque "&amp;$AC$41&amp;" Semana "&amp;$AC$40&amp;"'"&amp;"!"&amp;AF$201&amp;$AM209),"")</f>
        <v/>
      </c>
      <c r="AG209" s="197" t="str">
        <f t="shared" si="372"/>
        <v/>
      </c>
      <c r="AH209" s="197" t="str">
        <f t="shared" si="372"/>
        <v/>
      </c>
      <c r="AI209" s="197" t="str">
        <f t="shared" si="372"/>
        <v/>
      </c>
      <c r="AJ209" s="197" t="str">
        <f t="shared" si="372"/>
        <v/>
      </c>
      <c r="AK209" s="197" t="str">
        <f t="shared" si="372"/>
        <v/>
      </c>
      <c r="AL209" s="197" t="str">
        <f t="shared" si="372"/>
        <v/>
      </c>
      <c r="AM209" s="191">
        <v>31.0</v>
      </c>
      <c r="AN209" s="197" t="str">
        <f t="shared" ref="AN209:AT209" si="373">IFERROR(INDIRECT("'Bloque "&amp;$AD$41&amp;" Semana "&amp;$AD$40&amp;"'"&amp;"!"&amp;AN$201&amp;$AU209),"")</f>
        <v/>
      </c>
      <c r="AO209" s="197" t="str">
        <f t="shared" si="373"/>
        <v/>
      </c>
      <c r="AP209" s="197" t="str">
        <f t="shared" si="373"/>
        <v/>
      </c>
      <c r="AQ209" s="197" t="str">
        <f t="shared" si="373"/>
        <v/>
      </c>
      <c r="AR209" s="197" t="str">
        <f t="shared" si="373"/>
        <v/>
      </c>
      <c r="AS209" s="197" t="str">
        <f t="shared" si="373"/>
        <v/>
      </c>
      <c r="AT209" s="197" t="str">
        <f t="shared" si="373"/>
        <v/>
      </c>
      <c r="AU209" s="191">
        <v>31.0</v>
      </c>
    </row>
    <row r="210">
      <c r="A210" s="4"/>
      <c r="B210" s="4"/>
      <c r="C210" s="4"/>
      <c r="D210" s="122"/>
      <c r="E210" s="29"/>
      <c r="F210" s="29"/>
      <c r="G210" s="29"/>
      <c r="H210" s="29"/>
      <c r="I210" s="29"/>
      <c r="J210" s="29"/>
      <c r="K210" s="29"/>
      <c r="L210" s="29"/>
      <c r="M210" s="29"/>
      <c r="N210" s="29"/>
      <c r="O210" s="4"/>
      <c r="P210" s="4"/>
      <c r="Q210" s="4"/>
      <c r="R210" s="77"/>
      <c r="V210" s="176"/>
      <c r="W210" s="176"/>
      <c r="X210" s="197" t="str">
        <f t="shared" ref="X210:AD210" si="374">IFERROR(INDIRECT("'Bloque "&amp;$AB$41&amp;" Semana "&amp;$AB$40&amp;"'"&amp;"!"&amp;X$201&amp;$AE210),"")</f>
        <v/>
      </c>
      <c r="Y210" s="197" t="str">
        <f t="shared" si="374"/>
        <v/>
      </c>
      <c r="Z210" s="197" t="str">
        <f t="shared" si="374"/>
        <v/>
      </c>
      <c r="AA210" s="197" t="str">
        <f t="shared" si="374"/>
        <v/>
      </c>
      <c r="AB210" s="197" t="str">
        <f t="shared" si="374"/>
        <v/>
      </c>
      <c r="AC210" s="197" t="str">
        <f t="shared" si="374"/>
        <v/>
      </c>
      <c r="AD210" s="197" t="str">
        <f t="shared" si="374"/>
        <v/>
      </c>
      <c r="AE210" s="191">
        <v>32.0</v>
      </c>
      <c r="AF210" s="197" t="str">
        <f t="shared" ref="AF210:AL210" si="375">IFERROR(INDIRECT("'Bloque "&amp;$AC$41&amp;" Semana "&amp;$AC$40&amp;"'"&amp;"!"&amp;AF$201&amp;$AM210),"")</f>
        <v/>
      </c>
      <c r="AG210" s="197" t="str">
        <f t="shared" si="375"/>
        <v/>
      </c>
      <c r="AH210" s="197" t="str">
        <f t="shared" si="375"/>
        <v/>
      </c>
      <c r="AI210" s="197" t="str">
        <f t="shared" si="375"/>
        <v/>
      </c>
      <c r="AJ210" s="197" t="str">
        <f t="shared" si="375"/>
        <v/>
      </c>
      <c r="AK210" s="197" t="str">
        <f t="shared" si="375"/>
        <v/>
      </c>
      <c r="AL210" s="197" t="str">
        <f t="shared" si="375"/>
        <v/>
      </c>
      <c r="AM210" s="191">
        <v>32.0</v>
      </c>
      <c r="AN210" s="197" t="str">
        <f t="shared" ref="AN210:AT210" si="376">IFERROR(INDIRECT("'Bloque "&amp;$AD$41&amp;" Semana "&amp;$AD$40&amp;"'"&amp;"!"&amp;AN$201&amp;$AU210),"")</f>
        <v/>
      </c>
      <c r="AO210" s="197" t="str">
        <f t="shared" si="376"/>
        <v/>
      </c>
      <c r="AP210" s="197" t="str">
        <f t="shared" si="376"/>
        <v/>
      </c>
      <c r="AQ210" s="197" t="str">
        <f t="shared" si="376"/>
        <v/>
      </c>
      <c r="AR210" s="197" t="str">
        <f t="shared" si="376"/>
        <v/>
      </c>
      <c r="AS210" s="197" t="str">
        <f t="shared" si="376"/>
        <v/>
      </c>
      <c r="AT210" s="197" t="str">
        <f t="shared" si="376"/>
        <v/>
      </c>
      <c r="AU210" s="191">
        <v>32.0</v>
      </c>
    </row>
    <row r="211">
      <c r="A211" s="4"/>
      <c r="B211" s="4"/>
      <c r="C211" s="4"/>
      <c r="D211" s="122"/>
      <c r="E211" s="29"/>
      <c r="F211" s="29"/>
      <c r="G211" s="29"/>
      <c r="H211" s="29"/>
      <c r="I211" s="29"/>
      <c r="J211" s="29"/>
      <c r="K211" s="29"/>
      <c r="L211" s="29"/>
      <c r="M211" s="29"/>
      <c r="N211" s="29"/>
      <c r="O211" s="4"/>
      <c r="P211" s="4"/>
      <c r="Q211" s="4"/>
      <c r="R211" s="77"/>
      <c r="V211" s="176"/>
      <c r="W211" s="176"/>
      <c r="X211" s="197" t="str">
        <f t="shared" ref="X211:AD211" si="377">IFERROR(INDIRECT("'Bloque "&amp;$AB$41&amp;" Semana "&amp;$AB$40&amp;"'"&amp;"!"&amp;X$201&amp;$AE211),"")</f>
        <v/>
      </c>
      <c r="Y211" s="197" t="str">
        <f t="shared" si="377"/>
        <v/>
      </c>
      <c r="Z211" s="197" t="str">
        <f t="shared" si="377"/>
        <v/>
      </c>
      <c r="AA211" s="197" t="str">
        <f t="shared" si="377"/>
        <v/>
      </c>
      <c r="AB211" s="197" t="str">
        <f t="shared" si="377"/>
        <v/>
      </c>
      <c r="AC211" s="197" t="str">
        <f t="shared" si="377"/>
        <v/>
      </c>
      <c r="AD211" s="197" t="str">
        <f t="shared" si="377"/>
        <v/>
      </c>
      <c r="AE211" s="191">
        <v>33.0</v>
      </c>
      <c r="AF211" s="197" t="str">
        <f t="shared" ref="AF211:AL211" si="378">IFERROR(INDIRECT("'Bloque "&amp;$AC$41&amp;" Semana "&amp;$AC$40&amp;"'"&amp;"!"&amp;AF$201&amp;$AM211),"")</f>
        <v/>
      </c>
      <c r="AG211" s="197" t="str">
        <f t="shared" si="378"/>
        <v/>
      </c>
      <c r="AH211" s="197" t="str">
        <f t="shared" si="378"/>
        <v/>
      </c>
      <c r="AI211" s="197" t="str">
        <f t="shared" si="378"/>
        <v/>
      </c>
      <c r="AJ211" s="197" t="str">
        <f t="shared" si="378"/>
        <v/>
      </c>
      <c r="AK211" s="197" t="str">
        <f t="shared" si="378"/>
        <v/>
      </c>
      <c r="AL211" s="197" t="str">
        <f t="shared" si="378"/>
        <v/>
      </c>
      <c r="AM211" s="191">
        <v>33.0</v>
      </c>
      <c r="AN211" s="197" t="str">
        <f t="shared" ref="AN211:AT211" si="379">IFERROR(INDIRECT("'Bloque "&amp;$AD$41&amp;" Semana "&amp;$AD$40&amp;"'"&amp;"!"&amp;AN$201&amp;$AU211),"")</f>
        <v/>
      </c>
      <c r="AO211" s="197" t="str">
        <f t="shared" si="379"/>
        <v/>
      </c>
      <c r="AP211" s="197" t="str">
        <f t="shared" si="379"/>
        <v/>
      </c>
      <c r="AQ211" s="197" t="str">
        <f t="shared" si="379"/>
        <v/>
      </c>
      <c r="AR211" s="197" t="str">
        <f t="shared" si="379"/>
        <v/>
      </c>
      <c r="AS211" s="197" t="str">
        <f t="shared" si="379"/>
        <v/>
      </c>
      <c r="AT211" s="197" t="str">
        <f t="shared" si="379"/>
        <v/>
      </c>
      <c r="AU211" s="191">
        <v>33.0</v>
      </c>
    </row>
    <row r="212">
      <c r="A212" s="4"/>
      <c r="B212" s="4"/>
      <c r="C212" s="4"/>
      <c r="D212" s="122"/>
      <c r="E212" s="29"/>
      <c r="F212" s="29"/>
      <c r="G212" s="29"/>
      <c r="H212" s="29"/>
      <c r="I212" s="29"/>
      <c r="J212" s="29"/>
      <c r="K212" s="29"/>
      <c r="L212" s="29"/>
      <c r="M212" s="29"/>
      <c r="N212" s="29"/>
      <c r="O212" s="4"/>
      <c r="P212" s="4"/>
      <c r="Q212" s="4"/>
      <c r="R212" s="77"/>
      <c r="V212" s="176"/>
      <c r="W212" s="176"/>
      <c r="X212" s="197" t="str">
        <f t="shared" ref="X212:AD212" si="380">IFERROR(INDIRECT("'Bloque "&amp;$AB$41&amp;" Semana "&amp;$AB$40&amp;"'"&amp;"!"&amp;X$201&amp;$AE212),"")</f>
        <v/>
      </c>
      <c r="Y212" s="197" t="str">
        <f t="shared" si="380"/>
        <v/>
      </c>
      <c r="Z212" s="197" t="str">
        <f t="shared" si="380"/>
        <v/>
      </c>
      <c r="AA212" s="197" t="str">
        <f t="shared" si="380"/>
        <v/>
      </c>
      <c r="AB212" s="197" t="str">
        <f t="shared" si="380"/>
        <v/>
      </c>
      <c r="AC212" s="197" t="str">
        <f t="shared" si="380"/>
        <v/>
      </c>
      <c r="AD212" s="197" t="str">
        <f t="shared" si="380"/>
        <v/>
      </c>
      <c r="AE212" s="191">
        <v>34.0</v>
      </c>
      <c r="AF212" s="197" t="str">
        <f t="shared" ref="AF212:AL212" si="381">IFERROR(INDIRECT("'Bloque "&amp;$AC$41&amp;" Semana "&amp;$AC$40&amp;"'"&amp;"!"&amp;AF$201&amp;$AM212),"")</f>
        <v/>
      </c>
      <c r="AG212" s="197" t="str">
        <f t="shared" si="381"/>
        <v/>
      </c>
      <c r="AH212" s="197" t="str">
        <f t="shared" si="381"/>
        <v/>
      </c>
      <c r="AI212" s="197" t="str">
        <f t="shared" si="381"/>
        <v/>
      </c>
      <c r="AJ212" s="197" t="str">
        <f t="shared" si="381"/>
        <v/>
      </c>
      <c r="AK212" s="197" t="str">
        <f t="shared" si="381"/>
        <v/>
      </c>
      <c r="AL212" s="197" t="str">
        <f t="shared" si="381"/>
        <v/>
      </c>
      <c r="AM212" s="191">
        <v>34.0</v>
      </c>
      <c r="AN212" s="197" t="str">
        <f t="shared" ref="AN212:AT212" si="382">IFERROR(INDIRECT("'Bloque "&amp;$AD$41&amp;" Semana "&amp;$AD$40&amp;"'"&amp;"!"&amp;AN$201&amp;$AU212),"")</f>
        <v/>
      </c>
      <c r="AO212" s="197" t="str">
        <f t="shared" si="382"/>
        <v/>
      </c>
      <c r="AP212" s="197" t="str">
        <f t="shared" si="382"/>
        <v/>
      </c>
      <c r="AQ212" s="197" t="str">
        <f t="shared" si="382"/>
        <v/>
      </c>
      <c r="AR212" s="197" t="str">
        <f t="shared" si="382"/>
        <v/>
      </c>
      <c r="AS212" s="197" t="str">
        <f t="shared" si="382"/>
        <v/>
      </c>
      <c r="AT212" s="197" t="str">
        <f t="shared" si="382"/>
        <v/>
      </c>
      <c r="AU212" s="191">
        <v>34.0</v>
      </c>
    </row>
    <row r="213">
      <c r="A213" s="4"/>
      <c r="B213" s="4"/>
      <c r="C213" s="4"/>
      <c r="D213" s="122"/>
      <c r="E213" s="29"/>
      <c r="F213" s="29"/>
      <c r="G213" s="29"/>
      <c r="H213" s="29"/>
      <c r="I213" s="29"/>
      <c r="J213" s="29"/>
      <c r="K213" s="29"/>
      <c r="L213" s="29"/>
      <c r="M213" s="29"/>
      <c r="N213" s="29"/>
      <c r="O213" s="4"/>
      <c r="P213" s="4"/>
      <c r="Q213" s="4"/>
      <c r="R213" s="77"/>
      <c r="V213" s="176"/>
      <c r="W213" s="176"/>
      <c r="X213" s="197" t="str">
        <f t="shared" ref="X213:AD213" si="383">IFERROR(INDIRECT("'Bloque "&amp;$AB$41&amp;" Semana "&amp;$AB$40&amp;"'"&amp;"!"&amp;X$201&amp;$AE213),"")</f>
        <v/>
      </c>
      <c r="Y213" s="197" t="str">
        <f t="shared" si="383"/>
        <v/>
      </c>
      <c r="Z213" s="197" t="str">
        <f t="shared" si="383"/>
        <v/>
      </c>
      <c r="AA213" s="197" t="str">
        <f t="shared" si="383"/>
        <v/>
      </c>
      <c r="AB213" s="197" t="str">
        <f t="shared" si="383"/>
        <v/>
      </c>
      <c r="AC213" s="197" t="str">
        <f t="shared" si="383"/>
        <v/>
      </c>
      <c r="AD213" s="197" t="str">
        <f t="shared" si="383"/>
        <v/>
      </c>
      <c r="AE213" s="191">
        <v>35.0</v>
      </c>
      <c r="AF213" s="197" t="str">
        <f t="shared" ref="AF213:AL213" si="384">IFERROR(INDIRECT("'Bloque "&amp;$AC$41&amp;" Semana "&amp;$AC$40&amp;"'"&amp;"!"&amp;AF$201&amp;$AM213),"")</f>
        <v/>
      </c>
      <c r="AG213" s="197" t="str">
        <f t="shared" si="384"/>
        <v/>
      </c>
      <c r="AH213" s="197" t="str">
        <f t="shared" si="384"/>
        <v/>
      </c>
      <c r="AI213" s="197" t="str">
        <f t="shared" si="384"/>
        <v/>
      </c>
      <c r="AJ213" s="197" t="str">
        <f t="shared" si="384"/>
        <v/>
      </c>
      <c r="AK213" s="197" t="str">
        <f t="shared" si="384"/>
        <v/>
      </c>
      <c r="AL213" s="197" t="str">
        <f t="shared" si="384"/>
        <v/>
      </c>
      <c r="AM213" s="191">
        <v>35.0</v>
      </c>
      <c r="AN213" s="197" t="str">
        <f t="shared" ref="AN213:AT213" si="385">IFERROR(INDIRECT("'Bloque "&amp;$AD$41&amp;" Semana "&amp;$AD$40&amp;"'"&amp;"!"&amp;AN$201&amp;$AU213),"")</f>
        <v/>
      </c>
      <c r="AO213" s="197" t="str">
        <f t="shared" si="385"/>
        <v/>
      </c>
      <c r="AP213" s="197" t="str">
        <f t="shared" si="385"/>
        <v/>
      </c>
      <c r="AQ213" s="197" t="str">
        <f t="shared" si="385"/>
        <v/>
      </c>
      <c r="AR213" s="197" t="str">
        <f t="shared" si="385"/>
        <v/>
      </c>
      <c r="AS213" s="197" t="str">
        <f t="shared" si="385"/>
        <v/>
      </c>
      <c r="AT213" s="197" t="str">
        <f t="shared" si="385"/>
        <v/>
      </c>
      <c r="AU213" s="191">
        <v>35.0</v>
      </c>
    </row>
    <row r="214">
      <c r="A214" s="4"/>
      <c r="B214" s="4"/>
      <c r="C214" s="4"/>
      <c r="D214" s="122"/>
      <c r="E214" s="29"/>
      <c r="F214" s="29"/>
      <c r="G214" s="29"/>
      <c r="H214" s="29"/>
      <c r="I214" s="29"/>
      <c r="J214" s="29"/>
      <c r="K214" s="29"/>
      <c r="L214" s="29"/>
      <c r="M214" s="29"/>
      <c r="N214" s="29"/>
      <c r="O214" s="4"/>
      <c r="P214" s="4"/>
      <c r="Q214" s="4"/>
      <c r="R214" s="77"/>
      <c r="V214" s="176"/>
      <c r="W214" s="176"/>
      <c r="X214" s="176"/>
      <c r="Y214" s="176"/>
      <c r="Z214" s="176"/>
      <c r="AA214" s="176"/>
      <c r="AB214" s="176"/>
      <c r="AC214" s="176"/>
      <c r="AD214" s="176"/>
      <c r="AE214" s="192"/>
      <c r="AF214" s="176"/>
      <c r="AG214" s="176"/>
      <c r="AH214" s="176"/>
      <c r="AI214" s="176"/>
      <c r="AJ214" s="176"/>
      <c r="AK214" s="176"/>
      <c r="AL214" s="176"/>
      <c r="AM214" s="192"/>
      <c r="AN214" s="176"/>
      <c r="AO214" s="176"/>
      <c r="AP214" s="176"/>
      <c r="AQ214" s="176"/>
      <c r="AR214" s="176"/>
      <c r="AU214" s="187"/>
    </row>
    <row r="215">
      <c r="A215" s="193"/>
      <c r="B215" s="193"/>
      <c r="C215" s="193"/>
      <c r="D215" s="194"/>
      <c r="E215" s="195"/>
      <c r="F215" s="195"/>
      <c r="G215" s="195"/>
      <c r="H215" s="195"/>
      <c r="I215" s="195"/>
      <c r="J215" s="195"/>
      <c r="K215" s="195"/>
      <c r="L215" s="195"/>
      <c r="M215" s="195"/>
      <c r="N215" s="195"/>
      <c r="O215" s="193"/>
      <c r="P215" s="193"/>
      <c r="Q215" s="193"/>
      <c r="R215" s="196"/>
      <c r="S215" s="187"/>
      <c r="T215" s="187"/>
      <c r="U215" s="187"/>
      <c r="V215" s="192"/>
      <c r="W215" s="192"/>
      <c r="X215" s="186" t="s">
        <v>202</v>
      </c>
      <c r="Y215" s="186" t="s">
        <v>203</v>
      </c>
      <c r="Z215" s="186" t="s">
        <v>209</v>
      </c>
      <c r="AA215" s="186" t="s">
        <v>205</v>
      </c>
      <c r="AB215" s="186" t="s">
        <v>206</v>
      </c>
      <c r="AC215" s="186" t="s">
        <v>207</v>
      </c>
      <c r="AD215" s="186" t="s">
        <v>208</v>
      </c>
      <c r="AE215" s="187"/>
      <c r="AF215" s="186" t="s">
        <v>202</v>
      </c>
      <c r="AG215" s="186" t="s">
        <v>203</v>
      </c>
      <c r="AH215" s="186" t="s">
        <v>209</v>
      </c>
      <c r="AI215" s="186" t="s">
        <v>205</v>
      </c>
      <c r="AJ215" s="186" t="s">
        <v>206</v>
      </c>
      <c r="AK215" s="186" t="s">
        <v>207</v>
      </c>
      <c r="AL215" s="186" t="s">
        <v>208</v>
      </c>
      <c r="AM215" s="187"/>
      <c r="AN215" s="186" t="s">
        <v>202</v>
      </c>
      <c r="AO215" s="186" t="s">
        <v>203</v>
      </c>
      <c r="AP215" s="186" t="s">
        <v>209</v>
      </c>
      <c r="AQ215" s="186" t="s">
        <v>205</v>
      </c>
      <c r="AR215" s="186" t="s">
        <v>206</v>
      </c>
      <c r="AS215" s="186" t="s">
        <v>207</v>
      </c>
      <c r="AT215" s="186" t="s">
        <v>208</v>
      </c>
      <c r="AU215" s="187"/>
      <c r="AV215" s="187"/>
      <c r="AW215" s="187"/>
      <c r="AX215" s="187"/>
      <c r="AY215" s="187"/>
      <c r="AZ215" s="187"/>
      <c r="BA215" s="187"/>
      <c r="BB215" s="187"/>
      <c r="BC215" s="187"/>
      <c r="BD215" s="187"/>
      <c r="BE215" s="187"/>
      <c r="BF215" s="187"/>
      <c r="BG215" s="187"/>
      <c r="BH215" s="187"/>
      <c r="BI215" s="187"/>
      <c r="BJ215" s="187"/>
      <c r="BK215" s="187"/>
      <c r="BL215" s="187"/>
      <c r="BM215" s="187"/>
      <c r="BN215" s="187"/>
      <c r="BO215" s="187"/>
      <c r="BP215" s="187"/>
      <c r="BQ215" s="187"/>
      <c r="BR215" s="187"/>
      <c r="BS215" s="187"/>
      <c r="BT215" s="187"/>
      <c r="BU215" s="187"/>
      <c r="BV215" s="187"/>
      <c r="BW215" s="187"/>
      <c r="BX215" s="187"/>
      <c r="BY215" s="187"/>
      <c r="BZ215" s="187"/>
      <c r="CA215" s="187"/>
      <c r="CB215" s="187"/>
      <c r="CC215" s="187"/>
      <c r="CD215" s="187"/>
      <c r="CE215" s="187"/>
      <c r="CF215" s="187"/>
      <c r="CG215" s="187"/>
      <c r="CH215" s="187"/>
      <c r="CI215" s="187"/>
      <c r="CJ215" s="187"/>
      <c r="CK215" s="187"/>
      <c r="CL215" s="187"/>
      <c r="CM215" s="187"/>
      <c r="CN215" s="187"/>
      <c r="CO215" s="187"/>
      <c r="CP215" s="187"/>
      <c r="CQ215" s="187"/>
      <c r="CR215" s="187"/>
      <c r="CS215" s="187"/>
      <c r="CT215" s="187"/>
      <c r="CU215" s="187"/>
      <c r="CV215" s="187"/>
      <c r="CW215" s="187"/>
      <c r="CX215" s="187"/>
      <c r="CY215" s="187"/>
      <c r="CZ215" s="187"/>
      <c r="DA215" s="187"/>
      <c r="DB215" s="187"/>
      <c r="DC215" s="187"/>
      <c r="DD215" s="187"/>
      <c r="DE215" s="187"/>
      <c r="DF215" s="187"/>
      <c r="DG215" s="187"/>
      <c r="DH215" s="187"/>
      <c r="DI215" s="187"/>
      <c r="DJ215" s="187"/>
      <c r="DK215" s="187"/>
      <c r="DL215" s="187"/>
      <c r="DM215" s="187"/>
      <c r="DN215" s="187"/>
      <c r="DO215" s="187"/>
      <c r="DP215" s="187"/>
      <c r="DQ215" s="187"/>
      <c r="DR215" s="187"/>
      <c r="DS215" s="187"/>
      <c r="DT215" s="187"/>
      <c r="DU215" s="187"/>
      <c r="DV215" s="187"/>
      <c r="DW215" s="187"/>
      <c r="DX215" s="187"/>
      <c r="DY215" s="187"/>
      <c r="DZ215" s="187"/>
      <c r="EA215" s="187"/>
      <c r="EB215" s="187"/>
      <c r="EC215" s="187"/>
      <c r="ED215" s="187"/>
      <c r="EE215" s="187"/>
      <c r="EF215" s="187"/>
      <c r="EG215" s="187"/>
      <c r="EH215" s="187"/>
      <c r="EI215" s="187"/>
      <c r="EJ215" s="187"/>
    </row>
    <row r="216">
      <c r="A216" s="4"/>
      <c r="B216" s="4"/>
      <c r="C216" s="4"/>
      <c r="D216" s="122"/>
      <c r="E216" s="29"/>
      <c r="F216" s="29"/>
      <c r="G216" s="29"/>
      <c r="H216" s="29"/>
      <c r="I216" s="29"/>
      <c r="J216" s="29"/>
      <c r="K216" s="29"/>
      <c r="L216" s="29"/>
      <c r="M216" s="29"/>
      <c r="N216" s="29"/>
      <c r="O216" s="4"/>
      <c r="P216" s="4"/>
      <c r="Q216" s="4"/>
      <c r="R216" s="77"/>
      <c r="V216" s="176"/>
      <c r="W216" s="176"/>
      <c r="X216" s="188" t="str">
        <f t="array" ref="X216">IFERROR(INDIRECT("'Bloque "&amp;$AE$41&amp;" Semana "&amp;$AE$40&amp;"'"&amp;"!"&amp;"E37"),"")</f>
        <v/>
      </c>
      <c r="AE216" s="186">
        <v>26.0</v>
      </c>
      <c r="AF216" s="188" t="str">
        <f t="array" ref="AF216">IFERROR(INDIRECT("'Bloque "&amp;$AF$41&amp;" Semana "&amp;$AF$40&amp;"'"&amp;"!"&amp;"E37"),"")</f>
        <v/>
      </c>
      <c r="AM216" s="186">
        <v>26.0</v>
      </c>
      <c r="AN216" s="188" t="str">
        <f t="array" ref="AN216">IFERROR(INDIRECT("'Bloque "&amp;$AG$41&amp;" Semana "&amp;$AG$40&amp;"'"&amp;"!"&amp;"E37"),"")</f>
        <v/>
      </c>
      <c r="AU216" s="186">
        <v>26.0</v>
      </c>
    </row>
    <row r="217">
      <c r="A217" s="4"/>
      <c r="B217" s="4"/>
      <c r="C217" s="4"/>
      <c r="D217" s="122"/>
      <c r="E217" s="29"/>
      <c r="F217" s="29"/>
      <c r="G217" s="29"/>
      <c r="H217" s="29"/>
      <c r="I217" s="29"/>
      <c r="J217" s="29"/>
      <c r="K217" s="29"/>
      <c r="L217" s="29"/>
      <c r="M217" s="29"/>
      <c r="N217" s="29"/>
      <c r="O217" s="4"/>
      <c r="P217" s="4"/>
      <c r="Q217" s="4"/>
      <c r="R217" s="77"/>
      <c r="V217" s="176"/>
      <c r="W217" s="176"/>
      <c r="X217" s="176" t="str">
        <f t="array" ref="X217">IFERROR(INDIRECT("'Bloque "&amp;$AE$41&amp;" Semana "&amp;$AE$40&amp;"'"&amp;"!"&amp;"E25"),"")</f>
        <v/>
      </c>
      <c r="AE217" s="186">
        <v>25.0</v>
      </c>
      <c r="AF217" s="176" t="str">
        <f t="array" ref="AF217">IFERROR(INDIRECT("'Bloque "&amp;$AF$41&amp;" Semana "&amp;$AF$40&amp;"'"&amp;"!"&amp;"E25"),"")</f>
        <v/>
      </c>
      <c r="AM217" s="186">
        <v>25.0</v>
      </c>
      <c r="AN217" s="176" t="str">
        <f t="array" ref="AN217">IFERROR(INDIRECT("'Bloque "&amp;$AG$41&amp;" Semana "&amp;$AG$40&amp;"'"&amp;"!"&amp;"E25"),"")</f>
        <v/>
      </c>
      <c r="AU217" s="186">
        <v>25.0</v>
      </c>
    </row>
    <row r="218">
      <c r="A218" s="4"/>
      <c r="B218" s="4"/>
      <c r="C218" s="4"/>
      <c r="D218" s="122"/>
      <c r="E218" s="29"/>
      <c r="F218" s="29"/>
      <c r="G218" s="29"/>
      <c r="H218" s="29"/>
      <c r="I218" s="29"/>
      <c r="J218" s="29"/>
      <c r="K218" s="29"/>
      <c r="L218" s="29"/>
      <c r="M218" s="29"/>
      <c r="N218" s="29"/>
      <c r="O218" s="4"/>
      <c r="P218" s="4"/>
      <c r="Q218" s="4"/>
      <c r="R218" s="77"/>
      <c r="V218" s="176"/>
      <c r="W218" s="176"/>
      <c r="X218" s="189" t="str">
        <f t="array" ref="X218">IFERROR(INDIRECT("'Bloque "&amp;$AE$41&amp;" Semana "&amp;$AE$40&amp;"'"&amp;"!"&amp;"E26"),"")</f>
        <v/>
      </c>
      <c r="AE218" s="186">
        <v>26.0</v>
      </c>
      <c r="AF218" s="189" t="str">
        <f t="array" ref="AF218">IFERROR(INDIRECT("'Bloque "&amp;$AF$41&amp;" Semana "&amp;$AF$40&amp;"'"&amp;"!"&amp;"E26"),"")</f>
        <v/>
      </c>
      <c r="AM218" s="186">
        <v>26.0</v>
      </c>
      <c r="AN218" s="189" t="str">
        <f t="array" ref="AN218">IFERROR(INDIRECT("'Bloque "&amp;$AG$41&amp;" Semana "&amp;$AG$40&amp;"'"&amp;"!"&amp;"E26"),"")</f>
        <v/>
      </c>
      <c r="AU218" s="186">
        <v>26.0</v>
      </c>
    </row>
    <row r="219">
      <c r="A219" s="4"/>
      <c r="B219" s="4"/>
      <c r="C219" s="4"/>
      <c r="D219" s="122"/>
      <c r="E219" s="29"/>
      <c r="F219" s="29"/>
      <c r="G219" s="29"/>
      <c r="H219" s="29"/>
      <c r="I219" s="29"/>
      <c r="J219" s="29"/>
      <c r="K219" s="29"/>
      <c r="L219" s="29"/>
      <c r="M219" s="29"/>
      <c r="N219" s="29"/>
      <c r="O219" s="4"/>
      <c r="P219" s="4"/>
      <c r="Q219" s="4"/>
      <c r="R219" s="77"/>
      <c r="V219" s="176"/>
      <c r="W219" s="176"/>
      <c r="X219" s="190" t="str">
        <f t="shared" ref="X219:AD219" si="386">IFERROR(INDIRECT("'Bloque "&amp;$AE$41&amp;" Semana "&amp;$AE$40&amp;"'"&amp;"!"&amp;X$215&amp;$AE219),"")</f>
        <v/>
      </c>
      <c r="Y219" s="190" t="str">
        <f t="shared" si="386"/>
        <v/>
      </c>
      <c r="Z219" s="190" t="str">
        <f t="shared" si="386"/>
        <v/>
      </c>
      <c r="AA219" s="190" t="str">
        <f t="shared" si="386"/>
        <v/>
      </c>
      <c r="AB219" s="190" t="str">
        <f t="shared" si="386"/>
        <v/>
      </c>
      <c r="AC219" s="190" t="str">
        <f t="shared" si="386"/>
        <v/>
      </c>
      <c r="AD219" s="190" t="str">
        <f t="shared" si="386"/>
        <v/>
      </c>
      <c r="AE219" s="191">
        <v>27.0</v>
      </c>
      <c r="AF219" s="190" t="str">
        <f t="shared" ref="AF219:AL219" si="387">IFERROR(INDIRECT("'Bloque "&amp;$AF$41&amp;" Semana "&amp;$AF$40&amp;"'"&amp;"!"&amp;AF$215&amp;$AM219),"")</f>
        <v/>
      </c>
      <c r="AG219" s="190" t="str">
        <f t="shared" si="387"/>
        <v/>
      </c>
      <c r="AH219" s="190" t="str">
        <f t="shared" si="387"/>
        <v/>
      </c>
      <c r="AI219" s="190" t="str">
        <f t="shared" si="387"/>
        <v/>
      </c>
      <c r="AJ219" s="190" t="str">
        <f t="shared" si="387"/>
        <v/>
      </c>
      <c r="AK219" s="190" t="str">
        <f t="shared" si="387"/>
        <v/>
      </c>
      <c r="AL219" s="190" t="str">
        <f t="shared" si="387"/>
        <v/>
      </c>
      <c r="AM219" s="191">
        <v>27.0</v>
      </c>
      <c r="AN219" s="190" t="str">
        <f t="shared" ref="AN219:AT219" si="388">IFERROR(INDIRECT("'Bloque "&amp;$AG$41&amp;" Semana "&amp;$AG$40&amp;"'"&amp;"!"&amp;AN$215&amp;$AU219),"")</f>
        <v/>
      </c>
      <c r="AO219" s="190" t="str">
        <f t="shared" si="388"/>
        <v/>
      </c>
      <c r="AP219" s="190" t="str">
        <f t="shared" si="388"/>
        <v/>
      </c>
      <c r="AQ219" s="190" t="str">
        <f t="shared" si="388"/>
        <v/>
      </c>
      <c r="AR219" s="190" t="str">
        <f t="shared" si="388"/>
        <v/>
      </c>
      <c r="AS219" s="190" t="str">
        <f t="shared" si="388"/>
        <v/>
      </c>
      <c r="AT219" s="190" t="str">
        <f t="shared" si="388"/>
        <v/>
      </c>
      <c r="AU219" s="191">
        <v>27.0</v>
      </c>
    </row>
    <row r="220">
      <c r="A220" s="4"/>
      <c r="B220" s="4"/>
      <c r="C220" s="4"/>
      <c r="D220" s="122"/>
      <c r="E220" s="29"/>
      <c r="F220" s="29"/>
      <c r="G220" s="29"/>
      <c r="H220" s="29"/>
      <c r="I220" s="29"/>
      <c r="J220" s="29"/>
      <c r="K220" s="29"/>
      <c r="L220" s="29"/>
      <c r="M220" s="29"/>
      <c r="N220" s="29"/>
      <c r="O220" s="4"/>
      <c r="P220" s="4"/>
      <c r="Q220" s="4"/>
      <c r="R220" s="77"/>
      <c r="V220" s="176"/>
      <c r="W220" s="176"/>
      <c r="X220" s="197" t="str">
        <f t="shared" ref="X220:AD220" si="389">IFERROR(INDIRECT("'Bloque "&amp;$AE$41&amp;" Semana "&amp;$AE$40&amp;"'"&amp;"!"&amp;X$215&amp;$AE220),"")</f>
        <v/>
      </c>
      <c r="Y220" s="197" t="str">
        <f t="shared" si="389"/>
        <v/>
      </c>
      <c r="Z220" s="197" t="str">
        <f t="shared" si="389"/>
        <v/>
      </c>
      <c r="AA220" s="197" t="str">
        <f t="shared" si="389"/>
        <v/>
      </c>
      <c r="AB220" s="197" t="str">
        <f t="shared" si="389"/>
        <v/>
      </c>
      <c r="AC220" s="197" t="str">
        <f t="shared" si="389"/>
        <v/>
      </c>
      <c r="AD220" s="197" t="str">
        <f t="shared" si="389"/>
        <v/>
      </c>
      <c r="AE220" s="191">
        <v>28.0</v>
      </c>
      <c r="AF220" s="197" t="str">
        <f t="shared" ref="AF220:AL220" si="390">IFERROR(INDIRECT("'Bloque "&amp;$AF$41&amp;" Semana "&amp;$AF$40&amp;"'"&amp;"!"&amp;AF$215&amp;$AM220),"")</f>
        <v/>
      </c>
      <c r="AG220" s="197" t="str">
        <f t="shared" si="390"/>
        <v/>
      </c>
      <c r="AH220" s="197" t="str">
        <f t="shared" si="390"/>
        <v/>
      </c>
      <c r="AI220" s="197" t="str">
        <f t="shared" si="390"/>
        <v/>
      </c>
      <c r="AJ220" s="197" t="str">
        <f t="shared" si="390"/>
        <v/>
      </c>
      <c r="AK220" s="197" t="str">
        <f t="shared" si="390"/>
        <v/>
      </c>
      <c r="AL220" s="197" t="str">
        <f t="shared" si="390"/>
        <v/>
      </c>
      <c r="AM220" s="191">
        <v>28.0</v>
      </c>
      <c r="AN220" s="197" t="str">
        <f t="shared" ref="AN220:AT220" si="391">IFERROR(INDIRECT("'Bloque "&amp;$AG$41&amp;" Semana "&amp;$AG$40&amp;"'"&amp;"!"&amp;AN$215&amp;$AU220),"")</f>
        <v/>
      </c>
      <c r="AO220" s="197" t="str">
        <f t="shared" si="391"/>
        <v/>
      </c>
      <c r="AP220" s="197" t="str">
        <f t="shared" si="391"/>
        <v/>
      </c>
      <c r="AQ220" s="197" t="str">
        <f t="shared" si="391"/>
        <v/>
      </c>
      <c r="AR220" s="197" t="str">
        <f t="shared" si="391"/>
        <v/>
      </c>
      <c r="AS220" s="197" t="str">
        <f t="shared" si="391"/>
        <v/>
      </c>
      <c r="AT220" s="197" t="str">
        <f t="shared" si="391"/>
        <v/>
      </c>
      <c r="AU220" s="191">
        <v>28.0</v>
      </c>
    </row>
    <row r="221">
      <c r="A221" s="4"/>
      <c r="B221" s="4"/>
      <c r="C221" s="4"/>
      <c r="D221" s="122"/>
      <c r="E221" s="29"/>
      <c r="F221" s="29"/>
      <c r="G221" s="29"/>
      <c r="H221" s="29"/>
      <c r="I221" s="29"/>
      <c r="J221" s="29"/>
      <c r="K221" s="29"/>
      <c r="L221" s="29"/>
      <c r="M221" s="29"/>
      <c r="N221" s="29"/>
      <c r="O221" s="4"/>
      <c r="P221" s="4"/>
      <c r="Q221" s="4"/>
      <c r="R221" s="77"/>
      <c r="V221" s="176"/>
      <c r="W221" s="176"/>
      <c r="X221" s="197" t="str">
        <f t="shared" ref="X221:AD221" si="392">IFERROR(INDIRECT("'Bloque "&amp;$AE$41&amp;" Semana "&amp;$AE$40&amp;"'"&amp;"!"&amp;X$215&amp;$AE221),"")</f>
        <v/>
      </c>
      <c r="Y221" s="197" t="str">
        <f t="shared" si="392"/>
        <v/>
      </c>
      <c r="Z221" s="197" t="str">
        <f t="shared" si="392"/>
        <v/>
      </c>
      <c r="AA221" s="197" t="str">
        <f t="shared" si="392"/>
        <v/>
      </c>
      <c r="AB221" s="197" t="str">
        <f t="shared" si="392"/>
        <v/>
      </c>
      <c r="AC221" s="197" t="str">
        <f t="shared" si="392"/>
        <v/>
      </c>
      <c r="AD221" s="197" t="str">
        <f t="shared" si="392"/>
        <v/>
      </c>
      <c r="AE221" s="191">
        <v>29.0</v>
      </c>
      <c r="AF221" s="197" t="str">
        <f t="shared" ref="AF221:AL221" si="393">IFERROR(INDIRECT("'Bloque "&amp;$AF$41&amp;" Semana "&amp;$AF$40&amp;"'"&amp;"!"&amp;AF$215&amp;$AM221),"")</f>
        <v/>
      </c>
      <c r="AG221" s="197" t="str">
        <f t="shared" si="393"/>
        <v/>
      </c>
      <c r="AH221" s="197" t="str">
        <f t="shared" si="393"/>
        <v/>
      </c>
      <c r="AI221" s="197" t="str">
        <f t="shared" si="393"/>
        <v/>
      </c>
      <c r="AJ221" s="197" t="str">
        <f t="shared" si="393"/>
        <v/>
      </c>
      <c r="AK221" s="197" t="str">
        <f t="shared" si="393"/>
        <v/>
      </c>
      <c r="AL221" s="197" t="str">
        <f t="shared" si="393"/>
        <v/>
      </c>
      <c r="AM221" s="191">
        <v>29.0</v>
      </c>
      <c r="AN221" s="197" t="str">
        <f t="shared" ref="AN221:AT221" si="394">IFERROR(INDIRECT("'Bloque "&amp;$AG$41&amp;" Semana "&amp;$AG$40&amp;"'"&amp;"!"&amp;AN$215&amp;$AU221),"")</f>
        <v/>
      </c>
      <c r="AO221" s="197" t="str">
        <f t="shared" si="394"/>
        <v/>
      </c>
      <c r="AP221" s="197" t="str">
        <f t="shared" si="394"/>
        <v/>
      </c>
      <c r="AQ221" s="197" t="str">
        <f t="shared" si="394"/>
        <v/>
      </c>
      <c r="AR221" s="197" t="str">
        <f t="shared" si="394"/>
        <v/>
      </c>
      <c r="AS221" s="197" t="str">
        <f t="shared" si="394"/>
        <v/>
      </c>
      <c r="AT221" s="197" t="str">
        <f t="shared" si="394"/>
        <v/>
      </c>
      <c r="AU221" s="191">
        <v>29.0</v>
      </c>
    </row>
    <row r="222">
      <c r="A222" s="4"/>
      <c r="B222" s="4"/>
      <c r="C222" s="4"/>
      <c r="D222" s="122"/>
      <c r="E222" s="29"/>
      <c r="F222" s="29"/>
      <c r="G222" s="29"/>
      <c r="H222" s="29"/>
      <c r="I222" s="29"/>
      <c r="J222" s="29"/>
      <c r="K222" s="29"/>
      <c r="L222" s="29"/>
      <c r="M222" s="29"/>
      <c r="N222" s="29"/>
      <c r="O222" s="4"/>
      <c r="P222" s="4"/>
      <c r="Q222" s="4"/>
      <c r="R222" s="77"/>
      <c r="V222" s="176"/>
      <c r="W222" s="176"/>
      <c r="X222" s="197" t="str">
        <f t="shared" ref="X222:AD222" si="395">IFERROR(INDIRECT("'Bloque "&amp;$AE$41&amp;" Semana "&amp;$AE$40&amp;"'"&amp;"!"&amp;X$215&amp;$AE222),"")</f>
        <v/>
      </c>
      <c r="Y222" s="197" t="str">
        <f t="shared" si="395"/>
        <v/>
      </c>
      <c r="Z222" s="197" t="str">
        <f t="shared" si="395"/>
        <v/>
      </c>
      <c r="AA222" s="197" t="str">
        <f t="shared" si="395"/>
        <v/>
      </c>
      <c r="AB222" s="197" t="str">
        <f t="shared" si="395"/>
        <v/>
      </c>
      <c r="AC222" s="197" t="str">
        <f t="shared" si="395"/>
        <v/>
      </c>
      <c r="AD222" s="197" t="str">
        <f t="shared" si="395"/>
        <v/>
      </c>
      <c r="AE222" s="191">
        <v>30.0</v>
      </c>
      <c r="AF222" s="197" t="str">
        <f t="shared" ref="AF222:AL222" si="396">IFERROR(INDIRECT("'Bloque "&amp;$AF$41&amp;" Semana "&amp;$AF$40&amp;"'"&amp;"!"&amp;AF$215&amp;$AM222),"")</f>
        <v/>
      </c>
      <c r="AG222" s="197" t="str">
        <f t="shared" si="396"/>
        <v/>
      </c>
      <c r="AH222" s="197" t="str">
        <f t="shared" si="396"/>
        <v/>
      </c>
      <c r="AI222" s="197" t="str">
        <f t="shared" si="396"/>
        <v/>
      </c>
      <c r="AJ222" s="197" t="str">
        <f t="shared" si="396"/>
        <v/>
      </c>
      <c r="AK222" s="197" t="str">
        <f t="shared" si="396"/>
        <v/>
      </c>
      <c r="AL222" s="197" t="str">
        <f t="shared" si="396"/>
        <v/>
      </c>
      <c r="AM222" s="191">
        <v>30.0</v>
      </c>
      <c r="AN222" s="197" t="str">
        <f t="shared" ref="AN222:AT222" si="397">IFERROR(INDIRECT("'Bloque "&amp;$AG$41&amp;" Semana "&amp;$AG$40&amp;"'"&amp;"!"&amp;AN$215&amp;$AU222),"")</f>
        <v/>
      </c>
      <c r="AO222" s="197" t="str">
        <f t="shared" si="397"/>
        <v/>
      </c>
      <c r="AP222" s="197" t="str">
        <f t="shared" si="397"/>
        <v/>
      </c>
      <c r="AQ222" s="197" t="str">
        <f t="shared" si="397"/>
        <v/>
      </c>
      <c r="AR222" s="197" t="str">
        <f t="shared" si="397"/>
        <v/>
      </c>
      <c r="AS222" s="197" t="str">
        <f t="shared" si="397"/>
        <v/>
      </c>
      <c r="AT222" s="197" t="str">
        <f t="shared" si="397"/>
        <v/>
      </c>
      <c r="AU222" s="191">
        <v>30.0</v>
      </c>
    </row>
    <row r="223">
      <c r="A223" s="4"/>
      <c r="B223" s="4"/>
      <c r="C223" s="4"/>
      <c r="D223" s="122"/>
      <c r="E223" s="29"/>
      <c r="F223" s="29"/>
      <c r="G223" s="29"/>
      <c r="H223" s="29"/>
      <c r="I223" s="29"/>
      <c r="J223" s="29"/>
      <c r="K223" s="29"/>
      <c r="L223" s="29"/>
      <c r="M223" s="29"/>
      <c r="N223" s="29"/>
      <c r="O223" s="4"/>
      <c r="P223" s="4"/>
      <c r="Q223" s="4"/>
      <c r="R223" s="77"/>
      <c r="V223" s="176"/>
      <c r="W223" s="176"/>
      <c r="X223" s="197" t="str">
        <f t="shared" ref="X223:AD223" si="398">IFERROR(INDIRECT("'Bloque "&amp;$AE$41&amp;" Semana "&amp;$AE$40&amp;"'"&amp;"!"&amp;X$215&amp;$AE223),"")</f>
        <v/>
      </c>
      <c r="Y223" s="197" t="str">
        <f t="shared" si="398"/>
        <v/>
      </c>
      <c r="Z223" s="197" t="str">
        <f t="shared" si="398"/>
        <v/>
      </c>
      <c r="AA223" s="197" t="str">
        <f t="shared" si="398"/>
        <v/>
      </c>
      <c r="AB223" s="197" t="str">
        <f t="shared" si="398"/>
        <v/>
      </c>
      <c r="AC223" s="197" t="str">
        <f t="shared" si="398"/>
        <v/>
      </c>
      <c r="AD223" s="197" t="str">
        <f t="shared" si="398"/>
        <v/>
      </c>
      <c r="AE223" s="191">
        <v>31.0</v>
      </c>
      <c r="AF223" s="197" t="str">
        <f t="shared" ref="AF223:AL223" si="399">IFERROR(INDIRECT("'Bloque "&amp;$AF$41&amp;" Semana "&amp;$AF$40&amp;"'"&amp;"!"&amp;AF$215&amp;$AM223),"")</f>
        <v/>
      </c>
      <c r="AG223" s="197" t="str">
        <f t="shared" si="399"/>
        <v/>
      </c>
      <c r="AH223" s="197" t="str">
        <f t="shared" si="399"/>
        <v/>
      </c>
      <c r="AI223" s="197" t="str">
        <f t="shared" si="399"/>
        <v/>
      </c>
      <c r="AJ223" s="197" t="str">
        <f t="shared" si="399"/>
        <v/>
      </c>
      <c r="AK223" s="197" t="str">
        <f t="shared" si="399"/>
        <v/>
      </c>
      <c r="AL223" s="197" t="str">
        <f t="shared" si="399"/>
        <v/>
      </c>
      <c r="AM223" s="191">
        <v>31.0</v>
      </c>
      <c r="AN223" s="197" t="str">
        <f t="shared" ref="AN223:AT223" si="400">IFERROR(INDIRECT("'Bloque "&amp;$AG$41&amp;" Semana "&amp;$AG$40&amp;"'"&amp;"!"&amp;AN$215&amp;$AU223),"")</f>
        <v/>
      </c>
      <c r="AO223" s="197" t="str">
        <f t="shared" si="400"/>
        <v/>
      </c>
      <c r="AP223" s="197" t="str">
        <f t="shared" si="400"/>
        <v/>
      </c>
      <c r="AQ223" s="197" t="str">
        <f t="shared" si="400"/>
        <v/>
      </c>
      <c r="AR223" s="197" t="str">
        <f t="shared" si="400"/>
        <v/>
      </c>
      <c r="AS223" s="197" t="str">
        <f t="shared" si="400"/>
        <v/>
      </c>
      <c r="AT223" s="197" t="str">
        <f t="shared" si="400"/>
        <v/>
      </c>
      <c r="AU223" s="191">
        <v>31.0</v>
      </c>
    </row>
    <row r="224">
      <c r="A224" s="4"/>
      <c r="B224" s="4"/>
      <c r="C224" s="4"/>
      <c r="D224" s="122"/>
      <c r="E224" s="29"/>
      <c r="F224" s="29"/>
      <c r="G224" s="29"/>
      <c r="H224" s="29"/>
      <c r="I224" s="29"/>
      <c r="J224" s="29"/>
      <c r="K224" s="29"/>
      <c r="L224" s="29"/>
      <c r="M224" s="29"/>
      <c r="N224" s="29"/>
      <c r="O224" s="4"/>
      <c r="P224" s="4"/>
      <c r="Q224" s="4"/>
      <c r="R224" s="77"/>
      <c r="V224" s="176"/>
      <c r="W224" s="176"/>
      <c r="X224" s="197" t="str">
        <f t="shared" ref="X224:AD224" si="401">IFERROR(INDIRECT("'Bloque "&amp;$AE$41&amp;" Semana "&amp;$AE$40&amp;"'"&amp;"!"&amp;X$215&amp;$AE224),"")</f>
        <v/>
      </c>
      <c r="Y224" s="197" t="str">
        <f t="shared" si="401"/>
        <v/>
      </c>
      <c r="Z224" s="197" t="str">
        <f t="shared" si="401"/>
        <v/>
      </c>
      <c r="AA224" s="197" t="str">
        <f t="shared" si="401"/>
        <v/>
      </c>
      <c r="AB224" s="197" t="str">
        <f t="shared" si="401"/>
        <v/>
      </c>
      <c r="AC224" s="197" t="str">
        <f t="shared" si="401"/>
        <v/>
      </c>
      <c r="AD224" s="197" t="str">
        <f t="shared" si="401"/>
        <v/>
      </c>
      <c r="AE224" s="191">
        <v>32.0</v>
      </c>
      <c r="AF224" s="197" t="str">
        <f t="shared" ref="AF224:AL224" si="402">IFERROR(INDIRECT("'Bloque "&amp;$AF$41&amp;" Semana "&amp;$AF$40&amp;"'"&amp;"!"&amp;AF$215&amp;$AM224),"")</f>
        <v/>
      </c>
      <c r="AG224" s="197" t="str">
        <f t="shared" si="402"/>
        <v/>
      </c>
      <c r="AH224" s="197" t="str">
        <f t="shared" si="402"/>
        <v/>
      </c>
      <c r="AI224" s="197" t="str">
        <f t="shared" si="402"/>
        <v/>
      </c>
      <c r="AJ224" s="197" t="str">
        <f t="shared" si="402"/>
        <v/>
      </c>
      <c r="AK224" s="197" t="str">
        <f t="shared" si="402"/>
        <v/>
      </c>
      <c r="AL224" s="197" t="str">
        <f t="shared" si="402"/>
        <v/>
      </c>
      <c r="AM224" s="191">
        <v>32.0</v>
      </c>
      <c r="AN224" s="197" t="str">
        <f t="shared" ref="AN224:AT224" si="403">IFERROR(INDIRECT("'Bloque "&amp;$AG$41&amp;" Semana "&amp;$AG$40&amp;"'"&amp;"!"&amp;AN$215&amp;$AU224),"")</f>
        <v/>
      </c>
      <c r="AO224" s="197" t="str">
        <f t="shared" si="403"/>
        <v/>
      </c>
      <c r="AP224" s="197" t="str">
        <f t="shared" si="403"/>
        <v/>
      </c>
      <c r="AQ224" s="197" t="str">
        <f t="shared" si="403"/>
        <v/>
      </c>
      <c r="AR224" s="197" t="str">
        <f t="shared" si="403"/>
        <v/>
      </c>
      <c r="AS224" s="197" t="str">
        <f t="shared" si="403"/>
        <v/>
      </c>
      <c r="AT224" s="197" t="str">
        <f t="shared" si="403"/>
        <v/>
      </c>
      <c r="AU224" s="191">
        <v>32.0</v>
      </c>
    </row>
    <row r="225">
      <c r="A225" s="4"/>
      <c r="B225" s="4"/>
      <c r="C225" s="4"/>
      <c r="D225" s="122"/>
      <c r="E225" s="29"/>
      <c r="F225" s="29"/>
      <c r="G225" s="29"/>
      <c r="H225" s="29"/>
      <c r="I225" s="29"/>
      <c r="J225" s="29"/>
      <c r="K225" s="29"/>
      <c r="L225" s="29"/>
      <c r="M225" s="29"/>
      <c r="N225" s="29"/>
      <c r="O225" s="4"/>
      <c r="P225" s="4"/>
      <c r="Q225" s="4"/>
      <c r="R225" s="77"/>
      <c r="V225" s="176"/>
      <c r="W225" s="176"/>
      <c r="X225" s="197" t="str">
        <f t="shared" ref="X225:AD225" si="404">IFERROR(INDIRECT("'Bloque "&amp;$AE$41&amp;" Semana "&amp;$AE$40&amp;"'"&amp;"!"&amp;X$215&amp;$AE225),"")</f>
        <v/>
      </c>
      <c r="Y225" s="197" t="str">
        <f t="shared" si="404"/>
        <v/>
      </c>
      <c r="Z225" s="197" t="str">
        <f t="shared" si="404"/>
        <v/>
      </c>
      <c r="AA225" s="197" t="str">
        <f t="shared" si="404"/>
        <v/>
      </c>
      <c r="AB225" s="197" t="str">
        <f t="shared" si="404"/>
        <v/>
      </c>
      <c r="AC225" s="197" t="str">
        <f t="shared" si="404"/>
        <v/>
      </c>
      <c r="AD225" s="197" t="str">
        <f t="shared" si="404"/>
        <v/>
      </c>
      <c r="AE225" s="191">
        <v>33.0</v>
      </c>
      <c r="AF225" s="197" t="str">
        <f t="shared" ref="AF225:AL225" si="405">IFERROR(INDIRECT("'Bloque "&amp;$AF$41&amp;" Semana "&amp;$AF$40&amp;"'"&amp;"!"&amp;AF$215&amp;$AM225),"")</f>
        <v/>
      </c>
      <c r="AG225" s="197" t="str">
        <f t="shared" si="405"/>
        <v/>
      </c>
      <c r="AH225" s="197" t="str">
        <f t="shared" si="405"/>
        <v/>
      </c>
      <c r="AI225" s="197" t="str">
        <f t="shared" si="405"/>
        <v/>
      </c>
      <c r="AJ225" s="197" t="str">
        <f t="shared" si="405"/>
        <v/>
      </c>
      <c r="AK225" s="197" t="str">
        <f t="shared" si="405"/>
        <v/>
      </c>
      <c r="AL225" s="197" t="str">
        <f t="shared" si="405"/>
        <v/>
      </c>
      <c r="AM225" s="191">
        <v>33.0</v>
      </c>
      <c r="AN225" s="197" t="str">
        <f t="shared" ref="AN225:AT225" si="406">IFERROR(INDIRECT("'Bloque "&amp;$AG$41&amp;" Semana "&amp;$AG$40&amp;"'"&amp;"!"&amp;AN$215&amp;$AU225),"")</f>
        <v/>
      </c>
      <c r="AO225" s="197" t="str">
        <f t="shared" si="406"/>
        <v/>
      </c>
      <c r="AP225" s="197" t="str">
        <f t="shared" si="406"/>
        <v/>
      </c>
      <c r="AQ225" s="197" t="str">
        <f t="shared" si="406"/>
        <v/>
      </c>
      <c r="AR225" s="197" t="str">
        <f t="shared" si="406"/>
        <v/>
      </c>
      <c r="AS225" s="197" t="str">
        <f t="shared" si="406"/>
        <v/>
      </c>
      <c r="AT225" s="197" t="str">
        <f t="shared" si="406"/>
        <v/>
      </c>
      <c r="AU225" s="191">
        <v>33.0</v>
      </c>
    </row>
    <row r="226">
      <c r="A226" s="4"/>
      <c r="B226" s="4"/>
      <c r="C226" s="4"/>
      <c r="D226" s="122"/>
      <c r="E226" s="29"/>
      <c r="F226" s="29"/>
      <c r="G226" s="29"/>
      <c r="H226" s="29"/>
      <c r="I226" s="29"/>
      <c r="J226" s="29"/>
      <c r="K226" s="29"/>
      <c r="L226" s="29"/>
      <c r="M226" s="29"/>
      <c r="N226" s="29"/>
      <c r="O226" s="4"/>
      <c r="P226" s="4"/>
      <c r="Q226" s="4"/>
      <c r="R226" s="77"/>
      <c r="V226" s="176"/>
      <c r="W226" s="176"/>
      <c r="X226" s="197" t="str">
        <f t="shared" ref="X226:AD226" si="407">IFERROR(INDIRECT("'Bloque "&amp;$AE$41&amp;" Semana "&amp;$AE$40&amp;"'"&amp;"!"&amp;X$215&amp;$AE226),"")</f>
        <v/>
      </c>
      <c r="Y226" s="197" t="str">
        <f t="shared" si="407"/>
        <v/>
      </c>
      <c r="Z226" s="197" t="str">
        <f t="shared" si="407"/>
        <v/>
      </c>
      <c r="AA226" s="197" t="str">
        <f t="shared" si="407"/>
        <v/>
      </c>
      <c r="AB226" s="197" t="str">
        <f t="shared" si="407"/>
        <v/>
      </c>
      <c r="AC226" s="197" t="str">
        <f t="shared" si="407"/>
        <v/>
      </c>
      <c r="AD226" s="197" t="str">
        <f t="shared" si="407"/>
        <v/>
      </c>
      <c r="AE226" s="191">
        <v>34.0</v>
      </c>
      <c r="AF226" s="197" t="str">
        <f t="shared" ref="AF226:AL226" si="408">IFERROR(INDIRECT("'Bloque "&amp;$AF$41&amp;" Semana "&amp;$AF$40&amp;"'"&amp;"!"&amp;AF$215&amp;$AM226),"")</f>
        <v/>
      </c>
      <c r="AG226" s="197" t="str">
        <f t="shared" si="408"/>
        <v/>
      </c>
      <c r="AH226" s="197" t="str">
        <f t="shared" si="408"/>
        <v/>
      </c>
      <c r="AI226" s="197" t="str">
        <f t="shared" si="408"/>
        <v/>
      </c>
      <c r="AJ226" s="197" t="str">
        <f t="shared" si="408"/>
        <v/>
      </c>
      <c r="AK226" s="197" t="str">
        <f t="shared" si="408"/>
        <v/>
      </c>
      <c r="AL226" s="197" t="str">
        <f t="shared" si="408"/>
        <v/>
      </c>
      <c r="AM226" s="191">
        <v>34.0</v>
      </c>
      <c r="AN226" s="197" t="str">
        <f t="shared" ref="AN226:AT226" si="409">IFERROR(INDIRECT("'Bloque "&amp;$AG$41&amp;" Semana "&amp;$AG$40&amp;"'"&amp;"!"&amp;AN$215&amp;$AU226),"")</f>
        <v/>
      </c>
      <c r="AO226" s="197" t="str">
        <f t="shared" si="409"/>
        <v/>
      </c>
      <c r="AP226" s="197" t="str">
        <f t="shared" si="409"/>
        <v/>
      </c>
      <c r="AQ226" s="197" t="str">
        <f t="shared" si="409"/>
        <v/>
      </c>
      <c r="AR226" s="197" t="str">
        <f t="shared" si="409"/>
        <v/>
      </c>
      <c r="AS226" s="197" t="str">
        <f t="shared" si="409"/>
        <v/>
      </c>
      <c r="AT226" s="197" t="str">
        <f t="shared" si="409"/>
        <v/>
      </c>
      <c r="AU226" s="191">
        <v>34.0</v>
      </c>
    </row>
    <row r="227">
      <c r="A227" s="4"/>
      <c r="B227" s="4"/>
      <c r="C227" s="4"/>
      <c r="D227" s="122"/>
      <c r="E227" s="29"/>
      <c r="F227" s="29"/>
      <c r="G227" s="29"/>
      <c r="H227" s="29"/>
      <c r="I227" s="29"/>
      <c r="J227" s="29"/>
      <c r="K227" s="29"/>
      <c r="L227" s="29"/>
      <c r="M227" s="29"/>
      <c r="N227" s="29"/>
      <c r="O227" s="4"/>
      <c r="P227" s="4"/>
      <c r="Q227" s="4"/>
      <c r="R227" s="77"/>
      <c r="V227" s="176"/>
      <c r="W227" s="176"/>
      <c r="X227" s="197" t="str">
        <f t="shared" ref="X227:AD227" si="410">IFERROR(INDIRECT("'Bloque "&amp;$AE$41&amp;" Semana "&amp;$AE$40&amp;"'"&amp;"!"&amp;X$215&amp;$AE227),"")</f>
        <v/>
      </c>
      <c r="Y227" s="197" t="str">
        <f t="shared" si="410"/>
        <v/>
      </c>
      <c r="Z227" s="197" t="str">
        <f t="shared" si="410"/>
        <v/>
      </c>
      <c r="AA227" s="197" t="str">
        <f t="shared" si="410"/>
        <v/>
      </c>
      <c r="AB227" s="197" t="str">
        <f t="shared" si="410"/>
        <v/>
      </c>
      <c r="AC227" s="197" t="str">
        <f t="shared" si="410"/>
        <v/>
      </c>
      <c r="AD227" s="197" t="str">
        <f t="shared" si="410"/>
        <v/>
      </c>
      <c r="AE227" s="191">
        <v>35.0</v>
      </c>
      <c r="AF227" s="197" t="str">
        <f t="shared" ref="AF227:AL227" si="411">IFERROR(INDIRECT("'Bloque "&amp;$AF$41&amp;" Semana "&amp;$AF$40&amp;"'"&amp;"!"&amp;AF$215&amp;$AM227),"")</f>
        <v/>
      </c>
      <c r="AG227" s="197" t="str">
        <f t="shared" si="411"/>
        <v/>
      </c>
      <c r="AH227" s="197" t="str">
        <f t="shared" si="411"/>
        <v/>
      </c>
      <c r="AI227" s="197" t="str">
        <f t="shared" si="411"/>
        <v/>
      </c>
      <c r="AJ227" s="197" t="str">
        <f t="shared" si="411"/>
        <v/>
      </c>
      <c r="AK227" s="197" t="str">
        <f t="shared" si="411"/>
        <v/>
      </c>
      <c r="AL227" s="197" t="str">
        <f t="shared" si="411"/>
        <v/>
      </c>
      <c r="AM227" s="191">
        <v>35.0</v>
      </c>
      <c r="AN227" s="197" t="str">
        <f t="shared" ref="AN227:AT227" si="412">IFERROR(INDIRECT("'Bloque "&amp;$AG$41&amp;" Semana "&amp;$AG$40&amp;"'"&amp;"!"&amp;AN$215&amp;$AU227),"")</f>
        <v/>
      </c>
      <c r="AO227" s="197" t="str">
        <f t="shared" si="412"/>
        <v/>
      </c>
      <c r="AP227" s="197" t="str">
        <f t="shared" si="412"/>
        <v/>
      </c>
      <c r="AQ227" s="197" t="str">
        <f t="shared" si="412"/>
        <v/>
      </c>
      <c r="AR227" s="197" t="str">
        <f t="shared" si="412"/>
        <v/>
      </c>
      <c r="AS227" s="197" t="str">
        <f t="shared" si="412"/>
        <v/>
      </c>
      <c r="AT227" s="197" t="str">
        <f t="shared" si="412"/>
        <v/>
      </c>
      <c r="AU227" s="191">
        <v>35.0</v>
      </c>
    </row>
    <row r="228">
      <c r="A228" s="4"/>
      <c r="B228" s="4"/>
      <c r="C228" s="4"/>
      <c r="D228" s="122"/>
      <c r="E228" s="29"/>
      <c r="F228" s="29"/>
      <c r="G228" s="29"/>
      <c r="H228" s="29"/>
      <c r="I228" s="29"/>
      <c r="J228" s="29"/>
      <c r="K228" s="29"/>
      <c r="L228" s="29"/>
      <c r="M228" s="29"/>
      <c r="N228" s="29"/>
      <c r="O228" s="4"/>
      <c r="P228" s="4"/>
      <c r="Q228" s="4"/>
      <c r="R228" s="77"/>
      <c r="V228" s="176"/>
      <c r="W228" s="176"/>
      <c r="X228" s="176"/>
      <c r="Y228" s="176"/>
      <c r="Z228" s="176"/>
      <c r="AA228" s="176"/>
      <c r="AB228" s="176"/>
      <c r="AC228" s="176"/>
      <c r="AD228" s="176"/>
      <c r="AE228" s="192"/>
      <c r="AF228" s="176"/>
      <c r="AG228" s="176"/>
      <c r="AH228" s="176"/>
      <c r="AI228" s="176"/>
      <c r="AJ228" s="176"/>
      <c r="AK228" s="176"/>
      <c r="AL228" s="176"/>
      <c r="AM228" s="192"/>
      <c r="AN228" s="176"/>
      <c r="AO228" s="176"/>
      <c r="AP228" s="176"/>
      <c r="AQ228" s="176"/>
      <c r="AR228" s="176"/>
      <c r="AU228" s="187"/>
    </row>
    <row r="229">
      <c r="A229" s="193"/>
      <c r="B229" s="193"/>
      <c r="C229" s="193"/>
      <c r="D229" s="194"/>
      <c r="E229" s="195"/>
      <c r="F229" s="195"/>
      <c r="G229" s="195"/>
      <c r="H229" s="195"/>
      <c r="I229" s="195"/>
      <c r="J229" s="195"/>
      <c r="K229" s="195"/>
      <c r="L229" s="195"/>
      <c r="M229" s="195"/>
      <c r="N229" s="195"/>
      <c r="O229" s="193"/>
      <c r="P229" s="193"/>
      <c r="Q229" s="193"/>
      <c r="R229" s="196"/>
      <c r="S229" s="187"/>
      <c r="T229" s="187"/>
      <c r="U229" s="187"/>
      <c r="V229" s="192"/>
      <c r="W229" s="192"/>
      <c r="X229" s="186" t="s">
        <v>202</v>
      </c>
      <c r="Y229" s="186" t="s">
        <v>203</v>
      </c>
      <c r="Z229" s="186" t="s">
        <v>209</v>
      </c>
      <c r="AA229" s="186" t="s">
        <v>205</v>
      </c>
      <c r="AB229" s="186" t="s">
        <v>206</v>
      </c>
      <c r="AC229" s="186" t="s">
        <v>207</v>
      </c>
      <c r="AD229" s="186" t="s">
        <v>208</v>
      </c>
      <c r="AE229" s="187"/>
      <c r="AF229" s="186" t="s">
        <v>202</v>
      </c>
      <c r="AG229" s="186" t="s">
        <v>203</v>
      </c>
      <c r="AH229" s="186" t="s">
        <v>209</v>
      </c>
      <c r="AI229" s="186" t="s">
        <v>205</v>
      </c>
      <c r="AJ229" s="186" t="s">
        <v>206</v>
      </c>
      <c r="AK229" s="186" t="s">
        <v>207</v>
      </c>
      <c r="AL229" s="186" t="s">
        <v>208</v>
      </c>
      <c r="AM229" s="187"/>
      <c r="AN229" s="186" t="s">
        <v>202</v>
      </c>
      <c r="AO229" s="186" t="s">
        <v>203</v>
      </c>
      <c r="AP229" s="186" t="s">
        <v>209</v>
      </c>
      <c r="AQ229" s="186" t="s">
        <v>205</v>
      </c>
      <c r="AR229" s="186" t="s">
        <v>206</v>
      </c>
      <c r="AS229" s="186" t="s">
        <v>207</v>
      </c>
      <c r="AT229" s="186" t="s">
        <v>208</v>
      </c>
      <c r="AU229" s="187"/>
      <c r="AV229" s="187"/>
      <c r="AW229" s="187"/>
      <c r="AX229" s="187"/>
      <c r="AY229" s="187"/>
      <c r="AZ229" s="187"/>
      <c r="BA229" s="187"/>
      <c r="BB229" s="187"/>
      <c r="BC229" s="187"/>
      <c r="BD229" s="187"/>
      <c r="BE229" s="187"/>
      <c r="BF229" s="187"/>
      <c r="BG229" s="187"/>
      <c r="BH229" s="187"/>
      <c r="BI229" s="187"/>
      <c r="BJ229" s="187"/>
      <c r="BK229" s="187"/>
      <c r="BL229" s="187"/>
      <c r="BM229" s="187"/>
      <c r="BN229" s="187"/>
      <c r="BO229" s="187"/>
      <c r="BP229" s="187"/>
      <c r="BQ229" s="187"/>
      <c r="BR229" s="187"/>
      <c r="BS229" s="187"/>
      <c r="BT229" s="187"/>
      <c r="BU229" s="187"/>
      <c r="BV229" s="187"/>
      <c r="BW229" s="187"/>
      <c r="BX229" s="187"/>
      <c r="BY229" s="187"/>
      <c r="BZ229" s="187"/>
      <c r="CA229" s="187"/>
      <c r="CB229" s="187"/>
      <c r="CC229" s="187"/>
      <c r="CD229" s="187"/>
      <c r="CE229" s="187"/>
      <c r="CF229" s="187"/>
      <c r="CG229" s="187"/>
      <c r="CH229" s="187"/>
      <c r="CI229" s="187"/>
      <c r="CJ229" s="187"/>
      <c r="CK229" s="187"/>
      <c r="CL229" s="187"/>
      <c r="CM229" s="187"/>
      <c r="CN229" s="187"/>
      <c r="CO229" s="187"/>
      <c r="CP229" s="187"/>
      <c r="CQ229" s="187"/>
      <c r="CR229" s="187"/>
      <c r="CS229" s="187"/>
      <c r="CT229" s="187"/>
      <c r="CU229" s="187"/>
      <c r="CV229" s="187"/>
      <c r="CW229" s="187"/>
      <c r="CX229" s="187"/>
      <c r="CY229" s="187"/>
      <c r="CZ229" s="187"/>
      <c r="DA229" s="187"/>
      <c r="DB229" s="187"/>
      <c r="DC229" s="187"/>
      <c r="DD229" s="187"/>
      <c r="DE229" s="187"/>
      <c r="DF229" s="187"/>
      <c r="DG229" s="187"/>
      <c r="DH229" s="187"/>
      <c r="DI229" s="187"/>
      <c r="DJ229" s="187"/>
      <c r="DK229" s="187"/>
      <c r="DL229" s="187"/>
      <c r="DM229" s="187"/>
      <c r="DN229" s="187"/>
      <c r="DO229" s="187"/>
      <c r="DP229" s="187"/>
      <c r="DQ229" s="187"/>
      <c r="DR229" s="187"/>
      <c r="DS229" s="187"/>
      <c r="DT229" s="187"/>
      <c r="DU229" s="187"/>
      <c r="DV229" s="187"/>
      <c r="DW229" s="187"/>
      <c r="DX229" s="187"/>
      <c r="DY229" s="187"/>
      <c r="DZ229" s="187"/>
      <c r="EA229" s="187"/>
      <c r="EB229" s="187"/>
      <c r="EC229" s="187"/>
      <c r="ED229" s="187"/>
      <c r="EE229" s="187"/>
      <c r="EF229" s="187"/>
      <c r="EG229" s="187"/>
      <c r="EH229" s="187"/>
      <c r="EI229" s="187"/>
      <c r="EJ229" s="187"/>
    </row>
    <row r="230">
      <c r="A230" s="4"/>
      <c r="B230" s="4"/>
      <c r="C230" s="4"/>
      <c r="D230" s="122"/>
      <c r="E230" s="29"/>
      <c r="F230" s="29"/>
      <c r="G230" s="29"/>
      <c r="H230" s="29"/>
      <c r="I230" s="29"/>
      <c r="J230" s="29"/>
      <c r="K230" s="29"/>
      <c r="L230" s="29"/>
      <c r="M230" s="29"/>
      <c r="N230" s="29"/>
      <c r="O230" s="4"/>
      <c r="P230" s="4"/>
      <c r="Q230" s="4"/>
      <c r="R230" s="77"/>
      <c r="V230" s="176"/>
      <c r="W230" s="176"/>
      <c r="X230" s="188" t="str">
        <f t="array" ref="X230">IFERROR(INDIRECT("'Bloque "&amp;$AH$41&amp;" Semana "&amp;$AH$40&amp;"'"&amp;"!"&amp;"E37"),"")</f>
        <v/>
      </c>
      <c r="AE230" s="186">
        <v>26.0</v>
      </c>
      <c r="AF230" s="188" t="str">
        <f t="array" ref="AF230">IFERROR(INDIRECT("'Bloque "&amp;$AI$41&amp;" Semana "&amp;$AI$40&amp;"'"&amp;"!"&amp;"E37"),"")</f>
        <v/>
      </c>
      <c r="AM230" s="186">
        <v>26.0</v>
      </c>
      <c r="AN230" s="188" t="str">
        <f t="array" ref="AN230">IFERROR(INDIRECT("'Bloque "&amp;$AJ$41&amp;" Semana "&amp;$AJ$40&amp;"'"&amp;"!"&amp;"E37"),"")</f>
        <v/>
      </c>
      <c r="AU230" s="186">
        <v>26.0</v>
      </c>
    </row>
    <row r="231">
      <c r="A231" s="4"/>
      <c r="B231" s="4"/>
      <c r="C231" s="4"/>
      <c r="D231" s="122"/>
      <c r="E231" s="29"/>
      <c r="F231" s="29"/>
      <c r="G231" s="29"/>
      <c r="H231" s="29"/>
      <c r="I231" s="29"/>
      <c r="J231" s="29"/>
      <c r="K231" s="29"/>
      <c r="L231" s="29"/>
      <c r="M231" s="29"/>
      <c r="N231" s="29"/>
      <c r="O231" s="4"/>
      <c r="P231" s="4"/>
      <c r="Q231" s="4"/>
      <c r="R231" s="77"/>
      <c r="V231" s="176"/>
      <c r="W231" s="176"/>
      <c r="X231" s="176" t="str">
        <f t="array" ref="X231">IFERROR(INDIRECT("'Bloque "&amp;$AH$41&amp;" Semana "&amp;$AH$40&amp;"'"&amp;"!"&amp;"E25"),"")</f>
        <v/>
      </c>
      <c r="AE231" s="186">
        <v>25.0</v>
      </c>
      <c r="AF231" s="176" t="str">
        <f t="array" ref="AF231">IFERROR(INDIRECT("'Bloque "&amp;$AI$41&amp;" Semana "&amp;$AI$40&amp;"'"&amp;"!"&amp;"E25"),"")</f>
        <v/>
      </c>
      <c r="AM231" s="186">
        <v>25.0</v>
      </c>
      <c r="AN231" s="176" t="str">
        <f t="array" ref="AN231">IFERROR(INDIRECT("'Bloque "&amp;$AJ$41&amp;" Semana "&amp;$AJ$40&amp;"'"&amp;"!"&amp;"E25"),"")</f>
        <v/>
      </c>
      <c r="AU231" s="186">
        <v>25.0</v>
      </c>
    </row>
    <row r="232">
      <c r="A232" s="4"/>
      <c r="B232" s="4"/>
      <c r="C232" s="4"/>
      <c r="D232" s="122"/>
      <c r="E232" s="29"/>
      <c r="F232" s="29"/>
      <c r="G232" s="29"/>
      <c r="H232" s="29"/>
      <c r="I232" s="29"/>
      <c r="J232" s="29"/>
      <c r="K232" s="29"/>
      <c r="L232" s="29"/>
      <c r="M232" s="29"/>
      <c r="N232" s="29"/>
      <c r="O232" s="4"/>
      <c r="P232" s="4"/>
      <c r="Q232" s="4"/>
      <c r="R232" s="77"/>
      <c r="V232" s="176"/>
      <c r="W232" s="176"/>
      <c r="X232" s="189" t="str">
        <f t="array" ref="X232">IFERROR(INDIRECT("'Bloque "&amp;$AH$41&amp;" Semana "&amp;$AH$40&amp;"'"&amp;"!"&amp;"E26"),"")</f>
        <v/>
      </c>
      <c r="AE232" s="186">
        <v>26.0</v>
      </c>
      <c r="AF232" s="189" t="str">
        <f t="array" ref="AF232">IFERROR(INDIRECT("'Bloque "&amp;$AI$41&amp;" Semana "&amp;$AI$40&amp;"'"&amp;"!"&amp;"E26"),"")</f>
        <v/>
      </c>
      <c r="AM232" s="186">
        <v>26.0</v>
      </c>
      <c r="AN232" s="189" t="str">
        <f t="array" ref="AN232">IFERROR(INDIRECT("'Bloque "&amp;$AJ$41&amp;" Semana "&amp;$AJ$40&amp;"'"&amp;"!"&amp;"E26"),"")</f>
        <v/>
      </c>
      <c r="AU232" s="186">
        <v>26.0</v>
      </c>
    </row>
    <row r="233">
      <c r="A233" s="4"/>
      <c r="B233" s="4"/>
      <c r="C233" s="4"/>
      <c r="D233" s="122"/>
      <c r="E233" s="29"/>
      <c r="F233" s="29"/>
      <c r="G233" s="29"/>
      <c r="H233" s="29"/>
      <c r="I233" s="29"/>
      <c r="J233" s="29"/>
      <c r="K233" s="29"/>
      <c r="L233" s="29"/>
      <c r="M233" s="29"/>
      <c r="N233" s="29"/>
      <c r="O233" s="4"/>
      <c r="P233" s="4"/>
      <c r="Q233" s="4"/>
      <c r="R233" s="77"/>
      <c r="V233" s="176"/>
      <c r="W233" s="176"/>
      <c r="X233" s="190" t="str">
        <f t="shared" ref="X233:AD233" si="413">IFERROR(INDIRECT("'Bloque "&amp;$AH$41&amp;" Semana "&amp;$AH$40&amp;"'"&amp;"!"&amp;X$229&amp;$AE233),"")</f>
        <v/>
      </c>
      <c r="Y233" s="190" t="str">
        <f t="shared" si="413"/>
        <v/>
      </c>
      <c r="Z233" s="190" t="str">
        <f t="shared" si="413"/>
        <v/>
      </c>
      <c r="AA233" s="190" t="str">
        <f t="shared" si="413"/>
        <v/>
      </c>
      <c r="AB233" s="190" t="str">
        <f t="shared" si="413"/>
        <v/>
      </c>
      <c r="AC233" s="190" t="str">
        <f t="shared" si="413"/>
        <v/>
      </c>
      <c r="AD233" s="190" t="str">
        <f t="shared" si="413"/>
        <v/>
      </c>
      <c r="AE233" s="191">
        <v>27.0</v>
      </c>
      <c r="AF233" s="190" t="str">
        <f t="shared" ref="AF233:AL233" si="414">IFERROR(INDIRECT("'Bloque "&amp;$AI$41&amp;" Semana "&amp;$AI$40&amp;"'"&amp;"!"&amp;AF$229&amp;$AM233),"")</f>
        <v/>
      </c>
      <c r="AG233" s="190" t="str">
        <f t="shared" si="414"/>
        <v/>
      </c>
      <c r="AH233" s="190" t="str">
        <f t="shared" si="414"/>
        <v/>
      </c>
      <c r="AI233" s="190" t="str">
        <f t="shared" si="414"/>
        <v/>
      </c>
      <c r="AJ233" s="190" t="str">
        <f t="shared" si="414"/>
        <v/>
      </c>
      <c r="AK233" s="190" t="str">
        <f t="shared" si="414"/>
        <v/>
      </c>
      <c r="AL233" s="190" t="str">
        <f t="shared" si="414"/>
        <v/>
      </c>
      <c r="AM233" s="191">
        <v>27.0</v>
      </c>
      <c r="AN233" s="190" t="str">
        <f t="shared" ref="AN233:AT233" si="415">IFERROR(INDIRECT("'Bloque "&amp;$AJ$41&amp;" Semana "&amp;$AJ$40&amp;"'"&amp;"!"&amp;AN$229&amp;$AU233),"")</f>
        <v/>
      </c>
      <c r="AO233" s="190" t="str">
        <f t="shared" si="415"/>
        <v/>
      </c>
      <c r="AP233" s="190" t="str">
        <f t="shared" si="415"/>
        <v/>
      </c>
      <c r="AQ233" s="190" t="str">
        <f t="shared" si="415"/>
        <v/>
      </c>
      <c r="AR233" s="190" t="str">
        <f t="shared" si="415"/>
        <v/>
      </c>
      <c r="AS233" s="190" t="str">
        <f t="shared" si="415"/>
        <v/>
      </c>
      <c r="AT233" s="190" t="str">
        <f t="shared" si="415"/>
        <v/>
      </c>
      <c r="AU233" s="191">
        <v>27.0</v>
      </c>
    </row>
    <row r="234">
      <c r="A234" s="4"/>
      <c r="B234" s="4"/>
      <c r="C234" s="4"/>
      <c r="D234" s="122"/>
      <c r="E234" s="29"/>
      <c r="F234" s="29"/>
      <c r="G234" s="29"/>
      <c r="H234" s="29"/>
      <c r="I234" s="29"/>
      <c r="J234" s="29"/>
      <c r="K234" s="29"/>
      <c r="L234" s="29"/>
      <c r="M234" s="29"/>
      <c r="N234" s="29"/>
      <c r="O234" s="4"/>
      <c r="P234" s="4"/>
      <c r="Q234" s="4"/>
      <c r="R234" s="77"/>
      <c r="V234" s="176"/>
      <c r="W234" s="176"/>
      <c r="X234" s="197" t="str">
        <f t="shared" ref="X234:AD234" si="416">IFERROR(INDIRECT("'Bloque "&amp;$AH$41&amp;" Semana "&amp;$AH$40&amp;"'"&amp;"!"&amp;X$229&amp;$AE234),"")</f>
        <v/>
      </c>
      <c r="Y234" s="197" t="str">
        <f t="shared" si="416"/>
        <v/>
      </c>
      <c r="Z234" s="197" t="str">
        <f t="shared" si="416"/>
        <v/>
      </c>
      <c r="AA234" s="197" t="str">
        <f t="shared" si="416"/>
        <v/>
      </c>
      <c r="AB234" s="197" t="str">
        <f t="shared" si="416"/>
        <v/>
      </c>
      <c r="AC234" s="197" t="str">
        <f t="shared" si="416"/>
        <v/>
      </c>
      <c r="AD234" s="197" t="str">
        <f t="shared" si="416"/>
        <v/>
      </c>
      <c r="AE234" s="191">
        <v>28.0</v>
      </c>
      <c r="AF234" s="197" t="str">
        <f t="shared" ref="AF234:AL234" si="417">IFERROR(INDIRECT("'Bloque "&amp;$AI$41&amp;" Semana "&amp;$AI$40&amp;"'"&amp;"!"&amp;AF$229&amp;$AM234),"")</f>
        <v/>
      </c>
      <c r="AG234" s="197" t="str">
        <f t="shared" si="417"/>
        <v/>
      </c>
      <c r="AH234" s="197" t="str">
        <f t="shared" si="417"/>
        <v/>
      </c>
      <c r="AI234" s="197" t="str">
        <f t="shared" si="417"/>
        <v/>
      </c>
      <c r="AJ234" s="197" t="str">
        <f t="shared" si="417"/>
        <v/>
      </c>
      <c r="AK234" s="197" t="str">
        <f t="shared" si="417"/>
        <v/>
      </c>
      <c r="AL234" s="197" t="str">
        <f t="shared" si="417"/>
        <v/>
      </c>
      <c r="AM234" s="191">
        <v>28.0</v>
      </c>
      <c r="AN234" s="197" t="str">
        <f t="shared" ref="AN234:AT234" si="418">IFERROR(INDIRECT("'Bloque "&amp;$AJ$41&amp;" Semana "&amp;$AJ$40&amp;"'"&amp;"!"&amp;AN$229&amp;$AU234),"")</f>
        <v/>
      </c>
      <c r="AO234" s="197" t="str">
        <f t="shared" si="418"/>
        <v/>
      </c>
      <c r="AP234" s="197" t="str">
        <f t="shared" si="418"/>
        <v/>
      </c>
      <c r="AQ234" s="197" t="str">
        <f t="shared" si="418"/>
        <v/>
      </c>
      <c r="AR234" s="197" t="str">
        <f t="shared" si="418"/>
        <v/>
      </c>
      <c r="AS234" s="197" t="str">
        <f t="shared" si="418"/>
        <v/>
      </c>
      <c r="AT234" s="197" t="str">
        <f t="shared" si="418"/>
        <v/>
      </c>
      <c r="AU234" s="191">
        <v>28.0</v>
      </c>
    </row>
    <row r="235">
      <c r="A235" s="4"/>
      <c r="B235" s="4"/>
      <c r="C235" s="4"/>
      <c r="D235" s="122"/>
      <c r="E235" s="29"/>
      <c r="F235" s="29"/>
      <c r="G235" s="29"/>
      <c r="H235" s="29"/>
      <c r="I235" s="29"/>
      <c r="J235" s="29"/>
      <c r="K235" s="29"/>
      <c r="L235" s="29"/>
      <c r="M235" s="29"/>
      <c r="N235" s="29"/>
      <c r="O235" s="4"/>
      <c r="P235" s="4"/>
      <c r="Q235" s="4"/>
      <c r="R235" s="77"/>
      <c r="V235" s="176"/>
      <c r="W235" s="176"/>
      <c r="X235" s="197" t="str">
        <f t="shared" ref="X235:AD235" si="419">IFERROR(INDIRECT("'Bloque "&amp;$AH$41&amp;" Semana "&amp;$AH$40&amp;"'"&amp;"!"&amp;X$229&amp;$AE235),"")</f>
        <v/>
      </c>
      <c r="Y235" s="197" t="str">
        <f t="shared" si="419"/>
        <v/>
      </c>
      <c r="Z235" s="197" t="str">
        <f t="shared" si="419"/>
        <v/>
      </c>
      <c r="AA235" s="197" t="str">
        <f t="shared" si="419"/>
        <v/>
      </c>
      <c r="AB235" s="197" t="str">
        <f t="shared" si="419"/>
        <v/>
      </c>
      <c r="AC235" s="197" t="str">
        <f t="shared" si="419"/>
        <v/>
      </c>
      <c r="AD235" s="197" t="str">
        <f t="shared" si="419"/>
        <v/>
      </c>
      <c r="AE235" s="191">
        <v>29.0</v>
      </c>
      <c r="AF235" s="197" t="str">
        <f t="shared" ref="AF235:AL235" si="420">IFERROR(INDIRECT("'Bloque "&amp;$AI$41&amp;" Semana "&amp;$AI$40&amp;"'"&amp;"!"&amp;AF$229&amp;$AM235),"")</f>
        <v/>
      </c>
      <c r="AG235" s="197" t="str">
        <f t="shared" si="420"/>
        <v/>
      </c>
      <c r="AH235" s="197" t="str">
        <f t="shared" si="420"/>
        <v/>
      </c>
      <c r="AI235" s="197" t="str">
        <f t="shared" si="420"/>
        <v/>
      </c>
      <c r="AJ235" s="197" t="str">
        <f t="shared" si="420"/>
        <v/>
      </c>
      <c r="AK235" s="197" t="str">
        <f t="shared" si="420"/>
        <v/>
      </c>
      <c r="AL235" s="197" t="str">
        <f t="shared" si="420"/>
        <v/>
      </c>
      <c r="AM235" s="191">
        <v>29.0</v>
      </c>
      <c r="AN235" s="197" t="str">
        <f t="shared" ref="AN235:AT235" si="421">IFERROR(INDIRECT("'Bloque "&amp;$AJ$41&amp;" Semana "&amp;$AJ$40&amp;"'"&amp;"!"&amp;AN$229&amp;$AU235),"")</f>
        <v/>
      </c>
      <c r="AO235" s="197" t="str">
        <f t="shared" si="421"/>
        <v/>
      </c>
      <c r="AP235" s="197" t="str">
        <f t="shared" si="421"/>
        <v/>
      </c>
      <c r="AQ235" s="197" t="str">
        <f t="shared" si="421"/>
        <v/>
      </c>
      <c r="AR235" s="197" t="str">
        <f t="shared" si="421"/>
        <v/>
      </c>
      <c r="AS235" s="197" t="str">
        <f t="shared" si="421"/>
        <v/>
      </c>
      <c r="AT235" s="197" t="str">
        <f t="shared" si="421"/>
        <v/>
      </c>
      <c r="AU235" s="191">
        <v>29.0</v>
      </c>
    </row>
    <row r="236">
      <c r="A236" s="4"/>
      <c r="B236" s="4"/>
      <c r="C236" s="4"/>
      <c r="D236" s="122"/>
      <c r="E236" s="29"/>
      <c r="F236" s="29"/>
      <c r="G236" s="29"/>
      <c r="H236" s="29"/>
      <c r="I236" s="29"/>
      <c r="J236" s="29"/>
      <c r="K236" s="29"/>
      <c r="L236" s="29"/>
      <c r="M236" s="29"/>
      <c r="N236" s="29"/>
      <c r="O236" s="4"/>
      <c r="P236" s="4"/>
      <c r="Q236" s="4"/>
      <c r="R236" s="77"/>
      <c r="V236" s="176"/>
      <c r="W236" s="176"/>
      <c r="X236" s="197" t="str">
        <f t="shared" ref="X236:AD236" si="422">IFERROR(INDIRECT("'Bloque "&amp;$AH$41&amp;" Semana "&amp;$AH$40&amp;"'"&amp;"!"&amp;X$229&amp;$AE236),"")</f>
        <v/>
      </c>
      <c r="Y236" s="197" t="str">
        <f t="shared" si="422"/>
        <v/>
      </c>
      <c r="Z236" s="197" t="str">
        <f t="shared" si="422"/>
        <v/>
      </c>
      <c r="AA236" s="197" t="str">
        <f t="shared" si="422"/>
        <v/>
      </c>
      <c r="AB236" s="197" t="str">
        <f t="shared" si="422"/>
        <v/>
      </c>
      <c r="AC236" s="197" t="str">
        <f t="shared" si="422"/>
        <v/>
      </c>
      <c r="AD236" s="197" t="str">
        <f t="shared" si="422"/>
        <v/>
      </c>
      <c r="AE236" s="191">
        <v>30.0</v>
      </c>
      <c r="AF236" s="197" t="str">
        <f t="shared" ref="AF236:AL236" si="423">IFERROR(INDIRECT("'Bloque "&amp;$AI$41&amp;" Semana "&amp;$AI$40&amp;"'"&amp;"!"&amp;AF$229&amp;$AM236),"")</f>
        <v/>
      </c>
      <c r="AG236" s="197" t="str">
        <f t="shared" si="423"/>
        <v/>
      </c>
      <c r="AH236" s="197" t="str">
        <f t="shared" si="423"/>
        <v/>
      </c>
      <c r="AI236" s="197" t="str">
        <f t="shared" si="423"/>
        <v/>
      </c>
      <c r="AJ236" s="197" t="str">
        <f t="shared" si="423"/>
        <v/>
      </c>
      <c r="AK236" s="197" t="str">
        <f t="shared" si="423"/>
        <v/>
      </c>
      <c r="AL236" s="197" t="str">
        <f t="shared" si="423"/>
        <v/>
      </c>
      <c r="AM236" s="191">
        <v>30.0</v>
      </c>
      <c r="AN236" s="197" t="str">
        <f t="shared" ref="AN236:AT236" si="424">IFERROR(INDIRECT("'Bloque "&amp;$AJ$41&amp;" Semana "&amp;$AJ$40&amp;"'"&amp;"!"&amp;AN$229&amp;$AU236),"")</f>
        <v/>
      </c>
      <c r="AO236" s="197" t="str">
        <f t="shared" si="424"/>
        <v/>
      </c>
      <c r="AP236" s="197" t="str">
        <f t="shared" si="424"/>
        <v/>
      </c>
      <c r="AQ236" s="197" t="str">
        <f t="shared" si="424"/>
        <v/>
      </c>
      <c r="AR236" s="197" t="str">
        <f t="shared" si="424"/>
        <v/>
      </c>
      <c r="AS236" s="197" t="str">
        <f t="shared" si="424"/>
        <v/>
      </c>
      <c r="AT236" s="197" t="str">
        <f t="shared" si="424"/>
        <v/>
      </c>
      <c r="AU236" s="191">
        <v>30.0</v>
      </c>
    </row>
    <row r="237">
      <c r="A237" s="4"/>
      <c r="B237" s="4"/>
      <c r="C237" s="4"/>
      <c r="D237" s="122"/>
      <c r="E237" s="29"/>
      <c r="F237" s="29"/>
      <c r="G237" s="29"/>
      <c r="H237" s="29"/>
      <c r="I237" s="29"/>
      <c r="J237" s="29"/>
      <c r="K237" s="29"/>
      <c r="L237" s="29"/>
      <c r="M237" s="29"/>
      <c r="N237" s="29"/>
      <c r="O237" s="4"/>
      <c r="P237" s="4"/>
      <c r="Q237" s="4"/>
      <c r="R237" s="77"/>
      <c r="V237" s="176"/>
      <c r="W237" s="176"/>
      <c r="X237" s="197" t="str">
        <f t="shared" ref="X237:AD237" si="425">IFERROR(INDIRECT("'Bloque "&amp;$AH$41&amp;" Semana "&amp;$AH$40&amp;"'"&amp;"!"&amp;X$229&amp;$AE237),"")</f>
        <v/>
      </c>
      <c r="Y237" s="197" t="str">
        <f t="shared" si="425"/>
        <v/>
      </c>
      <c r="Z237" s="197" t="str">
        <f t="shared" si="425"/>
        <v/>
      </c>
      <c r="AA237" s="197" t="str">
        <f t="shared" si="425"/>
        <v/>
      </c>
      <c r="AB237" s="197" t="str">
        <f t="shared" si="425"/>
        <v/>
      </c>
      <c r="AC237" s="197" t="str">
        <f t="shared" si="425"/>
        <v/>
      </c>
      <c r="AD237" s="197" t="str">
        <f t="shared" si="425"/>
        <v/>
      </c>
      <c r="AE237" s="191">
        <v>31.0</v>
      </c>
      <c r="AF237" s="197" t="str">
        <f t="shared" ref="AF237:AL237" si="426">IFERROR(INDIRECT("'Bloque "&amp;$AI$41&amp;" Semana "&amp;$AI$40&amp;"'"&amp;"!"&amp;AF$229&amp;$AM237),"")</f>
        <v/>
      </c>
      <c r="AG237" s="197" t="str">
        <f t="shared" si="426"/>
        <v/>
      </c>
      <c r="AH237" s="197" t="str">
        <f t="shared" si="426"/>
        <v/>
      </c>
      <c r="AI237" s="197" t="str">
        <f t="shared" si="426"/>
        <v/>
      </c>
      <c r="AJ237" s="197" t="str">
        <f t="shared" si="426"/>
        <v/>
      </c>
      <c r="AK237" s="197" t="str">
        <f t="shared" si="426"/>
        <v/>
      </c>
      <c r="AL237" s="197" t="str">
        <f t="shared" si="426"/>
        <v/>
      </c>
      <c r="AM237" s="191">
        <v>31.0</v>
      </c>
      <c r="AN237" s="197" t="str">
        <f t="shared" ref="AN237:AT237" si="427">IFERROR(INDIRECT("'Bloque "&amp;$AJ$41&amp;" Semana "&amp;$AJ$40&amp;"'"&amp;"!"&amp;AN$229&amp;$AU237),"")</f>
        <v/>
      </c>
      <c r="AO237" s="197" t="str">
        <f t="shared" si="427"/>
        <v/>
      </c>
      <c r="AP237" s="197" t="str">
        <f t="shared" si="427"/>
        <v/>
      </c>
      <c r="AQ237" s="197" t="str">
        <f t="shared" si="427"/>
        <v/>
      </c>
      <c r="AR237" s="197" t="str">
        <f t="shared" si="427"/>
        <v/>
      </c>
      <c r="AS237" s="197" t="str">
        <f t="shared" si="427"/>
        <v/>
      </c>
      <c r="AT237" s="197" t="str">
        <f t="shared" si="427"/>
        <v/>
      </c>
      <c r="AU237" s="191">
        <v>31.0</v>
      </c>
    </row>
    <row r="238">
      <c r="A238" s="4"/>
      <c r="B238" s="4"/>
      <c r="C238" s="4"/>
      <c r="D238" s="122"/>
      <c r="E238" s="29"/>
      <c r="F238" s="29"/>
      <c r="G238" s="29"/>
      <c r="H238" s="29"/>
      <c r="I238" s="29"/>
      <c r="J238" s="29"/>
      <c r="K238" s="29"/>
      <c r="L238" s="29"/>
      <c r="M238" s="29"/>
      <c r="N238" s="29"/>
      <c r="O238" s="4"/>
      <c r="P238" s="4"/>
      <c r="Q238" s="4"/>
      <c r="R238" s="77"/>
      <c r="V238" s="176"/>
      <c r="W238" s="176"/>
      <c r="X238" s="197" t="str">
        <f t="shared" ref="X238:AD238" si="428">IFERROR(INDIRECT("'Bloque "&amp;$AH$41&amp;" Semana "&amp;$AH$40&amp;"'"&amp;"!"&amp;X$229&amp;$AE238),"")</f>
        <v/>
      </c>
      <c r="Y238" s="197" t="str">
        <f t="shared" si="428"/>
        <v/>
      </c>
      <c r="Z238" s="197" t="str">
        <f t="shared" si="428"/>
        <v/>
      </c>
      <c r="AA238" s="197" t="str">
        <f t="shared" si="428"/>
        <v/>
      </c>
      <c r="AB238" s="197" t="str">
        <f t="shared" si="428"/>
        <v/>
      </c>
      <c r="AC238" s="197" t="str">
        <f t="shared" si="428"/>
        <v/>
      </c>
      <c r="AD238" s="197" t="str">
        <f t="shared" si="428"/>
        <v/>
      </c>
      <c r="AE238" s="191">
        <v>32.0</v>
      </c>
      <c r="AF238" s="197" t="str">
        <f t="shared" ref="AF238:AL238" si="429">IFERROR(INDIRECT("'Bloque "&amp;$AI$41&amp;" Semana "&amp;$AI$40&amp;"'"&amp;"!"&amp;AF$229&amp;$AM238),"")</f>
        <v/>
      </c>
      <c r="AG238" s="197" t="str">
        <f t="shared" si="429"/>
        <v/>
      </c>
      <c r="AH238" s="197" t="str">
        <f t="shared" si="429"/>
        <v/>
      </c>
      <c r="AI238" s="197" t="str">
        <f t="shared" si="429"/>
        <v/>
      </c>
      <c r="AJ238" s="197" t="str">
        <f t="shared" si="429"/>
        <v/>
      </c>
      <c r="AK238" s="197" t="str">
        <f t="shared" si="429"/>
        <v/>
      </c>
      <c r="AL238" s="197" t="str">
        <f t="shared" si="429"/>
        <v/>
      </c>
      <c r="AM238" s="191">
        <v>32.0</v>
      </c>
      <c r="AN238" s="197" t="str">
        <f t="shared" ref="AN238:AT238" si="430">IFERROR(INDIRECT("'Bloque "&amp;$AJ$41&amp;" Semana "&amp;$AJ$40&amp;"'"&amp;"!"&amp;AN$229&amp;$AU238),"")</f>
        <v/>
      </c>
      <c r="AO238" s="197" t="str">
        <f t="shared" si="430"/>
        <v/>
      </c>
      <c r="AP238" s="197" t="str">
        <f t="shared" si="430"/>
        <v/>
      </c>
      <c r="AQ238" s="197" t="str">
        <f t="shared" si="430"/>
        <v/>
      </c>
      <c r="AR238" s="197" t="str">
        <f t="shared" si="430"/>
        <v/>
      </c>
      <c r="AS238" s="197" t="str">
        <f t="shared" si="430"/>
        <v/>
      </c>
      <c r="AT238" s="197" t="str">
        <f t="shared" si="430"/>
        <v/>
      </c>
      <c r="AU238" s="191">
        <v>32.0</v>
      </c>
    </row>
    <row r="239">
      <c r="A239" s="4"/>
      <c r="B239" s="4"/>
      <c r="C239" s="4"/>
      <c r="D239" s="122"/>
      <c r="E239" s="29"/>
      <c r="F239" s="29"/>
      <c r="G239" s="29"/>
      <c r="H239" s="29"/>
      <c r="I239" s="29"/>
      <c r="J239" s="29"/>
      <c r="K239" s="29"/>
      <c r="L239" s="29"/>
      <c r="M239" s="29"/>
      <c r="N239" s="29"/>
      <c r="O239" s="4"/>
      <c r="P239" s="4"/>
      <c r="Q239" s="4"/>
      <c r="R239" s="77"/>
      <c r="V239" s="176"/>
      <c r="W239" s="176"/>
      <c r="X239" s="197" t="str">
        <f t="shared" ref="X239:AD239" si="431">IFERROR(INDIRECT("'Bloque "&amp;$AH$41&amp;" Semana "&amp;$AH$40&amp;"'"&amp;"!"&amp;X$229&amp;$AE239),"")</f>
        <v/>
      </c>
      <c r="Y239" s="197" t="str">
        <f t="shared" si="431"/>
        <v/>
      </c>
      <c r="Z239" s="197" t="str">
        <f t="shared" si="431"/>
        <v/>
      </c>
      <c r="AA239" s="197" t="str">
        <f t="shared" si="431"/>
        <v/>
      </c>
      <c r="AB239" s="197" t="str">
        <f t="shared" si="431"/>
        <v/>
      </c>
      <c r="AC239" s="197" t="str">
        <f t="shared" si="431"/>
        <v/>
      </c>
      <c r="AD239" s="197" t="str">
        <f t="shared" si="431"/>
        <v/>
      </c>
      <c r="AE239" s="191">
        <v>33.0</v>
      </c>
      <c r="AF239" s="197" t="str">
        <f t="shared" ref="AF239:AL239" si="432">IFERROR(INDIRECT("'Bloque "&amp;$AI$41&amp;" Semana "&amp;$AI$40&amp;"'"&amp;"!"&amp;AF$229&amp;$AM239),"")</f>
        <v/>
      </c>
      <c r="AG239" s="197" t="str">
        <f t="shared" si="432"/>
        <v/>
      </c>
      <c r="AH239" s="197" t="str">
        <f t="shared" si="432"/>
        <v/>
      </c>
      <c r="AI239" s="197" t="str">
        <f t="shared" si="432"/>
        <v/>
      </c>
      <c r="AJ239" s="197" t="str">
        <f t="shared" si="432"/>
        <v/>
      </c>
      <c r="AK239" s="197" t="str">
        <f t="shared" si="432"/>
        <v/>
      </c>
      <c r="AL239" s="197" t="str">
        <f t="shared" si="432"/>
        <v/>
      </c>
      <c r="AM239" s="191">
        <v>33.0</v>
      </c>
      <c r="AN239" s="197" t="str">
        <f t="shared" ref="AN239:AT239" si="433">IFERROR(INDIRECT("'Bloque "&amp;$AJ$41&amp;" Semana "&amp;$AJ$40&amp;"'"&amp;"!"&amp;AN$229&amp;$AU239),"")</f>
        <v/>
      </c>
      <c r="AO239" s="197" t="str">
        <f t="shared" si="433"/>
        <v/>
      </c>
      <c r="AP239" s="197" t="str">
        <f t="shared" si="433"/>
        <v/>
      </c>
      <c r="AQ239" s="197" t="str">
        <f t="shared" si="433"/>
        <v/>
      </c>
      <c r="AR239" s="197" t="str">
        <f t="shared" si="433"/>
        <v/>
      </c>
      <c r="AS239" s="197" t="str">
        <f t="shared" si="433"/>
        <v/>
      </c>
      <c r="AT239" s="197" t="str">
        <f t="shared" si="433"/>
        <v/>
      </c>
      <c r="AU239" s="191">
        <v>33.0</v>
      </c>
    </row>
    <row r="240">
      <c r="A240" s="4"/>
      <c r="B240" s="4"/>
      <c r="C240" s="4"/>
      <c r="D240" s="122"/>
      <c r="E240" s="29"/>
      <c r="F240" s="29"/>
      <c r="G240" s="29"/>
      <c r="H240" s="29"/>
      <c r="I240" s="29"/>
      <c r="J240" s="29"/>
      <c r="K240" s="29"/>
      <c r="L240" s="29"/>
      <c r="M240" s="29"/>
      <c r="N240" s="29"/>
      <c r="O240" s="4"/>
      <c r="P240" s="4"/>
      <c r="Q240" s="4"/>
      <c r="R240" s="77"/>
      <c r="V240" s="176"/>
      <c r="W240" s="176"/>
      <c r="X240" s="197" t="str">
        <f t="shared" ref="X240:AD240" si="434">IFERROR(INDIRECT("'Bloque "&amp;$AH$41&amp;" Semana "&amp;$AH$40&amp;"'"&amp;"!"&amp;X$229&amp;$AE240),"")</f>
        <v/>
      </c>
      <c r="Y240" s="197" t="str">
        <f t="shared" si="434"/>
        <v/>
      </c>
      <c r="Z240" s="197" t="str">
        <f t="shared" si="434"/>
        <v/>
      </c>
      <c r="AA240" s="197" t="str">
        <f t="shared" si="434"/>
        <v/>
      </c>
      <c r="AB240" s="197" t="str">
        <f t="shared" si="434"/>
        <v/>
      </c>
      <c r="AC240" s="197" t="str">
        <f t="shared" si="434"/>
        <v/>
      </c>
      <c r="AD240" s="197" t="str">
        <f t="shared" si="434"/>
        <v/>
      </c>
      <c r="AE240" s="191">
        <v>34.0</v>
      </c>
      <c r="AF240" s="197" t="str">
        <f t="shared" ref="AF240:AL240" si="435">IFERROR(INDIRECT("'Bloque "&amp;$AI$41&amp;" Semana "&amp;$AI$40&amp;"'"&amp;"!"&amp;AF$229&amp;$AM240),"")</f>
        <v/>
      </c>
      <c r="AG240" s="197" t="str">
        <f t="shared" si="435"/>
        <v/>
      </c>
      <c r="AH240" s="197" t="str">
        <f t="shared" si="435"/>
        <v/>
      </c>
      <c r="AI240" s="197" t="str">
        <f t="shared" si="435"/>
        <v/>
      </c>
      <c r="AJ240" s="197" t="str">
        <f t="shared" si="435"/>
        <v/>
      </c>
      <c r="AK240" s="197" t="str">
        <f t="shared" si="435"/>
        <v/>
      </c>
      <c r="AL240" s="197" t="str">
        <f t="shared" si="435"/>
        <v/>
      </c>
      <c r="AM240" s="191">
        <v>34.0</v>
      </c>
      <c r="AN240" s="197" t="str">
        <f t="shared" ref="AN240:AT240" si="436">IFERROR(INDIRECT("'Bloque "&amp;$AJ$41&amp;" Semana "&amp;$AJ$40&amp;"'"&amp;"!"&amp;AN$229&amp;$AU240),"")</f>
        <v/>
      </c>
      <c r="AO240" s="197" t="str">
        <f t="shared" si="436"/>
        <v/>
      </c>
      <c r="AP240" s="197" t="str">
        <f t="shared" si="436"/>
        <v/>
      </c>
      <c r="AQ240" s="197" t="str">
        <f t="shared" si="436"/>
        <v/>
      </c>
      <c r="AR240" s="197" t="str">
        <f t="shared" si="436"/>
        <v/>
      </c>
      <c r="AS240" s="197" t="str">
        <f t="shared" si="436"/>
        <v/>
      </c>
      <c r="AT240" s="197" t="str">
        <f t="shared" si="436"/>
        <v/>
      </c>
      <c r="AU240" s="191">
        <v>34.0</v>
      </c>
    </row>
    <row r="241">
      <c r="A241" s="4"/>
      <c r="B241" s="4"/>
      <c r="C241" s="4"/>
      <c r="D241" s="122"/>
      <c r="E241" s="29"/>
      <c r="F241" s="29"/>
      <c r="G241" s="29"/>
      <c r="H241" s="29"/>
      <c r="I241" s="29"/>
      <c r="J241" s="29"/>
      <c r="K241" s="29"/>
      <c r="L241" s="29"/>
      <c r="M241" s="29"/>
      <c r="N241" s="29"/>
      <c r="O241" s="4"/>
      <c r="P241" s="4"/>
      <c r="Q241" s="4"/>
      <c r="R241" s="77"/>
      <c r="V241" s="176"/>
      <c r="W241" s="176"/>
      <c r="X241" s="197" t="str">
        <f t="shared" ref="X241:AD241" si="437">IFERROR(INDIRECT("'Bloque "&amp;$AH$41&amp;" Semana "&amp;$AH$40&amp;"'"&amp;"!"&amp;X$229&amp;$AE241),"")</f>
        <v/>
      </c>
      <c r="Y241" s="197" t="str">
        <f t="shared" si="437"/>
        <v/>
      </c>
      <c r="Z241" s="197" t="str">
        <f t="shared" si="437"/>
        <v/>
      </c>
      <c r="AA241" s="197" t="str">
        <f t="shared" si="437"/>
        <v/>
      </c>
      <c r="AB241" s="197" t="str">
        <f t="shared" si="437"/>
        <v/>
      </c>
      <c r="AC241" s="197" t="str">
        <f t="shared" si="437"/>
        <v/>
      </c>
      <c r="AD241" s="197" t="str">
        <f t="shared" si="437"/>
        <v/>
      </c>
      <c r="AE241" s="191">
        <v>35.0</v>
      </c>
      <c r="AF241" s="197" t="str">
        <f t="shared" ref="AF241:AL241" si="438">IFERROR(INDIRECT("'Bloque "&amp;$AI$41&amp;" Semana "&amp;$AI$40&amp;"'"&amp;"!"&amp;AF$229&amp;$AM241),"")</f>
        <v/>
      </c>
      <c r="AG241" s="197" t="str">
        <f t="shared" si="438"/>
        <v/>
      </c>
      <c r="AH241" s="197" t="str">
        <f t="shared" si="438"/>
        <v/>
      </c>
      <c r="AI241" s="197" t="str">
        <f t="shared" si="438"/>
        <v/>
      </c>
      <c r="AJ241" s="197" t="str">
        <f t="shared" si="438"/>
        <v/>
      </c>
      <c r="AK241" s="197" t="str">
        <f t="shared" si="438"/>
        <v/>
      </c>
      <c r="AL241" s="197" t="str">
        <f t="shared" si="438"/>
        <v/>
      </c>
      <c r="AM241" s="191">
        <v>35.0</v>
      </c>
      <c r="AN241" s="197" t="str">
        <f t="shared" ref="AN241:AT241" si="439">IFERROR(INDIRECT("'Bloque "&amp;$AJ$41&amp;" Semana "&amp;$AJ$40&amp;"'"&amp;"!"&amp;AN$229&amp;$AU241),"")</f>
        <v/>
      </c>
      <c r="AO241" s="197" t="str">
        <f t="shared" si="439"/>
        <v/>
      </c>
      <c r="AP241" s="197" t="str">
        <f t="shared" si="439"/>
        <v/>
      </c>
      <c r="AQ241" s="197" t="str">
        <f t="shared" si="439"/>
        <v/>
      </c>
      <c r="AR241" s="197" t="str">
        <f t="shared" si="439"/>
        <v/>
      </c>
      <c r="AS241" s="197" t="str">
        <f t="shared" si="439"/>
        <v/>
      </c>
      <c r="AT241" s="197" t="str">
        <f t="shared" si="439"/>
        <v/>
      </c>
      <c r="AU241" s="191">
        <v>35.0</v>
      </c>
    </row>
    <row r="242">
      <c r="A242" s="4"/>
      <c r="B242" s="4"/>
      <c r="C242" s="4"/>
      <c r="D242" s="122"/>
      <c r="E242" s="29"/>
      <c r="F242" s="29"/>
      <c r="G242" s="29"/>
      <c r="H242" s="29"/>
      <c r="I242" s="29"/>
      <c r="J242" s="29"/>
      <c r="K242" s="29"/>
      <c r="L242" s="29"/>
      <c r="M242" s="29"/>
      <c r="N242" s="29"/>
      <c r="O242" s="4"/>
      <c r="P242" s="4"/>
      <c r="Q242" s="4"/>
      <c r="R242" s="77"/>
      <c r="V242" s="176"/>
      <c r="W242" s="176"/>
      <c r="X242" s="176"/>
      <c r="Y242" s="176"/>
      <c r="Z242" s="176"/>
      <c r="AA242" s="176"/>
      <c r="AB242" s="176"/>
      <c r="AC242" s="176"/>
      <c r="AD242" s="176"/>
      <c r="AE242" s="192"/>
      <c r="AF242" s="176"/>
      <c r="AG242" s="176"/>
      <c r="AH242" s="176"/>
      <c r="AI242" s="176"/>
      <c r="AJ242" s="176"/>
      <c r="AK242" s="176"/>
      <c r="AL242" s="176"/>
      <c r="AM242" s="192"/>
      <c r="AN242" s="176"/>
      <c r="AO242" s="176"/>
      <c r="AP242" s="176"/>
      <c r="AQ242" s="176"/>
      <c r="AR242" s="176"/>
      <c r="AU242" s="187"/>
    </row>
    <row r="243">
      <c r="A243" s="193"/>
      <c r="B243" s="193"/>
      <c r="C243" s="193"/>
      <c r="D243" s="194"/>
      <c r="E243" s="195"/>
      <c r="F243" s="195"/>
      <c r="G243" s="195"/>
      <c r="H243" s="195"/>
      <c r="I243" s="195"/>
      <c r="J243" s="195"/>
      <c r="K243" s="195"/>
      <c r="L243" s="195"/>
      <c r="M243" s="195"/>
      <c r="N243" s="195"/>
      <c r="O243" s="193"/>
      <c r="P243" s="193"/>
      <c r="Q243" s="193"/>
      <c r="R243" s="196"/>
      <c r="S243" s="187"/>
      <c r="T243" s="187"/>
      <c r="U243" s="187"/>
      <c r="V243" s="192"/>
      <c r="W243" s="192"/>
      <c r="X243" s="186" t="s">
        <v>202</v>
      </c>
      <c r="Y243" s="186" t="s">
        <v>203</v>
      </c>
      <c r="Z243" s="186" t="s">
        <v>209</v>
      </c>
      <c r="AA243" s="186" t="s">
        <v>205</v>
      </c>
      <c r="AB243" s="186" t="s">
        <v>206</v>
      </c>
      <c r="AC243" s="186" t="s">
        <v>207</v>
      </c>
      <c r="AD243" s="186" t="s">
        <v>208</v>
      </c>
      <c r="AE243" s="187"/>
      <c r="AF243" s="186" t="s">
        <v>202</v>
      </c>
      <c r="AG243" s="186" t="s">
        <v>203</v>
      </c>
      <c r="AH243" s="186" t="s">
        <v>209</v>
      </c>
      <c r="AI243" s="186" t="s">
        <v>205</v>
      </c>
      <c r="AJ243" s="186" t="s">
        <v>206</v>
      </c>
      <c r="AK243" s="186" t="s">
        <v>207</v>
      </c>
      <c r="AL243" s="186" t="s">
        <v>208</v>
      </c>
      <c r="AM243" s="187"/>
      <c r="AN243" s="186" t="s">
        <v>202</v>
      </c>
      <c r="AO243" s="186" t="s">
        <v>203</v>
      </c>
      <c r="AP243" s="186" t="s">
        <v>209</v>
      </c>
      <c r="AQ243" s="186" t="s">
        <v>205</v>
      </c>
      <c r="AR243" s="186" t="s">
        <v>206</v>
      </c>
      <c r="AS243" s="186" t="s">
        <v>207</v>
      </c>
      <c r="AT243" s="186" t="s">
        <v>208</v>
      </c>
      <c r="AU243" s="187"/>
      <c r="AV243" s="187"/>
      <c r="AW243" s="187"/>
      <c r="AX243" s="187"/>
      <c r="AY243" s="187"/>
      <c r="AZ243" s="187"/>
      <c r="BA243" s="187"/>
      <c r="BB243" s="187"/>
      <c r="BC243" s="187"/>
      <c r="BD243" s="187"/>
      <c r="BE243" s="187"/>
      <c r="BF243" s="187"/>
      <c r="BG243" s="187"/>
      <c r="BH243" s="187"/>
      <c r="BI243" s="187"/>
      <c r="BJ243" s="187"/>
      <c r="BK243" s="187"/>
      <c r="BL243" s="187"/>
      <c r="BM243" s="187"/>
      <c r="BN243" s="187"/>
      <c r="BO243" s="187"/>
      <c r="BP243" s="187"/>
      <c r="BQ243" s="187"/>
      <c r="BR243" s="187"/>
      <c r="BS243" s="187"/>
      <c r="BT243" s="187"/>
      <c r="BU243" s="187"/>
      <c r="BV243" s="187"/>
      <c r="BW243" s="187"/>
      <c r="BX243" s="187"/>
      <c r="BY243" s="187"/>
      <c r="BZ243" s="187"/>
      <c r="CA243" s="187"/>
      <c r="CB243" s="187"/>
      <c r="CC243" s="187"/>
      <c r="CD243" s="187"/>
      <c r="CE243" s="187"/>
      <c r="CF243" s="187"/>
      <c r="CG243" s="187"/>
      <c r="CH243" s="187"/>
      <c r="CI243" s="187"/>
      <c r="CJ243" s="187"/>
      <c r="CK243" s="187"/>
      <c r="CL243" s="187"/>
      <c r="CM243" s="187"/>
      <c r="CN243" s="187"/>
      <c r="CO243" s="187"/>
      <c r="CP243" s="187"/>
      <c r="CQ243" s="187"/>
      <c r="CR243" s="187"/>
      <c r="CS243" s="187"/>
      <c r="CT243" s="187"/>
      <c r="CU243" s="187"/>
      <c r="CV243" s="187"/>
      <c r="CW243" s="187"/>
      <c r="CX243" s="187"/>
      <c r="CY243" s="187"/>
      <c r="CZ243" s="187"/>
      <c r="DA243" s="187"/>
      <c r="DB243" s="187"/>
      <c r="DC243" s="187"/>
      <c r="DD243" s="187"/>
      <c r="DE243" s="187"/>
      <c r="DF243" s="187"/>
      <c r="DG243" s="187"/>
      <c r="DH243" s="187"/>
      <c r="DI243" s="187"/>
      <c r="DJ243" s="187"/>
      <c r="DK243" s="187"/>
      <c r="DL243" s="187"/>
      <c r="DM243" s="187"/>
      <c r="DN243" s="187"/>
      <c r="DO243" s="187"/>
      <c r="DP243" s="187"/>
      <c r="DQ243" s="187"/>
      <c r="DR243" s="187"/>
      <c r="DS243" s="187"/>
      <c r="DT243" s="187"/>
      <c r="DU243" s="187"/>
      <c r="DV243" s="187"/>
      <c r="DW243" s="187"/>
      <c r="DX243" s="187"/>
      <c r="DY243" s="187"/>
      <c r="DZ243" s="187"/>
      <c r="EA243" s="187"/>
      <c r="EB243" s="187"/>
      <c r="EC243" s="187"/>
      <c r="ED243" s="187"/>
      <c r="EE243" s="187"/>
      <c r="EF243" s="187"/>
      <c r="EG243" s="187"/>
      <c r="EH243" s="187"/>
      <c r="EI243" s="187"/>
      <c r="EJ243" s="187"/>
    </row>
    <row r="244">
      <c r="A244" s="4"/>
      <c r="B244" s="4"/>
      <c r="C244" s="4"/>
      <c r="D244" s="122"/>
      <c r="E244" s="29"/>
      <c r="F244" s="29"/>
      <c r="G244" s="29"/>
      <c r="H244" s="29"/>
      <c r="I244" s="29"/>
      <c r="J244" s="29"/>
      <c r="K244" s="29"/>
      <c r="L244" s="29"/>
      <c r="M244" s="29"/>
      <c r="N244" s="29"/>
      <c r="O244" s="4"/>
      <c r="P244" s="4"/>
      <c r="Q244" s="4"/>
      <c r="R244" s="77"/>
      <c r="V244" s="176"/>
      <c r="W244" s="176"/>
      <c r="X244" s="188" t="str">
        <f t="array" ref="X244">IFERROR(INDIRECT("'Bloque "&amp;$AK$41&amp;" Semana "&amp;$AK$40&amp;"'"&amp;"!"&amp;"E37"),"")</f>
        <v/>
      </c>
      <c r="AE244" s="186">
        <v>26.0</v>
      </c>
      <c r="AF244" s="188" t="str">
        <f t="array" ref="AF244">IFERROR(INDIRECT("'Bloque "&amp;$AL$41&amp;" Semana "&amp;$AL$40&amp;"'"&amp;"!"&amp;"E37"),"")</f>
        <v/>
      </c>
      <c r="AM244" s="186">
        <v>26.0</v>
      </c>
      <c r="AN244" s="188" t="str">
        <f t="array" ref="AN244">IFERROR(INDIRECT("'Bloque "&amp;$AM$41&amp;" Semana "&amp;$AM$40&amp;"'"&amp;"!"&amp;"E37"),"")</f>
        <v/>
      </c>
      <c r="AU244" s="186">
        <v>26.0</v>
      </c>
    </row>
    <row r="245">
      <c r="A245" s="4"/>
      <c r="B245" s="4"/>
      <c r="C245" s="4"/>
      <c r="D245" s="122"/>
      <c r="E245" s="29"/>
      <c r="F245" s="29"/>
      <c r="G245" s="29"/>
      <c r="H245" s="29"/>
      <c r="I245" s="29"/>
      <c r="J245" s="29"/>
      <c r="K245" s="29"/>
      <c r="L245" s="29"/>
      <c r="M245" s="29"/>
      <c r="N245" s="29"/>
      <c r="O245" s="4"/>
      <c r="P245" s="4"/>
      <c r="Q245" s="4"/>
      <c r="R245" s="77"/>
      <c r="V245" s="176"/>
      <c r="W245" s="176"/>
      <c r="X245" s="176" t="str">
        <f t="array" ref="X245">IFERROR(INDIRECT("'Bloque "&amp;$AK$41&amp;" Semana "&amp;$AK$40&amp;"'"&amp;"!"&amp;"E25"),"")</f>
        <v/>
      </c>
      <c r="AE245" s="186">
        <v>25.0</v>
      </c>
      <c r="AF245" s="176" t="str">
        <f t="array" ref="AF245">IFERROR(INDIRECT("'Bloque "&amp;$AL$41&amp;" Semana "&amp;$AL$40&amp;"'"&amp;"!"&amp;"E25"),"")</f>
        <v/>
      </c>
      <c r="AM245" s="186">
        <v>25.0</v>
      </c>
      <c r="AN245" s="176" t="str">
        <f t="array" ref="AN245">IFERROR(INDIRECT("'Bloque "&amp;$AM$41&amp;" Semana "&amp;$AM$40&amp;"'"&amp;"!"&amp;"E25"),"")</f>
        <v/>
      </c>
      <c r="AU245" s="186">
        <v>25.0</v>
      </c>
    </row>
    <row r="246">
      <c r="A246" s="4"/>
      <c r="B246" s="4"/>
      <c r="C246" s="4"/>
      <c r="D246" s="122"/>
      <c r="E246" s="29"/>
      <c r="F246" s="29"/>
      <c r="G246" s="29"/>
      <c r="H246" s="29"/>
      <c r="I246" s="29"/>
      <c r="J246" s="29"/>
      <c r="K246" s="29"/>
      <c r="L246" s="29"/>
      <c r="M246" s="29"/>
      <c r="N246" s="29"/>
      <c r="O246" s="4"/>
      <c r="P246" s="4"/>
      <c r="Q246" s="4"/>
      <c r="R246" s="77"/>
      <c r="V246" s="176"/>
      <c r="W246" s="176"/>
      <c r="X246" s="189" t="str">
        <f t="array" ref="X246">IFERROR(INDIRECT("'Bloque "&amp;$AK$41&amp;" Semana "&amp;$AK$40&amp;"'"&amp;"!"&amp;"E26"),"")</f>
        <v/>
      </c>
      <c r="AE246" s="186">
        <v>26.0</v>
      </c>
      <c r="AF246" s="189" t="str">
        <f t="array" ref="AF246">IFERROR(INDIRECT("'Bloque "&amp;$AL$41&amp;" Semana "&amp;$AL$40&amp;"'"&amp;"!"&amp;"E26"),"")</f>
        <v/>
      </c>
      <c r="AM246" s="186">
        <v>26.0</v>
      </c>
      <c r="AN246" s="189" t="str">
        <f t="array" ref="AN246">IFERROR(INDIRECT("'Bloque "&amp;$AM$41&amp;" Semana "&amp;$AM$40&amp;"'"&amp;"!"&amp;"E26"),"")</f>
        <v/>
      </c>
      <c r="AU246" s="186">
        <v>26.0</v>
      </c>
    </row>
    <row r="247">
      <c r="A247" s="4"/>
      <c r="B247" s="4"/>
      <c r="C247" s="4"/>
      <c r="D247" s="122"/>
      <c r="E247" s="29"/>
      <c r="F247" s="29"/>
      <c r="G247" s="29"/>
      <c r="H247" s="29"/>
      <c r="I247" s="29"/>
      <c r="J247" s="29"/>
      <c r="K247" s="29"/>
      <c r="L247" s="29"/>
      <c r="M247" s="29"/>
      <c r="N247" s="29"/>
      <c r="O247" s="4"/>
      <c r="P247" s="4"/>
      <c r="Q247" s="4"/>
      <c r="R247" s="77"/>
      <c r="V247" s="176"/>
      <c r="W247" s="176"/>
      <c r="X247" s="190" t="str">
        <f t="shared" ref="X247:AD247" si="440">IFERROR(INDIRECT("'Bloque "&amp;$AK$41&amp;" Semana "&amp;$AK$40&amp;"'"&amp;"!"&amp;X$243&amp;$AE247),"")</f>
        <v/>
      </c>
      <c r="Y247" s="190" t="str">
        <f t="shared" si="440"/>
        <v/>
      </c>
      <c r="Z247" s="190" t="str">
        <f t="shared" si="440"/>
        <v/>
      </c>
      <c r="AA247" s="190" t="str">
        <f t="shared" si="440"/>
        <v/>
      </c>
      <c r="AB247" s="190" t="str">
        <f t="shared" si="440"/>
        <v/>
      </c>
      <c r="AC247" s="190" t="str">
        <f t="shared" si="440"/>
        <v/>
      </c>
      <c r="AD247" s="190" t="str">
        <f t="shared" si="440"/>
        <v/>
      </c>
      <c r="AE247" s="191">
        <v>27.0</v>
      </c>
      <c r="AF247" s="190" t="str">
        <f t="shared" ref="AF247:AL247" si="441">IFERROR(INDIRECT("'Bloque "&amp;$AL$41&amp;" Semana "&amp;$AL$40&amp;"'"&amp;"!"&amp;AF$243&amp;$AM247),"")</f>
        <v/>
      </c>
      <c r="AG247" s="190" t="str">
        <f t="shared" si="441"/>
        <v/>
      </c>
      <c r="AH247" s="190" t="str">
        <f t="shared" si="441"/>
        <v/>
      </c>
      <c r="AI247" s="190" t="str">
        <f t="shared" si="441"/>
        <v/>
      </c>
      <c r="AJ247" s="190" t="str">
        <f t="shared" si="441"/>
        <v/>
      </c>
      <c r="AK247" s="190" t="str">
        <f t="shared" si="441"/>
        <v/>
      </c>
      <c r="AL247" s="190" t="str">
        <f t="shared" si="441"/>
        <v/>
      </c>
      <c r="AM247" s="191">
        <v>27.0</v>
      </c>
      <c r="AN247" s="190" t="str">
        <f t="shared" ref="AN247:AT247" si="442">IFERROR(INDIRECT("'Bloque "&amp;$AM$41&amp;" Semana "&amp;$AM$40&amp;"'"&amp;"!"&amp;AN$243&amp;$AU247),"")</f>
        <v/>
      </c>
      <c r="AO247" s="190" t="str">
        <f t="shared" si="442"/>
        <v/>
      </c>
      <c r="AP247" s="190" t="str">
        <f t="shared" si="442"/>
        <v/>
      </c>
      <c r="AQ247" s="190" t="str">
        <f t="shared" si="442"/>
        <v/>
      </c>
      <c r="AR247" s="190" t="str">
        <f t="shared" si="442"/>
        <v/>
      </c>
      <c r="AS247" s="190" t="str">
        <f t="shared" si="442"/>
        <v/>
      </c>
      <c r="AT247" s="190" t="str">
        <f t="shared" si="442"/>
        <v/>
      </c>
      <c r="AU247" s="191">
        <v>27.0</v>
      </c>
    </row>
    <row r="248">
      <c r="A248" s="4"/>
      <c r="B248" s="4"/>
      <c r="C248" s="4"/>
      <c r="D248" s="122"/>
      <c r="E248" s="29"/>
      <c r="F248" s="29"/>
      <c r="G248" s="29"/>
      <c r="H248" s="29"/>
      <c r="I248" s="29"/>
      <c r="J248" s="29"/>
      <c r="K248" s="29"/>
      <c r="L248" s="29"/>
      <c r="M248" s="29"/>
      <c r="N248" s="29"/>
      <c r="O248" s="4"/>
      <c r="P248" s="4"/>
      <c r="Q248" s="4"/>
      <c r="R248" s="77"/>
      <c r="V248" s="176"/>
      <c r="W248" s="176"/>
      <c r="X248" s="197" t="str">
        <f t="shared" ref="X248:AD248" si="443">IFERROR(INDIRECT("'Bloque "&amp;$AK$41&amp;" Semana "&amp;$AK$40&amp;"'"&amp;"!"&amp;X$243&amp;$AE248),"")</f>
        <v/>
      </c>
      <c r="Y248" s="197" t="str">
        <f t="shared" si="443"/>
        <v/>
      </c>
      <c r="Z248" s="197" t="str">
        <f t="shared" si="443"/>
        <v/>
      </c>
      <c r="AA248" s="197" t="str">
        <f t="shared" si="443"/>
        <v/>
      </c>
      <c r="AB248" s="197" t="str">
        <f t="shared" si="443"/>
        <v/>
      </c>
      <c r="AC248" s="197" t="str">
        <f t="shared" si="443"/>
        <v/>
      </c>
      <c r="AD248" s="197" t="str">
        <f t="shared" si="443"/>
        <v/>
      </c>
      <c r="AE248" s="191">
        <v>28.0</v>
      </c>
      <c r="AF248" s="197" t="str">
        <f t="shared" ref="AF248:AL248" si="444">IFERROR(INDIRECT("'Bloque "&amp;$AL$41&amp;" Semana "&amp;$AL$40&amp;"'"&amp;"!"&amp;AF$243&amp;$AM248),"")</f>
        <v/>
      </c>
      <c r="AG248" s="197" t="str">
        <f t="shared" si="444"/>
        <v/>
      </c>
      <c r="AH248" s="197" t="str">
        <f t="shared" si="444"/>
        <v/>
      </c>
      <c r="AI248" s="197" t="str">
        <f t="shared" si="444"/>
        <v/>
      </c>
      <c r="AJ248" s="197" t="str">
        <f t="shared" si="444"/>
        <v/>
      </c>
      <c r="AK248" s="197" t="str">
        <f t="shared" si="444"/>
        <v/>
      </c>
      <c r="AL248" s="197" t="str">
        <f t="shared" si="444"/>
        <v/>
      </c>
      <c r="AM248" s="191">
        <v>28.0</v>
      </c>
      <c r="AN248" s="197" t="str">
        <f t="shared" ref="AN248:AT248" si="445">IFERROR(INDIRECT("'Bloque "&amp;$AM$41&amp;" Semana "&amp;$AM$40&amp;"'"&amp;"!"&amp;AN$243&amp;$AU248),"")</f>
        <v/>
      </c>
      <c r="AO248" s="197" t="str">
        <f t="shared" si="445"/>
        <v/>
      </c>
      <c r="AP248" s="197" t="str">
        <f t="shared" si="445"/>
        <v/>
      </c>
      <c r="AQ248" s="197" t="str">
        <f t="shared" si="445"/>
        <v/>
      </c>
      <c r="AR248" s="197" t="str">
        <f t="shared" si="445"/>
        <v/>
      </c>
      <c r="AS248" s="197" t="str">
        <f t="shared" si="445"/>
        <v/>
      </c>
      <c r="AT248" s="197" t="str">
        <f t="shared" si="445"/>
        <v/>
      </c>
      <c r="AU248" s="191">
        <v>28.0</v>
      </c>
    </row>
    <row r="249">
      <c r="A249" s="4"/>
      <c r="B249" s="4"/>
      <c r="C249" s="4"/>
      <c r="D249" s="122"/>
      <c r="E249" s="29"/>
      <c r="F249" s="29"/>
      <c r="G249" s="29"/>
      <c r="H249" s="29"/>
      <c r="I249" s="29"/>
      <c r="J249" s="29"/>
      <c r="K249" s="29"/>
      <c r="L249" s="29"/>
      <c r="M249" s="29"/>
      <c r="N249" s="29"/>
      <c r="O249" s="4"/>
      <c r="P249" s="4"/>
      <c r="Q249" s="4"/>
      <c r="R249" s="77"/>
      <c r="V249" s="176"/>
      <c r="W249" s="176"/>
      <c r="X249" s="197" t="str">
        <f t="shared" ref="X249:AD249" si="446">IFERROR(INDIRECT("'Bloque "&amp;$AK$41&amp;" Semana "&amp;$AK$40&amp;"'"&amp;"!"&amp;X$243&amp;$AE249),"")</f>
        <v/>
      </c>
      <c r="Y249" s="197" t="str">
        <f t="shared" si="446"/>
        <v/>
      </c>
      <c r="Z249" s="197" t="str">
        <f t="shared" si="446"/>
        <v/>
      </c>
      <c r="AA249" s="197" t="str">
        <f t="shared" si="446"/>
        <v/>
      </c>
      <c r="AB249" s="197" t="str">
        <f t="shared" si="446"/>
        <v/>
      </c>
      <c r="AC249" s="197" t="str">
        <f t="shared" si="446"/>
        <v/>
      </c>
      <c r="AD249" s="197" t="str">
        <f t="shared" si="446"/>
        <v/>
      </c>
      <c r="AE249" s="191">
        <v>29.0</v>
      </c>
      <c r="AF249" s="197" t="str">
        <f t="shared" ref="AF249:AL249" si="447">IFERROR(INDIRECT("'Bloque "&amp;$AL$41&amp;" Semana "&amp;$AL$40&amp;"'"&amp;"!"&amp;AF$243&amp;$AM249),"")</f>
        <v/>
      </c>
      <c r="AG249" s="197" t="str">
        <f t="shared" si="447"/>
        <v/>
      </c>
      <c r="AH249" s="197" t="str">
        <f t="shared" si="447"/>
        <v/>
      </c>
      <c r="AI249" s="197" t="str">
        <f t="shared" si="447"/>
        <v/>
      </c>
      <c r="AJ249" s="197" t="str">
        <f t="shared" si="447"/>
        <v/>
      </c>
      <c r="AK249" s="197" t="str">
        <f t="shared" si="447"/>
        <v/>
      </c>
      <c r="AL249" s="197" t="str">
        <f t="shared" si="447"/>
        <v/>
      </c>
      <c r="AM249" s="191">
        <v>29.0</v>
      </c>
      <c r="AN249" s="197" t="str">
        <f t="shared" ref="AN249:AT249" si="448">IFERROR(INDIRECT("'Bloque "&amp;$AM$41&amp;" Semana "&amp;$AM$40&amp;"'"&amp;"!"&amp;AN$243&amp;$AU249),"")</f>
        <v/>
      </c>
      <c r="AO249" s="197" t="str">
        <f t="shared" si="448"/>
        <v/>
      </c>
      <c r="AP249" s="197" t="str">
        <f t="shared" si="448"/>
        <v/>
      </c>
      <c r="AQ249" s="197" t="str">
        <f t="shared" si="448"/>
        <v/>
      </c>
      <c r="AR249" s="197" t="str">
        <f t="shared" si="448"/>
        <v/>
      </c>
      <c r="AS249" s="197" t="str">
        <f t="shared" si="448"/>
        <v/>
      </c>
      <c r="AT249" s="197" t="str">
        <f t="shared" si="448"/>
        <v/>
      </c>
      <c r="AU249" s="191">
        <v>29.0</v>
      </c>
    </row>
    <row r="250">
      <c r="A250" s="4"/>
      <c r="B250" s="4"/>
      <c r="C250" s="4"/>
      <c r="D250" s="122"/>
      <c r="E250" s="29"/>
      <c r="F250" s="29"/>
      <c r="G250" s="29"/>
      <c r="H250" s="29"/>
      <c r="I250" s="29"/>
      <c r="J250" s="29"/>
      <c r="K250" s="29"/>
      <c r="L250" s="29"/>
      <c r="M250" s="29"/>
      <c r="N250" s="29"/>
      <c r="O250" s="4"/>
      <c r="P250" s="4"/>
      <c r="Q250" s="4"/>
      <c r="R250" s="77"/>
      <c r="V250" s="176"/>
      <c r="W250" s="176"/>
      <c r="X250" s="197" t="str">
        <f t="shared" ref="X250:AD250" si="449">IFERROR(INDIRECT("'Bloque "&amp;$AK$41&amp;" Semana "&amp;$AK$40&amp;"'"&amp;"!"&amp;X$243&amp;$AE250),"")</f>
        <v/>
      </c>
      <c r="Y250" s="197" t="str">
        <f t="shared" si="449"/>
        <v/>
      </c>
      <c r="Z250" s="197" t="str">
        <f t="shared" si="449"/>
        <v/>
      </c>
      <c r="AA250" s="197" t="str">
        <f t="shared" si="449"/>
        <v/>
      </c>
      <c r="AB250" s="197" t="str">
        <f t="shared" si="449"/>
        <v/>
      </c>
      <c r="AC250" s="197" t="str">
        <f t="shared" si="449"/>
        <v/>
      </c>
      <c r="AD250" s="197" t="str">
        <f t="shared" si="449"/>
        <v/>
      </c>
      <c r="AE250" s="191">
        <v>30.0</v>
      </c>
      <c r="AF250" s="197" t="str">
        <f t="shared" ref="AF250:AL250" si="450">IFERROR(INDIRECT("'Bloque "&amp;$AL$41&amp;" Semana "&amp;$AL$40&amp;"'"&amp;"!"&amp;AF$243&amp;$AM250),"")</f>
        <v/>
      </c>
      <c r="AG250" s="197" t="str">
        <f t="shared" si="450"/>
        <v/>
      </c>
      <c r="AH250" s="197" t="str">
        <f t="shared" si="450"/>
        <v/>
      </c>
      <c r="AI250" s="197" t="str">
        <f t="shared" si="450"/>
        <v/>
      </c>
      <c r="AJ250" s="197" t="str">
        <f t="shared" si="450"/>
        <v/>
      </c>
      <c r="AK250" s="197" t="str">
        <f t="shared" si="450"/>
        <v/>
      </c>
      <c r="AL250" s="197" t="str">
        <f t="shared" si="450"/>
        <v/>
      </c>
      <c r="AM250" s="191">
        <v>30.0</v>
      </c>
      <c r="AN250" s="197" t="str">
        <f t="shared" ref="AN250:AT250" si="451">IFERROR(INDIRECT("'Bloque "&amp;$AM$41&amp;" Semana "&amp;$AM$40&amp;"'"&amp;"!"&amp;AN$243&amp;$AU250),"")</f>
        <v/>
      </c>
      <c r="AO250" s="197" t="str">
        <f t="shared" si="451"/>
        <v/>
      </c>
      <c r="AP250" s="197" t="str">
        <f t="shared" si="451"/>
        <v/>
      </c>
      <c r="AQ250" s="197" t="str">
        <f t="shared" si="451"/>
        <v/>
      </c>
      <c r="AR250" s="197" t="str">
        <f t="shared" si="451"/>
        <v/>
      </c>
      <c r="AS250" s="197" t="str">
        <f t="shared" si="451"/>
        <v/>
      </c>
      <c r="AT250" s="197" t="str">
        <f t="shared" si="451"/>
        <v/>
      </c>
      <c r="AU250" s="191">
        <v>30.0</v>
      </c>
    </row>
    <row r="251">
      <c r="A251" s="4"/>
      <c r="B251" s="4"/>
      <c r="C251" s="4"/>
      <c r="D251" s="122"/>
      <c r="E251" s="29"/>
      <c r="F251" s="29"/>
      <c r="G251" s="29"/>
      <c r="H251" s="29"/>
      <c r="I251" s="29"/>
      <c r="J251" s="29"/>
      <c r="K251" s="29"/>
      <c r="L251" s="29"/>
      <c r="M251" s="29"/>
      <c r="N251" s="29"/>
      <c r="O251" s="4"/>
      <c r="P251" s="4"/>
      <c r="Q251" s="4"/>
      <c r="R251" s="77"/>
      <c r="V251" s="176"/>
      <c r="W251" s="176"/>
      <c r="X251" s="197" t="str">
        <f t="shared" ref="X251:AD251" si="452">IFERROR(INDIRECT("'Bloque "&amp;$AK$41&amp;" Semana "&amp;$AK$40&amp;"'"&amp;"!"&amp;X$243&amp;$AE251),"")</f>
        <v/>
      </c>
      <c r="Y251" s="197" t="str">
        <f t="shared" si="452"/>
        <v/>
      </c>
      <c r="Z251" s="197" t="str">
        <f t="shared" si="452"/>
        <v/>
      </c>
      <c r="AA251" s="197" t="str">
        <f t="shared" si="452"/>
        <v/>
      </c>
      <c r="AB251" s="197" t="str">
        <f t="shared" si="452"/>
        <v/>
      </c>
      <c r="AC251" s="197" t="str">
        <f t="shared" si="452"/>
        <v/>
      </c>
      <c r="AD251" s="197" t="str">
        <f t="shared" si="452"/>
        <v/>
      </c>
      <c r="AE251" s="191">
        <v>31.0</v>
      </c>
      <c r="AF251" s="197" t="str">
        <f t="shared" ref="AF251:AL251" si="453">IFERROR(INDIRECT("'Bloque "&amp;$AL$41&amp;" Semana "&amp;$AL$40&amp;"'"&amp;"!"&amp;AF$243&amp;$AM251),"")</f>
        <v/>
      </c>
      <c r="AG251" s="197" t="str">
        <f t="shared" si="453"/>
        <v/>
      </c>
      <c r="AH251" s="197" t="str">
        <f t="shared" si="453"/>
        <v/>
      </c>
      <c r="AI251" s="197" t="str">
        <f t="shared" si="453"/>
        <v/>
      </c>
      <c r="AJ251" s="197" t="str">
        <f t="shared" si="453"/>
        <v/>
      </c>
      <c r="AK251" s="197" t="str">
        <f t="shared" si="453"/>
        <v/>
      </c>
      <c r="AL251" s="197" t="str">
        <f t="shared" si="453"/>
        <v/>
      </c>
      <c r="AM251" s="191">
        <v>31.0</v>
      </c>
      <c r="AN251" s="197" t="str">
        <f t="shared" ref="AN251:AT251" si="454">IFERROR(INDIRECT("'Bloque "&amp;$AM$41&amp;" Semana "&amp;$AM$40&amp;"'"&amp;"!"&amp;AN$243&amp;$AU251),"")</f>
        <v/>
      </c>
      <c r="AO251" s="197" t="str">
        <f t="shared" si="454"/>
        <v/>
      </c>
      <c r="AP251" s="197" t="str">
        <f t="shared" si="454"/>
        <v/>
      </c>
      <c r="AQ251" s="197" t="str">
        <f t="shared" si="454"/>
        <v/>
      </c>
      <c r="AR251" s="197" t="str">
        <f t="shared" si="454"/>
        <v/>
      </c>
      <c r="AS251" s="197" t="str">
        <f t="shared" si="454"/>
        <v/>
      </c>
      <c r="AT251" s="197" t="str">
        <f t="shared" si="454"/>
        <v/>
      </c>
      <c r="AU251" s="191">
        <v>31.0</v>
      </c>
    </row>
    <row r="252">
      <c r="A252" s="4"/>
      <c r="B252" s="4"/>
      <c r="C252" s="4"/>
      <c r="D252" s="122"/>
      <c r="E252" s="29"/>
      <c r="F252" s="29"/>
      <c r="G252" s="29"/>
      <c r="H252" s="29"/>
      <c r="I252" s="29"/>
      <c r="J252" s="29"/>
      <c r="K252" s="29"/>
      <c r="L252" s="29"/>
      <c r="M252" s="29"/>
      <c r="N252" s="29"/>
      <c r="O252" s="4"/>
      <c r="P252" s="4"/>
      <c r="Q252" s="4"/>
      <c r="R252" s="77"/>
      <c r="V252" s="176"/>
      <c r="W252" s="176"/>
      <c r="X252" s="197" t="str">
        <f t="shared" ref="X252:AD252" si="455">IFERROR(INDIRECT("'Bloque "&amp;$AK$41&amp;" Semana "&amp;$AK$40&amp;"'"&amp;"!"&amp;X$243&amp;$AE252),"")</f>
        <v/>
      </c>
      <c r="Y252" s="197" t="str">
        <f t="shared" si="455"/>
        <v/>
      </c>
      <c r="Z252" s="197" t="str">
        <f t="shared" si="455"/>
        <v/>
      </c>
      <c r="AA252" s="197" t="str">
        <f t="shared" si="455"/>
        <v/>
      </c>
      <c r="AB252" s="197" t="str">
        <f t="shared" si="455"/>
        <v/>
      </c>
      <c r="AC252" s="197" t="str">
        <f t="shared" si="455"/>
        <v/>
      </c>
      <c r="AD252" s="197" t="str">
        <f t="shared" si="455"/>
        <v/>
      </c>
      <c r="AE252" s="191">
        <v>32.0</v>
      </c>
      <c r="AF252" s="197" t="str">
        <f t="shared" ref="AF252:AL252" si="456">IFERROR(INDIRECT("'Bloque "&amp;$AL$41&amp;" Semana "&amp;$AL$40&amp;"'"&amp;"!"&amp;AF$243&amp;$AM252),"")</f>
        <v/>
      </c>
      <c r="AG252" s="197" t="str">
        <f t="shared" si="456"/>
        <v/>
      </c>
      <c r="AH252" s="197" t="str">
        <f t="shared" si="456"/>
        <v/>
      </c>
      <c r="AI252" s="197" t="str">
        <f t="shared" si="456"/>
        <v/>
      </c>
      <c r="AJ252" s="197" t="str">
        <f t="shared" si="456"/>
        <v/>
      </c>
      <c r="AK252" s="197" t="str">
        <f t="shared" si="456"/>
        <v/>
      </c>
      <c r="AL252" s="197" t="str">
        <f t="shared" si="456"/>
        <v/>
      </c>
      <c r="AM252" s="191">
        <v>32.0</v>
      </c>
      <c r="AN252" s="197" t="str">
        <f t="shared" ref="AN252:AT252" si="457">IFERROR(INDIRECT("'Bloque "&amp;$AM$41&amp;" Semana "&amp;$AM$40&amp;"'"&amp;"!"&amp;AN$243&amp;$AU252),"")</f>
        <v/>
      </c>
      <c r="AO252" s="197" t="str">
        <f t="shared" si="457"/>
        <v/>
      </c>
      <c r="AP252" s="197" t="str">
        <f t="shared" si="457"/>
        <v/>
      </c>
      <c r="AQ252" s="197" t="str">
        <f t="shared" si="457"/>
        <v/>
      </c>
      <c r="AR252" s="197" t="str">
        <f t="shared" si="457"/>
        <v/>
      </c>
      <c r="AS252" s="197" t="str">
        <f t="shared" si="457"/>
        <v/>
      </c>
      <c r="AT252" s="197" t="str">
        <f t="shared" si="457"/>
        <v/>
      </c>
      <c r="AU252" s="191">
        <v>32.0</v>
      </c>
    </row>
    <row r="253">
      <c r="A253" s="4"/>
      <c r="B253" s="4"/>
      <c r="C253" s="4"/>
      <c r="D253" s="122"/>
      <c r="E253" s="29"/>
      <c r="F253" s="29"/>
      <c r="G253" s="29"/>
      <c r="H253" s="29"/>
      <c r="I253" s="29"/>
      <c r="J253" s="29"/>
      <c r="K253" s="29"/>
      <c r="L253" s="29"/>
      <c r="M253" s="29"/>
      <c r="N253" s="29"/>
      <c r="O253" s="4"/>
      <c r="P253" s="4"/>
      <c r="Q253" s="4"/>
      <c r="R253" s="77"/>
      <c r="V253" s="176"/>
      <c r="W253" s="176"/>
      <c r="X253" s="197" t="str">
        <f t="shared" ref="X253:AD253" si="458">IFERROR(INDIRECT("'Bloque "&amp;$AK$41&amp;" Semana "&amp;$AK$40&amp;"'"&amp;"!"&amp;X$243&amp;$AE253),"")</f>
        <v/>
      </c>
      <c r="Y253" s="197" t="str">
        <f t="shared" si="458"/>
        <v/>
      </c>
      <c r="Z253" s="197" t="str">
        <f t="shared" si="458"/>
        <v/>
      </c>
      <c r="AA253" s="197" t="str">
        <f t="shared" si="458"/>
        <v/>
      </c>
      <c r="AB253" s="197" t="str">
        <f t="shared" si="458"/>
        <v/>
      </c>
      <c r="AC253" s="197" t="str">
        <f t="shared" si="458"/>
        <v/>
      </c>
      <c r="AD253" s="197" t="str">
        <f t="shared" si="458"/>
        <v/>
      </c>
      <c r="AE253" s="191">
        <v>33.0</v>
      </c>
      <c r="AF253" s="197" t="str">
        <f t="shared" ref="AF253:AL253" si="459">IFERROR(INDIRECT("'Bloque "&amp;$AL$41&amp;" Semana "&amp;$AL$40&amp;"'"&amp;"!"&amp;AF$243&amp;$AM253),"")</f>
        <v/>
      </c>
      <c r="AG253" s="197" t="str">
        <f t="shared" si="459"/>
        <v/>
      </c>
      <c r="AH253" s="197" t="str">
        <f t="shared" si="459"/>
        <v/>
      </c>
      <c r="AI253" s="197" t="str">
        <f t="shared" si="459"/>
        <v/>
      </c>
      <c r="AJ253" s="197" t="str">
        <f t="shared" si="459"/>
        <v/>
      </c>
      <c r="AK253" s="197" t="str">
        <f t="shared" si="459"/>
        <v/>
      </c>
      <c r="AL253" s="197" t="str">
        <f t="shared" si="459"/>
        <v/>
      </c>
      <c r="AM253" s="191">
        <v>33.0</v>
      </c>
      <c r="AN253" s="197" t="str">
        <f t="shared" ref="AN253:AT253" si="460">IFERROR(INDIRECT("'Bloque "&amp;$AM$41&amp;" Semana "&amp;$AM$40&amp;"'"&amp;"!"&amp;AN$243&amp;$AU253),"")</f>
        <v/>
      </c>
      <c r="AO253" s="197" t="str">
        <f t="shared" si="460"/>
        <v/>
      </c>
      <c r="AP253" s="197" t="str">
        <f t="shared" si="460"/>
        <v/>
      </c>
      <c r="AQ253" s="197" t="str">
        <f t="shared" si="460"/>
        <v/>
      </c>
      <c r="AR253" s="197" t="str">
        <f t="shared" si="460"/>
        <v/>
      </c>
      <c r="AS253" s="197" t="str">
        <f t="shared" si="460"/>
        <v/>
      </c>
      <c r="AT253" s="197" t="str">
        <f t="shared" si="460"/>
        <v/>
      </c>
      <c r="AU253" s="191">
        <v>33.0</v>
      </c>
    </row>
    <row r="254">
      <c r="A254" s="4"/>
      <c r="B254" s="4"/>
      <c r="C254" s="4"/>
      <c r="D254" s="122"/>
      <c r="E254" s="29"/>
      <c r="F254" s="29"/>
      <c r="G254" s="29"/>
      <c r="H254" s="29"/>
      <c r="I254" s="29"/>
      <c r="J254" s="29"/>
      <c r="K254" s="29"/>
      <c r="L254" s="29"/>
      <c r="M254" s="29"/>
      <c r="N254" s="29"/>
      <c r="O254" s="4"/>
      <c r="P254" s="4"/>
      <c r="Q254" s="4"/>
      <c r="R254" s="77"/>
      <c r="V254" s="176"/>
      <c r="W254" s="176"/>
      <c r="X254" s="197" t="str">
        <f t="shared" ref="X254:AD254" si="461">IFERROR(INDIRECT("'Bloque "&amp;$AK$41&amp;" Semana "&amp;$AK$40&amp;"'"&amp;"!"&amp;X$243&amp;$AE254),"")</f>
        <v/>
      </c>
      <c r="Y254" s="197" t="str">
        <f t="shared" si="461"/>
        <v/>
      </c>
      <c r="Z254" s="197" t="str">
        <f t="shared" si="461"/>
        <v/>
      </c>
      <c r="AA254" s="197" t="str">
        <f t="shared" si="461"/>
        <v/>
      </c>
      <c r="AB254" s="197" t="str">
        <f t="shared" si="461"/>
        <v/>
      </c>
      <c r="AC254" s="197" t="str">
        <f t="shared" si="461"/>
        <v/>
      </c>
      <c r="AD254" s="197" t="str">
        <f t="shared" si="461"/>
        <v/>
      </c>
      <c r="AE254" s="191">
        <v>34.0</v>
      </c>
      <c r="AF254" s="197" t="str">
        <f t="shared" ref="AF254:AL254" si="462">IFERROR(INDIRECT("'Bloque "&amp;$AL$41&amp;" Semana "&amp;$AL$40&amp;"'"&amp;"!"&amp;AF$243&amp;$AM254),"")</f>
        <v/>
      </c>
      <c r="AG254" s="197" t="str">
        <f t="shared" si="462"/>
        <v/>
      </c>
      <c r="AH254" s="197" t="str">
        <f t="shared" si="462"/>
        <v/>
      </c>
      <c r="AI254" s="197" t="str">
        <f t="shared" si="462"/>
        <v/>
      </c>
      <c r="AJ254" s="197" t="str">
        <f t="shared" si="462"/>
        <v/>
      </c>
      <c r="AK254" s="197" t="str">
        <f t="shared" si="462"/>
        <v/>
      </c>
      <c r="AL254" s="197" t="str">
        <f t="shared" si="462"/>
        <v/>
      </c>
      <c r="AM254" s="191">
        <v>34.0</v>
      </c>
      <c r="AN254" s="197" t="str">
        <f t="shared" ref="AN254:AT254" si="463">IFERROR(INDIRECT("'Bloque "&amp;$AM$41&amp;" Semana "&amp;$AM$40&amp;"'"&amp;"!"&amp;AN$243&amp;$AU254),"")</f>
        <v/>
      </c>
      <c r="AO254" s="197" t="str">
        <f t="shared" si="463"/>
        <v/>
      </c>
      <c r="AP254" s="197" t="str">
        <f t="shared" si="463"/>
        <v/>
      </c>
      <c r="AQ254" s="197" t="str">
        <f t="shared" si="463"/>
        <v/>
      </c>
      <c r="AR254" s="197" t="str">
        <f t="shared" si="463"/>
        <v/>
      </c>
      <c r="AS254" s="197" t="str">
        <f t="shared" si="463"/>
        <v/>
      </c>
      <c r="AT254" s="197" t="str">
        <f t="shared" si="463"/>
        <v/>
      </c>
      <c r="AU254" s="191">
        <v>34.0</v>
      </c>
    </row>
    <row r="255">
      <c r="A255" s="4"/>
      <c r="B255" s="4"/>
      <c r="C255" s="4"/>
      <c r="D255" s="122"/>
      <c r="E255" s="29"/>
      <c r="F255" s="29"/>
      <c r="G255" s="29"/>
      <c r="H255" s="29"/>
      <c r="I255" s="29"/>
      <c r="J255" s="29"/>
      <c r="K255" s="29"/>
      <c r="L255" s="29"/>
      <c r="M255" s="29"/>
      <c r="N255" s="29"/>
      <c r="O255" s="4"/>
      <c r="P255" s="4"/>
      <c r="Q255" s="4"/>
      <c r="R255" s="77"/>
      <c r="V255" s="176"/>
      <c r="W255" s="176"/>
      <c r="X255" s="197" t="str">
        <f t="shared" ref="X255:AD255" si="464">IFERROR(INDIRECT("'Bloque "&amp;$AK$41&amp;" Semana "&amp;$AK$40&amp;"'"&amp;"!"&amp;X$243&amp;$AE255),"")</f>
        <v/>
      </c>
      <c r="Y255" s="197" t="str">
        <f t="shared" si="464"/>
        <v/>
      </c>
      <c r="Z255" s="197" t="str">
        <f t="shared" si="464"/>
        <v/>
      </c>
      <c r="AA255" s="197" t="str">
        <f t="shared" si="464"/>
        <v/>
      </c>
      <c r="AB255" s="197" t="str">
        <f t="shared" si="464"/>
        <v/>
      </c>
      <c r="AC255" s="197" t="str">
        <f t="shared" si="464"/>
        <v/>
      </c>
      <c r="AD255" s="197" t="str">
        <f t="shared" si="464"/>
        <v/>
      </c>
      <c r="AE255" s="191">
        <v>35.0</v>
      </c>
      <c r="AF255" s="197" t="str">
        <f t="shared" ref="AF255:AL255" si="465">IFERROR(INDIRECT("'Bloque "&amp;$AL$41&amp;" Semana "&amp;$AL$40&amp;"'"&amp;"!"&amp;AF$243&amp;$AM255),"")</f>
        <v/>
      </c>
      <c r="AG255" s="197" t="str">
        <f t="shared" si="465"/>
        <v/>
      </c>
      <c r="AH255" s="197" t="str">
        <f t="shared" si="465"/>
        <v/>
      </c>
      <c r="AI255" s="197" t="str">
        <f t="shared" si="465"/>
        <v/>
      </c>
      <c r="AJ255" s="197" t="str">
        <f t="shared" si="465"/>
        <v/>
      </c>
      <c r="AK255" s="197" t="str">
        <f t="shared" si="465"/>
        <v/>
      </c>
      <c r="AL255" s="197" t="str">
        <f t="shared" si="465"/>
        <v/>
      </c>
      <c r="AM255" s="191">
        <v>35.0</v>
      </c>
      <c r="AN255" s="197" t="str">
        <f t="shared" ref="AN255:AT255" si="466">IFERROR(INDIRECT("'Bloque "&amp;$AM$41&amp;" Semana "&amp;$AM$40&amp;"'"&amp;"!"&amp;AN$243&amp;$AU255),"")</f>
        <v/>
      </c>
      <c r="AO255" s="197" t="str">
        <f t="shared" si="466"/>
        <v/>
      </c>
      <c r="AP255" s="197" t="str">
        <f t="shared" si="466"/>
        <v/>
      </c>
      <c r="AQ255" s="197" t="str">
        <f t="shared" si="466"/>
        <v/>
      </c>
      <c r="AR255" s="197" t="str">
        <f t="shared" si="466"/>
        <v/>
      </c>
      <c r="AS255" s="197" t="str">
        <f t="shared" si="466"/>
        <v/>
      </c>
      <c r="AT255" s="197" t="str">
        <f t="shared" si="466"/>
        <v/>
      </c>
      <c r="AU255" s="191">
        <v>35.0</v>
      </c>
    </row>
    <row r="256">
      <c r="A256" s="4"/>
      <c r="B256" s="4"/>
      <c r="C256" s="4"/>
      <c r="D256" s="122"/>
      <c r="E256" s="29"/>
      <c r="F256" s="29"/>
      <c r="G256" s="29"/>
      <c r="H256" s="29"/>
      <c r="I256" s="29"/>
      <c r="J256" s="29"/>
      <c r="K256" s="29"/>
      <c r="L256" s="29"/>
      <c r="M256" s="29"/>
      <c r="N256" s="29"/>
      <c r="O256" s="4"/>
      <c r="P256" s="4"/>
      <c r="Q256" s="4"/>
      <c r="R256" s="77"/>
      <c r="V256" s="176"/>
      <c r="W256" s="176"/>
      <c r="X256" s="176"/>
      <c r="Y256" s="176"/>
      <c r="Z256" s="176"/>
      <c r="AA256" s="176"/>
      <c r="AB256" s="176"/>
      <c r="AC256" s="176"/>
      <c r="AD256" s="176"/>
      <c r="AE256" s="192"/>
      <c r="AF256" s="176"/>
      <c r="AG256" s="176"/>
      <c r="AH256" s="176"/>
      <c r="AI256" s="176"/>
      <c r="AJ256" s="176"/>
      <c r="AK256" s="176"/>
      <c r="AL256" s="176"/>
      <c r="AM256" s="192"/>
      <c r="AN256" s="176"/>
      <c r="AO256" s="176"/>
      <c r="AP256" s="176"/>
      <c r="AQ256" s="176"/>
      <c r="AR256" s="176"/>
      <c r="AU256" s="187"/>
    </row>
    <row r="257">
      <c r="A257" s="193"/>
      <c r="B257" s="193"/>
      <c r="C257" s="193"/>
      <c r="D257" s="194"/>
      <c r="E257" s="195"/>
      <c r="F257" s="195"/>
      <c r="G257" s="195"/>
      <c r="H257" s="195"/>
      <c r="I257" s="195"/>
      <c r="J257" s="195"/>
      <c r="K257" s="195"/>
      <c r="L257" s="195"/>
      <c r="M257" s="195"/>
      <c r="N257" s="195"/>
      <c r="O257" s="193"/>
      <c r="P257" s="193"/>
      <c r="Q257" s="193"/>
      <c r="R257" s="196"/>
      <c r="S257" s="187"/>
      <c r="T257" s="187"/>
      <c r="U257" s="187"/>
      <c r="V257" s="192"/>
      <c r="W257" s="192"/>
      <c r="X257" s="186" t="s">
        <v>202</v>
      </c>
      <c r="Y257" s="186" t="s">
        <v>203</v>
      </c>
      <c r="Z257" s="186" t="s">
        <v>209</v>
      </c>
      <c r="AA257" s="186" t="s">
        <v>205</v>
      </c>
      <c r="AB257" s="186" t="s">
        <v>206</v>
      </c>
      <c r="AC257" s="186" t="s">
        <v>207</v>
      </c>
      <c r="AD257" s="186" t="s">
        <v>208</v>
      </c>
      <c r="AE257" s="187"/>
      <c r="AF257" s="186" t="s">
        <v>202</v>
      </c>
      <c r="AG257" s="186" t="s">
        <v>203</v>
      </c>
      <c r="AH257" s="186" t="s">
        <v>209</v>
      </c>
      <c r="AI257" s="186" t="s">
        <v>205</v>
      </c>
      <c r="AJ257" s="186" t="s">
        <v>206</v>
      </c>
      <c r="AK257" s="186" t="s">
        <v>207</v>
      </c>
      <c r="AL257" s="186" t="s">
        <v>208</v>
      </c>
      <c r="AM257" s="187"/>
      <c r="AN257" s="186" t="s">
        <v>202</v>
      </c>
      <c r="AO257" s="186" t="s">
        <v>203</v>
      </c>
      <c r="AP257" s="186" t="s">
        <v>209</v>
      </c>
      <c r="AQ257" s="186" t="s">
        <v>205</v>
      </c>
      <c r="AR257" s="186" t="s">
        <v>206</v>
      </c>
      <c r="AS257" s="186" t="s">
        <v>207</v>
      </c>
      <c r="AT257" s="186" t="s">
        <v>208</v>
      </c>
      <c r="AU257" s="187"/>
      <c r="AV257" s="187"/>
      <c r="AW257" s="187"/>
      <c r="AX257" s="187"/>
      <c r="AY257" s="187"/>
      <c r="AZ257" s="187"/>
      <c r="BA257" s="187"/>
      <c r="BB257" s="187"/>
      <c r="BC257" s="187"/>
      <c r="BD257" s="187"/>
      <c r="BE257" s="187"/>
      <c r="BF257" s="187"/>
      <c r="BG257" s="187"/>
      <c r="BH257" s="187"/>
      <c r="BI257" s="187"/>
      <c r="BJ257" s="187"/>
      <c r="BK257" s="187"/>
      <c r="BL257" s="187"/>
      <c r="BM257" s="187"/>
      <c r="BN257" s="187"/>
      <c r="BO257" s="187"/>
      <c r="BP257" s="187"/>
      <c r="BQ257" s="187"/>
      <c r="BR257" s="187"/>
      <c r="BS257" s="187"/>
      <c r="BT257" s="187"/>
      <c r="BU257" s="187"/>
      <c r="BV257" s="187"/>
      <c r="BW257" s="187"/>
      <c r="BX257" s="187"/>
      <c r="BY257" s="187"/>
      <c r="BZ257" s="187"/>
      <c r="CA257" s="187"/>
      <c r="CB257" s="187"/>
      <c r="CC257" s="187"/>
      <c r="CD257" s="187"/>
      <c r="CE257" s="187"/>
      <c r="CF257" s="187"/>
      <c r="CG257" s="187"/>
      <c r="CH257" s="187"/>
      <c r="CI257" s="187"/>
      <c r="CJ257" s="187"/>
      <c r="CK257" s="187"/>
      <c r="CL257" s="187"/>
      <c r="CM257" s="187"/>
      <c r="CN257" s="187"/>
      <c r="CO257" s="187"/>
      <c r="CP257" s="187"/>
      <c r="CQ257" s="187"/>
      <c r="CR257" s="187"/>
      <c r="CS257" s="187"/>
      <c r="CT257" s="187"/>
      <c r="CU257" s="187"/>
      <c r="CV257" s="187"/>
      <c r="CW257" s="187"/>
      <c r="CX257" s="187"/>
      <c r="CY257" s="187"/>
      <c r="CZ257" s="187"/>
      <c r="DA257" s="187"/>
      <c r="DB257" s="187"/>
      <c r="DC257" s="187"/>
      <c r="DD257" s="187"/>
      <c r="DE257" s="187"/>
      <c r="DF257" s="187"/>
      <c r="DG257" s="187"/>
      <c r="DH257" s="187"/>
      <c r="DI257" s="187"/>
      <c r="DJ257" s="187"/>
      <c r="DK257" s="187"/>
      <c r="DL257" s="187"/>
      <c r="DM257" s="187"/>
      <c r="DN257" s="187"/>
      <c r="DO257" s="187"/>
      <c r="DP257" s="187"/>
      <c r="DQ257" s="187"/>
      <c r="DR257" s="187"/>
      <c r="DS257" s="187"/>
      <c r="DT257" s="187"/>
      <c r="DU257" s="187"/>
      <c r="DV257" s="187"/>
      <c r="DW257" s="187"/>
      <c r="DX257" s="187"/>
      <c r="DY257" s="187"/>
      <c r="DZ257" s="187"/>
      <c r="EA257" s="187"/>
      <c r="EB257" s="187"/>
      <c r="EC257" s="187"/>
      <c r="ED257" s="187"/>
      <c r="EE257" s="187"/>
      <c r="EF257" s="187"/>
      <c r="EG257" s="187"/>
      <c r="EH257" s="187"/>
      <c r="EI257" s="187"/>
      <c r="EJ257" s="187"/>
    </row>
    <row r="258">
      <c r="A258" s="4"/>
      <c r="B258" s="4"/>
      <c r="C258" s="4"/>
      <c r="D258" s="122"/>
      <c r="E258" s="29"/>
      <c r="F258" s="29"/>
      <c r="G258" s="29"/>
      <c r="H258" s="29"/>
      <c r="I258" s="29"/>
      <c r="J258" s="29"/>
      <c r="K258" s="29"/>
      <c r="L258" s="29"/>
      <c r="M258" s="29"/>
      <c r="N258" s="29"/>
      <c r="O258" s="4"/>
      <c r="P258" s="4"/>
      <c r="Q258" s="4"/>
      <c r="R258" s="77"/>
      <c r="V258" s="176"/>
      <c r="W258" s="176"/>
      <c r="X258" s="188" t="str">
        <f t="array" ref="X258">IFERROR(INDIRECT("'Bloque "&amp;$AN$41&amp;" Semana "&amp;$AN$40&amp;"'"&amp;"!"&amp;"E37"),"")</f>
        <v/>
      </c>
      <c r="AE258" s="186">
        <v>26.0</v>
      </c>
      <c r="AF258" s="188" t="str">
        <f t="array" ref="AF258">IFERROR(INDIRECT("'Bloque "&amp;$AO$41&amp;" Semana "&amp;$AO$40&amp;"'"&amp;"!"&amp;"E37"),"")</f>
        <v/>
      </c>
      <c r="AM258" s="186">
        <v>26.0</v>
      </c>
      <c r="AN258" s="188" t="str">
        <f t="array" ref="AN258">IFERROR(INDIRECT("'Bloque "&amp;$AP$41&amp;" Semana "&amp;$AP$40&amp;"'"&amp;"!"&amp;"E37"),"")</f>
        <v/>
      </c>
      <c r="AU258" s="186">
        <v>26.0</v>
      </c>
    </row>
    <row r="259">
      <c r="A259" s="4"/>
      <c r="B259" s="4"/>
      <c r="C259" s="4"/>
      <c r="D259" s="122"/>
      <c r="E259" s="29"/>
      <c r="F259" s="29"/>
      <c r="G259" s="29"/>
      <c r="H259" s="29"/>
      <c r="I259" s="29"/>
      <c r="J259" s="29"/>
      <c r="K259" s="29"/>
      <c r="L259" s="29"/>
      <c r="M259" s="29"/>
      <c r="N259" s="29"/>
      <c r="O259" s="4"/>
      <c r="P259" s="4"/>
      <c r="Q259" s="4"/>
      <c r="R259" s="77"/>
      <c r="V259" s="176"/>
      <c r="W259" s="176"/>
      <c r="X259" s="176" t="str">
        <f t="array" ref="X259">IFERROR(INDIRECT("'Bloque "&amp;$AN$41&amp;" Semana "&amp;$AN$40&amp;"'"&amp;"!"&amp;"E25"),"")</f>
        <v/>
      </c>
      <c r="AE259" s="186">
        <v>25.0</v>
      </c>
      <c r="AF259" s="176" t="str">
        <f t="array" ref="AF259">IFERROR(INDIRECT("'Bloque "&amp;$AO$41&amp;" Semana "&amp;$AO$40&amp;"'"&amp;"!"&amp;"E25"),"")</f>
        <v/>
      </c>
      <c r="AM259" s="186">
        <v>25.0</v>
      </c>
      <c r="AN259" s="176" t="str">
        <f t="array" ref="AN259">IFERROR(INDIRECT("'Bloque "&amp;$AP$41&amp;" Semana "&amp;$AP$40&amp;"'"&amp;"!"&amp;"E25"),"")</f>
        <v/>
      </c>
      <c r="AU259" s="186">
        <v>25.0</v>
      </c>
    </row>
    <row r="260">
      <c r="A260" s="4"/>
      <c r="B260" s="4"/>
      <c r="C260" s="4"/>
      <c r="D260" s="122"/>
      <c r="E260" s="29"/>
      <c r="F260" s="29"/>
      <c r="G260" s="29"/>
      <c r="H260" s="29"/>
      <c r="I260" s="29"/>
      <c r="J260" s="29"/>
      <c r="K260" s="29"/>
      <c r="L260" s="29"/>
      <c r="M260" s="29"/>
      <c r="N260" s="29"/>
      <c r="O260" s="4"/>
      <c r="P260" s="4"/>
      <c r="Q260" s="4"/>
      <c r="R260" s="77"/>
      <c r="V260" s="176"/>
      <c r="W260" s="176"/>
      <c r="X260" s="189" t="str">
        <f t="array" ref="X260">IFERROR(INDIRECT("'Bloque "&amp;$AN$41&amp;" Semana "&amp;$AN$40&amp;"'"&amp;"!"&amp;"E26"),"")</f>
        <v/>
      </c>
      <c r="AE260" s="186">
        <v>26.0</v>
      </c>
      <c r="AF260" s="189" t="str">
        <f t="array" ref="AF260">IFERROR(INDIRECT("'Bloque "&amp;$AO$41&amp;" Semana "&amp;$AO$40&amp;"'"&amp;"!"&amp;"E26"),"")</f>
        <v/>
      </c>
      <c r="AM260" s="186">
        <v>26.0</v>
      </c>
      <c r="AN260" s="189" t="str">
        <f t="array" ref="AN260">IFERROR(INDIRECT("'Bloque "&amp;$AP$41&amp;" Semana "&amp;$AP$40&amp;"'"&amp;"!"&amp;"E26"),"")</f>
        <v/>
      </c>
      <c r="AU260" s="186">
        <v>26.0</v>
      </c>
    </row>
    <row r="261">
      <c r="A261" s="4"/>
      <c r="B261" s="4"/>
      <c r="C261" s="4"/>
      <c r="D261" s="122"/>
      <c r="E261" s="29"/>
      <c r="F261" s="29"/>
      <c r="G261" s="29"/>
      <c r="H261" s="29"/>
      <c r="I261" s="29"/>
      <c r="J261" s="29"/>
      <c r="K261" s="29"/>
      <c r="L261" s="29"/>
      <c r="M261" s="29"/>
      <c r="N261" s="29"/>
      <c r="O261" s="4"/>
      <c r="P261" s="4"/>
      <c r="Q261" s="4"/>
      <c r="R261" s="77"/>
      <c r="V261" s="176"/>
      <c r="W261" s="176"/>
      <c r="X261" s="190" t="str">
        <f t="shared" ref="X261:AD261" si="467">IFERROR(INDIRECT("'Bloque "&amp;$AN$41&amp;" Semana "&amp;$AN$40&amp;"'"&amp;"!"&amp;X$257&amp;$AE261),"")</f>
        <v/>
      </c>
      <c r="Y261" s="190" t="str">
        <f t="shared" si="467"/>
        <v/>
      </c>
      <c r="Z261" s="190" t="str">
        <f t="shared" si="467"/>
        <v/>
      </c>
      <c r="AA261" s="190" t="str">
        <f t="shared" si="467"/>
        <v/>
      </c>
      <c r="AB261" s="190" t="str">
        <f t="shared" si="467"/>
        <v/>
      </c>
      <c r="AC261" s="190" t="str">
        <f t="shared" si="467"/>
        <v/>
      </c>
      <c r="AD261" s="190" t="str">
        <f t="shared" si="467"/>
        <v/>
      </c>
      <c r="AE261" s="191">
        <v>27.0</v>
      </c>
      <c r="AF261" s="190" t="str">
        <f t="shared" ref="AF261:AL261" si="468">IFERROR(INDIRECT("'Bloque "&amp;$AO$41&amp;" Semana "&amp;$AO$40&amp;"'"&amp;"!"&amp;AF$257&amp;$AM261),"")</f>
        <v/>
      </c>
      <c r="AG261" s="190" t="str">
        <f t="shared" si="468"/>
        <v/>
      </c>
      <c r="AH261" s="190" t="str">
        <f t="shared" si="468"/>
        <v/>
      </c>
      <c r="AI261" s="190" t="str">
        <f t="shared" si="468"/>
        <v/>
      </c>
      <c r="AJ261" s="190" t="str">
        <f t="shared" si="468"/>
        <v/>
      </c>
      <c r="AK261" s="190" t="str">
        <f t="shared" si="468"/>
        <v/>
      </c>
      <c r="AL261" s="190" t="str">
        <f t="shared" si="468"/>
        <v/>
      </c>
      <c r="AM261" s="191">
        <v>27.0</v>
      </c>
      <c r="AN261" s="190" t="str">
        <f t="shared" ref="AN261:AT261" si="469">IFERROR(INDIRECT("'Bloque "&amp;$AP$41&amp;" Semana "&amp;$AP$40&amp;"'"&amp;"!"&amp;AN$257&amp;$AU261),"")</f>
        <v/>
      </c>
      <c r="AO261" s="190" t="str">
        <f t="shared" si="469"/>
        <v/>
      </c>
      <c r="AP261" s="190" t="str">
        <f t="shared" si="469"/>
        <v/>
      </c>
      <c r="AQ261" s="190" t="str">
        <f t="shared" si="469"/>
        <v/>
      </c>
      <c r="AR261" s="190" t="str">
        <f t="shared" si="469"/>
        <v/>
      </c>
      <c r="AS261" s="190" t="str">
        <f t="shared" si="469"/>
        <v/>
      </c>
      <c r="AT261" s="190" t="str">
        <f t="shared" si="469"/>
        <v/>
      </c>
      <c r="AU261" s="191">
        <v>27.0</v>
      </c>
    </row>
    <row r="262">
      <c r="A262" s="4"/>
      <c r="B262" s="4"/>
      <c r="C262" s="4"/>
      <c r="D262" s="122"/>
      <c r="E262" s="29"/>
      <c r="F262" s="29"/>
      <c r="G262" s="29"/>
      <c r="H262" s="29"/>
      <c r="I262" s="29"/>
      <c r="J262" s="29"/>
      <c r="K262" s="29"/>
      <c r="L262" s="29"/>
      <c r="M262" s="29"/>
      <c r="N262" s="29"/>
      <c r="O262" s="4"/>
      <c r="P262" s="4"/>
      <c r="Q262" s="4"/>
      <c r="R262" s="77"/>
      <c r="V262" s="176"/>
      <c r="W262" s="176"/>
      <c r="X262" s="197" t="str">
        <f t="shared" ref="X262:AD262" si="470">IFERROR(INDIRECT("'Bloque "&amp;$AN$41&amp;" Semana "&amp;$AN$40&amp;"'"&amp;"!"&amp;X$257&amp;$AE262),"")</f>
        <v/>
      </c>
      <c r="Y262" s="197" t="str">
        <f t="shared" si="470"/>
        <v/>
      </c>
      <c r="Z262" s="197" t="str">
        <f t="shared" si="470"/>
        <v/>
      </c>
      <c r="AA262" s="197" t="str">
        <f t="shared" si="470"/>
        <v/>
      </c>
      <c r="AB262" s="197" t="str">
        <f t="shared" si="470"/>
        <v/>
      </c>
      <c r="AC262" s="197" t="str">
        <f t="shared" si="470"/>
        <v/>
      </c>
      <c r="AD262" s="197" t="str">
        <f t="shared" si="470"/>
        <v/>
      </c>
      <c r="AE262" s="191">
        <v>28.0</v>
      </c>
      <c r="AF262" s="197" t="str">
        <f t="shared" ref="AF262:AL262" si="471">IFERROR(INDIRECT("'Bloque "&amp;$AO$41&amp;" Semana "&amp;$AO$40&amp;"'"&amp;"!"&amp;AF$257&amp;$AM262),"")</f>
        <v/>
      </c>
      <c r="AG262" s="197" t="str">
        <f t="shared" si="471"/>
        <v/>
      </c>
      <c r="AH262" s="197" t="str">
        <f t="shared" si="471"/>
        <v/>
      </c>
      <c r="AI262" s="197" t="str">
        <f t="shared" si="471"/>
        <v/>
      </c>
      <c r="AJ262" s="197" t="str">
        <f t="shared" si="471"/>
        <v/>
      </c>
      <c r="AK262" s="197" t="str">
        <f t="shared" si="471"/>
        <v/>
      </c>
      <c r="AL262" s="197" t="str">
        <f t="shared" si="471"/>
        <v/>
      </c>
      <c r="AM262" s="191">
        <v>28.0</v>
      </c>
      <c r="AN262" s="197" t="str">
        <f t="shared" ref="AN262:AT262" si="472">IFERROR(INDIRECT("'Bloque "&amp;$AP$41&amp;" Semana "&amp;$AP$40&amp;"'"&amp;"!"&amp;AN$257&amp;$AU262),"")</f>
        <v/>
      </c>
      <c r="AO262" s="197" t="str">
        <f t="shared" si="472"/>
        <v/>
      </c>
      <c r="AP262" s="197" t="str">
        <f t="shared" si="472"/>
        <v/>
      </c>
      <c r="AQ262" s="197" t="str">
        <f t="shared" si="472"/>
        <v/>
      </c>
      <c r="AR262" s="197" t="str">
        <f t="shared" si="472"/>
        <v/>
      </c>
      <c r="AS262" s="197" t="str">
        <f t="shared" si="472"/>
        <v/>
      </c>
      <c r="AT262" s="197" t="str">
        <f t="shared" si="472"/>
        <v/>
      </c>
      <c r="AU262" s="191">
        <v>28.0</v>
      </c>
    </row>
    <row r="263">
      <c r="A263" s="4"/>
      <c r="B263" s="4"/>
      <c r="C263" s="4"/>
      <c r="D263" s="122"/>
      <c r="E263" s="29"/>
      <c r="F263" s="29"/>
      <c r="G263" s="29"/>
      <c r="H263" s="29"/>
      <c r="I263" s="29"/>
      <c r="J263" s="29"/>
      <c r="K263" s="29"/>
      <c r="L263" s="29"/>
      <c r="M263" s="29"/>
      <c r="N263" s="29"/>
      <c r="O263" s="4"/>
      <c r="P263" s="4"/>
      <c r="Q263" s="4"/>
      <c r="R263" s="77"/>
      <c r="V263" s="176"/>
      <c r="W263" s="176"/>
      <c r="X263" s="197" t="str">
        <f t="shared" ref="X263:AD263" si="473">IFERROR(INDIRECT("'Bloque "&amp;$AN$41&amp;" Semana "&amp;$AN$40&amp;"'"&amp;"!"&amp;X$257&amp;$AE263),"")</f>
        <v/>
      </c>
      <c r="Y263" s="197" t="str">
        <f t="shared" si="473"/>
        <v/>
      </c>
      <c r="Z263" s="197" t="str">
        <f t="shared" si="473"/>
        <v/>
      </c>
      <c r="AA263" s="197" t="str">
        <f t="shared" si="473"/>
        <v/>
      </c>
      <c r="AB263" s="197" t="str">
        <f t="shared" si="473"/>
        <v/>
      </c>
      <c r="AC263" s="197" t="str">
        <f t="shared" si="473"/>
        <v/>
      </c>
      <c r="AD263" s="197" t="str">
        <f t="shared" si="473"/>
        <v/>
      </c>
      <c r="AE263" s="191">
        <v>29.0</v>
      </c>
      <c r="AF263" s="197" t="str">
        <f t="shared" ref="AF263:AL263" si="474">IFERROR(INDIRECT("'Bloque "&amp;$AO$41&amp;" Semana "&amp;$AO$40&amp;"'"&amp;"!"&amp;AF$257&amp;$AM263),"")</f>
        <v/>
      </c>
      <c r="AG263" s="197" t="str">
        <f t="shared" si="474"/>
        <v/>
      </c>
      <c r="AH263" s="197" t="str">
        <f t="shared" si="474"/>
        <v/>
      </c>
      <c r="AI263" s="197" t="str">
        <f t="shared" si="474"/>
        <v/>
      </c>
      <c r="AJ263" s="197" t="str">
        <f t="shared" si="474"/>
        <v/>
      </c>
      <c r="AK263" s="197" t="str">
        <f t="shared" si="474"/>
        <v/>
      </c>
      <c r="AL263" s="197" t="str">
        <f t="shared" si="474"/>
        <v/>
      </c>
      <c r="AM263" s="191">
        <v>29.0</v>
      </c>
      <c r="AN263" s="197" t="str">
        <f t="shared" ref="AN263:AT263" si="475">IFERROR(INDIRECT("'Bloque "&amp;$AP$41&amp;" Semana "&amp;$AP$40&amp;"'"&amp;"!"&amp;AN$257&amp;$AU263),"")</f>
        <v/>
      </c>
      <c r="AO263" s="197" t="str">
        <f t="shared" si="475"/>
        <v/>
      </c>
      <c r="AP263" s="197" t="str">
        <f t="shared" si="475"/>
        <v/>
      </c>
      <c r="AQ263" s="197" t="str">
        <f t="shared" si="475"/>
        <v/>
      </c>
      <c r="AR263" s="197" t="str">
        <f t="shared" si="475"/>
        <v/>
      </c>
      <c r="AS263" s="197" t="str">
        <f t="shared" si="475"/>
        <v/>
      </c>
      <c r="AT263" s="197" t="str">
        <f t="shared" si="475"/>
        <v/>
      </c>
      <c r="AU263" s="191">
        <v>29.0</v>
      </c>
    </row>
    <row r="264">
      <c r="A264" s="4"/>
      <c r="B264" s="4"/>
      <c r="C264" s="4"/>
      <c r="D264" s="122"/>
      <c r="E264" s="29"/>
      <c r="F264" s="29"/>
      <c r="G264" s="29"/>
      <c r="H264" s="29"/>
      <c r="I264" s="29"/>
      <c r="J264" s="29"/>
      <c r="K264" s="29"/>
      <c r="L264" s="29"/>
      <c r="M264" s="29"/>
      <c r="N264" s="29"/>
      <c r="O264" s="4"/>
      <c r="P264" s="4"/>
      <c r="Q264" s="4"/>
      <c r="R264" s="77"/>
      <c r="V264" s="176"/>
      <c r="W264" s="176"/>
      <c r="X264" s="197" t="str">
        <f t="shared" ref="X264:AD264" si="476">IFERROR(INDIRECT("'Bloque "&amp;$AN$41&amp;" Semana "&amp;$AN$40&amp;"'"&amp;"!"&amp;X$257&amp;$AE264),"")</f>
        <v/>
      </c>
      <c r="Y264" s="197" t="str">
        <f t="shared" si="476"/>
        <v/>
      </c>
      <c r="Z264" s="197" t="str">
        <f t="shared" si="476"/>
        <v/>
      </c>
      <c r="AA264" s="197" t="str">
        <f t="shared" si="476"/>
        <v/>
      </c>
      <c r="AB264" s="197" t="str">
        <f t="shared" si="476"/>
        <v/>
      </c>
      <c r="AC264" s="197" t="str">
        <f t="shared" si="476"/>
        <v/>
      </c>
      <c r="AD264" s="197" t="str">
        <f t="shared" si="476"/>
        <v/>
      </c>
      <c r="AE264" s="191">
        <v>30.0</v>
      </c>
      <c r="AF264" s="197" t="str">
        <f t="shared" ref="AF264:AL264" si="477">IFERROR(INDIRECT("'Bloque "&amp;$AO$41&amp;" Semana "&amp;$AO$40&amp;"'"&amp;"!"&amp;AF$257&amp;$AM264),"")</f>
        <v/>
      </c>
      <c r="AG264" s="197" t="str">
        <f t="shared" si="477"/>
        <v/>
      </c>
      <c r="AH264" s="197" t="str">
        <f t="shared" si="477"/>
        <v/>
      </c>
      <c r="AI264" s="197" t="str">
        <f t="shared" si="477"/>
        <v/>
      </c>
      <c r="AJ264" s="197" t="str">
        <f t="shared" si="477"/>
        <v/>
      </c>
      <c r="AK264" s="197" t="str">
        <f t="shared" si="477"/>
        <v/>
      </c>
      <c r="AL264" s="197" t="str">
        <f t="shared" si="477"/>
        <v/>
      </c>
      <c r="AM264" s="191">
        <v>30.0</v>
      </c>
      <c r="AN264" s="197" t="str">
        <f t="shared" ref="AN264:AT264" si="478">IFERROR(INDIRECT("'Bloque "&amp;$AP$41&amp;" Semana "&amp;$AP$40&amp;"'"&amp;"!"&amp;AN$257&amp;$AU264),"")</f>
        <v/>
      </c>
      <c r="AO264" s="197" t="str">
        <f t="shared" si="478"/>
        <v/>
      </c>
      <c r="AP264" s="197" t="str">
        <f t="shared" si="478"/>
        <v/>
      </c>
      <c r="AQ264" s="197" t="str">
        <f t="shared" si="478"/>
        <v/>
      </c>
      <c r="AR264" s="197" t="str">
        <f t="shared" si="478"/>
        <v/>
      </c>
      <c r="AS264" s="197" t="str">
        <f t="shared" si="478"/>
        <v/>
      </c>
      <c r="AT264" s="197" t="str">
        <f t="shared" si="478"/>
        <v/>
      </c>
      <c r="AU264" s="191">
        <v>30.0</v>
      </c>
    </row>
    <row r="265">
      <c r="A265" s="4"/>
      <c r="B265" s="4"/>
      <c r="C265" s="4"/>
      <c r="D265" s="122"/>
      <c r="E265" s="29"/>
      <c r="F265" s="29"/>
      <c r="G265" s="29"/>
      <c r="H265" s="29"/>
      <c r="I265" s="29"/>
      <c r="J265" s="29"/>
      <c r="K265" s="29"/>
      <c r="L265" s="29"/>
      <c r="M265" s="29"/>
      <c r="N265" s="29"/>
      <c r="O265" s="4"/>
      <c r="P265" s="4"/>
      <c r="Q265" s="4"/>
      <c r="R265" s="77"/>
      <c r="V265" s="176"/>
      <c r="W265" s="176"/>
      <c r="X265" s="197" t="str">
        <f t="shared" ref="X265:AD265" si="479">IFERROR(INDIRECT("'Bloque "&amp;$AN$41&amp;" Semana "&amp;$AN$40&amp;"'"&amp;"!"&amp;X$257&amp;$AE265),"")</f>
        <v/>
      </c>
      <c r="Y265" s="197" t="str">
        <f t="shared" si="479"/>
        <v/>
      </c>
      <c r="Z265" s="197" t="str">
        <f t="shared" si="479"/>
        <v/>
      </c>
      <c r="AA265" s="197" t="str">
        <f t="shared" si="479"/>
        <v/>
      </c>
      <c r="AB265" s="197" t="str">
        <f t="shared" si="479"/>
        <v/>
      </c>
      <c r="AC265" s="197" t="str">
        <f t="shared" si="479"/>
        <v/>
      </c>
      <c r="AD265" s="197" t="str">
        <f t="shared" si="479"/>
        <v/>
      </c>
      <c r="AE265" s="191">
        <v>31.0</v>
      </c>
      <c r="AF265" s="197" t="str">
        <f t="shared" ref="AF265:AL265" si="480">IFERROR(INDIRECT("'Bloque "&amp;$AO$41&amp;" Semana "&amp;$AO$40&amp;"'"&amp;"!"&amp;AF$257&amp;$AM265),"")</f>
        <v/>
      </c>
      <c r="AG265" s="197" t="str">
        <f t="shared" si="480"/>
        <v/>
      </c>
      <c r="AH265" s="197" t="str">
        <f t="shared" si="480"/>
        <v/>
      </c>
      <c r="AI265" s="197" t="str">
        <f t="shared" si="480"/>
        <v/>
      </c>
      <c r="AJ265" s="197" t="str">
        <f t="shared" si="480"/>
        <v/>
      </c>
      <c r="AK265" s="197" t="str">
        <f t="shared" si="480"/>
        <v/>
      </c>
      <c r="AL265" s="197" t="str">
        <f t="shared" si="480"/>
        <v/>
      </c>
      <c r="AM265" s="191">
        <v>31.0</v>
      </c>
      <c r="AN265" s="197" t="str">
        <f t="shared" ref="AN265:AT265" si="481">IFERROR(INDIRECT("'Bloque "&amp;$AP$41&amp;" Semana "&amp;$AP$40&amp;"'"&amp;"!"&amp;AN$257&amp;$AU265),"")</f>
        <v/>
      </c>
      <c r="AO265" s="197" t="str">
        <f t="shared" si="481"/>
        <v/>
      </c>
      <c r="AP265" s="197" t="str">
        <f t="shared" si="481"/>
        <v/>
      </c>
      <c r="AQ265" s="197" t="str">
        <f t="shared" si="481"/>
        <v/>
      </c>
      <c r="AR265" s="197" t="str">
        <f t="shared" si="481"/>
        <v/>
      </c>
      <c r="AS265" s="197" t="str">
        <f t="shared" si="481"/>
        <v/>
      </c>
      <c r="AT265" s="197" t="str">
        <f t="shared" si="481"/>
        <v/>
      </c>
      <c r="AU265" s="191">
        <v>31.0</v>
      </c>
    </row>
    <row r="266">
      <c r="A266" s="4"/>
      <c r="B266" s="4"/>
      <c r="C266" s="4"/>
      <c r="D266" s="122"/>
      <c r="E266" s="29"/>
      <c r="F266" s="29"/>
      <c r="G266" s="29"/>
      <c r="H266" s="29"/>
      <c r="I266" s="29"/>
      <c r="J266" s="29"/>
      <c r="K266" s="29"/>
      <c r="L266" s="29"/>
      <c r="M266" s="29"/>
      <c r="N266" s="29"/>
      <c r="O266" s="4"/>
      <c r="P266" s="4"/>
      <c r="Q266" s="4"/>
      <c r="R266" s="77"/>
      <c r="V266" s="176"/>
      <c r="W266" s="176"/>
      <c r="X266" s="197" t="str">
        <f t="shared" ref="X266:AD266" si="482">IFERROR(INDIRECT("'Bloque "&amp;$AN$41&amp;" Semana "&amp;$AN$40&amp;"'"&amp;"!"&amp;X$257&amp;$AE266),"")</f>
        <v/>
      </c>
      <c r="Y266" s="197" t="str">
        <f t="shared" si="482"/>
        <v/>
      </c>
      <c r="Z266" s="197" t="str">
        <f t="shared" si="482"/>
        <v/>
      </c>
      <c r="AA266" s="197" t="str">
        <f t="shared" si="482"/>
        <v/>
      </c>
      <c r="AB266" s="197" t="str">
        <f t="shared" si="482"/>
        <v/>
      </c>
      <c r="AC266" s="197" t="str">
        <f t="shared" si="482"/>
        <v/>
      </c>
      <c r="AD266" s="197" t="str">
        <f t="shared" si="482"/>
        <v/>
      </c>
      <c r="AE266" s="191">
        <v>32.0</v>
      </c>
      <c r="AF266" s="197" t="str">
        <f t="shared" ref="AF266:AL266" si="483">IFERROR(INDIRECT("'Bloque "&amp;$AO$41&amp;" Semana "&amp;$AO$40&amp;"'"&amp;"!"&amp;AF$257&amp;$AM266),"")</f>
        <v/>
      </c>
      <c r="AG266" s="197" t="str">
        <f t="shared" si="483"/>
        <v/>
      </c>
      <c r="AH266" s="197" t="str">
        <f t="shared" si="483"/>
        <v/>
      </c>
      <c r="AI266" s="197" t="str">
        <f t="shared" si="483"/>
        <v/>
      </c>
      <c r="AJ266" s="197" t="str">
        <f t="shared" si="483"/>
        <v/>
      </c>
      <c r="AK266" s="197" t="str">
        <f t="shared" si="483"/>
        <v/>
      </c>
      <c r="AL266" s="197" t="str">
        <f t="shared" si="483"/>
        <v/>
      </c>
      <c r="AM266" s="191">
        <v>32.0</v>
      </c>
      <c r="AN266" s="197" t="str">
        <f t="shared" ref="AN266:AT266" si="484">IFERROR(INDIRECT("'Bloque "&amp;$AP$41&amp;" Semana "&amp;$AP$40&amp;"'"&amp;"!"&amp;AN$257&amp;$AU266),"")</f>
        <v/>
      </c>
      <c r="AO266" s="197" t="str">
        <f t="shared" si="484"/>
        <v/>
      </c>
      <c r="AP266" s="197" t="str">
        <f t="shared" si="484"/>
        <v/>
      </c>
      <c r="AQ266" s="197" t="str">
        <f t="shared" si="484"/>
        <v/>
      </c>
      <c r="AR266" s="197" t="str">
        <f t="shared" si="484"/>
        <v/>
      </c>
      <c r="AS266" s="197" t="str">
        <f t="shared" si="484"/>
        <v/>
      </c>
      <c r="AT266" s="197" t="str">
        <f t="shared" si="484"/>
        <v/>
      </c>
      <c r="AU266" s="191">
        <v>32.0</v>
      </c>
    </row>
    <row r="267">
      <c r="A267" s="4"/>
      <c r="B267" s="4"/>
      <c r="C267" s="4"/>
      <c r="D267" s="122"/>
      <c r="E267" s="29"/>
      <c r="F267" s="29"/>
      <c r="G267" s="29"/>
      <c r="H267" s="29"/>
      <c r="I267" s="29"/>
      <c r="J267" s="29"/>
      <c r="K267" s="29"/>
      <c r="L267" s="29"/>
      <c r="M267" s="29"/>
      <c r="N267" s="29"/>
      <c r="O267" s="4"/>
      <c r="P267" s="4"/>
      <c r="Q267" s="4"/>
      <c r="R267" s="77"/>
      <c r="V267" s="176"/>
      <c r="W267" s="176"/>
      <c r="X267" s="197" t="str">
        <f t="shared" ref="X267:AD267" si="485">IFERROR(INDIRECT("'Bloque "&amp;$AN$41&amp;" Semana "&amp;$AN$40&amp;"'"&amp;"!"&amp;X$257&amp;$AE267),"")</f>
        <v/>
      </c>
      <c r="Y267" s="197" t="str">
        <f t="shared" si="485"/>
        <v/>
      </c>
      <c r="Z267" s="197" t="str">
        <f t="shared" si="485"/>
        <v/>
      </c>
      <c r="AA267" s="197" t="str">
        <f t="shared" si="485"/>
        <v/>
      </c>
      <c r="AB267" s="197" t="str">
        <f t="shared" si="485"/>
        <v/>
      </c>
      <c r="AC267" s="197" t="str">
        <f t="shared" si="485"/>
        <v/>
      </c>
      <c r="AD267" s="197" t="str">
        <f t="shared" si="485"/>
        <v/>
      </c>
      <c r="AE267" s="191">
        <v>33.0</v>
      </c>
      <c r="AF267" s="197" t="str">
        <f t="shared" ref="AF267:AL267" si="486">IFERROR(INDIRECT("'Bloque "&amp;$AO$41&amp;" Semana "&amp;$AO$40&amp;"'"&amp;"!"&amp;AF$257&amp;$AM267),"")</f>
        <v/>
      </c>
      <c r="AG267" s="197" t="str">
        <f t="shared" si="486"/>
        <v/>
      </c>
      <c r="AH267" s="197" t="str">
        <f t="shared" si="486"/>
        <v/>
      </c>
      <c r="AI267" s="197" t="str">
        <f t="shared" si="486"/>
        <v/>
      </c>
      <c r="AJ267" s="197" t="str">
        <f t="shared" si="486"/>
        <v/>
      </c>
      <c r="AK267" s="197" t="str">
        <f t="shared" si="486"/>
        <v/>
      </c>
      <c r="AL267" s="197" t="str">
        <f t="shared" si="486"/>
        <v/>
      </c>
      <c r="AM267" s="191">
        <v>33.0</v>
      </c>
      <c r="AN267" s="197" t="str">
        <f t="shared" ref="AN267:AT267" si="487">IFERROR(INDIRECT("'Bloque "&amp;$AP$41&amp;" Semana "&amp;$AP$40&amp;"'"&amp;"!"&amp;AN$257&amp;$AU267),"")</f>
        <v/>
      </c>
      <c r="AO267" s="197" t="str">
        <f t="shared" si="487"/>
        <v/>
      </c>
      <c r="AP267" s="197" t="str">
        <f t="shared" si="487"/>
        <v/>
      </c>
      <c r="AQ267" s="197" t="str">
        <f t="shared" si="487"/>
        <v/>
      </c>
      <c r="AR267" s="197" t="str">
        <f t="shared" si="487"/>
        <v/>
      </c>
      <c r="AS267" s="197" t="str">
        <f t="shared" si="487"/>
        <v/>
      </c>
      <c r="AT267" s="197" t="str">
        <f t="shared" si="487"/>
        <v/>
      </c>
      <c r="AU267" s="191">
        <v>33.0</v>
      </c>
    </row>
    <row r="268">
      <c r="A268" s="4"/>
      <c r="B268" s="4"/>
      <c r="C268" s="4"/>
      <c r="D268" s="122"/>
      <c r="E268" s="29"/>
      <c r="F268" s="29"/>
      <c r="G268" s="29"/>
      <c r="H268" s="29"/>
      <c r="I268" s="29"/>
      <c r="J268" s="29"/>
      <c r="K268" s="29"/>
      <c r="L268" s="29"/>
      <c r="M268" s="29"/>
      <c r="N268" s="29"/>
      <c r="O268" s="4"/>
      <c r="P268" s="4"/>
      <c r="Q268" s="4"/>
      <c r="R268" s="77"/>
      <c r="V268" s="176"/>
      <c r="W268" s="176"/>
      <c r="X268" s="197" t="str">
        <f t="shared" ref="X268:AD268" si="488">IFERROR(INDIRECT("'Bloque "&amp;$AN$41&amp;" Semana "&amp;$AN$40&amp;"'"&amp;"!"&amp;X$257&amp;$AE268),"")</f>
        <v/>
      </c>
      <c r="Y268" s="197" t="str">
        <f t="shared" si="488"/>
        <v/>
      </c>
      <c r="Z268" s="197" t="str">
        <f t="shared" si="488"/>
        <v/>
      </c>
      <c r="AA268" s="197" t="str">
        <f t="shared" si="488"/>
        <v/>
      </c>
      <c r="AB268" s="197" t="str">
        <f t="shared" si="488"/>
        <v/>
      </c>
      <c r="AC268" s="197" t="str">
        <f t="shared" si="488"/>
        <v/>
      </c>
      <c r="AD268" s="197" t="str">
        <f t="shared" si="488"/>
        <v/>
      </c>
      <c r="AE268" s="191">
        <v>34.0</v>
      </c>
      <c r="AF268" s="197" t="str">
        <f t="shared" ref="AF268:AL268" si="489">IFERROR(INDIRECT("'Bloque "&amp;$AO$41&amp;" Semana "&amp;$AO$40&amp;"'"&amp;"!"&amp;AF$257&amp;$AM268),"")</f>
        <v/>
      </c>
      <c r="AG268" s="197" t="str">
        <f t="shared" si="489"/>
        <v/>
      </c>
      <c r="AH268" s="197" t="str">
        <f t="shared" si="489"/>
        <v/>
      </c>
      <c r="AI268" s="197" t="str">
        <f t="shared" si="489"/>
        <v/>
      </c>
      <c r="AJ268" s="197" t="str">
        <f t="shared" si="489"/>
        <v/>
      </c>
      <c r="AK268" s="197" t="str">
        <f t="shared" si="489"/>
        <v/>
      </c>
      <c r="AL268" s="197" t="str">
        <f t="shared" si="489"/>
        <v/>
      </c>
      <c r="AM268" s="191">
        <v>34.0</v>
      </c>
      <c r="AN268" s="197" t="str">
        <f t="shared" ref="AN268:AT268" si="490">IFERROR(INDIRECT("'Bloque "&amp;$AP$41&amp;" Semana "&amp;$AP$40&amp;"'"&amp;"!"&amp;AN$257&amp;$AU268),"")</f>
        <v/>
      </c>
      <c r="AO268" s="197" t="str">
        <f t="shared" si="490"/>
        <v/>
      </c>
      <c r="AP268" s="197" t="str">
        <f t="shared" si="490"/>
        <v/>
      </c>
      <c r="AQ268" s="197" t="str">
        <f t="shared" si="490"/>
        <v/>
      </c>
      <c r="AR268" s="197" t="str">
        <f t="shared" si="490"/>
        <v/>
      </c>
      <c r="AS268" s="197" t="str">
        <f t="shared" si="490"/>
        <v/>
      </c>
      <c r="AT268" s="197" t="str">
        <f t="shared" si="490"/>
        <v/>
      </c>
      <c r="AU268" s="191">
        <v>34.0</v>
      </c>
    </row>
    <row r="269">
      <c r="A269" s="4"/>
      <c r="B269" s="4"/>
      <c r="C269" s="4"/>
      <c r="D269" s="122"/>
      <c r="E269" s="29"/>
      <c r="F269" s="29"/>
      <c r="G269" s="29"/>
      <c r="H269" s="29"/>
      <c r="I269" s="29"/>
      <c r="J269" s="29"/>
      <c r="K269" s="29"/>
      <c r="L269" s="29"/>
      <c r="M269" s="29"/>
      <c r="N269" s="29"/>
      <c r="O269" s="4"/>
      <c r="P269" s="4"/>
      <c r="Q269" s="4"/>
      <c r="R269" s="77"/>
      <c r="V269" s="176"/>
      <c r="W269" s="176"/>
      <c r="X269" s="197" t="str">
        <f t="shared" ref="X269:AD269" si="491">IFERROR(INDIRECT("'Bloque "&amp;$AN$41&amp;" Semana "&amp;$AN$40&amp;"'"&amp;"!"&amp;X$257&amp;$AE269),"")</f>
        <v/>
      </c>
      <c r="Y269" s="197" t="str">
        <f t="shared" si="491"/>
        <v/>
      </c>
      <c r="Z269" s="197" t="str">
        <f t="shared" si="491"/>
        <v/>
      </c>
      <c r="AA269" s="197" t="str">
        <f t="shared" si="491"/>
        <v/>
      </c>
      <c r="AB269" s="197" t="str">
        <f t="shared" si="491"/>
        <v/>
      </c>
      <c r="AC269" s="197" t="str">
        <f t="shared" si="491"/>
        <v/>
      </c>
      <c r="AD269" s="197" t="str">
        <f t="shared" si="491"/>
        <v/>
      </c>
      <c r="AE269" s="191">
        <v>35.0</v>
      </c>
      <c r="AF269" s="197" t="str">
        <f t="shared" ref="AF269:AL269" si="492">IFERROR(INDIRECT("'Bloque "&amp;$AO$41&amp;" Semana "&amp;$AO$40&amp;"'"&amp;"!"&amp;AF$257&amp;$AM269),"")</f>
        <v/>
      </c>
      <c r="AG269" s="197" t="str">
        <f t="shared" si="492"/>
        <v/>
      </c>
      <c r="AH269" s="197" t="str">
        <f t="shared" si="492"/>
        <v/>
      </c>
      <c r="AI269" s="197" t="str">
        <f t="shared" si="492"/>
        <v/>
      </c>
      <c r="AJ269" s="197" t="str">
        <f t="shared" si="492"/>
        <v/>
      </c>
      <c r="AK269" s="197" t="str">
        <f t="shared" si="492"/>
        <v/>
      </c>
      <c r="AL269" s="197" t="str">
        <f t="shared" si="492"/>
        <v/>
      </c>
      <c r="AM269" s="191">
        <v>35.0</v>
      </c>
      <c r="AN269" s="197" t="str">
        <f t="shared" ref="AN269:AT269" si="493">IFERROR(INDIRECT("'Bloque "&amp;$AP$41&amp;" Semana "&amp;$AP$40&amp;"'"&amp;"!"&amp;AN$257&amp;$AU269),"")</f>
        <v/>
      </c>
      <c r="AO269" s="197" t="str">
        <f t="shared" si="493"/>
        <v/>
      </c>
      <c r="AP269" s="197" t="str">
        <f t="shared" si="493"/>
        <v/>
      </c>
      <c r="AQ269" s="197" t="str">
        <f t="shared" si="493"/>
        <v/>
      </c>
      <c r="AR269" s="197" t="str">
        <f t="shared" si="493"/>
        <v/>
      </c>
      <c r="AS269" s="197" t="str">
        <f t="shared" si="493"/>
        <v/>
      </c>
      <c r="AT269" s="197" t="str">
        <f t="shared" si="493"/>
        <v/>
      </c>
      <c r="AU269" s="191">
        <v>35.0</v>
      </c>
    </row>
    <row r="270">
      <c r="A270" s="4"/>
      <c r="B270" s="4"/>
      <c r="C270" s="4"/>
      <c r="D270" s="122"/>
      <c r="E270" s="29"/>
      <c r="F270" s="29"/>
      <c r="G270" s="29"/>
      <c r="H270" s="29"/>
      <c r="I270" s="29"/>
      <c r="J270" s="29"/>
      <c r="K270" s="29"/>
      <c r="L270" s="29"/>
      <c r="M270" s="29"/>
      <c r="N270" s="29"/>
      <c r="O270" s="4"/>
      <c r="P270" s="4"/>
      <c r="Q270" s="4"/>
      <c r="R270" s="77"/>
      <c r="V270" s="176"/>
      <c r="W270" s="176"/>
      <c r="X270" s="176"/>
      <c r="Y270" s="176"/>
      <c r="Z270" s="176"/>
      <c r="AA270" s="176"/>
      <c r="AB270" s="176"/>
      <c r="AC270" s="176"/>
      <c r="AD270" s="176"/>
      <c r="AE270" s="192"/>
      <c r="AF270" s="176"/>
      <c r="AG270" s="176"/>
      <c r="AH270" s="176"/>
      <c r="AI270" s="176"/>
      <c r="AJ270" s="176"/>
      <c r="AK270" s="176"/>
      <c r="AL270" s="176"/>
      <c r="AM270" s="192"/>
      <c r="AN270" s="176"/>
      <c r="AO270" s="176"/>
      <c r="AP270" s="176"/>
      <c r="AQ270" s="176"/>
      <c r="AR270" s="176"/>
      <c r="AU270" s="187"/>
    </row>
    <row r="271">
      <c r="A271" s="193"/>
      <c r="B271" s="193"/>
      <c r="C271" s="193"/>
      <c r="D271" s="194"/>
      <c r="E271" s="195"/>
      <c r="F271" s="195"/>
      <c r="G271" s="195"/>
      <c r="H271" s="195"/>
      <c r="I271" s="195"/>
      <c r="J271" s="195"/>
      <c r="K271" s="195"/>
      <c r="L271" s="195"/>
      <c r="M271" s="195"/>
      <c r="N271" s="195"/>
      <c r="O271" s="193"/>
      <c r="P271" s="193"/>
      <c r="Q271" s="193"/>
      <c r="R271" s="196"/>
      <c r="S271" s="187"/>
      <c r="T271" s="187"/>
      <c r="U271" s="187"/>
      <c r="V271" s="192"/>
      <c r="W271" s="192"/>
      <c r="X271" s="186" t="s">
        <v>202</v>
      </c>
      <c r="Y271" s="186" t="s">
        <v>203</v>
      </c>
      <c r="Z271" s="186" t="s">
        <v>209</v>
      </c>
      <c r="AA271" s="186" t="s">
        <v>205</v>
      </c>
      <c r="AB271" s="186" t="s">
        <v>206</v>
      </c>
      <c r="AC271" s="186" t="s">
        <v>207</v>
      </c>
      <c r="AD271" s="186" t="s">
        <v>208</v>
      </c>
      <c r="AE271" s="187"/>
      <c r="AF271" s="186" t="s">
        <v>202</v>
      </c>
      <c r="AG271" s="186" t="s">
        <v>203</v>
      </c>
      <c r="AH271" s="186" t="s">
        <v>209</v>
      </c>
      <c r="AI271" s="186" t="s">
        <v>205</v>
      </c>
      <c r="AJ271" s="186" t="s">
        <v>206</v>
      </c>
      <c r="AK271" s="186" t="s">
        <v>207</v>
      </c>
      <c r="AL271" s="186" t="s">
        <v>208</v>
      </c>
      <c r="AM271" s="187"/>
      <c r="AN271" s="186" t="s">
        <v>202</v>
      </c>
      <c r="AO271" s="186" t="s">
        <v>203</v>
      </c>
      <c r="AP271" s="186" t="s">
        <v>209</v>
      </c>
      <c r="AQ271" s="186" t="s">
        <v>205</v>
      </c>
      <c r="AR271" s="186" t="s">
        <v>206</v>
      </c>
      <c r="AS271" s="186" t="s">
        <v>207</v>
      </c>
      <c r="AT271" s="186" t="s">
        <v>208</v>
      </c>
      <c r="AU271" s="187"/>
      <c r="AV271" s="187"/>
      <c r="AW271" s="187"/>
      <c r="AX271" s="187"/>
      <c r="AY271" s="187"/>
      <c r="AZ271" s="187"/>
      <c r="BA271" s="187"/>
      <c r="BB271" s="187"/>
      <c r="BC271" s="187"/>
      <c r="BD271" s="187"/>
      <c r="BE271" s="187"/>
      <c r="BF271" s="187"/>
      <c r="BG271" s="187"/>
      <c r="BH271" s="187"/>
      <c r="BI271" s="187"/>
      <c r="BJ271" s="187"/>
      <c r="BK271" s="187"/>
      <c r="BL271" s="187"/>
      <c r="BM271" s="187"/>
      <c r="BN271" s="187"/>
      <c r="BO271" s="187"/>
      <c r="BP271" s="187"/>
      <c r="BQ271" s="187"/>
      <c r="BR271" s="187"/>
      <c r="BS271" s="187"/>
      <c r="BT271" s="187"/>
      <c r="BU271" s="187"/>
      <c r="BV271" s="187"/>
      <c r="BW271" s="187"/>
      <c r="BX271" s="187"/>
      <c r="BY271" s="187"/>
      <c r="BZ271" s="187"/>
      <c r="CA271" s="187"/>
      <c r="CB271" s="187"/>
      <c r="CC271" s="187"/>
      <c r="CD271" s="187"/>
      <c r="CE271" s="187"/>
      <c r="CF271" s="187"/>
      <c r="CG271" s="187"/>
      <c r="CH271" s="187"/>
      <c r="CI271" s="187"/>
      <c r="CJ271" s="187"/>
      <c r="CK271" s="187"/>
      <c r="CL271" s="187"/>
      <c r="CM271" s="187"/>
      <c r="CN271" s="187"/>
      <c r="CO271" s="187"/>
      <c r="CP271" s="187"/>
      <c r="CQ271" s="187"/>
      <c r="CR271" s="187"/>
      <c r="CS271" s="187"/>
      <c r="CT271" s="187"/>
      <c r="CU271" s="187"/>
      <c r="CV271" s="187"/>
      <c r="CW271" s="187"/>
      <c r="CX271" s="187"/>
      <c r="CY271" s="187"/>
      <c r="CZ271" s="187"/>
      <c r="DA271" s="187"/>
      <c r="DB271" s="187"/>
      <c r="DC271" s="187"/>
      <c r="DD271" s="187"/>
      <c r="DE271" s="187"/>
      <c r="DF271" s="187"/>
      <c r="DG271" s="187"/>
      <c r="DH271" s="187"/>
      <c r="DI271" s="187"/>
      <c r="DJ271" s="187"/>
      <c r="DK271" s="187"/>
      <c r="DL271" s="187"/>
      <c r="DM271" s="187"/>
      <c r="DN271" s="187"/>
      <c r="DO271" s="187"/>
      <c r="DP271" s="187"/>
      <c r="DQ271" s="187"/>
      <c r="DR271" s="187"/>
      <c r="DS271" s="187"/>
      <c r="DT271" s="187"/>
      <c r="DU271" s="187"/>
      <c r="DV271" s="187"/>
      <c r="DW271" s="187"/>
      <c r="DX271" s="187"/>
      <c r="DY271" s="187"/>
      <c r="DZ271" s="187"/>
      <c r="EA271" s="187"/>
      <c r="EB271" s="187"/>
      <c r="EC271" s="187"/>
      <c r="ED271" s="187"/>
      <c r="EE271" s="187"/>
      <c r="EF271" s="187"/>
      <c r="EG271" s="187"/>
      <c r="EH271" s="187"/>
      <c r="EI271" s="187"/>
      <c r="EJ271" s="187"/>
    </row>
    <row r="272">
      <c r="A272" s="4"/>
      <c r="B272" s="4"/>
      <c r="C272" s="4"/>
      <c r="D272" s="122"/>
      <c r="E272" s="29"/>
      <c r="F272" s="29"/>
      <c r="G272" s="29"/>
      <c r="H272" s="29"/>
      <c r="I272" s="29"/>
      <c r="J272" s="29"/>
      <c r="K272" s="29"/>
      <c r="L272" s="29"/>
      <c r="M272" s="29"/>
      <c r="N272" s="29"/>
      <c r="O272" s="4"/>
      <c r="P272" s="4"/>
      <c r="Q272" s="4"/>
      <c r="R272" s="77"/>
      <c r="V272" s="176"/>
      <c r="W272" s="176"/>
      <c r="X272" s="188" t="str">
        <f t="array" ref="X272">IFERROR(INDIRECT("'Bloque "&amp;$AQ$41&amp;" Semana "&amp;$AQ$40&amp;"'"&amp;"!"&amp;"E37"),"")</f>
        <v/>
      </c>
      <c r="AE272" s="186">
        <v>26.0</v>
      </c>
      <c r="AF272" s="188" t="str">
        <f t="array" ref="AF272">IFERROR(INDIRECT("'Bloque "&amp;$AR$41&amp;" Semana "&amp;$AR$40&amp;"'"&amp;"!"&amp;"E37"),"")</f>
        <v/>
      </c>
      <c r="AM272" s="186">
        <v>26.0</v>
      </c>
      <c r="AN272" s="188" t="str">
        <f t="array" ref="AN272">IFERROR(INDIRECT("'Bloque "&amp;$AS$41&amp;" Semana "&amp;$AS$40&amp;"'"&amp;"!"&amp;"E37"),"")</f>
        <v/>
      </c>
      <c r="AU272" s="186">
        <v>26.0</v>
      </c>
    </row>
    <row r="273">
      <c r="A273" s="4"/>
      <c r="B273" s="4"/>
      <c r="C273" s="4"/>
      <c r="D273" s="122"/>
      <c r="E273" s="29"/>
      <c r="F273" s="29"/>
      <c r="G273" s="29"/>
      <c r="H273" s="29"/>
      <c r="I273" s="29"/>
      <c r="J273" s="29"/>
      <c r="K273" s="29"/>
      <c r="L273" s="29"/>
      <c r="M273" s="29"/>
      <c r="N273" s="29"/>
      <c r="O273" s="4"/>
      <c r="P273" s="4"/>
      <c r="Q273" s="4"/>
      <c r="R273" s="77"/>
      <c r="V273" s="176"/>
      <c r="W273" s="176"/>
      <c r="X273" s="176" t="str">
        <f t="array" ref="X273">IFERROR(INDIRECT("'Bloque "&amp;$AQ$41&amp;" Semana "&amp;$AQ$40&amp;"'"&amp;"!"&amp;"E25"),"")</f>
        <v/>
      </c>
      <c r="AE273" s="186">
        <v>25.0</v>
      </c>
      <c r="AF273" s="176" t="str">
        <f t="array" ref="AF273">IFERROR(INDIRECT("'Bloque "&amp;$AR$41&amp;" Semana "&amp;$AR$40&amp;"'"&amp;"!"&amp;"E25"),"")</f>
        <v/>
      </c>
      <c r="AM273" s="186">
        <v>25.0</v>
      </c>
      <c r="AN273" s="176" t="str">
        <f t="array" ref="AN273">IFERROR(INDIRECT("'Bloque "&amp;$AS$41&amp;" Semana "&amp;$AS$40&amp;"'"&amp;"!"&amp;"E25"),"")</f>
        <v/>
      </c>
      <c r="AU273" s="186">
        <v>25.0</v>
      </c>
    </row>
    <row r="274">
      <c r="A274" s="4"/>
      <c r="B274" s="4"/>
      <c r="C274" s="4"/>
      <c r="D274" s="122"/>
      <c r="E274" s="29"/>
      <c r="F274" s="29"/>
      <c r="G274" s="29"/>
      <c r="H274" s="29"/>
      <c r="I274" s="29"/>
      <c r="J274" s="29"/>
      <c r="K274" s="29"/>
      <c r="L274" s="29"/>
      <c r="M274" s="29"/>
      <c r="N274" s="29"/>
      <c r="O274" s="4"/>
      <c r="P274" s="4"/>
      <c r="Q274" s="4"/>
      <c r="R274" s="77"/>
      <c r="V274" s="176"/>
      <c r="W274" s="176"/>
      <c r="X274" s="189" t="str">
        <f t="array" ref="X274">IFERROR(INDIRECT("'Bloque "&amp;$AQ$41&amp;" Semana "&amp;$AQ$40&amp;"'"&amp;"!"&amp;"E26"),"")</f>
        <v/>
      </c>
      <c r="AE274" s="186">
        <v>26.0</v>
      </c>
      <c r="AF274" s="189" t="str">
        <f t="array" ref="AF274">IFERROR(INDIRECT("'Bloque "&amp;$AR$41&amp;" Semana "&amp;$AR$40&amp;"'"&amp;"!"&amp;"E26"),"")</f>
        <v/>
      </c>
      <c r="AM274" s="186">
        <v>26.0</v>
      </c>
      <c r="AN274" s="189" t="str">
        <f t="array" ref="AN274">IFERROR(INDIRECT("'Bloque "&amp;$AS$41&amp;" Semana "&amp;$AS$40&amp;"'"&amp;"!"&amp;"E26"),"")</f>
        <v/>
      </c>
      <c r="AU274" s="186">
        <v>26.0</v>
      </c>
    </row>
    <row r="275">
      <c r="A275" s="4"/>
      <c r="B275" s="4"/>
      <c r="C275" s="4"/>
      <c r="D275" s="122"/>
      <c r="E275" s="29"/>
      <c r="F275" s="29"/>
      <c r="G275" s="29"/>
      <c r="H275" s="29"/>
      <c r="I275" s="29"/>
      <c r="J275" s="29"/>
      <c r="K275" s="29"/>
      <c r="L275" s="29"/>
      <c r="M275" s="29"/>
      <c r="N275" s="29"/>
      <c r="O275" s="4"/>
      <c r="P275" s="4"/>
      <c r="Q275" s="4"/>
      <c r="R275" s="77"/>
      <c r="V275" s="176"/>
      <c r="W275" s="176"/>
      <c r="X275" s="190" t="str">
        <f t="shared" ref="X275:AD275" si="494">IFERROR(INDIRECT("'Bloque "&amp;$AQ$41&amp;" Semana "&amp;$AQ$40&amp;"'"&amp;"!"&amp;X$271&amp;$AE275),"")</f>
        <v/>
      </c>
      <c r="Y275" s="190" t="str">
        <f t="shared" si="494"/>
        <v/>
      </c>
      <c r="Z275" s="190" t="str">
        <f t="shared" si="494"/>
        <v/>
      </c>
      <c r="AA275" s="190" t="str">
        <f t="shared" si="494"/>
        <v/>
      </c>
      <c r="AB275" s="190" t="str">
        <f t="shared" si="494"/>
        <v/>
      </c>
      <c r="AC275" s="190" t="str">
        <f t="shared" si="494"/>
        <v/>
      </c>
      <c r="AD275" s="190" t="str">
        <f t="shared" si="494"/>
        <v/>
      </c>
      <c r="AE275" s="191">
        <v>27.0</v>
      </c>
      <c r="AF275" s="190" t="str">
        <f t="shared" ref="AF275:AL275" si="495">IFERROR(INDIRECT("'Bloque "&amp;$AR$41&amp;" Semana "&amp;$AR$40&amp;"'"&amp;"!"&amp;AF$271&amp;$AM275),"")</f>
        <v/>
      </c>
      <c r="AG275" s="190" t="str">
        <f t="shared" si="495"/>
        <v/>
      </c>
      <c r="AH275" s="190" t="str">
        <f t="shared" si="495"/>
        <v/>
      </c>
      <c r="AI275" s="190" t="str">
        <f t="shared" si="495"/>
        <v/>
      </c>
      <c r="AJ275" s="190" t="str">
        <f t="shared" si="495"/>
        <v/>
      </c>
      <c r="AK275" s="190" t="str">
        <f t="shared" si="495"/>
        <v/>
      </c>
      <c r="AL275" s="190" t="str">
        <f t="shared" si="495"/>
        <v/>
      </c>
      <c r="AM275" s="191">
        <v>27.0</v>
      </c>
      <c r="AN275" s="190" t="str">
        <f t="shared" ref="AN275:AT275" si="496">IFERROR(INDIRECT("'Bloque "&amp;$AS$41&amp;" Semana "&amp;$AS$40&amp;"'"&amp;"!"&amp;AN$271&amp;$AU275),"")</f>
        <v/>
      </c>
      <c r="AO275" s="190" t="str">
        <f t="shared" si="496"/>
        <v/>
      </c>
      <c r="AP275" s="190" t="str">
        <f t="shared" si="496"/>
        <v/>
      </c>
      <c r="AQ275" s="190" t="str">
        <f t="shared" si="496"/>
        <v/>
      </c>
      <c r="AR275" s="190" t="str">
        <f t="shared" si="496"/>
        <v/>
      </c>
      <c r="AS275" s="190" t="str">
        <f t="shared" si="496"/>
        <v/>
      </c>
      <c r="AT275" s="190" t="str">
        <f t="shared" si="496"/>
        <v/>
      </c>
      <c r="AU275" s="191">
        <v>27.0</v>
      </c>
    </row>
    <row r="276">
      <c r="A276" s="4"/>
      <c r="B276" s="4"/>
      <c r="C276" s="4"/>
      <c r="D276" s="122"/>
      <c r="E276" s="29"/>
      <c r="F276" s="29"/>
      <c r="G276" s="29"/>
      <c r="H276" s="29"/>
      <c r="I276" s="29"/>
      <c r="J276" s="29"/>
      <c r="K276" s="29"/>
      <c r="L276" s="29"/>
      <c r="M276" s="29"/>
      <c r="N276" s="29"/>
      <c r="O276" s="4"/>
      <c r="P276" s="4"/>
      <c r="Q276" s="4"/>
      <c r="R276" s="77"/>
      <c r="V276" s="176"/>
      <c r="W276" s="176"/>
      <c r="X276" s="197" t="str">
        <f t="shared" ref="X276:AD276" si="497">IFERROR(INDIRECT("'Bloque "&amp;$AQ$41&amp;" Semana "&amp;$AQ$40&amp;"'"&amp;"!"&amp;X$271&amp;$AE276),"")</f>
        <v/>
      </c>
      <c r="Y276" s="197" t="str">
        <f t="shared" si="497"/>
        <v/>
      </c>
      <c r="Z276" s="197" t="str">
        <f t="shared" si="497"/>
        <v/>
      </c>
      <c r="AA276" s="197" t="str">
        <f t="shared" si="497"/>
        <v/>
      </c>
      <c r="AB276" s="197" t="str">
        <f t="shared" si="497"/>
        <v/>
      </c>
      <c r="AC276" s="197" t="str">
        <f t="shared" si="497"/>
        <v/>
      </c>
      <c r="AD276" s="197" t="str">
        <f t="shared" si="497"/>
        <v/>
      </c>
      <c r="AE276" s="191">
        <v>28.0</v>
      </c>
      <c r="AF276" s="197" t="str">
        <f t="shared" ref="AF276:AL276" si="498">IFERROR(INDIRECT("'Bloque "&amp;$AR$41&amp;" Semana "&amp;$AR$40&amp;"'"&amp;"!"&amp;AF$271&amp;$AM276),"")</f>
        <v/>
      </c>
      <c r="AG276" s="197" t="str">
        <f t="shared" si="498"/>
        <v/>
      </c>
      <c r="AH276" s="197" t="str">
        <f t="shared" si="498"/>
        <v/>
      </c>
      <c r="AI276" s="197" t="str">
        <f t="shared" si="498"/>
        <v/>
      </c>
      <c r="AJ276" s="197" t="str">
        <f t="shared" si="498"/>
        <v/>
      </c>
      <c r="AK276" s="197" t="str">
        <f t="shared" si="498"/>
        <v/>
      </c>
      <c r="AL276" s="197" t="str">
        <f t="shared" si="498"/>
        <v/>
      </c>
      <c r="AM276" s="191">
        <v>28.0</v>
      </c>
      <c r="AN276" s="197" t="str">
        <f t="shared" ref="AN276:AT276" si="499">IFERROR(INDIRECT("'Bloque "&amp;$AS$41&amp;" Semana "&amp;$AS$40&amp;"'"&amp;"!"&amp;AN$271&amp;$AU276),"")</f>
        <v/>
      </c>
      <c r="AO276" s="197" t="str">
        <f t="shared" si="499"/>
        <v/>
      </c>
      <c r="AP276" s="197" t="str">
        <f t="shared" si="499"/>
        <v/>
      </c>
      <c r="AQ276" s="197" t="str">
        <f t="shared" si="499"/>
        <v/>
      </c>
      <c r="AR276" s="197" t="str">
        <f t="shared" si="499"/>
        <v/>
      </c>
      <c r="AS276" s="197" t="str">
        <f t="shared" si="499"/>
        <v/>
      </c>
      <c r="AT276" s="197" t="str">
        <f t="shared" si="499"/>
        <v/>
      </c>
      <c r="AU276" s="191">
        <v>28.0</v>
      </c>
    </row>
    <row r="277">
      <c r="A277" s="4"/>
      <c r="B277" s="4"/>
      <c r="C277" s="4"/>
      <c r="D277" s="122"/>
      <c r="E277" s="29"/>
      <c r="F277" s="29"/>
      <c r="G277" s="29"/>
      <c r="H277" s="29"/>
      <c r="I277" s="29"/>
      <c r="J277" s="29"/>
      <c r="K277" s="29"/>
      <c r="L277" s="29"/>
      <c r="M277" s="29"/>
      <c r="N277" s="29"/>
      <c r="O277" s="4"/>
      <c r="P277" s="4"/>
      <c r="Q277" s="4"/>
      <c r="R277" s="77"/>
      <c r="V277" s="176"/>
      <c r="W277" s="176"/>
      <c r="X277" s="197" t="str">
        <f t="shared" ref="X277:AD277" si="500">IFERROR(INDIRECT("'Bloque "&amp;$AQ$41&amp;" Semana "&amp;$AQ$40&amp;"'"&amp;"!"&amp;X$271&amp;$AE277),"")</f>
        <v/>
      </c>
      <c r="Y277" s="197" t="str">
        <f t="shared" si="500"/>
        <v/>
      </c>
      <c r="Z277" s="197" t="str">
        <f t="shared" si="500"/>
        <v/>
      </c>
      <c r="AA277" s="197" t="str">
        <f t="shared" si="500"/>
        <v/>
      </c>
      <c r="AB277" s="197" t="str">
        <f t="shared" si="500"/>
        <v/>
      </c>
      <c r="AC277" s="197" t="str">
        <f t="shared" si="500"/>
        <v/>
      </c>
      <c r="AD277" s="197" t="str">
        <f t="shared" si="500"/>
        <v/>
      </c>
      <c r="AE277" s="191">
        <v>29.0</v>
      </c>
      <c r="AF277" s="197" t="str">
        <f t="shared" ref="AF277:AL277" si="501">IFERROR(INDIRECT("'Bloque "&amp;$AR$41&amp;" Semana "&amp;$AR$40&amp;"'"&amp;"!"&amp;AF$271&amp;$AM277),"")</f>
        <v/>
      </c>
      <c r="AG277" s="197" t="str">
        <f t="shared" si="501"/>
        <v/>
      </c>
      <c r="AH277" s="197" t="str">
        <f t="shared" si="501"/>
        <v/>
      </c>
      <c r="AI277" s="197" t="str">
        <f t="shared" si="501"/>
        <v/>
      </c>
      <c r="AJ277" s="197" t="str">
        <f t="shared" si="501"/>
        <v/>
      </c>
      <c r="AK277" s="197" t="str">
        <f t="shared" si="501"/>
        <v/>
      </c>
      <c r="AL277" s="197" t="str">
        <f t="shared" si="501"/>
        <v/>
      </c>
      <c r="AM277" s="191">
        <v>29.0</v>
      </c>
      <c r="AN277" s="197" t="str">
        <f t="shared" ref="AN277:AT277" si="502">IFERROR(INDIRECT("'Bloque "&amp;$AS$41&amp;" Semana "&amp;$AS$40&amp;"'"&amp;"!"&amp;AN$271&amp;$AU277),"")</f>
        <v/>
      </c>
      <c r="AO277" s="197" t="str">
        <f t="shared" si="502"/>
        <v/>
      </c>
      <c r="AP277" s="197" t="str">
        <f t="shared" si="502"/>
        <v/>
      </c>
      <c r="AQ277" s="197" t="str">
        <f t="shared" si="502"/>
        <v/>
      </c>
      <c r="AR277" s="197" t="str">
        <f t="shared" si="502"/>
        <v/>
      </c>
      <c r="AS277" s="197" t="str">
        <f t="shared" si="502"/>
        <v/>
      </c>
      <c r="AT277" s="197" t="str">
        <f t="shared" si="502"/>
        <v/>
      </c>
      <c r="AU277" s="191">
        <v>29.0</v>
      </c>
    </row>
    <row r="278">
      <c r="A278" s="4"/>
      <c r="B278" s="4"/>
      <c r="C278" s="4"/>
      <c r="D278" s="29"/>
      <c r="E278" s="29"/>
      <c r="F278" s="29"/>
      <c r="G278" s="29"/>
      <c r="H278" s="29"/>
      <c r="I278" s="29"/>
      <c r="J278" s="29"/>
      <c r="K278" s="29"/>
      <c r="L278" s="29"/>
      <c r="M278" s="29"/>
      <c r="N278" s="29"/>
      <c r="O278" s="4"/>
      <c r="P278" s="4"/>
      <c r="Q278" s="4"/>
      <c r="R278" s="77"/>
      <c r="V278" s="176"/>
      <c r="W278" s="176"/>
      <c r="X278" s="197" t="str">
        <f t="shared" ref="X278:AD278" si="503">IFERROR(INDIRECT("'Bloque "&amp;$AQ$41&amp;" Semana "&amp;$AQ$40&amp;"'"&amp;"!"&amp;X$271&amp;$AE278),"")</f>
        <v/>
      </c>
      <c r="Y278" s="197" t="str">
        <f t="shared" si="503"/>
        <v/>
      </c>
      <c r="Z278" s="197" t="str">
        <f t="shared" si="503"/>
        <v/>
      </c>
      <c r="AA278" s="197" t="str">
        <f t="shared" si="503"/>
        <v/>
      </c>
      <c r="AB278" s="197" t="str">
        <f t="shared" si="503"/>
        <v/>
      </c>
      <c r="AC278" s="197" t="str">
        <f t="shared" si="503"/>
        <v/>
      </c>
      <c r="AD278" s="197" t="str">
        <f t="shared" si="503"/>
        <v/>
      </c>
      <c r="AE278" s="191">
        <v>30.0</v>
      </c>
      <c r="AF278" s="197" t="str">
        <f t="shared" ref="AF278:AL278" si="504">IFERROR(INDIRECT("'Bloque "&amp;$AR$41&amp;" Semana "&amp;$AR$40&amp;"'"&amp;"!"&amp;AF$271&amp;$AM278),"")</f>
        <v/>
      </c>
      <c r="AG278" s="197" t="str">
        <f t="shared" si="504"/>
        <v/>
      </c>
      <c r="AH278" s="197" t="str">
        <f t="shared" si="504"/>
        <v/>
      </c>
      <c r="AI278" s="197" t="str">
        <f t="shared" si="504"/>
        <v/>
      </c>
      <c r="AJ278" s="197" t="str">
        <f t="shared" si="504"/>
        <v/>
      </c>
      <c r="AK278" s="197" t="str">
        <f t="shared" si="504"/>
        <v/>
      </c>
      <c r="AL278" s="197" t="str">
        <f t="shared" si="504"/>
        <v/>
      </c>
      <c r="AM278" s="191">
        <v>30.0</v>
      </c>
      <c r="AN278" s="197" t="str">
        <f t="shared" ref="AN278:AT278" si="505">IFERROR(INDIRECT("'Bloque "&amp;$AS$41&amp;" Semana "&amp;$AS$40&amp;"'"&amp;"!"&amp;AN$271&amp;$AU278),"")</f>
        <v/>
      </c>
      <c r="AO278" s="197" t="str">
        <f t="shared" si="505"/>
        <v/>
      </c>
      <c r="AP278" s="197" t="str">
        <f t="shared" si="505"/>
        <v/>
      </c>
      <c r="AQ278" s="197" t="str">
        <f t="shared" si="505"/>
        <v/>
      </c>
      <c r="AR278" s="197" t="str">
        <f t="shared" si="505"/>
        <v/>
      </c>
      <c r="AS278" s="197" t="str">
        <f t="shared" si="505"/>
        <v/>
      </c>
      <c r="AT278" s="197" t="str">
        <f t="shared" si="505"/>
        <v/>
      </c>
      <c r="AU278" s="191">
        <v>30.0</v>
      </c>
    </row>
    <row r="279">
      <c r="A279" s="4"/>
      <c r="B279" s="4"/>
      <c r="C279" s="4"/>
      <c r="D279" s="29"/>
      <c r="E279" s="29"/>
      <c r="F279" s="29"/>
      <c r="G279" s="29"/>
      <c r="H279" s="29"/>
      <c r="I279" s="29"/>
      <c r="J279" s="29"/>
      <c r="K279" s="29"/>
      <c r="L279" s="29"/>
      <c r="M279" s="29"/>
      <c r="N279" s="29"/>
      <c r="O279" s="4"/>
      <c r="P279" s="4"/>
      <c r="Q279" s="4"/>
      <c r="R279" s="77"/>
      <c r="V279" s="176"/>
      <c r="W279" s="176"/>
      <c r="X279" s="197" t="str">
        <f t="shared" ref="X279:AD279" si="506">IFERROR(INDIRECT("'Bloque "&amp;$AQ$41&amp;" Semana "&amp;$AQ$40&amp;"'"&amp;"!"&amp;X$271&amp;$AE279),"")</f>
        <v/>
      </c>
      <c r="Y279" s="197" t="str">
        <f t="shared" si="506"/>
        <v/>
      </c>
      <c r="Z279" s="197" t="str">
        <f t="shared" si="506"/>
        <v/>
      </c>
      <c r="AA279" s="197" t="str">
        <f t="shared" si="506"/>
        <v/>
      </c>
      <c r="AB279" s="197" t="str">
        <f t="shared" si="506"/>
        <v/>
      </c>
      <c r="AC279" s="197" t="str">
        <f t="shared" si="506"/>
        <v/>
      </c>
      <c r="AD279" s="197" t="str">
        <f t="shared" si="506"/>
        <v/>
      </c>
      <c r="AE279" s="191">
        <v>31.0</v>
      </c>
      <c r="AF279" s="197" t="str">
        <f t="shared" ref="AF279:AL279" si="507">IFERROR(INDIRECT("'Bloque "&amp;$AR$41&amp;" Semana "&amp;$AR$40&amp;"'"&amp;"!"&amp;AF$271&amp;$AM279),"")</f>
        <v/>
      </c>
      <c r="AG279" s="197" t="str">
        <f t="shared" si="507"/>
        <v/>
      </c>
      <c r="AH279" s="197" t="str">
        <f t="shared" si="507"/>
        <v/>
      </c>
      <c r="AI279" s="197" t="str">
        <f t="shared" si="507"/>
        <v/>
      </c>
      <c r="AJ279" s="197" t="str">
        <f t="shared" si="507"/>
        <v/>
      </c>
      <c r="AK279" s="197" t="str">
        <f t="shared" si="507"/>
        <v/>
      </c>
      <c r="AL279" s="197" t="str">
        <f t="shared" si="507"/>
        <v/>
      </c>
      <c r="AM279" s="191">
        <v>31.0</v>
      </c>
      <c r="AN279" s="197" t="str">
        <f t="shared" ref="AN279:AT279" si="508">IFERROR(INDIRECT("'Bloque "&amp;$AS$41&amp;" Semana "&amp;$AS$40&amp;"'"&amp;"!"&amp;AN$271&amp;$AU279),"")</f>
        <v/>
      </c>
      <c r="AO279" s="197" t="str">
        <f t="shared" si="508"/>
        <v/>
      </c>
      <c r="AP279" s="197" t="str">
        <f t="shared" si="508"/>
        <v/>
      </c>
      <c r="AQ279" s="197" t="str">
        <f t="shared" si="508"/>
        <v/>
      </c>
      <c r="AR279" s="197" t="str">
        <f t="shared" si="508"/>
        <v/>
      </c>
      <c r="AS279" s="197" t="str">
        <f t="shared" si="508"/>
        <v/>
      </c>
      <c r="AT279" s="197" t="str">
        <f t="shared" si="508"/>
        <v/>
      </c>
      <c r="AU279" s="191">
        <v>31.0</v>
      </c>
    </row>
    <row r="280">
      <c r="A280" s="4"/>
      <c r="B280" s="4"/>
      <c r="C280" s="4"/>
      <c r="D280" s="29"/>
      <c r="E280" s="29"/>
      <c r="F280" s="29"/>
      <c r="G280" s="29"/>
      <c r="H280" s="29"/>
      <c r="I280" s="29"/>
      <c r="J280" s="29"/>
      <c r="K280" s="29"/>
      <c r="L280" s="29"/>
      <c r="M280" s="29"/>
      <c r="N280" s="29"/>
      <c r="O280" s="4"/>
      <c r="P280" s="4"/>
      <c r="Q280" s="4"/>
      <c r="R280" s="77"/>
      <c r="V280" s="176"/>
      <c r="W280" s="176"/>
      <c r="X280" s="197" t="str">
        <f t="shared" ref="X280:AD280" si="509">IFERROR(INDIRECT("'Bloque "&amp;$AQ$41&amp;" Semana "&amp;$AQ$40&amp;"'"&amp;"!"&amp;X$271&amp;$AE280),"")</f>
        <v/>
      </c>
      <c r="Y280" s="197" t="str">
        <f t="shared" si="509"/>
        <v/>
      </c>
      <c r="Z280" s="197" t="str">
        <f t="shared" si="509"/>
        <v/>
      </c>
      <c r="AA280" s="197" t="str">
        <f t="shared" si="509"/>
        <v/>
      </c>
      <c r="AB280" s="197" t="str">
        <f t="shared" si="509"/>
        <v/>
      </c>
      <c r="AC280" s="197" t="str">
        <f t="shared" si="509"/>
        <v/>
      </c>
      <c r="AD280" s="197" t="str">
        <f t="shared" si="509"/>
        <v/>
      </c>
      <c r="AE280" s="191">
        <v>32.0</v>
      </c>
      <c r="AF280" s="197" t="str">
        <f t="shared" ref="AF280:AL280" si="510">IFERROR(INDIRECT("'Bloque "&amp;$AR$41&amp;" Semana "&amp;$AR$40&amp;"'"&amp;"!"&amp;AF$271&amp;$AM280),"")</f>
        <v/>
      </c>
      <c r="AG280" s="197" t="str">
        <f t="shared" si="510"/>
        <v/>
      </c>
      <c r="AH280" s="197" t="str">
        <f t="shared" si="510"/>
        <v/>
      </c>
      <c r="AI280" s="197" t="str">
        <f t="shared" si="510"/>
        <v/>
      </c>
      <c r="AJ280" s="197" t="str">
        <f t="shared" si="510"/>
        <v/>
      </c>
      <c r="AK280" s="197" t="str">
        <f t="shared" si="510"/>
        <v/>
      </c>
      <c r="AL280" s="197" t="str">
        <f t="shared" si="510"/>
        <v/>
      </c>
      <c r="AM280" s="191">
        <v>32.0</v>
      </c>
      <c r="AN280" s="197" t="str">
        <f t="shared" ref="AN280:AT280" si="511">IFERROR(INDIRECT("'Bloque "&amp;$AS$41&amp;" Semana "&amp;$AS$40&amp;"'"&amp;"!"&amp;AN$271&amp;$AU280),"")</f>
        <v/>
      </c>
      <c r="AO280" s="197" t="str">
        <f t="shared" si="511"/>
        <v/>
      </c>
      <c r="AP280" s="197" t="str">
        <f t="shared" si="511"/>
        <v/>
      </c>
      <c r="AQ280" s="197" t="str">
        <f t="shared" si="511"/>
        <v/>
      </c>
      <c r="AR280" s="197" t="str">
        <f t="shared" si="511"/>
        <v/>
      </c>
      <c r="AS280" s="197" t="str">
        <f t="shared" si="511"/>
        <v/>
      </c>
      <c r="AT280" s="197" t="str">
        <f t="shared" si="511"/>
        <v/>
      </c>
      <c r="AU280" s="191">
        <v>32.0</v>
      </c>
    </row>
    <row r="281">
      <c r="A281" s="4"/>
      <c r="B281" s="4"/>
      <c r="C281" s="4"/>
      <c r="D281" s="29"/>
      <c r="E281" s="29"/>
      <c r="F281" s="29"/>
      <c r="G281" s="29"/>
      <c r="H281" s="29"/>
      <c r="I281" s="29"/>
      <c r="J281" s="29"/>
      <c r="K281" s="29"/>
      <c r="L281" s="29"/>
      <c r="M281" s="29"/>
      <c r="N281" s="29"/>
      <c r="O281" s="4"/>
      <c r="P281" s="4"/>
      <c r="Q281" s="4"/>
      <c r="R281" s="77"/>
      <c r="V281" s="176"/>
      <c r="W281" s="176"/>
      <c r="X281" s="197" t="str">
        <f t="shared" ref="X281:AD281" si="512">IFERROR(INDIRECT("'Bloque "&amp;$AQ$41&amp;" Semana "&amp;$AQ$40&amp;"'"&amp;"!"&amp;X$271&amp;$AE281),"")</f>
        <v/>
      </c>
      <c r="Y281" s="197" t="str">
        <f t="shared" si="512"/>
        <v/>
      </c>
      <c r="Z281" s="197" t="str">
        <f t="shared" si="512"/>
        <v/>
      </c>
      <c r="AA281" s="197" t="str">
        <f t="shared" si="512"/>
        <v/>
      </c>
      <c r="AB281" s="197" t="str">
        <f t="shared" si="512"/>
        <v/>
      </c>
      <c r="AC281" s="197" t="str">
        <f t="shared" si="512"/>
        <v/>
      </c>
      <c r="AD281" s="197" t="str">
        <f t="shared" si="512"/>
        <v/>
      </c>
      <c r="AE281" s="191">
        <v>33.0</v>
      </c>
      <c r="AF281" s="197" t="str">
        <f t="shared" ref="AF281:AL281" si="513">IFERROR(INDIRECT("'Bloque "&amp;$AR$41&amp;" Semana "&amp;$AR$40&amp;"'"&amp;"!"&amp;AF$271&amp;$AM281),"")</f>
        <v/>
      </c>
      <c r="AG281" s="197" t="str">
        <f t="shared" si="513"/>
        <v/>
      </c>
      <c r="AH281" s="197" t="str">
        <f t="shared" si="513"/>
        <v/>
      </c>
      <c r="AI281" s="197" t="str">
        <f t="shared" si="513"/>
        <v/>
      </c>
      <c r="AJ281" s="197" t="str">
        <f t="shared" si="513"/>
        <v/>
      </c>
      <c r="AK281" s="197" t="str">
        <f t="shared" si="513"/>
        <v/>
      </c>
      <c r="AL281" s="197" t="str">
        <f t="shared" si="513"/>
        <v/>
      </c>
      <c r="AM281" s="191">
        <v>33.0</v>
      </c>
      <c r="AN281" s="197" t="str">
        <f t="shared" ref="AN281:AT281" si="514">IFERROR(INDIRECT("'Bloque "&amp;$AS$41&amp;" Semana "&amp;$AS$40&amp;"'"&amp;"!"&amp;AN$271&amp;$AU281),"")</f>
        <v/>
      </c>
      <c r="AO281" s="197" t="str">
        <f t="shared" si="514"/>
        <v/>
      </c>
      <c r="AP281" s="197" t="str">
        <f t="shared" si="514"/>
        <v/>
      </c>
      <c r="AQ281" s="197" t="str">
        <f t="shared" si="514"/>
        <v/>
      </c>
      <c r="AR281" s="197" t="str">
        <f t="shared" si="514"/>
        <v/>
      </c>
      <c r="AS281" s="197" t="str">
        <f t="shared" si="514"/>
        <v/>
      </c>
      <c r="AT281" s="197" t="str">
        <f t="shared" si="514"/>
        <v/>
      </c>
      <c r="AU281" s="191">
        <v>33.0</v>
      </c>
    </row>
    <row r="282">
      <c r="A282" s="4"/>
      <c r="B282" s="4"/>
      <c r="C282" s="4"/>
      <c r="D282" s="29"/>
      <c r="E282" s="29"/>
      <c r="F282" s="29"/>
      <c r="G282" s="29"/>
      <c r="H282" s="29"/>
      <c r="I282" s="29"/>
      <c r="J282" s="29"/>
      <c r="K282" s="29"/>
      <c r="L282" s="29"/>
      <c r="M282" s="29"/>
      <c r="N282" s="29"/>
      <c r="O282" s="4"/>
      <c r="P282" s="4"/>
      <c r="Q282" s="4"/>
      <c r="R282" s="77"/>
      <c r="V282" s="176"/>
      <c r="W282" s="176"/>
      <c r="X282" s="197" t="str">
        <f t="shared" ref="X282:AD282" si="515">IFERROR(INDIRECT("'Bloque "&amp;$AQ$41&amp;" Semana "&amp;$AQ$40&amp;"'"&amp;"!"&amp;X$271&amp;$AE282),"")</f>
        <v/>
      </c>
      <c r="Y282" s="197" t="str">
        <f t="shared" si="515"/>
        <v/>
      </c>
      <c r="Z282" s="197" t="str">
        <f t="shared" si="515"/>
        <v/>
      </c>
      <c r="AA282" s="197" t="str">
        <f t="shared" si="515"/>
        <v/>
      </c>
      <c r="AB282" s="197" t="str">
        <f t="shared" si="515"/>
        <v/>
      </c>
      <c r="AC282" s="197" t="str">
        <f t="shared" si="515"/>
        <v/>
      </c>
      <c r="AD282" s="197" t="str">
        <f t="shared" si="515"/>
        <v/>
      </c>
      <c r="AE282" s="191">
        <v>34.0</v>
      </c>
      <c r="AF282" s="197" t="str">
        <f t="shared" ref="AF282:AL282" si="516">IFERROR(INDIRECT("'Bloque "&amp;$AR$41&amp;" Semana "&amp;$AR$40&amp;"'"&amp;"!"&amp;AF$271&amp;$AM282),"")</f>
        <v/>
      </c>
      <c r="AG282" s="197" t="str">
        <f t="shared" si="516"/>
        <v/>
      </c>
      <c r="AH282" s="197" t="str">
        <f t="shared" si="516"/>
        <v/>
      </c>
      <c r="AI282" s="197" t="str">
        <f t="shared" si="516"/>
        <v/>
      </c>
      <c r="AJ282" s="197" t="str">
        <f t="shared" si="516"/>
        <v/>
      </c>
      <c r="AK282" s="197" t="str">
        <f t="shared" si="516"/>
        <v/>
      </c>
      <c r="AL282" s="197" t="str">
        <f t="shared" si="516"/>
        <v/>
      </c>
      <c r="AM282" s="191">
        <v>34.0</v>
      </c>
      <c r="AN282" s="197" t="str">
        <f t="shared" ref="AN282:AT282" si="517">IFERROR(INDIRECT("'Bloque "&amp;$AS$41&amp;" Semana "&amp;$AS$40&amp;"'"&amp;"!"&amp;AN$271&amp;$AU282),"")</f>
        <v/>
      </c>
      <c r="AO282" s="197" t="str">
        <f t="shared" si="517"/>
        <v/>
      </c>
      <c r="AP282" s="197" t="str">
        <f t="shared" si="517"/>
        <v/>
      </c>
      <c r="AQ282" s="197" t="str">
        <f t="shared" si="517"/>
        <v/>
      </c>
      <c r="AR282" s="197" t="str">
        <f t="shared" si="517"/>
        <v/>
      </c>
      <c r="AS282" s="197" t="str">
        <f t="shared" si="517"/>
        <v/>
      </c>
      <c r="AT282" s="197" t="str">
        <f t="shared" si="517"/>
        <v/>
      </c>
      <c r="AU282" s="191">
        <v>34.0</v>
      </c>
    </row>
    <row r="283">
      <c r="A283" s="4"/>
      <c r="B283" s="4"/>
      <c r="C283" s="4"/>
      <c r="D283" s="29"/>
      <c r="E283" s="29"/>
      <c r="F283" s="29"/>
      <c r="G283" s="29"/>
      <c r="H283" s="29"/>
      <c r="I283" s="29"/>
      <c r="J283" s="29"/>
      <c r="K283" s="29"/>
      <c r="L283" s="29"/>
      <c r="M283" s="29"/>
      <c r="N283" s="29"/>
      <c r="O283" s="4"/>
      <c r="P283" s="4"/>
      <c r="Q283" s="4"/>
      <c r="R283" s="77"/>
      <c r="V283" s="176"/>
      <c r="W283" s="176"/>
      <c r="X283" s="197" t="str">
        <f t="shared" ref="X283:AD283" si="518">IFERROR(INDIRECT("'Bloque "&amp;$AQ$41&amp;" Semana "&amp;$AQ$40&amp;"'"&amp;"!"&amp;X$271&amp;$AE283),"")</f>
        <v/>
      </c>
      <c r="Y283" s="197" t="str">
        <f t="shared" si="518"/>
        <v/>
      </c>
      <c r="Z283" s="197" t="str">
        <f t="shared" si="518"/>
        <v/>
      </c>
      <c r="AA283" s="197" t="str">
        <f t="shared" si="518"/>
        <v/>
      </c>
      <c r="AB283" s="197" t="str">
        <f t="shared" si="518"/>
        <v/>
      </c>
      <c r="AC283" s="197" t="str">
        <f t="shared" si="518"/>
        <v/>
      </c>
      <c r="AD283" s="197" t="str">
        <f t="shared" si="518"/>
        <v/>
      </c>
      <c r="AE283" s="191">
        <v>35.0</v>
      </c>
      <c r="AF283" s="197" t="str">
        <f t="shared" ref="AF283:AL283" si="519">IFERROR(INDIRECT("'Bloque "&amp;$AR$41&amp;" Semana "&amp;$AR$40&amp;"'"&amp;"!"&amp;AF$271&amp;$AM283),"")</f>
        <v/>
      </c>
      <c r="AG283" s="197" t="str">
        <f t="shared" si="519"/>
        <v/>
      </c>
      <c r="AH283" s="197" t="str">
        <f t="shared" si="519"/>
        <v/>
      </c>
      <c r="AI283" s="197" t="str">
        <f t="shared" si="519"/>
        <v/>
      </c>
      <c r="AJ283" s="197" t="str">
        <f t="shared" si="519"/>
        <v/>
      </c>
      <c r="AK283" s="197" t="str">
        <f t="shared" si="519"/>
        <v/>
      </c>
      <c r="AL283" s="197" t="str">
        <f t="shared" si="519"/>
        <v/>
      </c>
      <c r="AM283" s="191">
        <v>35.0</v>
      </c>
      <c r="AN283" s="197" t="str">
        <f t="shared" ref="AN283:AT283" si="520">IFERROR(INDIRECT("'Bloque "&amp;$AS$41&amp;" Semana "&amp;$AS$40&amp;"'"&amp;"!"&amp;AN$271&amp;$AU283),"")</f>
        <v/>
      </c>
      <c r="AO283" s="197" t="str">
        <f t="shared" si="520"/>
        <v/>
      </c>
      <c r="AP283" s="197" t="str">
        <f t="shared" si="520"/>
        <v/>
      </c>
      <c r="AQ283" s="197" t="str">
        <f t="shared" si="520"/>
        <v/>
      </c>
      <c r="AR283" s="197" t="str">
        <f t="shared" si="520"/>
        <v/>
      </c>
      <c r="AS283" s="197" t="str">
        <f t="shared" si="520"/>
        <v/>
      </c>
      <c r="AT283" s="197" t="str">
        <f t="shared" si="520"/>
        <v/>
      </c>
      <c r="AU283" s="191">
        <v>35.0</v>
      </c>
    </row>
    <row r="284">
      <c r="A284" s="4"/>
      <c r="B284" s="4"/>
      <c r="C284" s="4"/>
      <c r="D284" s="29"/>
      <c r="E284" s="29"/>
      <c r="F284" s="29"/>
      <c r="G284" s="29"/>
      <c r="H284" s="29"/>
      <c r="I284" s="29"/>
      <c r="J284" s="29"/>
      <c r="K284" s="29"/>
      <c r="L284" s="29"/>
      <c r="M284" s="29"/>
      <c r="N284" s="29"/>
      <c r="O284" s="4"/>
      <c r="P284" s="4"/>
      <c r="Q284" s="4"/>
      <c r="R284" s="77"/>
      <c r="V284" s="176"/>
      <c r="W284" s="176"/>
      <c r="X284" s="176"/>
      <c r="Y284" s="176"/>
      <c r="Z284" s="176"/>
      <c r="AA284" s="176"/>
      <c r="AB284" s="176"/>
      <c r="AC284" s="176"/>
      <c r="AD284" s="176"/>
      <c r="AE284" s="192"/>
      <c r="AF284" s="197"/>
      <c r="AG284" s="197"/>
      <c r="AH284" s="197"/>
      <c r="AI284" s="197"/>
      <c r="AJ284" s="197"/>
      <c r="AK284" s="197"/>
      <c r="AL284" s="197"/>
      <c r="AM284" s="192"/>
      <c r="AN284" s="176"/>
      <c r="AO284" s="176"/>
      <c r="AP284" s="176"/>
      <c r="AQ284" s="176"/>
      <c r="AR284" s="176"/>
      <c r="AU284" s="187"/>
    </row>
    <row r="285">
      <c r="A285" s="193"/>
      <c r="B285" s="193"/>
      <c r="C285" s="193"/>
      <c r="D285" s="195"/>
      <c r="E285" s="195"/>
      <c r="F285" s="195"/>
      <c r="G285" s="195"/>
      <c r="H285" s="195"/>
      <c r="I285" s="195"/>
      <c r="J285" s="195"/>
      <c r="K285" s="195"/>
      <c r="L285" s="195"/>
      <c r="M285" s="195"/>
      <c r="N285" s="195"/>
      <c r="O285" s="193"/>
      <c r="P285" s="193"/>
      <c r="Q285" s="193"/>
      <c r="R285" s="196"/>
      <c r="S285" s="187"/>
      <c r="T285" s="187"/>
      <c r="U285" s="187"/>
      <c r="V285" s="192"/>
      <c r="W285" s="192"/>
      <c r="X285" s="186" t="s">
        <v>202</v>
      </c>
      <c r="Y285" s="186" t="s">
        <v>203</v>
      </c>
      <c r="Z285" s="186" t="s">
        <v>209</v>
      </c>
      <c r="AA285" s="186" t="s">
        <v>205</v>
      </c>
      <c r="AB285" s="186" t="s">
        <v>206</v>
      </c>
      <c r="AC285" s="186" t="s">
        <v>207</v>
      </c>
      <c r="AD285" s="186" t="s">
        <v>208</v>
      </c>
      <c r="AE285" s="187"/>
      <c r="AF285" s="186" t="s">
        <v>202</v>
      </c>
      <c r="AG285" s="186" t="s">
        <v>203</v>
      </c>
      <c r="AH285" s="186" t="s">
        <v>209</v>
      </c>
      <c r="AI285" s="186" t="s">
        <v>205</v>
      </c>
      <c r="AJ285" s="186" t="s">
        <v>206</v>
      </c>
      <c r="AK285" s="186" t="s">
        <v>207</v>
      </c>
      <c r="AL285" s="186" t="s">
        <v>208</v>
      </c>
      <c r="AM285" s="187"/>
      <c r="AN285" s="186" t="s">
        <v>202</v>
      </c>
      <c r="AO285" s="186" t="s">
        <v>203</v>
      </c>
      <c r="AP285" s="186" t="s">
        <v>209</v>
      </c>
      <c r="AQ285" s="186" t="s">
        <v>205</v>
      </c>
      <c r="AR285" s="186" t="s">
        <v>206</v>
      </c>
      <c r="AS285" s="186" t="s">
        <v>207</v>
      </c>
      <c r="AT285" s="186" t="s">
        <v>208</v>
      </c>
      <c r="AU285" s="187"/>
      <c r="AV285" s="187"/>
      <c r="AW285" s="187"/>
      <c r="AX285" s="187"/>
      <c r="AY285" s="187"/>
      <c r="AZ285" s="187"/>
      <c r="BA285" s="187"/>
      <c r="BB285" s="187"/>
      <c r="BC285" s="187"/>
      <c r="BD285" s="187"/>
      <c r="BE285" s="187"/>
      <c r="BF285" s="187"/>
      <c r="BG285" s="187"/>
      <c r="BH285" s="187"/>
      <c r="BI285" s="187"/>
      <c r="BJ285" s="187"/>
      <c r="BK285" s="187"/>
      <c r="BL285" s="187"/>
      <c r="BM285" s="187"/>
      <c r="BN285" s="187"/>
      <c r="BO285" s="187"/>
      <c r="BP285" s="187"/>
      <c r="BQ285" s="187"/>
      <c r="BR285" s="187"/>
      <c r="BS285" s="187"/>
      <c r="BT285" s="187"/>
      <c r="BU285" s="187"/>
      <c r="BV285" s="187"/>
      <c r="BW285" s="187"/>
      <c r="BX285" s="187"/>
      <c r="BY285" s="187"/>
      <c r="BZ285" s="187"/>
      <c r="CA285" s="187"/>
      <c r="CB285" s="187"/>
      <c r="CC285" s="187"/>
      <c r="CD285" s="187"/>
      <c r="CE285" s="187"/>
      <c r="CF285" s="187"/>
      <c r="CG285" s="187"/>
      <c r="CH285" s="187"/>
      <c r="CI285" s="187"/>
      <c r="CJ285" s="187"/>
      <c r="CK285" s="187"/>
      <c r="CL285" s="187"/>
      <c r="CM285" s="187"/>
      <c r="CN285" s="187"/>
      <c r="CO285" s="187"/>
      <c r="CP285" s="187"/>
      <c r="CQ285" s="187"/>
      <c r="CR285" s="187"/>
      <c r="CS285" s="187"/>
      <c r="CT285" s="187"/>
      <c r="CU285" s="187"/>
      <c r="CV285" s="187"/>
      <c r="CW285" s="187"/>
      <c r="CX285" s="187"/>
      <c r="CY285" s="187"/>
      <c r="CZ285" s="187"/>
      <c r="DA285" s="187"/>
      <c r="DB285" s="187"/>
      <c r="DC285" s="187"/>
      <c r="DD285" s="187"/>
      <c r="DE285" s="187"/>
      <c r="DF285" s="187"/>
      <c r="DG285" s="187"/>
      <c r="DH285" s="187"/>
      <c r="DI285" s="187"/>
      <c r="DJ285" s="187"/>
      <c r="DK285" s="187"/>
      <c r="DL285" s="187"/>
      <c r="DM285" s="187"/>
      <c r="DN285" s="187"/>
      <c r="DO285" s="187"/>
      <c r="DP285" s="187"/>
      <c r="DQ285" s="187"/>
      <c r="DR285" s="187"/>
      <c r="DS285" s="187"/>
      <c r="DT285" s="187"/>
      <c r="DU285" s="187"/>
      <c r="DV285" s="187"/>
      <c r="DW285" s="187"/>
      <c r="DX285" s="187"/>
      <c r="DY285" s="187"/>
      <c r="DZ285" s="187"/>
      <c r="EA285" s="187"/>
      <c r="EB285" s="187"/>
      <c r="EC285" s="187"/>
      <c r="ED285" s="187"/>
      <c r="EE285" s="187"/>
      <c r="EF285" s="187"/>
      <c r="EG285" s="187"/>
      <c r="EH285" s="187"/>
      <c r="EI285" s="187"/>
      <c r="EJ285" s="187"/>
    </row>
    <row r="286">
      <c r="A286" s="4"/>
      <c r="B286" s="4"/>
      <c r="C286" s="4"/>
      <c r="D286" s="29"/>
      <c r="E286" s="29"/>
      <c r="F286" s="29"/>
      <c r="G286" s="29"/>
      <c r="H286" s="29"/>
      <c r="I286" s="29"/>
      <c r="J286" s="29"/>
      <c r="K286" s="29"/>
      <c r="L286" s="29"/>
      <c r="M286" s="29"/>
      <c r="N286" s="29"/>
      <c r="O286" s="4"/>
      <c r="P286" s="4"/>
      <c r="Q286" s="4"/>
      <c r="R286" s="77"/>
      <c r="V286" s="176"/>
      <c r="W286" s="176"/>
      <c r="X286" s="188" t="str">
        <f t="array" ref="X286">IFERROR(INDIRECT("'Bloque "&amp;$AT$41&amp;" Semana "&amp;$AT$40&amp;"'"&amp;"!"&amp;"E37"),"")</f>
        <v/>
      </c>
      <c r="AE286" s="186">
        <v>26.0</v>
      </c>
      <c r="AF286" s="188" t="str">
        <f t="array" ref="AF286">IFERROR(INDIRECT("'Bloque "&amp;$AU$41&amp;" Semana "&amp;$AU$40&amp;"'"&amp;"!"&amp;"E37"),"")</f>
        <v/>
      </c>
      <c r="AM286" s="186">
        <v>26.0</v>
      </c>
      <c r="AN286" s="188" t="str">
        <f t="array" ref="AN286">IFERROR(INDIRECT("'Bloque "&amp;$AV$41&amp;" Semana "&amp;$AV$40&amp;"'"&amp;"!"&amp;"E37"),"")</f>
        <v/>
      </c>
      <c r="AU286" s="186">
        <v>26.0</v>
      </c>
    </row>
    <row r="287">
      <c r="A287" s="4"/>
      <c r="B287" s="4"/>
      <c r="C287" s="4"/>
      <c r="D287" s="29"/>
      <c r="E287" s="29"/>
      <c r="F287" s="29"/>
      <c r="G287" s="29"/>
      <c r="H287" s="29"/>
      <c r="I287" s="29"/>
      <c r="J287" s="29"/>
      <c r="K287" s="29"/>
      <c r="L287" s="29"/>
      <c r="M287" s="29"/>
      <c r="N287" s="29"/>
      <c r="O287" s="4"/>
      <c r="P287" s="4"/>
      <c r="Q287" s="4"/>
      <c r="R287" s="77"/>
      <c r="V287" s="176"/>
      <c r="W287" s="176"/>
      <c r="X287" s="176" t="str">
        <f t="array" ref="X287">IFERROR(INDIRECT("'Bloque "&amp;$AT$41&amp;" Semana "&amp;$AT$40&amp;"'"&amp;"!"&amp;"E25"),"")</f>
        <v/>
      </c>
      <c r="AE287" s="186">
        <v>25.0</v>
      </c>
      <c r="AF287" s="176" t="str">
        <f t="array" ref="AF287">IFERROR(INDIRECT("'Bloque "&amp;$AU$41&amp;" Semana "&amp;$AU$40&amp;"'"&amp;"!"&amp;"E25"),"")</f>
        <v/>
      </c>
      <c r="AM287" s="186">
        <v>25.0</v>
      </c>
      <c r="AN287" s="176" t="str">
        <f t="array" ref="AN287">IFERROR(INDIRECT("'Bloque "&amp;$AV$41&amp;" Semana "&amp;$AV$40&amp;"'"&amp;"!"&amp;"E25"),"")</f>
        <v/>
      </c>
      <c r="AU287" s="186">
        <v>25.0</v>
      </c>
    </row>
    <row r="288">
      <c r="A288" s="4"/>
      <c r="B288" s="4"/>
      <c r="C288" s="4"/>
      <c r="D288" s="29"/>
      <c r="E288" s="29"/>
      <c r="F288" s="29"/>
      <c r="G288" s="29"/>
      <c r="H288" s="29"/>
      <c r="I288" s="29"/>
      <c r="J288" s="29"/>
      <c r="K288" s="29"/>
      <c r="L288" s="29"/>
      <c r="M288" s="29"/>
      <c r="N288" s="29"/>
      <c r="O288" s="4"/>
      <c r="P288" s="4"/>
      <c r="Q288" s="4"/>
      <c r="R288" s="77"/>
      <c r="V288" s="176"/>
      <c r="W288" s="176"/>
      <c r="X288" s="189" t="str">
        <f t="array" ref="X288">IFERROR(INDIRECT("'Bloque "&amp;$AT$41&amp;" Semana "&amp;$AT$40&amp;"'"&amp;"!"&amp;"E26"),"")</f>
        <v/>
      </c>
      <c r="AE288" s="186">
        <v>26.0</v>
      </c>
      <c r="AF288" s="189" t="str">
        <f t="array" ref="AF288">IFERROR(INDIRECT("'Bloque "&amp;$AU$41&amp;" Semana "&amp;$AU$40&amp;"'"&amp;"!"&amp;"E26"),"")</f>
        <v/>
      </c>
      <c r="AM288" s="186">
        <v>26.0</v>
      </c>
      <c r="AN288" s="189" t="str">
        <f t="array" ref="AN288">IFERROR(INDIRECT("'Bloque "&amp;$AV$41&amp;" Semana "&amp;$AV$40&amp;"'"&amp;"!"&amp;"E26"),"")</f>
        <v/>
      </c>
      <c r="AU288" s="186">
        <v>26.0</v>
      </c>
    </row>
    <row r="289">
      <c r="A289" s="4"/>
      <c r="B289" s="4"/>
      <c r="C289" s="4"/>
      <c r="D289" s="29"/>
      <c r="E289" s="29"/>
      <c r="F289" s="29"/>
      <c r="G289" s="29"/>
      <c r="H289" s="29"/>
      <c r="I289" s="29"/>
      <c r="J289" s="29"/>
      <c r="K289" s="29"/>
      <c r="L289" s="29"/>
      <c r="M289" s="29"/>
      <c r="N289" s="29"/>
      <c r="O289" s="4"/>
      <c r="P289" s="4"/>
      <c r="Q289" s="4"/>
      <c r="R289" s="77"/>
      <c r="V289" s="176"/>
      <c r="W289" s="176"/>
      <c r="X289" s="190" t="str">
        <f t="shared" ref="X289:AD289" si="521">IFERROR(INDIRECT("'Bloque "&amp;$AT$41&amp;" Semana "&amp;$AT$40&amp;"'"&amp;"!"&amp;X$285&amp;$AE289),"")</f>
        <v/>
      </c>
      <c r="Y289" s="190" t="str">
        <f t="shared" si="521"/>
        <v/>
      </c>
      <c r="Z289" s="190" t="str">
        <f t="shared" si="521"/>
        <v/>
      </c>
      <c r="AA289" s="190" t="str">
        <f t="shared" si="521"/>
        <v/>
      </c>
      <c r="AB289" s="190" t="str">
        <f t="shared" si="521"/>
        <v/>
      </c>
      <c r="AC289" s="190" t="str">
        <f t="shared" si="521"/>
        <v/>
      </c>
      <c r="AD289" s="190" t="str">
        <f t="shared" si="521"/>
        <v/>
      </c>
      <c r="AE289" s="191">
        <v>27.0</v>
      </c>
      <c r="AF289" s="190" t="str">
        <f t="shared" ref="AF289:AL289" si="522">IFERROR(INDIRECT("'Bloque "&amp;$AU$41&amp;" Semana "&amp;$AU$40&amp;"'"&amp;"!"&amp;AF$285&amp;$AM289),"")</f>
        <v/>
      </c>
      <c r="AG289" s="190" t="str">
        <f t="shared" si="522"/>
        <v/>
      </c>
      <c r="AH289" s="190" t="str">
        <f t="shared" si="522"/>
        <v/>
      </c>
      <c r="AI289" s="190" t="str">
        <f t="shared" si="522"/>
        <v/>
      </c>
      <c r="AJ289" s="190" t="str">
        <f t="shared" si="522"/>
        <v/>
      </c>
      <c r="AK289" s="190" t="str">
        <f t="shared" si="522"/>
        <v/>
      </c>
      <c r="AL289" s="190" t="str">
        <f t="shared" si="522"/>
        <v/>
      </c>
      <c r="AM289" s="191">
        <v>27.0</v>
      </c>
      <c r="AN289" s="190" t="str">
        <f t="shared" ref="AN289:AT289" si="523">IFERROR(INDIRECT("'Bloque "&amp;$AV$41&amp;" Semana "&amp;$AV$40&amp;"'"&amp;"!"&amp;AN$285&amp;$AU289),"")</f>
        <v/>
      </c>
      <c r="AO289" s="190" t="str">
        <f t="shared" si="523"/>
        <v/>
      </c>
      <c r="AP289" s="190" t="str">
        <f t="shared" si="523"/>
        <v/>
      </c>
      <c r="AQ289" s="190" t="str">
        <f t="shared" si="523"/>
        <v/>
      </c>
      <c r="AR289" s="190" t="str">
        <f t="shared" si="523"/>
        <v/>
      </c>
      <c r="AS289" s="190" t="str">
        <f t="shared" si="523"/>
        <v/>
      </c>
      <c r="AT289" s="190" t="str">
        <f t="shared" si="523"/>
        <v/>
      </c>
      <c r="AU289" s="191">
        <v>27.0</v>
      </c>
    </row>
    <row r="290">
      <c r="A290" s="4"/>
      <c r="B290" s="4"/>
      <c r="C290" s="4"/>
      <c r="D290" s="29"/>
      <c r="E290" s="29"/>
      <c r="F290" s="29"/>
      <c r="G290" s="29"/>
      <c r="H290" s="29"/>
      <c r="I290" s="29"/>
      <c r="J290" s="29"/>
      <c r="K290" s="29"/>
      <c r="L290" s="29"/>
      <c r="M290" s="29"/>
      <c r="N290" s="29"/>
      <c r="O290" s="4"/>
      <c r="P290" s="4"/>
      <c r="Q290" s="4"/>
      <c r="R290" s="77"/>
      <c r="V290" s="176"/>
      <c r="W290" s="176"/>
      <c r="X290" s="197" t="str">
        <f t="shared" ref="X290:AD290" si="524">IFERROR(INDIRECT("'Bloque "&amp;$AT$41&amp;" Semana "&amp;$AT$40&amp;"'"&amp;"!"&amp;X$285&amp;$AE290),"")</f>
        <v/>
      </c>
      <c r="Y290" s="197" t="str">
        <f t="shared" si="524"/>
        <v/>
      </c>
      <c r="Z290" s="197" t="str">
        <f t="shared" si="524"/>
        <v/>
      </c>
      <c r="AA290" s="197" t="str">
        <f t="shared" si="524"/>
        <v/>
      </c>
      <c r="AB290" s="197" t="str">
        <f t="shared" si="524"/>
        <v/>
      </c>
      <c r="AC290" s="197" t="str">
        <f t="shared" si="524"/>
        <v/>
      </c>
      <c r="AD290" s="197" t="str">
        <f t="shared" si="524"/>
        <v/>
      </c>
      <c r="AE290" s="191">
        <v>28.0</v>
      </c>
      <c r="AF290" s="197" t="str">
        <f t="shared" ref="AF290:AL290" si="525">IFERROR(INDIRECT("'Bloque "&amp;$AU$41&amp;" Semana "&amp;$AU$40&amp;"'"&amp;"!"&amp;AF$285&amp;$AM290),"")</f>
        <v/>
      </c>
      <c r="AG290" s="197" t="str">
        <f t="shared" si="525"/>
        <v/>
      </c>
      <c r="AH290" s="197" t="str">
        <f t="shared" si="525"/>
        <v/>
      </c>
      <c r="AI290" s="197" t="str">
        <f t="shared" si="525"/>
        <v/>
      </c>
      <c r="AJ290" s="197" t="str">
        <f t="shared" si="525"/>
        <v/>
      </c>
      <c r="AK290" s="197" t="str">
        <f t="shared" si="525"/>
        <v/>
      </c>
      <c r="AL290" s="197" t="str">
        <f t="shared" si="525"/>
        <v/>
      </c>
      <c r="AM290" s="191">
        <v>28.0</v>
      </c>
      <c r="AN290" s="197" t="str">
        <f t="shared" ref="AN290:AT290" si="526">IFERROR(INDIRECT("'Bloque "&amp;$AV$41&amp;" Semana "&amp;$AV$40&amp;"'"&amp;"!"&amp;AN$285&amp;$AU290),"")</f>
        <v/>
      </c>
      <c r="AO290" s="197" t="str">
        <f t="shared" si="526"/>
        <v/>
      </c>
      <c r="AP290" s="197" t="str">
        <f t="shared" si="526"/>
        <v/>
      </c>
      <c r="AQ290" s="197" t="str">
        <f t="shared" si="526"/>
        <v/>
      </c>
      <c r="AR290" s="197" t="str">
        <f t="shared" si="526"/>
        <v/>
      </c>
      <c r="AS290" s="197" t="str">
        <f t="shared" si="526"/>
        <v/>
      </c>
      <c r="AT290" s="197" t="str">
        <f t="shared" si="526"/>
        <v/>
      </c>
      <c r="AU290" s="191">
        <v>28.0</v>
      </c>
    </row>
    <row r="291">
      <c r="A291" s="4"/>
      <c r="B291" s="4"/>
      <c r="C291" s="4"/>
      <c r="D291" s="29"/>
      <c r="E291" s="29"/>
      <c r="F291" s="29"/>
      <c r="G291" s="29"/>
      <c r="H291" s="29"/>
      <c r="I291" s="29"/>
      <c r="J291" s="29"/>
      <c r="K291" s="29"/>
      <c r="L291" s="29"/>
      <c r="M291" s="29"/>
      <c r="N291" s="29"/>
      <c r="O291" s="4"/>
      <c r="P291" s="4"/>
      <c r="Q291" s="4"/>
      <c r="R291" s="77"/>
      <c r="V291" s="176"/>
      <c r="W291" s="176"/>
      <c r="X291" s="197" t="str">
        <f t="shared" ref="X291:AD291" si="527">IFERROR(INDIRECT("'Bloque "&amp;$AT$41&amp;" Semana "&amp;$AT$40&amp;"'"&amp;"!"&amp;X$285&amp;$AE291),"")</f>
        <v/>
      </c>
      <c r="Y291" s="197" t="str">
        <f t="shared" si="527"/>
        <v/>
      </c>
      <c r="Z291" s="197" t="str">
        <f t="shared" si="527"/>
        <v/>
      </c>
      <c r="AA291" s="197" t="str">
        <f t="shared" si="527"/>
        <v/>
      </c>
      <c r="AB291" s="197" t="str">
        <f t="shared" si="527"/>
        <v/>
      </c>
      <c r="AC291" s="197" t="str">
        <f t="shared" si="527"/>
        <v/>
      </c>
      <c r="AD291" s="197" t="str">
        <f t="shared" si="527"/>
        <v/>
      </c>
      <c r="AE291" s="191">
        <v>29.0</v>
      </c>
      <c r="AF291" s="197" t="str">
        <f t="shared" ref="AF291:AL291" si="528">IFERROR(INDIRECT("'Bloque "&amp;$AU$41&amp;" Semana "&amp;$AU$40&amp;"'"&amp;"!"&amp;AF$285&amp;$AM291),"")</f>
        <v/>
      </c>
      <c r="AG291" s="197" t="str">
        <f t="shared" si="528"/>
        <v/>
      </c>
      <c r="AH291" s="197" t="str">
        <f t="shared" si="528"/>
        <v/>
      </c>
      <c r="AI291" s="197" t="str">
        <f t="shared" si="528"/>
        <v/>
      </c>
      <c r="AJ291" s="197" t="str">
        <f t="shared" si="528"/>
        <v/>
      </c>
      <c r="AK291" s="197" t="str">
        <f t="shared" si="528"/>
        <v/>
      </c>
      <c r="AL291" s="197" t="str">
        <f t="shared" si="528"/>
        <v/>
      </c>
      <c r="AM291" s="191">
        <v>29.0</v>
      </c>
      <c r="AN291" s="197" t="str">
        <f t="shared" ref="AN291:AT291" si="529">IFERROR(INDIRECT("'Bloque "&amp;$AV$41&amp;" Semana "&amp;$AV$40&amp;"'"&amp;"!"&amp;AN$285&amp;$AU291),"")</f>
        <v/>
      </c>
      <c r="AO291" s="197" t="str">
        <f t="shared" si="529"/>
        <v/>
      </c>
      <c r="AP291" s="197" t="str">
        <f t="shared" si="529"/>
        <v/>
      </c>
      <c r="AQ291" s="197" t="str">
        <f t="shared" si="529"/>
        <v/>
      </c>
      <c r="AR291" s="197" t="str">
        <f t="shared" si="529"/>
        <v/>
      </c>
      <c r="AS291" s="197" t="str">
        <f t="shared" si="529"/>
        <v/>
      </c>
      <c r="AT291" s="197" t="str">
        <f t="shared" si="529"/>
        <v/>
      </c>
      <c r="AU291" s="191">
        <v>29.0</v>
      </c>
    </row>
    <row r="292">
      <c r="A292" s="4"/>
      <c r="B292" s="4"/>
      <c r="C292" s="4"/>
      <c r="D292" s="29"/>
      <c r="E292" s="29"/>
      <c r="F292" s="29"/>
      <c r="G292" s="29"/>
      <c r="H292" s="29"/>
      <c r="I292" s="29"/>
      <c r="J292" s="29"/>
      <c r="K292" s="29"/>
      <c r="L292" s="29"/>
      <c r="M292" s="29"/>
      <c r="N292" s="29"/>
      <c r="O292" s="4"/>
      <c r="P292" s="4"/>
      <c r="Q292" s="4"/>
      <c r="R292" s="77"/>
      <c r="V292" s="176"/>
      <c r="W292" s="176"/>
      <c r="X292" s="197" t="str">
        <f t="shared" ref="X292:AD292" si="530">IFERROR(INDIRECT("'Bloque "&amp;$AT$41&amp;" Semana "&amp;$AT$40&amp;"'"&amp;"!"&amp;X$285&amp;$AE292),"")</f>
        <v/>
      </c>
      <c r="Y292" s="197" t="str">
        <f t="shared" si="530"/>
        <v/>
      </c>
      <c r="Z292" s="197" t="str">
        <f t="shared" si="530"/>
        <v/>
      </c>
      <c r="AA292" s="197" t="str">
        <f t="shared" si="530"/>
        <v/>
      </c>
      <c r="AB292" s="197" t="str">
        <f t="shared" si="530"/>
        <v/>
      </c>
      <c r="AC292" s="197" t="str">
        <f t="shared" si="530"/>
        <v/>
      </c>
      <c r="AD292" s="197" t="str">
        <f t="shared" si="530"/>
        <v/>
      </c>
      <c r="AE292" s="191">
        <v>30.0</v>
      </c>
      <c r="AF292" s="197" t="str">
        <f t="shared" ref="AF292:AL292" si="531">IFERROR(INDIRECT("'Bloque "&amp;$AU$41&amp;" Semana "&amp;$AU$40&amp;"'"&amp;"!"&amp;AF$285&amp;$AM292),"")</f>
        <v/>
      </c>
      <c r="AG292" s="197" t="str">
        <f t="shared" si="531"/>
        <v/>
      </c>
      <c r="AH292" s="197" t="str">
        <f t="shared" si="531"/>
        <v/>
      </c>
      <c r="AI292" s="197" t="str">
        <f t="shared" si="531"/>
        <v/>
      </c>
      <c r="AJ292" s="197" t="str">
        <f t="shared" si="531"/>
        <v/>
      </c>
      <c r="AK292" s="197" t="str">
        <f t="shared" si="531"/>
        <v/>
      </c>
      <c r="AL292" s="197" t="str">
        <f t="shared" si="531"/>
        <v/>
      </c>
      <c r="AM292" s="191">
        <v>30.0</v>
      </c>
      <c r="AN292" s="197" t="str">
        <f t="shared" ref="AN292:AT292" si="532">IFERROR(INDIRECT("'Bloque "&amp;$AV$41&amp;" Semana "&amp;$AV$40&amp;"'"&amp;"!"&amp;AN$285&amp;$AU292),"")</f>
        <v/>
      </c>
      <c r="AO292" s="197" t="str">
        <f t="shared" si="532"/>
        <v/>
      </c>
      <c r="AP292" s="197" t="str">
        <f t="shared" si="532"/>
        <v/>
      </c>
      <c r="AQ292" s="197" t="str">
        <f t="shared" si="532"/>
        <v/>
      </c>
      <c r="AR292" s="197" t="str">
        <f t="shared" si="532"/>
        <v/>
      </c>
      <c r="AS292" s="197" t="str">
        <f t="shared" si="532"/>
        <v/>
      </c>
      <c r="AT292" s="197" t="str">
        <f t="shared" si="532"/>
        <v/>
      </c>
      <c r="AU292" s="191">
        <v>30.0</v>
      </c>
    </row>
    <row r="293">
      <c r="A293" s="4"/>
      <c r="B293" s="4"/>
      <c r="C293" s="4"/>
      <c r="D293" s="29"/>
      <c r="E293" s="29"/>
      <c r="F293" s="29"/>
      <c r="G293" s="29"/>
      <c r="H293" s="29"/>
      <c r="I293" s="29"/>
      <c r="J293" s="29"/>
      <c r="K293" s="29"/>
      <c r="L293" s="29"/>
      <c r="M293" s="29"/>
      <c r="N293" s="29"/>
      <c r="O293" s="4"/>
      <c r="P293" s="4"/>
      <c r="Q293" s="4"/>
      <c r="R293" s="77"/>
      <c r="V293" s="176"/>
      <c r="W293" s="176"/>
      <c r="X293" s="197" t="str">
        <f t="shared" ref="X293:AD293" si="533">IFERROR(INDIRECT("'Bloque "&amp;$AT$41&amp;" Semana "&amp;$AT$40&amp;"'"&amp;"!"&amp;X$285&amp;$AE293),"")</f>
        <v/>
      </c>
      <c r="Y293" s="197" t="str">
        <f t="shared" si="533"/>
        <v/>
      </c>
      <c r="Z293" s="197" t="str">
        <f t="shared" si="533"/>
        <v/>
      </c>
      <c r="AA293" s="197" t="str">
        <f t="shared" si="533"/>
        <v/>
      </c>
      <c r="AB293" s="197" t="str">
        <f t="shared" si="533"/>
        <v/>
      </c>
      <c r="AC293" s="197" t="str">
        <f t="shared" si="533"/>
        <v/>
      </c>
      <c r="AD293" s="197" t="str">
        <f t="shared" si="533"/>
        <v/>
      </c>
      <c r="AE293" s="191">
        <v>31.0</v>
      </c>
      <c r="AF293" s="197" t="str">
        <f t="shared" ref="AF293:AL293" si="534">IFERROR(INDIRECT("'Bloque "&amp;$AU$41&amp;" Semana "&amp;$AU$40&amp;"'"&amp;"!"&amp;AF$285&amp;$AM293),"")</f>
        <v/>
      </c>
      <c r="AG293" s="197" t="str">
        <f t="shared" si="534"/>
        <v/>
      </c>
      <c r="AH293" s="197" t="str">
        <f t="shared" si="534"/>
        <v/>
      </c>
      <c r="AI293" s="197" t="str">
        <f t="shared" si="534"/>
        <v/>
      </c>
      <c r="AJ293" s="197" t="str">
        <f t="shared" si="534"/>
        <v/>
      </c>
      <c r="AK293" s="197" t="str">
        <f t="shared" si="534"/>
        <v/>
      </c>
      <c r="AL293" s="197" t="str">
        <f t="shared" si="534"/>
        <v/>
      </c>
      <c r="AM293" s="191">
        <v>31.0</v>
      </c>
      <c r="AN293" s="197" t="str">
        <f t="shared" ref="AN293:AT293" si="535">IFERROR(INDIRECT("'Bloque "&amp;$AV$41&amp;" Semana "&amp;$AV$40&amp;"'"&amp;"!"&amp;AN$285&amp;$AU293),"")</f>
        <v/>
      </c>
      <c r="AO293" s="197" t="str">
        <f t="shared" si="535"/>
        <v/>
      </c>
      <c r="AP293" s="197" t="str">
        <f t="shared" si="535"/>
        <v/>
      </c>
      <c r="AQ293" s="197" t="str">
        <f t="shared" si="535"/>
        <v/>
      </c>
      <c r="AR293" s="197" t="str">
        <f t="shared" si="535"/>
        <v/>
      </c>
      <c r="AS293" s="197" t="str">
        <f t="shared" si="535"/>
        <v/>
      </c>
      <c r="AT293" s="197" t="str">
        <f t="shared" si="535"/>
        <v/>
      </c>
      <c r="AU293" s="191">
        <v>31.0</v>
      </c>
    </row>
    <row r="294">
      <c r="A294" s="4"/>
      <c r="B294" s="4"/>
      <c r="C294" s="4"/>
      <c r="D294" s="29"/>
      <c r="E294" s="29"/>
      <c r="F294" s="29"/>
      <c r="G294" s="29"/>
      <c r="H294" s="29"/>
      <c r="I294" s="29"/>
      <c r="J294" s="29"/>
      <c r="K294" s="29"/>
      <c r="L294" s="29"/>
      <c r="M294" s="29"/>
      <c r="N294" s="29"/>
      <c r="O294" s="4"/>
      <c r="P294" s="4"/>
      <c r="Q294" s="4"/>
      <c r="R294" s="77"/>
      <c r="V294" s="176"/>
      <c r="W294" s="176"/>
      <c r="X294" s="197" t="str">
        <f t="shared" ref="X294:AD294" si="536">IFERROR(INDIRECT("'Bloque "&amp;$AT$41&amp;" Semana "&amp;$AT$40&amp;"'"&amp;"!"&amp;X$285&amp;$AE294),"")</f>
        <v/>
      </c>
      <c r="Y294" s="197" t="str">
        <f t="shared" si="536"/>
        <v/>
      </c>
      <c r="Z294" s="197" t="str">
        <f t="shared" si="536"/>
        <v/>
      </c>
      <c r="AA294" s="197" t="str">
        <f t="shared" si="536"/>
        <v/>
      </c>
      <c r="AB294" s="197" t="str">
        <f t="shared" si="536"/>
        <v/>
      </c>
      <c r="AC294" s="197" t="str">
        <f t="shared" si="536"/>
        <v/>
      </c>
      <c r="AD294" s="197" t="str">
        <f t="shared" si="536"/>
        <v/>
      </c>
      <c r="AE294" s="191">
        <v>32.0</v>
      </c>
      <c r="AF294" s="197" t="str">
        <f t="shared" ref="AF294:AL294" si="537">IFERROR(INDIRECT("'Bloque "&amp;$AU$41&amp;" Semana "&amp;$AU$40&amp;"'"&amp;"!"&amp;AF$285&amp;$AM294),"")</f>
        <v/>
      </c>
      <c r="AG294" s="197" t="str">
        <f t="shared" si="537"/>
        <v/>
      </c>
      <c r="AH294" s="197" t="str">
        <f t="shared" si="537"/>
        <v/>
      </c>
      <c r="AI294" s="197" t="str">
        <f t="shared" si="537"/>
        <v/>
      </c>
      <c r="AJ294" s="197" t="str">
        <f t="shared" si="537"/>
        <v/>
      </c>
      <c r="AK294" s="197" t="str">
        <f t="shared" si="537"/>
        <v/>
      </c>
      <c r="AL294" s="197" t="str">
        <f t="shared" si="537"/>
        <v/>
      </c>
      <c r="AM294" s="191">
        <v>32.0</v>
      </c>
      <c r="AN294" s="197" t="str">
        <f t="shared" ref="AN294:AT294" si="538">IFERROR(INDIRECT("'Bloque "&amp;$AV$41&amp;" Semana "&amp;$AV$40&amp;"'"&amp;"!"&amp;AN$285&amp;$AU294),"")</f>
        <v/>
      </c>
      <c r="AO294" s="197" t="str">
        <f t="shared" si="538"/>
        <v/>
      </c>
      <c r="AP294" s="197" t="str">
        <f t="shared" si="538"/>
        <v/>
      </c>
      <c r="AQ294" s="197" t="str">
        <f t="shared" si="538"/>
        <v/>
      </c>
      <c r="AR294" s="197" t="str">
        <f t="shared" si="538"/>
        <v/>
      </c>
      <c r="AS294" s="197" t="str">
        <f t="shared" si="538"/>
        <v/>
      </c>
      <c r="AT294" s="197" t="str">
        <f t="shared" si="538"/>
        <v/>
      </c>
      <c r="AU294" s="191">
        <v>32.0</v>
      </c>
    </row>
    <row r="295">
      <c r="A295" s="4"/>
      <c r="B295" s="4"/>
      <c r="C295" s="4"/>
      <c r="D295" s="29"/>
      <c r="E295" s="29"/>
      <c r="F295" s="29"/>
      <c r="G295" s="29"/>
      <c r="H295" s="29"/>
      <c r="I295" s="29"/>
      <c r="J295" s="29"/>
      <c r="K295" s="29"/>
      <c r="L295" s="29"/>
      <c r="M295" s="29"/>
      <c r="N295" s="29"/>
      <c r="O295" s="4"/>
      <c r="P295" s="4"/>
      <c r="Q295" s="4"/>
      <c r="R295" s="77"/>
      <c r="V295" s="176"/>
      <c r="W295" s="176"/>
      <c r="X295" s="197" t="str">
        <f t="shared" ref="X295:AD295" si="539">IFERROR(INDIRECT("'Bloque "&amp;$AT$41&amp;" Semana "&amp;$AT$40&amp;"'"&amp;"!"&amp;X$285&amp;$AE295),"")</f>
        <v/>
      </c>
      <c r="Y295" s="197" t="str">
        <f t="shared" si="539"/>
        <v/>
      </c>
      <c r="Z295" s="197" t="str">
        <f t="shared" si="539"/>
        <v/>
      </c>
      <c r="AA295" s="197" t="str">
        <f t="shared" si="539"/>
        <v/>
      </c>
      <c r="AB295" s="197" t="str">
        <f t="shared" si="539"/>
        <v/>
      </c>
      <c r="AC295" s="197" t="str">
        <f t="shared" si="539"/>
        <v/>
      </c>
      <c r="AD295" s="197" t="str">
        <f t="shared" si="539"/>
        <v/>
      </c>
      <c r="AE295" s="191">
        <v>33.0</v>
      </c>
      <c r="AF295" s="197" t="str">
        <f t="shared" ref="AF295:AL295" si="540">IFERROR(INDIRECT("'Bloque "&amp;$AU$41&amp;" Semana "&amp;$AU$40&amp;"'"&amp;"!"&amp;AF$285&amp;$AM295),"")</f>
        <v/>
      </c>
      <c r="AG295" s="197" t="str">
        <f t="shared" si="540"/>
        <v/>
      </c>
      <c r="AH295" s="197" t="str">
        <f t="shared" si="540"/>
        <v/>
      </c>
      <c r="AI295" s="197" t="str">
        <f t="shared" si="540"/>
        <v/>
      </c>
      <c r="AJ295" s="197" t="str">
        <f t="shared" si="540"/>
        <v/>
      </c>
      <c r="AK295" s="197" t="str">
        <f t="shared" si="540"/>
        <v/>
      </c>
      <c r="AL295" s="197" t="str">
        <f t="shared" si="540"/>
        <v/>
      </c>
      <c r="AM295" s="191">
        <v>33.0</v>
      </c>
      <c r="AN295" s="197" t="str">
        <f t="shared" ref="AN295:AT295" si="541">IFERROR(INDIRECT("'Bloque "&amp;$AV$41&amp;" Semana "&amp;$AV$40&amp;"'"&amp;"!"&amp;AN$285&amp;$AU295),"")</f>
        <v/>
      </c>
      <c r="AO295" s="197" t="str">
        <f t="shared" si="541"/>
        <v/>
      </c>
      <c r="AP295" s="197" t="str">
        <f t="shared" si="541"/>
        <v/>
      </c>
      <c r="AQ295" s="197" t="str">
        <f t="shared" si="541"/>
        <v/>
      </c>
      <c r="AR295" s="197" t="str">
        <f t="shared" si="541"/>
        <v/>
      </c>
      <c r="AS295" s="197" t="str">
        <f t="shared" si="541"/>
        <v/>
      </c>
      <c r="AT295" s="197" t="str">
        <f t="shared" si="541"/>
        <v/>
      </c>
      <c r="AU295" s="191">
        <v>33.0</v>
      </c>
    </row>
    <row r="296">
      <c r="A296" s="4"/>
      <c r="B296" s="4"/>
      <c r="C296" s="4"/>
      <c r="D296" s="29"/>
      <c r="E296" s="29"/>
      <c r="F296" s="29"/>
      <c r="G296" s="29"/>
      <c r="H296" s="29"/>
      <c r="I296" s="29"/>
      <c r="J296" s="29"/>
      <c r="K296" s="29"/>
      <c r="L296" s="29"/>
      <c r="M296" s="29"/>
      <c r="N296" s="29"/>
      <c r="O296" s="4"/>
      <c r="P296" s="4"/>
      <c r="Q296" s="4"/>
      <c r="R296" s="77"/>
      <c r="V296" s="176"/>
      <c r="W296" s="176"/>
      <c r="X296" s="197" t="str">
        <f t="shared" ref="X296:AD296" si="542">IFERROR(INDIRECT("'Bloque "&amp;$AT$41&amp;" Semana "&amp;$AT$40&amp;"'"&amp;"!"&amp;X$285&amp;$AE296),"")</f>
        <v/>
      </c>
      <c r="Y296" s="197" t="str">
        <f t="shared" si="542"/>
        <v/>
      </c>
      <c r="Z296" s="197" t="str">
        <f t="shared" si="542"/>
        <v/>
      </c>
      <c r="AA296" s="197" t="str">
        <f t="shared" si="542"/>
        <v/>
      </c>
      <c r="AB296" s="197" t="str">
        <f t="shared" si="542"/>
        <v/>
      </c>
      <c r="AC296" s="197" t="str">
        <f t="shared" si="542"/>
        <v/>
      </c>
      <c r="AD296" s="197" t="str">
        <f t="shared" si="542"/>
        <v/>
      </c>
      <c r="AE296" s="191">
        <v>34.0</v>
      </c>
      <c r="AF296" s="197" t="str">
        <f t="shared" ref="AF296:AL296" si="543">IFERROR(INDIRECT("'Bloque "&amp;$AU$41&amp;" Semana "&amp;$AU$40&amp;"'"&amp;"!"&amp;AF$285&amp;$AM296),"")</f>
        <v/>
      </c>
      <c r="AG296" s="197" t="str">
        <f t="shared" si="543"/>
        <v/>
      </c>
      <c r="AH296" s="197" t="str">
        <f t="shared" si="543"/>
        <v/>
      </c>
      <c r="AI296" s="197" t="str">
        <f t="shared" si="543"/>
        <v/>
      </c>
      <c r="AJ296" s="197" t="str">
        <f t="shared" si="543"/>
        <v/>
      </c>
      <c r="AK296" s="197" t="str">
        <f t="shared" si="543"/>
        <v/>
      </c>
      <c r="AL296" s="197" t="str">
        <f t="shared" si="543"/>
        <v/>
      </c>
      <c r="AM296" s="191">
        <v>34.0</v>
      </c>
      <c r="AN296" s="197" t="str">
        <f t="shared" ref="AN296:AT296" si="544">IFERROR(INDIRECT("'Bloque "&amp;$AV$41&amp;" Semana "&amp;$AV$40&amp;"'"&amp;"!"&amp;AN$285&amp;$AU296),"")</f>
        <v/>
      </c>
      <c r="AO296" s="197" t="str">
        <f t="shared" si="544"/>
        <v/>
      </c>
      <c r="AP296" s="197" t="str">
        <f t="shared" si="544"/>
        <v/>
      </c>
      <c r="AQ296" s="197" t="str">
        <f t="shared" si="544"/>
        <v/>
      </c>
      <c r="AR296" s="197" t="str">
        <f t="shared" si="544"/>
        <v/>
      </c>
      <c r="AS296" s="197" t="str">
        <f t="shared" si="544"/>
        <v/>
      </c>
      <c r="AT296" s="197" t="str">
        <f t="shared" si="544"/>
        <v/>
      </c>
      <c r="AU296" s="191">
        <v>34.0</v>
      </c>
    </row>
    <row r="297">
      <c r="A297" s="4"/>
      <c r="B297" s="4"/>
      <c r="C297" s="4"/>
      <c r="D297" s="29"/>
      <c r="E297" s="29"/>
      <c r="F297" s="29"/>
      <c r="G297" s="29"/>
      <c r="H297" s="29"/>
      <c r="I297" s="29"/>
      <c r="J297" s="29"/>
      <c r="K297" s="29"/>
      <c r="L297" s="29"/>
      <c r="M297" s="29"/>
      <c r="N297" s="29"/>
      <c r="O297" s="4"/>
      <c r="P297" s="4"/>
      <c r="Q297" s="4"/>
      <c r="R297" s="77"/>
      <c r="V297" s="176"/>
      <c r="W297" s="176"/>
      <c r="X297" s="197" t="str">
        <f t="shared" ref="X297:AD297" si="545">IFERROR(INDIRECT("'Bloque "&amp;$AT$41&amp;" Semana "&amp;$AT$40&amp;"'"&amp;"!"&amp;X$285&amp;$AE297),"")</f>
        <v/>
      </c>
      <c r="Y297" s="197" t="str">
        <f t="shared" si="545"/>
        <v/>
      </c>
      <c r="Z297" s="197" t="str">
        <f t="shared" si="545"/>
        <v/>
      </c>
      <c r="AA297" s="197" t="str">
        <f t="shared" si="545"/>
        <v/>
      </c>
      <c r="AB297" s="197" t="str">
        <f t="shared" si="545"/>
        <v/>
      </c>
      <c r="AC297" s="197" t="str">
        <f t="shared" si="545"/>
        <v/>
      </c>
      <c r="AD297" s="197" t="str">
        <f t="shared" si="545"/>
        <v/>
      </c>
      <c r="AE297" s="191">
        <v>35.0</v>
      </c>
      <c r="AF297" s="197" t="str">
        <f t="shared" ref="AF297:AL297" si="546">IFERROR(INDIRECT("'Bloque "&amp;$AU$41&amp;" Semana "&amp;$AU$40&amp;"'"&amp;"!"&amp;AF$285&amp;$AM297),"")</f>
        <v/>
      </c>
      <c r="AG297" s="197" t="str">
        <f t="shared" si="546"/>
        <v/>
      </c>
      <c r="AH297" s="197" t="str">
        <f t="shared" si="546"/>
        <v/>
      </c>
      <c r="AI297" s="197" t="str">
        <f t="shared" si="546"/>
        <v/>
      </c>
      <c r="AJ297" s="197" t="str">
        <f t="shared" si="546"/>
        <v/>
      </c>
      <c r="AK297" s="197" t="str">
        <f t="shared" si="546"/>
        <v/>
      </c>
      <c r="AL297" s="197" t="str">
        <f t="shared" si="546"/>
        <v/>
      </c>
      <c r="AM297" s="191">
        <v>35.0</v>
      </c>
      <c r="AN297" s="197" t="str">
        <f t="shared" ref="AN297:AT297" si="547">IFERROR(INDIRECT("'Bloque "&amp;$AV$41&amp;" Semana "&amp;$AV$40&amp;"'"&amp;"!"&amp;AN$285&amp;$AU297),"")</f>
        <v/>
      </c>
      <c r="AO297" s="197" t="str">
        <f t="shared" si="547"/>
        <v/>
      </c>
      <c r="AP297" s="197" t="str">
        <f t="shared" si="547"/>
        <v/>
      </c>
      <c r="AQ297" s="197" t="str">
        <f t="shared" si="547"/>
        <v/>
      </c>
      <c r="AR297" s="197" t="str">
        <f t="shared" si="547"/>
        <v/>
      </c>
      <c r="AS297" s="197" t="str">
        <f t="shared" si="547"/>
        <v/>
      </c>
      <c r="AT297" s="197" t="str">
        <f t="shared" si="547"/>
        <v/>
      </c>
      <c r="AU297" s="191">
        <v>35.0</v>
      </c>
    </row>
    <row r="298">
      <c r="A298" s="4"/>
      <c r="B298" s="4"/>
      <c r="C298" s="4"/>
      <c r="D298" s="29"/>
      <c r="E298" s="29"/>
      <c r="F298" s="29"/>
      <c r="G298" s="29"/>
      <c r="H298" s="29"/>
      <c r="I298" s="29"/>
      <c r="J298" s="29"/>
      <c r="K298" s="29"/>
      <c r="L298" s="29"/>
      <c r="M298" s="29"/>
      <c r="N298" s="29"/>
      <c r="O298" s="4"/>
      <c r="P298" s="4"/>
      <c r="Q298" s="4"/>
      <c r="R298" s="77"/>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6"/>
      <c r="AU298" s="187"/>
    </row>
    <row r="299">
      <c r="A299" s="4"/>
      <c r="B299" s="4"/>
      <c r="C299" s="4"/>
      <c r="D299" s="29"/>
      <c r="E299" s="29"/>
      <c r="F299" s="29"/>
      <c r="G299" s="29"/>
      <c r="H299" s="29"/>
      <c r="I299" s="29"/>
      <c r="J299" s="29"/>
      <c r="K299" s="29"/>
      <c r="L299" s="29"/>
      <c r="M299" s="29"/>
      <c r="N299" s="29"/>
      <c r="O299" s="4"/>
      <c r="P299" s="4"/>
      <c r="Q299" s="4"/>
      <c r="R299" s="77"/>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6"/>
    </row>
  </sheetData>
  <mergeCells count="179">
    <mergeCell ref="AN231:AT231"/>
    <mergeCell ref="AN232:AT232"/>
    <mergeCell ref="X230:AD230"/>
    <mergeCell ref="AF230:AL230"/>
    <mergeCell ref="AN230:AT230"/>
    <mergeCell ref="X231:AD231"/>
    <mergeCell ref="AF231:AL231"/>
    <mergeCell ref="X232:AD232"/>
    <mergeCell ref="AF232:AL232"/>
    <mergeCell ref="AN245:AT245"/>
    <mergeCell ref="AN246:AT246"/>
    <mergeCell ref="X244:AD244"/>
    <mergeCell ref="AF244:AL244"/>
    <mergeCell ref="AN244:AT244"/>
    <mergeCell ref="X245:AD245"/>
    <mergeCell ref="AF245:AL245"/>
    <mergeCell ref="X246:AD246"/>
    <mergeCell ref="AF246:AL246"/>
    <mergeCell ref="AN259:AT259"/>
    <mergeCell ref="AN260:AT260"/>
    <mergeCell ref="X258:AD258"/>
    <mergeCell ref="AF258:AL258"/>
    <mergeCell ref="AN258:AT258"/>
    <mergeCell ref="X259:AD259"/>
    <mergeCell ref="AF259:AL259"/>
    <mergeCell ref="X260:AD260"/>
    <mergeCell ref="AF260:AL260"/>
    <mergeCell ref="AN273:AT273"/>
    <mergeCell ref="AN274:AT274"/>
    <mergeCell ref="X272:AD272"/>
    <mergeCell ref="AF272:AL272"/>
    <mergeCell ref="AN272:AT272"/>
    <mergeCell ref="X273:AD273"/>
    <mergeCell ref="AF273:AL273"/>
    <mergeCell ref="X274:AD274"/>
    <mergeCell ref="AF274:AL274"/>
    <mergeCell ref="AN91:AT91"/>
    <mergeCell ref="AN92:AT92"/>
    <mergeCell ref="X90:AD90"/>
    <mergeCell ref="AF90:AL90"/>
    <mergeCell ref="AN90:AT90"/>
    <mergeCell ref="X91:AD91"/>
    <mergeCell ref="AF91:AL91"/>
    <mergeCell ref="X92:AD92"/>
    <mergeCell ref="AF92:AL92"/>
    <mergeCell ref="AN119:AT119"/>
    <mergeCell ref="AN120:AT120"/>
    <mergeCell ref="X118:AD118"/>
    <mergeCell ref="AF118:AL118"/>
    <mergeCell ref="AN118:AT118"/>
    <mergeCell ref="X119:AD119"/>
    <mergeCell ref="AF119:AL119"/>
    <mergeCell ref="X120:AD120"/>
    <mergeCell ref="AF120:AL120"/>
    <mergeCell ref="AN133:AT133"/>
    <mergeCell ref="AN134:AT134"/>
    <mergeCell ref="X132:AD132"/>
    <mergeCell ref="AF132:AL132"/>
    <mergeCell ref="AN132:AT132"/>
    <mergeCell ref="X133:AD133"/>
    <mergeCell ref="AF133:AL133"/>
    <mergeCell ref="X134:AD134"/>
    <mergeCell ref="AF134:AL134"/>
    <mergeCell ref="AN287:AT287"/>
    <mergeCell ref="AN288:AT288"/>
    <mergeCell ref="X286:AD286"/>
    <mergeCell ref="AF286:AL286"/>
    <mergeCell ref="AN286:AT286"/>
    <mergeCell ref="X287:AD287"/>
    <mergeCell ref="AF287:AL287"/>
    <mergeCell ref="X288:AD288"/>
    <mergeCell ref="AF288:AL288"/>
    <mergeCell ref="S2:BW4"/>
    <mergeCell ref="C4:F7"/>
    <mergeCell ref="G5:O7"/>
    <mergeCell ref="C8:O8"/>
    <mergeCell ref="D10:E10"/>
    <mergeCell ref="J10:J11"/>
    <mergeCell ref="K10:K11"/>
    <mergeCell ref="D11:E11"/>
    <mergeCell ref="S11:BW11"/>
    <mergeCell ref="D13:D14"/>
    <mergeCell ref="E13:E14"/>
    <mergeCell ref="F13:F14"/>
    <mergeCell ref="G13:G14"/>
    <mergeCell ref="H13:H14"/>
    <mergeCell ref="AN48:AT48"/>
    <mergeCell ref="AN49:AT49"/>
    <mergeCell ref="AN62:AT62"/>
    <mergeCell ref="AN63:AT63"/>
    <mergeCell ref="AN64:AT64"/>
    <mergeCell ref="AN76:AT76"/>
    <mergeCell ref="AN77:AT77"/>
    <mergeCell ref="AN78:AT78"/>
    <mergeCell ref="I13:K13"/>
    <mergeCell ref="L13:N13"/>
    <mergeCell ref="S45:AW46"/>
    <mergeCell ref="X48:AD48"/>
    <mergeCell ref="AF48:AL48"/>
    <mergeCell ref="X49:AD49"/>
    <mergeCell ref="X50:AD50"/>
    <mergeCell ref="AN50:AT50"/>
    <mergeCell ref="AF49:AL49"/>
    <mergeCell ref="AF50:AL50"/>
    <mergeCell ref="X62:AD62"/>
    <mergeCell ref="AF62:AL62"/>
    <mergeCell ref="X63:AD63"/>
    <mergeCell ref="AF63:AL63"/>
    <mergeCell ref="AF64:AL64"/>
    <mergeCell ref="X64:AD64"/>
    <mergeCell ref="X76:AD76"/>
    <mergeCell ref="AF76:AL76"/>
    <mergeCell ref="X77:AD77"/>
    <mergeCell ref="AF77:AL77"/>
    <mergeCell ref="X78:AD78"/>
    <mergeCell ref="AF78:AL78"/>
    <mergeCell ref="AN105:AT105"/>
    <mergeCell ref="AN106:AT106"/>
    <mergeCell ref="X104:AD104"/>
    <mergeCell ref="AF104:AL104"/>
    <mergeCell ref="AN104:AT104"/>
    <mergeCell ref="X105:AD105"/>
    <mergeCell ref="AF105:AL105"/>
    <mergeCell ref="X106:AD106"/>
    <mergeCell ref="AF106:AL106"/>
    <mergeCell ref="AN147:AT147"/>
    <mergeCell ref="AN148:AT148"/>
    <mergeCell ref="X146:AD146"/>
    <mergeCell ref="AF146:AL146"/>
    <mergeCell ref="AN146:AT146"/>
    <mergeCell ref="X147:AD147"/>
    <mergeCell ref="AF147:AL147"/>
    <mergeCell ref="X148:AD148"/>
    <mergeCell ref="AF148:AL148"/>
    <mergeCell ref="AN161:AT161"/>
    <mergeCell ref="AN162:AT162"/>
    <mergeCell ref="X160:AD160"/>
    <mergeCell ref="AF160:AL160"/>
    <mergeCell ref="AN160:AT160"/>
    <mergeCell ref="X161:AD161"/>
    <mergeCell ref="AF161:AL161"/>
    <mergeCell ref="X162:AD162"/>
    <mergeCell ref="AF162:AL162"/>
    <mergeCell ref="AN175:AT175"/>
    <mergeCell ref="AN176:AT176"/>
    <mergeCell ref="X174:AD174"/>
    <mergeCell ref="AF174:AL174"/>
    <mergeCell ref="AN174:AT174"/>
    <mergeCell ref="X175:AD175"/>
    <mergeCell ref="AF175:AL175"/>
    <mergeCell ref="X176:AD176"/>
    <mergeCell ref="AF176:AL176"/>
    <mergeCell ref="AN189:AT189"/>
    <mergeCell ref="AN190:AT190"/>
    <mergeCell ref="X188:AD188"/>
    <mergeCell ref="AF188:AL188"/>
    <mergeCell ref="AN188:AT188"/>
    <mergeCell ref="X189:AD189"/>
    <mergeCell ref="AF189:AL189"/>
    <mergeCell ref="X190:AD190"/>
    <mergeCell ref="AF190:AL190"/>
    <mergeCell ref="AN203:AT203"/>
    <mergeCell ref="AN204:AT204"/>
    <mergeCell ref="X202:AD202"/>
    <mergeCell ref="AF202:AL202"/>
    <mergeCell ref="AN202:AT202"/>
    <mergeCell ref="X203:AD203"/>
    <mergeCell ref="AF203:AL203"/>
    <mergeCell ref="X204:AD204"/>
    <mergeCell ref="AF204:AL204"/>
    <mergeCell ref="AN217:AT217"/>
    <mergeCell ref="AN218:AT218"/>
    <mergeCell ref="X216:AD216"/>
    <mergeCell ref="AF216:AL216"/>
    <mergeCell ref="AN216:AT216"/>
    <mergeCell ref="X217:AD217"/>
    <mergeCell ref="AF217:AL217"/>
    <mergeCell ref="X218:AD218"/>
    <mergeCell ref="AF218:AL218"/>
  </mergeCells>
  <conditionalFormatting sqref="F15:F299">
    <cfRule type="expression" dxfId="4" priority="1">
      <formula>D15:D299="HIPERTROFIA"</formula>
    </cfRule>
  </conditionalFormatting>
  <conditionalFormatting sqref="E15:E299">
    <cfRule type="expression" dxfId="5" priority="2">
      <formula>D15:D299="FUERZA BASE"</formula>
    </cfRule>
  </conditionalFormatting>
  <conditionalFormatting sqref="E15:E299">
    <cfRule type="expression" dxfId="6" priority="3">
      <formula>D15:D299="VOLUMEN"</formula>
    </cfRule>
  </conditionalFormatting>
  <conditionalFormatting sqref="E15:E299">
    <cfRule type="expression" dxfId="7" priority="4">
      <formula>D15:D299="PEAKING"</formula>
    </cfRule>
  </conditionalFormatting>
  <conditionalFormatting sqref="E15:E299">
    <cfRule type="expression" dxfId="8" priority="5">
      <formula>D15:D299="TAPERING"</formula>
    </cfRule>
  </conditionalFormatting>
  <conditionalFormatting sqref="E15:E299">
    <cfRule type="expression" dxfId="9" priority="6">
      <formula>D15:D299="COMPETICIÓN"</formula>
    </cfRule>
  </conditionalFormatting>
  <conditionalFormatting sqref="F15:F299">
    <cfRule type="expression" dxfId="5" priority="7">
      <formula>D15:D299="FUERZA BASE"</formula>
    </cfRule>
  </conditionalFormatting>
  <conditionalFormatting sqref="F15:F299">
    <cfRule type="expression" dxfId="10" priority="8">
      <formula>D15:D299="VOLUMEN"</formula>
    </cfRule>
  </conditionalFormatting>
  <conditionalFormatting sqref="F15:F299">
    <cfRule type="expression" dxfId="11" priority="9">
      <formula>D15:D299="PEAKING"</formula>
    </cfRule>
  </conditionalFormatting>
  <conditionalFormatting sqref="F15:F299">
    <cfRule type="expression" dxfId="12" priority="10">
      <formula>D15:D299="TAPERING"</formula>
    </cfRule>
  </conditionalFormatting>
  <conditionalFormatting sqref="F15:F299">
    <cfRule type="expression" dxfId="9" priority="11">
      <formula>D15:D299="COMPETICIÓN"</formula>
    </cfRule>
  </conditionalFormatting>
  <conditionalFormatting sqref="E15:E299">
    <cfRule type="expression" dxfId="4" priority="12">
      <formula>D15:D299="HIPERTROFIA"</formula>
    </cfRule>
  </conditionalFormatting>
  <conditionalFormatting sqref="G15:G299">
    <cfRule type="expression" dxfId="4" priority="13">
      <formula>D15:D299="HIPERTROFIA"</formula>
    </cfRule>
  </conditionalFormatting>
  <conditionalFormatting sqref="G15:G299">
    <cfRule type="expression" dxfId="5" priority="14">
      <formula>D15:D299="FUERZA BASE"</formula>
    </cfRule>
  </conditionalFormatting>
  <conditionalFormatting sqref="G15:G299">
    <cfRule type="expression" dxfId="6" priority="15">
      <formula>D15:D299="VOLUMEN"</formula>
    </cfRule>
  </conditionalFormatting>
  <conditionalFormatting sqref="G15:G299">
    <cfRule type="expression" dxfId="7" priority="16">
      <formula>D15:D299="PEAKING"</formula>
    </cfRule>
  </conditionalFormatting>
  <conditionalFormatting sqref="G15:G299">
    <cfRule type="expression" dxfId="8" priority="17">
      <formula>D15:D299="TAPERING"</formula>
    </cfRule>
  </conditionalFormatting>
  <conditionalFormatting sqref="G15:G299">
    <cfRule type="expression" dxfId="9" priority="18">
      <formula>D15:D299="COMPETICIÓN"</formula>
    </cfRule>
  </conditionalFormatting>
  <conditionalFormatting sqref="H15:H299">
    <cfRule type="expression" dxfId="4" priority="19">
      <formula>D15:D299="HIPERTROFIA"</formula>
    </cfRule>
  </conditionalFormatting>
  <conditionalFormatting sqref="H15:H299">
    <cfRule type="expression" dxfId="5" priority="20">
      <formula>D15:D299="FUERZA BASE"</formula>
    </cfRule>
  </conditionalFormatting>
  <conditionalFormatting sqref="H15:H299">
    <cfRule type="expression" dxfId="6" priority="21">
      <formula>D15:D299="VOLUMEN"</formula>
    </cfRule>
  </conditionalFormatting>
  <conditionalFormatting sqref="H15:H299">
    <cfRule type="expression" dxfId="7" priority="22">
      <formula>D15:D299="PEAKING"</formula>
    </cfRule>
  </conditionalFormatting>
  <conditionalFormatting sqref="H15:H299">
    <cfRule type="expression" dxfId="8" priority="23">
      <formula>D15:D299="TAPERING"</formula>
    </cfRule>
  </conditionalFormatting>
  <conditionalFormatting sqref="H15:H299">
    <cfRule type="expression" dxfId="9" priority="24">
      <formula>D15:D299="COMPETICIÓN"</formula>
    </cfRule>
  </conditionalFormatting>
  <conditionalFormatting sqref="M15:M299">
    <cfRule type="expression" dxfId="4" priority="25">
      <formula>D15:D299="HIPERTROFIA"</formula>
    </cfRule>
  </conditionalFormatting>
  <conditionalFormatting sqref="M15:M299">
    <cfRule type="expression" dxfId="5" priority="26">
      <formula>D15:D299="FUERZA BASE"</formula>
    </cfRule>
  </conditionalFormatting>
  <conditionalFormatting sqref="M15:M299">
    <cfRule type="expression" dxfId="6" priority="27">
      <formula>D15:D299="VOLUMEN"</formula>
    </cfRule>
  </conditionalFormatting>
  <conditionalFormatting sqref="M15:M299">
    <cfRule type="expression" dxfId="7" priority="28">
      <formula>D15:D299="PEAKING"</formula>
    </cfRule>
  </conditionalFormatting>
  <conditionalFormatting sqref="M15:M299">
    <cfRule type="expression" dxfId="8" priority="29">
      <formula>D15:D299="TAPERING"</formula>
    </cfRule>
  </conditionalFormatting>
  <conditionalFormatting sqref="M15:M299">
    <cfRule type="expression" dxfId="9" priority="30">
      <formula>D15:D299="COMPETICIÓN"</formula>
    </cfRule>
  </conditionalFormatting>
  <conditionalFormatting sqref="N15:N299">
    <cfRule type="expression" dxfId="4" priority="31">
      <formula>D15:D299="HIPERTROFIA"</formula>
    </cfRule>
  </conditionalFormatting>
  <conditionalFormatting sqref="N15:N299">
    <cfRule type="expression" dxfId="5" priority="32">
      <formula>D15:D299="FUERZA BASE"</formula>
    </cfRule>
  </conditionalFormatting>
  <conditionalFormatting sqref="N15:N299">
    <cfRule type="expression" dxfId="6" priority="33">
      <formula>D15:D299="VOLUMEN"</formula>
    </cfRule>
  </conditionalFormatting>
  <conditionalFormatting sqref="N15:N299">
    <cfRule type="expression" dxfId="7" priority="34">
      <formula>D15:D299="PEAKING"</formula>
    </cfRule>
  </conditionalFormatting>
  <conditionalFormatting sqref="N15:N299">
    <cfRule type="expression" dxfId="8" priority="35">
      <formula>D15:D299="TAPERING"</formula>
    </cfRule>
  </conditionalFormatting>
  <conditionalFormatting sqref="N15:N299">
    <cfRule type="expression" dxfId="9" priority="36">
      <formula>D15:D299="COMPETICIÓN"</formula>
    </cfRule>
  </conditionalFormatting>
  <conditionalFormatting sqref="V15">
    <cfRule type="expression" dxfId="4" priority="37">
      <formula>V25="HIPERTROFIA"</formula>
    </cfRule>
  </conditionalFormatting>
  <conditionalFormatting sqref="W15:W21 X15:AV15 V32:AV32">
    <cfRule type="expression" dxfId="4" priority="38">
      <formula>W25="HIPERTROFIA"</formula>
    </cfRule>
  </conditionalFormatting>
  <conditionalFormatting sqref="V15">
    <cfRule type="expression" dxfId="5" priority="39">
      <formula>V25="FUERZA BASE"</formula>
    </cfRule>
  </conditionalFormatting>
  <conditionalFormatting sqref="V15">
    <cfRule type="expression" dxfId="6" priority="40">
      <formula>V25="VOLUMEN"</formula>
    </cfRule>
  </conditionalFormatting>
  <conditionalFormatting sqref="V15">
    <cfRule type="expression" dxfId="13" priority="41">
      <formula>V25="PEAKING"</formula>
    </cfRule>
  </conditionalFormatting>
  <conditionalFormatting sqref="V15">
    <cfRule type="expression" dxfId="8" priority="42">
      <formula>V25="TAPERING"</formula>
    </cfRule>
  </conditionalFormatting>
  <conditionalFormatting sqref="V15">
    <cfRule type="expression" dxfId="3" priority="43">
      <formula>V25="COMPETICIÓN"</formula>
    </cfRule>
  </conditionalFormatting>
  <conditionalFormatting sqref="W15:W21 X15:AV15 V32:AV32">
    <cfRule type="expression" dxfId="5" priority="44">
      <formula>W25="FUERZA BASE"</formula>
    </cfRule>
  </conditionalFormatting>
  <conditionalFormatting sqref="W15:W21 X15:AV15 V32:AV32">
    <cfRule type="expression" dxfId="6" priority="45">
      <formula>W25="VOLUMEN"</formula>
    </cfRule>
  </conditionalFormatting>
  <conditionalFormatting sqref="W15:W21 X15:AV15 V32:AV32">
    <cfRule type="expression" dxfId="13" priority="46">
      <formula>W25="PEAKING"</formula>
    </cfRule>
  </conditionalFormatting>
  <conditionalFormatting sqref="W15:W21 X15:AV15 V32:AV32">
    <cfRule type="expression" dxfId="8" priority="47">
      <formula>W25="TAPERING"</formula>
    </cfRule>
  </conditionalFormatting>
  <conditionalFormatting sqref="W15:W21 X15:AV15 V32:AV32">
    <cfRule type="expression" dxfId="3" priority="48">
      <formula>W25="COMPETICIÓN"</formula>
    </cfRule>
  </conditionalFormatting>
  <conditionalFormatting sqref="V16:AV16 V33:AV33">
    <cfRule type="expression" dxfId="4" priority="49">
      <formula>V25="HIPERTROFIA"</formula>
    </cfRule>
  </conditionalFormatting>
  <conditionalFormatting sqref="V16:AV16 V33:AV33">
    <cfRule type="expression" dxfId="5" priority="50">
      <formula>V25="FUERZA BASE"</formula>
    </cfRule>
  </conditionalFormatting>
  <conditionalFormatting sqref="V16:AV16 V33:AV33">
    <cfRule type="expression" dxfId="6" priority="51">
      <formula>V25="VOLUMEN"</formula>
    </cfRule>
  </conditionalFormatting>
  <conditionalFormatting sqref="V16:AV16 V33:AV33">
    <cfRule type="expression" dxfId="13" priority="52">
      <formula>V25="PEAKING"</formula>
    </cfRule>
  </conditionalFormatting>
  <conditionalFormatting sqref="V16:AV16 V33:AV33">
    <cfRule type="expression" dxfId="8" priority="53">
      <formula>V25="TAPERING"</formula>
    </cfRule>
  </conditionalFormatting>
  <conditionalFormatting sqref="V16:AV16 V33:AV33">
    <cfRule type="expression" dxfId="3" priority="54">
      <formula>V25="COMPETICIÓN"</formula>
    </cfRule>
  </conditionalFormatting>
  <conditionalFormatting sqref="V17:AV17 V34:AV34">
    <cfRule type="expression" dxfId="4" priority="55">
      <formula>V25="HIPERTROFIA"</formula>
    </cfRule>
  </conditionalFormatting>
  <conditionalFormatting sqref="V17:AV17 V34:AV34">
    <cfRule type="expression" dxfId="5" priority="56">
      <formula>V25="FUERZA BASE"</formula>
    </cfRule>
  </conditionalFormatting>
  <conditionalFormatting sqref="V17:AV17 V34:AV34">
    <cfRule type="expression" dxfId="6" priority="57">
      <formula>V25="VOLUMEN"</formula>
    </cfRule>
  </conditionalFormatting>
  <conditionalFormatting sqref="V17:AV17 V34:AV34">
    <cfRule type="expression" dxfId="13" priority="58">
      <formula>V25="PEAKING"</formula>
    </cfRule>
  </conditionalFormatting>
  <conditionalFormatting sqref="V17:AV17 V34:AV34">
    <cfRule type="expression" dxfId="8" priority="59">
      <formula>V25="TAPERING"</formula>
    </cfRule>
  </conditionalFormatting>
  <conditionalFormatting sqref="V17:AV17 V34:AV34">
    <cfRule type="expression" dxfId="3" priority="60">
      <formula>V25="COMPETICIÓN"</formula>
    </cfRule>
  </conditionalFormatting>
  <conditionalFormatting sqref="V18:AV18 V35:AV35">
    <cfRule type="expression" dxfId="4" priority="61">
      <formula>V25="HIPERTROFIA"</formula>
    </cfRule>
  </conditionalFormatting>
  <conditionalFormatting sqref="V18:AV18 V35:AV35">
    <cfRule type="expression" dxfId="5" priority="62">
      <formula>V25="FUERZA BASE"</formula>
    </cfRule>
  </conditionalFormatting>
  <conditionalFormatting sqref="V18:AV18 V35:AV35">
    <cfRule type="expression" dxfId="6" priority="63">
      <formula>V25="VOLUMEN"</formula>
    </cfRule>
  </conditionalFormatting>
  <conditionalFormatting sqref="V18:AV18 V35:AV35">
    <cfRule type="expression" dxfId="13" priority="64">
      <formula>V25="PEAKING"</formula>
    </cfRule>
  </conditionalFormatting>
  <conditionalFormatting sqref="V18:AV18 V35:AV35">
    <cfRule type="expression" dxfId="8" priority="65">
      <formula>V25="TAPERING"</formula>
    </cfRule>
  </conditionalFormatting>
  <conditionalFormatting sqref="V18:AV18 V35:AV35">
    <cfRule type="expression" dxfId="14" priority="66">
      <formula>V25="COMPETICIÓN"</formula>
    </cfRule>
  </conditionalFormatting>
  <conditionalFormatting sqref="V19:AV19 V36:AV36">
    <cfRule type="expression" dxfId="4" priority="67">
      <formula>V25="HIPERTROFIA"</formula>
    </cfRule>
  </conditionalFormatting>
  <conditionalFormatting sqref="V19:AV19 V36:AV36">
    <cfRule type="expression" dxfId="5" priority="68">
      <formula>V25="FUERZA BASE"</formula>
    </cfRule>
  </conditionalFormatting>
  <conditionalFormatting sqref="V19:AV19 V36:AV36">
    <cfRule type="expression" dxfId="6" priority="69">
      <formula>V25="VOLUMEN"</formula>
    </cfRule>
  </conditionalFormatting>
  <conditionalFormatting sqref="V19:AV19 V36:AV36">
    <cfRule type="expression" dxfId="13" priority="70">
      <formula>V25="PEAKING"</formula>
    </cfRule>
  </conditionalFormatting>
  <conditionalFormatting sqref="V19:AV19 V36:AV36">
    <cfRule type="expression" dxfId="8" priority="71">
      <formula>V25="TAPERING"</formula>
    </cfRule>
  </conditionalFormatting>
  <conditionalFormatting sqref="V19:AV19 V36:AV36">
    <cfRule type="expression" dxfId="3" priority="72">
      <formula>V25="COMPETICIÓN"</formula>
    </cfRule>
  </conditionalFormatting>
  <conditionalFormatting sqref="V20:AV20 V37:AV37">
    <cfRule type="expression" dxfId="4" priority="73">
      <formula>V25="HIPERTROFIA"</formula>
    </cfRule>
  </conditionalFormatting>
  <conditionalFormatting sqref="V20:AV20 V37:AV37">
    <cfRule type="expression" dxfId="5" priority="74">
      <formula>V25="FUERZA BASE"</formula>
    </cfRule>
  </conditionalFormatting>
  <conditionalFormatting sqref="V20:AV20 V37:AV37">
    <cfRule type="expression" dxfId="6" priority="75">
      <formula>V25="VOLUMEN"</formula>
    </cfRule>
  </conditionalFormatting>
  <conditionalFormatting sqref="V20:AV20 V37:AV37">
    <cfRule type="expression" dxfId="13" priority="76">
      <formula>V25="PEAKING"</formula>
    </cfRule>
  </conditionalFormatting>
  <conditionalFormatting sqref="V20:AV20 V37:AV37">
    <cfRule type="expression" dxfId="8" priority="77">
      <formula>V25="TAPERING"</formula>
    </cfRule>
  </conditionalFormatting>
  <conditionalFormatting sqref="V20:AV20 V37:AV37">
    <cfRule type="expression" dxfId="3" priority="78">
      <formula>V25="COMPETICIÓN"</formula>
    </cfRule>
  </conditionalFormatting>
  <conditionalFormatting sqref="V21:V22 W21:AV21 V38:AV38">
    <cfRule type="expression" dxfId="4" priority="79">
      <formula>V25="HIPERTROFIA"</formula>
    </cfRule>
  </conditionalFormatting>
  <conditionalFormatting sqref="V21:V22 W21:AV21 V38:AV38">
    <cfRule type="expression" dxfId="5" priority="80">
      <formula>V25="FUERZA BASE"</formula>
    </cfRule>
  </conditionalFormatting>
  <conditionalFormatting sqref="V21:V22 W21:AV21 V38:AV38">
    <cfRule type="expression" dxfId="6" priority="81">
      <formula>V25="VOLUMEN"</formula>
    </cfRule>
  </conditionalFormatting>
  <conditionalFormatting sqref="V21:V22 W21:AV21 V38:AV38">
    <cfRule type="expression" dxfId="13" priority="82">
      <formula>V25="PEAKING"</formula>
    </cfRule>
  </conditionalFormatting>
  <conditionalFormatting sqref="V21:V22 W21:AV21 V38:AV38">
    <cfRule type="expression" dxfId="8" priority="83">
      <formula>V25="TAPERING"</formula>
    </cfRule>
  </conditionalFormatting>
  <conditionalFormatting sqref="V21:V22 W21:AV21 V38:AV38">
    <cfRule type="expression" dxfId="3" priority="84">
      <formula>V25="COMPETICIÓN"</formula>
    </cfRule>
  </conditionalFormatting>
  <conditionalFormatting sqref="J10:K11">
    <cfRule type="cellIs" dxfId="15" priority="85" operator="greaterThan">
      <formula>0</formula>
    </cfRule>
  </conditionalFormatting>
  <conditionalFormatting sqref="J10:K11">
    <cfRule type="cellIs" dxfId="16" priority="86" operator="equal">
      <formula>0</formula>
    </cfRule>
  </conditionalFormatting>
  <conditionalFormatting sqref="J10:K11">
    <cfRule type="cellIs" dxfId="17" priority="87" operator="lessThan">
      <formula>0</formula>
    </cfRule>
  </conditionalFormatting>
  <conditionalFormatting sqref="I15:I299">
    <cfRule type="expression" dxfId="4" priority="88">
      <formula>D15:D299="HIPERTROFIA"</formula>
    </cfRule>
  </conditionalFormatting>
  <conditionalFormatting sqref="I15:I299">
    <cfRule type="expression" dxfId="5" priority="89">
      <formula>D15:D299="FUERZA BASE"</formula>
    </cfRule>
  </conditionalFormatting>
  <conditionalFormatting sqref="I15:I299">
    <cfRule type="expression" dxfId="6" priority="90">
      <formula>D15:D299="VOLUMEN"</formula>
    </cfRule>
  </conditionalFormatting>
  <conditionalFormatting sqref="I15:I299">
    <cfRule type="expression" dxfId="7" priority="91">
      <formula>D15:D299="PEAKING"</formula>
    </cfRule>
  </conditionalFormatting>
  <conditionalFormatting sqref="I15:I299">
    <cfRule type="expression" dxfId="8" priority="92">
      <formula>D15:D299="TAPERING"</formula>
    </cfRule>
  </conditionalFormatting>
  <conditionalFormatting sqref="I15:I299">
    <cfRule type="expression" dxfId="18" priority="93">
      <formula>D15:D299="COMPETICIÓN"</formula>
    </cfRule>
  </conditionalFormatting>
  <conditionalFormatting sqref="J15:J299">
    <cfRule type="expression" dxfId="4" priority="94">
      <formula>D15:D299="HIPERTROFIA"</formula>
    </cfRule>
  </conditionalFormatting>
  <conditionalFormatting sqref="J15:J299">
    <cfRule type="expression" dxfId="6" priority="95">
      <formula>D15:D299="VOLUMEN"</formula>
    </cfRule>
  </conditionalFormatting>
  <conditionalFormatting sqref="J15:J299">
    <cfRule type="expression" dxfId="5" priority="96">
      <formula>D15:D299="FUERZA BASE"</formula>
    </cfRule>
  </conditionalFormatting>
  <conditionalFormatting sqref="J15:J299">
    <cfRule type="expression" dxfId="7" priority="97">
      <formula>D15:D299="PEAKING"</formula>
    </cfRule>
  </conditionalFormatting>
  <conditionalFormatting sqref="J15:J299">
    <cfRule type="expression" dxfId="8" priority="98">
      <formula>D15:D299="TAPERING"</formula>
    </cfRule>
  </conditionalFormatting>
  <conditionalFormatting sqref="J15:J299">
    <cfRule type="expression" dxfId="9" priority="99">
      <formula>D15:D299="COMPETICIÓN"</formula>
    </cfRule>
  </conditionalFormatting>
  <conditionalFormatting sqref="K15:K299">
    <cfRule type="expression" dxfId="4" priority="100">
      <formula>D15:D299="HIPERTROFIA"</formula>
    </cfRule>
  </conditionalFormatting>
  <conditionalFormatting sqref="K15:K299">
    <cfRule type="expression" dxfId="5" priority="101">
      <formula>D15:D299="FUERZA BASE"</formula>
    </cfRule>
  </conditionalFormatting>
  <conditionalFormatting sqref="K15:K299">
    <cfRule type="expression" dxfId="6" priority="102">
      <formula>D15:D299="VOLUMEN"</formula>
    </cfRule>
  </conditionalFormatting>
  <conditionalFormatting sqref="K15:K299">
    <cfRule type="expression" dxfId="7" priority="103">
      <formula>D15:D299="PEAKING"</formula>
    </cfRule>
  </conditionalFormatting>
  <conditionalFormatting sqref="K15:K299">
    <cfRule type="expression" dxfId="8" priority="104">
      <formula>D15:D299="TAPERING"</formula>
    </cfRule>
  </conditionalFormatting>
  <conditionalFormatting sqref="K15:K299">
    <cfRule type="expression" dxfId="9" priority="105">
      <formula>D15:D299="COMPETICIÓN"</formula>
    </cfRule>
  </conditionalFormatting>
  <conditionalFormatting sqref="L15:L299">
    <cfRule type="expression" dxfId="4" priority="106">
      <formula>D15:D299="HIPERTROFIA"</formula>
    </cfRule>
  </conditionalFormatting>
  <conditionalFormatting sqref="L15:L299">
    <cfRule type="expression" dxfId="5" priority="107">
      <formula>D15:D299="FUERZA BASE"</formula>
    </cfRule>
  </conditionalFormatting>
  <conditionalFormatting sqref="L15:L299">
    <cfRule type="expression" dxfId="6" priority="108">
      <formula>D15:D299="VOLUMEN"</formula>
    </cfRule>
  </conditionalFormatting>
  <conditionalFormatting sqref="L15:L299">
    <cfRule type="expression" dxfId="7" priority="109">
      <formula>D15:D299="PEAKING"</formula>
    </cfRule>
  </conditionalFormatting>
  <conditionalFormatting sqref="L15:L299">
    <cfRule type="expression" dxfId="8" priority="110">
      <formula>D15:D299="TAPERING"</formula>
    </cfRule>
  </conditionalFormatting>
  <conditionalFormatting sqref="L15:L299">
    <cfRule type="expression" dxfId="9" priority="111">
      <formula>D15:D299="COMPETICIÓN"</formula>
    </cfRule>
  </conditionalFormatting>
  <conditionalFormatting sqref="X51:AD51 AF51:AL51 AN51:AT51 X65:AD65 AF65:AL73 AN65:AT73 X79:AD87 AF79:AL87 AN79:AT87 X93:AD101 AF93:AL101 AN93:AT101 X107:AD115 AF107:AL115 AN107:AT115 X121:AD129 AF121:AL129 AN121:AT129 X135:AD143 AF135:AL143 AN135:AT143 X149:AD157 AF149:AL157 AN149:AT157 X163:AD171 AF163:AL171 AN163:AT171 X177:AD185 AF177:AL185 AN177:AT185 X191:AD199 AF191:AL199 AN191:AT199 X205:AD213 AF205:AL213 AN205:AT213 X219:AD227 AF219:AL227 AN219:AT227 X233:AD241 AF233:AL241 AN233:AT241 X247:AD255 AF247:AL255 AN247:AT255 X261:AD269 AF261:AL269 AN261:AT269 X275:AD283 AF275:AL284 AN275:AT283 X289:AD297 AF289:AL297 AN289:AT297">
    <cfRule type="containsBlanks" dxfId="19" priority="112">
      <formula>LEN(TRIM(X51))=0</formula>
    </cfRule>
  </conditionalFormatting>
  <conditionalFormatting sqref="X51:AD51 AF51:AL51 AN51:AT51 X65:AD65 AF65:AL65 AN65:AT65 X79:AD79 AF79:AL79 AN79:AT79 X93:AD93 AF93:AL93 AN93:AT93 X107:AD107 AF107:AL107 AN107:AT107 X121:AD121 AF121:AL121 AN121:AT121 X135:AD135 AF135:AL135 AN135:AT135 X149:AD149 AF149:AL149 AN149:AT149 X163:AD163 AF163:AL163 AN163:AT163 X177:AD177 AF177:AL177 AN177:AT177 X191:AD191 AF191:AL191 AN191:AT191 X205:AD205 AF205:AL205 AN205:AT205 X219:AD219 AF219:AL219 AN219:AT219 X233:AD233 AF233:AL233 AN233:AT233 X247:AD247 AF247:AL247 AN247:AT247 X261:AD261 AF261:AL261 AN261:AT261 X275:AD275 AF275:AL275 AN275:AT275 X289:AD289 AF289:AL289 AN289:AT289">
    <cfRule type="notContainsBlanks" dxfId="20" priority="113">
      <formula>LEN(TRIM(X51))&gt;0</formula>
    </cfRule>
  </conditionalFormatting>
  <conditionalFormatting sqref="X50:AD50 AF50:AL50 AN50:AT50 X64:AD64 AF64:AL64 AN64:AT64 X78:AD78 AF78:AL78 AN78:AT78 X92:AD92 AF92:AL92 AN92:AT92 X106:AD106 AF106:AL106 AN106:AT106 X120:AD120 AF120:AL120 AN120:AT120 X134:AD134 AF134:AL134 AN134:AT134 X148:AD148 AF148:AL148 AN148:AT148 X162:AD162 AF162:AL162 AN162:AT162 X176:AD176 AF176:AL176 AN176:AT176 X190:AD190 AF190:AL190 AN190:AT190 X204:AD204 AF204:AL204 AN204:AT204 X218:AD218 AF218:AL218 AN218:AT218 X232:AD232 AF232:AL232 AN232:AT232 X246:AD246 AF246:AL246 AN246:AT246 X260:AD260 AF260:AL260 AN260:AT260 X274:AD274 AF274:AL274 AN274:AT274 X288:AD288 AF288:AL288 AN288:AT288">
    <cfRule type="containsBlanks" dxfId="19" priority="114">
      <formula>LEN(TRIM(X50))=0</formula>
    </cfRule>
  </conditionalFormatting>
  <conditionalFormatting sqref="X50:AD50 AF50:AL50 AN50:AT50 X64:AD64 AF64:AL64 AN64:AT64 X78:AD78 AF78:AL78 AN78:AT78 X92:AD92 AF92:AL92 AN92:AT92 X106:AD106 AF106:AL106 AN106:AT106 X120:AD120 AF120:AL120 AN120:AT120 X134:AD134 AF134:AL134 AN134:AT134 X148:AD148 AF148:AL148 AN148:AT148 X162:AD162 AF162:AL162 AN162:AT162 X176:AD176 AF176:AL176 AN176:AT176 X190:AD190 AF190:AL190 AN190:AT190 X204:AD204 AF204:AL204 AN204:AT204 X218:AD218 AF218:AL218 AN218:AT218 X232:AD232 AF232:AL232 AN232:AT232 X246:AD246 AF246:AL246 AN246:AT246 X260:AD260 AF260:AL260 AN260:AT260 X274:AD274 AF274:AL274 AN274:AT274 X288:AD288 AF288:AL288 AN288:AT288">
    <cfRule type="notContainsBlanks" dxfId="21" priority="115">
      <formula>LEN(TRIM(X50))&gt;0</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4" priority="116">
      <formula>X49="HIPERTROFIA"</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22" priority="117">
      <formula>X49="FUERZA BASE"</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23" priority="118">
      <formula>X49="VOLUMEN"</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24" priority="119">
      <formula>X49="PEAKING"</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25" priority="120">
      <formula>X49="TAPERING"</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21" priority="121">
      <formula>X49="COMPETICIÓN"</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containsBlanks" dxfId="19" priority="122">
      <formula>LEN(TRIM(X49))=0</formula>
    </cfRule>
  </conditionalFormatting>
  <conditionalFormatting sqref="X48:AD48 AF48:AL48 AN48:AT48 X62:AD62 AF62:AL62 AN62:AT62 X76:AD76 AF76:AL76 AN76:AT76 X90:AD90 AF90:AL90 AN90:AT90 X104:AD104 AF104:AL104 AN104:AT104 X118:AD118 AF118:AL118 AN118:AT118 X132:AD132 AF132:AL132 AN132:AT132 X146:AD146 AF146:AL146 AN146:AT146 X160:AD160 AF160:AL160 AN160:AT160 X174:AD174 AF174:AL174 AN174:AT174 X188:AD188 AF188:AL188 AN188:AT188 X202:AD202 AF202:AL202 AN202:AT202 X216:AD216 AF216:AL216 AN216:AT216 X230:AD230 AF230:AL230 AN230:AT230 X244:AD244 AF244:AL244 AN244:AT244 X258:AD258 AF258:AL258 AN258:AT258 X272:AD272 AF272:AL272 AN272:AT272 X286:AD286 AF286:AL286 AN286:AT286">
    <cfRule type="notContainsBlanks" dxfId="26" priority="123">
      <formula>LEN(TRIM(X48))&gt;0</formula>
    </cfRule>
  </conditionalFormatting>
  <conditionalFormatting sqref="X48:AD48 AF48:AL48 AN48:AT48 X62:AD62 AF62:AL62 AN62:AT62 X76:AD76 AF76:AL76 AN76:AT76 X90:AD90 AF90:AL90 AN90:AT90 X104:AD104 AF104:AL104 AN104:AT104 X118:AD118 AF118:AL118 AN118:AT118 X132:AD132 AF132:AL132 AN132:AT132 X146:AD146 AF146:AL146 AN146:AT146 X160:AD160 AF160:AL160 AN160:AT160 X174:AD174 AF174:AL174 AN174:AT174 X188:AD188 AF188:AL188 AN188:AT188 X202:AD202 AF202:AL202 AN202:AT202 X216:AD216 AF216:AL216 AN216:AT216 X230:AD230 AF230:AL230 AN230:AT230 X244:AD244 AF244:AL244 AN244:AT244 X258:AD258 AF258:AL258 AN258:AT258 X272:AD272 AF272:AL272 AN272:AT272 X286:AD286 AF286:AL286 AN286:AT286">
    <cfRule type="containsBlanks" dxfId="19" priority="124">
      <formula>LEN(TRIM(X48))=0</formula>
    </cfRule>
  </conditionalFormatting>
  <conditionalFormatting sqref="X52:AD59 AF52:AL59 AN52:AT59 X66:AD73 AF66:AL73 AN66:AT73 X80:AD87 AF80:AL87 AN80:AT87 X94:AD101 AF94:AL101 AN94:AT101 X108:AD115 AF108:AL115 AN108:AT115 X122:AD129 AF122:AL129 AN122:AT129 X136:AD143 AF136:AL143 AN136:AT143 X150:AD157 AF150:AL157 AN150:AT157 X164:AD171 AF164:AL171 AN164:AT171 X178:AD185 AF178:AL185 AN178:AT185 X192:AD199 AF192:AL199 AN192:AT199 X206:AD213 AF206:AL213 AN206:AT213 X220:AD227 AF220:AL227 AN220:AT227 X234:AD241 AF234:AL241 AN234:AT241 X248:AD255 AF248:AL255 AN248:AT255 X262:AD269 AF262:AL269 AN262:AT269 X276:AD283 AF276:AL284 AN276:AT283 X290:AD297 AF290:AL297 AN290:AT297">
    <cfRule type="containsBlanks" dxfId="19" priority="125">
      <formula>LEN(TRIM(X52))=0</formula>
    </cfRule>
  </conditionalFormatting>
  <conditionalFormatting sqref="E15:E299">
    <cfRule type="expression" dxfId="27" priority="126">
      <formula>D15:D299="BLOQUE DE VOLUMEN (HIPERTROFIA)"</formula>
    </cfRule>
  </conditionalFormatting>
  <conditionalFormatting sqref="F15:F299">
    <cfRule type="expression" dxfId="28" priority="127">
      <formula>D15:D299="BLOQUE DE VOLUMEN (HIPERTROFIA)"</formula>
    </cfRule>
  </conditionalFormatting>
  <conditionalFormatting sqref="G15:G299">
    <cfRule type="expression" dxfId="27" priority="128">
      <formula>D15:D299="BLOQUE DE VOLUMEN (HIPERTROFIA)"</formula>
    </cfRule>
  </conditionalFormatting>
  <conditionalFormatting sqref="H15:H299">
    <cfRule type="expression" dxfId="27" priority="129">
      <formula>D15:D299="BLOQUE DE VOLUMEN (HIPERTROFIA)"</formula>
    </cfRule>
  </conditionalFormatting>
  <conditionalFormatting sqref="I15:I299">
    <cfRule type="expression" dxfId="27" priority="130">
      <formula>D15:D299="BLOQUE DE VOLUMEN (HIPERTROFIA)"</formula>
    </cfRule>
  </conditionalFormatting>
  <conditionalFormatting sqref="J15:J299">
    <cfRule type="expression" dxfId="27" priority="131">
      <formula>D15:D299="BLOQUE DE VOLUMEN (HIPERTROFIA)"</formula>
    </cfRule>
  </conditionalFormatting>
  <conditionalFormatting sqref="K15:K299">
    <cfRule type="expression" dxfId="27" priority="132">
      <formula>D15:D299="BLOQUE DE VOLUMEN (HIPERTROFIA)"</formula>
    </cfRule>
  </conditionalFormatting>
  <conditionalFormatting sqref="L15:L299">
    <cfRule type="expression" dxfId="27" priority="133">
      <formula>D15:D299="BLOQUE DE VOLUMEN (HIPERTROFIA)"</formula>
    </cfRule>
  </conditionalFormatting>
  <conditionalFormatting sqref="M15:M299">
    <cfRule type="expression" dxfId="27" priority="134">
      <formula>D15:D299="BLOQUE DE VOLUMEN (HIPERTROFIA)"</formula>
    </cfRule>
  </conditionalFormatting>
  <conditionalFormatting sqref="N15:N299">
    <cfRule type="expression" dxfId="27" priority="135">
      <formula>D15:D299="BLOQUE DE VOLUMEN (HIPERTROFIA)"</formula>
    </cfRule>
  </conditionalFormatting>
  <conditionalFormatting sqref="E15:E299">
    <cfRule type="expression" dxfId="29" priority="136">
      <formula>D15:D299="BLOQUE DE FUERZA  (HIPERTROFIA)"</formula>
    </cfRule>
  </conditionalFormatting>
  <conditionalFormatting sqref="F15:F299">
    <cfRule type="expression" dxfId="29" priority="137">
      <formula>D15:D299="BLOQUE DE FUERZA  (HIPERTROFIA)"</formula>
    </cfRule>
  </conditionalFormatting>
  <conditionalFormatting sqref="G15:G299">
    <cfRule type="expression" dxfId="29" priority="138">
      <formula>D15:D299="BLOQUE DE FUERZA  (HIPERTROFIA)"</formula>
    </cfRule>
  </conditionalFormatting>
  <conditionalFormatting sqref="H15:H299">
    <cfRule type="expression" dxfId="29" priority="139">
      <formula>D15:D299="BLOQUE DE FUERZA  (HIPERTROFIA)"</formula>
    </cfRule>
  </conditionalFormatting>
  <conditionalFormatting sqref="I15:I299">
    <cfRule type="expression" dxfId="29" priority="140">
      <formula>D15:D299="BLOQUE DE FUERZA  (HIPERTROFIA)"</formula>
    </cfRule>
  </conditionalFormatting>
  <conditionalFormatting sqref="J15:J299">
    <cfRule type="expression" dxfId="29" priority="141">
      <formula>D15:D299="BLOQUE DE FUERZA  (HIPERTROFIA)"</formula>
    </cfRule>
  </conditionalFormatting>
  <conditionalFormatting sqref="K15:K299">
    <cfRule type="expression" dxfId="29" priority="142">
      <formula>D15:D299="BLOQUE DE FUERZA  (HIPERTROFIA)"</formula>
    </cfRule>
  </conditionalFormatting>
  <conditionalFormatting sqref="L15:L299">
    <cfRule type="expression" dxfId="29" priority="143">
      <formula>D15:D299="BLOQUE DE FUERZA  (HIPERTROFIA)"</formula>
    </cfRule>
  </conditionalFormatting>
  <conditionalFormatting sqref="M15:M299">
    <cfRule type="expression" dxfId="29" priority="144">
      <formula>D15:D299="BLOQUE DE FUERZA  (HIPERTROFIA)"</formula>
    </cfRule>
  </conditionalFormatting>
  <conditionalFormatting sqref="N15:N299">
    <cfRule type="expression" dxfId="29" priority="145">
      <formula>D15:D299="BLOQUE DE FUERZA  (HIPERTROFIA)"</formula>
    </cfRule>
  </conditionalFormatting>
  <conditionalFormatting sqref="E15:E299">
    <cfRule type="expression" dxfId="30" priority="146">
      <formula>D15:D299="BLOQUE DE INTENSIFICACIÓN  (HIPERTROFIA)"</formula>
    </cfRule>
  </conditionalFormatting>
  <conditionalFormatting sqref="F15:F299">
    <cfRule type="expression" dxfId="30" priority="147">
      <formula>D15:D299="BLOQUE DE INTENSIFICACIÓN  (HIPERTROFIA)"</formula>
    </cfRule>
  </conditionalFormatting>
  <conditionalFormatting sqref="G15:G299">
    <cfRule type="expression" dxfId="30" priority="148">
      <formula>D15:D299="BLOQUE DE INTENSIFICACIÓN  (HIPERTROFIA)"</formula>
    </cfRule>
  </conditionalFormatting>
  <conditionalFormatting sqref="H15:H299">
    <cfRule type="expression" dxfId="30" priority="149">
      <formula>D15:D299="BLOQUE DE INTENSIFICACIÓN  (HIPERTROFIA)"</formula>
    </cfRule>
  </conditionalFormatting>
  <conditionalFormatting sqref="I15:I299">
    <cfRule type="expression" dxfId="30" priority="150">
      <formula>D15:D299="BLOQUE DE INTENSIFICACIÓN  (HIPERTROFIA)"</formula>
    </cfRule>
  </conditionalFormatting>
  <conditionalFormatting sqref="J15:J299">
    <cfRule type="expression" dxfId="30" priority="151">
      <formula>D15:D299="BLOQUE DE INTENSIFICACIÓN  (HIPERTROFIA)"</formula>
    </cfRule>
  </conditionalFormatting>
  <conditionalFormatting sqref="K15:K299">
    <cfRule type="expression" dxfId="30" priority="152">
      <formula>D15:D299="BLOQUE DE INTENSIFICACIÓN  (HIPERTROFIA)"</formula>
    </cfRule>
  </conditionalFormatting>
  <conditionalFormatting sqref="L15:L299">
    <cfRule type="expression" dxfId="30" priority="153">
      <formula>D15:D299="BLOQUE DE INTENSIFICACIÓN  (HIPERTROFIA)"</formula>
    </cfRule>
  </conditionalFormatting>
  <conditionalFormatting sqref="M15:M299">
    <cfRule type="expression" dxfId="30" priority="154">
      <formula>D15:D299="BLOQUE DE INTENSIFICACIÓN  (HIPERTROFIA)"</formula>
    </cfRule>
  </conditionalFormatting>
  <conditionalFormatting sqref="N15:N299">
    <cfRule type="expression" dxfId="30" priority="155">
      <formula>D15:D299="BLOQUE DE INTENSIFICACIÓN  (HIPERTROFIA)"</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31" priority="156">
      <formula>X49="BLOQUE DE VOLUMEN  (HIPERTROFIA)"</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32" priority="157">
      <formula>X49="BLOQUE DE FUERZA  (HIPERTROFIA)"</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33" priority="158">
      <formula>X49="BLOQUE DE INTENSIFICACIÓN  (HIPERTROFIA)"</formula>
    </cfRule>
  </conditionalFormatting>
  <conditionalFormatting sqref="V15">
    <cfRule type="expression" dxfId="27" priority="159">
      <formula>V25="BLOQUE DE VOLUMEN  (HIPERTROFIA)"</formula>
    </cfRule>
  </conditionalFormatting>
  <conditionalFormatting sqref="V16:AV16 V33:AV33">
    <cfRule type="expression" dxfId="27" priority="160">
      <formula>V25="BLOQUE DE VOLUMEN  (HIPERTROFIA)"</formula>
    </cfRule>
  </conditionalFormatting>
  <conditionalFormatting sqref="V17:AV17 V34:AV34">
    <cfRule type="expression" dxfId="27" priority="161">
      <formula>V25="BLOQUE DE VOLUMEN  (HIPERTROFIA)"</formula>
    </cfRule>
  </conditionalFormatting>
  <conditionalFormatting sqref="V18:AV18 V35:AV35">
    <cfRule type="expression" dxfId="27" priority="162">
      <formula>V25="BLOQUE DE VOLUMEN  (HIPERTROFIA)"</formula>
    </cfRule>
  </conditionalFormatting>
  <conditionalFormatting sqref="V19:AV19 V36:AV36">
    <cfRule type="expression" dxfId="27" priority="163">
      <formula>V25="BLOQUE DE VOLUMEN  (HIPERTROFIA)"</formula>
    </cfRule>
  </conditionalFormatting>
  <conditionalFormatting sqref="V20:AV20 V37:AV37">
    <cfRule type="expression" dxfId="27" priority="164">
      <formula>V25="BLOQUE DE VOLUMEN  (HIPERTROFIA)"</formula>
    </cfRule>
  </conditionalFormatting>
  <conditionalFormatting sqref="V21:V22 W21:AV21 V38:AV38">
    <cfRule type="expression" dxfId="27" priority="165">
      <formula>V25="BLOQUE DE VOLUMEN  (HIPERTROFIA)"</formula>
    </cfRule>
  </conditionalFormatting>
  <conditionalFormatting sqref="W15:W21 X15:AV15 V32:AV32">
    <cfRule type="expression" dxfId="27" priority="166">
      <formula>W25="BLOQUE DE VOLUMEN  (HIPERTROFIA)"</formula>
    </cfRule>
  </conditionalFormatting>
  <conditionalFormatting sqref="V15">
    <cfRule type="expression" dxfId="30" priority="167">
      <formula>V25="BLOQUE DE INTENSIFICACIÓN  (HIPERTROFIA)"</formula>
    </cfRule>
  </conditionalFormatting>
  <conditionalFormatting sqref="V16:AV16 V33:AV33">
    <cfRule type="expression" dxfId="30" priority="168">
      <formula>V25="BLOQUE DE INTENSIFICACIÓN  (HIPERTROFIA)"</formula>
    </cfRule>
  </conditionalFormatting>
  <conditionalFormatting sqref="V17:AV17 V34:AV34">
    <cfRule type="expression" dxfId="30" priority="169">
      <formula>V25="BLOQUE DE INTENSIFICACIÓN  (HIPERTROFIA)"</formula>
    </cfRule>
  </conditionalFormatting>
  <conditionalFormatting sqref="V18:AV18 V35:AV35">
    <cfRule type="expression" dxfId="30" priority="170">
      <formula>V25="BLOQUE DE INTENSIFICACIÓN  (HIPERTROFIA)"</formula>
    </cfRule>
  </conditionalFormatting>
  <conditionalFormatting sqref="V19:AV19 V36:AV36">
    <cfRule type="expression" dxfId="30" priority="171">
      <formula>V25="BLOQUE DE INTENSIFICACIÓN  (HIPERTROFIA)"</formula>
    </cfRule>
  </conditionalFormatting>
  <conditionalFormatting sqref="V20:AV20 V37:AV37">
    <cfRule type="expression" dxfId="30" priority="172">
      <formula>V25="BLOQUE DE INTENSIFICACIÓN  (HIPERTROFIA)"</formula>
    </cfRule>
  </conditionalFormatting>
  <conditionalFormatting sqref="V21:V22 W21:AV21 V38:AV38">
    <cfRule type="expression" dxfId="30" priority="173">
      <formula>V25="BLOQUE DE INTENSIFICACIÓN  (HIPERTROFIA)"</formula>
    </cfRule>
  </conditionalFormatting>
  <conditionalFormatting sqref="W15:W21 X15:AV15 V32:AV32">
    <cfRule type="expression" dxfId="30" priority="174">
      <formula>W25="BLOQUE DE INTENSIFICACIÓN  (HIPERTROFIA)"</formula>
    </cfRule>
  </conditionalFormatting>
  <conditionalFormatting sqref="V15">
    <cfRule type="expression" dxfId="29" priority="175">
      <formula>V25="BLOQUE DE FUERZA  (HIPERTROFIA)"</formula>
    </cfRule>
  </conditionalFormatting>
  <conditionalFormatting sqref="W15:W21 X15:AV15 V32:AV32">
    <cfRule type="expression" dxfId="29" priority="176">
      <formula>W25="BLOQUE DE FUERZA  (HIPERTROFIA)"</formula>
    </cfRule>
  </conditionalFormatting>
  <conditionalFormatting sqref="V16:AV16 V33:AV33">
    <cfRule type="expression" dxfId="29" priority="177">
      <formula>V25="BLOQUE DE FUERZA  (HIPERTROFIA)"</formula>
    </cfRule>
  </conditionalFormatting>
  <conditionalFormatting sqref="V17:AV17 V34:AV34">
    <cfRule type="expression" dxfId="29" priority="178">
      <formula>V25="BLOQUE DE FUERZA  (HIPERTROFIA)"</formula>
    </cfRule>
  </conditionalFormatting>
  <conditionalFormatting sqref="V18:AV18 V35:AV35">
    <cfRule type="expression" dxfId="29" priority="179">
      <formula>V25="BLOQUE DE FUERZA  (HIPERTROFIA)"</formula>
    </cfRule>
  </conditionalFormatting>
  <conditionalFormatting sqref="V19:AV19 V36:AV36">
    <cfRule type="expression" dxfId="29" priority="180">
      <formula>V25="BLOQUE DE FUERZA  (HIPERTROFIA)"</formula>
    </cfRule>
  </conditionalFormatting>
  <conditionalFormatting sqref="V20:AV20 V37:AV37">
    <cfRule type="expression" dxfId="29" priority="181">
      <formula>V25="BLOQUE DE FUERZA  (HIPERTROFIA)"</formula>
    </cfRule>
  </conditionalFormatting>
  <conditionalFormatting sqref="V21:V22 W21:AV21 V38:AV38">
    <cfRule type="expression" dxfId="29" priority="182">
      <formula>V25="BLOQUE DE FUERZA  (HIPERTROFIA)"</formula>
    </cfRule>
  </conditionalFormatting>
  <conditionalFormatting sqref="V15">
    <cfRule type="expression" dxfId="34" priority="183">
      <formula>V25="PIVOT"</formula>
    </cfRule>
  </conditionalFormatting>
  <conditionalFormatting sqref="W15:W21 X15:AV15 V32:AV32">
    <cfRule type="expression" dxfId="34" priority="184">
      <formula>W25="PIVOT"</formula>
    </cfRule>
  </conditionalFormatting>
  <conditionalFormatting sqref="V16:AV16 V33:AV33">
    <cfRule type="expression" dxfId="34" priority="185">
      <formula>V25="PIVOT"</formula>
    </cfRule>
  </conditionalFormatting>
  <conditionalFormatting sqref="V17:AV17 V34:AV34">
    <cfRule type="expression" dxfId="34" priority="186">
      <formula>V25="PIVOT"</formula>
    </cfRule>
  </conditionalFormatting>
  <conditionalFormatting sqref="V18:AV18 V35:AV35">
    <cfRule type="expression" dxfId="34" priority="187">
      <formula>V25="PIVOT"</formula>
    </cfRule>
  </conditionalFormatting>
  <conditionalFormatting sqref="V19:AV19 V36:AV36">
    <cfRule type="expression" dxfId="34" priority="188">
      <formula>V25="PIVOT"</formula>
    </cfRule>
  </conditionalFormatting>
  <conditionalFormatting sqref="V20:AV20 V37:AV37">
    <cfRule type="expression" dxfId="34" priority="189">
      <formula>V25="PIVOT"</formula>
    </cfRule>
  </conditionalFormatting>
  <conditionalFormatting sqref="V21:V22 W21:AV21 V38:AV38">
    <cfRule type="expression" dxfId="34" priority="190">
      <formula>V25="PIVOT"</formula>
    </cfRule>
  </conditionalFormatting>
  <conditionalFormatting sqref="X49:AD49 AF49:AL49 AN49:AT49 X63:AD63 AF63:AL63 AN63:AT63 X77:AD77 AF77:AL77 AN77:AT77 X91:AD91 AF91:AL91 AN91:AT91 X105:AD105 AF105:AL105 AN105:AT105 X119:AD119 AF119:AL119 AN119:AT119 X133:AD133 AF133:AL133 AN133:AT133 X147:AD147 AF147:AL147 AN147:AT147 X161:AD161 AF161:AL161 AN161:AT161 X175:AD175 AF175:AL175 AN175:AT175 X189:AD189 AF189:AL189 AN189:AT189 X203:AD203 AF203:AL203 AN203:AT203 X217:AD217 AF217:AL217 AN217:AT217 X231:AD231 AF231:AL231 AN231:AT231 X245:AD245 AF245:AL245 AN245:AT245 X259:AD259 AF259:AL259 AN259:AT259 X273:AD273 AF273:AL273 AN273:AT273 X287:AD287 AF287:AL287 AN287:AT287">
    <cfRule type="expression" dxfId="35" priority="191">
      <formula>X49="PIVOT"</formula>
    </cfRule>
  </conditionalFormatting>
  <conditionalFormatting sqref="V22:AV22 V39:AV39">
    <cfRule type="notContainsBlanks" dxfId="36" priority="192">
      <formula>LEN(TRIM(V22))&gt;0</formula>
    </cfRule>
  </conditionalFormatting>
  <dataValidations>
    <dataValidation type="list" allowBlank="1" showErrorMessage="1" sqref="AD25:AV25 V42:AV42">
      <formula1>"HIPERTROFIA,FUERZA BASE,VOLUMEN,PEAKING,TAPERING,COMPETICIÓN,BLOQUE DE VOLUMEN  (HIPERTROFIA),BLOQUE DE FUERZA  (HIPERTROFIA),BLOQUE DE INTENSIFICACIÓN  (HIPERTROFIA),PIVOT,DESCARGA"</formula1>
    </dataValidation>
    <dataValidation type="list" allowBlank="1" showErrorMessage="1" sqref="V26:AV26 V43:AV43">
      <formula1>"GPP,SPP"</formula1>
    </dataValidation>
    <dataValidation type="list" allowBlank="1" showErrorMessage="1" sqref="V23:AV24 V40:AV41">
      <formula1>"1,2,3,4,5,6,7,8,9,10,11,12,13,14,15,16,17,18,19,20,21,22,23,24,25,26,27,28,29,30"</formula1>
    </dataValidation>
    <dataValidation type="list" allowBlank="1" showErrorMessage="1" sqref="D15:D277">
      <formula1>"HIPERTROFIA,FUERZA BASE,VOLUMEN,PEAKING,TAPERING,COMPETICIÓN,BLOQUE DE VOLUMEN (HIPERTROFIA),BLOQUE DE FUERZA  (HIPERTROFIA),BLOQUE DE INTENSIFICACIÓN  (HIPERTROFIA)"</formula1>
    </dataValidation>
    <dataValidation type="list" allowBlank="1" showErrorMessage="1" sqref="V25:AC25">
      <formula1>"HIPERTROFIA,FUERZA BASE,VOLUMEN,PEAKING,TAPERING,COMPETICIÓN,BLOQUE DE VOLUMEN  (HIPERTROFIA),BLOQUE DE FUERZA  (HIPERTROFIA),BLOQUE DE INTENSIFICACIÓN  (HIPERTROFIA),PIVOT"</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4.63"/>
    <col collapsed="1" customWidth="1" min="2" max="2" width="10.13"/>
    <col customWidth="1" hidden="1" min="3" max="3" width="10.0" outlineLevel="1"/>
    <col customWidth="1" hidden="1" min="4" max="4" width="14.88" outlineLevel="1"/>
    <col customWidth="1" min="5" max="5" width="35.25"/>
    <col customWidth="1" min="6" max="6" width="8.5"/>
    <col customWidth="1" min="7" max="7" width="9.88"/>
    <col customWidth="1" min="8" max="8" width="8.13" outlineLevel="1"/>
    <col customWidth="1" min="9" max="9" width="11.88"/>
    <col customWidth="1" min="10" max="10" width="9.63" outlineLevel="1"/>
    <col customWidth="1" min="11" max="11" width="8.88"/>
    <col customWidth="1" min="12" max="12" width="6.13"/>
    <col customWidth="1" min="13" max="13" width="10.13"/>
    <col customWidth="1" min="14" max="14" width="6.25"/>
    <col customWidth="1" min="15" max="15" width="12.0"/>
    <col customWidth="1" min="16" max="16" width="10.13"/>
    <col customWidth="1" min="17" max="17" width="13.38"/>
    <col customWidth="1" min="18" max="18" width="30.25"/>
    <col customWidth="1" min="19" max="19" width="31.63"/>
    <col customWidth="1" min="20" max="20" width="29.25"/>
    <col collapsed="1" customWidth="1" min="21" max="21" width="37.25"/>
    <col customWidth="1" hidden="1" min="22" max="22" width="41.75" outlineLevel="1"/>
    <col collapsed="1" customWidth="1" min="23" max="23" width="2.25"/>
    <col customWidth="1" hidden="1" min="24" max="24" width="20.0" outlineLevel="1"/>
    <col customWidth="1" hidden="1" min="25" max="25" width="19.63" outlineLevel="1"/>
    <col customWidth="1" hidden="1" min="26" max="26" width="15.25" outlineLevel="1"/>
    <col customWidth="1" hidden="1" min="27" max="27" width="9.88" outlineLevel="1"/>
    <col customWidth="1" hidden="1" min="28" max="28" width="9.25" outlineLevel="1"/>
    <col customWidth="1" hidden="1" min="29" max="29" width="8.0" outlineLevel="1"/>
    <col customWidth="1" hidden="1" min="30" max="30" width="15.13" outlineLevel="1"/>
    <col customWidth="1" min="31" max="31" width="2.13"/>
    <col customWidth="1" min="32" max="32" width="30.63" outlineLevel="1"/>
    <col customWidth="1" min="33" max="33" width="4.5" outlineLevel="1"/>
    <col customWidth="1" min="34" max="34" width="8.0" outlineLevel="1"/>
    <col customWidth="1" min="35" max="35" width="4.5" outlineLevel="1"/>
    <col customWidth="1" min="36" max="36" width="5.38" outlineLevel="1"/>
    <col customWidth="1" min="37" max="37" width="4.5" outlineLevel="1"/>
    <col customWidth="1" min="38" max="38" width="6.88" outlineLevel="1"/>
    <col customWidth="1" min="39" max="41" width="4.5" outlineLevel="1"/>
    <col customWidth="1" min="42" max="42" width="7.0" outlineLevel="1"/>
    <col customWidth="1" min="43" max="45" width="4.5" outlineLevel="1"/>
    <col customWidth="1" min="46" max="46" width="7.0" outlineLevel="1"/>
    <col customWidth="1" min="47" max="49" width="4.5" outlineLevel="1"/>
    <col customWidth="1" min="50" max="50" width="6.75" outlineLevel="1"/>
    <col customWidth="1" min="51" max="51" width="5.88" outlineLevel="1"/>
    <col customWidth="1" min="52" max="53" width="4.5" outlineLevel="1"/>
    <col customWidth="1" min="54" max="54" width="6.75" outlineLevel="1"/>
    <col customWidth="1" min="55" max="56" width="5.5" outlineLevel="1"/>
    <col customWidth="1" min="57" max="57" width="4.5" outlineLevel="1"/>
    <col customWidth="1" min="58" max="58" width="7.0" outlineLevel="1"/>
    <col customWidth="1" min="59" max="59" width="5.63" outlineLevel="1"/>
    <col customWidth="1" min="60" max="60" width="4.88" outlineLevel="1"/>
    <col customWidth="1" min="61" max="61" width="4.5" outlineLevel="1"/>
    <col customWidth="1" min="62" max="62" width="7.25" outlineLevel="1"/>
    <col customWidth="1" min="63" max="65" width="4.5" outlineLevel="1"/>
    <col customWidth="1" min="66" max="66" width="7.63" outlineLevel="1"/>
    <col customWidth="1" min="67" max="69" width="4.5" outlineLevel="1"/>
    <col customWidth="1" min="70" max="70" width="6.88" outlineLevel="1"/>
    <col customWidth="1" min="71" max="71" width="5.88" outlineLevel="1"/>
    <col customWidth="1" min="72" max="72" width="6.63" outlineLevel="1"/>
    <col customWidth="1" min="73" max="73" width="5.38" outlineLevel="1"/>
    <col customWidth="1" min="74" max="74" width="10.88" outlineLevel="1"/>
    <col customWidth="1" min="75" max="75" width="13.75" outlineLevel="1"/>
    <col customWidth="1" min="76" max="76" width="8.0"/>
    <col collapsed="1" customWidth="1" min="77" max="77" width="9.5"/>
    <col customWidth="1" hidden="1" min="78" max="78" width="8.0" outlineLevel="1"/>
    <col customWidth="1" hidden="1" min="79" max="79" width="7.5" outlineLevel="1"/>
    <col customWidth="1" hidden="1" min="80" max="80" width="7.75" outlineLevel="1"/>
    <col customWidth="1" hidden="1" min="81" max="81" width="7.88" outlineLevel="1"/>
    <col customWidth="1" hidden="1" min="82" max="82" width="8.88" outlineLevel="1"/>
    <col customWidth="1" hidden="1" min="83" max="83" width="15.38" outlineLevel="1"/>
    <col customWidth="1" hidden="1" min="84" max="84" width="9.0" outlineLevel="1"/>
    <col customWidth="1" hidden="1" min="85" max="85" width="6.63" outlineLevel="1"/>
    <col customWidth="1" hidden="1" min="86" max="86" width="16.63" outlineLevel="1"/>
    <col customWidth="1" hidden="1" min="87" max="87" width="22.13" outlineLevel="1"/>
    <col customWidth="1" hidden="1" min="88" max="88" width="14.63" outlineLevel="1"/>
    <col customWidth="1" hidden="1" min="89" max="89" width="10.63" outlineLevel="1"/>
    <col customWidth="1" hidden="1" min="90" max="90" width="13.38" outlineLevel="1"/>
    <col customWidth="1" hidden="1" min="91" max="91" width="12.63" outlineLevel="1"/>
    <col customWidth="1" hidden="1" min="92" max="93" width="13.63" outlineLevel="1"/>
    <col customWidth="1" hidden="1" min="94" max="94" width="13.38" outlineLevel="1"/>
    <col customWidth="1" hidden="1" min="95" max="95" width="17.88" outlineLevel="1"/>
    <col customWidth="1" hidden="1" min="96" max="96" width="13.25" outlineLevel="1"/>
    <col customWidth="1" hidden="1" min="97" max="97" width="17.13" outlineLevel="1"/>
    <col customWidth="1" hidden="1" min="98" max="98" width="9.88" outlineLevel="1"/>
    <col customWidth="1" min="99" max="112" width="9.88"/>
    <col collapsed="1" customWidth="1" min="113" max="113" width="9.88"/>
    <col customWidth="1" hidden="1" min="114" max="153" width="9.88" outlineLevel="1"/>
    <col customWidth="1" hidden="1" min="154" max="154" width="23.0" outlineLevel="1"/>
    <col customWidth="1" hidden="1" min="155" max="190" width="9.88" outlineLevel="1"/>
  </cols>
  <sheetData>
    <row r="1">
      <c r="B1" s="199"/>
      <c r="K1" s="200"/>
      <c r="L1" s="200"/>
      <c r="M1" s="200"/>
      <c r="N1" s="200"/>
      <c r="W1" s="201"/>
      <c r="X1" s="202" t="s">
        <v>210</v>
      </c>
      <c r="AE1" s="203"/>
      <c r="AF1" s="204"/>
      <c r="AG1" s="205" t="str">
        <f>"SEGUIMIENTO DE BIENESTAR DE "&amp;'Introducción'!B19&amp;" "&amp;'Introducción'!B20 </f>
        <v>#REF!</v>
      </c>
      <c r="BZ1" s="206" t="s">
        <v>211</v>
      </c>
      <c r="DK1" s="207" t="s">
        <v>51</v>
      </c>
      <c r="DL1" s="207" t="s">
        <v>52</v>
      </c>
      <c r="DM1" s="207" t="s">
        <v>53</v>
      </c>
      <c r="DN1" s="207" t="s">
        <v>54</v>
      </c>
      <c r="DO1" s="207" t="s">
        <v>55</v>
      </c>
      <c r="DP1" s="207" t="s">
        <v>56</v>
      </c>
      <c r="DQ1" s="207" t="s">
        <v>57</v>
      </c>
      <c r="DR1" s="207" t="s">
        <v>58</v>
      </c>
      <c r="DS1" s="207" t="s">
        <v>59</v>
      </c>
      <c r="DT1" s="207" t="s">
        <v>60</v>
      </c>
      <c r="DU1" s="207" t="s">
        <v>61</v>
      </c>
      <c r="DV1" s="207" t="s">
        <v>62</v>
      </c>
      <c r="DW1" s="207" t="s">
        <v>63</v>
      </c>
      <c r="DX1" s="207" t="s">
        <v>64</v>
      </c>
      <c r="DY1" s="207" t="s">
        <v>65</v>
      </c>
      <c r="DZ1" s="207" t="s">
        <v>66</v>
      </c>
      <c r="EA1" s="207" t="s">
        <v>67</v>
      </c>
      <c r="EB1" s="207" t="s">
        <v>68</v>
      </c>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9" t="s">
        <v>21</v>
      </c>
      <c r="GA1" s="210"/>
      <c r="GB1" s="210"/>
      <c r="GC1" s="209" t="s">
        <v>36</v>
      </c>
      <c r="GD1" s="210"/>
      <c r="GE1" s="210"/>
      <c r="GF1" s="209" t="s">
        <v>42</v>
      </c>
      <c r="GG1" s="210"/>
      <c r="GH1" s="210"/>
    </row>
    <row r="2">
      <c r="B2" s="211"/>
      <c r="E2" s="212"/>
      <c r="I2" s="106"/>
      <c r="J2" s="213" t="s">
        <v>212</v>
      </c>
      <c r="K2" s="214"/>
      <c r="L2" s="214"/>
      <c r="M2" s="214"/>
      <c r="N2" s="214"/>
      <c r="O2" s="214"/>
      <c r="P2" s="214"/>
      <c r="Q2" s="214"/>
      <c r="R2" s="214"/>
      <c r="S2" s="214"/>
      <c r="T2" s="215"/>
      <c r="W2" s="201"/>
      <c r="AE2" s="203"/>
      <c r="AF2" s="204"/>
      <c r="AG2" s="216" t="s">
        <v>213</v>
      </c>
      <c r="BZ2" s="217"/>
      <c r="DJ2" s="144" t="s">
        <v>214</v>
      </c>
      <c r="DK2" s="108"/>
      <c r="DL2" s="108"/>
      <c r="DM2" s="108"/>
      <c r="DN2" s="108"/>
      <c r="DO2" s="108"/>
      <c r="DP2" s="108"/>
      <c r="DQ2" s="108"/>
      <c r="DR2" s="108"/>
      <c r="DS2" s="108"/>
      <c r="DT2" s="108"/>
      <c r="DU2" s="108"/>
      <c r="DV2" s="108"/>
      <c r="DW2" s="108"/>
      <c r="DX2" s="108"/>
      <c r="DY2" s="108"/>
      <c r="DZ2" s="108"/>
      <c r="EA2" s="108"/>
      <c r="EB2" s="108"/>
      <c r="EX2" s="218" t="s">
        <v>215</v>
      </c>
      <c r="EY2" s="218"/>
      <c r="EZ2" s="218" t="s">
        <v>216</v>
      </c>
      <c r="FA2" s="218"/>
      <c r="FB2" s="218"/>
      <c r="FC2" s="218"/>
      <c r="FD2" s="218"/>
      <c r="FE2" s="218"/>
      <c r="FF2" s="218"/>
      <c r="FG2" s="218"/>
      <c r="FH2" s="218"/>
      <c r="FI2" s="218"/>
      <c r="FJ2" s="218"/>
      <c r="FK2" s="208"/>
      <c r="FL2" s="218" t="s">
        <v>215</v>
      </c>
      <c r="FM2" s="208"/>
      <c r="FN2" s="208" t="s">
        <v>217</v>
      </c>
      <c r="FO2" s="208"/>
      <c r="FP2" s="208"/>
      <c r="FQ2" s="208"/>
      <c r="FR2" s="208"/>
      <c r="FS2" s="208"/>
      <c r="FT2" s="208"/>
      <c r="FU2" s="208"/>
      <c r="FV2" s="208"/>
      <c r="FW2" s="208"/>
      <c r="FX2" s="208"/>
      <c r="FY2" s="208"/>
      <c r="FZ2" s="219" t="s">
        <v>218</v>
      </c>
      <c r="GC2" s="219" t="s">
        <v>218</v>
      </c>
      <c r="GF2" s="219" t="s">
        <v>218</v>
      </c>
    </row>
    <row r="3">
      <c r="B3" s="199"/>
      <c r="I3" s="106"/>
      <c r="J3" s="220" t="s">
        <v>219</v>
      </c>
      <c r="K3" s="221"/>
      <c r="L3" s="221"/>
      <c r="M3" s="221"/>
      <c r="N3" s="221"/>
      <c r="O3" s="221"/>
      <c r="P3" s="221"/>
      <c r="Q3" s="221"/>
      <c r="R3" s="221"/>
      <c r="S3" s="221"/>
      <c r="T3" s="222"/>
      <c r="W3" s="201"/>
      <c r="AE3" s="203"/>
      <c r="AF3" s="204"/>
      <c r="AG3" s="223" t="s">
        <v>220</v>
      </c>
      <c r="BZ3" s="217"/>
      <c r="DJ3" s="83"/>
      <c r="DK3" s="207" t="str">
        <f t="array" ref="DK3">IF(NOT($D$37=1),IFERROR(INDIRECT("'Bloque "&amp;$D$38&amp;" Semana "&amp;"1"&amp;"'"&amp;"!"&amp;"E37"),""),"S1")</f>
        <v/>
      </c>
      <c r="DL3" s="207" t="str">
        <f t="array" ref="DL3">IF(NOT($D$37=2),IFERROR(INDIRECT("'Bloque "&amp;$D$38&amp;" Semana "&amp;"2"&amp;"'"&amp;"!"&amp;"E37"),""),"S2")</f>
        <v>S2</v>
      </c>
      <c r="DM3" s="207" t="str">
        <f t="array" ref="DM3">IF(NOT($D$37=3),IFERROR(INDIRECT("'Bloque "&amp;$D$38&amp;" Semana "&amp;"3"&amp;"'"&amp;"!"&amp;"E37"),""),"S3")</f>
        <v/>
      </c>
      <c r="DN3" s="207" t="str">
        <f t="array" ref="DN3">IF(NOT($D$37=4),IFERROR(INDIRECT("'Bloque "&amp;$D$38&amp;" Semana "&amp;"4"&amp;"'"&amp;"!"&amp;"E37"),""),"S4")</f>
        <v/>
      </c>
      <c r="DO3" s="207" t="str">
        <f t="array" ref="DO3">IF(NOT($D$37=5),IFERROR(INDIRECT("'Bloque "&amp;$D$38&amp;" Semana "&amp;"5"&amp;"'"&amp;"!"&amp;"E37"),""),"S5")</f>
        <v/>
      </c>
      <c r="DP3" s="207" t="str">
        <f t="array" ref="DP3">IF(NOT($D$37=6),IFERROR(INDIRECT("'Bloque "&amp;$D$38&amp;" Semana "&amp;"6"&amp;"'"&amp;"!"&amp;"E37"),""),"S6")</f>
        <v/>
      </c>
      <c r="DQ3" s="207" t="str">
        <f t="array" ref="DQ3">IF(NOT($D$37=7),IFERROR(INDIRECT("'Bloque "&amp;$D$38&amp;" Semana "&amp;"7"&amp;"'"&amp;"!"&amp;"E37"),""),"S7")</f>
        <v/>
      </c>
      <c r="DR3" s="207" t="str">
        <f t="array" ref="DR3">IF(NOT($D$37=8),IFERROR(INDIRECT("'Bloque "&amp;$D$38&amp;" Semana "&amp;"8"&amp;"'"&amp;"!"&amp;"E37"),""),"S8")</f>
        <v/>
      </c>
      <c r="DS3" s="207" t="str">
        <f t="array" ref="DS3">IF(NOT($D$37=9),IFERROR(INDIRECT("'Bloque "&amp;$D$38&amp;" Semana "&amp;"9"&amp;"'"&amp;"!"&amp;"E37"),""),"S9")</f>
        <v/>
      </c>
      <c r="DT3" s="207" t="str">
        <f t="array" ref="DT3">IF(NOT($D$37=10),IFERROR(INDIRECT("'Bloque "&amp;$D$38&amp;" Semana "&amp;"10"&amp;"'"&amp;"!"&amp;"E37"),""),"S10")</f>
        <v/>
      </c>
      <c r="DU3" s="207" t="str">
        <f t="array" ref="DU3">IF(NOT($D$37=11),IFERROR(INDIRECT("'Bloque "&amp;$D$38&amp;" Semana "&amp;"11"&amp;"'"&amp;"!"&amp;"E37"),""),"S11")</f>
        <v/>
      </c>
      <c r="DV3" s="207" t="str">
        <f t="array" ref="DV3">IF(NOT($D$37=12),IFERROR(INDIRECT("'Bloque "&amp;$D$38&amp;" Semana "&amp;"12"&amp;"'"&amp;"!"&amp;"E37"),""),"S12")</f>
        <v/>
      </c>
      <c r="DW3" s="207" t="str">
        <f t="array" ref="DW3">IF(NOT($D$37=13),IFERROR(INDIRECT("'Bloque "&amp;$D$38&amp;" Semana "&amp;"13"&amp;"'"&amp;"!"&amp;"E37"),""),"S13")</f>
        <v/>
      </c>
      <c r="DX3" s="207" t="str">
        <f t="array" ref="DX3">IF(NOT($D$37=14),IFERROR(INDIRECT("'Bloque "&amp;$D$38&amp;" Semana "&amp;"14"&amp;"'"&amp;"!"&amp;"E37"),""),"S14")</f>
        <v/>
      </c>
      <c r="DY3" s="207" t="str">
        <f t="array" ref="DY3">IF(NOT($D$37=15),IFERROR(INDIRECT("'Bloque "&amp;$D$38&amp;" Semana "&amp;"15"&amp;"'"&amp;"!"&amp;"E37"),""),"S15")</f>
        <v/>
      </c>
      <c r="DZ3" s="207" t="str">
        <f t="array" ref="DZ3">IF(NOT($D$37=16),IFERROR(INDIRECT("'Bloque "&amp;$D$38&amp;" Semana "&amp;"16"&amp;"'"&amp;"!"&amp;"E37"),""),"S16")</f>
        <v/>
      </c>
      <c r="EA3" s="207" t="str">
        <f t="array" ref="EA3">IF(NOT($D$37=17),IFERROR(INDIRECT("'Bloque "&amp;$D$38&amp;" Semana "&amp;"17"&amp;"'"&amp;"!"&amp;"E37"),""),"S17")</f>
        <v/>
      </c>
      <c r="EB3" s="207" t="str">
        <f t="array" ref="EB3">IF(NOT($D$37=18),IFERROR(INDIRECT("'Bloque "&amp;$D$38&amp;" Semana "&amp;"18"&amp;"'"&amp;"!"&amp;"E37"),""),"S18")</f>
        <v/>
      </c>
      <c r="ED3" s="144" t="s">
        <v>221</v>
      </c>
      <c r="EE3" s="108"/>
      <c r="EF3" s="108"/>
      <c r="EG3" s="108"/>
      <c r="EH3" s="108"/>
      <c r="EI3" s="108"/>
      <c r="EJ3" s="108"/>
      <c r="EK3" s="108"/>
      <c r="EL3" s="108"/>
      <c r="EM3" s="108"/>
      <c r="EN3" s="108"/>
      <c r="EO3" s="108"/>
      <c r="EP3" s="108"/>
      <c r="EQ3" s="108"/>
      <c r="ER3" s="108"/>
      <c r="ES3" s="108"/>
      <c r="ET3" s="108"/>
      <c r="EU3" s="108"/>
      <c r="EV3" s="108"/>
      <c r="EX3" s="218" t="s">
        <v>222</v>
      </c>
      <c r="EY3" s="218">
        <v>1.0</v>
      </c>
      <c r="EZ3" s="218">
        <v>2.0</v>
      </c>
      <c r="FA3" s="218">
        <v>3.0</v>
      </c>
      <c r="FB3" s="218">
        <v>4.0</v>
      </c>
      <c r="FC3" s="218">
        <v>5.0</v>
      </c>
      <c r="FD3" s="218">
        <v>6.0</v>
      </c>
      <c r="FE3" s="218">
        <v>7.0</v>
      </c>
      <c r="FF3" s="218">
        <v>8.0</v>
      </c>
      <c r="FG3" s="218">
        <v>9.0</v>
      </c>
      <c r="FH3" s="218">
        <v>10.0</v>
      </c>
      <c r="FI3" s="218">
        <v>11.0</v>
      </c>
      <c r="FJ3" s="218">
        <v>12.0</v>
      </c>
      <c r="FK3" s="208"/>
      <c r="FL3" s="218" t="s">
        <v>222</v>
      </c>
      <c r="FM3" s="218">
        <v>1.0</v>
      </c>
      <c r="FN3" s="218">
        <v>2.0</v>
      </c>
      <c r="FO3" s="218">
        <v>3.0</v>
      </c>
      <c r="FP3" s="218">
        <v>4.0</v>
      </c>
      <c r="FQ3" s="218">
        <v>5.0</v>
      </c>
      <c r="FR3" s="218">
        <v>6.0</v>
      </c>
      <c r="FS3" s="218">
        <v>7.0</v>
      </c>
      <c r="FT3" s="218">
        <v>8.0</v>
      </c>
      <c r="FU3" s="218">
        <v>9.0</v>
      </c>
      <c r="FV3" s="218">
        <v>10.0</v>
      </c>
      <c r="FW3" s="218">
        <v>11.0</v>
      </c>
      <c r="FX3" s="218">
        <v>12.0</v>
      </c>
      <c r="FY3" s="218"/>
      <c r="FZ3" s="212"/>
      <c r="GA3" s="224" t="s">
        <v>223</v>
      </c>
      <c r="GB3" s="224" t="s">
        <v>224</v>
      </c>
      <c r="GC3" s="212"/>
      <c r="GD3" s="224" t="s">
        <v>223</v>
      </c>
      <c r="GE3" s="224" t="s">
        <v>224</v>
      </c>
      <c r="GF3" s="212"/>
      <c r="GG3" s="224" t="s">
        <v>223</v>
      </c>
      <c r="GH3" s="224" t="s">
        <v>224</v>
      </c>
    </row>
    <row r="4" ht="27.0" customHeight="1">
      <c r="B4" s="199"/>
      <c r="I4" s="106"/>
      <c r="J4" s="225"/>
      <c r="T4" s="226"/>
      <c r="W4" s="201"/>
      <c r="AE4" s="203"/>
      <c r="AF4" s="204"/>
      <c r="BZ4" s="217"/>
      <c r="DJ4" s="120" t="s">
        <v>21</v>
      </c>
      <c r="DK4" s="172" t="str">
        <f t="shared" ref="DK4:EB4" si="1">IFERROR(INDIRECT("'Bloque "&amp;$D$38&amp;" Semana "&amp;MID(DK3,2,2)&amp;"'"&amp;"!"&amp;"CC15"),"")</f>
        <v/>
      </c>
      <c r="DL4" s="172" t="str">
        <f t="shared" si="1"/>
        <v/>
      </c>
      <c r="DM4" s="172" t="str">
        <f t="shared" si="1"/>
        <v/>
      </c>
      <c r="DN4" s="172" t="str">
        <f t="shared" si="1"/>
        <v/>
      </c>
      <c r="DO4" s="172" t="str">
        <f t="shared" si="1"/>
        <v/>
      </c>
      <c r="DP4" s="172" t="str">
        <f t="shared" si="1"/>
        <v/>
      </c>
      <c r="DQ4" s="172" t="str">
        <f t="shared" si="1"/>
        <v/>
      </c>
      <c r="DR4" s="172" t="str">
        <f t="shared" si="1"/>
        <v/>
      </c>
      <c r="DS4" s="172" t="str">
        <f t="shared" si="1"/>
        <v/>
      </c>
      <c r="DT4" s="172" t="str">
        <f t="shared" si="1"/>
        <v/>
      </c>
      <c r="DU4" s="172" t="str">
        <f t="shared" si="1"/>
        <v/>
      </c>
      <c r="DV4" s="172" t="str">
        <f t="shared" si="1"/>
        <v/>
      </c>
      <c r="DW4" s="172" t="str">
        <f t="shared" si="1"/>
        <v/>
      </c>
      <c r="DX4" s="172" t="str">
        <f t="shared" si="1"/>
        <v/>
      </c>
      <c r="DY4" s="172" t="str">
        <f t="shared" si="1"/>
        <v/>
      </c>
      <c r="DZ4" s="172" t="str">
        <f t="shared" si="1"/>
        <v/>
      </c>
      <c r="EA4" s="172" t="str">
        <f t="shared" si="1"/>
        <v/>
      </c>
      <c r="EB4" s="172" t="str">
        <f t="shared" si="1"/>
        <v/>
      </c>
      <c r="ED4" s="83"/>
      <c r="EE4" s="227" t="str">
        <f t="array" ref="EE4">IF(NOT($D$37=1),IFERROR(INDIRECT("'Bloque "&amp;$D$38&amp;" Semana "&amp;"1"&amp;"'"&amp;"!"&amp;"E37"),""),"S1")</f>
        <v/>
      </c>
      <c r="EF4" s="227" t="str">
        <f t="array" ref="EF4">IF(NOT($D$37=2),IFERROR(INDIRECT("'Bloque "&amp;$D$38&amp;" Semana "&amp;"2"&amp;"'"&amp;"!"&amp;"E37"),""),"S2")</f>
        <v>S2</v>
      </c>
      <c r="EG4" s="227" t="str">
        <f t="array" ref="EG4">IF(NOT($D$37=3),IFERROR(INDIRECT("'Bloque "&amp;$D$38&amp;" Semana "&amp;"3"&amp;"'"&amp;"!"&amp;"E37"),""),"S3")</f>
        <v/>
      </c>
      <c r="EH4" s="227" t="str">
        <f t="array" ref="EH4">IF(NOT($D$37=4),IFERROR(INDIRECT("'Bloque "&amp;$D$38&amp;" Semana "&amp;"4"&amp;"'"&amp;"!"&amp;"E37"),""),"S4")</f>
        <v/>
      </c>
      <c r="EI4" s="227" t="str">
        <f t="array" ref="EI4">IF(NOT($D$37=5),IFERROR(INDIRECT("'Bloque "&amp;$D$38&amp;" Semana "&amp;"5"&amp;"'"&amp;"!"&amp;"E37"),""),"S5")</f>
        <v/>
      </c>
      <c r="EJ4" s="227" t="str">
        <f t="array" ref="EJ4">IF(NOT($D$37=6),IFERROR(INDIRECT("'Bloque "&amp;$D$38&amp;" Semana "&amp;"6"&amp;"'"&amp;"!"&amp;"E37"),""),"S6")</f>
        <v/>
      </c>
      <c r="EK4" s="227" t="str">
        <f t="array" ref="EK4">IF(NOT($D$37=7),IFERROR(INDIRECT("'Bloque "&amp;$D$38&amp;" Semana "&amp;"7"&amp;"'"&amp;"!"&amp;"E37"),""),"S7")</f>
        <v/>
      </c>
      <c r="EL4" s="227" t="str">
        <f t="array" ref="EL4">IF(NOT($D$37=8),IFERROR(INDIRECT("'Bloque "&amp;$D$38&amp;" Semana "&amp;"8"&amp;"'"&amp;"!"&amp;"E37"),""),"S8")</f>
        <v/>
      </c>
      <c r="EM4" s="227" t="str">
        <f t="array" ref="EM4">IF(NOT($D$37=9),IFERROR(INDIRECT("'Bloque "&amp;$D$38&amp;" Semana "&amp;"9"&amp;"'"&amp;"!"&amp;"E37"),""),"S9")</f>
        <v/>
      </c>
      <c r="EN4" s="227" t="str">
        <f t="array" ref="EN4">IF(NOT($D$37=10),IFERROR(INDIRECT("'Bloque "&amp;$D$38&amp;" Semana "&amp;"10"&amp;"'"&amp;"!"&amp;"E37"),""),"S10")</f>
        <v/>
      </c>
      <c r="EO4" s="227" t="str">
        <f t="array" ref="EO4">IF(NOT($D$37=11),IFERROR(INDIRECT("'Bloque "&amp;$D$38&amp;" Semana "&amp;"11"&amp;"'"&amp;"!"&amp;"E37"),""),"S11")</f>
        <v/>
      </c>
      <c r="EP4" s="227" t="str">
        <f t="array" ref="EP4">IF(NOT($D$37=12),IFERROR(INDIRECT("'Bloque "&amp;$D$38&amp;" Semana "&amp;"12"&amp;"'"&amp;"!"&amp;"E37"),""),"S12")</f>
        <v/>
      </c>
      <c r="EQ4" s="227" t="str">
        <f t="array" ref="EQ4">IF(NOT($D$37=13),IFERROR(INDIRECT("'Bloque "&amp;$D$38&amp;" Semana "&amp;"13"&amp;"'"&amp;"!"&amp;"E37"),""),"S13")</f>
        <v/>
      </c>
      <c r="ER4" s="227" t="str">
        <f t="array" ref="ER4">IF(NOT($D$37=14),IFERROR(INDIRECT("'Bloque "&amp;$D$38&amp;" Semana "&amp;"14"&amp;"'"&amp;"!"&amp;"E37"),""),"S14")</f>
        <v/>
      </c>
      <c r="ES4" s="227" t="str">
        <f t="array" ref="ES4">IF(NOT($D$37=15),IFERROR(INDIRECT("'Bloque "&amp;$D$38&amp;" Semana "&amp;"15"&amp;"'"&amp;"!"&amp;"E37"),""),"S15")</f>
        <v/>
      </c>
      <c r="ET4" s="227" t="str">
        <f t="array" ref="ET4">IF(NOT($D$37=16),IFERROR(INDIRECT("'Bloque "&amp;$D$38&amp;" Semana "&amp;"16"&amp;"'"&amp;"!"&amp;"E37"),""),"S16")</f>
        <v/>
      </c>
      <c r="EU4" s="227" t="str">
        <f t="array" ref="EU4">IF(NOT($D$37=17),IFERROR(INDIRECT("'Bloque "&amp;$D$38&amp;" Semana "&amp;"17"&amp;"'"&amp;"!"&amp;"E37"),""),"S17")</f>
        <v/>
      </c>
      <c r="EV4" s="227" t="str">
        <f t="array" ref="EV4">IF(NOT($D$37=18),IFERROR(INDIRECT("'Bloque "&amp;$D$38&amp;" Semana "&amp;"18"&amp;"'"&amp;"!"&amp;"E37"),""),"S18")</f>
        <v/>
      </c>
      <c r="EX4" s="218">
        <v>10.0</v>
      </c>
      <c r="EY4" s="228">
        <v>1.0</v>
      </c>
      <c r="EZ4" s="228">
        <v>0.955</v>
      </c>
      <c r="FA4" s="228">
        <v>0.922</v>
      </c>
      <c r="FB4" s="228">
        <v>0.892</v>
      </c>
      <c r="FC4" s="228">
        <v>0.863</v>
      </c>
      <c r="FD4" s="228">
        <v>0.837</v>
      </c>
      <c r="FE4" s="228">
        <v>0.811</v>
      </c>
      <c r="FF4" s="228">
        <v>0.786</v>
      </c>
      <c r="FG4" s="228">
        <v>0.762</v>
      </c>
      <c r="FH4" s="228">
        <v>0.739</v>
      </c>
      <c r="FI4" s="228">
        <v>0.707</v>
      </c>
      <c r="FJ4" s="228">
        <v>0.68</v>
      </c>
      <c r="FK4" s="208"/>
      <c r="FL4" s="218">
        <v>10.0</v>
      </c>
      <c r="FM4" s="228">
        <v>1.0</v>
      </c>
      <c r="FN4" s="228">
        <v>0.965</v>
      </c>
      <c r="FO4" s="228">
        <v>0.942</v>
      </c>
      <c r="FP4" s="228">
        <v>0.919</v>
      </c>
      <c r="FQ4" s="228">
        <v>0.897</v>
      </c>
      <c r="FR4" s="228">
        <v>0.875</v>
      </c>
      <c r="FS4" s="228">
        <v>0.854</v>
      </c>
      <c r="FT4" s="228">
        <v>0.834</v>
      </c>
      <c r="FU4" s="228">
        <v>0.814</v>
      </c>
      <c r="FV4" s="228">
        <v>0.794</v>
      </c>
      <c r="FW4" s="228">
        <v>0.775</v>
      </c>
      <c r="FX4" s="228">
        <v>0.756</v>
      </c>
      <c r="FY4" s="228"/>
      <c r="FZ4" s="84" t="str">
        <f t="array" ref="FZ4">IF(NOT($D$37=1),IFERROR(INDIRECT("'Bloque "&amp;$D$38&amp;" Semana "&amp;"1"&amp;"'"&amp;"!"&amp;"E37"),""),"S1")</f>
        <v/>
      </c>
      <c r="GA4" s="229" t="str">
        <f t="shared" ref="GA4:GA21" si="4">IFERROR(INDIRECT("'Bloque "&amp;$D$38&amp;" Semana "&amp;MID(FZ4,2,2)&amp;"'"&amp;"!"&amp;"CD15"),"")</f>
        <v/>
      </c>
      <c r="GB4" s="212" t="str">
        <f t="shared" ref="GB4:GB21" si="5">IFERROR(INDIRECT("'Bloque "&amp;$D$38&amp;" Semana "&amp;MID(FZ4,2,2)&amp;"'"&amp;"!"&amp;"CC15"),"")</f>
        <v/>
      </c>
      <c r="GC4" s="84" t="str">
        <f t="array" ref="GC4">IF(NOT($D$37=1),IFERROR(INDIRECT("'Bloque "&amp;$D$38&amp;" Semana "&amp;"1"&amp;"'"&amp;"!"&amp;"E37"),""),"S1")</f>
        <v/>
      </c>
      <c r="GD4" s="229" t="str">
        <f t="shared" ref="GD4:GD21" si="6">IFERROR(INDIRECT("'Bloque "&amp;$D$38&amp;" Semana "&amp;MID(GC4,2,2)&amp;"'"&amp;"!"&amp;"CD16"),"")</f>
        <v/>
      </c>
      <c r="GE4" s="212" t="str">
        <f t="shared" ref="GE4:GE21" si="7">IFERROR(INDIRECT("'Bloque "&amp;$D$38&amp;" Semana "&amp;MID(GC4,2,2)&amp;"'"&amp;"!"&amp;"CC16"),"")</f>
        <v/>
      </c>
      <c r="GF4" s="84" t="str">
        <f t="array" ref="GF4">IF(NOT($D$37=1),IFERROR(INDIRECT("'Bloque "&amp;$D$38&amp;" Semana "&amp;"1"&amp;"'"&amp;"!"&amp;"E37"),""),"S1")</f>
        <v/>
      </c>
      <c r="GG4" s="229" t="str">
        <f t="shared" ref="GG4:GG21" si="8">IFERROR(INDIRECT("'Bloque "&amp;$D$38&amp;" Semana "&amp;MID(GF4,2,2)&amp;"'"&amp;"!"&amp;"CD17"),"")</f>
        <v/>
      </c>
      <c r="GH4" s="212" t="str">
        <f t="shared" ref="GH4:GH21" si="9">IFERROR(INDIRECT("'Bloque "&amp;$D$38&amp;" Semana "&amp;MID(GF4,2,2)&amp;"'"&amp;"!"&amp;"CC17"),"")</f>
        <v/>
      </c>
    </row>
    <row r="5">
      <c r="B5" s="199"/>
      <c r="I5" s="106"/>
      <c r="J5" s="225"/>
      <c r="T5" s="226"/>
      <c r="W5" s="201"/>
      <c r="AE5" s="203"/>
      <c r="AF5" s="204"/>
      <c r="AG5" s="230" t="s">
        <v>225</v>
      </c>
      <c r="BZ5" s="217"/>
      <c r="CU5" s="4"/>
      <c r="DJ5" s="120" t="s">
        <v>36</v>
      </c>
      <c r="DK5" s="172" t="str">
        <f t="shared" ref="DK5:EB5" si="2">IFERROR(INDIRECT("'Bloque "&amp;$D$38&amp;" Semana "&amp;MID(DK3,2,2)&amp;"'"&amp;"!"&amp;"CC16"),"")</f>
        <v/>
      </c>
      <c r="DL5" s="172" t="str">
        <f t="shared" si="2"/>
        <v/>
      </c>
      <c r="DM5" s="172" t="str">
        <f t="shared" si="2"/>
        <v/>
      </c>
      <c r="DN5" s="172" t="str">
        <f t="shared" si="2"/>
        <v/>
      </c>
      <c r="DO5" s="172" t="str">
        <f t="shared" si="2"/>
        <v/>
      </c>
      <c r="DP5" s="172" t="str">
        <f t="shared" si="2"/>
        <v/>
      </c>
      <c r="DQ5" s="172" t="str">
        <f t="shared" si="2"/>
        <v/>
      </c>
      <c r="DR5" s="172" t="str">
        <f t="shared" si="2"/>
        <v/>
      </c>
      <c r="DS5" s="172" t="str">
        <f t="shared" si="2"/>
        <v/>
      </c>
      <c r="DT5" s="172" t="str">
        <f t="shared" si="2"/>
        <v/>
      </c>
      <c r="DU5" s="172" t="str">
        <f t="shared" si="2"/>
        <v/>
      </c>
      <c r="DV5" s="172" t="str">
        <f t="shared" si="2"/>
        <v/>
      </c>
      <c r="DW5" s="172" t="str">
        <f t="shared" si="2"/>
        <v/>
      </c>
      <c r="DX5" s="172" t="str">
        <f t="shared" si="2"/>
        <v/>
      </c>
      <c r="DY5" s="172" t="str">
        <f t="shared" si="2"/>
        <v/>
      </c>
      <c r="DZ5" s="172" t="str">
        <f t="shared" si="2"/>
        <v/>
      </c>
      <c r="EA5" s="172" t="str">
        <f t="shared" si="2"/>
        <v/>
      </c>
      <c r="EB5" s="172" t="str">
        <f t="shared" si="2"/>
        <v/>
      </c>
      <c r="ED5" s="120" t="str">
        <f t="shared" ref="ED5:ED10" si="11">BZ21</f>
        <v>Dominante de Rodilla</v>
      </c>
      <c r="EE5" s="231" t="str">
        <f t="shared" ref="EE5:EV5" si="3">IFERROR(INDIRECT("'Bloque "&amp;$D$38&amp;" Semana "&amp;MID(EE4,2,2)&amp;"'"&amp;"!"&amp;"CC21"),"")</f>
        <v/>
      </c>
      <c r="EF5" s="231" t="str">
        <f t="shared" si="3"/>
        <v/>
      </c>
      <c r="EG5" s="231" t="str">
        <f t="shared" si="3"/>
        <v/>
      </c>
      <c r="EH5" s="231" t="str">
        <f t="shared" si="3"/>
        <v/>
      </c>
      <c r="EI5" s="231" t="str">
        <f t="shared" si="3"/>
        <v/>
      </c>
      <c r="EJ5" s="231" t="str">
        <f t="shared" si="3"/>
        <v/>
      </c>
      <c r="EK5" s="231" t="str">
        <f t="shared" si="3"/>
        <v/>
      </c>
      <c r="EL5" s="231" t="str">
        <f t="shared" si="3"/>
        <v/>
      </c>
      <c r="EM5" s="231" t="str">
        <f t="shared" si="3"/>
        <v/>
      </c>
      <c r="EN5" s="231" t="str">
        <f t="shared" si="3"/>
        <v/>
      </c>
      <c r="EO5" s="231" t="str">
        <f t="shared" si="3"/>
        <v/>
      </c>
      <c r="EP5" s="231" t="str">
        <f t="shared" si="3"/>
        <v/>
      </c>
      <c r="EQ5" s="231" t="str">
        <f t="shared" si="3"/>
        <v/>
      </c>
      <c r="ER5" s="231" t="str">
        <f t="shared" si="3"/>
        <v/>
      </c>
      <c r="ES5" s="231" t="str">
        <f t="shared" si="3"/>
        <v/>
      </c>
      <c r="ET5" s="231" t="str">
        <f t="shared" si="3"/>
        <v/>
      </c>
      <c r="EU5" s="231" t="str">
        <f t="shared" si="3"/>
        <v/>
      </c>
      <c r="EV5" s="231" t="str">
        <f t="shared" si="3"/>
        <v/>
      </c>
      <c r="EX5" s="218">
        <v>9.5</v>
      </c>
      <c r="EY5" s="228">
        <v>0.978</v>
      </c>
      <c r="EZ5" s="228">
        <v>0.939</v>
      </c>
      <c r="FA5" s="228">
        <v>0.907</v>
      </c>
      <c r="FB5" s="228">
        <v>0.878</v>
      </c>
      <c r="FC5" s="228">
        <v>0.85</v>
      </c>
      <c r="FD5" s="228">
        <v>0.824</v>
      </c>
      <c r="FE5" s="228">
        <v>0.799</v>
      </c>
      <c r="FF5" s="228">
        <v>0.774</v>
      </c>
      <c r="FG5" s="228">
        <v>0.751</v>
      </c>
      <c r="FH5" s="228">
        <v>0.723</v>
      </c>
      <c r="FI5" s="228">
        <v>0.694</v>
      </c>
      <c r="FJ5" s="228">
        <v>0.667</v>
      </c>
      <c r="FK5" s="208"/>
      <c r="FL5" s="218">
        <v>9.5</v>
      </c>
      <c r="FM5" s="228">
        <v>0.989</v>
      </c>
      <c r="FN5" s="228">
        <v>0.955</v>
      </c>
      <c r="FO5" s="228">
        <v>0.932</v>
      </c>
      <c r="FP5" s="228">
        <v>0.909</v>
      </c>
      <c r="FQ5" s="228">
        <v>0.887</v>
      </c>
      <c r="FR5" s="228">
        <v>0.866</v>
      </c>
      <c r="FS5" s="228">
        <v>0.845</v>
      </c>
      <c r="FT5" s="228">
        <v>0.825</v>
      </c>
      <c r="FU5" s="228">
        <v>0.805</v>
      </c>
      <c r="FV5" s="228">
        <v>0.756</v>
      </c>
      <c r="FW5" s="228">
        <v>0.767</v>
      </c>
      <c r="FX5" s="228">
        <v>0.748</v>
      </c>
      <c r="FY5" s="228"/>
      <c r="FZ5" s="84" t="str">
        <f t="array" ref="FZ5">IF(NOT($D$37=2),IFERROR(INDIRECT("'Bloque "&amp;$D$38&amp;" Semana "&amp;"2"&amp;"'"&amp;"!"&amp;"E37"),""),"S2")</f>
        <v>S2</v>
      </c>
      <c r="GA5" s="229" t="str">
        <f t="shared" si="4"/>
        <v/>
      </c>
      <c r="GB5" s="212" t="str">
        <f t="shared" si="5"/>
        <v/>
      </c>
      <c r="GC5" s="84" t="str">
        <f t="array" ref="GC5">IF(NOT($D$37=2),IFERROR(INDIRECT("'Bloque "&amp;$D$38&amp;" Semana "&amp;"2"&amp;"'"&amp;"!"&amp;"E37"),""),"S2")</f>
        <v>S2</v>
      </c>
      <c r="GD5" s="229" t="str">
        <f t="shared" si="6"/>
        <v/>
      </c>
      <c r="GE5" s="212" t="str">
        <f t="shared" si="7"/>
        <v/>
      </c>
      <c r="GF5" s="84" t="str">
        <f t="array" ref="GF5">IF(NOT($D$37=2),IFERROR(INDIRECT("'Bloque "&amp;$D$38&amp;" Semana "&amp;"2"&amp;"'"&amp;"!"&amp;"E37"),""),"S2")</f>
        <v>S2</v>
      </c>
      <c r="GG5" s="229" t="str">
        <f t="shared" si="8"/>
        <v/>
      </c>
      <c r="GH5" s="212" t="str">
        <f t="shared" si="9"/>
        <v/>
      </c>
    </row>
    <row r="6" ht="30.75" customHeight="1">
      <c r="B6" s="199"/>
      <c r="I6" s="106"/>
      <c r="J6" s="225"/>
      <c r="T6" s="226"/>
      <c r="W6" s="201"/>
      <c r="AE6" s="203"/>
      <c r="AF6" s="204"/>
      <c r="AG6" s="232" t="s">
        <v>226</v>
      </c>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33" t="s">
        <v>227</v>
      </c>
      <c r="BS6" s="221"/>
      <c r="BT6" s="221"/>
      <c r="BU6" s="221"/>
      <c r="BV6" s="221"/>
      <c r="BW6" s="221"/>
      <c r="BX6" s="106"/>
      <c r="BY6" s="106"/>
      <c r="BZ6" s="234" t="s">
        <v>228</v>
      </c>
      <c r="CA6" s="235"/>
      <c r="CB6" s="235"/>
      <c r="CC6" s="235"/>
      <c r="CD6" s="235"/>
      <c r="CE6" s="235"/>
      <c r="CF6" s="236"/>
      <c r="CG6" s="236"/>
      <c r="CH6" s="237" t="s">
        <v>229</v>
      </c>
      <c r="CI6" s="238"/>
      <c r="CJ6" s="239"/>
      <c r="CK6" s="237"/>
      <c r="CL6" s="239"/>
      <c r="CM6" s="239"/>
      <c r="CN6" s="239"/>
      <c r="CO6" s="240" t="s">
        <v>230</v>
      </c>
      <c r="CP6" s="210"/>
      <c r="CQ6" s="210"/>
      <c r="CR6" s="210"/>
      <c r="CS6" s="210"/>
      <c r="CT6" s="241"/>
      <c r="DJ6" s="120" t="s">
        <v>42</v>
      </c>
      <c r="DK6" s="172" t="str">
        <f t="shared" ref="DK6:EB6" si="10">IFERROR(INDIRECT("'Bloque "&amp;$D$38&amp;" Semana "&amp;MID(DK3,2,2)&amp;"'"&amp;"!"&amp;"CC17"),"")</f>
        <v/>
      </c>
      <c r="DL6" s="172" t="str">
        <f t="shared" si="10"/>
        <v/>
      </c>
      <c r="DM6" s="172" t="str">
        <f t="shared" si="10"/>
        <v/>
      </c>
      <c r="DN6" s="172" t="str">
        <f t="shared" si="10"/>
        <v/>
      </c>
      <c r="DO6" s="172" t="str">
        <f t="shared" si="10"/>
        <v/>
      </c>
      <c r="DP6" s="172" t="str">
        <f t="shared" si="10"/>
        <v/>
      </c>
      <c r="DQ6" s="172" t="str">
        <f t="shared" si="10"/>
        <v/>
      </c>
      <c r="DR6" s="172" t="str">
        <f t="shared" si="10"/>
        <v/>
      </c>
      <c r="DS6" s="172" t="str">
        <f t="shared" si="10"/>
        <v/>
      </c>
      <c r="DT6" s="172" t="str">
        <f t="shared" si="10"/>
        <v/>
      </c>
      <c r="DU6" s="172" t="str">
        <f t="shared" si="10"/>
        <v/>
      </c>
      <c r="DV6" s="172" t="str">
        <f t="shared" si="10"/>
        <v/>
      </c>
      <c r="DW6" s="172" t="str">
        <f t="shared" si="10"/>
        <v/>
      </c>
      <c r="DX6" s="172" t="str">
        <f t="shared" si="10"/>
        <v/>
      </c>
      <c r="DY6" s="172" t="str">
        <f t="shared" si="10"/>
        <v/>
      </c>
      <c r="DZ6" s="172" t="str">
        <f t="shared" si="10"/>
        <v/>
      </c>
      <c r="EA6" s="172" t="str">
        <f t="shared" si="10"/>
        <v/>
      </c>
      <c r="EB6" s="172" t="str">
        <f t="shared" si="10"/>
        <v/>
      </c>
      <c r="ED6" s="120" t="str">
        <f t="shared" si="11"/>
        <v>Bisagra de Cadera</v>
      </c>
      <c r="EE6" s="231" t="str">
        <f t="shared" ref="EE6:EV6" si="12">IFERROR(INDIRECT("'Bloque "&amp;$D$38&amp;" Semana "&amp;MID(EE4,2,2)&amp;"'"&amp;"!"&amp;"CC22"),"")</f>
        <v/>
      </c>
      <c r="EF6" s="231" t="str">
        <f t="shared" si="12"/>
        <v/>
      </c>
      <c r="EG6" s="231" t="str">
        <f t="shared" si="12"/>
        <v/>
      </c>
      <c r="EH6" s="231" t="str">
        <f t="shared" si="12"/>
        <v/>
      </c>
      <c r="EI6" s="231" t="str">
        <f t="shared" si="12"/>
        <v/>
      </c>
      <c r="EJ6" s="231" t="str">
        <f t="shared" si="12"/>
        <v/>
      </c>
      <c r="EK6" s="231" t="str">
        <f t="shared" si="12"/>
        <v/>
      </c>
      <c r="EL6" s="231" t="str">
        <f t="shared" si="12"/>
        <v/>
      </c>
      <c r="EM6" s="231" t="str">
        <f t="shared" si="12"/>
        <v/>
      </c>
      <c r="EN6" s="231" t="str">
        <f t="shared" si="12"/>
        <v/>
      </c>
      <c r="EO6" s="231" t="str">
        <f t="shared" si="12"/>
        <v/>
      </c>
      <c r="EP6" s="231" t="str">
        <f t="shared" si="12"/>
        <v/>
      </c>
      <c r="EQ6" s="231" t="str">
        <f t="shared" si="12"/>
        <v/>
      </c>
      <c r="ER6" s="231" t="str">
        <f t="shared" si="12"/>
        <v/>
      </c>
      <c r="ES6" s="231" t="str">
        <f t="shared" si="12"/>
        <v/>
      </c>
      <c r="ET6" s="231" t="str">
        <f t="shared" si="12"/>
        <v/>
      </c>
      <c r="EU6" s="231" t="str">
        <f t="shared" si="12"/>
        <v/>
      </c>
      <c r="EV6" s="231" t="str">
        <f t="shared" si="12"/>
        <v/>
      </c>
      <c r="EX6" s="218">
        <v>9.0</v>
      </c>
      <c r="EY6" s="228">
        <v>0.955</v>
      </c>
      <c r="EZ6" s="228">
        <v>0.922</v>
      </c>
      <c r="FA6" s="228">
        <v>0.892</v>
      </c>
      <c r="FB6" s="228">
        <v>0.863</v>
      </c>
      <c r="FC6" s="228">
        <v>0.837</v>
      </c>
      <c r="FD6" s="228">
        <v>0.811</v>
      </c>
      <c r="FE6" s="228">
        <v>0.786</v>
      </c>
      <c r="FF6" s="228">
        <v>0.762</v>
      </c>
      <c r="FG6" s="228">
        <v>0.739</v>
      </c>
      <c r="FH6" s="228">
        <v>0.707</v>
      </c>
      <c r="FI6" s="228">
        <v>0.68</v>
      </c>
      <c r="FJ6" s="228">
        <v>0.653</v>
      </c>
      <c r="FK6" s="208"/>
      <c r="FL6" s="218">
        <v>9.0</v>
      </c>
      <c r="FM6" s="228">
        <v>0.979</v>
      </c>
      <c r="FN6" s="228">
        <v>0.944</v>
      </c>
      <c r="FO6" s="228">
        <v>0.922</v>
      </c>
      <c r="FP6" s="228">
        <v>0.9</v>
      </c>
      <c r="FQ6" s="228">
        <v>0.878</v>
      </c>
      <c r="FR6" s="228">
        <v>0.857</v>
      </c>
      <c r="FS6" s="228">
        <v>0.836</v>
      </c>
      <c r="FT6" s="228">
        <v>0.816</v>
      </c>
      <c r="FU6" s="228">
        <v>0.796</v>
      </c>
      <c r="FV6" s="228">
        <v>0.777</v>
      </c>
      <c r="FW6" s="228">
        <v>0.758</v>
      </c>
      <c r="FX6" s="228">
        <v>0.74</v>
      </c>
      <c r="FY6" s="228"/>
      <c r="FZ6" s="84" t="str">
        <f t="array" ref="FZ6">IF(NOT($D$37=3),IFERROR(INDIRECT("'Bloque "&amp;$D$38&amp;" Semana "&amp;"3"&amp;"'"&amp;"!"&amp;"E37"),""),"S3")</f>
        <v/>
      </c>
      <c r="GA6" s="229" t="str">
        <f t="shared" si="4"/>
        <v/>
      </c>
      <c r="GB6" s="212" t="str">
        <f t="shared" si="5"/>
        <v/>
      </c>
      <c r="GC6" s="84" t="str">
        <f t="array" ref="GC6">IF(NOT($D$37=3),IFERROR(INDIRECT("'Bloque "&amp;$D$38&amp;" Semana "&amp;"3"&amp;"'"&amp;"!"&amp;"E37"),""),"S3")</f>
        <v/>
      </c>
      <c r="GD6" s="229" t="str">
        <f t="shared" si="6"/>
        <v/>
      </c>
      <c r="GE6" s="212" t="str">
        <f t="shared" si="7"/>
        <v/>
      </c>
      <c r="GF6" s="84" t="str">
        <f t="array" ref="GF6">IF(NOT($D$37=3),IFERROR(INDIRECT("'Bloque "&amp;$D$38&amp;" Semana "&amp;"3"&amp;"'"&amp;"!"&amp;"E37"),""),"S3")</f>
        <v/>
      </c>
      <c r="GG6" s="229" t="str">
        <f t="shared" si="8"/>
        <v/>
      </c>
      <c r="GH6" s="212" t="str">
        <f t="shared" si="9"/>
        <v/>
      </c>
    </row>
    <row r="7" ht="41.25" customHeight="1">
      <c r="B7" s="199"/>
      <c r="I7" s="106"/>
      <c r="J7" s="225"/>
      <c r="T7" s="226"/>
      <c r="W7" s="201"/>
      <c r="AE7" s="203"/>
      <c r="AF7" s="204"/>
      <c r="AG7" s="225"/>
      <c r="BX7" s="106"/>
      <c r="BY7" s="106"/>
      <c r="BZ7" s="242" t="s">
        <v>231</v>
      </c>
      <c r="CA7" s="243"/>
      <c r="CB7" s="243"/>
      <c r="CC7" s="243"/>
      <c r="CD7" s="243"/>
      <c r="CE7" s="243"/>
      <c r="CF7" s="244"/>
      <c r="CG7" s="245"/>
      <c r="CH7" s="246" t="s">
        <v>232</v>
      </c>
      <c r="CI7" s="247" t="s">
        <v>233</v>
      </c>
      <c r="CJ7" s="248"/>
      <c r="CK7" s="248"/>
      <c r="CL7" s="249"/>
      <c r="CM7" s="249"/>
      <c r="CN7" s="250"/>
      <c r="CO7" s="251"/>
      <c r="CP7" s="251"/>
      <c r="CQ7" s="251"/>
      <c r="CR7" s="251"/>
      <c r="CS7" s="251"/>
      <c r="CT7" s="252"/>
      <c r="ED7" s="120" t="str">
        <f t="shared" si="11"/>
        <v>Empuje Horizontal</v>
      </c>
      <c r="EE7" s="231" t="str">
        <f t="shared" ref="EE7:EV7" si="13">IFERROR(INDIRECT("'Bloque "&amp;$D$38&amp;" Semana "&amp;MID(EE4,2,2)&amp;"'"&amp;"!"&amp;"CC23"),"")</f>
        <v/>
      </c>
      <c r="EF7" s="231" t="str">
        <f t="shared" si="13"/>
        <v/>
      </c>
      <c r="EG7" s="231" t="str">
        <f t="shared" si="13"/>
        <v/>
      </c>
      <c r="EH7" s="231" t="str">
        <f t="shared" si="13"/>
        <v/>
      </c>
      <c r="EI7" s="231" t="str">
        <f t="shared" si="13"/>
        <v/>
      </c>
      <c r="EJ7" s="231" t="str">
        <f t="shared" si="13"/>
        <v/>
      </c>
      <c r="EK7" s="231" t="str">
        <f t="shared" si="13"/>
        <v/>
      </c>
      <c r="EL7" s="231" t="str">
        <f t="shared" si="13"/>
        <v/>
      </c>
      <c r="EM7" s="231" t="str">
        <f t="shared" si="13"/>
        <v/>
      </c>
      <c r="EN7" s="231" t="str">
        <f t="shared" si="13"/>
        <v/>
      </c>
      <c r="EO7" s="231" t="str">
        <f t="shared" si="13"/>
        <v/>
      </c>
      <c r="EP7" s="231" t="str">
        <f t="shared" si="13"/>
        <v/>
      </c>
      <c r="EQ7" s="231" t="str">
        <f t="shared" si="13"/>
        <v/>
      </c>
      <c r="ER7" s="231" t="str">
        <f t="shared" si="13"/>
        <v/>
      </c>
      <c r="ES7" s="231" t="str">
        <f t="shared" si="13"/>
        <v/>
      </c>
      <c r="ET7" s="231" t="str">
        <f t="shared" si="13"/>
        <v/>
      </c>
      <c r="EU7" s="231" t="str">
        <f t="shared" si="13"/>
        <v/>
      </c>
      <c r="EV7" s="231" t="str">
        <f t="shared" si="13"/>
        <v/>
      </c>
      <c r="EX7" s="218">
        <v>8.5</v>
      </c>
      <c r="EY7" s="228">
        <v>0.939</v>
      </c>
      <c r="EZ7" s="228">
        <v>0.907</v>
      </c>
      <c r="FA7" s="228">
        <v>0.878</v>
      </c>
      <c r="FB7" s="228">
        <v>0.85</v>
      </c>
      <c r="FC7" s="228">
        <v>0.824</v>
      </c>
      <c r="FD7" s="228">
        <v>0.799</v>
      </c>
      <c r="FE7" s="228">
        <v>0.774</v>
      </c>
      <c r="FF7" s="228">
        <v>0.751</v>
      </c>
      <c r="FG7" s="228">
        <v>0.723</v>
      </c>
      <c r="FH7" s="228">
        <v>0.694</v>
      </c>
      <c r="FI7" s="228">
        <v>0.667</v>
      </c>
      <c r="FJ7" s="228">
        <v>0.64</v>
      </c>
      <c r="FK7" s="208"/>
      <c r="FL7" s="218">
        <v>8.5</v>
      </c>
      <c r="FM7" s="228">
        <v>0.968</v>
      </c>
      <c r="FN7" s="228">
        <v>0.934</v>
      </c>
      <c r="FO7" s="228">
        <v>0.912</v>
      </c>
      <c r="FP7" s="228">
        <v>0.89</v>
      </c>
      <c r="FQ7" s="228">
        <v>0.868</v>
      </c>
      <c r="FR7" s="228">
        <v>0.848</v>
      </c>
      <c r="FS7" s="228">
        <v>0.827</v>
      </c>
      <c r="FT7" s="228">
        <v>0.807</v>
      </c>
      <c r="FU7" s="228">
        <v>0.788</v>
      </c>
      <c r="FV7" s="228">
        <v>0.769</v>
      </c>
      <c r="FW7" s="228">
        <v>0.75</v>
      </c>
      <c r="FX7" s="228">
        <v>0.732</v>
      </c>
      <c r="FY7" s="228"/>
      <c r="FZ7" s="84" t="str">
        <f t="array" ref="FZ7">IF(NOT($D$37=4),IFERROR(INDIRECT("'Bloque "&amp;$D$38&amp;" Semana "&amp;"4"&amp;"'"&amp;"!"&amp;"E37"),""),"S4")</f>
        <v/>
      </c>
      <c r="GA7" s="229" t="str">
        <f t="shared" si="4"/>
        <v/>
      </c>
      <c r="GB7" s="212" t="str">
        <f t="shared" si="5"/>
        <v/>
      </c>
      <c r="GC7" s="84" t="str">
        <f t="array" ref="GC7">IF(NOT($D$37=4),IFERROR(INDIRECT("'Bloque "&amp;$D$38&amp;" Semana "&amp;"4"&amp;"'"&amp;"!"&amp;"E37"),""),"S4")</f>
        <v/>
      </c>
      <c r="GD7" s="229" t="str">
        <f t="shared" si="6"/>
        <v/>
      </c>
      <c r="GE7" s="212" t="str">
        <f t="shared" si="7"/>
        <v/>
      </c>
      <c r="GF7" s="84" t="str">
        <f t="array" ref="GF7">IF(NOT($D$37=4),IFERROR(INDIRECT("'Bloque "&amp;$D$38&amp;" Semana "&amp;"4"&amp;"'"&amp;"!"&amp;"E37"),""),"S4")</f>
        <v/>
      </c>
      <c r="GG7" s="229" t="str">
        <f t="shared" si="8"/>
        <v/>
      </c>
      <c r="GH7" s="212" t="str">
        <f t="shared" si="9"/>
        <v/>
      </c>
    </row>
    <row r="8" ht="49.5" customHeight="1">
      <c r="B8" s="211"/>
      <c r="I8" s="253"/>
      <c r="J8" s="225"/>
      <c r="T8" s="226"/>
      <c r="W8" s="201"/>
      <c r="AE8" s="203"/>
      <c r="AF8" s="204"/>
      <c r="AG8" s="254" t="s">
        <v>234</v>
      </c>
      <c r="AH8" s="210"/>
      <c r="AI8" s="210"/>
      <c r="AJ8" s="210"/>
      <c r="AK8" s="255" t="s">
        <v>235</v>
      </c>
      <c r="AL8" s="210"/>
      <c r="AM8" s="210"/>
      <c r="AN8" s="210"/>
      <c r="AO8" s="255" t="s">
        <v>236</v>
      </c>
      <c r="AP8" s="210"/>
      <c r="AQ8" s="210"/>
      <c r="AR8" s="210"/>
      <c r="AS8" s="255" t="s">
        <v>237</v>
      </c>
      <c r="AT8" s="210"/>
      <c r="AU8" s="210"/>
      <c r="AV8" s="210"/>
      <c r="AW8" s="255" t="s">
        <v>238</v>
      </c>
      <c r="AX8" s="210"/>
      <c r="AY8" s="210"/>
      <c r="AZ8" s="210"/>
      <c r="BA8" s="255" t="s">
        <v>239</v>
      </c>
      <c r="BB8" s="210"/>
      <c r="BC8" s="210"/>
      <c r="BD8" s="210"/>
      <c r="BE8" s="256" t="s">
        <v>240</v>
      </c>
      <c r="BF8" s="210"/>
      <c r="BG8" s="210"/>
      <c r="BH8" s="257"/>
      <c r="BI8" s="255" t="s">
        <v>241</v>
      </c>
      <c r="BJ8" s="210"/>
      <c r="BK8" s="210"/>
      <c r="BL8" s="257"/>
      <c r="BM8" s="256" t="s">
        <v>242</v>
      </c>
      <c r="BN8" s="210"/>
      <c r="BO8" s="210"/>
      <c r="BP8" s="210"/>
      <c r="BQ8" s="258"/>
      <c r="BR8" s="259" t="s">
        <v>243</v>
      </c>
      <c r="BS8" s="210"/>
      <c r="BT8" s="210"/>
      <c r="BU8" s="259" t="s">
        <v>244</v>
      </c>
      <c r="BV8" s="210"/>
      <c r="BW8" s="260" t="s">
        <v>245</v>
      </c>
      <c r="BX8" s="106"/>
      <c r="BY8" s="106"/>
      <c r="BZ8" s="261" t="s">
        <v>246</v>
      </c>
      <c r="CA8" s="83" t="s">
        <v>247</v>
      </c>
      <c r="CB8" s="83" t="s">
        <v>248</v>
      </c>
      <c r="CC8" s="83" t="s">
        <v>224</v>
      </c>
      <c r="CD8" s="83" t="s">
        <v>249</v>
      </c>
      <c r="CE8" s="83" t="s">
        <v>250</v>
      </c>
      <c r="CF8" s="262" t="s">
        <v>251</v>
      </c>
      <c r="CH8" s="263" t="s">
        <v>252</v>
      </c>
      <c r="CI8" s="264" t="s">
        <v>253</v>
      </c>
      <c r="CJ8" s="264" t="s">
        <v>254</v>
      </c>
      <c r="CK8" s="264" t="s">
        <v>255</v>
      </c>
      <c r="CL8" s="264" t="s">
        <v>256</v>
      </c>
      <c r="CM8" s="264" t="s">
        <v>257</v>
      </c>
      <c r="CN8" s="264" t="s">
        <v>258</v>
      </c>
      <c r="CO8" s="265" t="s">
        <v>255</v>
      </c>
      <c r="CP8" s="266" t="s">
        <v>259</v>
      </c>
      <c r="CQ8" s="267" t="s">
        <v>260</v>
      </c>
      <c r="CR8" s="265" t="s">
        <v>261</v>
      </c>
      <c r="CS8" s="266" t="s">
        <v>262</v>
      </c>
      <c r="CT8" s="268" t="s">
        <v>263</v>
      </c>
      <c r="DJ8" s="107" t="s">
        <v>264</v>
      </c>
      <c r="DK8" s="108"/>
      <c r="DL8" s="108"/>
      <c r="DM8" s="108"/>
      <c r="DN8" s="108"/>
      <c r="DO8" s="108"/>
      <c r="DP8" s="108"/>
      <c r="DQ8" s="108"/>
      <c r="DR8" s="108"/>
      <c r="DS8" s="108"/>
      <c r="DT8" s="108"/>
      <c r="DU8" s="108"/>
      <c r="DV8" s="108"/>
      <c r="DW8" s="108"/>
      <c r="DX8" s="108"/>
      <c r="DY8" s="108"/>
      <c r="DZ8" s="108"/>
      <c r="EA8" s="108"/>
      <c r="EB8" s="108"/>
      <c r="ED8" s="120" t="str">
        <f t="shared" si="11"/>
        <v>Empuje Vertical</v>
      </c>
      <c r="EE8" s="269" t="str">
        <f t="shared" ref="EE8:EV8" si="14">IFERROR(INDIRECT("'Bloque "&amp;$D$38&amp;" Semana "&amp;MID(EE4,2,2)&amp;"'"&amp;"!"&amp;"CC24"),"")</f>
        <v/>
      </c>
      <c r="EF8" s="269" t="str">
        <f t="shared" si="14"/>
        <v/>
      </c>
      <c r="EG8" s="269" t="str">
        <f t="shared" si="14"/>
        <v/>
      </c>
      <c r="EH8" s="269" t="str">
        <f t="shared" si="14"/>
        <v/>
      </c>
      <c r="EI8" s="269" t="str">
        <f t="shared" si="14"/>
        <v/>
      </c>
      <c r="EJ8" s="269" t="str">
        <f t="shared" si="14"/>
        <v/>
      </c>
      <c r="EK8" s="269" t="str">
        <f t="shared" si="14"/>
        <v/>
      </c>
      <c r="EL8" s="269" t="str">
        <f t="shared" si="14"/>
        <v/>
      </c>
      <c r="EM8" s="269" t="str">
        <f t="shared" si="14"/>
        <v/>
      </c>
      <c r="EN8" s="269" t="str">
        <f t="shared" si="14"/>
        <v/>
      </c>
      <c r="EO8" s="269" t="str">
        <f t="shared" si="14"/>
        <v/>
      </c>
      <c r="EP8" s="269" t="str">
        <f t="shared" si="14"/>
        <v/>
      </c>
      <c r="EQ8" s="269" t="str">
        <f t="shared" si="14"/>
        <v/>
      </c>
      <c r="ER8" s="269" t="str">
        <f t="shared" si="14"/>
        <v/>
      </c>
      <c r="ES8" s="269" t="str">
        <f t="shared" si="14"/>
        <v/>
      </c>
      <c r="ET8" s="269" t="str">
        <f t="shared" si="14"/>
        <v/>
      </c>
      <c r="EU8" s="269" t="str">
        <f t="shared" si="14"/>
        <v/>
      </c>
      <c r="EV8" s="269" t="str">
        <f t="shared" si="14"/>
        <v/>
      </c>
      <c r="EX8" s="218">
        <v>8.0</v>
      </c>
      <c r="EY8" s="228">
        <v>0.922</v>
      </c>
      <c r="EZ8" s="228">
        <v>0.892</v>
      </c>
      <c r="FA8" s="228">
        <v>0.863</v>
      </c>
      <c r="FB8" s="228">
        <v>0.837</v>
      </c>
      <c r="FC8" s="228">
        <v>0.811</v>
      </c>
      <c r="FD8" s="228">
        <v>0.786</v>
      </c>
      <c r="FE8" s="228">
        <v>0.762</v>
      </c>
      <c r="FF8" s="228">
        <v>0.739</v>
      </c>
      <c r="FG8" s="228">
        <v>0.707</v>
      </c>
      <c r="FH8" s="228">
        <v>0.68</v>
      </c>
      <c r="FI8" s="228">
        <v>0.653</v>
      </c>
      <c r="FJ8" s="228">
        <v>0.626</v>
      </c>
      <c r="FK8" s="208"/>
      <c r="FL8" s="218">
        <v>8.0</v>
      </c>
      <c r="FM8" s="228">
        <v>0.958</v>
      </c>
      <c r="FN8" s="228">
        <v>0.924</v>
      </c>
      <c r="FO8" s="228">
        <v>0.902</v>
      </c>
      <c r="FP8" s="228">
        <v>0.88</v>
      </c>
      <c r="FQ8" s="228">
        <v>0.859</v>
      </c>
      <c r="FR8" s="228">
        <v>0.838</v>
      </c>
      <c r="FS8" s="228">
        <v>0.818</v>
      </c>
      <c r="FT8" s="228">
        <v>0.799</v>
      </c>
      <c r="FU8" s="228">
        <v>0.779</v>
      </c>
      <c r="FV8" s="228">
        <v>0.761</v>
      </c>
      <c r="FW8" s="228">
        <v>0.742</v>
      </c>
      <c r="FX8" s="228">
        <v>0.724</v>
      </c>
      <c r="FY8" s="228"/>
      <c r="FZ8" s="84" t="str">
        <f t="array" ref="FZ8">IF(NOT($D$37=5),IFERROR(INDIRECT("'Bloque "&amp;$D$38&amp;" Semana "&amp;"5"&amp;"'"&amp;"!"&amp;"E37"),""),"S5")</f>
        <v/>
      </c>
      <c r="GA8" s="229" t="str">
        <f t="shared" si="4"/>
        <v/>
      </c>
      <c r="GB8" s="212" t="str">
        <f t="shared" si="5"/>
        <v/>
      </c>
      <c r="GC8" s="84" t="str">
        <f t="array" ref="GC8">IF(NOT($D$37=5),IFERROR(INDIRECT("'Bloque "&amp;$D$38&amp;" Semana "&amp;"5"&amp;"'"&amp;"!"&amp;"E37"),""),"S5")</f>
        <v/>
      </c>
      <c r="GD8" s="229" t="str">
        <f t="shared" si="6"/>
        <v/>
      </c>
      <c r="GE8" s="212" t="str">
        <f t="shared" si="7"/>
        <v/>
      </c>
      <c r="GF8" s="84" t="str">
        <f t="array" ref="GF8">IF(NOT($D$37=5),IFERROR(INDIRECT("'Bloque "&amp;$D$38&amp;" Semana "&amp;"5"&amp;"'"&amp;"!"&amp;"E37"),""),"S5")</f>
        <v/>
      </c>
      <c r="GG8" s="229" t="str">
        <f t="shared" si="8"/>
        <v/>
      </c>
      <c r="GH8" s="212" t="str">
        <f t="shared" si="9"/>
        <v/>
      </c>
    </row>
    <row r="9" ht="30.0" customHeight="1">
      <c r="B9" s="199"/>
      <c r="I9" s="106"/>
      <c r="J9" s="225"/>
      <c r="T9" s="226"/>
      <c r="W9" s="201"/>
      <c r="AE9" s="203"/>
      <c r="AF9" s="204"/>
      <c r="AG9" s="270" t="s">
        <v>265</v>
      </c>
      <c r="AJ9" s="271"/>
      <c r="AK9" s="272"/>
      <c r="AN9" s="273"/>
      <c r="AO9" s="272"/>
      <c r="AR9" s="273"/>
      <c r="AS9" s="272"/>
      <c r="AV9" s="273"/>
      <c r="AW9" s="272"/>
      <c r="AZ9" s="273"/>
      <c r="BA9" s="272"/>
      <c r="BD9" s="273"/>
      <c r="BE9" s="274" t="str">
        <f t="shared" ref="BE9:BE15" si="17">IFERROR( IFERROR(IF(NOT(ISBLANK(AK9)),MID(AK9,1,2),"")+IF(NOT(ISBLANK(AO9)),MID(AO9,1,2),"")+IF(NOT(ISBLANK(AS9)),MID(AS9,1,2),"")+IF(NOT(ISBLANK(AW9)),MID(AW9,1,2),"")+IF(NOT(ISBLANK(BA9)),MID(BA9,1,2),""),"")/COUNTA(AK9:BC9)*10/7,"")</f>
        <v/>
      </c>
      <c r="BH9" s="275"/>
      <c r="BI9" s="276"/>
      <c r="BL9" s="275"/>
      <c r="BM9" s="277"/>
      <c r="BQ9" s="278"/>
      <c r="BR9" s="279" t="b">
        <v>0</v>
      </c>
      <c r="BS9" s="280" t="str">
        <f t="shared" ref="BS9:BS15" si="18">IFS(BR9=FALSE,"",BS9&lt;&gt;"",BS9,TRUE,NOW())</f>
        <v/>
      </c>
      <c r="BT9" s="273"/>
      <c r="BU9" s="281" t="b">
        <v>0</v>
      </c>
      <c r="BV9" s="280" t="str">
        <f t="shared" ref="BV9:BV15" si="19">IFS(BU9=FALSE,"",BV9&lt;&gt;"",BV9,TRUE,NOW())</f>
        <v/>
      </c>
      <c r="BW9" s="282" t="str">
        <f t="shared" ref="BW9:BW15" si="20">IF(OR(BS9="",BV9=""),"",BV9-BS9)</f>
        <v/>
      </c>
      <c r="BZ9" s="283" t="s">
        <v>266</v>
      </c>
      <c r="CA9" s="284">
        <f>IFERROR(IFS(BZ9="SQ1", SUMIF($D$40:$D186,"SQ1*",AD40:AD186),BZ9="SQ2",SUMIF($D$40:$D186,"SQ2*",AD40:AD186),$BZ$9="SQ3",SUMIF($D$40:$D186,"SQ3*",AD40:AD186),BZ9="SQ4",SUMIF($D$40:$D186,"SQ4*",AD40:AD186),BZ9="SQ5",SUMIF($D$40:$D186,"SQ5*",AD40:AD186)),"")</f>
        <v>6</v>
      </c>
      <c r="CB9" s="284">
        <f>IFERROR(IFS(BZ9="SQ1", SUMIF($D$40:$D186,"SQ1*",CC40:CC186),BZ9="SQ2",SUMIF($D$40:$D186,"SQ2*",CC40:CC186),$BZ$9="SQ3",SUMIF($D$40:$D186,"SQ3*",CC40:CC186),BZ9="SQ4",SUMIF($D$40:$D186,"SQ4*",CC40:CC186),BZ9="SQ5",SUMIF($D$40:$D186,"SQ5*",CC40:CC186)),"")</f>
        <v>33</v>
      </c>
      <c r="CC9" s="285" t="str">
        <f>IFERROR(IFS($BZ$9="SQ1", SUMIF($D$40:$D186,"SQ1*",CE40:CE186),$BZ$9="SQ2",SUMIF($D$40:$D186,"SQ2*",CE40:CE186),$BZ$9="SQ3",SUMIF($D$40:$D186,"SQ3*",CE40:CE186),$BZ$9="SQ4",SUMIF($D$40:$D186,"SQ4*",CE40:CE186),$BZ$9="SQ5",SUMIF($D$40:$D186,"SQ5*",CE40:CE186)),"")</f>
        <v/>
      </c>
      <c r="CD9" s="286" t="str">
        <f>IFERROR(IFS(BZ9="SQ1",AVERAGEIF(D40:D186,"SQ1*",CA40:CA186),BZ9="SQ2",AVERAGEIF(D40:D186,"SQ2*",CA40:CA186),BZ9="SQ3",AVERAGEIF(D40:D186,"SQ3*",CA40:CA186),BZ9="SQ4",AVERAGEIF(D40:D186,"SQ4*",CA40:CA186),BZ9="SQ5",AVERAGEIF(D40:D186,"SQ5*",CA40:CA186)),"")</f>
        <v/>
      </c>
      <c r="CE9" s="287" t="str">
        <f>IFERROR( IFS($CE$8="e1RM Bryzcki", IFS(BZ9="SQ1",AVERAGEIF(D40:D186,"SQ1*",CH40:CH186),BZ9="SQ2",AVERAGEIF(D40:D186,"SQ2*",CH40:CH186),BZ9="SQ3",AVERAGEIF(D40:D186,"SQ3*",CH40:CH186),BZ9="SQ4*",AVERAGEIF(D40:D186,"SQ4*",CH40:CH186),BZ9="SQ5",AVERAGEIF(D40:D186,"SQ5*",CH40:CH186)),$CE$8="e1RM Steve Denovi F1", IFS(BZ9="SQ1",AVERAGEIF(D40:D186,"SQ1*",CL40:CL186),BZ9="SQ2",AVERAGEIF(D40:D186,"SQ2*",CL40:CL186),BZ9="SQ3",AVERAGEIF(D40:D186,"SQ3*",CL40:CL186),BZ9="SQ4*",AVERAGEIF(D40:D186,"SQ4*",CL40:CL186),BZ9="SQ5",AVERAGEIF(D40:D186,"SQ5*",CL40:CL186)),$CE$8="e1RM Steve Denovi F2", IFS(BZ9="SQ1",AVERAGEIF(D40:D186,"SQ1*",CM40:CM186),BZ9="SQ2",AVERAGEIF(D40:D186,"SQ2*",CM40:CM186),BZ9="SQ3",AVERAGEIF(D40:D186,"SQ3*",CM40:CM186),BZ9="SQ4*",AVERAGEIF(D40:D186,"SQ4*",CM40:CM186),BZ9="SQ5",AVERAGEIF(D40:D186,"SQ5*",CM40:CM186))),"")</f>
        <v/>
      </c>
      <c r="CF9" s="288">
        <f>IFERROR(IFS($BZ$9="SQ1",AVERAGEIF($D$40:$D186,"SQ1*",$CK$40:$CK186),$BZ$9="SQ2",AVERAGEIF($D$40:$D186,"SQ2*",$CK$40:$CK186),$BZ$9="SQ3",AVERAGEIF($D$40:$D186,"SQ3*",$CK$40:$CK186),$BZ$9="SQ4",AVERAGEIF($D$40:$D186,"SQ4*",$CK$40:$CK186),$BZ$9="SQ5",AVERAGEIF($D$40:$D186,"SQ5*",$CK$40:$CK186)),"")</f>
        <v>7.25</v>
      </c>
      <c r="CH9" s="289" t="str">
        <f t="array" ref="CH9">IF(NOT($D$37=1),IFERROR(INDIRECT("'Bloque "&amp;$D$38&amp;" Semana "&amp;"1"&amp;"'"&amp;"!"&amp;"E37"),""),"S1")</f>
        <v/>
      </c>
      <c r="CI9" s="290" t="str">
        <f t="shared" ref="CI9:CI26" si="21">IFERROR(INDIRECT("'Bloque "&amp;$D$38&amp;" Semana "&amp;MID(CH9,2,2)&amp;"'"&amp;"!"&amp;"AF"&amp;MATCH($CH$7,$D:$D,0)),"")</f>
        <v/>
      </c>
      <c r="CJ9" s="224" t="str">
        <f t="shared" ref="CJ9:CJ26" si="22">IFERROR(INDIRECT("'Bloque "&amp;$D$38&amp;" Semana "&amp;MID(CH9,2,2)&amp;"'"&amp;"!"&amp;"AG"&amp;MATCH($CH$7,$D:$D,0)),"")</f>
        <v/>
      </c>
      <c r="CK9" s="85" t="str">
        <f t="shared" ref="CK9:CK26" si="23">IFERROR(INDIRECT("'Bloque "&amp;$D$38&amp;" Semana "&amp;MID(CH9,2,2)&amp;"'"&amp;"!"&amp;"CB"&amp;MATCH($CH$7,$D:$D,0)),"")</f>
        <v/>
      </c>
      <c r="CL9" s="291">
        <v>0.0</v>
      </c>
      <c r="CM9" s="168" t="str">
        <f t="shared" ref="CM9:CM26" si="24">IFERROR(INDIRECT("'Bloque "&amp;$D$38&amp;" Semana "&amp;MID(CH9,2,2)&amp;"'"&amp;"!"&amp;"CK"&amp;MATCH($CH$7,$D:$D,0)),"")</f>
        <v/>
      </c>
      <c r="CN9" s="292">
        <v>0.0</v>
      </c>
      <c r="CO9" s="168" t="str">
        <f t="shared" ref="CO9:CO26" si="25">IFERROR(INDIRECT("'Bloque "&amp;$D$38&amp;" Semana "&amp;MID(CH9,2,2)&amp;"'"&amp;"!"&amp;"CB"&amp;MATCH($CH$7,$D:$D,0)),"")</f>
        <v/>
      </c>
      <c r="CP9" s="293" t="str">
        <f t="shared" ref="CP9:CP26" si="26">IFERROR( IF(CH9=0,"",CO9/CQ9),"")</f>
        <v/>
      </c>
      <c r="CQ9" s="294" t="str">
        <f t="shared" ref="CQ9:CQ26" si="27">IFERROR( IF(NOT( $CQ$8="1RM PROYECTADA MEJOR A REPS"),VLOOKUP(CM9,$EX$3:$FJ$16,CJ9+1,0),VLOOKUP(CM9,$FL$3:$FX$16,CJ9+1,0)),"")</f>
        <v/>
      </c>
      <c r="CR9" s="295">
        <v>0.0</v>
      </c>
      <c r="CS9" s="296">
        <f t="shared" ref="CS9:CT9" si="15">MAX(CP9:CP26)-MIN(CP9:CP26)</f>
        <v>0</v>
      </c>
      <c r="CT9" s="297">
        <f t="shared" si="15"/>
        <v>0</v>
      </c>
      <c r="DJ9" s="83"/>
      <c r="DK9" s="207" t="str">
        <f t="array" ref="DK9">IF(NOT($D$37=1),IFERROR(INDIRECT("'Bloque "&amp;$D$38&amp;" Semana "&amp;"1"&amp;"'"&amp;"!"&amp;"E37"),""),"S1")</f>
        <v/>
      </c>
      <c r="DL9" s="207" t="str">
        <f t="array" ref="DL9">IF(NOT($D$37=2),IFERROR(INDIRECT("'Bloque "&amp;$D$38&amp;" Semana "&amp;"2"&amp;"'"&amp;"!"&amp;"E37"),""),"S2")</f>
        <v>S2</v>
      </c>
      <c r="DM9" s="207" t="str">
        <f t="array" ref="DM9">IF(NOT($D$37=3),IFERROR(INDIRECT("'Bloque "&amp;$D$38&amp;" Semana "&amp;"3"&amp;"'"&amp;"!"&amp;"E37"),""),"S3")</f>
        <v/>
      </c>
      <c r="DN9" s="207" t="str">
        <f t="array" ref="DN9">IF(NOT($D$37=4),IFERROR(INDIRECT("'Bloque "&amp;$D$38&amp;" Semana "&amp;"4"&amp;"'"&amp;"!"&amp;"E37"),""),"S4")</f>
        <v/>
      </c>
      <c r="DO9" s="207" t="str">
        <f t="array" ref="DO9">IF(NOT($D$37=5),IFERROR(INDIRECT("'Bloque "&amp;$D$38&amp;" Semana "&amp;"5"&amp;"'"&amp;"!"&amp;"E37"),""),"S5")</f>
        <v/>
      </c>
      <c r="DP9" s="207" t="str">
        <f t="array" ref="DP9">IF(NOT($D$37=6),IFERROR(INDIRECT("'Bloque "&amp;$D$38&amp;" Semana "&amp;"6"&amp;"'"&amp;"!"&amp;"E37"),""),"S6")</f>
        <v/>
      </c>
      <c r="DQ9" s="207" t="str">
        <f t="array" ref="DQ9">IF(NOT($D$37=7),IFERROR(INDIRECT("'Bloque "&amp;$D$38&amp;" Semana "&amp;"7"&amp;"'"&amp;"!"&amp;"E37"),""),"S7")</f>
        <v/>
      </c>
      <c r="DR9" s="207" t="str">
        <f t="array" ref="DR9">IF(NOT($D$37=8),IFERROR(INDIRECT("'Bloque "&amp;$D$38&amp;" Semana "&amp;"8"&amp;"'"&amp;"!"&amp;"E37"),""),"S8")</f>
        <v/>
      </c>
      <c r="DS9" s="207" t="str">
        <f t="array" ref="DS9">IF(NOT($D$37=9),IFERROR(INDIRECT("'Bloque "&amp;$D$38&amp;" Semana "&amp;"9"&amp;"'"&amp;"!"&amp;"E37"),""),"S9")</f>
        <v/>
      </c>
      <c r="DT9" s="207" t="str">
        <f t="array" ref="DT9">IF(NOT($D$37=10),IFERROR(INDIRECT("'Bloque "&amp;$D$38&amp;" Semana "&amp;"10"&amp;"'"&amp;"!"&amp;"E37"),""),"S10")</f>
        <v/>
      </c>
      <c r="DU9" s="207" t="str">
        <f t="array" ref="DU9">IF(NOT($D$37=11),IFERROR(INDIRECT("'Bloque "&amp;$D$38&amp;" Semana "&amp;"11"&amp;"'"&amp;"!"&amp;"E37"),""),"S11")</f>
        <v/>
      </c>
      <c r="DV9" s="207" t="str">
        <f t="array" ref="DV9">IF(NOT($D$37=12),IFERROR(INDIRECT("'Bloque "&amp;$D$38&amp;" Semana "&amp;"12"&amp;"'"&amp;"!"&amp;"E37"),""),"S12")</f>
        <v/>
      </c>
      <c r="DW9" s="207" t="str">
        <f t="array" ref="DW9">IF(NOT($D$37=13),IFERROR(INDIRECT("'Bloque "&amp;$D$38&amp;" Semana "&amp;"13"&amp;"'"&amp;"!"&amp;"E37"),""),"S13")</f>
        <v/>
      </c>
      <c r="DX9" s="207" t="str">
        <f t="array" ref="DX9">IF(NOT($D$37=14),IFERROR(INDIRECT("'Bloque "&amp;$D$38&amp;" Semana "&amp;"14"&amp;"'"&amp;"!"&amp;"E37"),""),"S14")</f>
        <v/>
      </c>
      <c r="DY9" s="207" t="str">
        <f t="array" ref="DY9">IF(NOT($D$37=15),IFERROR(INDIRECT("'Bloque "&amp;$D$38&amp;" Semana "&amp;"15"&amp;"'"&amp;"!"&amp;"E37"),""),"S15")</f>
        <v/>
      </c>
      <c r="DZ9" s="207" t="str">
        <f t="array" ref="DZ9">IF(NOT($D$37=16),IFERROR(INDIRECT("'Bloque "&amp;$D$38&amp;" Semana "&amp;"16"&amp;"'"&amp;"!"&amp;"E37"),""),"S16")</f>
        <v/>
      </c>
      <c r="EA9" s="207" t="str">
        <f t="array" ref="EA9">IF(NOT($D$37=17),IFERROR(INDIRECT("'Bloque "&amp;$D$38&amp;" Semana "&amp;"17"&amp;"'"&amp;"!"&amp;"E37"),""),"S17")</f>
        <v/>
      </c>
      <c r="EB9" s="207" t="str">
        <f t="array" ref="EB9">IF(NOT($D$37=18),IFERROR(INDIRECT("'Bloque "&amp;$D$38&amp;" Semana "&amp;"18"&amp;"'"&amp;"!"&amp;"E37"),""),"S18")</f>
        <v/>
      </c>
      <c r="ED9" s="120" t="str">
        <f t="shared" si="11"/>
        <v>Tracción Horizontal</v>
      </c>
      <c r="EE9" s="269" t="str">
        <f t="shared" ref="EE9:EV9" si="16">IFERROR(INDIRECT("'Bloque "&amp;$D$38&amp;" Semana "&amp;MID(EE4,2,2)&amp;"'"&amp;"!"&amp;"CC25"),"")</f>
        <v/>
      </c>
      <c r="EF9" s="269" t="str">
        <f t="shared" si="16"/>
        <v/>
      </c>
      <c r="EG9" s="269" t="str">
        <f t="shared" si="16"/>
        <v/>
      </c>
      <c r="EH9" s="269" t="str">
        <f t="shared" si="16"/>
        <v/>
      </c>
      <c r="EI9" s="269" t="str">
        <f t="shared" si="16"/>
        <v/>
      </c>
      <c r="EJ9" s="269" t="str">
        <f t="shared" si="16"/>
        <v/>
      </c>
      <c r="EK9" s="269" t="str">
        <f t="shared" si="16"/>
        <v/>
      </c>
      <c r="EL9" s="269" t="str">
        <f t="shared" si="16"/>
        <v/>
      </c>
      <c r="EM9" s="269" t="str">
        <f t="shared" si="16"/>
        <v/>
      </c>
      <c r="EN9" s="269" t="str">
        <f t="shared" si="16"/>
        <v/>
      </c>
      <c r="EO9" s="269" t="str">
        <f t="shared" si="16"/>
        <v/>
      </c>
      <c r="EP9" s="269" t="str">
        <f t="shared" si="16"/>
        <v/>
      </c>
      <c r="EQ9" s="269" t="str">
        <f t="shared" si="16"/>
        <v/>
      </c>
      <c r="ER9" s="269" t="str">
        <f t="shared" si="16"/>
        <v/>
      </c>
      <c r="ES9" s="269" t="str">
        <f t="shared" si="16"/>
        <v/>
      </c>
      <c r="ET9" s="269" t="str">
        <f t="shared" si="16"/>
        <v/>
      </c>
      <c r="EU9" s="269" t="str">
        <f t="shared" si="16"/>
        <v/>
      </c>
      <c r="EV9" s="269" t="str">
        <f t="shared" si="16"/>
        <v/>
      </c>
      <c r="EX9" s="218">
        <v>7.5</v>
      </c>
      <c r="EY9" s="228">
        <v>0.907</v>
      </c>
      <c r="EZ9" s="228">
        <v>0.878</v>
      </c>
      <c r="FA9" s="228">
        <v>0.85</v>
      </c>
      <c r="FB9" s="228">
        <v>0.824</v>
      </c>
      <c r="FC9" s="228">
        <v>0.799</v>
      </c>
      <c r="FD9" s="228">
        <v>0.774</v>
      </c>
      <c r="FE9" s="228">
        <v>0.751</v>
      </c>
      <c r="FF9" s="228">
        <v>0.723</v>
      </c>
      <c r="FG9" s="228">
        <v>0.694</v>
      </c>
      <c r="FH9" s="228">
        <v>0.667</v>
      </c>
      <c r="FI9" s="228">
        <v>0.64</v>
      </c>
      <c r="FJ9" s="228">
        <v>0.613</v>
      </c>
      <c r="FK9" s="208"/>
      <c r="FL9" s="218">
        <v>7.5</v>
      </c>
      <c r="FM9" s="228">
        <v>0.948</v>
      </c>
      <c r="FN9" s="228">
        <v>0.914</v>
      </c>
      <c r="FO9" s="228">
        <v>0.892</v>
      </c>
      <c r="FP9" s="228">
        <v>0.871</v>
      </c>
      <c r="FQ9" s="228">
        <v>0.85</v>
      </c>
      <c r="FR9" s="228">
        <v>0.83</v>
      </c>
      <c r="FS9" s="228">
        <v>0.81</v>
      </c>
      <c r="FT9" s="228">
        <v>0.79</v>
      </c>
      <c r="FU9" s="228">
        <v>0.771</v>
      </c>
      <c r="FV9" s="228">
        <v>0.752</v>
      </c>
      <c r="FW9" s="228">
        <v>0.734</v>
      </c>
      <c r="FX9" s="228">
        <v>0.717</v>
      </c>
      <c r="FY9" s="228"/>
      <c r="FZ9" s="84" t="str">
        <f t="array" ref="FZ9">IF(NOT($D$37=6),IFERROR(INDIRECT("'Bloque "&amp;$D$38&amp;" Semana "&amp;"6"&amp;"'"&amp;"!"&amp;"E37"),""),"S6")</f>
        <v/>
      </c>
      <c r="GA9" s="229" t="str">
        <f t="shared" si="4"/>
        <v/>
      </c>
      <c r="GB9" s="212" t="str">
        <f t="shared" si="5"/>
        <v/>
      </c>
      <c r="GC9" s="84" t="str">
        <f t="array" ref="GC9">IF(NOT($D$37=6),IFERROR(INDIRECT("'Bloque "&amp;$D$38&amp;" Semana "&amp;"6"&amp;"'"&amp;"!"&amp;"E37"),""),"S6")</f>
        <v/>
      </c>
      <c r="GD9" s="229" t="str">
        <f t="shared" si="6"/>
        <v/>
      </c>
      <c r="GE9" s="212" t="str">
        <f t="shared" si="7"/>
        <v/>
      </c>
      <c r="GF9" s="84" t="str">
        <f t="array" ref="GF9">IF(NOT($D$37=6),IFERROR(INDIRECT("'Bloque "&amp;$D$38&amp;" Semana "&amp;"6"&amp;"'"&amp;"!"&amp;"E37"),""),"S6")</f>
        <v/>
      </c>
      <c r="GG9" s="229" t="str">
        <f t="shared" si="8"/>
        <v/>
      </c>
      <c r="GH9" s="212" t="str">
        <f t="shared" si="9"/>
        <v/>
      </c>
    </row>
    <row r="10" ht="15.0" customHeight="1">
      <c r="B10" s="199"/>
      <c r="I10" s="106"/>
      <c r="J10" s="225"/>
      <c r="T10" s="226"/>
      <c r="W10" s="201"/>
      <c r="AE10" s="203"/>
      <c r="AF10" s="204"/>
      <c r="AG10" s="298" t="s">
        <v>267</v>
      </c>
      <c r="AJ10" s="299"/>
      <c r="AK10" s="300"/>
      <c r="AN10" s="301"/>
      <c r="AO10" s="300"/>
      <c r="AR10" s="301"/>
      <c r="AS10" s="300"/>
      <c r="AV10" s="301"/>
      <c r="AW10" s="300"/>
      <c r="AZ10" s="301"/>
      <c r="BA10" s="300"/>
      <c r="BD10" s="301"/>
      <c r="BE10" s="302" t="str">
        <f t="shared" si="17"/>
        <v/>
      </c>
      <c r="BH10" s="303"/>
      <c r="BI10" s="304"/>
      <c r="BL10" s="303"/>
      <c r="BM10" s="305"/>
      <c r="BQ10" s="306"/>
      <c r="BR10" s="307" t="b">
        <v>0</v>
      </c>
      <c r="BS10" s="308" t="str">
        <f t="shared" si="18"/>
        <v/>
      </c>
      <c r="BT10" s="301"/>
      <c r="BU10" s="309" t="b">
        <v>0</v>
      </c>
      <c r="BV10" s="308" t="str">
        <f t="shared" si="19"/>
        <v/>
      </c>
      <c r="BW10" s="310" t="str">
        <f t="shared" si="20"/>
        <v/>
      </c>
      <c r="BZ10" s="283" t="s">
        <v>268</v>
      </c>
      <c r="CA10" s="311">
        <f>IFERROR(IFS(BZ10="BP1", SUMIF($D$40:$D186,"BP1*",AD40:AD186),BZ10="BP2",SUMIF($D$40:$D186,"BP2*",AD40:AD186),$BZ$10="BP3",SUMIF($D$40:$D186,"BP3*",AD40:AD186),BZ10="BP4",SUMIF($D$40:$D186,"BP4*",AD40:AD186),BZ10="BP5",SUMIF($D$40:$D186,"BP5*",AD40:AD186)),"")</f>
        <v>0</v>
      </c>
      <c r="CB10" s="311">
        <f>IFERROR(IFS(BZ10="BP1", SUMIF($D$40:$D186,"BP1*",CC40:CC186),BZ10="BP2",SUMIF($D$40:$D186,"BP2*",CC40:CC186),$BZ$10="BP3",SUMIF($D$40:$D186,"BP3*",CC40:CC186),BZ10="BP4",SUMIF($D$40:$D186,"BP4*",CC40:CC186),BZ10="BP5",SUMIF($D$40:$D186,"BP5*",CC40:CC186)),"")</f>
        <v>0</v>
      </c>
      <c r="CC10" s="312">
        <f>IFERROR(IFS(BZ10="BP1", SUMIF($D$40:$D186,"BP1*",CE40:CE186),BZ10="BP2",SUMIF($D$40:$D186,"BP2*",CE40:CE186),$BZ$10="BP3",SUMIF($D$40:$D186,"BP3*",CE40:CE186),BZ10="BP4",SUMIF($D$40:$D186,"BP4*",CE40:CE186),BZ10="BP5",SUMIF($D$40:$D186,"BP5*",CE40:CE186)),"")</f>
        <v>0</v>
      </c>
      <c r="CD10" s="313" t="str">
        <f>IFERROR(IFS(BZ10="BP1",AVERAGEIF(D40:D186,BZ10,CA40:CH186),BZ10="BP2",AVERAGEIF(D40:D186,BZ10,CA40:CH186),BZ10="BP3",AVERAGEIF(D40:D186,BZ10,CA40:CH186),BZ10="BP4",AVERAGEIF(D40:D186,BZ10,CA40:CH186),BZ10="BP5",AVERAGEIF(D40:D186,BZ10,CA40:CH186)),"")</f>
        <v/>
      </c>
      <c r="CE10" s="314" t="str">
        <f>IFERROR( IFS($CE$8="e1RM Bryzcki", IFS(BZ10="BP1",AVERAGEIF(D40:D186,"SQ1*",CH40:CH186),BZ10="BP2",AVERAGEIF(D40:D186,"BP2*",CH40:CH186),BZ10="BP3",AVERAGEIF(D40:D186,"BP3*",CH40:CH186),BZ10="BP4*",AVERAGEIF(D40:D186,"BP4*",CH40:CH186),BZ10="BP5",AVERAGEIF(D40:D186,"BP5*",CH40:CH186)),$CE$8="e1RM Steve Denovi F1", IFS(BZ10="BP1",AVERAGEIF(D40:D186,"BP1*",CL40:CL186),BZ10="BP2",AVERAGEIF(D40:D186,"BP2*",CL40:CL186),BZ10="BP3",AVERAGEIF(D40:D186,"BP3*",CL40:CL186),BZ10="BP4*",AVERAGEIF(D40:D186,"BP4*",CL40:CL186),BZ10="BP5",AVERAGEIF(D40:D186,"BP5*",CL40:CL186)),$CE$8="e1RM Steve Denovi F2", IFS(BZ10="BP1",AVERAGEIF(D40:D186,"BP1*",CM40:CM186),BZ10="BP2",AVERAGEIF(D40:D186,"BP2*",CM40:CM186),BZ10="BP3",AVERAGEIF(D40:D186,"BP3*",CM40:CM186),BZ10="BP4*",AVERAGEIF(D40:D186,"BP4*",CM40:CM186),BZ10="BP5",AVERAGEIF(D40:D186,"BP5*",CM40:CM186))),"")</f>
        <v/>
      </c>
      <c r="CF10" s="315" t="str">
        <f>IFERROR(IFS($BZ$10="SQ1",AVERAGEIF($D$40:$D186,"BP1*",$CK$40:$CK186),$BZ$10="BP2",AVERAGEIF($D$40:$D186,"BP2*",$CK$40:$CK186),$BZ$10="BP3",AVERAGEIF($D$40:$D186,"BP3*",$CK$40:$CK186),$BZ$10="BP4",AVERAGEIF($D$40:$D186,"BP4*",$CK$40:$CK186),$BZ$10="BP5",AVERAGEIF($D$40:$D186,"BP5*",$CK$40:$CK186)),"")</f>
        <v/>
      </c>
      <c r="CH10" s="289" t="str">
        <f t="array" ref="CH10">IF(NOT($D$37=2),IFERROR(INDIRECT("'Bloque "&amp;$D$38&amp;" Semana "&amp;"2"&amp;"'"&amp;"!"&amp;"E37"),""),"S2")</f>
        <v>S2</v>
      </c>
      <c r="CI10" s="316" t="str">
        <f t="shared" si="21"/>
        <v/>
      </c>
      <c r="CJ10" s="224" t="str">
        <f t="shared" si="22"/>
        <v/>
      </c>
      <c r="CK10" s="85" t="str">
        <f t="shared" si="23"/>
        <v/>
      </c>
      <c r="CL10" s="85">
        <f t="shared" ref="CL10:CL26" si="30">IF(CH10="","", CK10-CK9)</f>
        <v>0</v>
      </c>
      <c r="CM10" s="168" t="str">
        <f t="shared" si="24"/>
        <v/>
      </c>
      <c r="CN10" s="317">
        <f t="shared" ref="CN10:CN26" si="31">IF(CH10="","", CM10-CM9)</f>
        <v>0</v>
      </c>
      <c r="CO10" s="168" t="str">
        <f t="shared" si="25"/>
        <v/>
      </c>
      <c r="CP10" s="168" t="str">
        <f t="shared" si="26"/>
        <v/>
      </c>
      <c r="CQ10" s="294" t="str">
        <f t="shared" si="27"/>
        <v/>
      </c>
      <c r="CR10" s="318">
        <f t="shared" ref="CR10:CR26" si="32">IF(CH10="","", CQ10-CQ9)</f>
        <v>0</v>
      </c>
      <c r="CS10" s="212"/>
      <c r="CT10" s="319"/>
      <c r="DJ10" s="120" t="s">
        <v>21</v>
      </c>
      <c r="DK10" s="320" t="str">
        <f t="shared" ref="DK10:EB10" si="28">IFERROR(INDIRECT("'Bloque "&amp;$D$38&amp;" Semana "&amp;MID(DK9,2,2)&amp;"'"&amp;"!"&amp;"CD15"),"")</f>
        <v/>
      </c>
      <c r="DL10" s="320" t="str">
        <f t="shared" si="28"/>
        <v/>
      </c>
      <c r="DM10" s="320" t="str">
        <f t="shared" si="28"/>
        <v/>
      </c>
      <c r="DN10" s="320" t="str">
        <f t="shared" si="28"/>
        <v/>
      </c>
      <c r="DO10" s="320" t="str">
        <f t="shared" si="28"/>
        <v/>
      </c>
      <c r="DP10" s="320" t="str">
        <f t="shared" si="28"/>
        <v/>
      </c>
      <c r="DQ10" s="320" t="str">
        <f t="shared" si="28"/>
        <v/>
      </c>
      <c r="DR10" s="320" t="str">
        <f t="shared" si="28"/>
        <v/>
      </c>
      <c r="DS10" s="320" t="str">
        <f t="shared" si="28"/>
        <v/>
      </c>
      <c r="DT10" s="320" t="str">
        <f t="shared" si="28"/>
        <v/>
      </c>
      <c r="DU10" s="320" t="str">
        <f t="shared" si="28"/>
        <v/>
      </c>
      <c r="DV10" s="320" t="str">
        <f t="shared" si="28"/>
        <v/>
      </c>
      <c r="DW10" s="320" t="str">
        <f t="shared" si="28"/>
        <v/>
      </c>
      <c r="DX10" s="320" t="str">
        <f t="shared" si="28"/>
        <v/>
      </c>
      <c r="DY10" s="320" t="str">
        <f t="shared" si="28"/>
        <v/>
      </c>
      <c r="DZ10" s="320" t="str">
        <f t="shared" si="28"/>
        <v/>
      </c>
      <c r="EA10" s="320" t="str">
        <f t="shared" si="28"/>
        <v/>
      </c>
      <c r="EB10" s="320" t="str">
        <f t="shared" si="28"/>
        <v/>
      </c>
      <c r="ED10" s="120" t="str">
        <f t="shared" si="11"/>
        <v>Tracción Vertical</v>
      </c>
      <c r="EE10" s="269" t="str">
        <f t="shared" ref="EE10:EV10" si="29">IFERROR(INDIRECT("'Bloque "&amp;$D$38&amp;" Semana "&amp;MID(EE4,2,2)&amp;"'"&amp;"!"&amp;"CC26"),"")</f>
        <v/>
      </c>
      <c r="EF10" s="269" t="str">
        <f t="shared" si="29"/>
        <v/>
      </c>
      <c r="EG10" s="269" t="str">
        <f t="shared" si="29"/>
        <v/>
      </c>
      <c r="EH10" s="269" t="str">
        <f t="shared" si="29"/>
        <v/>
      </c>
      <c r="EI10" s="269" t="str">
        <f t="shared" si="29"/>
        <v/>
      </c>
      <c r="EJ10" s="269" t="str">
        <f t="shared" si="29"/>
        <v/>
      </c>
      <c r="EK10" s="269" t="str">
        <f t="shared" si="29"/>
        <v/>
      </c>
      <c r="EL10" s="269" t="str">
        <f t="shared" si="29"/>
        <v/>
      </c>
      <c r="EM10" s="269" t="str">
        <f t="shared" si="29"/>
        <v/>
      </c>
      <c r="EN10" s="269" t="str">
        <f t="shared" si="29"/>
        <v/>
      </c>
      <c r="EO10" s="269" t="str">
        <f t="shared" si="29"/>
        <v/>
      </c>
      <c r="EP10" s="269" t="str">
        <f t="shared" si="29"/>
        <v/>
      </c>
      <c r="EQ10" s="269" t="str">
        <f t="shared" si="29"/>
        <v/>
      </c>
      <c r="ER10" s="269" t="str">
        <f t="shared" si="29"/>
        <v/>
      </c>
      <c r="ES10" s="269" t="str">
        <f t="shared" si="29"/>
        <v/>
      </c>
      <c r="ET10" s="269" t="str">
        <f t="shared" si="29"/>
        <v/>
      </c>
      <c r="EU10" s="269" t="str">
        <f t="shared" si="29"/>
        <v/>
      </c>
      <c r="EV10" s="269" t="str">
        <f t="shared" si="29"/>
        <v/>
      </c>
      <c r="EX10" s="218">
        <v>7.0</v>
      </c>
      <c r="EY10" s="228">
        <v>0.892</v>
      </c>
      <c r="EZ10" s="228">
        <v>0.863</v>
      </c>
      <c r="FA10" s="228">
        <v>0.837</v>
      </c>
      <c r="FB10" s="228">
        <v>0.811</v>
      </c>
      <c r="FC10" s="228">
        <v>0.786</v>
      </c>
      <c r="FD10" s="228">
        <v>0.762</v>
      </c>
      <c r="FE10" s="228">
        <v>0.739</v>
      </c>
      <c r="FF10" s="228">
        <v>0.707</v>
      </c>
      <c r="FG10" s="228">
        <v>0.68</v>
      </c>
      <c r="FH10" s="228">
        <v>0.653</v>
      </c>
      <c r="FI10" s="228">
        <v>0.626</v>
      </c>
      <c r="FJ10" s="228">
        <v>0.599</v>
      </c>
      <c r="FK10" s="208"/>
      <c r="FL10" s="218">
        <v>7.0</v>
      </c>
      <c r="FM10" s="228">
        <v>0.937</v>
      </c>
      <c r="FN10" s="228">
        <v>0.905</v>
      </c>
      <c r="FO10" s="228">
        <v>0.883</v>
      </c>
      <c r="FP10" s="228">
        <v>0.862</v>
      </c>
      <c r="FQ10" s="228">
        <v>0.841</v>
      </c>
      <c r="FR10" s="228">
        <v>0.821</v>
      </c>
      <c r="FS10" s="228">
        <v>0.801</v>
      </c>
      <c r="FT10" s="228">
        <v>0.782</v>
      </c>
      <c r="FU10" s="228">
        <v>0.763</v>
      </c>
      <c r="FV10" s="228">
        <v>0.744</v>
      </c>
      <c r="FW10" s="228">
        <v>0.726</v>
      </c>
      <c r="FX10" s="228">
        <v>0.709</v>
      </c>
      <c r="FY10" s="228"/>
      <c r="FZ10" s="84" t="str">
        <f t="array" ref="FZ10">IF(NOT($D$37=7),IFERROR(INDIRECT("'Bloque "&amp;$D$38&amp;" Semana "&amp;"7"&amp;"'"&amp;"!"&amp;"E37"),""),"S7")</f>
        <v/>
      </c>
      <c r="GA10" s="229" t="str">
        <f t="shared" si="4"/>
        <v/>
      </c>
      <c r="GB10" s="212" t="str">
        <f t="shared" si="5"/>
        <v/>
      </c>
      <c r="GC10" s="84" t="str">
        <f t="array" ref="GC10">IF(NOT($D$37=7),IFERROR(INDIRECT("'Bloque "&amp;$D$38&amp;" Semana "&amp;"7"&amp;"'"&amp;"!"&amp;"E37"),""),"S7")</f>
        <v/>
      </c>
      <c r="GD10" s="229" t="str">
        <f t="shared" si="6"/>
        <v/>
      </c>
      <c r="GE10" s="212" t="str">
        <f t="shared" si="7"/>
        <v/>
      </c>
      <c r="GF10" s="84" t="str">
        <f t="array" ref="GF10">IF(NOT($D$37=7),IFERROR(INDIRECT("'Bloque "&amp;$D$38&amp;" Semana "&amp;"7"&amp;"'"&amp;"!"&amp;"E37"),""),"S7")</f>
        <v/>
      </c>
      <c r="GG10" s="229" t="str">
        <f t="shared" si="8"/>
        <v/>
      </c>
      <c r="GH10" s="212" t="str">
        <f t="shared" si="9"/>
        <v/>
      </c>
    </row>
    <row r="11" ht="21.75" customHeight="1">
      <c r="B11" s="199"/>
      <c r="I11" s="106"/>
      <c r="J11" s="225"/>
      <c r="T11" s="226"/>
      <c r="W11" s="201"/>
      <c r="AE11" s="203"/>
      <c r="AF11" s="204"/>
      <c r="AG11" s="270" t="s">
        <v>269</v>
      </c>
      <c r="AJ11" s="271"/>
      <c r="AK11" s="272"/>
      <c r="AN11" s="273"/>
      <c r="AO11" s="272"/>
      <c r="AR11" s="273"/>
      <c r="AS11" s="272"/>
      <c r="AV11" s="273"/>
      <c r="AW11" s="272"/>
      <c r="AZ11" s="273"/>
      <c r="BA11" s="272"/>
      <c r="BD11" s="273"/>
      <c r="BE11" s="274" t="str">
        <f t="shared" si="17"/>
        <v/>
      </c>
      <c r="BH11" s="275"/>
      <c r="BI11" s="321"/>
      <c r="BL11" s="275"/>
      <c r="BM11" s="277"/>
      <c r="BQ11" s="278"/>
      <c r="BR11" s="279" t="b">
        <v>0</v>
      </c>
      <c r="BS11" s="280" t="str">
        <f t="shared" si="18"/>
        <v/>
      </c>
      <c r="BT11" s="273"/>
      <c r="BU11" s="281" t="b">
        <v>0</v>
      </c>
      <c r="BV11" s="280" t="str">
        <f t="shared" si="19"/>
        <v/>
      </c>
      <c r="BW11" s="282" t="str">
        <f t="shared" si="20"/>
        <v/>
      </c>
      <c r="BZ11" s="283" t="s">
        <v>270</v>
      </c>
      <c r="CA11" s="322">
        <f>IFERROR(IFS(BZ11="DL1", SUMIF($D$40:$D186,"DL1*",AD40:AD186),BZ11="DL2",SUMIF($D$40:$D186,"DL2*",AD40:AD186),$BZ$11="DL3",SUMIF($D$40:$D186,"DL3*",AD40:AD186),BZ11="DL4",SUMIF($D$40:$D186,"DL4*",AD40:AD186),BZ11="DL5",SUMIF($D$40:$D186,"DL5*",AD40:AD186)),"")</f>
        <v>0</v>
      </c>
      <c r="CB11" s="322">
        <f>IFERROR(IFS(BZ11="DL1", SUMIF($D$40:$D186,"DL1*",CC40:CC186),BZ11="DL2",SUMIF($D$40:$D186,"DL2*",CC40:CC186),$BZ$11="DL3",SUMIF($D$40:$D186,"DL3*",CC40:CC186),BZ11="DL4",SUMIF($D$40:$D186,"DL4*",CC40:CC186),BZ11="DL5",SUMIF($D$40:$D186,"DL5*",CC40:CC186)),"")</f>
        <v>0</v>
      </c>
      <c r="CC11" s="323">
        <f>IFERROR(IFS(BZ11="DL1", SUMIF($D$40:$D186,"DL1*",CE40:CE186),BZ11="DL2",SUMIF($D$40:$D186,"DL2*",CE40:CE186),$BZ$11="DL3",SUMIF($D$40:$D186,"DL3*",CE40:CE186),BZ11="DL4",SUMIF($D$40:$D186,"DL4*",CE40:CE186),BZ11="DL5",SUMIF($D$40:$D186,"DL5*",CE40:CE186)),"")</f>
        <v>0</v>
      </c>
      <c r="CD11" s="324" t="str">
        <f>IFERROR(IFS(BZ11="DL1",AVERAGEIF(D40:D186,"DL1*",CA40:CH186),BZ11="DL2",AVERAGEIF(D40:D186,"DL2*",CA40:CH186),BZ11="DL3",AVERAGEIF(D40:D186,"DL3*",CA40:CH186),BZ11="DL4",AVERAGEIF(D40:D186,"DL4*",CA40:CH186),BZ11="DL5",AVERAGEIF(D40:D186,"DL5*",CA40:CH186)),"")</f>
        <v/>
      </c>
      <c r="CE11" s="325" t="str">
        <f>IFERROR( IFS($CE$8="e1RM Bryzcki", IFS(BZ11="DL1",AVERAGEIF(D40:D186,"DL1*",CH40:CH186),BZ11="DL2",AVERAGEIF(D40:D186,"DL2*",CH40:CH186),BZ11="DL3",AVERAGEIF(D40:D186,"DL3*",CH40:CH186),BZ11="DL4*",AVERAGEIF(D40:D186,"DL4*",CH40:CH186),BZ11="DL5",AVERAGEIF(D40:D186,"DL5*",CH40:CH186)),$CE$8="e1RM Steve Denovi F1", IFS(BZ11="DL1",AVERAGEIF(D40:D186,"DL1*",CL40:CL186),BZ11="DL2",AVERAGEIF(D40:D186,"DL2*",CL40:CL186),BZ11="DL3",AVERAGEIF(D40:D186,"DL3*",CL40:CL186),BZ11="DL4*",AVERAGEIF(D40:D186,"DL4*",CL40:CL186),BZ11="DL5",AVERAGEIF(D40:D186,"DL5*",CL40:CL186)),$CE$8="e1RM Steve Denovi F2", IFS(BZ11="DL1",AVERAGEIF(D40:D186,"DL1*",CM40:CM186),BZ11="DL2",AVERAGEIF(D40:D186,"DL2*",CM40:CM186),BZ11="DL3",AVERAGEIF(D40:D186,"DL3*",CM40:CM186),BZ11="DL4*",AVERAGEIF(D40:D186,"DL4*",CM40:CM186),BZ11="DL5",AVERAGEIF(D40:D186,"DL5*",CM40:CM186))),"")</f>
        <v/>
      </c>
      <c r="CF11" s="326" t="str">
        <f>IFERROR(IFS($BZ$11="DL1",AVERAGEIF($D$40:$D186,"DL1*",$CK$40:$CK186),$BZ$11="DL2",AVERAGEIF($D$40:$D186,"DL2*",$CK$40:$CK186),$BZ$11="DL3",AVERAGEIF($D$40:$D186,"DL3*",$CK$40:$CK186),$BZ$11="DL4",AVERAGEIF($D$40:$D186,"DL4*",$CK$40:$CK186),$BZ$11="DL5",AVERAGEIF($D$40:$D186,"DL5*",$CK$40:$CK186)),"")</f>
        <v/>
      </c>
      <c r="CH11" s="289" t="str">
        <f t="array" ref="CH11">IF(NOT($D$37=3),IFERROR(INDIRECT("'Bloque "&amp;$D$38&amp;" Semana "&amp;"3"&amp;"'"&amp;"!"&amp;"E37"),""),"S3")</f>
        <v/>
      </c>
      <c r="CI11" s="316" t="str">
        <f t="shared" si="21"/>
        <v/>
      </c>
      <c r="CJ11" s="224" t="str">
        <f t="shared" si="22"/>
        <v/>
      </c>
      <c r="CK11" s="85" t="str">
        <f t="shared" si="23"/>
        <v/>
      </c>
      <c r="CL11" s="85" t="str">
        <f t="shared" si="30"/>
        <v/>
      </c>
      <c r="CM11" s="168" t="str">
        <f t="shared" si="24"/>
        <v/>
      </c>
      <c r="CN11" s="327" t="str">
        <f t="shared" si="31"/>
        <v/>
      </c>
      <c r="CO11" s="168" t="str">
        <f t="shared" si="25"/>
        <v/>
      </c>
      <c r="CP11" s="168" t="str">
        <f t="shared" si="26"/>
        <v/>
      </c>
      <c r="CQ11" s="294" t="str">
        <f t="shared" si="27"/>
        <v/>
      </c>
      <c r="CR11" s="328" t="str">
        <f t="shared" si="32"/>
        <v/>
      </c>
      <c r="CS11" s="212"/>
      <c r="CT11" s="319"/>
      <c r="DJ11" s="120" t="s">
        <v>36</v>
      </c>
      <c r="DK11" s="320" t="str">
        <f t="shared" ref="DK11:EB11" si="33">IFERROR(INDIRECT("'Bloque "&amp;$D$38&amp;" Semana "&amp;MID(DK9,2,2)&amp;"'"&amp;"!"&amp;"CD16"),"")</f>
        <v/>
      </c>
      <c r="DL11" s="320" t="str">
        <f t="shared" si="33"/>
        <v/>
      </c>
      <c r="DM11" s="320" t="str">
        <f t="shared" si="33"/>
        <v/>
      </c>
      <c r="DN11" s="320" t="str">
        <f t="shared" si="33"/>
        <v/>
      </c>
      <c r="DO11" s="320" t="str">
        <f t="shared" si="33"/>
        <v/>
      </c>
      <c r="DP11" s="320" t="str">
        <f t="shared" si="33"/>
        <v/>
      </c>
      <c r="DQ11" s="320" t="str">
        <f t="shared" si="33"/>
        <v/>
      </c>
      <c r="DR11" s="320" t="str">
        <f t="shared" si="33"/>
        <v/>
      </c>
      <c r="DS11" s="320" t="str">
        <f t="shared" si="33"/>
        <v/>
      </c>
      <c r="DT11" s="320" t="str">
        <f t="shared" si="33"/>
        <v/>
      </c>
      <c r="DU11" s="320" t="str">
        <f t="shared" si="33"/>
        <v/>
      </c>
      <c r="DV11" s="320" t="str">
        <f t="shared" si="33"/>
        <v/>
      </c>
      <c r="DW11" s="320" t="str">
        <f t="shared" si="33"/>
        <v/>
      </c>
      <c r="DX11" s="320" t="str">
        <f t="shared" si="33"/>
        <v/>
      </c>
      <c r="DY11" s="320" t="str">
        <f t="shared" si="33"/>
        <v/>
      </c>
      <c r="DZ11" s="320" t="str">
        <f t="shared" si="33"/>
        <v/>
      </c>
      <c r="EA11" s="320" t="str">
        <f t="shared" si="33"/>
        <v/>
      </c>
      <c r="EB11" s="320" t="str">
        <f t="shared" si="33"/>
        <v/>
      </c>
      <c r="ED11" s="120"/>
      <c r="EE11" s="269"/>
      <c r="EF11" s="269"/>
      <c r="EG11" s="269"/>
      <c r="EH11" s="269"/>
      <c r="EI11" s="269"/>
      <c r="EJ11" s="269"/>
      <c r="EK11" s="269"/>
      <c r="EL11" s="269"/>
      <c r="EM11" s="269"/>
      <c r="EN11" s="269"/>
      <c r="EO11" s="269"/>
      <c r="EP11" s="269"/>
      <c r="EQ11" s="269"/>
      <c r="ER11" s="269"/>
      <c r="ES11" s="269"/>
      <c r="ET11" s="269"/>
      <c r="EU11" s="269"/>
      <c r="EV11" s="269"/>
      <c r="EX11" s="218">
        <v>6.5</v>
      </c>
      <c r="EY11" s="228">
        <v>0.878</v>
      </c>
      <c r="EZ11" s="228">
        <v>0.85</v>
      </c>
      <c r="FA11" s="228">
        <v>0.824</v>
      </c>
      <c r="FB11" s="228">
        <v>0.799</v>
      </c>
      <c r="FC11" s="228">
        <v>0.774</v>
      </c>
      <c r="FD11" s="228">
        <v>0.751</v>
      </c>
      <c r="FE11" s="228">
        <v>0.723</v>
      </c>
      <c r="FF11" s="228">
        <v>0.694</v>
      </c>
      <c r="FG11" s="228">
        <v>0.667</v>
      </c>
      <c r="FH11" s="228">
        <v>0.64</v>
      </c>
      <c r="FI11" s="228">
        <v>0.613</v>
      </c>
      <c r="FJ11" s="228">
        <v>0.586</v>
      </c>
      <c r="FK11" s="208"/>
      <c r="FL11" s="218">
        <v>6.5</v>
      </c>
      <c r="FM11" s="228">
        <v>0.927</v>
      </c>
      <c r="FN11" s="228">
        <v>0.895</v>
      </c>
      <c r="FO11" s="228">
        <v>0.873</v>
      </c>
      <c r="FP11" s="228">
        <v>0.852</v>
      </c>
      <c r="FQ11" s="228">
        <v>0.832</v>
      </c>
      <c r="FR11" s="228">
        <v>0.812</v>
      </c>
      <c r="FS11" s="228">
        <v>0.792</v>
      </c>
      <c r="FT11" s="228">
        <v>0.773</v>
      </c>
      <c r="FU11" s="228">
        <v>0.755</v>
      </c>
      <c r="FV11" s="228">
        <v>0.736</v>
      </c>
      <c r="FW11" s="228">
        <v>0.719</v>
      </c>
      <c r="FX11" s="228">
        <v>0.701</v>
      </c>
      <c r="FY11" s="228"/>
      <c r="FZ11" s="84" t="str">
        <f t="array" ref="FZ11">IF(NOT($D$37=8),IFERROR(INDIRECT("'Bloque "&amp;$D$38&amp;" Semana "&amp;"8"&amp;"'"&amp;"!"&amp;"E37"),""),"S8")</f>
        <v/>
      </c>
      <c r="GA11" s="229" t="str">
        <f t="shared" si="4"/>
        <v/>
      </c>
      <c r="GB11" s="212" t="str">
        <f t="shared" si="5"/>
        <v/>
      </c>
      <c r="GC11" s="84" t="str">
        <f t="array" ref="GC11">IF(NOT($D$37=8),IFERROR(INDIRECT("'Bloque "&amp;$D$38&amp;" Semana "&amp;"8"&amp;"'"&amp;"!"&amp;"E37"),""),"S8")</f>
        <v/>
      </c>
      <c r="GD11" s="229" t="str">
        <f t="shared" si="6"/>
        <v/>
      </c>
      <c r="GE11" s="212" t="str">
        <f t="shared" si="7"/>
        <v/>
      </c>
      <c r="GF11" s="84" t="str">
        <f t="array" ref="GF11">IF(NOT($D$37=8),IFERROR(INDIRECT("'Bloque "&amp;$D$38&amp;" Semana "&amp;"8"&amp;"'"&amp;"!"&amp;"E37"),""),"S8")</f>
        <v/>
      </c>
      <c r="GG11" s="229" t="str">
        <f t="shared" si="8"/>
        <v/>
      </c>
      <c r="GH11" s="212" t="str">
        <f t="shared" si="9"/>
        <v/>
      </c>
    </row>
    <row r="12" ht="15.0" customHeight="1">
      <c r="B12" s="199"/>
      <c r="H12" s="106"/>
      <c r="I12" s="106"/>
      <c r="J12" s="225"/>
      <c r="T12" s="226"/>
      <c r="W12" s="201"/>
      <c r="AE12" s="203"/>
      <c r="AF12" s="204"/>
      <c r="AG12" s="298" t="s">
        <v>271</v>
      </c>
      <c r="AJ12" s="299"/>
      <c r="AK12" s="300"/>
      <c r="AN12" s="301"/>
      <c r="AO12" s="300"/>
      <c r="AR12" s="301"/>
      <c r="AS12" s="300"/>
      <c r="AV12" s="301"/>
      <c r="AW12" s="300"/>
      <c r="AZ12" s="301"/>
      <c r="BA12" s="300"/>
      <c r="BD12" s="301"/>
      <c r="BE12" s="302" t="str">
        <f t="shared" si="17"/>
        <v/>
      </c>
      <c r="BH12" s="303"/>
      <c r="BI12" s="304"/>
      <c r="BL12" s="303"/>
      <c r="BM12" s="305"/>
      <c r="BQ12" s="306"/>
      <c r="BR12" s="307" t="b">
        <v>0</v>
      </c>
      <c r="BS12" s="308" t="str">
        <f t="shared" si="18"/>
        <v/>
      </c>
      <c r="BT12" s="301"/>
      <c r="BU12" s="309" t="b">
        <v>0</v>
      </c>
      <c r="BV12" s="308" t="str">
        <f t="shared" si="19"/>
        <v/>
      </c>
      <c r="BW12" s="310" t="str">
        <f t="shared" si="20"/>
        <v/>
      </c>
      <c r="BZ12" s="329"/>
      <c r="CF12" s="330"/>
      <c r="CH12" s="289" t="str">
        <f t="array" ref="CH12">IF(NOT($D$37=4),IFERROR(INDIRECT("'Bloque "&amp;$D$38&amp;" Semana "&amp;"4"&amp;"'"&amp;"!"&amp;"E37"),""),"S4")</f>
        <v/>
      </c>
      <c r="CI12" s="316" t="str">
        <f t="shared" si="21"/>
        <v/>
      </c>
      <c r="CJ12" s="224" t="str">
        <f t="shared" si="22"/>
        <v/>
      </c>
      <c r="CK12" s="85" t="str">
        <f t="shared" si="23"/>
        <v/>
      </c>
      <c r="CL12" s="85" t="str">
        <f t="shared" si="30"/>
        <v/>
      </c>
      <c r="CM12" s="168" t="str">
        <f t="shared" si="24"/>
        <v/>
      </c>
      <c r="CN12" s="327" t="str">
        <f t="shared" si="31"/>
        <v/>
      </c>
      <c r="CO12" s="168" t="str">
        <f t="shared" si="25"/>
        <v/>
      </c>
      <c r="CP12" s="168" t="str">
        <f t="shared" si="26"/>
        <v/>
      </c>
      <c r="CQ12" s="294" t="str">
        <f t="shared" si="27"/>
        <v/>
      </c>
      <c r="CR12" s="328" t="str">
        <f t="shared" si="32"/>
        <v/>
      </c>
      <c r="CS12" s="212"/>
      <c r="CT12" s="319"/>
      <c r="DJ12" s="120" t="s">
        <v>42</v>
      </c>
      <c r="DK12" s="320" t="str">
        <f t="shared" ref="DK12:EB12" si="34">IFERROR(INDIRECT("'Bloque "&amp;$D$38&amp;" Semana "&amp;MID(DK9,2,2)&amp;"'"&amp;"!"&amp;"CD17"),"")</f>
        <v/>
      </c>
      <c r="DL12" s="320" t="str">
        <f t="shared" si="34"/>
        <v/>
      </c>
      <c r="DM12" s="320" t="str">
        <f t="shared" si="34"/>
        <v/>
      </c>
      <c r="DN12" s="320" t="str">
        <f t="shared" si="34"/>
        <v/>
      </c>
      <c r="DO12" s="320" t="str">
        <f t="shared" si="34"/>
        <v/>
      </c>
      <c r="DP12" s="320" t="str">
        <f t="shared" si="34"/>
        <v/>
      </c>
      <c r="DQ12" s="320" t="str">
        <f t="shared" si="34"/>
        <v/>
      </c>
      <c r="DR12" s="320" t="str">
        <f t="shared" si="34"/>
        <v/>
      </c>
      <c r="DS12" s="320" t="str">
        <f t="shared" si="34"/>
        <v/>
      </c>
      <c r="DT12" s="320" t="str">
        <f t="shared" si="34"/>
        <v/>
      </c>
      <c r="DU12" s="320" t="str">
        <f t="shared" si="34"/>
        <v/>
      </c>
      <c r="DV12" s="320" t="str">
        <f t="shared" si="34"/>
        <v/>
      </c>
      <c r="DW12" s="320" t="str">
        <f t="shared" si="34"/>
        <v/>
      </c>
      <c r="DX12" s="320" t="str">
        <f t="shared" si="34"/>
        <v/>
      </c>
      <c r="DY12" s="320" t="str">
        <f t="shared" si="34"/>
        <v/>
      </c>
      <c r="DZ12" s="320" t="str">
        <f t="shared" si="34"/>
        <v/>
      </c>
      <c r="EA12" s="320" t="str">
        <f t="shared" si="34"/>
        <v/>
      </c>
      <c r="EB12" s="320" t="str">
        <f t="shared" si="34"/>
        <v/>
      </c>
      <c r="ED12" s="120"/>
      <c r="EE12" s="269"/>
      <c r="EF12" s="269"/>
      <c r="EG12" s="269"/>
      <c r="EH12" s="269"/>
      <c r="EI12" s="269"/>
      <c r="EJ12" s="269"/>
      <c r="EK12" s="269"/>
      <c r="EL12" s="269"/>
      <c r="EM12" s="269"/>
      <c r="EN12" s="269"/>
      <c r="EO12" s="269"/>
      <c r="EP12" s="269"/>
      <c r="EQ12" s="269"/>
      <c r="ER12" s="269"/>
      <c r="ES12" s="269"/>
      <c r="ET12" s="269"/>
      <c r="EU12" s="269"/>
      <c r="EV12" s="269"/>
      <c r="EX12" s="218">
        <v>6.0</v>
      </c>
      <c r="EY12" s="228">
        <v>0.863</v>
      </c>
      <c r="EZ12" s="228">
        <v>0.837</v>
      </c>
      <c r="FA12" s="228">
        <v>0.811</v>
      </c>
      <c r="FB12" s="228">
        <v>0.786</v>
      </c>
      <c r="FC12" s="228">
        <v>0.762</v>
      </c>
      <c r="FD12" s="228">
        <v>0.739</v>
      </c>
      <c r="FE12" s="228">
        <v>0.707</v>
      </c>
      <c r="FF12" s="228">
        <v>0.68</v>
      </c>
      <c r="FG12" s="228">
        <v>0.653</v>
      </c>
      <c r="FH12" s="228">
        <v>0.626</v>
      </c>
      <c r="FI12" s="228">
        <v>0.599</v>
      </c>
      <c r="FJ12" s="228">
        <v>0.572</v>
      </c>
      <c r="FK12" s="208"/>
      <c r="FL12" s="218">
        <v>6.0</v>
      </c>
      <c r="FM12" s="228">
        <v>0.918</v>
      </c>
      <c r="FN12" s="228">
        <v>0.885</v>
      </c>
      <c r="FO12" s="228">
        <v>0.864</v>
      </c>
      <c r="FP12" s="228">
        <v>0.843</v>
      </c>
      <c r="FQ12" s="228">
        <v>0.823</v>
      </c>
      <c r="FR12" s="228">
        <v>0.803</v>
      </c>
      <c r="FS12" s="228">
        <v>0.784</v>
      </c>
      <c r="FT12" s="228">
        <v>0.765</v>
      </c>
      <c r="FU12" s="228">
        <v>0.747</v>
      </c>
      <c r="FV12" s="228">
        <v>0.729</v>
      </c>
      <c r="FW12" s="228">
        <v>0.711</v>
      </c>
      <c r="FX12" s="228">
        <v>0.694</v>
      </c>
      <c r="FY12" s="228"/>
      <c r="FZ12" s="84" t="str">
        <f t="array" ref="FZ12">IF(NOT($D$37=9),IFERROR(INDIRECT("'Bloque "&amp;$D$38&amp;" Semana "&amp;"9"&amp;"'"&amp;"!"&amp;"E37"),""),"S9")</f>
        <v/>
      </c>
      <c r="GA12" s="229" t="str">
        <f t="shared" si="4"/>
        <v/>
      </c>
      <c r="GB12" s="212" t="str">
        <f t="shared" si="5"/>
        <v/>
      </c>
      <c r="GC12" s="84" t="str">
        <f t="array" ref="GC12">IF(NOT($D$37=9),IFERROR(INDIRECT("'Bloque "&amp;$D$38&amp;" Semana "&amp;"9"&amp;"'"&amp;"!"&amp;"E37"),""),"S9")</f>
        <v/>
      </c>
      <c r="GD12" s="229" t="str">
        <f t="shared" si="6"/>
        <v/>
      </c>
      <c r="GE12" s="212" t="str">
        <f t="shared" si="7"/>
        <v/>
      </c>
      <c r="GF12" s="84" t="str">
        <f t="array" ref="GF12">IF(NOT($D$37=9),IFERROR(INDIRECT("'Bloque "&amp;$D$38&amp;" Semana "&amp;"9"&amp;"'"&amp;"!"&amp;"E37"),""),"S9")</f>
        <v/>
      </c>
      <c r="GG12" s="229" t="str">
        <f t="shared" si="8"/>
        <v/>
      </c>
      <c r="GH12" s="212" t="str">
        <f t="shared" si="9"/>
        <v/>
      </c>
    </row>
    <row r="13" ht="25.5" customHeight="1">
      <c r="B13" s="199"/>
      <c r="E13" s="331" t="s">
        <v>272</v>
      </c>
      <c r="F13" s="332" t="s">
        <v>3</v>
      </c>
      <c r="H13" s="106"/>
      <c r="I13" s="106"/>
      <c r="J13" s="225"/>
      <c r="T13" s="226"/>
      <c r="W13" s="201"/>
      <c r="AE13" s="203"/>
      <c r="AF13" s="204"/>
      <c r="AG13" s="270" t="s">
        <v>273</v>
      </c>
      <c r="AJ13" s="271"/>
      <c r="AK13" s="272"/>
      <c r="AN13" s="273"/>
      <c r="AO13" s="272"/>
      <c r="AR13" s="273"/>
      <c r="AS13" s="272"/>
      <c r="AV13" s="273"/>
      <c r="AW13" s="272"/>
      <c r="AZ13" s="273"/>
      <c r="BA13" s="272"/>
      <c r="BD13" s="273"/>
      <c r="BE13" s="274" t="str">
        <f t="shared" si="17"/>
        <v/>
      </c>
      <c r="BH13" s="275"/>
      <c r="BI13" s="321"/>
      <c r="BL13" s="275"/>
      <c r="BM13" s="277"/>
      <c r="BQ13" s="278"/>
      <c r="BR13" s="279" t="b">
        <v>0</v>
      </c>
      <c r="BS13" s="280" t="str">
        <f t="shared" si="18"/>
        <v/>
      </c>
      <c r="BT13" s="273"/>
      <c r="BU13" s="281" t="b">
        <v>0</v>
      </c>
      <c r="BV13" s="280" t="str">
        <f t="shared" si="19"/>
        <v/>
      </c>
      <c r="BW13" s="282" t="str">
        <f t="shared" si="20"/>
        <v/>
      </c>
      <c r="BZ13" s="333" t="s">
        <v>274</v>
      </c>
      <c r="CA13" s="210"/>
      <c r="CB13" s="210"/>
      <c r="CC13" s="334"/>
      <c r="CD13" s="334"/>
      <c r="CE13" s="334"/>
      <c r="CF13" s="335"/>
      <c r="CG13" s="245"/>
      <c r="CH13" s="289" t="str">
        <f t="array" ref="CH13">IF(NOT($D$37=5),IFERROR(INDIRECT("'Bloque "&amp;$D$38&amp;" Semana "&amp;"5"&amp;"'"&amp;"!"&amp;"E37"),""),"S5")</f>
        <v/>
      </c>
      <c r="CI13" s="316" t="str">
        <f t="shared" si="21"/>
        <v/>
      </c>
      <c r="CJ13" s="224" t="str">
        <f t="shared" si="22"/>
        <v/>
      </c>
      <c r="CK13" s="85" t="str">
        <f t="shared" si="23"/>
        <v/>
      </c>
      <c r="CL13" s="85" t="str">
        <f t="shared" si="30"/>
        <v/>
      </c>
      <c r="CM13" s="168" t="str">
        <f t="shared" si="24"/>
        <v/>
      </c>
      <c r="CN13" s="327" t="str">
        <f t="shared" si="31"/>
        <v/>
      </c>
      <c r="CO13" s="168" t="str">
        <f t="shared" si="25"/>
        <v/>
      </c>
      <c r="CP13" s="168" t="str">
        <f t="shared" si="26"/>
        <v/>
      </c>
      <c r="CQ13" s="294" t="str">
        <f t="shared" si="27"/>
        <v/>
      </c>
      <c r="CR13" s="328" t="str">
        <f t="shared" si="32"/>
        <v/>
      </c>
      <c r="CS13" s="212"/>
      <c r="CT13" s="319"/>
      <c r="ED13" s="120"/>
      <c r="EE13" s="269"/>
      <c r="EF13" s="269"/>
      <c r="EG13" s="269"/>
      <c r="EH13" s="269"/>
      <c r="EI13" s="269"/>
      <c r="EJ13" s="269"/>
      <c r="EK13" s="269"/>
      <c r="EL13" s="269"/>
      <c r="EM13" s="269"/>
      <c r="EN13" s="269"/>
      <c r="EO13" s="269"/>
      <c r="EP13" s="269"/>
      <c r="EQ13" s="269"/>
      <c r="ER13" s="269"/>
      <c r="ES13" s="269"/>
      <c r="ET13" s="269"/>
      <c r="EU13" s="269"/>
      <c r="EV13" s="269"/>
      <c r="EX13" s="218">
        <v>5.5</v>
      </c>
      <c r="EY13" s="228">
        <v>0.85</v>
      </c>
      <c r="EZ13" s="228">
        <v>0.824</v>
      </c>
      <c r="FA13" s="228">
        <v>0.799</v>
      </c>
      <c r="FB13" s="228">
        <v>0.774</v>
      </c>
      <c r="FC13" s="228">
        <v>0.751</v>
      </c>
      <c r="FD13" s="228">
        <v>0.723</v>
      </c>
      <c r="FE13" s="228">
        <v>0.694</v>
      </c>
      <c r="FF13" s="228">
        <v>0.667</v>
      </c>
      <c r="FG13" s="228">
        <v>0.64</v>
      </c>
      <c r="FH13" s="228">
        <v>0.613</v>
      </c>
      <c r="FI13" s="228">
        <v>0.586</v>
      </c>
      <c r="FJ13" s="228">
        <v>0.558</v>
      </c>
      <c r="FK13" s="208"/>
      <c r="FL13" s="218">
        <v>5.5</v>
      </c>
      <c r="FM13" s="228">
        <v>0.908</v>
      </c>
      <c r="FN13" s="228">
        <v>0.876</v>
      </c>
      <c r="FO13" s="228">
        <v>0.855</v>
      </c>
      <c r="FP13" s="228">
        <v>0.834</v>
      </c>
      <c r="FQ13" s="228">
        <v>0.814</v>
      </c>
      <c r="FR13" s="228">
        <v>0.795</v>
      </c>
      <c r="FS13" s="228">
        <v>0.775</v>
      </c>
      <c r="FT13" s="228">
        <v>0.757</v>
      </c>
      <c r="FU13" s="228">
        <v>0.739</v>
      </c>
      <c r="FV13" s="228">
        <v>0.721</v>
      </c>
      <c r="FW13" s="228">
        <v>0.703</v>
      </c>
      <c r="FX13" s="228">
        <v>0.686</v>
      </c>
      <c r="FY13" s="228"/>
      <c r="FZ13" s="84" t="str">
        <f t="array" ref="FZ13">IF(NOT($D$37=10),IFERROR(INDIRECT("'Bloque "&amp;$D$38&amp;" Semana "&amp;"10"&amp;"'"&amp;"!"&amp;"E37"),""),"S10")</f>
        <v/>
      </c>
      <c r="GA13" s="229" t="str">
        <f t="shared" si="4"/>
        <v/>
      </c>
      <c r="GB13" s="212" t="str">
        <f t="shared" si="5"/>
        <v/>
      </c>
      <c r="GC13" s="84" t="str">
        <f t="array" ref="GC13">IF(NOT($D$37=10),IFERROR(INDIRECT("'Bloque "&amp;$D$38&amp;" Semana "&amp;"10"&amp;"'"&amp;"!"&amp;"E37"),""),"S10")</f>
        <v/>
      </c>
      <c r="GD13" s="229" t="str">
        <f t="shared" si="6"/>
        <v/>
      </c>
      <c r="GE13" s="212" t="str">
        <f t="shared" si="7"/>
        <v/>
      </c>
      <c r="GF13" s="84" t="str">
        <f t="array" ref="GF13">IF(NOT($D$37=10),IFERROR(INDIRECT("'Bloque "&amp;$D$38&amp;" Semana "&amp;"10"&amp;"'"&amp;"!"&amp;"E37"),""),"S10")</f>
        <v/>
      </c>
      <c r="GG13" s="229" t="str">
        <f t="shared" si="8"/>
        <v/>
      </c>
      <c r="GH13" s="212" t="str">
        <f t="shared" si="9"/>
        <v/>
      </c>
    </row>
    <row r="14" ht="27.75" customHeight="1">
      <c r="B14" s="199"/>
      <c r="E14" s="336" t="s">
        <v>21</v>
      </c>
      <c r="F14" s="337">
        <v>180.0</v>
      </c>
      <c r="H14" s="106"/>
      <c r="I14" s="106"/>
      <c r="J14" s="225"/>
      <c r="T14" s="226"/>
      <c r="W14" s="338"/>
      <c r="AE14" s="203"/>
      <c r="AF14" s="204"/>
      <c r="AG14" s="298" t="s">
        <v>275</v>
      </c>
      <c r="AJ14" s="299"/>
      <c r="AK14" s="300"/>
      <c r="AN14" s="301"/>
      <c r="AO14" s="300"/>
      <c r="AR14" s="301"/>
      <c r="AS14" s="300"/>
      <c r="AV14" s="301"/>
      <c r="AW14" s="300"/>
      <c r="AZ14" s="301"/>
      <c r="BA14" s="300"/>
      <c r="BD14" s="301"/>
      <c r="BE14" s="302" t="str">
        <f t="shared" si="17"/>
        <v/>
      </c>
      <c r="BH14" s="303"/>
      <c r="BI14" s="304"/>
      <c r="BL14" s="303"/>
      <c r="BM14" s="305"/>
      <c r="BQ14" s="306"/>
      <c r="BR14" s="307" t="b">
        <v>0</v>
      </c>
      <c r="BS14" s="308" t="str">
        <f t="shared" si="18"/>
        <v/>
      </c>
      <c r="BT14" s="301"/>
      <c r="BU14" s="309" t="b">
        <v>0</v>
      </c>
      <c r="BV14" s="308" t="str">
        <f t="shared" si="19"/>
        <v/>
      </c>
      <c r="BW14" s="310" t="str">
        <f t="shared" si="20"/>
        <v/>
      </c>
      <c r="BZ14" s="261" t="s">
        <v>246</v>
      </c>
      <c r="CA14" s="83" t="s">
        <v>247</v>
      </c>
      <c r="CB14" s="83" t="s">
        <v>248</v>
      </c>
      <c r="CC14" s="83" t="s">
        <v>224</v>
      </c>
      <c r="CD14" s="83" t="s">
        <v>249</v>
      </c>
      <c r="CE14" s="83" t="s">
        <v>276</v>
      </c>
      <c r="CF14" s="339" t="s">
        <v>251</v>
      </c>
      <c r="CH14" s="289" t="str">
        <f t="array" ref="CH14">IF(NOT($D$37=6),IFERROR(INDIRECT("'Bloque "&amp;$D$38&amp;" Semana "&amp;"6"&amp;"'"&amp;"!"&amp;"E37"),""),"S6")</f>
        <v/>
      </c>
      <c r="CI14" s="316" t="str">
        <f t="shared" si="21"/>
        <v/>
      </c>
      <c r="CJ14" s="224" t="str">
        <f t="shared" si="22"/>
        <v/>
      </c>
      <c r="CK14" s="85" t="str">
        <f t="shared" si="23"/>
        <v/>
      </c>
      <c r="CL14" s="85" t="str">
        <f t="shared" si="30"/>
        <v/>
      </c>
      <c r="CM14" s="168" t="str">
        <f t="shared" si="24"/>
        <v/>
      </c>
      <c r="CN14" s="327" t="str">
        <f t="shared" si="31"/>
        <v/>
      </c>
      <c r="CO14" s="168" t="str">
        <f t="shared" si="25"/>
        <v/>
      </c>
      <c r="CP14" s="168" t="str">
        <f t="shared" si="26"/>
        <v/>
      </c>
      <c r="CQ14" s="294" t="str">
        <f t="shared" si="27"/>
        <v/>
      </c>
      <c r="CR14" s="328" t="str">
        <f t="shared" si="32"/>
        <v/>
      </c>
      <c r="CS14" s="212"/>
      <c r="CT14" s="319"/>
      <c r="DJ14" s="107" t="s">
        <v>111</v>
      </c>
      <c r="DK14" s="108"/>
      <c r="DL14" s="108"/>
      <c r="DM14" s="108"/>
      <c r="DN14" s="108"/>
      <c r="DO14" s="108"/>
      <c r="DP14" s="108"/>
      <c r="DQ14" s="108"/>
      <c r="DR14" s="108"/>
      <c r="DS14" s="108"/>
      <c r="DT14" s="108"/>
      <c r="DU14" s="108"/>
      <c r="DV14" s="108"/>
      <c r="DW14" s="108"/>
      <c r="DX14" s="108"/>
      <c r="DY14" s="108"/>
      <c r="DZ14" s="108"/>
      <c r="EA14" s="108"/>
      <c r="EB14" s="108"/>
      <c r="ED14" s="120"/>
      <c r="EE14" s="269"/>
      <c r="EF14" s="269"/>
      <c r="EG14" s="269"/>
      <c r="EH14" s="269"/>
      <c r="EI14" s="269"/>
      <c r="EJ14" s="269"/>
      <c r="EK14" s="269"/>
      <c r="EL14" s="269"/>
      <c r="EM14" s="269"/>
      <c r="EN14" s="269"/>
      <c r="EO14" s="269"/>
      <c r="EP14" s="269"/>
      <c r="EQ14" s="269"/>
      <c r="ER14" s="269"/>
      <c r="ES14" s="269"/>
      <c r="ET14" s="269"/>
      <c r="EU14" s="269"/>
      <c r="EV14" s="269"/>
      <c r="EX14" s="218">
        <v>5.0</v>
      </c>
      <c r="EY14" s="228">
        <v>0.837</v>
      </c>
      <c r="EZ14" s="228">
        <v>0.511</v>
      </c>
      <c r="FA14" s="228">
        <v>0.786</v>
      </c>
      <c r="FB14" s="228">
        <v>0.762</v>
      </c>
      <c r="FC14" s="228">
        <v>0.739</v>
      </c>
      <c r="FD14" s="228">
        <v>0.707</v>
      </c>
      <c r="FE14" s="228">
        <v>0.68</v>
      </c>
      <c r="FF14" s="228">
        <v>0.653</v>
      </c>
      <c r="FG14" s="228">
        <v>0.626</v>
      </c>
      <c r="FH14" s="228">
        <v>0.599</v>
      </c>
      <c r="FI14" s="228">
        <v>0.572</v>
      </c>
      <c r="FJ14" s="228">
        <v>0.544</v>
      </c>
      <c r="FK14" s="208"/>
      <c r="FL14" s="218">
        <v>5.0</v>
      </c>
      <c r="FM14" s="228">
        <v>0.898</v>
      </c>
      <c r="FN14" s="228">
        <v>0.867</v>
      </c>
      <c r="FO14" s="228">
        <v>0.846</v>
      </c>
      <c r="FP14" s="228">
        <v>0.825</v>
      </c>
      <c r="FQ14" s="228">
        <v>0.805</v>
      </c>
      <c r="FR14" s="228">
        <v>0.786</v>
      </c>
      <c r="FS14" s="228">
        <v>0.767</v>
      </c>
      <c r="FT14" s="228">
        <v>0.749</v>
      </c>
      <c r="FU14" s="228">
        <v>0.731</v>
      </c>
      <c r="FV14" s="228">
        <v>0.713</v>
      </c>
      <c r="FW14" s="228">
        <v>0.696</v>
      </c>
      <c r="FX14" s="228">
        <v>0.679</v>
      </c>
      <c r="FY14" s="228"/>
      <c r="FZ14" s="84" t="str">
        <f t="array" ref="FZ14">IF(NOT($D$37=11),IFERROR(INDIRECT("'Bloque "&amp;$D$38&amp;" Semana "&amp;"11"&amp;"'"&amp;"!"&amp;"E37"),""),"S11")</f>
        <v/>
      </c>
      <c r="GA14" s="229" t="str">
        <f t="shared" si="4"/>
        <v/>
      </c>
      <c r="GB14" s="212" t="str">
        <f t="shared" si="5"/>
        <v/>
      </c>
      <c r="GC14" s="84" t="str">
        <f t="array" ref="GC14">IF(NOT($D$37=11),IFERROR(INDIRECT("'Bloque "&amp;$D$38&amp;" Semana "&amp;"11"&amp;"'"&amp;"!"&amp;"E37"),""),"S11")</f>
        <v/>
      </c>
      <c r="GD14" s="229" t="str">
        <f t="shared" si="6"/>
        <v/>
      </c>
      <c r="GE14" s="212" t="str">
        <f t="shared" si="7"/>
        <v/>
      </c>
      <c r="GF14" s="84" t="str">
        <f t="array" ref="GF14">IF(NOT($D$37=11),IFERROR(INDIRECT("'Bloque "&amp;$D$38&amp;" Semana "&amp;"11"&amp;"'"&amp;"!"&amp;"E37"),""),"S11")</f>
        <v/>
      </c>
      <c r="GG14" s="229" t="str">
        <f t="shared" si="8"/>
        <v/>
      </c>
      <c r="GH14" s="212" t="str">
        <f t="shared" si="9"/>
        <v/>
      </c>
    </row>
    <row r="15" ht="32.25" customHeight="1">
      <c r="B15" s="199"/>
      <c r="E15" s="336" t="s">
        <v>36</v>
      </c>
      <c r="F15" s="337">
        <v>115.0</v>
      </c>
      <c r="H15" s="106"/>
      <c r="I15" s="106"/>
      <c r="J15" s="225"/>
      <c r="T15" s="226"/>
      <c r="W15" s="201"/>
      <c r="AE15" s="203"/>
      <c r="AF15" s="204"/>
      <c r="AG15" s="270" t="s">
        <v>277</v>
      </c>
      <c r="AJ15" s="271"/>
      <c r="AK15" s="272"/>
      <c r="AN15" s="273"/>
      <c r="AO15" s="272"/>
      <c r="AR15" s="273"/>
      <c r="AS15" s="272"/>
      <c r="AV15" s="273"/>
      <c r="AW15" s="272"/>
      <c r="AZ15" s="273"/>
      <c r="BA15" s="272"/>
      <c r="BD15" s="273"/>
      <c r="BE15" s="274" t="str">
        <f t="shared" si="17"/>
        <v/>
      </c>
      <c r="BH15" s="275"/>
      <c r="BI15" s="321"/>
      <c r="BL15" s="275"/>
      <c r="BM15" s="277"/>
      <c r="BQ15" s="278"/>
      <c r="BR15" s="340" t="b">
        <v>0</v>
      </c>
      <c r="BS15" s="341" t="str">
        <f t="shared" si="18"/>
        <v/>
      </c>
      <c r="BT15" s="342"/>
      <c r="BU15" s="343" t="b">
        <v>0</v>
      </c>
      <c r="BV15" s="341" t="str">
        <f t="shared" si="19"/>
        <v/>
      </c>
      <c r="BW15" s="344" t="str">
        <f t="shared" si="20"/>
        <v/>
      </c>
      <c r="BZ15" s="345" t="s">
        <v>21</v>
      </c>
      <c r="CA15" s="284">
        <f>SUMIF(D40:D186,"SQ*",AD40:AD186)</f>
        <v>6</v>
      </c>
      <c r="CB15" s="284">
        <f>SUMIF(D40:D186,"SQ*",CC40:CC186)</f>
        <v>33</v>
      </c>
      <c r="CC15" s="285" t="str">
        <f>SUMIF(D40:D186,"SQ*",CE40:CE186)</f>
        <v>#VALUE!</v>
      </c>
      <c r="CD15" s="286" t="str">
        <f>IFERROR( AVERAGEIF(D40:D186,"SQ*",CA40:CA186),"")</f>
        <v/>
      </c>
      <c r="CE15" s="287">
        <f>IFERROR( IFS($CE$14="e1RM Bryzcki",MAXIFS(CH40:CH186,D40:D186,"SQ*"),$CE$14="e1RM Steve Denovi F1",MAXIFS(CL40:CL186,D40:D186,"SQ*"),$CE$14="e1RM Steve Denovi F2",MAXIFS(CM40:CM186,D40:D186,"SQ*")),"")</f>
        <v>0</v>
      </c>
      <c r="CF15" s="346">
        <f>IFERROR( AVERAGEIF($D$40:$D186,"SQ*",$CK$40:$CK186),"")</f>
        <v>7.25</v>
      </c>
      <c r="CH15" s="289" t="str">
        <f t="array" ref="CH15">IF(NOT($D$37=7),IFERROR(INDIRECT("'Bloque "&amp;$D$38&amp;" Semana "&amp;"7"&amp;"'"&amp;"!"&amp;"E37"),""),"S7")</f>
        <v/>
      </c>
      <c r="CI15" s="316" t="str">
        <f t="shared" si="21"/>
        <v/>
      </c>
      <c r="CJ15" s="224" t="str">
        <f t="shared" si="22"/>
        <v/>
      </c>
      <c r="CK15" s="85" t="str">
        <f t="shared" si="23"/>
        <v/>
      </c>
      <c r="CL15" s="85" t="str">
        <f t="shared" si="30"/>
        <v/>
      </c>
      <c r="CM15" s="168" t="str">
        <f t="shared" si="24"/>
        <v/>
      </c>
      <c r="CN15" s="327" t="str">
        <f t="shared" si="31"/>
        <v/>
      </c>
      <c r="CO15" s="168" t="str">
        <f t="shared" si="25"/>
        <v/>
      </c>
      <c r="CP15" s="168" t="str">
        <f t="shared" si="26"/>
        <v/>
      </c>
      <c r="CQ15" s="294" t="str">
        <f t="shared" si="27"/>
        <v/>
      </c>
      <c r="CR15" s="328" t="str">
        <f t="shared" si="32"/>
        <v/>
      </c>
      <c r="CS15" s="212"/>
      <c r="CT15" s="319"/>
      <c r="DJ15" s="83"/>
      <c r="DK15" s="227" t="str">
        <f t="array" ref="DK15">IF(NOT($D$37=1),IFERROR(INDIRECT("'Bloque "&amp;$D$38&amp;" Semana "&amp;"1"&amp;"'"&amp;"!"&amp;"E37"),""),"S1")</f>
        <v/>
      </c>
      <c r="DL15" s="227" t="str">
        <f t="array" ref="DL15">IF(NOT($D$37=2),IFERROR(INDIRECT("'Bloque "&amp;$D$38&amp;" Semana "&amp;"2"&amp;"'"&amp;"!"&amp;"E37"),""),"S2")</f>
        <v>S2</v>
      </c>
      <c r="DM15" s="227" t="str">
        <f t="array" ref="DM15">IF(NOT($D$37=3),IFERROR(INDIRECT("'Bloque "&amp;$D$38&amp;" Semana "&amp;"3"&amp;"'"&amp;"!"&amp;"E37"),""),"S3")</f>
        <v/>
      </c>
      <c r="DN15" s="227" t="str">
        <f t="array" ref="DN15">IF(NOT($D$37=4),IFERROR(INDIRECT("'Bloque "&amp;$D$38&amp;" Semana "&amp;"4"&amp;"'"&amp;"!"&amp;"E37"),""),"S4")</f>
        <v/>
      </c>
      <c r="DO15" s="227" t="str">
        <f t="array" ref="DO15">IF(NOT($D$37=5),IFERROR(INDIRECT("'Bloque "&amp;$D$38&amp;" Semana "&amp;"5"&amp;"'"&amp;"!"&amp;"E37"),""),"S5")</f>
        <v/>
      </c>
      <c r="DP15" s="227" t="str">
        <f t="array" ref="DP15">IF(NOT($D$37=6),IFERROR(INDIRECT("'Bloque "&amp;$D$38&amp;" Semana "&amp;"6"&amp;"'"&amp;"!"&amp;"E37"),""),"S6")</f>
        <v/>
      </c>
      <c r="DQ15" s="227" t="str">
        <f t="array" ref="DQ15">IF(NOT($D$37=7),IFERROR(INDIRECT("'Bloque "&amp;$D$38&amp;" Semana "&amp;"7"&amp;"'"&amp;"!"&amp;"E37"),""),"S7")</f>
        <v/>
      </c>
      <c r="DR15" s="227" t="str">
        <f t="array" ref="DR15">IF(NOT($D$37=8),IFERROR(INDIRECT("'Bloque "&amp;$D$38&amp;" Semana "&amp;"8"&amp;"'"&amp;"!"&amp;"E37"),""),"S8")</f>
        <v/>
      </c>
      <c r="DS15" s="227" t="str">
        <f t="array" ref="DS15">IF(NOT($D$37=9),IFERROR(INDIRECT("'Bloque "&amp;$D$38&amp;" Semana "&amp;"9"&amp;"'"&amp;"!"&amp;"E37"),""),"S9")</f>
        <v/>
      </c>
      <c r="DT15" s="227" t="str">
        <f t="array" ref="DT15">IF(NOT($D$37=10),IFERROR(INDIRECT("'Bloque "&amp;$D$38&amp;" Semana "&amp;"10"&amp;"'"&amp;"!"&amp;"E37"),""),"S10")</f>
        <v/>
      </c>
      <c r="DU15" s="227" t="str">
        <f t="array" ref="DU15">IF(NOT($D$37=11),IFERROR(INDIRECT("'Bloque "&amp;$D$38&amp;" Semana "&amp;"11"&amp;"'"&amp;"!"&amp;"E37"),""),"S11")</f>
        <v/>
      </c>
      <c r="DV15" s="227" t="str">
        <f t="array" ref="DV15">IF(NOT($D$37=12),IFERROR(INDIRECT("'Bloque "&amp;$D$38&amp;" Semana "&amp;"12"&amp;"'"&amp;"!"&amp;"E37"),""),"S12")</f>
        <v/>
      </c>
      <c r="DW15" s="227" t="str">
        <f t="array" ref="DW15">IF(NOT($D$37=13),IFERROR(INDIRECT("'Bloque "&amp;$D$38&amp;" Semana "&amp;"13"&amp;"'"&amp;"!"&amp;"E37"),""),"S13")</f>
        <v/>
      </c>
      <c r="DX15" s="227" t="str">
        <f t="array" ref="DX15">IF(NOT($D$37=14),IFERROR(INDIRECT("'Bloque "&amp;$D$38&amp;" Semana "&amp;"14"&amp;"'"&amp;"!"&amp;"E37"),""),"S14")</f>
        <v/>
      </c>
      <c r="DY15" s="227" t="str">
        <f t="array" ref="DY15">IF(NOT($D$37=15),IFERROR(INDIRECT("'Bloque "&amp;$D$38&amp;" Semana "&amp;"15"&amp;"'"&amp;"!"&amp;"E37"),""),"S15")</f>
        <v/>
      </c>
      <c r="DZ15" s="227" t="str">
        <f t="array" ref="DZ15">IF(NOT($D$37=16),IFERROR(INDIRECT("'Bloque "&amp;$D$38&amp;" Semana "&amp;"16"&amp;"'"&amp;"!"&amp;"E37"),""),"S16")</f>
        <v/>
      </c>
      <c r="EA15" s="227" t="str">
        <f t="array" ref="EA15">IF(NOT($D$37=17),IFERROR(INDIRECT("'Bloque "&amp;$D$38&amp;" Semana "&amp;"17"&amp;"'"&amp;"!"&amp;"E37"),""),"S17")</f>
        <v/>
      </c>
      <c r="EB15" s="227" t="str">
        <f t="array" ref="EB15">IF(NOT($D$37=18),IFERROR(INDIRECT("'Bloque "&amp;$D$38&amp;" Semana "&amp;"18"&amp;"'"&amp;"!"&amp;"E37"),""),"S18")</f>
        <v/>
      </c>
      <c r="ED15" s="120"/>
      <c r="EE15" s="269"/>
      <c r="EF15" s="269"/>
      <c r="EG15" s="269"/>
      <c r="EH15" s="269"/>
      <c r="EI15" s="269"/>
      <c r="EJ15" s="269"/>
      <c r="EK15" s="269"/>
      <c r="EL15" s="269"/>
      <c r="EM15" s="269"/>
      <c r="EN15" s="269"/>
      <c r="EO15" s="269"/>
      <c r="EP15" s="269"/>
      <c r="EQ15" s="269"/>
      <c r="ER15" s="269"/>
      <c r="ES15" s="269"/>
      <c r="ET15" s="269"/>
      <c r="EU15" s="269"/>
      <c r="EV15" s="269"/>
      <c r="EX15" s="218">
        <v>4.5</v>
      </c>
      <c r="EY15" s="228">
        <v>0.824</v>
      </c>
      <c r="EZ15" s="228">
        <v>0.799</v>
      </c>
      <c r="FA15" s="228">
        <v>0.774</v>
      </c>
      <c r="FB15" s="228">
        <v>0.751</v>
      </c>
      <c r="FC15" s="228">
        <v>0.723</v>
      </c>
      <c r="FD15" s="228">
        <v>0.694</v>
      </c>
      <c r="FE15" s="228">
        <v>0.667</v>
      </c>
      <c r="FF15" s="228">
        <v>0.64</v>
      </c>
      <c r="FG15" s="228">
        <v>0.613</v>
      </c>
      <c r="FH15" s="228">
        <v>0.586</v>
      </c>
      <c r="FI15" s="228">
        <v>0.558</v>
      </c>
      <c r="FJ15" s="228">
        <v>0.53</v>
      </c>
      <c r="FK15" s="208"/>
      <c r="FL15" s="218">
        <v>4.5</v>
      </c>
      <c r="FM15" s="228">
        <v>0.888</v>
      </c>
      <c r="FN15" s="228">
        <v>0.857</v>
      </c>
      <c r="FO15" s="228">
        <v>0.837</v>
      </c>
      <c r="FP15" s="228">
        <v>0.816</v>
      </c>
      <c r="FQ15" s="228">
        <v>0.797</v>
      </c>
      <c r="FR15" s="228">
        <v>0.778</v>
      </c>
      <c r="FS15" s="228">
        <v>0.759</v>
      </c>
      <c r="FT15" s="228">
        <v>0.741</v>
      </c>
      <c r="FU15" s="228">
        <v>0.723</v>
      </c>
      <c r="FV15" s="228">
        <v>0.705</v>
      </c>
      <c r="FW15" s="228">
        <v>0.688</v>
      </c>
      <c r="FX15" s="228">
        <v>0.672</v>
      </c>
      <c r="FY15" s="228"/>
      <c r="FZ15" s="84" t="str">
        <f t="array" ref="FZ15">IF(NOT($D$37=12),IFERROR(INDIRECT("'Bloque "&amp;$D$38&amp;" Semana "&amp;"12"&amp;"'"&amp;"!"&amp;"E37"),""),"S12")</f>
        <v/>
      </c>
      <c r="GA15" s="229" t="str">
        <f t="shared" si="4"/>
        <v/>
      </c>
      <c r="GB15" s="212" t="str">
        <f t="shared" si="5"/>
        <v/>
      </c>
      <c r="GC15" s="84" t="str">
        <f t="array" ref="GC15">IF(NOT($D$37=12),IFERROR(INDIRECT("'Bloque "&amp;$D$38&amp;" Semana "&amp;"12"&amp;"'"&amp;"!"&amp;"E37"),""),"S12")</f>
        <v/>
      </c>
      <c r="GD15" s="229" t="str">
        <f t="shared" si="6"/>
        <v/>
      </c>
      <c r="GE15" s="212" t="str">
        <f t="shared" si="7"/>
        <v/>
      </c>
      <c r="GF15" s="84" t="str">
        <f t="array" ref="GF15">IF(NOT($D$37=12),IFERROR(INDIRECT("'Bloque "&amp;$D$38&amp;" Semana "&amp;"12"&amp;"'"&amp;"!"&amp;"E37"),""),"S12")</f>
        <v/>
      </c>
      <c r="GG15" s="229" t="str">
        <f t="shared" si="8"/>
        <v/>
      </c>
      <c r="GH15" s="212" t="str">
        <f t="shared" si="9"/>
        <v/>
      </c>
    </row>
    <row r="16" ht="37.5" customHeight="1">
      <c r="B16" s="199"/>
      <c r="E16" s="336" t="s">
        <v>42</v>
      </c>
      <c r="F16" s="337">
        <v>240.0</v>
      </c>
      <c r="H16" s="106"/>
      <c r="I16" s="106"/>
      <c r="J16" s="347"/>
      <c r="K16" s="348"/>
      <c r="L16" s="348"/>
      <c r="M16" s="348"/>
      <c r="N16" s="348"/>
      <c r="O16" s="348"/>
      <c r="P16" s="348"/>
      <c r="Q16" s="348"/>
      <c r="R16" s="348"/>
      <c r="S16" s="348"/>
      <c r="T16" s="349"/>
      <c r="W16" s="201"/>
      <c r="X16" s="350" t="s">
        <v>278</v>
      </c>
      <c r="Y16" s="210"/>
      <c r="Z16" s="210"/>
      <c r="AA16" s="210"/>
      <c r="AB16" s="210"/>
      <c r="AC16" s="210"/>
      <c r="AD16" s="351"/>
      <c r="AE16" s="203"/>
      <c r="AF16" s="204"/>
      <c r="AG16" s="352" t="s">
        <v>279</v>
      </c>
      <c r="AJ16" s="353"/>
      <c r="AK16" s="354" t="str">
        <f>IFERROR( IFERROR(IF(NOT(ISBLANK(AK9)),MID(AK9,1,2),"")+IF(NOT(ISBLANK(AK10)),MID(AK10,1,2),"")+IF(NOT(ISBLANK(AK11)),MID(AK11,1,2),"")+IF(NOT(ISBLANK(AK12)),MID(AK12,1,2),"")+IF(NOT(ISBLANK(AK13)),MID(AK13,1,2),"")+IF(NOT(ISBLANK(AK14)),MID(AK14,1,2),"")+IF(NOT(ISBLANK(AK15)),MID(AK15,1,2),""),"")/COUNTA(AK9:AK15),"")</f>
        <v/>
      </c>
      <c r="AM16" s="355" t="s">
        <v>280</v>
      </c>
      <c r="AN16" s="355"/>
      <c r="AO16" s="354" t="str">
        <f>IFERROR( IFERROR(IF(NOT(ISBLANK(AO9)),MID(AO9,1,2),"")+IF(NOT(ISBLANK(AO10)),MID(AO10,1,2),"")+IF(NOT(ISBLANK(AO11)),MID(AO11,1,2),"")+IF(NOT(ISBLANK(AO12)),MID(AO12,1,2),"")+IF(NOT(ISBLANK(AO13)),MID(AO13,1,2),"")+IF(NOT(ISBLANK(AO14)),MID(AO14,1,2),"")+IF(NOT(ISBLANK(AO15)),MID(AO15,1,2),""),"")/COUNTA(AO9:AO15),"")</f>
        <v/>
      </c>
      <c r="AQ16" s="355" t="s">
        <v>280</v>
      </c>
      <c r="AR16" s="355"/>
      <c r="AS16" s="354" t="str">
        <f>IFERROR( IFERROR(IF(NOT(ISBLANK(AS9)),MID(AS9,1,2),"")+IF(NOT(ISBLANK(AS10)),MID(AS10,1,2),"")+IF(NOT(ISBLANK(AS11)),MID(AS11,1,2),"")+IF(NOT(ISBLANK(AS12)),MID(AS12,1,2),"")+IF(NOT(ISBLANK(AS13)),MID(AS13,1,2),"")+IF(NOT(ISBLANK(AS14)),MID(AS14,1,2),"")+IF(NOT(ISBLANK(AS15)),MID(AS15,1,2),""),"")/COUNTA(AS9:AS15),"")</f>
        <v/>
      </c>
      <c r="AU16" s="355" t="s">
        <v>280</v>
      </c>
      <c r="AV16" s="355"/>
      <c r="AW16" s="354" t="str">
        <f>IFERROR( IFERROR(IF(NOT(ISBLANK(AW9)),MID(AW9,1,2),"")+IF(NOT(ISBLANK(AW10)),MID(AW10,1,2),"")+IF(NOT(ISBLANK(AW11)),MID(AW11,1,2),"")+IF(NOT(ISBLANK(AW12)),MID(AW12,1,2),"")+IF(NOT(ISBLANK(AW13)),MID(AW13,1,2),"")+IF(NOT(ISBLANK(AW14)),MID(AW14,1,2),"")+IF(NOT(ISBLANK(AW15)),MID(AW15,1,2),""),"")/COUNTA(AW9:AW15),"")</f>
        <v/>
      </c>
      <c r="AY16" s="355" t="s">
        <v>280</v>
      </c>
      <c r="AZ16" s="355"/>
      <c r="BA16" s="354" t="str">
        <f>IFERROR( IFERROR(IF(NOT(ISBLANK(BA9)),MID(BA9,1,2),"")+IF(NOT(ISBLANK(BA10)),MID(BA10,1,2),"")+IF(NOT(ISBLANK(BA11)),MID(BA11,1,2),"")+IF(NOT(ISBLANK(BA12)),MID(BA12,1,2),"")+IF(NOT(ISBLANK(BA13)),MID(BA13,1,2),"")+IF(NOT(ISBLANK(BA14)),MID(BA14,1,2),"")+IF(NOT(ISBLANK(BA15)),MID(BA15,1,2),""),"")/COUNTA(BA9:BA15),"")</f>
        <v/>
      </c>
      <c r="BC16" s="355" t="s">
        <v>280</v>
      </c>
      <c r="BD16" s="355"/>
      <c r="BE16" s="128"/>
      <c r="BG16" s="356"/>
      <c r="BH16" s="356"/>
      <c r="BI16" s="357" t="str">
        <f>IFERROR( IFERROR(IF(NOT(ISBLANK(BI9)),MID(BI9,1,2),"")+IF(NOT(ISBLANK(BI10)),MID(BI10,1,2),"")+IF(NOT(ISBLANK(BI11)),MID(BI11,1,2),"")+IF(NOT(ISBLANK(BI12)),MID(BI12,1,2),"")+IF(NOT(ISBLANK(BI13)),MID(BI13,1,2),"")+IF(NOT(ISBLANK(BI14)),MID(BI14,1,2),"")+IF(NOT(ISBLANK(BI15)),MID(BI15,1,2),""),"")/COUNTA(BI9:BK15),"")</f>
        <v/>
      </c>
      <c r="BJ16" s="215"/>
      <c r="BK16" s="358" t="s">
        <v>281</v>
      </c>
      <c r="BL16" s="355"/>
      <c r="BM16" s="359" t="str">
        <f>IFERROR( IFERROR(IF(NOT(ISBLANK(BM9)),MID(BM9,1,2),"")+IF(NOT(ISBLANK(BM10)),MID(BM10,1,2),"")+IF(NOT(ISBLANK(BM11)),MID(BM11,1,2),"")+IF(NOT(ISBLANK(BM12)),MID(BM12,1,2),"")+IF(NOT(ISBLANK(BM13)),MID(BM13,1,2),"")+IF(NOT(ISBLANK(BM14)),MID(BM14,1,2),"")+IF(NOT(ISBLANK(BM15)),MID(BM15,1,2),""),"")/COUNTA(BM9:BQ15),"")</f>
        <v/>
      </c>
      <c r="BP16" s="359"/>
      <c r="BQ16" s="358" t="s">
        <v>281</v>
      </c>
      <c r="BR16" s="128"/>
      <c r="BS16" s="128"/>
      <c r="BT16" s="128"/>
      <c r="BU16" s="128"/>
      <c r="BV16" s="360" t="s">
        <v>282</v>
      </c>
      <c r="BW16" s="361" t="str">
        <f>IFERROR( AVERAGE(BW9:BW15),"")</f>
        <v/>
      </c>
      <c r="BZ16" s="362" t="s">
        <v>36</v>
      </c>
      <c r="CA16" s="311">
        <f>SUMIF(D40:D186,"BP*",AD40:AD186)</f>
        <v>10</v>
      </c>
      <c r="CB16" s="311">
        <f>SUMIF(D40:D186,"BP*",CC40:CC186)</f>
        <v>49</v>
      </c>
      <c r="CC16" s="312" t="str">
        <f>SUMIF(D40:D186,"BP*",CE40:CE186)</f>
        <v>#VALUE!</v>
      </c>
      <c r="CD16" s="313" t="str">
        <f>IFERROR( AVERAGEIF(D40:D186,"BP*",CA40:CA186),"")</f>
        <v/>
      </c>
      <c r="CE16" s="363">
        <f>IFERROR( IFS($CE$14="e1RM Bryzcki",MAXIFS(CH40:CH186,D40:D186,"BP*"),$CE$14="e1RM Steve Denovi F1",MAXIFS(CL40:CL186,D40:D186,"BP*"),$CE$14="e1RM Steve Denovi F2",MAXIFS(CM40:CM186,D40:D186,"BP*")),"")</f>
        <v>0</v>
      </c>
      <c r="CF16" s="364">
        <f>IFERROR( AVERAGEIF($D$40:$D186,"BP*",$CK$40:$CK186),"")</f>
        <v>6.513888889</v>
      </c>
      <c r="CH16" s="289" t="str">
        <f t="array" ref="CH16">IF(NOT($D$37=8),IFERROR(INDIRECT("'Bloque "&amp;$D$38&amp;" Semana "&amp;"8"&amp;"'"&amp;"!"&amp;"E37"),""),"S8")</f>
        <v/>
      </c>
      <c r="CI16" s="316" t="str">
        <f t="shared" si="21"/>
        <v/>
      </c>
      <c r="CJ16" s="224" t="str">
        <f t="shared" si="22"/>
        <v/>
      </c>
      <c r="CK16" s="85" t="str">
        <f t="shared" si="23"/>
        <v/>
      </c>
      <c r="CL16" s="85" t="str">
        <f t="shared" si="30"/>
        <v/>
      </c>
      <c r="CM16" s="168" t="str">
        <f t="shared" si="24"/>
        <v/>
      </c>
      <c r="CN16" s="327" t="str">
        <f t="shared" si="31"/>
        <v/>
      </c>
      <c r="CO16" s="168" t="str">
        <f t="shared" si="25"/>
        <v/>
      </c>
      <c r="CP16" s="168" t="str">
        <f t="shared" si="26"/>
        <v/>
      </c>
      <c r="CQ16" s="294" t="str">
        <f t="shared" si="27"/>
        <v/>
      </c>
      <c r="CR16" s="328" t="str">
        <f t="shared" si="32"/>
        <v/>
      </c>
      <c r="CS16" s="212"/>
      <c r="CT16" s="319"/>
      <c r="DJ16" s="120" t="s">
        <v>21</v>
      </c>
      <c r="DK16" s="172" t="str">
        <f t="shared" ref="DK16:EB16" si="35">IFERROR(INDIRECT("'Bloque "&amp;$D$38&amp;" Semana "&amp;MID(DK15,2,2)&amp;"'"&amp;"!"&amp;"CB15"),"")</f>
        <v/>
      </c>
      <c r="DL16" s="172" t="str">
        <f t="shared" si="35"/>
        <v/>
      </c>
      <c r="DM16" s="172" t="str">
        <f t="shared" si="35"/>
        <v/>
      </c>
      <c r="DN16" s="172" t="str">
        <f t="shared" si="35"/>
        <v/>
      </c>
      <c r="DO16" s="172" t="str">
        <f t="shared" si="35"/>
        <v/>
      </c>
      <c r="DP16" s="172" t="str">
        <f t="shared" si="35"/>
        <v/>
      </c>
      <c r="DQ16" s="172" t="str">
        <f t="shared" si="35"/>
        <v/>
      </c>
      <c r="DR16" s="172" t="str">
        <f t="shared" si="35"/>
        <v/>
      </c>
      <c r="DS16" s="172" t="str">
        <f t="shared" si="35"/>
        <v/>
      </c>
      <c r="DT16" s="172" t="str">
        <f t="shared" si="35"/>
        <v/>
      </c>
      <c r="DU16" s="172" t="str">
        <f t="shared" si="35"/>
        <v/>
      </c>
      <c r="DV16" s="172" t="str">
        <f t="shared" si="35"/>
        <v/>
      </c>
      <c r="DW16" s="172" t="str">
        <f t="shared" si="35"/>
        <v/>
      </c>
      <c r="DX16" s="172" t="str">
        <f t="shared" si="35"/>
        <v/>
      </c>
      <c r="DY16" s="172" t="str">
        <f t="shared" si="35"/>
        <v/>
      </c>
      <c r="DZ16" s="172" t="str">
        <f t="shared" si="35"/>
        <v/>
      </c>
      <c r="EA16" s="172" t="str">
        <f t="shared" si="35"/>
        <v/>
      </c>
      <c r="EB16" s="172" t="str">
        <f t="shared" si="35"/>
        <v/>
      </c>
      <c r="ED16" s="120"/>
      <c r="EE16" s="269"/>
      <c r="EF16" s="269"/>
      <c r="EG16" s="269"/>
      <c r="EH16" s="269"/>
      <c r="EI16" s="269"/>
      <c r="EJ16" s="269"/>
      <c r="EK16" s="269"/>
      <c r="EL16" s="269"/>
      <c r="EM16" s="269"/>
      <c r="EN16" s="269"/>
      <c r="EO16" s="269"/>
      <c r="EP16" s="269"/>
      <c r="EQ16" s="269"/>
      <c r="ER16" s="269"/>
      <c r="ES16" s="269"/>
      <c r="ET16" s="269"/>
      <c r="EU16" s="269"/>
      <c r="EV16" s="269"/>
      <c r="EX16" s="218">
        <v>4.0</v>
      </c>
      <c r="EY16" s="228">
        <v>0.811</v>
      </c>
      <c r="EZ16" s="228">
        <v>0.786</v>
      </c>
      <c r="FA16" s="228">
        <v>0.762</v>
      </c>
      <c r="FB16" s="228">
        <v>0.739</v>
      </c>
      <c r="FC16" s="228">
        <v>0.707</v>
      </c>
      <c r="FD16" s="228">
        <v>0.68</v>
      </c>
      <c r="FE16" s="228">
        <v>0.653</v>
      </c>
      <c r="FF16" s="228">
        <v>0.626</v>
      </c>
      <c r="FG16" s="228">
        <v>0.599</v>
      </c>
      <c r="FH16" s="228">
        <v>0.572</v>
      </c>
      <c r="FI16" s="228">
        <v>0.544</v>
      </c>
      <c r="FJ16" s="228">
        <v>0.516</v>
      </c>
      <c r="FK16" s="208"/>
      <c r="FL16" s="218">
        <v>4.0</v>
      </c>
      <c r="FM16" s="228">
        <v>0.879</v>
      </c>
      <c r="FN16" s="228">
        <v>0.848</v>
      </c>
      <c r="FO16" s="228">
        <v>0.828</v>
      </c>
      <c r="FP16" s="228">
        <v>0.808</v>
      </c>
      <c r="FQ16" s="228">
        <v>0.788</v>
      </c>
      <c r="FR16" s="228">
        <v>0.769</v>
      </c>
      <c r="FS16" s="228">
        <v>0.751</v>
      </c>
      <c r="FT16" s="228">
        <v>0.733</v>
      </c>
      <c r="FU16" s="228">
        <v>0.715</v>
      </c>
      <c r="FV16" s="228">
        <v>0.698</v>
      </c>
      <c r="FW16" s="228">
        <v>0.681</v>
      </c>
      <c r="FX16" s="228">
        <v>0.665</v>
      </c>
      <c r="FY16" s="228"/>
      <c r="FZ16" s="84" t="str">
        <f t="array" ref="FZ16">IF(NOT($D$37=13),IFERROR(INDIRECT("'Bloque "&amp;$D$38&amp;" Semana "&amp;"13"&amp;"'"&amp;"!"&amp;"E37"),""),"S13")</f>
        <v/>
      </c>
      <c r="GA16" s="229" t="str">
        <f t="shared" si="4"/>
        <v/>
      </c>
      <c r="GB16" s="212" t="str">
        <f t="shared" si="5"/>
        <v/>
      </c>
      <c r="GC16" s="84" t="str">
        <f t="array" ref="GC16">IF(NOT($D$37=13),IFERROR(INDIRECT("'Bloque "&amp;$D$38&amp;" Semana "&amp;"13"&amp;"'"&amp;"!"&amp;"E37"),""),"S13")</f>
        <v/>
      </c>
      <c r="GD16" s="229" t="str">
        <f t="shared" si="6"/>
        <v/>
      </c>
      <c r="GE16" s="212" t="str">
        <f t="shared" si="7"/>
        <v/>
      </c>
      <c r="GF16" s="84" t="str">
        <f t="array" ref="GF16">IF(NOT($D$37=13),IFERROR(INDIRECT("'Bloque "&amp;$D$38&amp;" Semana "&amp;"13"&amp;"'"&amp;"!"&amp;"E37"),""),"S13")</f>
        <v/>
      </c>
      <c r="GG16" s="229" t="str">
        <f t="shared" si="8"/>
        <v/>
      </c>
      <c r="GH16" s="212" t="str">
        <f t="shared" si="9"/>
        <v/>
      </c>
    </row>
    <row r="17" ht="36.0" customHeight="1">
      <c r="B17" s="199"/>
      <c r="D17" s="365"/>
      <c r="E17" s="366" t="str">
        <f>"BIENVENIDO A RV STRENGTH "&amp;'Introducción'!B19&amp;" "&amp;'Introducción'!B20</f>
        <v>#REF!</v>
      </c>
      <c r="F17" s="367"/>
      <c r="K17" s="200"/>
      <c r="L17" s="200"/>
      <c r="T17" s="368">
        <f>NOW()</f>
        <v>46052.88071</v>
      </c>
      <c r="W17" s="201"/>
      <c r="X17" s="369" t="s">
        <v>274</v>
      </c>
      <c r="Y17" s="334"/>
      <c r="Z17" s="334"/>
      <c r="AA17" s="334"/>
      <c r="AB17" s="334"/>
      <c r="AC17" s="334"/>
      <c r="AD17" s="370"/>
      <c r="AE17" s="203"/>
      <c r="AF17" s="204"/>
      <c r="AG17" s="371" t="s">
        <v>283</v>
      </c>
      <c r="AH17" s="348"/>
      <c r="AI17" s="348"/>
      <c r="AJ17" s="372"/>
      <c r="AK17" s="373" t="str">
        <f>IFERROR(AVERAGE(AK16,AO16,AS16,AW16,BA16)*10/7,"")</f>
        <v/>
      </c>
      <c r="AL17" s="348"/>
      <c r="AM17" s="374" t="s">
        <v>281</v>
      </c>
      <c r="AN17" s="374"/>
      <c r="AO17" s="375"/>
      <c r="AP17" s="375"/>
      <c r="AQ17" s="375"/>
      <c r="AR17" s="375"/>
      <c r="AS17" s="375"/>
      <c r="AT17" s="375"/>
      <c r="AU17" s="375"/>
      <c r="AV17" s="375"/>
      <c r="AW17" s="375"/>
      <c r="AX17" s="375"/>
      <c r="AY17" s="375"/>
      <c r="AZ17" s="375"/>
      <c r="BA17" s="375"/>
      <c r="BB17" s="375"/>
      <c r="BC17" s="375"/>
      <c r="BD17" s="375"/>
      <c r="BE17" s="375"/>
      <c r="BF17" s="375"/>
      <c r="BG17" s="376"/>
      <c r="BH17" s="375"/>
      <c r="BI17" s="377"/>
      <c r="BJ17" s="377"/>
      <c r="BK17" s="378"/>
      <c r="BL17" s="378"/>
      <c r="BM17" s="378"/>
      <c r="BN17" s="378"/>
      <c r="BO17" s="378"/>
      <c r="BP17" s="378"/>
      <c r="BQ17" s="378"/>
      <c r="BR17" s="128"/>
      <c r="BS17" s="128"/>
      <c r="BT17" s="128"/>
      <c r="BU17" s="128"/>
      <c r="BV17" s="128"/>
      <c r="BW17" s="128"/>
      <c r="BZ17" s="379" t="s">
        <v>42</v>
      </c>
      <c r="CA17" s="322">
        <f>SUMIF(D40:D186,"DL*",AD40:AD186)</f>
        <v>0</v>
      </c>
      <c r="CB17" s="322">
        <f>SUMIF(D40:D186,"DL*",CC40:CC186)</f>
        <v>0</v>
      </c>
      <c r="CC17" s="323">
        <f>SUMIF(D40:D186,"DL*",CE40:CE186)</f>
        <v>0</v>
      </c>
      <c r="CD17" s="324" t="str">
        <f>IFERROR( AVERAGEIF(D40:D186,"DL*",CA40:CA186),"")</f>
        <v/>
      </c>
      <c r="CE17" s="325">
        <f>IFERROR( IFS($CE$14="e1RM Bryzcki",MAXIFS(CH40:CH186,D40:D186,"DL*"),$CE$14="e1RM Steve Denovi F1",MAXIFS(CL40:CL186,D40:D186,"DL*"),$CE$14="e1RM Steve Denovi F2",MAXIFS(CM40:CM186,D40:D186,"DL*")),"")</f>
        <v>0</v>
      </c>
      <c r="CF17" s="380" t="str">
        <f>IFERROR( AVERAGEIF($D$40:$D186,"DL*",$CK$40:$CK186),"")</f>
        <v/>
      </c>
      <c r="CH17" s="289" t="str">
        <f t="array" ref="CH17">IF(NOT($D$37=9),IFERROR(INDIRECT("'Bloque "&amp;$D$38&amp;" Semana "&amp;"9"&amp;"'"&amp;"!"&amp;"E37"),""),"S9")</f>
        <v/>
      </c>
      <c r="CI17" s="316" t="str">
        <f t="shared" si="21"/>
        <v/>
      </c>
      <c r="CJ17" s="224" t="str">
        <f t="shared" si="22"/>
        <v/>
      </c>
      <c r="CK17" s="85" t="str">
        <f t="shared" si="23"/>
        <v/>
      </c>
      <c r="CL17" s="85" t="str">
        <f t="shared" si="30"/>
        <v/>
      </c>
      <c r="CM17" s="168" t="str">
        <f t="shared" si="24"/>
        <v/>
      </c>
      <c r="CN17" s="327" t="str">
        <f t="shared" si="31"/>
        <v/>
      </c>
      <c r="CO17" s="168" t="str">
        <f t="shared" si="25"/>
        <v/>
      </c>
      <c r="CP17" s="168" t="str">
        <f t="shared" si="26"/>
        <v/>
      </c>
      <c r="CQ17" s="294" t="str">
        <f t="shared" si="27"/>
        <v/>
      </c>
      <c r="CR17" s="328" t="str">
        <f t="shared" si="32"/>
        <v/>
      </c>
      <c r="CS17" s="212"/>
      <c r="CT17" s="319"/>
      <c r="DJ17" s="120" t="s">
        <v>36</v>
      </c>
      <c r="DK17" s="172" t="str">
        <f t="shared" ref="DK17:EB17" si="36">IFERROR(INDIRECT("'Bloque "&amp;$D$38&amp;" Semana "&amp;MID(DK15,2,2)&amp;"'"&amp;"!"&amp;"CB16"),"")</f>
        <v/>
      </c>
      <c r="DL17" s="172" t="str">
        <f t="shared" si="36"/>
        <v/>
      </c>
      <c r="DM17" s="172" t="str">
        <f t="shared" si="36"/>
        <v/>
      </c>
      <c r="DN17" s="172" t="str">
        <f t="shared" si="36"/>
        <v/>
      </c>
      <c r="DO17" s="172" t="str">
        <f t="shared" si="36"/>
        <v/>
      </c>
      <c r="DP17" s="172" t="str">
        <f t="shared" si="36"/>
        <v/>
      </c>
      <c r="DQ17" s="172" t="str">
        <f t="shared" si="36"/>
        <v/>
      </c>
      <c r="DR17" s="172" t="str">
        <f t="shared" si="36"/>
        <v/>
      </c>
      <c r="DS17" s="172" t="str">
        <f t="shared" si="36"/>
        <v/>
      </c>
      <c r="DT17" s="172" t="str">
        <f t="shared" si="36"/>
        <v/>
      </c>
      <c r="DU17" s="172" t="str">
        <f t="shared" si="36"/>
        <v/>
      </c>
      <c r="DV17" s="172" t="str">
        <f t="shared" si="36"/>
        <v/>
      </c>
      <c r="DW17" s="172" t="str">
        <f t="shared" si="36"/>
        <v/>
      </c>
      <c r="DX17" s="172" t="str">
        <f t="shared" si="36"/>
        <v/>
      </c>
      <c r="DY17" s="172" t="str">
        <f t="shared" si="36"/>
        <v/>
      </c>
      <c r="DZ17" s="172" t="str">
        <f t="shared" si="36"/>
        <v/>
      </c>
      <c r="EA17" s="172" t="str">
        <f t="shared" si="36"/>
        <v/>
      </c>
      <c r="EB17" s="172" t="str">
        <f t="shared" si="36"/>
        <v/>
      </c>
      <c r="ED17" s="144" t="s">
        <v>284</v>
      </c>
      <c r="EE17" s="108"/>
      <c r="EF17" s="108"/>
      <c r="EG17" s="108"/>
      <c r="EH17" s="108"/>
      <c r="EI17" s="108"/>
      <c r="EJ17" s="108"/>
      <c r="EK17" s="108"/>
      <c r="EL17" s="108"/>
      <c r="EM17" s="108"/>
      <c r="EN17" s="108"/>
      <c r="EO17" s="108"/>
      <c r="EP17" s="108"/>
      <c r="EQ17" s="108"/>
      <c r="ER17" s="108"/>
      <c r="ES17" s="108"/>
      <c r="ET17" s="108"/>
      <c r="EU17" s="108"/>
      <c r="EV17" s="108"/>
      <c r="EX17" s="208"/>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84" t="str">
        <f t="array" ref="FZ17">IF(NOT($D$37=14),IFERROR(INDIRECT("'Bloque "&amp;$D$38&amp;" Semana "&amp;"14"&amp;"'"&amp;"!"&amp;"E37"),""),"S14")</f>
        <v/>
      </c>
      <c r="GA17" s="229" t="str">
        <f t="shared" si="4"/>
        <v/>
      </c>
      <c r="GB17" s="212" t="str">
        <f t="shared" si="5"/>
        <v/>
      </c>
      <c r="GC17" s="84" t="str">
        <f t="array" ref="GC17">IF(NOT($D$37=14),IFERROR(INDIRECT("'Bloque "&amp;$D$38&amp;" Semana "&amp;"14"&amp;"'"&amp;"!"&amp;"E37"),""),"S14")</f>
        <v/>
      </c>
      <c r="GD17" s="229" t="str">
        <f t="shared" si="6"/>
        <v/>
      </c>
      <c r="GE17" s="212" t="str">
        <f t="shared" si="7"/>
        <v/>
      </c>
      <c r="GF17" s="84" t="str">
        <f t="array" ref="GF17">IF(NOT($D$37=14),IFERROR(INDIRECT("'Bloque "&amp;$D$38&amp;" Semana "&amp;"14"&amp;"'"&amp;"!"&amp;"E37"),""),"S14")</f>
        <v/>
      </c>
      <c r="GG17" s="229" t="str">
        <f t="shared" si="8"/>
        <v/>
      </c>
      <c r="GH17" s="212" t="str">
        <f t="shared" si="9"/>
        <v/>
      </c>
    </row>
    <row r="18" ht="48.0" customHeight="1">
      <c r="B18" s="199"/>
      <c r="E18" s="381" t="s">
        <v>285</v>
      </c>
      <c r="F18" s="382"/>
      <c r="G18" s="383"/>
      <c r="H18" s="383"/>
      <c r="I18" s="383"/>
      <c r="J18" s="383"/>
      <c r="K18" s="383"/>
      <c r="L18" s="383"/>
      <c r="M18" s="383"/>
      <c r="N18" s="383"/>
      <c r="O18" s="383"/>
      <c r="P18" s="383"/>
      <c r="Q18" s="383"/>
      <c r="R18" s="383"/>
      <c r="S18" s="383"/>
      <c r="T18" s="384"/>
      <c r="U18" s="385"/>
      <c r="W18" s="201"/>
      <c r="X18" s="197" t="s">
        <v>246</v>
      </c>
      <c r="Y18" s="197" t="s">
        <v>286</v>
      </c>
      <c r="Z18" s="197" t="s">
        <v>224</v>
      </c>
      <c r="AA18" s="197" t="s">
        <v>200</v>
      </c>
      <c r="AB18" s="197" t="s">
        <v>248</v>
      </c>
      <c r="AC18" s="197" t="s">
        <v>251</v>
      </c>
      <c r="AD18" s="386"/>
      <c r="AE18" s="203"/>
      <c r="AF18" s="204"/>
      <c r="AG18" s="387" t="s">
        <v>287</v>
      </c>
      <c r="BZ18" s="388" t="s">
        <v>105</v>
      </c>
      <c r="CA18" s="389">
        <f t="shared" ref="CA18:CB18" si="37">SUM(CA15:CA17)</f>
        <v>16</v>
      </c>
      <c r="CB18" s="389">
        <f t="shared" si="37"/>
        <v>82</v>
      </c>
      <c r="CC18" s="390"/>
      <c r="CD18" s="391"/>
      <c r="CE18" s="392">
        <f>SUM(CE15:CE17)</f>
        <v>0</v>
      </c>
      <c r="CF18" s="393"/>
      <c r="CH18" s="289" t="str">
        <f t="array" ref="CH18">IF(NOT($D$37=10),IFERROR(INDIRECT("'Bloque "&amp;$D$38&amp;" Semana "&amp;"10"&amp;"'"&amp;"!"&amp;"E37"),""),"S10")</f>
        <v/>
      </c>
      <c r="CI18" s="316" t="str">
        <f t="shared" si="21"/>
        <v/>
      </c>
      <c r="CJ18" s="224" t="str">
        <f t="shared" si="22"/>
        <v/>
      </c>
      <c r="CK18" s="85" t="str">
        <f t="shared" si="23"/>
        <v/>
      </c>
      <c r="CL18" s="85" t="str">
        <f t="shared" si="30"/>
        <v/>
      </c>
      <c r="CM18" s="168" t="str">
        <f t="shared" si="24"/>
        <v/>
      </c>
      <c r="CN18" s="327" t="str">
        <f t="shared" si="31"/>
        <v/>
      </c>
      <c r="CO18" s="168" t="str">
        <f t="shared" si="25"/>
        <v/>
      </c>
      <c r="CP18" s="168" t="str">
        <f t="shared" si="26"/>
        <v/>
      </c>
      <c r="CQ18" s="294" t="str">
        <f t="shared" si="27"/>
        <v/>
      </c>
      <c r="CR18" s="328" t="str">
        <f t="shared" si="32"/>
        <v/>
      </c>
      <c r="CS18" s="212"/>
      <c r="CT18" s="319"/>
      <c r="DJ18" s="120" t="s">
        <v>42</v>
      </c>
      <c r="DK18" s="172" t="str">
        <f t="shared" ref="DK18:EB18" si="38">IFERROR(INDIRECT("'Bloque "&amp;$D$38&amp;" Semana "&amp;MID(DK15,2,2)&amp;"'"&amp;"!"&amp;"CB17"),"")</f>
        <v/>
      </c>
      <c r="DL18" s="172" t="str">
        <f t="shared" si="38"/>
        <v/>
      </c>
      <c r="DM18" s="172" t="str">
        <f t="shared" si="38"/>
        <v/>
      </c>
      <c r="DN18" s="172" t="str">
        <f t="shared" si="38"/>
        <v/>
      </c>
      <c r="DO18" s="172" t="str">
        <f t="shared" si="38"/>
        <v/>
      </c>
      <c r="DP18" s="172" t="str">
        <f t="shared" si="38"/>
        <v/>
      </c>
      <c r="DQ18" s="172" t="str">
        <f t="shared" si="38"/>
        <v/>
      </c>
      <c r="DR18" s="172" t="str">
        <f t="shared" si="38"/>
        <v/>
      </c>
      <c r="DS18" s="172" t="str">
        <f t="shared" si="38"/>
        <v/>
      </c>
      <c r="DT18" s="172" t="str">
        <f t="shared" si="38"/>
        <v/>
      </c>
      <c r="DU18" s="172" t="str">
        <f t="shared" si="38"/>
        <v/>
      </c>
      <c r="DV18" s="172" t="str">
        <f t="shared" si="38"/>
        <v/>
      </c>
      <c r="DW18" s="172" t="str">
        <f t="shared" si="38"/>
        <v/>
      </c>
      <c r="DX18" s="172" t="str">
        <f t="shared" si="38"/>
        <v/>
      </c>
      <c r="DY18" s="172" t="str">
        <f t="shared" si="38"/>
        <v/>
      </c>
      <c r="DZ18" s="172" t="str">
        <f t="shared" si="38"/>
        <v/>
      </c>
      <c r="EA18" s="172" t="str">
        <f t="shared" si="38"/>
        <v/>
      </c>
      <c r="EB18" s="172" t="str">
        <f t="shared" si="38"/>
        <v/>
      </c>
      <c r="ED18" s="83"/>
      <c r="EE18" s="227" t="str">
        <f t="array" ref="EE18">IF(NOT($D$37=1),IFERROR(INDIRECT("'Bloque "&amp;$D$38&amp;" Semana "&amp;"1"&amp;"'"&amp;"!"&amp;"E37"),""),"S1")</f>
        <v/>
      </c>
      <c r="EF18" s="227" t="str">
        <f t="array" ref="EF18">IF(NOT($D$37=2),IFERROR(INDIRECT("'Bloque "&amp;$D$38&amp;" Semana "&amp;"2"&amp;"'"&amp;"!"&amp;"E37"),""),"S2")</f>
        <v>S2</v>
      </c>
      <c r="EG18" s="227" t="str">
        <f t="array" ref="EG18">IF(NOT($D$37=3),IFERROR(INDIRECT("'Bloque "&amp;$D$38&amp;" Semana "&amp;"3"&amp;"'"&amp;"!"&amp;"E37"),""),"S3")</f>
        <v/>
      </c>
      <c r="EH18" s="227" t="str">
        <f t="array" ref="EH18">IF(NOT($D$37=4),IFERROR(INDIRECT("'Bloque "&amp;$D$38&amp;" Semana "&amp;"4"&amp;"'"&amp;"!"&amp;"E37"),""),"S4")</f>
        <v/>
      </c>
      <c r="EI18" s="227" t="str">
        <f t="array" ref="EI18">IF(NOT($D$37=5),IFERROR(INDIRECT("'Bloque "&amp;$D$38&amp;" Semana "&amp;"5"&amp;"'"&amp;"!"&amp;"E37"),""),"S5")</f>
        <v/>
      </c>
      <c r="EJ18" s="227" t="str">
        <f t="array" ref="EJ18">IF(NOT($D$37=6),IFERROR(INDIRECT("'Bloque "&amp;$D$38&amp;" Semana "&amp;"6"&amp;"'"&amp;"!"&amp;"E37"),""),"S6")</f>
        <v/>
      </c>
      <c r="EK18" s="227" t="str">
        <f t="array" ref="EK18">IF(NOT($D$37=7),IFERROR(INDIRECT("'Bloque "&amp;$D$38&amp;" Semana "&amp;"7"&amp;"'"&amp;"!"&amp;"E37"),""),"S7")</f>
        <v/>
      </c>
      <c r="EL18" s="227" t="str">
        <f t="array" ref="EL18">IF(NOT($D$37=8),IFERROR(INDIRECT("'Bloque "&amp;$D$38&amp;" Semana "&amp;"8"&amp;"'"&amp;"!"&amp;"E37"),""),"S8")</f>
        <v/>
      </c>
      <c r="EM18" s="227" t="str">
        <f t="array" ref="EM18">IF(NOT($D$37=9),IFERROR(INDIRECT("'Bloque "&amp;$D$38&amp;" Semana "&amp;"9"&amp;"'"&amp;"!"&amp;"E37"),""),"S9")</f>
        <v/>
      </c>
      <c r="EN18" s="227" t="str">
        <f t="array" ref="EN18">IF(NOT($D$37=10),IFERROR(INDIRECT("'Bloque "&amp;$D$38&amp;" Semana "&amp;"10"&amp;"'"&amp;"!"&amp;"E37"),""),"S10")</f>
        <v/>
      </c>
      <c r="EO18" s="227" t="str">
        <f t="array" ref="EO18">IF(NOT($D$37=11),IFERROR(INDIRECT("'Bloque "&amp;$D$38&amp;" Semana "&amp;"11"&amp;"'"&amp;"!"&amp;"E37"),""),"S11")</f>
        <v/>
      </c>
      <c r="EP18" s="227" t="str">
        <f t="array" ref="EP18">IF(NOT($D$37=12),IFERROR(INDIRECT("'Bloque "&amp;$D$38&amp;" Semana "&amp;"12"&amp;"'"&amp;"!"&amp;"E37"),""),"S12")</f>
        <v/>
      </c>
      <c r="EQ18" s="227" t="str">
        <f t="array" ref="EQ18">IF(NOT($D$37=13),IFERROR(INDIRECT("'Bloque "&amp;$D$38&amp;" Semana "&amp;"13"&amp;"'"&amp;"!"&amp;"E37"),""),"S13")</f>
        <v/>
      </c>
      <c r="ER18" s="227" t="str">
        <f t="array" ref="ER18">IF(NOT($D$37=14),IFERROR(INDIRECT("'Bloque "&amp;$D$38&amp;" Semana "&amp;"14"&amp;"'"&amp;"!"&amp;"E37"),""),"S14")</f>
        <v/>
      </c>
      <c r="ES18" s="227" t="str">
        <f t="array" ref="ES18">IF(NOT($D$37=15),IFERROR(INDIRECT("'Bloque "&amp;$D$38&amp;" Semana "&amp;"15"&amp;"'"&amp;"!"&amp;"E37"),""),"S15")</f>
        <v/>
      </c>
      <c r="ET18" s="227" t="str">
        <f t="array" ref="ET18">IF(NOT($D$37=16),IFERROR(INDIRECT("'Bloque "&amp;$D$38&amp;" Semana "&amp;"16"&amp;"'"&amp;"!"&amp;"E37"),""),"S16")</f>
        <v/>
      </c>
      <c r="EU18" s="227" t="str">
        <f t="array" ref="EU18">IF(NOT($D$37=17),IFERROR(INDIRECT("'Bloque "&amp;$D$38&amp;" Semana "&amp;"17"&amp;"'"&amp;"!"&amp;"E37"),""),"S17")</f>
        <v/>
      </c>
      <c r="EV18" s="227" t="str">
        <f t="array" ref="EV18">IF(NOT($D$37=18),IFERROR(INDIRECT("'Bloque "&amp;$D$38&amp;" Semana "&amp;"18"&amp;"'"&amp;"!"&amp;"E37"),""),"S18")</f>
        <v/>
      </c>
      <c r="EX18" s="144" t="s">
        <v>288</v>
      </c>
      <c r="EY18" s="108"/>
      <c r="EZ18" s="108"/>
      <c r="FA18" s="108"/>
      <c r="FB18" s="108"/>
      <c r="FC18" s="108"/>
      <c r="FD18" s="108"/>
      <c r="FE18" s="108"/>
      <c r="FF18" s="108"/>
      <c r="FG18" s="108"/>
      <c r="FH18" s="108"/>
      <c r="FI18" s="108"/>
      <c r="FJ18" s="108"/>
      <c r="FK18" s="108"/>
      <c r="FL18" s="108"/>
      <c r="FM18" s="108"/>
      <c r="FN18" s="108"/>
      <c r="FO18" s="108"/>
      <c r="FP18" s="108"/>
      <c r="FQ18" s="208"/>
      <c r="FR18" s="208"/>
      <c r="FS18" s="208"/>
      <c r="FT18" s="208"/>
      <c r="FU18" s="208"/>
      <c r="FV18" s="208"/>
      <c r="FW18" s="208"/>
      <c r="FX18" s="208"/>
      <c r="FY18" s="208"/>
      <c r="FZ18" s="84" t="str">
        <f t="array" ref="FZ18">IF(NOT($D$37=15),IFERROR(INDIRECT("'Bloque "&amp;$D$38&amp;" Semana "&amp;"15"&amp;"'"&amp;"!"&amp;"E37"),""),"S15")</f>
        <v/>
      </c>
      <c r="GA18" s="229" t="str">
        <f t="shared" si="4"/>
        <v/>
      </c>
      <c r="GB18" s="212" t="str">
        <f t="shared" si="5"/>
        <v/>
      </c>
      <c r="GC18" s="84" t="str">
        <f t="array" ref="GC18">IF(NOT($D$37=15),IFERROR(INDIRECT("'Bloque "&amp;$D$38&amp;" Semana "&amp;"15"&amp;"'"&amp;"!"&amp;"E37"),""),"S15")</f>
        <v/>
      </c>
      <c r="GD18" s="229" t="str">
        <f t="shared" si="6"/>
        <v/>
      </c>
      <c r="GE18" s="212" t="str">
        <f t="shared" si="7"/>
        <v/>
      </c>
      <c r="GF18" s="84" t="str">
        <f t="array" ref="GF18">IF(NOT($D$37=15),IFERROR(INDIRECT("'Bloque "&amp;$D$38&amp;" Semana "&amp;"15"&amp;"'"&amp;"!"&amp;"E37"),""),"S15")</f>
        <v/>
      </c>
      <c r="GG18" s="229" t="str">
        <f t="shared" si="8"/>
        <v/>
      </c>
      <c r="GH18" s="212" t="str">
        <f t="shared" si="9"/>
        <v/>
      </c>
    </row>
    <row r="19" ht="27.75" customHeight="1">
      <c r="B19" s="199"/>
      <c r="D19" s="106"/>
      <c r="E19" s="394"/>
      <c r="T19" s="34"/>
      <c r="W19" s="201"/>
      <c r="X19" s="395" t="s">
        <v>21</v>
      </c>
      <c r="Y19" s="396">
        <f>SUMIF(D40:D186,"SQ*",F40:F186)</f>
        <v>6</v>
      </c>
      <c r="Z19" s="396">
        <f>SUMIF(D40:D186,"SQ*",X40:X186)</f>
        <v>4312.5</v>
      </c>
      <c r="AA19" s="397" t="str">
        <f>IFERROR( AVERAGEIF($D$40:$D186,"SQ*",$AB$40:$AB186),"")</f>
        <v/>
      </c>
      <c r="AB19" s="398">
        <f>SUMIF(D40:D186,"SQ*",Z40:Z186)</f>
        <v>33</v>
      </c>
      <c r="AC19" s="399" t="str">
        <f>IFERROR( AVERAGEIF($D$40:$D186,"SQ*",$M$40:$M186),"")</f>
        <v/>
      </c>
      <c r="AE19" s="203"/>
      <c r="AF19" s="204"/>
      <c r="AG19" s="400" t="s">
        <v>289</v>
      </c>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4"/>
      <c r="BZ19" s="333" t="s">
        <v>290</v>
      </c>
      <c r="CA19" s="210"/>
      <c r="CB19" s="210"/>
      <c r="CC19" s="210"/>
      <c r="CD19" s="210"/>
      <c r="CE19" s="210"/>
      <c r="CF19" s="241"/>
      <c r="CG19" s="245"/>
      <c r="CH19" s="289" t="str">
        <f t="array" ref="CH19">IF(NOT($D$37=11),IFERROR(INDIRECT("'Bloque "&amp;$D$38&amp;" Semana "&amp;"11"&amp;"'"&amp;"!"&amp;"E37"),""),"S11")</f>
        <v/>
      </c>
      <c r="CI19" s="316" t="str">
        <f t="shared" si="21"/>
        <v/>
      </c>
      <c r="CJ19" s="224" t="str">
        <f t="shared" si="22"/>
        <v/>
      </c>
      <c r="CK19" s="85" t="str">
        <f t="shared" si="23"/>
        <v/>
      </c>
      <c r="CL19" s="85" t="str">
        <f t="shared" si="30"/>
        <v/>
      </c>
      <c r="CM19" s="168" t="str">
        <f t="shared" si="24"/>
        <v/>
      </c>
      <c r="CN19" s="327" t="str">
        <f t="shared" si="31"/>
        <v/>
      </c>
      <c r="CO19" s="168" t="str">
        <f t="shared" si="25"/>
        <v/>
      </c>
      <c r="CP19" s="168" t="str">
        <f t="shared" si="26"/>
        <v/>
      </c>
      <c r="CQ19" s="294" t="str">
        <f t="shared" si="27"/>
        <v/>
      </c>
      <c r="CR19" s="328" t="str">
        <f t="shared" si="32"/>
        <v/>
      </c>
      <c r="CS19" s="212"/>
      <c r="CT19" s="319"/>
      <c r="DJ19" s="4"/>
      <c r="DK19" s="4"/>
      <c r="DL19" s="4"/>
      <c r="DM19" s="4"/>
      <c r="DN19" s="4"/>
      <c r="DO19" s="4"/>
      <c r="DP19" s="4"/>
      <c r="DQ19" s="4"/>
      <c r="DR19" s="4"/>
      <c r="DS19" s="4"/>
      <c r="DT19" s="4"/>
      <c r="DU19" s="4"/>
      <c r="DV19" s="4"/>
      <c r="DW19" s="4"/>
      <c r="DX19" s="4"/>
      <c r="DY19" s="4"/>
      <c r="DZ19" s="4"/>
      <c r="EA19" s="4"/>
      <c r="EB19" s="4"/>
      <c r="ED19" s="120" t="str">
        <f t="shared" ref="ED19:ED24" si="40">BZ21</f>
        <v>Dominante de Rodilla</v>
      </c>
      <c r="EE19" s="231" t="str">
        <f t="shared" ref="EE19:EV19" si="39">IFERROR(INDIRECT("'Bloque "&amp;$D$38&amp;" Semana "&amp;MID(EE18,2,2)&amp;"'"&amp;"!"&amp;"CE21"),"")</f>
        <v/>
      </c>
      <c r="EF19" s="231" t="str">
        <f t="shared" si="39"/>
        <v/>
      </c>
      <c r="EG19" s="231" t="str">
        <f t="shared" si="39"/>
        <v/>
      </c>
      <c r="EH19" s="231" t="str">
        <f t="shared" si="39"/>
        <v/>
      </c>
      <c r="EI19" s="231" t="str">
        <f t="shared" si="39"/>
        <v/>
      </c>
      <c r="EJ19" s="231" t="str">
        <f t="shared" si="39"/>
        <v/>
      </c>
      <c r="EK19" s="231" t="str">
        <f t="shared" si="39"/>
        <v/>
      </c>
      <c r="EL19" s="231" t="str">
        <f t="shared" si="39"/>
        <v/>
      </c>
      <c r="EM19" s="231" t="str">
        <f t="shared" si="39"/>
        <v/>
      </c>
      <c r="EN19" s="231" t="str">
        <f t="shared" si="39"/>
        <v/>
      </c>
      <c r="EO19" s="231" t="str">
        <f t="shared" si="39"/>
        <v/>
      </c>
      <c r="EP19" s="231" t="str">
        <f t="shared" si="39"/>
        <v/>
      </c>
      <c r="EQ19" s="231" t="str">
        <f t="shared" si="39"/>
        <v/>
      </c>
      <c r="ER19" s="231" t="str">
        <f t="shared" si="39"/>
        <v/>
      </c>
      <c r="ES19" s="231" t="str">
        <f t="shared" si="39"/>
        <v/>
      </c>
      <c r="ET19" s="231" t="str">
        <f t="shared" si="39"/>
        <v/>
      </c>
      <c r="EU19" s="231" t="str">
        <f t="shared" si="39"/>
        <v/>
      </c>
      <c r="EV19" s="231" t="str">
        <f t="shared" si="39"/>
        <v/>
      </c>
      <c r="EX19" s="83"/>
      <c r="EY19" s="227" t="str">
        <f t="array" ref="EY19">IF(NOT($D$37=1),IFERROR(INDIRECT("'Bloque "&amp;$D$38&amp;" Semana "&amp;"1"&amp;"'"&amp;"!"&amp;"E37"),""),"S1")</f>
        <v/>
      </c>
      <c r="EZ19" s="227" t="str">
        <f t="array" ref="EZ19">IF(NOT($D$37=2),IFERROR(INDIRECT("'Bloque "&amp;$D$38&amp;" Semana "&amp;"2"&amp;"'"&amp;"!"&amp;"E37"),""),"S2")</f>
        <v>S2</v>
      </c>
      <c r="FA19" s="227" t="str">
        <f t="array" ref="FA19">IF(NOT($D$37=3),IFERROR(INDIRECT("'Bloque "&amp;$D$38&amp;" Semana "&amp;"3"&amp;"'"&amp;"!"&amp;"E37"),""),"S3")</f>
        <v/>
      </c>
      <c r="FB19" s="227" t="str">
        <f t="array" ref="FB19">IF(NOT($D$37=4),IFERROR(INDIRECT("'Bloque "&amp;$D$38&amp;" Semana "&amp;"4"&amp;"'"&amp;"!"&amp;"E37"),""),"S4")</f>
        <v/>
      </c>
      <c r="FC19" s="227" t="str">
        <f t="array" ref="FC19">IF(NOT($D$37=5),IFERROR(INDIRECT("'Bloque "&amp;$D$38&amp;" Semana "&amp;"5"&amp;"'"&amp;"!"&amp;"E37"),""),"S5")</f>
        <v/>
      </c>
      <c r="FD19" s="227" t="str">
        <f t="array" ref="FD19">IF(NOT($D$37=6),IFERROR(INDIRECT("'Bloque "&amp;$D$38&amp;" Semana "&amp;"6"&amp;"'"&amp;"!"&amp;"E37"),""),"S6")</f>
        <v/>
      </c>
      <c r="FE19" s="227" t="str">
        <f t="array" ref="FE19">IF(NOT($D$37=7),IFERROR(INDIRECT("'Bloque "&amp;$D$38&amp;" Semana "&amp;"7"&amp;"'"&amp;"!"&amp;"E37"),""),"S7")</f>
        <v/>
      </c>
      <c r="FF19" s="227" t="str">
        <f t="array" ref="FF19">IF(NOT($D$37=8),IFERROR(INDIRECT("'Bloque "&amp;$D$38&amp;" Semana "&amp;"8"&amp;"'"&amp;"!"&amp;"E37"),""),"S8")</f>
        <v/>
      </c>
      <c r="FG19" s="227" t="str">
        <f t="array" ref="FG19">IF(NOT($D$37=9),IFERROR(INDIRECT("'Bloque "&amp;$D$38&amp;" Semana "&amp;"9"&amp;"'"&amp;"!"&amp;"E37"),""),"S9")</f>
        <v/>
      </c>
      <c r="FH19" s="227" t="str">
        <f t="array" ref="FH19">IF(NOT($D$37=10),IFERROR(INDIRECT("'Bloque "&amp;$D$38&amp;" Semana "&amp;"10"&amp;"'"&amp;"!"&amp;"E37"),""),"S10")</f>
        <v/>
      </c>
      <c r="FI19" s="227" t="str">
        <f t="array" ref="FI19">IF(NOT($D$37=11),IFERROR(INDIRECT("'Bloque "&amp;$D$38&amp;" Semana "&amp;"11"&amp;"'"&amp;"!"&amp;"E37"),""),"S11")</f>
        <v/>
      </c>
      <c r="FJ19" s="227" t="str">
        <f t="array" ref="FJ19">IF(NOT($D$37=12),IFERROR(INDIRECT("'Bloque "&amp;$D$38&amp;" Semana "&amp;"12"&amp;"'"&amp;"!"&amp;"E37"),""),"S12")</f>
        <v/>
      </c>
      <c r="FK19" s="227" t="str">
        <f t="array" ref="FK19">IF(NOT($D$37=13),IFERROR(INDIRECT("'Bloque "&amp;$D$38&amp;" Semana "&amp;"13"&amp;"'"&amp;"!"&amp;"E37"),""),"S13")</f>
        <v/>
      </c>
      <c r="FL19" s="227" t="str">
        <f t="array" ref="FL19">IF(NOT($D$37=14),IFERROR(INDIRECT("'Bloque "&amp;$D$38&amp;" Semana "&amp;"14"&amp;"'"&amp;"!"&amp;"E37"),""),"S14")</f>
        <v/>
      </c>
      <c r="FM19" s="227" t="str">
        <f t="array" ref="FM19">IF(NOT($D$37=15),IFERROR(INDIRECT("'Bloque "&amp;$D$38&amp;" Semana "&amp;"15"&amp;"'"&amp;"!"&amp;"E37"),""),"S15")</f>
        <v/>
      </c>
      <c r="FN19" s="227" t="str">
        <f t="array" ref="FN19">IF(NOT($D$37=16),IFERROR(INDIRECT("'Bloque "&amp;$D$38&amp;" Semana "&amp;"16"&amp;"'"&amp;"!"&amp;"E37"),""),"S16")</f>
        <v/>
      </c>
      <c r="FO19" s="227" t="str">
        <f t="array" ref="FO19">IF(NOT($D$37=17),IFERROR(INDIRECT("'Bloque "&amp;$D$38&amp;" Semana "&amp;"17"&amp;"'"&amp;"!"&amp;"E37"),""),"S17")</f>
        <v/>
      </c>
      <c r="FP19" s="227" t="str">
        <f t="array" ref="FP19">IF(NOT($D$37=18),IFERROR(INDIRECT("'Bloque "&amp;$D$38&amp;" Semana "&amp;"18"&amp;"'"&amp;"!"&amp;"E37"),""),"S18")</f>
        <v/>
      </c>
      <c r="FQ19" s="208"/>
      <c r="FR19" s="208"/>
      <c r="FS19" s="208"/>
      <c r="FT19" s="208"/>
      <c r="FU19" s="208"/>
      <c r="FV19" s="208"/>
      <c r="FW19" s="208"/>
      <c r="FX19" s="208"/>
      <c r="FY19" s="208"/>
      <c r="FZ19" s="84" t="str">
        <f t="array" ref="FZ19">IF(NOT($D$37=16),IFERROR(INDIRECT("'Bloque "&amp;$D$38&amp;" Semana "&amp;"16"&amp;"'"&amp;"!"&amp;"E37"),""),"S16")</f>
        <v/>
      </c>
      <c r="GA19" s="229" t="str">
        <f t="shared" si="4"/>
        <v/>
      </c>
      <c r="GB19" s="212" t="str">
        <f t="shared" si="5"/>
        <v/>
      </c>
      <c r="GC19" s="84" t="str">
        <f t="array" ref="GC19">IF(NOT($D$37=16),IFERROR(INDIRECT("'Bloque "&amp;$D$38&amp;" Semana "&amp;"16"&amp;"'"&amp;"!"&amp;"E37"),""),"S16")</f>
        <v/>
      </c>
      <c r="GD19" s="229" t="str">
        <f t="shared" si="6"/>
        <v/>
      </c>
      <c r="GE19" s="212" t="str">
        <f t="shared" si="7"/>
        <v/>
      </c>
      <c r="GF19" s="84" t="str">
        <f t="array" ref="GF19">IF(NOT($D$37=16),IFERROR(INDIRECT("'Bloque "&amp;$D$38&amp;" Semana "&amp;"16"&amp;"'"&amp;"!"&amp;"E37"),""),"S16")</f>
        <v/>
      </c>
      <c r="GG19" s="229" t="str">
        <f t="shared" si="8"/>
        <v/>
      </c>
      <c r="GH19" s="212" t="str">
        <f t="shared" si="9"/>
        <v/>
      </c>
    </row>
    <row r="20" ht="27.75" customHeight="1">
      <c r="B20" s="199"/>
      <c r="D20" s="106"/>
      <c r="E20" s="401"/>
      <c r="F20" s="402"/>
      <c r="G20" s="403"/>
      <c r="H20" s="403"/>
      <c r="I20" s="403"/>
      <c r="J20" s="403"/>
      <c r="K20" s="403"/>
      <c r="L20" s="403"/>
      <c r="M20" s="403"/>
      <c r="N20" s="403"/>
      <c r="O20" s="403"/>
      <c r="P20" s="403"/>
      <c r="Q20" s="403"/>
      <c r="R20" s="403"/>
      <c r="S20" s="403"/>
      <c r="T20" s="404"/>
      <c r="W20" s="201"/>
      <c r="X20" s="405" t="s">
        <v>36</v>
      </c>
      <c r="Y20" s="396">
        <f>SUMIF(D40:D186,"BP*",F40:F186)</f>
        <v>10</v>
      </c>
      <c r="Z20" s="396">
        <f>SUMIF(D40:D186,"BP*",X40:X186)</f>
        <v>4012.5</v>
      </c>
      <c r="AA20" s="397" t="str">
        <f>IFERROR( AVERAGEIF($D$40:$D186,"BP*",$AB$40:$AB186),"")</f>
        <v/>
      </c>
      <c r="AB20" s="396">
        <f>SUMIF(D40:D186,"BP*",Z40:Z186)</f>
        <v>49</v>
      </c>
      <c r="AC20" s="399" t="str">
        <f>IFERROR( AVERAGEIF($D$40:$D186,"BP*",$M$40:$M186),"")</f>
        <v/>
      </c>
      <c r="AE20" s="203"/>
      <c r="AF20" s="204"/>
      <c r="AG20" s="406" t="s">
        <v>291</v>
      </c>
      <c r="BW20" s="34"/>
      <c r="BZ20" s="261" t="s">
        <v>292</v>
      </c>
      <c r="CC20" s="83" t="s">
        <v>293</v>
      </c>
      <c r="CD20" s="83" t="s">
        <v>248</v>
      </c>
      <c r="CE20" s="83" t="s">
        <v>294</v>
      </c>
      <c r="CF20" s="262"/>
      <c r="CG20" s="83"/>
      <c r="CH20" s="289" t="str">
        <f t="array" ref="CH20">IF(NOT($D$37=12),IFERROR(INDIRECT("'Bloque "&amp;$D$38&amp;" Semana "&amp;"12"&amp;"'"&amp;"!"&amp;"E37"),""),"S12")</f>
        <v/>
      </c>
      <c r="CI20" s="316" t="str">
        <f t="shared" si="21"/>
        <v/>
      </c>
      <c r="CJ20" s="224" t="str">
        <f t="shared" si="22"/>
        <v/>
      </c>
      <c r="CK20" s="85" t="str">
        <f t="shared" si="23"/>
        <v/>
      </c>
      <c r="CL20" s="85" t="str">
        <f t="shared" si="30"/>
        <v/>
      </c>
      <c r="CM20" s="168" t="str">
        <f t="shared" si="24"/>
        <v/>
      </c>
      <c r="CN20" s="327" t="str">
        <f t="shared" si="31"/>
        <v/>
      </c>
      <c r="CO20" s="168" t="str">
        <f t="shared" si="25"/>
        <v/>
      </c>
      <c r="CP20" s="168" t="str">
        <f t="shared" si="26"/>
        <v/>
      </c>
      <c r="CQ20" s="294" t="str">
        <f t="shared" si="27"/>
        <v/>
      </c>
      <c r="CR20" s="328" t="str">
        <f t="shared" si="32"/>
        <v/>
      </c>
      <c r="CS20" s="212"/>
      <c r="CT20" s="319"/>
      <c r="DE20" s="407"/>
      <c r="DF20" s="407"/>
      <c r="DG20" s="407"/>
      <c r="DH20" s="407"/>
      <c r="DI20" s="407"/>
      <c r="DJ20" s="144" t="s">
        <v>156</v>
      </c>
      <c r="DK20" s="108"/>
      <c r="DL20" s="108"/>
      <c r="DM20" s="108"/>
      <c r="DN20" s="108"/>
      <c r="DO20" s="108"/>
      <c r="DP20" s="108"/>
      <c r="DQ20" s="108"/>
      <c r="DR20" s="108"/>
      <c r="DS20" s="108"/>
      <c r="DT20" s="108"/>
      <c r="DU20" s="108"/>
      <c r="DV20" s="108"/>
      <c r="DW20" s="108"/>
      <c r="DX20" s="108"/>
      <c r="DY20" s="108"/>
      <c r="DZ20" s="108"/>
      <c r="EA20" s="108"/>
      <c r="EB20" s="108"/>
      <c r="EC20" s="407"/>
      <c r="ED20" s="120" t="str">
        <f t="shared" si="40"/>
        <v>Bisagra de Cadera</v>
      </c>
      <c r="EE20" s="231" t="str">
        <f t="shared" ref="EE20:EV20" si="41">IFERROR(INDIRECT("'Bloque "&amp;$D$38&amp;" Semana "&amp;MID(EE18,2,2)&amp;"'"&amp;"!"&amp;"CE22"),"")</f>
        <v/>
      </c>
      <c r="EF20" s="231" t="str">
        <f t="shared" si="41"/>
        <v/>
      </c>
      <c r="EG20" s="231" t="str">
        <f t="shared" si="41"/>
        <v/>
      </c>
      <c r="EH20" s="231" t="str">
        <f t="shared" si="41"/>
        <v/>
      </c>
      <c r="EI20" s="231" t="str">
        <f t="shared" si="41"/>
        <v/>
      </c>
      <c r="EJ20" s="231" t="str">
        <f t="shared" si="41"/>
        <v/>
      </c>
      <c r="EK20" s="231" t="str">
        <f t="shared" si="41"/>
        <v/>
      </c>
      <c r="EL20" s="231" t="str">
        <f t="shared" si="41"/>
        <v/>
      </c>
      <c r="EM20" s="231" t="str">
        <f t="shared" si="41"/>
        <v/>
      </c>
      <c r="EN20" s="231" t="str">
        <f t="shared" si="41"/>
        <v/>
      </c>
      <c r="EO20" s="231" t="str">
        <f t="shared" si="41"/>
        <v/>
      </c>
      <c r="EP20" s="231" t="str">
        <f t="shared" si="41"/>
        <v/>
      </c>
      <c r="EQ20" s="231" t="str">
        <f t="shared" si="41"/>
        <v/>
      </c>
      <c r="ER20" s="231" t="str">
        <f t="shared" si="41"/>
        <v/>
      </c>
      <c r="ES20" s="231" t="str">
        <f t="shared" si="41"/>
        <v/>
      </c>
      <c r="ET20" s="231" t="str">
        <f t="shared" si="41"/>
        <v/>
      </c>
      <c r="EU20" s="231" t="str">
        <f t="shared" si="41"/>
        <v/>
      </c>
      <c r="EV20" s="231" t="str">
        <f t="shared" si="41"/>
        <v/>
      </c>
      <c r="EX20" s="208" t="s">
        <v>4</v>
      </c>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208"/>
      <c r="FU20" s="208"/>
      <c r="FV20" s="208"/>
      <c r="FW20" s="208"/>
      <c r="FX20" s="208"/>
      <c r="FY20" s="208"/>
      <c r="FZ20" s="84" t="str">
        <f t="array" ref="FZ20">IF(NOT($D$37=17),IFERROR(INDIRECT("'Bloque "&amp;$D$38&amp;" Semana "&amp;"17"&amp;"'"&amp;"!"&amp;"E37"),""),"S17")</f>
        <v/>
      </c>
      <c r="GA20" s="229" t="str">
        <f t="shared" si="4"/>
        <v/>
      </c>
      <c r="GB20" s="212" t="str">
        <f t="shared" si="5"/>
        <v/>
      </c>
      <c r="GC20" s="84" t="str">
        <f t="array" ref="GC20">IF(NOT($D$37=17),IFERROR(INDIRECT("'Bloque "&amp;$D$38&amp;" Semana "&amp;"17"&amp;"'"&amp;"!"&amp;"E37"),""),"S17")</f>
        <v/>
      </c>
      <c r="GD20" s="229" t="str">
        <f t="shared" si="6"/>
        <v/>
      </c>
      <c r="GE20" s="212" t="str">
        <f t="shared" si="7"/>
        <v/>
      </c>
      <c r="GF20" s="84" t="str">
        <f t="array" ref="GF20">IF(NOT($D$37=17),IFERROR(INDIRECT("'Bloque "&amp;$D$38&amp;" Semana "&amp;"17"&amp;"'"&amp;"!"&amp;"E37"),""),"S17")</f>
        <v/>
      </c>
      <c r="GG20" s="229" t="str">
        <f t="shared" si="8"/>
        <v/>
      </c>
      <c r="GH20" s="212" t="str">
        <f t="shared" si="9"/>
        <v/>
      </c>
    </row>
    <row r="21" ht="21.75" customHeight="1">
      <c r="B21" s="199"/>
      <c r="D21" s="106"/>
      <c r="E21" s="4"/>
      <c r="F21" s="193"/>
      <c r="U21" s="408"/>
      <c r="V21" s="408"/>
      <c r="W21" s="201"/>
      <c r="X21" s="409" t="s">
        <v>42</v>
      </c>
      <c r="Y21" s="396">
        <f>SUMIF(D40:D186,"DL*",F40:F186)</f>
        <v>3</v>
      </c>
      <c r="Z21" s="396">
        <f>SUMIF(D40:D186,"DL*",X40:X186)</f>
        <v>3105</v>
      </c>
      <c r="AA21" s="397" t="str">
        <f>IFERROR( AVERAGEIF($D$40:$D186,"DL*",$AB$40:$AB186),"")</f>
        <v/>
      </c>
      <c r="AB21" s="396">
        <f>SUMIF(D40:D186,"DL*",Z40:Z186)</f>
        <v>18</v>
      </c>
      <c r="AC21" s="399" t="str">
        <f>IFERROR( AVERAGEIF($D$40:$D186,"DL*",$M$40:$M186),"")</f>
        <v/>
      </c>
      <c r="AE21" s="203"/>
      <c r="AF21" s="204"/>
      <c r="AG21" s="410"/>
      <c r="AH21" s="411"/>
      <c r="AI21" s="391"/>
      <c r="AJ21" s="391"/>
      <c r="AK21" s="391"/>
      <c r="AL21" s="391"/>
      <c r="AM21" s="412" t="s">
        <v>295</v>
      </c>
      <c r="AQ21" s="412" t="s">
        <v>296</v>
      </c>
      <c r="AU21" s="412" t="s">
        <v>297</v>
      </c>
      <c r="AY21" s="412" t="s">
        <v>298</v>
      </c>
      <c r="BC21" s="391"/>
      <c r="BD21" s="391"/>
      <c r="BE21" s="391"/>
      <c r="BF21" s="412" t="s">
        <v>299</v>
      </c>
      <c r="BJ21" s="412" t="s">
        <v>300</v>
      </c>
      <c r="BN21" s="412" t="s">
        <v>301</v>
      </c>
      <c r="BR21" s="391"/>
      <c r="BS21" s="391"/>
      <c r="BT21" s="391"/>
      <c r="BU21" s="413"/>
      <c r="BV21" s="414"/>
      <c r="BW21" s="415"/>
      <c r="BZ21" s="416" t="s">
        <v>302</v>
      </c>
      <c r="CC21" s="417">
        <f t="shared" ref="CC21:CC33" si="44">SUMIF($D$40:$D186,BZ21,$AD$40:$AD186)</f>
        <v>4</v>
      </c>
      <c r="CD21" s="417">
        <f t="shared" ref="CD21:CD33" si="45">SUMIF($D$40:$D186,BZ21,$CC$40:$CC186)</f>
        <v>32</v>
      </c>
      <c r="CE21" s="418">
        <f t="shared" ref="CE21:CE33" si="46">IFERROR( AVERAGEIF($D$40:$D186,BZ21,$CD$40:$CD186),"")</f>
        <v>1</v>
      </c>
      <c r="CF21" s="419"/>
      <c r="CG21" s="418"/>
      <c r="CH21" s="289" t="str">
        <f t="array" ref="CH21">IF(NOT($D$37=13),IFERROR(INDIRECT("'Bloque "&amp;$D$38&amp;" Semana "&amp;"13"&amp;"'"&amp;"!"&amp;"E37"),""),"S13")</f>
        <v/>
      </c>
      <c r="CI21" s="316" t="str">
        <f t="shared" si="21"/>
        <v/>
      </c>
      <c r="CJ21" s="224" t="str">
        <f t="shared" si="22"/>
        <v/>
      </c>
      <c r="CK21" s="85" t="str">
        <f t="shared" si="23"/>
        <v/>
      </c>
      <c r="CL21" s="85" t="str">
        <f t="shared" si="30"/>
        <v/>
      </c>
      <c r="CM21" s="168" t="str">
        <f t="shared" si="24"/>
        <v/>
      </c>
      <c r="CN21" s="327" t="str">
        <f t="shared" si="31"/>
        <v/>
      </c>
      <c r="CO21" s="168" t="str">
        <f t="shared" si="25"/>
        <v/>
      </c>
      <c r="CP21" s="168" t="str">
        <f t="shared" si="26"/>
        <v/>
      </c>
      <c r="CQ21" s="294" t="str">
        <f t="shared" si="27"/>
        <v/>
      </c>
      <c r="CR21" s="328" t="str">
        <f t="shared" si="32"/>
        <v/>
      </c>
      <c r="CS21" s="212"/>
      <c r="CT21" s="319"/>
      <c r="DE21" s="4"/>
      <c r="DJ21" s="83"/>
      <c r="DK21" s="227" t="str">
        <f t="array" ref="DK21">IF(NOT($D$37=1),IFERROR(INDIRECT("'Bloque "&amp;$D$38&amp;" Semana "&amp;"1"&amp;"'"&amp;"!"&amp;"E37"),""),"S1")</f>
        <v/>
      </c>
      <c r="DL21" s="227" t="str">
        <f t="array" ref="DL21">IF(NOT($D$37=2),IFERROR(INDIRECT("'Bloque "&amp;$D$38&amp;" Semana "&amp;"2"&amp;"'"&amp;"!"&amp;"E37"),""),"S2")</f>
        <v>S2</v>
      </c>
      <c r="DM21" s="227" t="str">
        <f t="array" ref="DM21">IF(NOT($D$37=3),IFERROR(INDIRECT("'Bloque "&amp;$D$38&amp;" Semana "&amp;"3"&amp;"'"&amp;"!"&amp;"E37"),""),"S3")</f>
        <v/>
      </c>
      <c r="DN21" s="227" t="str">
        <f t="array" ref="DN21">IF(NOT($D$37=4),IFERROR(INDIRECT("'Bloque "&amp;$D$38&amp;" Semana "&amp;"4"&amp;"'"&amp;"!"&amp;"E37"),""),"S4")</f>
        <v/>
      </c>
      <c r="DO21" s="227" t="str">
        <f t="array" ref="DO21">IF(NOT($D$37=5),IFERROR(INDIRECT("'Bloque "&amp;$D$38&amp;" Semana "&amp;"5"&amp;"'"&amp;"!"&amp;"E37"),""),"S5")</f>
        <v/>
      </c>
      <c r="DP21" s="227" t="str">
        <f t="array" ref="DP21">IF(NOT($D$37=6),IFERROR(INDIRECT("'Bloque "&amp;$D$38&amp;" Semana "&amp;"6"&amp;"'"&amp;"!"&amp;"E37"),""),"S6")</f>
        <v/>
      </c>
      <c r="DQ21" s="227" t="str">
        <f t="array" ref="DQ21">IF(NOT($D$37=7),IFERROR(INDIRECT("'Bloque "&amp;$D$38&amp;" Semana "&amp;"7"&amp;"'"&amp;"!"&amp;"E37"),""),"S7")</f>
        <v/>
      </c>
      <c r="DR21" s="227" t="str">
        <f t="array" ref="DR21">IF(NOT($D$37=8),IFERROR(INDIRECT("'Bloque "&amp;$D$38&amp;" Semana "&amp;"8"&amp;"'"&amp;"!"&amp;"E37"),""),"S8")</f>
        <v/>
      </c>
      <c r="DS21" s="227" t="str">
        <f t="array" ref="DS21">IF(NOT($D$37=9),IFERROR(INDIRECT("'Bloque "&amp;$D$38&amp;" Semana "&amp;"9"&amp;"'"&amp;"!"&amp;"E37"),""),"S9")</f>
        <v/>
      </c>
      <c r="DT21" s="227" t="str">
        <f t="array" ref="DT21">IF(NOT($D$37=10),IFERROR(INDIRECT("'Bloque "&amp;$D$38&amp;" Semana "&amp;"10"&amp;"'"&amp;"!"&amp;"E37"),""),"S10")</f>
        <v/>
      </c>
      <c r="DU21" s="227" t="str">
        <f t="array" ref="DU21">IF(NOT($D$37=11),IFERROR(INDIRECT("'Bloque "&amp;$D$38&amp;" Semana "&amp;"11"&amp;"'"&amp;"!"&amp;"E37"),""),"S11")</f>
        <v/>
      </c>
      <c r="DV21" s="227" t="str">
        <f t="array" ref="DV21">IF(NOT($D$37=12),IFERROR(INDIRECT("'Bloque "&amp;$D$38&amp;" Semana "&amp;"12"&amp;"'"&amp;"!"&amp;"E37"),""),"S12")</f>
        <v/>
      </c>
      <c r="DW21" s="227" t="str">
        <f t="array" ref="DW21">IF(NOT($D$37=13),IFERROR(INDIRECT("'Bloque "&amp;$D$38&amp;" Semana "&amp;"13"&amp;"'"&amp;"!"&amp;"E37"),""),"S13")</f>
        <v/>
      </c>
      <c r="DX21" s="227" t="str">
        <f t="array" ref="DX21">IF(NOT($D$37=14),IFERROR(INDIRECT("'Bloque "&amp;$D$38&amp;" Semana "&amp;"14"&amp;"'"&amp;"!"&amp;"E37"),""),"S14")</f>
        <v/>
      </c>
      <c r="DY21" s="227" t="str">
        <f t="array" ref="DY21">IF(NOT($D$37=15),IFERROR(INDIRECT("'Bloque "&amp;$D$38&amp;" Semana "&amp;"15"&amp;"'"&amp;"!"&amp;"E37"),""),"S15")</f>
        <v/>
      </c>
      <c r="DZ21" s="227" t="str">
        <f t="array" ref="DZ21">IF(NOT($D$37=16),IFERROR(INDIRECT("'Bloque "&amp;$D$38&amp;" Semana "&amp;"16"&amp;"'"&amp;"!"&amp;"E37"),""),"S16")</f>
        <v/>
      </c>
      <c r="EA21" s="227" t="str">
        <f t="array" ref="EA21">IF(NOT($D$37=17),IFERROR(INDIRECT("'Bloque "&amp;$D$38&amp;" Semana "&amp;"17"&amp;"'"&amp;"!"&amp;"E37"),""),"S17")</f>
        <v/>
      </c>
      <c r="EB21" s="227" t="str">
        <f t="array" ref="EB21">IF(NOT($D$37=18),IFERROR(INDIRECT("'Bloque "&amp;$D$38&amp;" Semana "&amp;"18"&amp;"'"&amp;"!"&amp;"E37"),""),"S18")</f>
        <v/>
      </c>
      <c r="ED21" s="120" t="str">
        <f t="shared" si="40"/>
        <v>Empuje Horizontal</v>
      </c>
      <c r="EE21" s="231" t="str">
        <f t="shared" ref="EE21:EV21" si="42">IFERROR(INDIRECT("'Bloque "&amp;$D$38&amp;" Semana "&amp;MID(EE18,2,2)&amp;"'"&amp;"!"&amp;"CE23"),"")</f>
        <v/>
      </c>
      <c r="EF21" s="231" t="str">
        <f t="shared" si="42"/>
        <v/>
      </c>
      <c r="EG21" s="231" t="str">
        <f t="shared" si="42"/>
        <v/>
      </c>
      <c r="EH21" s="231" t="str">
        <f t="shared" si="42"/>
        <v/>
      </c>
      <c r="EI21" s="231" t="str">
        <f t="shared" si="42"/>
        <v/>
      </c>
      <c r="EJ21" s="231" t="str">
        <f t="shared" si="42"/>
        <v/>
      </c>
      <c r="EK21" s="231" t="str">
        <f t="shared" si="42"/>
        <v/>
      </c>
      <c r="EL21" s="231" t="str">
        <f t="shared" si="42"/>
        <v/>
      </c>
      <c r="EM21" s="231" t="str">
        <f t="shared" si="42"/>
        <v/>
      </c>
      <c r="EN21" s="231" t="str">
        <f t="shared" si="42"/>
        <v/>
      </c>
      <c r="EO21" s="231" t="str">
        <f t="shared" si="42"/>
        <v/>
      </c>
      <c r="EP21" s="231" t="str">
        <f t="shared" si="42"/>
        <v/>
      </c>
      <c r="EQ21" s="231" t="str">
        <f t="shared" si="42"/>
        <v/>
      </c>
      <c r="ER21" s="231" t="str">
        <f t="shared" si="42"/>
        <v/>
      </c>
      <c r="ES21" s="231" t="str">
        <f t="shared" si="42"/>
        <v/>
      </c>
      <c r="ET21" s="231" t="str">
        <f t="shared" si="42"/>
        <v/>
      </c>
      <c r="EU21" s="231" t="str">
        <f t="shared" si="42"/>
        <v/>
      </c>
      <c r="EV21" s="231" t="str">
        <f t="shared" si="42"/>
        <v/>
      </c>
      <c r="EX21" s="208" t="s">
        <v>303</v>
      </c>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420" t="str">
        <f t="array" ref="FZ21">IF(NOT($D$37=18),IFERROR(INDIRECT("'Bloque "&amp;$D$38&amp;" Semana "&amp;"18"&amp;"'"&amp;"!"&amp;"E37"),""),"S18")</f>
        <v/>
      </c>
      <c r="GA21" s="229" t="str">
        <f t="shared" si="4"/>
        <v/>
      </c>
      <c r="GB21" s="212" t="str">
        <f t="shared" si="5"/>
        <v/>
      </c>
      <c r="GC21" s="420" t="str">
        <f t="array" ref="GC21">IF(NOT($D$37=18),IFERROR(INDIRECT("'Bloque "&amp;$D$38&amp;" Semana "&amp;"18"&amp;"'"&amp;"!"&amp;"E37"),""),"S18")</f>
        <v/>
      </c>
      <c r="GD21" s="229" t="str">
        <f t="shared" si="6"/>
        <v/>
      </c>
      <c r="GE21" s="212" t="str">
        <f t="shared" si="7"/>
        <v/>
      </c>
      <c r="GF21" s="420" t="str">
        <f t="array" ref="GF21">IF(NOT($D$37=18),IFERROR(INDIRECT("'Bloque "&amp;$D$38&amp;" Semana "&amp;"18"&amp;"'"&amp;"!"&amp;"E37"),""),"S18")</f>
        <v/>
      </c>
      <c r="GG21" s="229" t="str">
        <f t="shared" si="8"/>
        <v/>
      </c>
      <c r="GH21" s="212" t="str">
        <f t="shared" si="9"/>
        <v/>
      </c>
    </row>
    <row r="22">
      <c r="B22" s="199"/>
      <c r="D22" s="106"/>
      <c r="E22" s="421" t="s">
        <v>304</v>
      </c>
      <c r="U22" s="408"/>
      <c r="V22" s="408"/>
      <c r="W22" s="201"/>
      <c r="X22" s="422" t="s">
        <v>105</v>
      </c>
      <c r="Y22" s="423">
        <f t="shared" ref="Y22:Z22" si="43">SUM(Y19:Y21)</f>
        <v>19</v>
      </c>
      <c r="Z22" s="423">
        <f t="shared" si="43"/>
        <v>11430</v>
      </c>
      <c r="AA22" s="424" t="str">
        <f>IFERROR( AVERAGE(AA19:AA21),"")</f>
        <v/>
      </c>
      <c r="AB22" s="425">
        <f>SUM(AB19:AB21)</f>
        <v>100</v>
      </c>
      <c r="AC22" s="426" t="str">
        <f>IFERROR( AVERAGE(AC19:AC21),"")</f>
        <v/>
      </c>
      <c r="AD22" s="427"/>
      <c r="AE22" s="203"/>
      <c r="AF22" s="204"/>
      <c r="AG22" s="428"/>
      <c r="AI22" s="391"/>
      <c r="AJ22" s="412" t="s">
        <v>305</v>
      </c>
      <c r="AM22" s="85"/>
      <c r="AQ22" s="429"/>
      <c r="AU22" s="429"/>
      <c r="AY22" s="429"/>
      <c r="BC22" s="412" t="s">
        <v>306</v>
      </c>
      <c r="BF22" s="429"/>
      <c r="BJ22" s="429"/>
      <c r="BN22" s="429"/>
      <c r="BR22" s="391"/>
      <c r="BS22" s="391"/>
      <c r="BT22" s="391"/>
      <c r="BU22" s="430"/>
      <c r="BV22" s="391"/>
      <c r="BW22" s="431"/>
      <c r="BZ22" s="432" t="s">
        <v>307</v>
      </c>
      <c r="CC22" s="417">
        <f t="shared" si="44"/>
        <v>2</v>
      </c>
      <c r="CD22" s="417">
        <f t="shared" si="45"/>
        <v>12</v>
      </c>
      <c r="CE22" s="418">
        <f t="shared" si="46"/>
        <v>4</v>
      </c>
      <c r="CF22" s="419"/>
      <c r="CG22" s="418"/>
      <c r="CH22" s="289" t="str">
        <f t="array" ref="CH22">IF(NOT($D$37=14),IFERROR(INDIRECT("'Bloque "&amp;$D$38&amp;" Semana "&amp;"14"&amp;"'"&amp;"!"&amp;"E37"),""),"S14")</f>
        <v/>
      </c>
      <c r="CI22" s="316" t="str">
        <f t="shared" si="21"/>
        <v/>
      </c>
      <c r="CJ22" s="224" t="str">
        <f t="shared" si="22"/>
        <v/>
      </c>
      <c r="CK22" s="85" t="str">
        <f t="shared" si="23"/>
        <v/>
      </c>
      <c r="CL22" s="85" t="str">
        <f t="shared" si="30"/>
        <v/>
      </c>
      <c r="CM22" s="168" t="str">
        <f t="shared" si="24"/>
        <v/>
      </c>
      <c r="CN22" s="327" t="str">
        <f t="shared" si="31"/>
        <v/>
      </c>
      <c r="CO22" s="168" t="str">
        <f t="shared" si="25"/>
        <v/>
      </c>
      <c r="CP22" s="168" t="str">
        <f t="shared" si="26"/>
        <v/>
      </c>
      <c r="CQ22" s="294" t="str">
        <f t="shared" si="27"/>
        <v/>
      </c>
      <c r="CR22" s="328" t="str">
        <f t="shared" si="32"/>
        <v/>
      </c>
      <c r="CS22" s="212"/>
      <c r="CT22" s="319"/>
      <c r="DE22" s="4"/>
      <c r="DJ22" s="120" t="s">
        <v>21</v>
      </c>
      <c r="DK22" s="93" t="str">
        <f t="shared" ref="DK22:EB22" si="47">IFERROR(INDIRECT("'Bloque "&amp;$D$38&amp;" Semana "&amp;MID(DK15,2,2)&amp;"'"&amp;"!"&amp;"CE15"),"")</f>
        <v/>
      </c>
      <c r="DL22" s="93" t="str">
        <f t="shared" si="47"/>
        <v/>
      </c>
      <c r="DM22" s="93" t="str">
        <f t="shared" si="47"/>
        <v/>
      </c>
      <c r="DN22" s="93" t="str">
        <f t="shared" si="47"/>
        <v/>
      </c>
      <c r="DO22" s="93" t="str">
        <f t="shared" si="47"/>
        <v/>
      </c>
      <c r="DP22" s="93" t="str">
        <f t="shared" si="47"/>
        <v/>
      </c>
      <c r="DQ22" s="93" t="str">
        <f t="shared" si="47"/>
        <v/>
      </c>
      <c r="DR22" s="93" t="str">
        <f t="shared" si="47"/>
        <v/>
      </c>
      <c r="DS22" s="93" t="str">
        <f t="shared" si="47"/>
        <v/>
      </c>
      <c r="DT22" s="93" t="str">
        <f t="shared" si="47"/>
        <v/>
      </c>
      <c r="DU22" s="93" t="str">
        <f t="shared" si="47"/>
        <v/>
      </c>
      <c r="DV22" s="93" t="str">
        <f t="shared" si="47"/>
        <v/>
      </c>
      <c r="DW22" s="93" t="str">
        <f t="shared" si="47"/>
        <v/>
      </c>
      <c r="DX22" s="93" t="str">
        <f t="shared" si="47"/>
        <v/>
      </c>
      <c r="DY22" s="93" t="str">
        <f t="shared" si="47"/>
        <v/>
      </c>
      <c r="DZ22" s="93" t="str">
        <f t="shared" si="47"/>
        <v/>
      </c>
      <c r="EA22" s="93" t="str">
        <f t="shared" si="47"/>
        <v/>
      </c>
      <c r="EB22" s="93" t="str">
        <f t="shared" si="47"/>
        <v/>
      </c>
      <c r="ED22" s="120" t="str">
        <f t="shared" si="40"/>
        <v>Empuje Vertical</v>
      </c>
      <c r="EE22" s="269" t="str">
        <f t="shared" ref="EE22:EV22" si="48">IFERROR(INDIRECT("'Bloque "&amp;$D$38&amp;" Semana "&amp;MID(EE18,2,2)&amp;"'"&amp;"!"&amp;"CE24"),"")</f>
        <v/>
      </c>
      <c r="EF22" s="269" t="str">
        <f t="shared" si="48"/>
        <v/>
      </c>
      <c r="EG22" s="269" t="str">
        <f t="shared" si="48"/>
        <v/>
      </c>
      <c r="EH22" s="269" t="str">
        <f t="shared" si="48"/>
        <v/>
      </c>
      <c r="EI22" s="269" t="str">
        <f t="shared" si="48"/>
        <v/>
      </c>
      <c r="EJ22" s="269" t="str">
        <f t="shared" si="48"/>
        <v/>
      </c>
      <c r="EK22" s="269" t="str">
        <f t="shared" si="48"/>
        <v/>
      </c>
      <c r="EL22" s="269" t="str">
        <f t="shared" si="48"/>
        <v/>
      </c>
      <c r="EM22" s="269" t="str">
        <f t="shared" si="48"/>
        <v/>
      </c>
      <c r="EN22" s="269" t="str">
        <f t="shared" si="48"/>
        <v/>
      </c>
      <c r="EO22" s="269" t="str">
        <f t="shared" si="48"/>
        <v/>
      </c>
      <c r="EP22" s="269" t="str">
        <f t="shared" si="48"/>
        <v/>
      </c>
      <c r="EQ22" s="269" t="str">
        <f t="shared" si="48"/>
        <v/>
      </c>
      <c r="ER22" s="269" t="str">
        <f t="shared" si="48"/>
        <v/>
      </c>
      <c r="ES22" s="269" t="str">
        <f t="shared" si="48"/>
        <v/>
      </c>
      <c r="ET22" s="269" t="str">
        <f t="shared" si="48"/>
        <v/>
      </c>
      <c r="EU22" s="269" t="str">
        <f t="shared" si="48"/>
        <v/>
      </c>
      <c r="EV22" s="269" t="str">
        <f t="shared" si="48"/>
        <v/>
      </c>
      <c r="EX22" s="208" t="s">
        <v>308</v>
      </c>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row>
    <row r="23">
      <c r="B23" s="199"/>
      <c r="D23" s="106"/>
      <c r="U23" s="408"/>
      <c r="V23" s="408"/>
      <c r="W23" s="201"/>
      <c r="X23" s="433" t="s">
        <v>290</v>
      </c>
      <c r="Y23" s="434" t="s">
        <v>286</v>
      </c>
      <c r="Z23" s="435" t="s">
        <v>294</v>
      </c>
      <c r="AA23" s="436" t="s">
        <v>248</v>
      </c>
      <c r="AB23" s="437"/>
      <c r="AC23" s="438"/>
      <c r="AD23" s="439"/>
      <c r="AE23" s="203"/>
      <c r="AF23" s="204"/>
      <c r="AG23" s="440"/>
      <c r="AH23" s="413"/>
      <c r="AI23" s="391"/>
      <c r="AJ23" s="391"/>
      <c r="AK23" s="441"/>
      <c r="AL23" s="441"/>
      <c r="AM23" s="412" t="s">
        <v>309</v>
      </c>
      <c r="AQ23" s="412" t="s">
        <v>310</v>
      </c>
      <c r="AU23" s="412" t="s">
        <v>311</v>
      </c>
      <c r="AY23" s="412" t="s">
        <v>312</v>
      </c>
      <c r="BC23" s="411"/>
      <c r="BD23" s="411"/>
      <c r="BE23" s="411"/>
      <c r="BF23" s="411"/>
      <c r="BG23" s="411"/>
      <c r="BH23" s="411"/>
      <c r="BI23" s="411"/>
      <c r="BJ23" s="411"/>
      <c r="BK23" s="411"/>
      <c r="BL23" s="411"/>
      <c r="BM23" s="411"/>
      <c r="BN23" s="391"/>
      <c r="BO23" s="391"/>
      <c r="BP23" s="391"/>
      <c r="BQ23" s="391"/>
      <c r="BR23" s="391"/>
      <c r="BS23" s="391"/>
      <c r="BT23" s="391"/>
      <c r="BU23" s="430"/>
      <c r="BV23" s="391"/>
      <c r="BW23" s="431"/>
      <c r="BZ23" s="442" t="s">
        <v>313</v>
      </c>
      <c r="CC23" s="417">
        <f t="shared" si="44"/>
        <v>7</v>
      </c>
      <c r="CD23" s="417">
        <f t="shared" si="45"/>
        <v>74</v>
      </c>
      <c r="CE23" s="418">
        <f t="shared" si="46"/>
        <v>1</v>
      </c>
      <c r="CF23" s="419"/>
      <c r="CG23" s="418"/>
      <c r="CH23" s="289" t="str">
        <f t="array" ref="CH23">IF(NOT($D$37=15),IFERROR(INDIRECT("'Bloque "&amp;$D$38&amp;" Semana "&amp;"15"&amp;"'"&amp;"!"&amp;"E37"),""),"S15")</f>
        <v/>
      </c>
      <c r="CI23" s="316" t="str">
        <f t="shared" si="21"/>
        <v/>
      </c>
      <c r="CJ23" s="224" t="str">
        <f t="shared" si="22"/>
        <v/>
      </c>
      <c r="CK23" s="85" t="str">
        <f t="shared" si="23"/>
        <v/>
      </c>
      <c r="CL23" s="85" t="str">
        <f t="shared" si="30"/>
        <v/>
      </c>
      <c r="CM23" s="168" t="str">
        <f t="shared" si="24"/>
        <v/>
      </c>
      <c r="CN23" s="327" t="str">
        <f t="shared" si="31"/>
        <v/>
      </c>
      <c r="CO23" s="168" t="str">
        <f t="shared" si="25"/>
        <v/>
      </c>
      <c r="CP23" s="168" t="str">
        <f t="shared" si="26"/>
        <v/>
      </c>
      <c r="CQ23" s="294" t="str">
        <f t="shared" si="27"/>
        <v/>
      </c>
      <c r="CR23" s="328" t="str">
        <f t="shared" si="32"/>
        <v/>
      </c>
      <c r="CS23" s="212"/>
      <c r="CT23" s="319"/>
      <c r="DE23" s="4"/>
      <c r="DJ23" s="120" t="s">
        <v>36</v>
      </c>
      <c r="DK23" s="93" t="str">
        <f t="shared" ref="DK23:EB23" si="49">IFERROR(INDIRECT("'Bloque "&amp;$D$38&amp;" Semana "&amp;MID(DK15,2,2)&amp;"'"&amp;"!"&amp;"CE16"),"")</f>
        <v/>
      </c>
      <c r="DL23" s="93" t="str">
        <f t="shared" si="49"/>
        <v/>
      </c>
      <c r="DM23" s="93" t="str">
        <f t="shared" si="49"/>
        <v/>
      </c>
      <c r="DN23" s="93" t="str">
        <f t="shared" si="49"/>
        <v/>
      </c>
      <c r="DO23" s="93" t="str">
        <f t="shared" si="49"/>
        <v/>
      </c>
      <c r="DP23" s="93" t="str">
        <f t="shared" si="49"/>
        <v/>
      </c>
      <c r="DQ23" s="93" t="str">
        <f t="shared" si="49"/>
        <v/>
      </c>
      <c r="DR23" s="93" t="str">
        <f t="shared" si="49"/>
        <v/>
      </c>
      <c r="DS23" s="93" t="str">
        <f t="shared" si="49"/>
        <v/>
      </c>
      <c r="DT23" s="93" t="str">
        <f t="shared" si="49"/>
        <v/>
      </c>
      <c r="DU23" s="93" t="str">
        <f t="shared" si="49"/>
        <v/>
      </c>
      <c r="DV23" s="93" t="str">
        <f t="shared" si="49"/>
        <v/>
      </c>
      <c r="DW23" s="93" t="str">
        <f t="shared" si="49"/>
        <v/>
      </c>
      <c r="DX23" s="93" t="str">
        <f t="shared" si="49"/>
        <v/>
      </c>
      <c r="DY23" s="93" t="str">
        <f t="shared" si="49"/>
        <v/>
      </c>
      <c r="DZ23" s="93" t="str">
        <f t="shared" si="49"/>
        <v/>
      </c>
      <c r="EA23" s="93" t="str">
        <f t="shared" si="49"/>
        <v/>
      </c>
      <c r="EB23" s="93" t="str">
        <f t="shared" si="49"/>
        <v/>
      </c>
      <c r="ED23" s="120" t="str">
        <f t="shared" si="40"/>
        <v>Tracción Horizontal</v>
      </c>
      <c r="EE23" s="269" t="str">
        <f t="shared" ref="EE23:EV23" si="50">IFERROR(INDIRECT("'Bloque "&amp;$D$38&amp;" Semana "&amp;MID(EE18,2,2)&amp;"'"&amp;"!"&amp;"CE25"),"")</f>
        <v/>
      </c>
      <c r="EF23" s="269" t="str">
        <f t="shared" si="50"/>
        <v/>
      </c>
      <c r="EG23" s="269" t="str">
        <f t="shared" si="50"/>
        <v/>
      </c>
      <c r="EH23" s="269" t="str">
        <f t="shared" si="50"/>
        <v/>
      </c>
      <c r="EI23" s="269" t="str">
        <f t="shared" si="50"/>
        <v/>
      </c>
      <c r="EJ23" s="269" t="str">
        <f t="shared" si="50"/>
        <v/>
      </c>
      <c r="EK23" s="269" t="str">
        <f t="shared" si="50"/>
        <v/>
      </c>
      <c r="EL23" s="269" t="str">
        <f t="shared" si="50"/>
        <v/>
      </c>
      <c r="EM23" s="269" t="str">
        <f t="shared" si="50"/>
        <v/>
      </c>
      <c r="EN23" s="269" t="str">
        <f t="shared" si="50"/>
        <v/>
      </c>
      <c r="EO23" s="269" t="str">
        <f t="shared" si="50"/>
        <v/>
      </c>
      <c r="EP23" s="269" t="str">
        <f t="shared" si="50"/>
        <v/>
      </c>
      <c r="EQ23" s="269" t="str">
        <f t="shared" si="50"/>
        <v/>
      </c>
      <c r="ER23" s="269" t="str">
        <f t="shared" si="50"/>
        <v/>
      </c>
      <c r="ES23" s="269" t="str">
        <f t="shared" si="50"/>
        <v/>
      </c>
      <c r="ET23" s="269" t="str">
        <f t="shared" si="50"/>
        <v/>
      </c>
      <c r="EU23" s="269" t="str">
        <f t="shared" si="50"/>
        <v/>
      </c>
      <c r="EV23" s="269" t="str">
        <f t="shared" si="50"/>
        <v/>
      </c>
      <c r="EX23" s="208" t="s">
        <v>314</v>
      </c>
      <c r="EY23" s="208"/>
      <c r="EZ23" s="208"/>
      <c r="FA23" s="208"/>
      <c r="FB23" s="208"/>
      <c r="FC23" s="208"/>
      <c r="FD23" s="208"/>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row>
    <row r="24">
      <c r="B24" s="199"/>
      <c r="D24" s="106"/>
      <c r="U24" s="408"/>
      <c r="V24" s="408"/>
      <c r="W24" s="201"/>
      <c r="X24" s="443" t="s">
        <v>302</v>
      </c>
      <c r="Y24" s="444">
        <f t="shared" ref="Y24:Y36" si="53">SUMIF($D$40:$D186,X24,$F$40:$F186)</f>
        <v>13</v>
      </c>
      <c r="Z24" s="398">
        <f t="shared" ref="Z24:Z36" si="54">IFERROR( AVERAGEIF($D$40:$D186,X24,$K$40:$K186),"")</f>
        <v>1.75</v>
      </c>
      <c r="AA24" s="445">
        <f t="shared" ref="AA24:AA36" si="55">SUMIF($D$40:$D186,X24,$Z$40:$Z186)</f>
        <v>134</v>
      </c>
      <c r="AB24" s="446"/>
      <c r="AC24" s="212"/>
      <c r="AE24" s="203"/>
      <c r="AF24" s="204"/>
      <c r="AG24" s="428"/>
      <c r="AI24" s="391"/>
      <c r="AJ24" s="412" t="s">
        <v>315</v>
      </c>
      <c r="AM24" s="85"/>
      <c r="AQ24" s="85"/>
      <c r="AU24" s="429"/>
      <c r="AY24" s="429"/>
      <c r="BC24" s="412"/>
      <c r="BF24" s="411"/>
      <c r="BG24" s="411"/>
      <c r="BH24" s="411"/>
      <c r="BI24" s="411"/>
      <c r="BJ24" s="411"/>
      <c r="BK24" s="411"/>
      <c r="BL24" s="411"/>
      <c r="BM24" s="411"/>
      <c r="BN24" s="391"/>
      <c r="BO24" s="391"/>
      <c r="BP24" s="391"/>
      <c r="BQ24" s="391"/>
      <c r="BR24" s="391"/>
      <c r="BS24" s="391"/>
      <c r="BT24" s="391"/>
      <c r="BU24" s="430"/>
      <c r="BV24" s="391"/>
      <c r="BW24" s="431"/>
      <c r="BZ24" s="447" t="s">
        <v>316</v>
      </c>
      <c r="CC24" s="417">
        <f t="shared" si="44"/>
        <v>3</v>
      </c>
      <c r="CD24" s="417">
        <f t="shared" si="45"/>
        <v>19</v>
      </c>
      <c r="CE24" s="418">
        <f t="shared" si="46"/>
        <v>0.3333333333</v>
      </c>
      <c r="CF24" s="419"/>
      <c r="CG24" s="418"/>
      <c r="CH24" s="289" t="str">
        <f t="array" ref="CH24">IF(NOT($D$37=16),IFERROR(INDIRECT("'Bloque "&amp;$D$38&amp;" Semana "&amp;"16"&amp;"'"&amp;"!"&amp;"E37"),""),"S16")</f>
        <v/>
      </c>
      <c r="CI24" s="316" t="str">
        <f t="shared" si="21"/>
        <v/>
      </c>
      <c r="CJ24" s="224" t="str">
        <f t="shared" si="22"/>
        <v/>
      </c>
      <c r="CK24" s="85" t="str">
        <f t="shared" si="23"/>
        <v/>
      </c>
      <c r="CL24" s="85" t="str">
        <f t="shared" si="30"/>
        <v/>
      </c>
      <c r="CM24" s="168" t="str">
        <f t="shared" si="24"/>
        <v/>
      </c>
      <c r="CN24" s="327" t="str">
        <f t="shared" si="31"/>
        <v/>
      </c>
      <c r="CO24" s="168" t="str">
        <f t="shared" si="25"/>
        <v/>
      </c>
      <c r="CP24" s="168" t="str">
        <f t="shared" si="26"/>
        <v/>
      </c>
      <c r="CQ24" s="294" t="str">
        <f t="shared" si="27"/>
        <v/>
      </c>
      <c r="CR24" s="328" t="str">
        <f t="shared" si="32"/>
        <v/>
      </c>
      <c r="CS24" s="212"/>
      <c r="CT24" s="319"/>
      <c r="DE24" s="4"/>
      <c r="DJ24" s="120" t="s">
        <v>42</v>
      </c>
      <c r="DK24" s="93" t="str">
        <f t="shared" ref="DK24:EB24" si="51">IFERROR(INDIRECT("'Bloque "&amp;$D$38&amp;" Semana "&amp;MID(DK15,2,2)&amp;"'"&amp;"!"&amp;"CE17"),"")</f>
        <v/>
      </c>
      <c r="DL24" s="93" t="str">
        <f t="shared" si="51"/>
        <v/>
      </c>
      <c r="DM24" s="93" t="str">
        <f t="shared" si="51"/>
        <v/>
      </c>
      <c r="DN24" s="93" t="str">
        <f t="shared" si="51"/>
        <v/>
      </c>
      <c r="DO24" s="93" t="str">
        <f t="shared" si="51"/>
        <v/>
      </c>
      <c r="DP24" s="93" t="str">
        <f t="shared" si="51"/>
        <v/>
      </c>
      <c r="DQ24" s="93" t="str">
        <f t="shared" si="51"/>
        <v/>
      </c>
      <c r="DR24" s="93" t="str">
        <f t="shared" si="51"/>
        <v/>
      </c>
      <c r="DS24" s="93" t="str">
        <f t="shared" si="51"/>
        <v/>
      </c>
      <c r="DT24" s="93" t="str">
        <f t="shared" si="51"/>
        <v/>
      </c>
      <c r="DU24" s="93" t="str">
        <f t="shared" si="51"/>
        <v/>
      </c>
      <c r="DV24" s="93" t="str">
        <f t="shared" si="51"/>
        <v/>
      </c>
      <c r="DW24" s="93" t="str">
        <f t="shared" si="51"/>
        <v/>
      </c>
      <c r="DX24" s="93" t="str">
        <f t="shared" si="51"/>
        <v/>
      </c>
      <c r="DY24" s="93" t="str">
        <f t="shared" si="51"/>
        <v/>
      </c>
      <c r="DZ24" s="93" t="str">
        <f t="shared" si="51"/>
        <v/>
      </c>
      <c r="EA24" s="93" t="str">
        <f t="shared" si="51"/>
        <v/>
      </c>
      <c r="EB24" s="93" t="str">
        <f t="shared" si="51"/>
        <v/>
      </c>
      <c r="ED24" s="120" t="str">
        <f t="shared" si="40"/>
        <v>Tracción Vertical</v>
      </c>
      <c r="EE24" s="269" t="str">
        <f t="shared" ref="EE24:EV24" si="52">IFERROR(INDIRECT("'Bloque "&amp;$D$38&amp;" Semana "&amp;MID(EE18,2,2)&amp;"'"&amp;"!"&amp;"CE26"),"")</f>
        <v/>
      </c>
      <c r="EF24" s="269" t="str">
        <f t="shared" si="52"/>
        <v/>
      </c>
      <c r="EG24" s="269" t="str">
        <f t="shared" si="52"/>
        <v/>
      </c>
      <c r="EH24" s="269" t="str">
        <f t="shared" si="52"/>
        <v/>
      </c>
      <c r="EI24" s="269" t="str">
        <f t="shared" si="52"/>
        <v/>
      </c>
      <c r="EJ24" s="269" t="str">
        <f t="shared" si="52"/>
        <v/>
      </c>
      <c r="EK24" s="269" t="str">
        <f t="shared" si="52"/>
        <v/>
      </c>
      <c r="EL24" s="269" t="str">
        <f t="shared" si="52"/>
        <v/>
      </c>
      <c r="EM24" s="269" t="str">
        <f t="shared" si="52"/>
        <v/>
      </c>
      <c r="EN24" s="269" t="str">
        <f t="shared" si="52"/>
        <v/>
      </c>
      <c r="EO24" s="269" t="str">
        <f t="shared" si="52"/>
        <v/>
      </c>
      <c r="EP24" s="269" t="str">
        <f t="shared" si="52"/>
        <v/>
      </c>
      <c r="EQ24" s="269" t="str">
        <f t="shared" si="52"/>
        <v/>
      </c>
      <c r="ER24" s="269" t="str">
        <f t="shared" si="52"/>
        <v/>
      </c>
      <c r="ES24" s="269" t="str">
        <f t="shared" si="52"/>
        <v/>
      </c>
      <c r="ET24" s="269" t="str">
        <f t="shared" si="52"/>
        <v/>
      </c>
      <c r="EU24" s="269" t="str">
        <f t="shared" si="52"/>
        <v/>
      </c>
      <c r="EV24" s="269" t="str">
        <f t="shared" si="52"/>
        <v/>
      </c>
      <c r="EX24" s="208"/>
      <c r="EY24" s="208"/>
      <c r="EZ24" s="208"/>
      <c r="FA24" s="208"/>
      <c r="FB24" s="208"/>
      <c r="FC24" s="208"/>
      <c r="FD24" s="208"/>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row>
    <row r="25">
      <c r="B25" s="199"/>
      <c r="D25" s="106"/>
      <c r="E25" s="448" t="s">
        <v>148</v>
      </c>
      <c r="U25" s="408"/>
      <c r="V25" s="408"/>
      <c r="W25" s="201"/>
      <c r="X25" s="449" t="s">
        <v>307</v>
      </c>
      <c r="Y25" s="444">
        <f t="shared" si="53"/>
        <v>3</v>
      </c>
      <c r="Z25" s="398">
        <f t="shared" si="54"/>
        <v>2</v>
      </c>
      <c r="AA25" s="445">
        <f t="shared" si="55"/>
        <v>18</v>
      </c>
      <c r="AB25" s="446"/>
      <c r="AC25" s="212"/>
      <c r="AE25" s="203"/>
      <c r="AF25" s="204"/>
      <c r="AG25" s="450"/>
      <c r="AH25" s="451"/>
      <c r="AI25" s="414"/>
      <c r="AJ25" s="414"/>
      <c r="AK25" s="414"/>
      <c r="AL25" s="414"/>
      <c r="AM25" s="414"/>
      <c r="AN25" s="414"/>
      <c r="AO25" s="414"/>
      <c r="AP25" s="414"/>
      <c r="AQ25" s="414"/>
      <c r="AR25" s="414"/>
      <c r="AS25" s="414"/>
      <c r="AT25" s="414"/>
      <c r="AU25" s="414"/>
      <c r="AV25" s="414"/>
      <c r="AW25" s="414"/>
      <c r="AX25" s="414"/>
      <c r="AY25" s="391"/>
      <c r="AZ25" s="391"/>
      <c r="BA25" s="391"/>
      <c r="BB25" s="391"/>
      <c r="BC25" s="391"/>
      <c r="BD25" s="391"/>
      <c r="BE25" s="391"/>
      <c r="BF25" s="391"/>
      <c r="BG25" s="391"/>
      <c r="BH25" s="391"/>
      <c r="BI25" s="391"/>
      <c r="BJ25" s="391"/>
      <c r="BK25" s="391"/>
      <c r="BL25" s="391"/>
      <c r="BM25" s="391"/>
      <c r="BN25" s="391"/>
      <c r="BO25" s="391"/>
      <c r="BP25" s="391"/>
      <c r="BQ25" s="391"/>
      <c r="BR25" s="391"/>
      <c r="BS25" s="391"/>
      <c r="BT25" s="391"/>
      <c r="BU25" s="391"/>
      <c r="BV25" s="391"/>
      <c r="BW25" s="431"/>
      <c r="BZ25" s="452" t="s">
        <v>317</v>
      </c>
      <c r="CC25" s="417">
        <f t="shared" si="44"/>
        <v>6</v>
      </c>
      <c r="CD25" s="417">
        <f t="shared" si="45"/>
        <v>50</v>
      </c>
      <c r="CE25" s="418">
        <f t="shared" si="46"/>
        <v>0.5</v>
      </c>
      <c r="CF25" s="419"/>
      <c r="CG25" s="418"/>
      <c r="CH25" s="289" t="str">
        <f t="array" ref="CH25">IF(NOT($D$37=17),IFERROR(INDIRECT("'Bloque "&amp;$D$38&amp;" Semana "&amp;"17"&amp;"'"&amp;"!"&amp;"E37"),""),"S17")</f>
        <v/>
      </c>
      <c r="CI25" s="316" t="str">
        <f t="shared" si="21"/>
        <v/>
      </c>
      <c r="CJ25" s="224" t="str">
        <f t="shared" si="22"/>
        <v/>
      </c>
      <c r="CK25" s="85" t="str">
        <f t="shared" si="23"/>
        <v/>
      </c>
      <c r="CL25" s="85" t="str">
        <f t="shared" si="30"/>
        <v/>
      </c>
      <c r="CM25" s="168" t="str">
        <f t="shared" si="24"/>
        <v/>
      </c>
      <c r="CN25" s="327" t="str">
        <f t="shared" si="31"/>
        <v/>
      </c>
      <c r="CO25" s="168" t="str">
        <f t="shared" si="25"/>
        <v/>
      </c>
      <c r="CP25" s="168" t="str">
        <f t="shared" si="26"/>
        <v/>
      </c>
      <c r="CQ25" s="294" t="str">
        <f t="shared" si="27"/>
        <v/>
      </c>
      <c r="CR25" s="328" t="str">
        <f t="shared" si="32"/>
        <v/>
      </c>
      <c r="CS25" s="212"/>
      <c r="CT25" s="319"/>
      <c r="DE25" s="4"/>
      <c r="DJ25" s="453" t="s">
        <v>105</v>
      </c>
      <c r="DK25" s="454" t="str">
        <f t="shared" ref="DK25:EB25" si="56">IFERROR(INDIRECT("'Bloque "&amp;$D$38&amp;" Semana "&amp;MID(DK15,2,2)&amp;"'"&amp;"!"&amp;"CE18"),"")</f>
        <v/>
      </c>
      <c r="DL25" s="454" t="str">
        <f t="shared" si="56"/>
        <v/>
      </c>
      <c r="DM25" s="454" t="str">
        <f t="shared" si="56"/>
        <v/>
      </c>
      <c r="DN25" s="454" t="str">
        <f t="shared" si="56"/>
        <v/>
      </c>
      <c r="DO25" s="454" t="str">
        <f t="shared" si="56"/>
        <v/>
      </c>
      <c r="DP25" s="454" t="str">
        <f t="shared" si="56"/>
        <v/>
      </c>
      <c r="DQ25" s="454" t="str">
        <f t="shared" si="56"/>
        <v/>
      </c>
      <c r="DR25" s="454" t="str">
        <f t="shared" si="56"/>
        <v/>
      </c>
      <c r="DS25" s="454" t="str">
        <f t="shared" si="56"/>
        <v/>
      </c>
      <c r="DT25" s="454" t="str">
        <f t="shared" si="56"/>
        <v/>
      </c>
      <c r="DU25" s="454" t="str">
        <f t="shared" si="56"/>
        <v/>
      </c>
      <c r="DV25" s="454" t="str">
        <f t="shared" si="56"/>
        <v/>
      </c>
      <c r="DW25" s="454" t="str">
        <f t="shared" si="56"/>
        <v/>
      </c>
      <c r="DX25" s="454" t="str">
        <f t="shared" si="56"/>
        <v/>
      </c>
      <c r="DY25" s="454" t="str">
        <f t="shared" si="56"/>
        <v/>
      </c>
      <c r="DZ25" s="454" t="str">
        <f t="shared" si="56"/>
        <v/>
      </c>
      <c r="EA25" s="454" t="str">
        <f t="shared" si="56"/>
        <v/>
      </c>
      <c r="EB25" s="454" t="str">
        <f t="shared" si="56"/>
        <v/>
      </c>
      <c r="ED25" s="120"/>
      <c r="EE25" s="269"/>
      <c r="EF25" s="269"/>
      <c r="EG25" s="269"/>
      <c r="EH25" s="269"/>
      <c r="EI25" s="269"/>
      <c r="EJ25" s="269"/>
      <c r="EK25" s="269"/>
      <c r="EL25" s="269"/>
      <c r="EM25" s="269"/>
      <c r="EN25" s="269"/>
      <c r="EO25" s="269"/>
      <c r="EP25" s="269"/>
      <c r="EQ25" s="269"/>
      <c r="ER25" s="269"/>
      <c r="ES25" s="269"/>
      <c r="ET25" s="269"/>
      <c r="EU25" s="269"/>
      <c r="EV25" s="269"/>
      <c r="EX25" s="208"/>
      <c r="EY25" s="208"/>
      <c r="EZ25" s="208"/>
      <c r="FA25" s="208"/>
      <c r="FB25" s="208"/>
      <c r="FC25" s="208"/>
      <c r="FD25" s="208"/>
      <c r="FE25" s="208"/>
      <c r="FF25" s="208"/>
      <c r="FG25" s="208"/>
      <c r="FH25" s="208"/>
      <c r="FI25" s="208"/>
      <c r="FJ25" s="208"/>
      <c r="FK25" s="208"/>
      <c r="FL25" s="208"/>
      <c r="FM25" s="208"/>
      <c r="FN25" s="208"/>
      <c r="FO25" s="208"/>
      <c r="FP25" s="208"/>
      <c r="FQ25" s="208"/>
      <c r="FR25" s="208"/>
      <c r="FS25" s="208"/>
      <c r="FT25" s="208"/>
      <c r="FU25" s="208"/>
      <c r="FV25" s="208"/>
      <c r="FW25" s="208"/>
      <c r="FX25" s="208"/>
      <c r="FY25" s="208"/>
      <c r="FZ25" s="208"/>
      <c r="GA25" s="208"/>
      <c r="GB25" s="208"/>
      <c r="GC25" s="208"/>
      <c r="GD25" s="208"/>
      <c r="GE25" s="208"/>
      <c r="GF25" s="208"/>
      <c r="GG25" s="208"/>
      <c r="GH25" s="208"/>
    </row>
    <row r="26">
      <c r="B26" s="199"/>
      <c r="D26" s="106"/>
      <c r="E26" s="455" t="s">
        <v>318</v>
      </c>
      <c r="T26" s="34"/>
      <c r="U26" s="208"/>
      <c r="W26" s="201"/>
      <c r="X26" s="456" t="s">
        <v>313</v>
      </c>
      <c r="Y26" s="444">
        <f t="shared" si="53"/>
        <v>5</v>
      </c>
      <c r="Z26" s="398">
        <f t="shared" si="54"/>
        <v>2</v>
      </c>
      <c r="AA26" s="445">
        <f t="shared" si="55"/>
        <v>54</v>
      </c>
      <c r="AB26" s="446"/>
      <c r="AC26" s="212"/>
      <c r="AE26" s="203"/>
      <c r="AF26" s="204"/>
      <c r="AG26" s="457"/>
      <c r="AH26" s="391"/>
      <c r="AI26" s="391"/>
      <c r="AJ26" s="391"/>
      <c r="AK26" s="391"/>
      <c r="AL26" s="391"/>
      <c r="AM26" s="412" t="s">
        <v>319</v>
      </c>
      <c r="BC26" s="391"/>
      <c r="BD26" s="391"/>
      <c r="BE26" s="391"/>
      <c r="BF26" s="458" t="s">
        <v>320</v>
      </c>
      <c r="BU26" s="391"/>
      <c r="BV26" s="391"/>
      <c r="BW26" s="431"/>
      <c r="BX26" s="106"/>
      <c r="BY26" s="106"/>
      <c r="BZ26" s="459" t="s">
        <v>321</v>
      </c>
      <c r="CC26" s="417">
        <f t="shared" si="44"/>
        <v>0</v>
      </c>
      <c r="CD26" s="417">
        <f t="shared" si="45"/>
        <v>0</v>
      </c>
      <c r="CE26" s="418" t="str">
        <f t="shared" si="46"/>
        <v/>
      </c>
      <c r="CF26" s="419"/>
      <c r="CG26" s="418"/>
      <c r="CH26" s="460" t="str">
        <f t="array" ref="CH26">IF(NOT($D$37=18),IFERROR(INDIRECT("'Bloque "&amp;$D$38&amp;" Semana "&amp;"18"&amp;"'"&amp;"!"&amp;"E37"),""),"S18")</f>
        <v/>
      </c>
      <c r="CI26" s="461" t="str">
        <f t="shared" si="21"/>
        <v/>
      </c>
      <c r="CJ26" s="462" t="str">
        <f t="shared" si="22"/>
        <v/>
      </c>
      <c r="CK26" s="463" t="str">
        <f t="shared" si="23"/>
        <v/>
      </c>
      <c r="CL26" s="463" t="str">
        <f t="shared" si="30"/>
        <v/>
      </c>
      <c r="CM26" s="464" t="str">
        <f t="shared" si="24"/>
        <v/>
      </c>
      <c r="CN26" s="465" t="str">
        <f t="shared" si="31"/>
        <v/>
      </c>
      <c r="CO26" s="464" t="str">
        <f t="shared" si="25"/>
        <v/>
      </c>
      <c r="CP26" s="464" t="str">
        <f t="shared" si="26"/>
        <v/>
      </c>
      <c r="CQ26" s="466" t="str">
        <f t="shared" si="27"/>
        <v/>
      </c>
      <c r="CR26" s="467" t="str">
        <f t="shared" si="32"/>
        <v/>
      </c>
      <c r="CS26" s="468"/>
      <c r="CT26" s="469"/>
      <c r="DE26" s="4"/>
      <c r="DJ26" s="144" t="s">
        <v>166</v>
      </c>
      <c r="DK26" s="108"/>
      <c r="DL26" s="108"/>
      <c r="DM26" s="108"/>
      <c r="DN26" s="108"/>
      <c r="DO26" s="108"/>
      <c r="DP26" s="108"/>
      <c r="DQ26" s="108"/>
      <c r="DR26" s="108"/>
      <c r="DS26" s="108"/>
      <c r="DT26" s="108"/>
      <c r="DU26" s="108"/>
      <c r="DV26" s="108"/>
      <c r="DW26" s="108"/>
      <c r="DX26" s="108"/>
      <c r="DY26" s="108"/>
      <c r="DZ26" s="108"/>
      <c r="EA26" s="108"/>
      <c r="EB26" s="108"/>
      <c r="ED26" s="120"/>
      <c r="EE26" s="269"/>
      <c r="EF26" s="269"/>
      <c r="EG26" s="269"/>
      <c r="EH26" s="269"/>
      <c r="EI26" s="269"/>
      <c r="EJ26" s="269"/>
      <c r="EK26" s="269"/>
      <c r="EL26" s="269"/>
      <c r="EM26" s="269"/>
      <c r="EN26" s="269"/>
      <c r="EO26" s="269"/>
      <c r="EP26" s="269"/>
      <c r="EQ26" s="269"/>
      <c r="ER26" s="269"/>
      <c r="ES26" s="269"/>
      <c r="ET26" s="269"/>
      <c r="EU26" s="269"/>
      <c r="EV26" s="269"/>
      <c r="EX26" s="208"/>
      <c r="EY26" s="208"/>
      <c r="EZ26" s="208"/>
      <c r="FA26" s="208"/>
      <c r="FB26" s="208"/>
      <c r="FC26" s="208"/>
      <c r="FD26" s="208"/>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row>
    <row r="27">
      <c r="B27" s="199"/>
      <c r="E27" s="470" t="s">
        <v>265</v>
      </c>
      <c r="F27" s="471" t="s">
        <v>267</v>
      </c>
      <c r="G27" s="37"/>
      <c r="H27" s="37"/>
      <c r="I27" s="37"/>
      <c r="J27" s="471"/>
      <c r="K27" s="471" t="s">
        <v>269</v>
      </c>
      <c r="L27" s="37"/>
      <c r="M27" s="37"/>
      <c r="N27" s="471" t="s">
        <v>271</v>
      </c>
      <c r="O27" s="37"/>
      <c r="P27" s="37"/>
      <c r="Q27" s="37"/>
      <c r="R27" s="471" t="s">
        <v>273</v>
      </c>
      <c r="S27" s="471" t="s">
        <v>275</v>
      </c>
      <c r="T27" s="472" t="s">
        <v>277</v>
      </c>
      <c r="U27" s="208"/>
      <c r="V27" s="106"/>
      <c r="W27" s="201"/>
      <c r="X27" s="473" t="s">
        <v>316</v>
      </c>
      <c r="Y27" s="444">
        <f t="shared" si="53"/>
        <v>4</v>
      </c>
      <c r="Z27" s="398">
        <f t="shared" si="54"/>
        <v>2</v>
      </c>
      <c r="AA27" s="445">
        <f t="shared" si="55"/>
        <v>24</v>
      </c>
      <c r="AB27" s="446"/>
      <c r="AC27" s="212"/>
      <c r="AE27" s="203"/>
      <c r="AF27" s="204"/>
      <c r="AG27" s="474"/>
      <c r="AH27" s="391"/>
      <c r="AI27" s="391"/>
      <c r="AJ27" s="391"/>
      <c r="AK27" s="391"/>
      <c r="AL27" s="391"/>
      <c r="AM27" s="475"/>
      <c r="BC27" s="391"/>
      <c r="BD27" s="391"/>
      <c r="BE27" s="391"/>
      <c r="BF27" s="476"/>
      <c r="BU27" s="391"/>
      <c r="BV27" s="391"/>
      <c r="BW27" s="431"/>
      <c r="BZ27" s="477" t="s">
        <v>312</v>
      </c>
      <c r="CC27" s="417">
        <f t="shared" si="44"/>
        <v>0</v>
      </c>
      <c r="CD27" s="417">
        <f t="shared" si="45"/>
        <v>0</v>
      </c>
      <c r="CE27" s="418" t="str">
        <f t="shared" si="46"/>
        <v/>
      </c>
      <c r="CF27" s="419"/>
      <c r="CG27" s="418"/>
      <c r="CH27" s="83" t="s">
        <v>251</v>
      </c>
      <c r="CI27" s="290" t="s">
        <v>322</v>
      </c>
      <c r="CJ27" s="290" t="s">
        <v>323</v>
      </c>
      <c r="CK27" s="478"/>
      <c r="CL27" s="479"/>
      <c r="CM27" s="479"/>
      <c r="CN27" s="479"/>
      <c r="CO27" s="479"/>
      <c r="CP27" s="479"/>
      <c r="CT27" s="330"/>
      <c r="DE27" s="4"/>
      <c r="DJ27" s="83"/>
      <c r="DK27" s="227" t="str">
        <f t="array" ref="DK27">IF(NOT($D$37=1),IFERROR(INDIRECT("'Bloque "&amp;$D$38&amp;" Semana "&amp;"1"&amp;"'"&amp;"!"&amp;"E37"),""),"S1")</f>
        <v/>
      </c>
      <c r="DL27" s="227" t="str">
        <f t="array" ref="DL27">IF(NOT($D$37=2),IFERROR(INDIRECT("'Bloque "&amp;$D$38&amp;" Semana "&amp;"2"&amp;"'"&amp;"!"&amp;"E37"),""),"S2")</f>
        <v>S2</v>
      </c>
      <c r="DM27" s="227" t="str">
        <f t="array" ref="DM27">IF(NOT($D$37=3),IFERROR(INDIRECT("'Bloque "&amp;$D$38&amp;" Semana "&amp;"3"&amp;"'"&amp;"!"&amp;"E37"),""),"S3")</f>
        <v/>
      </c>
      <c r="DN27" s="227" t="str">
        <f t="array" ref="DN27">IF(NOT($D$37=4),IFERROR(INDIRECT("'Bloque "&amp;$D$38&amp;" Semana "&amp;"4"&amp;"'"&amp;"!"&amp;"E37"),""),"S4")</f>
        <v/>
      </c>
      <c r="DO27" s="227" t="str">
        <f t="array" ref="DO27">IF(NOT($D$37=5),IFERROR(INDIRECT("'Bloque "&amp;$D$38&amp;" Semana "&amp;"5"&amp;"'"&amp;"!"&amp;"E37"),""),"S5")</f>
        <v/>
      </c>
      <c r="DP27" s="227" t="str">
        <f t="array" ref="DP27">IF(NOT($D$37=6),IFERROR(INDIRECT("'Bloque "&amp;$D$38&amp;" Semana "&amp;"6"&amp;"'"&amp;"!"&amp;"E37"),""),"S6")</f>
        <v/>
      </c>
      <c r="DQ27" s="227" t="str">
        <f t="array" ref="DQ27">IF(NOT($D$37=7),IFERROR(INDIRECT("'Bloque "&amp;$D$38&amp;" Semana "&amp;"7"&amp;"'"&amp;"!"&amp;"E37"),""),"S7")</f>
        <v/>
      </c>
      <c r="DR27" s="227" t="str">
        <f t="array" ref="DR27">IF(NOT($D$37=8),IFERROR(INDIRECT("'Bloque "&amp;$D$38&amp;" Semana "&amp;"8"&amp;"'"&amp;"!"&amp;"E37"),""),"S8")</f>
        <v/>
      </c>
      <c r="DS27" s="227" t="str">
        <f t="array" ref="DS27">IF(NOT($D$37=9),IFERROR(INDIRECT("'Bloque "&amp;$D$38&amp;" Semana "&amp;"9"&amp;"'"&amp;"!"&amp;"E37"),""),"S9")</f>
        <v/>
      </c>
      <c r="DT27" s="227" t="str">
        <f t="array" ref="DT27">IF(NOT($D$37=10),IFERROR(INDIRECT("'Bloque "&amp;$D$38&amp;" Semana "&amp;"10"&amp;"'"&amp;"!"&amp;"E37"),""),"S10")</f>
        <v/>
      </c>
      <c r="DU27" s="227" t="str">
        <f t="array" ref="DU27">IF(NOT($D$37=11),IFERROR(INDIRECT("'Bloque "&amp;$D$38&amp;" Semana "&amp;"11"&amp;"'"&amp;"!"&amp;"E37"),""),"S11")</f>
        <v/>
      </c>
      <c r="DV27" s="227" t="str">
        <f t="array" ref="DV27">IF(NOT($D$37=12),IFERROR(INDIRECT("'Bloque "&amp;$D$38&amp;" Semana "&amp;"12"&amp;"'"&amp;"!"&amp;"E37"),""),"S12")</f>
        <v/>
      </c>
      <c r="DW27" s="227" t="str">
        <f t="array" ref="DW27">IF(NOT($D$37=13),IFERROR(INDIRECT("'Bloque "&amp;$D$38&amp;" Semana "&amp;"13"&amp;"'"&amp;"!"&amp;"E37"),""),"S13")</f>
        <v/>
      </c>
      <c r="DX27" s="227" t="str">
        <f t="array" ref="DX27">IF(NOT($D$37=14),IFERROR(INDIRECT("'Bloque "&amp;$D$38&amp;" Semana "&amp;"14"&amp;"'"&amp;"!"&amp;"E37"),""),"S14")</f>
        <v/>
      </c>
      <c r="DY27" s="227" t="str">
        <f t="array" ref="DY27">IF(NOT($D$37=15),IFERROR(INDIRECT("'Bloque "&amp;$D$38&amp;" Semana "&amp;"15"&amp;"'"&amp;"!"&amp;"E37"),""),"S15")</f>
        <v/>
      </c>
      <c r="DZ27" s="227" t="str">
        <f t="array" ref="DZ27">IF(NOT($D$37=16),IFERROR(INDIRECT("'Bloque "&amp;$D$38&amp;" Semana "&amp;"16"&amp;"'"&amp;"!"&amp;"E37"),""),"S16")</f>
        <v/>
      </c>
      <c r="EA27" s="227" t="str">
        <f t="array" ref="EA27">IF(NOT($D$37=17),IFERROR(INDIRECT("'Bloque "&amp;$D$38&amp;" Semana "&amp;"17"&amp;"'"&amp;"!"&amp;"E37"),""),"S17")</f>
        <v/>
      </c>
      <c r="EB27" s="227" t="str">
        <f t="array" ref="EB27">IF(NOT($D$37=18),IFERROR(INDIRECT("'Bloque "&amp;$D$38&amp;" Semana "&amp;"18"&amp;"'"&amp;"!"&amp;"E37"),""),"S18")</f>
        <v/>
      </c>
      <c r="ED27" s="120"/>
      <c r="EE27" s="269"/>
      <c r="EF27" s="269"/>
      <c r="EG27" s="269"/>
      <c r="EH27" s="269"/>
      <c r="EI27" s="269"/>
      <c r="EJ27" s="269"/>
      <c r="EK27" s="269"/>
      <c r="EL27" s="269"/>
      <c r="EM27" s="269"/>
      <c r="EN27" s="269"/>
      <c r="EO27" s="269"/>
      <c r="EP27" s="269"/>
      <c r="EQ27" s="269"/>
      <c r="ER27" s="269"/>
      <c r="ES27" s="269"/>
      <c r="ET27" s="269"/>
      <c r="EU27" s="269"/>
      <c r="EV27" s="269"/>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row>
    <row r="28">
      <c r="B28" s="199"/>
      <c r="D28" s="106"/>
      <c r="E28" s="480" t="str">
        <f t="array" ref="E28">SUBSTITUTE(TEXTJOIN(CHAR(10),TRUE,IFERROR(INDIRECT("AF"&amp;MATCH("Día 1",B:B,0)+1&amp;":AF"&amp;MATCH("Día 2",B:B,0)-1),"")),".",";") </f>
        <v>SQ pausa en la concentrica: 3 x 5 x 122,5 kg 
SLDL: 3 x 6 x  kg RIR 2-3 
Split sq : 4 x 8 x  kg RIR 2 
Patada gluteo : 3 x 12 x  kg RIR 2 
Abs Wheel: 3 x 20 x  kg RIR 2 </v>
      </c>
      <c r="F28" s="481" t="str">
        <f t="array" ref="F28">SUBSTITUTE(TEXTJOIN(CHAR(10),TRUE,IFERROR(INDIRECT("AF"&amp;MATCH("Día 2",B:B,0)+1&amp;":AF"&amp;MATCH("Día 3",B:B,0)-1),"")),".",";") </f>
        <v>BP pin ct2: 4 x 4 x 82,5 kg 
Bp mancuerna unilateral : 3 x 10 x  kg RIR 2-3 
Jalon al pecho supino pausa 3s: 3 x 8 x  kg RIR 2 
Remo polea baja abierto : 3 x 10 x  kg RIR 2 
Face pull: 3 x 15 x  kg RIR 3 
Biceps + Triceps : 3 x F x  kg </v>
      </c>
      <c r="I28" s="482"/>
      <c r="J28" s="481" t="str">
        <f t="array" ref="J28">SUBSTITUTE(TEXTJOIN(CHAR(10),TRUE,IFERROR(INDIRECT("AF"&amp;MATCH("Día 3",B:B,0)+1&amp;":AF"&amp;MATCH("Día 4",B:B,0)-1),"")),".",";") </f>
        <v/>
      </c>
      <c r="M28" s="482"/>
      <c r="N28" s="481" t="str">
        <f t="array" ref="N28">SUBSTITUTE(TEXTJOIN(CHAR(10),TRUE,IFERROR(INDIRECT("AF"&amp;MATCH("Día 4",B:B,0)+1&amp;":AF"&amp;MATCH("Día 5",B:B,0)-1),"")),".",";") </f>
        <v>BP : 3 x 6 x 85 kg 
Aperturas polea baja tumbado: 2 x 12 x  kg RIR 2-3 
Press militar de pie : 4 x 6 x  kg RIR 2-3 
Spanish sq : 3 x 12 x  kg RIR 2-3 
Elevaciones Frontales barra z: 3 x 10 x  kg RIR 1-2 </v>
      </c>
      <c r="Q28" s="482"/>
      <c r="R28" s="483" t="str">
        <f t="array" ref="R28">SUBSTITUTE(TEXTJOIN(CHAR(10),TRUE,IFERROR(INDIRECT("AF"&amp;MATCH("Día 5",B:B,0)+1&amp;":AF"&amp;MATCH("Día 6",B:B,0)-1),"")),".",";") </f>
        <v>SQ : 3 x 6 x 137,5 kg 
BP pausa ct3: 3 x 5 x 77,5 kg 
DL : 3 x 6 x 172,5 kg 
Curl femoral : 3 x 10 x  kg RIR 1-2 
Elevaciones de pìernas colgado : 3 x 10 x  kg RIR 1-2 </v>
      </c>
      <c r="S28" s="484" t="str">
        <f t="array" ref="S28">SUBSTITUTE(TEXTJOIN(CHAR(10),TRUE,IFERROR(INDIRECT("AF"&amp;MATCH("Día 6",B:B,0)+1&amp;":AF"&amp;MATCH("Día 7",B:B,0)-1),"")),".",";") </f>
        <v/>
      </c>
      <c r="T28" s="485" t="str">
        <f t="array" ref="T28">SUBSTITUTE(TEXTJOIN(CHAR(10),TRUE,IFERROR(INDIRECT("AF"&amp;MATCH("Día 7",B:B,0)+1&amp;":AF"&amp;MATCH("Día 8",B:B,0)-1),"")),".",";") </f>
        <v/>
      </c>
      <c r="V28" s="106"/>
      <c r="W28" s="338"/>
      <c r="X28" s="486" t="s">
        <v>317</v>
      </c>
      <c r="Y28" s="444">
        <f t="shared" si="53"/>
        <v>9</v>
      </c>
      <c r="Z28" s="398">
        <f t="shared" si="54"/>
        <v>2.333333333</v>
      </c>
      <c r="AA28" s="445">
        <f t="shared" si="55"/>
        <v>99</v>
      </c>
      <c r="AB28" s="446"/>
      <c r="AC28" s="224"/>
      <c r="AE28" s="487"/>
      <c r="AF28" s="291"/>
      <c r="AG28" s="474"/>
      <c r="AH28" s="391"/>
      <c r="AI28" s="391"/>
      <c r="AJ28" s="391"/>
      <c r="AK28" s="391"/>
      <c r="AL28" s="391"/>
      <c r="AM28" s="412" t="s">
        <v>324</v>
      </c>
      <c r="BC28" s="391"/>
      <c r="BD28" s="391"/>
      <c r="BE28" s="391"/>
      <c r="BF28" s="412" t="s">
        <v>325</v>
      </c>
      <c r="BU28" s="391"/>
      <c r="BV28" s="391"/>
      <c r="BW28" s="431"/>
      <c r="BZ28" s="477" t="s">
        <v>301</v>
      </c>
      <c r="CC28" s="417">
        <f t="shared" si="44"/>
        <v>1</v>
      </c>
      <c r="CD28" s="417">
        <f t="shared" si="45"/>
        <v>15</v>
      </c>
      <c r="CE28" s="418">
        <f t="shared" si="46"/>
        <v>0</v>
      </c>
      <c r="CF28" s="419"/>
      <c r="CG28" s="418"/>
      <c r="CH28" s="488" t="str">
        <f>IFERROR( AVERAGE(CM9:CM26),"")</f>
        <v/>
      </c>
      <c r="CI28" s="489">
        <f>SUM(CL9:CL26)</f>
        <v>0</v>
      </c>
      <c r="CJ28" s="490">
        <f>SUM(CN9:CN26)</f>
        <v>0</v>
      </c>
      <c r="CK28" s="120"/>
      <c r="CT28" s="330"/>
      <c r="DE28" s="4"/>
      <c r="DJ28" s="120" t="s">
        <v>194</v>
      </c>
      <c r="DK28" s="231" t="str">
        <f t="shared" ref="DK28:EB28" si="57">IFERROR(INDIRECT("'Bloque "&amp;$D$38&amp;" Semana "&amp;MID(DK15,2,2)&amp;"'"&amp;"!"&amp;"AK17"),"")</f>
        <v/>
      </c>
      <c r="DL28" s="231" t="str">
        <f t="shared" si="57"/>
        <v/>
      </c>
      <c r="DM28" s="231" t="str">
        <f t="shared" si="57"/>
        <v/>
      </c>
      <c r="DN28" s="231" t="str">
        <f t="shared" si="57"/>
        <v/>
      </c>
      <c r="DO28" s="231" t="str">
        <f t="shared" si="57"/>
        <v/>
      </c>
      <c r="DP28" s="231" t="str">
        <f t="shared" si="57"/>
        <v/>
      </c>
      <c r="DQ28" s="231" t="str">
        <f t="shared" si="57"/>
        <v/>
      </c>
      <c r="DR28" s="231" t="str">
        <f t="shared" si="57"/>
        <v/>
      </c>
      <c r="DS28" s="231" t="str">
        <f t="shared" si="57"/>
        <v/>
      </c>
      <c r="DT28" s="231" t="str">
        <f t="shared" si="57"/>
        <v/>
      </c>
      <c r="DU28" s="231" t="str">
        <f t="shared" si="57"/>
        <v/>
      </c>
      <c r="DV28" s="231" t="str">
        <f t="shared" si="57"/>
        <v/>
      </c>
      <c r="DW28" s="231" t="str">
        <f t="shared" si="57"/>
        <v/>
      </c>
      <c r="DX28" s="231" t="str">
        <f t="shared" si="57"/>
        <v/>
      </c>
      <c r="DY28" s="231" t="str">
        <f t="shared" si="57"/>
        <v/>
      </c>
      <c r="DZ28" s="231" t="str">
        <f t="shared" si="57"/>
        <v/>
      </c>
      <c r="EA28" s="231" t="str">
        <f t="shared" si="57"/>
        <v/>
      </c>
      <c r="EB28" s="231" t="str">
        <f t="shared" si="57"/>
        <v/>
      </c>
      <c r="ED28" s="120"/>
      <c r="EE28" s="269"/>
      <c r="EF28" s="269"/>
      <c r="EG28" s="269"/>
      <c r="EH28" s="269"/>
      <c r="EI28" s="269"/>
      <c r="EJ28" s="269"/>
      <c r="EK28" s="269"/>
      <c r="EL28" s="269"/>
      <c r="EM28" s="269"/>
      <c r="EN28" s="269"/>
      <c r="EO28" s="269"/>
      <c r="EP28" s="269"/>
      <c r="EQ28" s="269"/>
      <c r="ER28" s="269"/>
      <c r="ES28" s="269"/>
      <c r="ET28" s="269"/>
      <c r="EU28" s="269"/>
      <c r="EV28" s="269"/>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row>
    <row r="29">
      <c r="B29" s="199"/>
      <c r="D29" s="106"/>
      <c r="E29" s="491"/>
      <c r="I29" s="482"/>
      <c r="M29" s="482"/>
      <c r="Q29" s="482"/>
      <c r="R29" s="482"/>
      <c r="S29" s="482"/>
      <c r="T29" s="492"/>
      <c r="U29" s="106"/>
      <c r="V29" s="106"/>
      <c r="W29" s="338"/>
      <c r="X29" s="493" t="s">
        <v>321</v>
      </c>
      <c r="Y29" s="444">
        <f t="shared" si="53"/>
        <v>0</v>
      </c>
      <c r="Z29" s="398" t="str">
        <f t="shared" si="54"/>
        <v/>
      </c>
      <c r="AA29" s="445">
        <f t="shared" si="55"/>
        <v>0</v>
      </c>
      <c r="AB29" s="446"/>
      <c r="AC29" s="224"/>
      <c r="AE29" s="487"/>
      <c r="AF29" s="291"/>
      <c r="AG29" s="474"/>
      <c r="AH29" s="391"/>
      <c r="AI29" s="391"/>
      <c r="AJ29" s="391"/>
      <c r="AK29" s="391"/>
      <c r="AL29" s="391"/>
      <c r="AM29" s="475"/>
      <c r="BC29" s="391"/>
      <c r="BD29" s="391"/>
      <c r="BE29" s="391"/>
      <c r="BF29" s="475"/>
      <c r="BU29" s="391"/>
      <c r="BV29" s="391"/>
      <c r="BW29" s="431"/>
      <c r="BZ29" s="477" t="s">
        <v>326</v>
      </c>
      <c r="CC29" s="417">
        <f t="shared" si="44"/>
        <v>5</v>
      </c>
      <c r="CD29" s="417">
        <f t="shared" si="45"/>
        <v>76</v>
      </c>
      <c r="CE29" s="418">
        <f t="shared" si="46"/>
        <v>0</v>
      </c>
      <c r="CF29" s="419"/>
      <c r="CG29" s="418"/>
      <c r="CK29" s="120"/>
      <c r="CT29" s="330"/>
      <c r="DE29" s="4"/>
      <c r="DJ29" s="120" t="s">
        <v>195</v>
      </c>
      <c r="DK29" s="494" t="str">
        <f t="shared" ref="DK29:EB29" si="58">IFERROR(INDIRECT("'Bloque "&amp;$D$38&amp;" Semana "&amp;MID(DK15,2,2)&amp;"'"&amp;"!"&amp;"BI16"),"")</f>
        <v/>
      </c>
      <c r="DL29" s="494" t="str">
        <f t="shared" si="58"/>
        <v/>
      </c>
      <c r="DM29" s="494" t="str">
        <f t="shared" si="58"/>
        <v/>
      </c>
      <c r="DN29" s="494" t="str">
        <f t="shared" si="58"/>
        <v/>
      </c>
      <c r="DO29" s="494" t="str">
        <f t="shared" si="58"/>
        <v/>
      </c>
      <c r="DP29" s="494" t="str">
        <f t="shared" si="58"/>
        <v/>
      </c>
      <c r="DQ29" s="494" t="str">
        <f t="shared" si="58"/>
        <v/>
      </c>
      <c r="DR29" s="494" t="str">
        <f t="shared" si="58"/>
        <v/>
      </c>
      <c r="DS29" s="494" t="str">
        <f t="shared" si="58"/>
        <v/>
      </c>
      <c r="DT29" s="494" t="str">
        <f t="shared" si="58"/>
        <v/>
      </c>
      <c r="DU29" s="494" t="str">
        <f t="shared" si="58"/>
        <v/>
      </c>
      <c r="DV29" s="494" t="str">
        <f t="shared" si="58"/>
        <v/>
      </c>
      <c r="DW29" s="494" t="str">
        <f t="shared" si="58"/>
        <v/>
      </c>
      <c r="DX29" s="494" t="str">
        <f t="shared" si="58"/>
        <v/>
      </c>
      <c r="DY29" s="494" t="str">
        <f t="shared" si="58"/>
        <v/>
      </c>
      <c r="DZ29" s="494" t="str">
        <f t="shared" si="58"/>
        <v/>
      </c>
      <c r="EA29" s="494" t="str">
        <f t="shared" si="58"/>
        <v/>
      </c>
      <c r="EB29" s="494" t="str">
        <f t="shared" si="58"/>
        <v/>
      </c>
      <c r="ED29" s="120"/>
      <c r="EE29" s="269"/>
      <c r="EF29" s="269"/>
      <c r="EG29" s="269"/>
      <c r="EH29" s="269"/>
      <c r="EI29" s="269"/>
      <c r="EJ29" s="269"/>
      <c r="EK29" s="269"/>
      <c r="EL29" s="269"/>
      <c r="EM29" s="269"/>
      <c r="EN29" s="269"/>
      <c r="EO29" s="269"/>
      <c r="EP29" s="269"/>
      <c r="EQ29" s="269"/>
      <c r="ER29" s="269"/>
      <c r="ES29" s="269"/>
      <c r="ET29" s="269"/>
      <c r="EU29" s="269"/>
      <c r="EV29" s="269"/>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row>
    <row r="30">
      <c r="B30" s="199"/>
      <c r="D30" s="106"/>
      <c r="E30" s="491"/>
      <c r="I30" s="482"/>
      <c r="M30" s="482"/>
      <c r="Q30" s="482"/>
      <c r="R30" s="482"/>
      <c r="S30" s="482"/>
      <c r="T30" s="492"/>
      <c r="U30" s="106"/>
      <c r="V30" s="106"/>
      <c r="W30" s="338"/>
      <c r="X30" s="156" t="s">
        <v>312</v>
      </c>
      <c r="Y30" s="444">
        <f t="shared" si="53"/>
        <v>0</v>
      </c>
      <c r="Z30" s="398" t="str">
        <f t="shared" si="54"/>
        <v/>
      </c>
      <c r="AA30" s="445">
        <f t="shared" si="55"/>
        <v>0</v>
      </c>
      <c r="AB30" s="446"/>
      <c r="AC30" s="224"/>
      <c r="AE30" s="487"/>
      <c r="AF30" s="291"/>
      <c r="AG30" s="474"/>
      <c r="AH30" s="391"/>
      <c r="AI30" s="391"/>
      <c r="AJ30" s="391"/>
      <c r="AK30" s="391"/>
      <c r="AL30" s="391"/>
      <c r="AM30" s="412" t="s">
        <v>327</v>
      </c>
      <c r="BC30" s="391"/>
      <c r="BD30" s="391"/>
      <c r="BE30" s="391"/>
      <c r="BF30" s="412" t="s">
        <v>328</v>
      </c>
      <c r="BU30" s="391"/>
      <c r="BV30" s="391"/>
      <c r="BW30" s="431"/>
      <c r="BZ30" s="477" t="s">
        <v>329</v>
      </c>
      <c r="CC30" s="417">
        <f t="shared" si="44"/>
        <v>0</v>
      </c>
      <c r="CD30" s="417">
        <f t="shared" si="45"/>
        <v>0</v>
      </c>
      <c r="CE30" s="418" t="str">
        <f t="shared" si="46"/>
        <v/>
      </c>
      <c r="CF30" s="419"/>
      <c r="CG30" s="418"/>
      <c r="CH30" s="418"/>
      <c r="CK30" s="495"/>
      <c r="CT30" s="330"/>
      <c r="DJ30" s="83" t="s">
        <v>196</v>
      </c>
      <c r="DK30" s="496" t="str">
        <f t="shared" ref="DK30:EB30" si="59">IFERROR(INDIRECT("'Bloque "&amp;$D$38&amp;" Semana "&amp;MID(DK15,2,2)&amp;"'"&amp;"!"&amp;"BM16"),"")</f>
        <v/>
      </c>
      <c r="DL30" s="496" t="str">
        <f t="shared" si="59"/>
        <v/>
      </c>
      <c r="DM30" s="496" t="str">
        <f t="shared" si="59"/>
        <v/>
      </c>
      <c r="DN30" s="496" t="str">
        <f t="shared" si="59"/>
        <v/>
      </c>
      <c r="DO30" s="496" t="str">
        <f t="shared" si="59"/>
        <v/>
      </c>
      <c r="DP30" s="496" t="str">
        <f t="shared" si="59"/>
        <v/>
      </c>
      <c r="DQ30" s="496" t="str">
        <f t="shared" si="59"/>
        <v/>
      </c>
      <c r="DR30" s="496" t="str">
        <f t="shared" si="59"/>
        <v/>
      </c>
      <c r="DS30" s="496" t="str">
        <f t="shared" si="59"/>
        <v/>
      </c>
      <c r="DT30" s="496" t="str">
        <f t="shared" si="59"/>
        <v/>
      </c>
      <c r="DU30" s="496" t="str">
        <f t="shared" si="59"/>
        <v/>
      </c>
      <c r="DV30" s="496" t="str">
        <f t="shared" si="59"/>
        <v/>
      </c>
      <c r="DW30" s="496" t="str">
        <f t="shared" si="59"/>
        <v/>
      </c>
      <c r="DX30" s="496" t="str">
        <f t="shared" si="59"/>
        <v/>
      </c>
      <c r="DY30" s="496" t="str">
        <f t="shared" si="59"/>
        <v/>
      </c>
      <c r="DZ30" s="496" t="str">
        <f t="shared" si="59"/>
        <v/>
      </c>
      <c r="EA30" s="496" t="str">
        <f t="shared" si="59"/>
        <v/>
      </c>
      <c r="EB30" s="496" t="str">
        <f t="shared" si="59"/>
        <v/>
      </c>
      <c r="ED30" s="120"/>
      <c r="EE30" s="269"/>
      <c r="EF30" s="269"/>
      <c r="EG30" s="269"/>
      <c r="EH30" s="269"/>
      <c r="EI30" s="269"/>
      <c r="EJ30" s="269"/>
      <c r="EK30" s="269"/>
      <c r="EL30" s="269"/>
      <c r="EM30" s="269"/>
      <c r="EN30" s="269"/>
      <c r="EO30" s="269"/>
      <c r="EP30" s="269"/>
      <c r="EQ30" s="269"/>
      <c r="ER30" s="269"/>
      <c r="ES30" s="269"/>
      <c r="ET30" s="269"/>
      <c r="EU30" s="269"/>
      <c r="EV30" s="269"/>
      <c r="EX30" s="208"/>
      <c r="EY30" s="208"/>
      <c r="EZ30" s="208"/>
      <c r="FA30" s="208"/>
      <c r="FB30" s="208"/>
      <c r="FC30" s="208"/>
      <c r="FD30" s="208"/>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row>
    <row r="31">
      <c r="B31" s="199"/>
      <c r="E31" s="491"/>
      <c r="I31" s="482"/>
      <c r="M31" s="482"/>
      <c r="Q31" s="482"/>
      <c r="R31" s="482"/>
      <c r="S31" s="482"/>
      <c r="T31" s="492"/>
      <c r="U31" s="106"/>
      <c r="V31" s="106"/>
      <c r="W31" s="338"/>
      <c r="X31" s="156" t="s">
        <v>301</v>
      </c>
      <c r="Y31" s="444">
        <f t="shared" si="53"/>
        <v>3</v>
      </c>
      <c r="Z31" s="398">
        <f t="shared" si="54"/>
        <v>1</v>
      </c>
      <c r="AA31" s="445">
        <f t="shared" si="55"/>
        <v>30</v>
      </c>
      <c r="AB31" s="446"/>
      <c r="AC31" s="224"/>
      <c r="AE31" s="487"/>
      <c r="AF31" s="291"/>
      <c r="AG31" s="474"/>
      <c r="AH31" s="391"/>
      <c r="AI31" s="391"/>
      <c r="AJ31" s="391"/>
      <c r="AK31" s="391"/>
      <c r="AL31" s="391"/>
      <c r="AM31" s="475"/>
      <c r="BC31" s="391"/>
      <c r="BD31" s="391"/>
      <c r="BE31" s="391"/>
      <c r="BF31" s="475"/>
      <c r="BU31" s="391"/>
      <c r="BV31" s="391"/>
      <c r="BW31" s="431"/>
      <c r="BZ31" s="477" t="s">
        <v>330</v>
      </c>
      <c r="CC31" s="417">
        <f t="shared" si="44"/>
        <v>0</v>
      </c>
      <c r="CD31" s="417">
        <f t="shared" si="45"/>
        <v>0</v>
      </c>
      <c r="CE31" s="418" t="str">
        <f t="shared" si="46"/>
        <v/>
      </c>
      <c r="CF31" s="419"/>
      <c r="CG31" s="418"/>
      <c r="CH31" s="418"/>
      <c r="CK31" s="83"/>
      <c r="CT31" s="330"/>
      <c r="EX31" s="208"/>
      <c r="EY31" s="208"/>
      <c r="EZ31" s="208"/>
      <c r="FA31" s="208"/>
      <c r="FB31" s="208"/>
      <c r="FC31" s="208"/>
      <c r="FD31" s="208"/>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row>
    <row r="32">
      <c r="B32" s="199"/>
      <c r="E32" s="491"/>
      <c r="I32" s="482"/>
      <c r="M32" s="482"/>
      <c r="Q32" s="482"/>
      <c r="R32" s="482"/>
      <c r="S32" s="482"/>
      <c r="T32" s="492"/>
      <c r="V32" s="106"/>
      <c r="W32" s="338"/>
      <c r="X32" s="156" t="s">
        <v>326</v>
      </c>
      <c r="Y32" s="444">
        <f t="shared" si="53"/>
        <v>3</v>
      </c>
      <c r="Z32" s="398" t="str">
        <f t="shared" si="54"/>
        <v/>
      </c>
      <c r="AA32" s="445">
        <f t="shared" si="55"/>
        <v>0</v>
      </c>
      <c r="AB32" s="446"/>
      <c r="AC32" s="224"/>
      <c r="AE32" s="487"/>
      <c r="AF32" s="291"/>
      <c r="AG32" s="497"/>
      <c r="AH32" s="391"/>
      <c r="AI32" s="391"/>
      <c r="AJ32" s="391"/>
      <c r="AK32" s="391"/>
      <c r="AL32" s="391"/>
      <c r="AM32" s="498" t="s">
        <v>331</v>
      </c>
      <c r="BU32" s="391"/>
      <c r="BV32" s="391"/>
      <c r="BW32" s="431"/>
      <c r="BZ32" s="477" t="s">
        <v>332</v>
      </c>
      <c r="CC32" s="417">
        <f t="shared" si="44"/>
        <v>0</v>
      </c>
      <c r="CD32" s="417">
        <f t="shared" si="45"/>
        <v>0</v>
      </c>
      <c r="CE32" s="418" t="str">
        <f t="shared" si="46"/>
        <v/>
      </c>
      <c r="CF32" s="419"/>
      <c r="CG32" s="418"/>
      <c r="CH32" s="418"/>
      <c r="CK32" s="120"/>
      <c r="CT32" s="330"/>
      <c r="EX32" s="208"/>
      <c r="EY32" s="208"/>
      <c r="EZ32" s="208"/>
      <c r="FA32" s="208"/>
      <c r="FB32" s="208"/>
      <c r="FC32" s="208"/>
      <c r="FD32" s="208"/>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row>
    <row r="33">
      <c r="B33" s="199"/>
      <c r="E33" s="491"/>
      <c r="I33" s="482"/>
      <c r="M33" s="482"/>
      <c r="Q33" s="482"/>
      <c r="R33" s="482"/>
      <c r="S33" s="482"/>
      <c r="T33" s="492"/>
      <c r="U33" s="106"/>
      <c r="V33" s="106"/>
      <c r="W33" s="338"/>
      <c r="X33" s="156" t="s">
        <v>333</v>
      </c>
      <c r="Y33" s="444">
        <f t="shared" si="53"/>
        <v>0</v>
      </c>
      <c r="Z33" s="398" t="str">
        <f t="shared" si="54"/>
        <v/>
      </c>
      <c r="AA33" s="445">
        <f t="shared" si="55"/>
        <v>0</v>
      </c>
      <c r="AB33" s="446"/>
      <c r="AC33" s="224"/>
      <c r="AE33" s="487"/>
      <c r="AF33" s="291"/>
      <c r="AG33" s="428"/>
      <c r="AH33" s="499"/>
      <c r="AI33" s="499"/>
      <c r="AJ33" s="499"/>
      <c r="AK33" s="499"/>
      <c r="AL33" s="499"/>
      <c r="AM33" s="500"/>
      <c r="BU33" s="499"/>
      <c r="BV33" s="499"/>
      <c r="BW33" s="501"/>
      <c r="BZ33" s="502" t="s">
        <v>334</v>
      </c>
      <c r="CC33" s="417">
        <f t="shared" si="44"/>
        <v>0</v>
      </c>
      <c r="CD33" s="417">
        <f t="shared" si="45"/>
        <v>0</v>
      </c>
      <c r="CE33" s="418" t="str">
        <f t="shared" si="46"/>
        <v/>
      </c>
      <c r="CF33" s="330"/>
      <c r="CK33" s="120"/>
      <c r="CT33" s="330"/>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row>
    <row r="34">
      <c r="B34" s="199"/>
      <c r="E34" s="491"/>
      <c r="I34" s="482"/>
      <c r="M34" s="482"/>
      <c r="Q34" s="482"/>
      <c r="R34" s="482"/>
      <c r="S34" s="482"/>
      <c r="T34" s="492"/>
      <c r="U34" s="106"/>
      <c r="V34" s="106"/>
      <c r="W34" s="338"/>
      <c r="X34" s="156" t="s">
        <v>330</v>
      </c>
      <c r="Y34" s="444">
        <f t="shared" si="53"/>
        <v>0</v>
      </c>
      <c r="Z34" s="398" t="str">
        <f t="shared" si="54"/>
        <v/>
      </c>
      <c r="AA34" s="445">
        <f t="shared" si="55"/>
        <v>0</v>
      </c>
      <c r="AB34" s="446"/>
      <c r="AC34" s="224"/>
      <c r="AE34" s="487"/>
      <c r="AF34" s="291"/>
      <c r="AG34" s="497"/>
      <c r="AH34" s="503"/>
      <c r="AI34" s="503"/>
      <c r="AJ34" s="503"/>
      <c r="AK34" s="503"/>
      <c r="AL34" s="503"/>
      <c r="BU34" s="391"/>
      <c r="BV34" s="391"/>
      <c r="BW34" s="431"/>
      <c r="BZ34" s="504"/>
      <c r="CA34" s="505"/>
      <c r="CB34" s="505"/>
      <c r="CC34" s="505"/>
      <c r="CD34" s="505"/>
      <c r="CE34" s="505"/>
      <c r="CF34" s="506"/>
      <c r="CG34" s="505"/>
      <c r="CH34" s="505"/>
      <c r="CI34" s="505"/>
      <c r="CJ34" s="505"/>
      <c r="CK34" s="507"/>
      <c r="CL34" s="505"/>
      <c r="CM34" s="505"/>
      <c r="CN34" s="505"/>
      <c r="CO34" s="505"/>
      <c r="CP34" s="505"/>
      <c r="CQ34" s="505"/>
      <c r="CR34" s="505"/>
      <c r="CS34" s="505"/>
      <c r="CT34" s="506"/>
      <c r="EX34" s="208"/>
      <c r="EY34" s="208"/>
      <c r="EZ34" s="208"/>
      <c r="FA34" s="208"/>
      <c r="FB34" s="208"/>
      <c r="FC34" s="208"/>
      <c r="FD34" s="208"/>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row>
    <row r="35" ht="88.5" customHeight="1">
      <c r="B35" s="199"/>
      <c r="E35" s="508"/>
      <c r="F35" s="509"/>
      <c r="G35" s="509"/>
      <c r="H35" s="509"/>
      <c r="I35" s="510"/>
      <c r="J35" s="509"/>
      <c r="K35" s="509"/>
      <c r="L35" s="509"/>
      <c r="M35" s="510"/>
      <c r="N35" s="509"/>
      <c r="O35" s="509"/>
      <c r="P35" s="509"/>
      <c r="Q35" s="510"/>
      <c r="R35" s="510"/>
      <c r="S35" s="510"/>
      <c r="T35" s="511"/>
      <c r="V35" s="106"/>
      <c r="W35" s="338"/>
      <c r="X35" s="512" t="s">
        <v>332</v>
      </c>
      <c r="Y35" s="444">
        <f t="shared" si="53"/>
        <v>6</v>
      </c>
      <c r="Z35" s="398">
        <f t="shared" si="54"/>
        <v>1.5</v>
      </c>
      <c r="AA35" s="445">
        <f t="shared" si="55"/>
        <v>90</v>
      </c>
      <c r="AB35" s="446"/>
      <c r="AC35" s="224"/>
      <c r="AE35" s="487"/>
      <c r="AF35" s="291"/>
      <c r="AG35" s="513"/>
      <c r="AH35" s="514"/>
      <c r="AI35" s="514"/>
      <c r="AJ35" s="514"/>
      <c r="AK35" s="514"/>
      <c r="AL35" s="514"/>
      <c r="AM35" s="514"/>
      <c r="AN35" s="514"/>
      <c r="AO35" s="514"/>
      <c r="AP35" s="514"/>
      <c r="AQ35" s="514"/>
      <c r="AR35" s="514"/>
      <c r="AS35" s="514"/>
      <c r="AT35" s="514"/>
      <c r="AU35" s="514"/>
      <c r="AV35" s="514"/>
      <c r="AW35" s="514"/>
      <c r="AX35" s="514"/>
      <c r="AY35" s="514"/>
      <c r="AZ35" s="514"/>
      <c r="BA35" s="514"/>
      <c r="BB35" s="515"/>
      <c r="BC35" s="515"/>
      <c r="BD35" s="515"/>
      <c r="BE35" s="515"/>
      <c r="BF35" s="515"/>
      <c r="BG35" s="515"/>
      <c r="BH35" s="515"/>
      <c r="BI35" s="515"/>
      <c r="BJ35" s="515"/>
      <c r="BK35" s="515"/>
      <c r="BL35" s="515"/>
      <c r="BM35" s="515"/>
      <c r="BN35" s="515"/>
      <c r="BO35" s="515"/>
      <c r="BP35" s="515"/>
      <c r="BQ35" s="514"/>
      <c r="BR35" s="514"/>
      <c r="BS35" s="514"/>
      <c r="BT35" s="514"/>
      <c r="BU35" s="514"/>
      <c r="BV35" s="514"/>
      <c r="BW35" s="516"/>
      <c r="EX35" s="208"/>
      <c r="EY35" s="208"/>
      <c r="EZ35" s="208"/>
      <c r="FA35" s="208"/>
      <c r="FB35" s="208"/>
      <c r="FC35" s="208"/>
      <c r="FD35" s="208"/>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row>
    <row r="36">
      <c r="B36" s="199"/>
      <c r="K36" s="200"/>
      <c r="L36" s="200"/>
      <c r="U36" s="106"/>
      <c r="V36" s="106"/>
      <c r="W36" s="338"/>
      <c r="X36" s="517" t="s">
        <v>334</v>
      </c>
      <c r="Y36" s="444">
        <f t="shared" si="53"/>
        <v>0</v>
      </c>
      <c r="Z36" s="398" t="str">
        <f t="shared" si="54"/>
        <v/>
      </c>
      <c r="AA36" s="445">
        <f t="shared" si="55"/>
        <v>0</v>
      </c>
      <c r="AB36" s="518"/>
      <c r="AC36" s="224"/>
      <c r="AE36" s="487"/>
      <c r="AF36" s="291"/>
      <c r="BE36" s="519"/>
      <c r="BF36" s="519"/>
      <c r="BG36" s="519"/>
      <c r="BH36" s="519"/>
      <c r="BI36" s="519"/>
      <c r="BJ36" s="519"/>
      <c r="BK36" s="519"/>
      <c r="BL36" s="519"/>
      <c r="BM36" s="519"/>
      <c r="BN36" s="519"/>
      <c r="BO36" s="519"/>
      <c r="BP36" s="519"/>
      <c r="BQ36" s="519"/>
      <c r="BR36" s="519"/>
      <c r="EX36" s="208"/>
      <c r="EY36" s="208"/>
      <c r="EZ36" s="208"/>
      <c r="FA36" s="208"/>
      <c r="FB36" s="208"/>
      <c r="FC36" s="208"/>
      <c r="FD36" s="208"/>
      <c r="FE36" s="208"/>
      <c r="FF36" s="208"/>
      <c r="FG36" s="208"/>
      <c r="FH36" s="208"/>
      <c r="FI36" s="208"/>
      <c r="FJ36" s="208"/>
      <c r="FK36" s="208"/>
      <c r="FL36" s="208"/>
      <c r="FM36" s="208"/>
      <c r="FN36" s="208"/>
      <c r="FO36" s="208"/>
      <c r="FP36" s="208"/>
      <c r="FQ36" s="208"/>
      <c r="FR36" s="208"/>
      <c r="FS36" s="208"/>
      <c r="FT36" s="208"/>
      <c r="FU36" s="208"/>
      <c r="FV36" s="208"/>
      <c r="FW36" s="208"/>
      <c r="FX36" s="208"/>
      <c r="FY36" s="208"/>
      <c r="FZ36" s="208"/>
      <c r="GA36" s="208"/>
      <c r="GB36" s="208"/>
      <c r="GC36" s="208"/>
      <c r="GD36" s="208"/>
      <c r="GE36" s="208"/>
      <c r="GF36" s="208"/>
      <c r="GG36" s="208"/>
      <c r="GH36" s="208"/>
    </row>
    <row r="37">
      <c r="B37" s="199"/>
      <c r="C37" s="520" t="s">
        <v>335</v>
      </c>
      <c r="D37" s="360">
        <v>2.0</v>
      </c>
      <c r="E37" s="521" t="str">
        <f>"S"&amp;D37</f>
        <v>S2</v>
      </c>
      <c r="W37" s="201"/>
      <c r="X37" s="522"/>
      <c r="Y37" s="523"/>
      <c r="Z37" s="523"/>
      <c r="AA37" s="523"/>
      <c r="AB37" s="523"/>
      <c r="AC37" s="523"/>
      <c r="AD37" s="524"/>
      <c r="AE37" s="525"/>
      <c r="AF37" s="526" t="s">
        <v>336</v>
      </c>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527"/>
      <c r="BU37" s="528"/>
      <c r="BV37" s="528"/>
      <c r="BW37" s="528"/>
      <c r="BX37" s="106"/>
      <c r="BY37" s="106"/>
      <c r="BZ37" s="529" t="s">
        <v>337</v>
      </c>
      <c r="CA37" s="221"/>
      <c r="CB37" s="221"/>
      <c r="CC37" s="221"/>
      <c r="CD37" s="221"/>
      <c r="CE37" s="221"/>
      <c r="CF37" s="221"/>
      <c r="CG37" s="221"/>
      <c r="CH37" s="221"/>
      <c r="CI37" s="221"/>
      <c r="CJ37" s="221"/>
      <c r="CK37" s="221"/>
      <c r="CL37" s="221"/>
      <c r="CM37" s="222"/>
      <c r="DE37" s="106"/>
      <c r="DF37" s="106"/>
      <c r="DG37" s="106"/>
      <c r="DH37" s="106"/>
      <c r="DI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X37" s="208"/>
      <c r="EY37" s="208"/>
      <c r="EZ37" s="208"/>
      <c r="FA37" s="208"/>
      <c r="FB37" s="208"/>
      <c r="FC37" s="208"/>
      <c r="FD37" s="208"/>
      <c r="FE37" s="208"/>
      <c r="FF37" s="208"/>
      <c r="FG37" s="208"/>
      <c r="FH37" s="208"/>
      <c r="FI37" s="208"/>
      <c r="FJ37" s="208"/>
      <c r="FK37" s="208"/>
      <c r="FL37" s="208"/>
      <c r="FM37" s="208"/>
      <c r="FN37" s="208"/>
      <c r="FO37" s="208"/>
      <c r="FP37" s="208"/>
      <c r="FQ37" s="208"/>
      <c r="FR37" s="208"/>
      <c r="FS37" s="208"/>
      <c r="FT37" s="208"/>
      <c r="FU37" s="208"/>
      <c r="FV37" s="208"/>
      <c r="FW37" s="208"/>
      <c r="FX37" s="208"/>
      <c r="FY37" s="208"/>
      <c r="FZ37" s="208"/>
      <c r="GA37" s="208"/>
      <c r="GB37" s="208"/>
      <c r="GC37" s="208"/>
      <c r="GD37" s="208"/>
      <c r="GE37" s="208"/>
      <c r="GF37" s="208"/>
      <c r="GG37" s="208"/>
      <c r="GH37" s="208"/>
    </row>
    <row r="38">
      <c r="B38" s="199"/>
      <c r="C38" s="520" t="s">
        <v>338</v>
      </c>
      <c r="D38" s="360">
        <v>6.0</v>
      </c>
      <c r="E38" s="128"/>
      <c r="F38" s="530" t="s">
        <v>339</v>
      </c>
      <c r="Q38" s="531"/>
      <c r="R38" s="532"/>
      <c r="S38" s="532"/>
      <c r="T38" s="532"/>
      <c r="U38" s="128"/>
      <c r="W38" s="201"/>
      <c r="X38" s="360" t="s">
        <v>340</v>
      </c>
      <c r="AE38" s="533"/>
      <c r="AF38" s="360"/>
      <c r="AG38" s="534" t="s">
        <v>341</v>
      </c>
      <c r="AJ38" s="226"/>
      <c r="AK38" s="534" t="s">
        <v>342</v>
      </c>
      <c r="AO38" s="534" t="s">
        <v>343</v>
      </c>
      <c r="AS38" s="534" t="s">
        <v>344</v>
      </c>
      <c r="AW38" s="534" t="s">
        <v>345</v>
      </c>
      <c r="BA38" s="534" t="s">
        <v>346</v>
      </c>
      <c r="BE38" s="534" t="s">
        <v>347</v>
      </c>
      <c r="BI38" s="534" t="s">
        <v>348</v>
      </c>
      <c r="BM38" s="534" t="s">
        <v>349</v>
      </c>
      <c r="BQ38" s="534" t="s">
        <v>350</v>
      </c>
      <c r="BT38" s="492"/>
      <c r="BU38" s="535"/>
      <c r="BV38" s="535"/>
      <c r="BW38" s="535"/>
      <c r="BX38" s="106"/>
      <c r="BY38" s="106"/>
      <c r="BZ38" s="536"/>
      <c r="CA38" s="537"/>
      <c r="CB38" s="537"/>
      <c r="CC38" s="537"/>
      <c r="CD38" s="537"/>
      <c r="CE38" s="537"/>
      <c r="CF38" s="537"/>
      <c r="CG38" s="537"/>
      <c r="CH38" s="537"/>
      <c r="CI38" s="537"/>
      <c r="CJ38" s="537"/>
      <c r="CM38" s="226"/>
      <c r="DE38" s="106"/>
      <c r="DF38" s="106"/>
      <c r="DG38" s="106"/>
      <c r="DH38" s="106"/>
      <c r="DI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X38" s="208"/>
      <c r="EY38" s="208"/>
      <c r="EZ38" s="208"/>
      <c r="FA38" s="208"/>
      <c r="FB38" s="208"/>
      <c r="FC38" s="208"/>
      <c r="FD38" s="208"/>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row>
    <row r="39">
      <c r="A39" s="538"/>
      <c r="B39" s="539" t="s">
        <v>351</v>
      </c>
      <c r="C39" s="540"/>
      <c r="D39" s="537" t="s">
        <v>352</v>
      </c>
      <c r="E39" s="541" t="s">
        <v>353</v>
      </c>
      <c r="F39" s="537" t="s">
        <v>293</v>
      </c>
      <c r="G39" s="542" t="s">
        <v>254</v>
      </c>
      <c r="H39" s="537" t="s">
        <v>354</v>
      </c>
      <c r="I39" s="537" t="str">
        <f t="array" ref="I39:I186">{"KG (%)";IFERROR(MROUND(IFS(MID($D$40:$D186,1,2)=$E$14,$F$14*$H$40:$H186,MID($D$40:$D186,1,2)=$E$15,$F$15*$H$40:$H186,MID($D$40:$D186,1,2)=$E$16,$F$16*$H$40:$H186),2.5),"")}</f>
        <v>KG (%)</v>
      </c>
      <c r="J39" s="360" t="s">
        <v>355</v>
      </c>
      <c r="K39" s="537" t="s">
        <v>356</v>
      </c>
      <c r="M39" s="537" t="s">
        <v>257</v>
      </c>
      <c r="O39" s="537" t="s">
        <v>357</v>
      </c>
      <c r="P39" s="537" t="s">
        <v>358</v>
      </c>
      <c r="Q39" s="537" t="s">
        <v>359</v>
      </c>
      <c r="S39" s="542" t="s">
        <v>18</v>
      </c>
      <c r="U39" s="542" t="str">
        <f>"NOTAS DE "&amp;'Introducción'!B19&amp;" "&amp;'Introducción'!B20</f>
        <v>#REF!</v>
      </c>
      <c r="V39" s="542" t="s">
        <v>360</v>
      </c>
      <c r="W39" s="543"/>
      <c r="X39" s="360" t="str">
        <f t="array" ref="X39:X186">{"Tonelaje pre-establecido";IFERROR(F40:F186*G40:G186*I40:I186,"")+IFERROR(F40:F186*G40:G186*J40:J186,"")}</f>
        <v>Tonelaje pre-establecido</v>
      </c>
      <c r="Y39" s="360" t="str">
        <f t="array" ref="Y39:Y186">{"Tonelaje Realizado";CE40:CE186}</f>
        <v>Tonelaje Realizado</v>
      </c>
      <c r="Z39" s="360" t="str">
        <f t="array" ref="Z39:Z186">{"NL pre-establecido";IFERROR( IF(LEN(F40:F186),LEFT(G40:G186,2)*F40:F186,""),"")}</f>
        <v>NL pre-establecido</v>
      </c>
      <c r="AA39" s="360" t="str">
        <f t="array" ref="AA39:AA186">{"% (M)";IF(LEFT($D$40:$D186,2)="SQ",$J$40:$J186/$F$14,IF(LEFT($D$40:$D186,2)="BP",$J$40:$J186/$F$15,IF(LEFT($D$40:D186,2)="DL",$J$40:$J186/$F$16)))}</f>
        <v>% (M)</v>
      </c>
      <c r="AB39" s="360" t="s">
        <v>263</v>
      </c>
      <c r="AC39" s="360"/>
      <c r="AD39" s="360" t="str">
        <f t="array" ref="AD39:AD186">{"Series realizadas";IF(NOT(ISBLANK(AG40:AG186)),1,"")+IF(NOT(ISBLANK(AK40:AK186)),1,"")+IF(NOT(ISBLANK(AO40:AO186)),1,"")+IF(NOT(ISBLANK(AS40:AS186)),1,"")+IF(NOT(ISBLANK(AW40:AW186)),1,"")+IF(NOT(ISBLANK(BA40:BA186)),1,"")+IF(NOT(ISBLANK(BE40:BE186)),1,"")+IF(NOT(ISBLANK(BI40:BI186)),1,"")+IF(NOT(ISBLANK(BM40:BM186)),1,"")+IF(NOT(ISBLANK(BQ40:BQ186)),1,"")}</f>
        <v>Series realizadas</v>
      </c>
      <c r="AE39" s="533"/>
      <c r="AF39" s="360" t="str">
        <f t="array" ref="AF39:AF186">{"EJERCICIOS";IF(ISBLANK($D$40:$D186),"",$E$40:$E186&amp;": "&amp;$F$40:$F186&amp;" x "&amp;$G$40:$G186&amp;" x "&amp;IF(NOT(ISBLANK($H$40:$H186)),$I$40:$I186&amp;" kg",J40:J186&amp;" kg")&amp;IF(NOT(ISBLANK($K$40:$K186))," RIR "&amp;$K$40:$K186,"")&amp;IF(NOT(ISBLANK($L$40:$L186)),"-"&amp;$L$40:$L186,"")&amp;" "&amp;IF(NOT(ISBLANK($M$40:$M186)),"x RPE "&amp;$M$40:$M186,"")&amp;IF(NOT(ISBLANK($N$40:$N186)),"-"&amp;$N$40:$N186,""))}</f>
        <v>EJERCICIOS</v>
      </c>
      <c r="AG39" s="544" t="s">
        <v>254</v>
      </c>
      <c r="AH39" s="545" t="s">
        <v>262</v>
      </c>
      <c r="AI39" s="546" t="s">
        <v>356</v>
      </c>
      <c r="AJ39" s="547" t="s">
        <v>257</v>
      </c>
      <c r="AK39" s="548" t="s">
        <v>254</v>
      </c>
      <c r="AL39" s="545" t="s">
        <v>262</v>
      </c>
      <c r="AM39" s="546" t="s">
        <v>356</v>
      </c>
      <c r="AN39" s="547" t="s">
        <v>257</v>
      </c>
      <c r="AO39" s="548" t="s">
        <v>254</v>
      </c>
      <c r="AP39" s="549" t="s">
        <v>262</v>
      </c>
      <c r="AQ39" s="546" t="s">
        <v>356</v>
      </c>
      <c r="AR39" s="550" t="s">
        <v>257</v>
      </c>
      <c r="AS39" s="548" t="s">
        <v>254</v>
      </c>
      <c r="AT39" s="545" t="s">
        <v>262</v>
      </c>
      <c r="AU39" s="546" t="s">
        <v>356</v>
      </c>
      <c r="AV39" s="550" t="s">
        <v>257</v>
      </c>
      <c r="AW39" s="548" t="s">
        <v>254</v>
      </c>
      <c r="AX39" s="545" t="s">
        <v>262</v>
      </c>
      <c r="AY39" s="546" t="s">
        <v>356</v>
      </c>
      <c r="AZ39" s="550" t="s">
        <v>257</v>
      </c>
      <c r="BA39" s="548" t="s">
        <v>254</v>
      </c>
      <c r="BB39" s="545" t="s">
        <v>262</v>
      </c>
      <c r="BC39" s="546" t="s">
        <v>356</v>
      </c>
      <c r="BD39" s="550" t="s">
        <v>257</v>
      </c>
      <c r="BE39" s="548" t="s">
        <v>254</v>
      </c>
      <c r="BF39" s="545" t="s">
        <v>262</v>
      </c>
      <c r="BG39" s="546" t="s">
        <v>356</v>
      </c>
      <c r="BH39" s="550" t="s">
        <v>257</v>
      </c>
      <c r="BI39" s="548" t="s">
        <v>254</v>
      </c>
      <c r="BJ39" s="545" t="s">
        <v>262</v>
      </c>
      <c r="BK39" s="546" t="s">
        <v>356</v>
      </c>
      <c r="BL39" s="550" t="s">
        <v>257</v>
      </c>
      <c r="BM39" s="548" t="s">
        <v>254</v>
      </c>
      <c r="BN39" s="545" t="s">
        <v>262</v>
      </c>
      <c r="BO39" s="546" t="s">
        <v>356</v>
      </c>
      <c r="BP39" s="550" t="s">
        <v>257</v>
      </c>
      <c r="BQ39" s="548" t="s">
        <v>254</v>
      </c>
      <c r="BR39" s="545" t="s">
        <v>262</v>
      </c>
      <c r="BS39" s="546" t="s">
        <v>356</v>
      </c>
      <c r="BT39" s="551" t="s">
        <v>257</v>
      </c>
      <c r="BU39" s="552"/>
      <c r="BV39" s="540"/>
      <c r="BW39" s="552"/>
      <c r="BX39" s="553"/>
      <c r="BY39" s="553"/>
      <c r="BZ39" s="554" t="str">
        <f t="array" ref="BZ39:BZ186">{"1RM";IFERROR(IFS(MID(D40:D186,1,2)=$E$14,$F$14,MID(D40:D186,1,2)=$E$15,$F$15,MID(D40:D186,1,2)=$E$16,$F$16),)}</f>
        <v>1RM</v>
      </c>
      <c r="CA39" s="555" t="str">
        <f t="array" ref="CA39:CA186">{"aRI";IFERROR(IF(COUNTIF(D40:D186,E14)+COUNTIF(D40:D186,E15)+COUNTIF(D40:D186,E16)=0, IFS(MID(D40:D186,1,2)=E14, IF(MID(D40:D186,1,2)=E14, ((AH40:AH186)+(AL40:AL186)+(AP40:AP186)+(AT40:AT186)+(AX40:AX186)+(BB40:BB186)+(BF40:BF186)+(BJ40:BJ186)+(BN40:BN186)+(BR40:BR186))/AD40:AD186*100%/$F$14,((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15,IF(MID(D40:D186,1,2)=E15, ((AH40:AH186)+(AL40:AL186)+(AP40:AP186)+(AT40:AT186)+(AX40:AX186)+(BB40:BB186)+(BF40:BF186)+(BJ40:BJ186)+(BN40:BN186)+(BR40:BR186))/AD40:AD186*100%/$F$15,((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16,IF(MID(D40:D186,1,2)=E16, ((AH40:AH186)+(AL40:AL186)+(AP40:AP186)+(AT40:AT186)+(AX40:AX186)+(BB40:BB186)+(BF40:BF186)+(BJ40:BJ186)+(BN40:BN186)+(BR40:BR186))/AD40:AD186*100%/$F$16,((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f>
        <v>aRI</v>
      </c>
      <c r="CB39" s="555" t="str">
        <f t="array" ref="CB39:CB186">{"aI";IFERROR(((AH40:AH186)+(AL40:AL186)+(AP40:AP186)+(AT40:AT186)+(AX40:AX186)+(BB40:BB186)+(BF40:BF186)+(BJ40:BJ186)+(BN40:BN186)+(BR40:BR186))/(AD40:AD186),"")}</f>
        <v>aI</v>
      </c>
      <c r="CC39" s="556" t="str">
        <f t="array" ref="CC39:CC186">{"NL";AG40:AG186+AK40:AK186+AO40:AO186+AS40:AS186+AW40:AW186+BA40:BA186+BE40:BE186+BI40:BI186+BM40:BM186+BQ40:BQ186}</f>
        <v>NL</v>
      </c>
      <c r="CD39" s="555" t="str">
        <f t="array" ref="CD39:CD186">{"avg_RIR";IFERROR(((AI40:AI186)+(AM40:AM186)+(AQ40:AQ186)+(AU40:AU186)+(AY40:AY186)+(BC40:BC186)+(BG40:BG186)+(BK40:BK186)+(BO40:BO186)+(BS40:BS186))/(AD40:AD186),"")}</f>
        <v>avg_RIR</v>
      </c>
      <c r="CE39" s="555" t="str">
        <f t="array" ref="CE39:CE186">{"TONELAJE";(AG40:AG186*AH40:AH186)+(AK40:AK186*AL40:AL186)+(AO40:AO186*AP40:AP186)+(AS40:AS186*AT40:AT186)+(AW40:AW186*AX40:AX186)+(BA40:BA186*BB40:BB186)*(BE40:BE186*BF40:BF186)+(BI40:BI186*BJ40:BJ186)+(BM40:BM186*BN40:BN186)+(BQ40:BQ186*BR40:BR186)}</f>
        <v>TONELAJE</v>
      </c>
      <c r="CF39" s="556" t="str">
        <f t="array" ref="CF39:CF186">{"IMPULSO";IFERROR((CE40:CE186/BZ40:BZ186),"")}</f>
        <v>IMPULSO</v>
      </c>
      <c r="CG39" s="556" t="str">
        <f t="array" ref="CG39:CG186">{"INOL";(CC40:CC186)/(100-100*(CA40:CA186))}</f>
        <v>INOL</v>
      </c>
      <c r="CH39" s="555" t="str">
        <f t="array" ref="CH39:CH186">{"pred1RM";IFERROR(((AH40:AH186+AL40:AL186+AP40:AP186+AT40:AT186+AX40:AX186+BB40:BB186+BF40:BF186+BJ40:BJ186+BN40:BN186+BR40:BR186)/AD40:AD186*(((AG40:AG186+AK40:AK186+AO40:AO186+AS40:AS186+AW40:AW186+BA40:BA186+BC40:BC186+BE40:BE186+BI40:BI186+BM40:BM186+BQ40:BQ186)/AD40:AD186+(-(AJ40:AJ186+AN40:AN186+AR40:AR186+AV40:AV186+AZ40:AZ186+BD40:BD186+BH40:BH186+BL40:BL186+BP40:BP186+BT40:BT186)/#REF!)+10)*0.0333)+(AH40:AH186+AL40:AL186+AP40:AP186+AT40:AT186+AX40:AX186+BB40:BB186+BF40:BF186+BJ40:BJ186+BN40:BN186+BR40:BR186)/AD40:AD186),"")}</f>
        <v>pred1RM</v>
      </c>
      <c r="CI39" s="555" t="str">
        <f t="array" ref="CI39:CI186">{"prox1RM";IFERROR(((AH40:AH186+AL40:AL186+AP40:AP186+AT40:AT186+AX40:AX186+BB40:BB186+BF40:BF186+BJ40:BJ186+BN40:BN186+BR40:BR186)/AD40:AD186*(((AG40:AG186+AK40:AK186+AO40:AO186+AS40:AS186+AW40:AW186+BA40:BA186+BC40:BC186+BE40:BE186+BI40:BI186+BM40:BM186+BQ40:BQ186)/AD40:AD186)*0.0333)+(AH40:AH186+AL40:AL186+AP40:AP186+AT40:AT186+AX40:AX186+BB40:BB186+BF40:BF186+BJ40:BJ186+BN40:BN186+BR40:BR186)/AD40:AD186)/IFS(MID(D40:D186,1,2)=$E$14,$F$14,MID(D40:D186,1,2)=$E$15,$F$15,MID(D40:D186,1,2)=$E$16,$F$16),"")}</f>
        <v>prox1RM</v>
      </c>
      <c r="CJ39" s="557" t="str">
        <f t="array" ref="CJ39:CJ186">{"S.I.";IFERROR(IF(ISBLANK(AI40:AI186),"", IFS(AI40:AI186=0,1.6,AI40:AI186=1,1.2,AI40:AI186=2,1,AI40:AI186=3,0.8,AI40:AI186=4,0.6))+IF(ISBLANK(AM40:AM186),"", IFS(AM40:AM186=0,1.6,AM40:AM186=1,1.2,AM40:AM186=2,1,AM40:AM186=3,0.8,AM40:AM186=4,0.6))+IF(ISBLANK(AQ40:AQ186),"", IFS(AQ40:AQ186=0,1.6,AQ40:AQ186=1,1.2,AQ40:AQ186=2,1,AQ40:AQ186=3,0.8,AQ40:AQ186=4,0.6))+IF(ISBLANK(AU40:AU186),"", IFS(AU40:AU186=0,1.6,AU40:AU186=1,1.2,AU40:AU186=2,1,AU40:AU186=3,0.8,AU40:AU186=4,0.6))+IF(ISBLANK(AY40:AY186),"", IFS(AY40:AY186=0,1.6,AY40:AY186=1,1.2,AY40:AY186=2,1,AY40:AY186=3,0.8,AY40:AY186=4,0.6))+IF(ISBLANK(BC40:BC186),"", IFS(BC40:BC186=0,1.6,BC40:BC186=1,1.2,BC40:BC186=2,1,BC40:BC186=3,0.8,BC40:BC186=4,0.6))+IF(ISBLANK(BG40:BG186),"", IFS(BG40:BG186=0,1.6,BG40:BG186=1,1.2,BG40:BG186=2,1,BG40:BG186=3,0.8,BG40:BG186=4,0.6))+IF(ISBLANK(BK40:BK186),"", IFS(BK40:BK186=0,1.6,BK40:BK186=1,1.2,BK40:BK186=2,1,BK40:BK186=3,0.8,BK40:BK186=4,0.6))+IF(ISBLANK(BO40:BO186),"", IFS(BO40:BO186=0,1.6,BO40:BO186=1,1.2,BO40:BO186=2,1,BO40:BO186=3,0.8,BO40:BO186=4,0.6))+IF(ISBLANK(BS40:BS186),"", IFS(BS40:BS186=0,1.6,BS40:BS186=1,1.2,BS40:BS186=2,1,BS40:BS186=3,0.8,BS40:BS186=4,0.6)),"")}</f>
        <v>S.I.</v>
      </c>
      <c r="CK39" s="556" t="str">
        <f t="array" ref="CK39:CK186">{"avg_RPE";IFERROR(((AJ40:AJ186)+(AN40:AN186)+(AR40:AR186)+(AV40:AV186)+(AZ40:AZ186)+(BD40:BD186)+(BH40:BH186)+(BL40:BL186)+(BP40:BP186)+(BT40:BT186))/(AD40:AD186),"")}</f>
        <v>avg_RPE</v>
      </c>
      <c r="CL39" s="556" t="str">
        <f t="array" ref="CL39:CL186">{"e1RM Steve Denovi F1";IFERROR((AH40:AH186+AL40:AL186+AP40:AP186+AT40:AT186+AX40:AX186+BB40:BB186+BF40:BF186+BJ40:BJ186+BN40:BN186+BR40:BR186)/AD40:AD186/((VLOOKUP(AJ40:AJ186,$EX$3:$FJ$16,AG40:AG186+1,0))+IFERROR( VLOOKUP(AN40:AN186,$EX$3:$FJ$16,AK40:AK186+1,0),"")+IFERROR( VLOOKUP(AR40:AR186,$EX$3:$FJ$16,AO40:AO186+1,0),"")+IFERROR( VLOOKUP(AV40:AV186,$EX$3:$FJ$16,AS40:AS186+1,0),"")+IFERROR( VLOOKUP(AZ40:AZ186,$EX$3:$FJ$16,AW40:AW186+1,0),"")+IFERROR( VLOOKUP(BD40:BD186,$EX$3:$FJ$16,BA40:BA186+1,0),"")+IFERROR( VLOOKUP(BH40:BH186,$EX$3:$FJ$16,BE40:BE186+1,0),"")+IFERROR( VLOOKUP(BL40:BL186,$EX$3:$FJ$16,BI40:BI186+1,0),"")+IFERROR( VLOOKUP(BP40:BP186,$EX$3:$FJ$16,BM40:BM186+1,0),"")+IFERROR( VLOOKUP(BT40:BT186,$EX$3:$FJ$16,BQ40:BQ186+1,0),""))*AD40:AD186,"")}</f>
        <v>e1RM Steve Denovi F1</v>
      </c>
      <c r="CM39" s="558" t="str">
        <f t="array" ref="CM39:CM186">{"e1RM Steve Denovi F2";IFERROR((AH40:AH186+AL40:AL186+AP40:AP186+AT40:AT186+AX40:AX186+BB40:BB186+BF40:BF186+BJ40:BJ186+BN40:BN186+BR40:BR186)/AD40:AD186/((VLOOKUP(AJ40:AJ186,$FL$3:$FX$16,AG40:AG186+1,0))+IFERROR( VLOOKUP(AN40:AN186,$FL$3:$FX$16,AK40:AK186+1,0),"")+IFERROR( VLOOKUP(AR40:AR186,$FL$3:$FX$16,AO40:AO186+1,0),"")+IFERROR( VLOOKUP(AV40:AV186,$FL$3:$FX$16,AS40:AS186+1,0),"")+IFERROR( VLOOKUP(AZ40:AZ186,$FL$3:$FX$16,AW40:AW186+1,0),"")+IFERROR( VLOOKUP(BD40:BD186,$FL$3:$FX$16,BA40:BA186+1,0),"")+IFERROR( VLOOKUP(BH40:BH186,$FL$3:$FX$16,BE40:BE186+1,0),"")+IFERROR( VLOOKUP(BL40:BL186,$FL$3:$FX$16,BI40:BI186+1,0),"")+IFERROR( VLOOKUP(BP40:BP186,$FL$3:$FX$16,BM40:BM186+1,0),"")+IFERROR( VLOOKUP(BT40:BT186,$FL$3:$FX$16,BQ40:BQ186+1,0),""))*AD40:AD186,"")}</f>
        <v>e1RM Steve Denovi F2</v>
      </c>
      <c r="CN39" s="538"/>
      <c r="CO39" s="538"/>
      <c r="CP39" s="538"/>
      <c r="CQ39" s="538"/>
      <c r="CR39" s="538"/>
      <c r="CS39" s="538"/>
      <c r="CT39" s="538"/>
      <c r="CU39" s="538"/>
      <c r="CV39" s="538"/>
      <c r="CW39" s="538"/>
      <c r="CX39" s="538"/>
      <c r="CY39" s="538"/>
      <c r="CZ39" s="538"/>
      <c r="DA39" s="538"/>
      <c r="DB39" s="538"/>
      <c r="DC39" s="538"/>
      <c r="DD39" s="538"/>
      <c r="DE39" s="553"/>
      <c r="DF39" s="553"/>
      <c r="DG39" s="553"/>
      <c r="DH39" s="553"/>
      <c r="DI39" s="553"/>
      <c r="DJ39" s="538"/>
      <c r="DK39" s="538"/>
      <c r="DL39" s="538"/>
      <c r="DM39" s="538"/>
      <c r="DN39" s="538"/>
      <c r="DO39" s="538"/>
      <c r="DP39" s="538"/>
      <c r="DQ39" s="538"/>
      <c r="DR39" s="538"/>
      <c r="DS39" s="553"/>
      <c r="DT39" s="553"/>
      <c r="DU39" s="553"/>
      <c r="DV39" s="553"/>
      <c r="DW39" s="553"/>
      <c r="DX39" s="553"/>
      <c r="DY39" s="553"/>
      <c r="DZ39" s="553"/>
      <c r="EA39" s="553"/>
      <c r="EB39" s="553"/>
      <c r="EC39" s="553"/>
      <c r="ED39" s="553"/>
      <c r="EE39" s="553"/>
      <c r="EF39" s="553"/>
      <c r="EG39" s="553"/>
      <c r="EH39" s="553"/>
      <c r="EI39" s="553"/>
      <c r="EJ39" s="553"/>
      <c r="EK39" s="553"/>
      <c r="EL39" s="553"/>
      <c r="EM39" s="553"/>
      <c r="EN39" s="553"/>
      <c r="EO39" s="553"/>
      <c r="EP39" s="553"/>
      <c r="EQ39" s="553"/>
      <c r="ER39" s="553"/>
      <c r="ES39" s="553"/>
      <c r="ET39" s="553"/>
      <c r="EU39" s="553"/>
      <c r="EV39" s="553"/>
      <c r="EW39" s="538"/>
      <c r="EX39" s="559"/>
      <c r="EY39" s="559"/>
      <c r="EZ39" s="559"/>
      <c r="FA39" s="559"/>
      <c r="FB39" s="559"/>
      <c r="FC39" s="559"/>
      <c r="FD39" s="559"/>
      <c r="FE39" s="559"/>
      <c r="FF39" s="559"/>
      <c r="FG39" s="559"/>
      <c r="FH39" s="559"/>
      <c r="FI39" s="559"/>
      <c r="FJ39" s="559"/>
      <c r="FK39" s="559"/>
      <c r="FL39" s="559"/>
      <c r="FM39" s="559"/>
      <c r="FN39" s="559"/>
      <c r="FO39" s="559"/>
      <c r="FP39" s="559"/>
      <c r="FQ39" s="559"/>
      <c r="FR39" s="559"/>
      <c r="FS39" s="559"/>
      <c r="FT39" s="559"/>
      <c r="FU39" s="559"/>
      <c r="FV39" s="559"/>
      <c r="FW39" s="559"/>
      <c r="FX39" s="559"/>
      <c r="FY39" s="559"/>
      <c r="FZ39" s="559"/>
      <c r="GA39" s="559"/>
      <c r="GB39" s="559"/>
      <c r="GC39" s="559"/>
      <c r="GD39" s="559"/>
      <c r="GE39" s="559"/>
      <c r="GF39" s="559"/>
      <c r="GG39" s="559"/>
      <c r="GH39" s="559"/>
    </row>
    <row r="40">
      <c r="A40" s="538"/>
      <c r="B40" s="560"/>
      <c r="C40" s="47"/>
      <c r="D40" s="561" t="s">
        <v>266</v>
      </c>
      <c r="E40" s="562" t="s">
        <v>361</v>
      </c>
      <c r="F40" s="563">
        <v>3.0</v>
      </c>
      <c r="G40" s="560">
        <v>5.0</v>
      </c>
      <c r="H40" s="564">
        <v>0.68</v>
      </c>
      <c r="I40" s="565">
        <v>122.5</v>
      </c>
      <c r="J40" s="566"/>
      <c r="K40" s="567"/>
      <c r="L40" s="568"/>
      <c r="M40" s="569"/>
      <c r="N40" s="570"/>
      <c r="O40" s="571"/>
      <c r="P40" s="571"/>
      <c r="Q40" s="47"/>
      <c r="R40" s="47"/>
      <c r="S40" s="572"/>
      <c r="T40" s="572"/>
      <c r="U40" s="573"/>
      <c r="V40" s="574"/>
      <c r="W40" s="575"/>
      <c r="X40" s="576">
        <v>1837.5</v>
      </c>
      <c r="Y40" s="577" t="e">
        <v>#VALUE!</v>
      </c>
      <c r="Z40" s="577">
        <v>15.0</v>
      </c>
      <c r="AA40" s="578">
        <v>0.0</v>
      </c>
      <c r="AB40" s="578"/>
      <c r="AC40" s="579"/>
      <c r="AD40" s="580">
        <v>3.0</v>
      </c>
      <c r="AE40" s="581"/>
      <c r="AF40" s="582" t="s">
        <v>362</v>
      </c>
      <c r="AG40" s="583">
        <v>5.0</v>
      </c>
      <c r="AH40" s="584" t="s">
        <v>363</v>
      </c>
      <c r="AI40" s="583">
        <v>3.0</v>
      </c>
      <c r="AJ40" s="585">
        <v>7.0</v>
      </c>
      <c r="AK40" s="583">
        <v>5.0</v>
      </c>
      <c r="AL40" s="584">
        <v>123.0</v>
      </c>
      <c r="AM40" s="583">
        <v>3.0</v>
      </c>
      <c r="AN40" s="585">
        <v>7.0</v>
      </c>
      <c r="AO40" s="583">
        <v>5.0</v>
      </c>
      <c r="AP40" s="584" t="s">
        <v>364</v>
      </c>
      <c r="AQ40" s="583">
        <v>4.0</v>
      </c>
      <c r="AR40" s="585">
        <v>6.0</v>
      </c>
      <c r="AS40" s="583"/>
      <c r="AT40" s="584"/>
      <c r="AU40" s="583"/>
      <c r="AV40" s="585"/>
      <c r="AW40" s="583"/>
      <c r="AX40" s="584"/>
      <c r="AY40" s="583"/>
      <c r="AZ40" s="585"/>
      <c r="BA40" s="583"/>
      <c r="BB40" s="584"/>
      <c r="BC40" s="583"/>
      <c r="BD40" s="585"/>
      <c r="BE40" s="583"/>
      <c r="BF40" s="584"/>
      <c r="BG40" s="583"/>
      <c r="BH40" s="585"/>
      <c r="BI40" s="583"/>
      <c r="BJ40" s="584"/>
      <c r="BK40" s="583"/>
      <c r="BL40" s="585"/>
      <c r="BM40" s="583"/>
      <c r="BN40" s="584"/>
      <c r="BO40" s="583"/>
      <c r="BP40" s="585"/>
      <c r="BQ40" s="583"/>
      <c r="BR40" s="584"/>
      <c r="BS40" s="583"/>
      <c r="BT40" s="586"/>
      <c r="BU40" s="540"/>
      <c r="BV40" s="540"/>
      <c r="BW40" s="540"/>
      <c r="BX40" s="538"/>
      <c r="BY40" s="538"/>
      <c r="BZ40" s="587">
        <v>180.0</v>
      </c>
      <c r="CA40" s="588"/>
      <c r="CB40" s="589" t="s">
        <v>365</v>
      </c>
      <c r="CC40" s="590">
        <v>15.0</v>
      </c>
      <c r="CD40" s="590">
        <v>3.3333333333333335</v>
      </c>
      <c r="CE40" s="590" t="e">
        <v>#VALUE!</v>
      </c>
      <c r="CF40" s="590"/>
      <c r="CG40" s="590">
        <v>0.15</v>
      </c>
      <c r="CH40" s="590"/>
      <c r="CI40" s="591"/>
      <c r="CJ40" s="590">
        <v>2.2</v>
      </c>
      <c r="CK40" s="478">
        <v>6.666666666666667</v>
      </c>
      <c r="CL40" s="592"/>
      <c r="CM40" s="593"/>
      <c r="CN40" s="538"/>
      <c r="CO40" s="538"/>
      <c r="CP40" s="538"/>
      <c r="CQ40" s="538"/>
      <c r="CR40" s="538"/>
      <c r="CS40" s="538"/>
      <c r="CT40" s="538"/>
      <c r="CU40" s="538"/>
      <c r="CV40" s="538"/>
      <c r="CW40" s="538"/>
      <c r="CX40" s="538"/>
      <c r="CY40" s="538"/>
      <c r="CZ40" s="538"/>
      <c r="DA40" s="538"/>
      <c r="DB40" s="538"/>
      <c r="DC40" s="538"/>
      <c r="DD40" s="538"/>
      <c r="DE40" s="538"/>
      <c r="DF40" s="538"/>
      <c r="DG40" s="538"/>
      <c r="DH40" s="538"/>
      <c r="DI40" s="538"/>
      <c r="DJ40" s="538"/>
      <c r="DK40" s="538"/>
      <c r="DL40" s="538"/>
      <c r="DM40" s="538"/>
      <c r="DN40" s="538"/>
      <c r="DO40" s="538"/>
      <c r="DP40" s="538"/>
      <c r="DQ40" s="538"/>
      <c r="DR40" s="538"/>
      <c r="DS40" s="538"/>
      <c r="DT40" s="538"/>
      <c r="DU40" s="538"/>
      <c r="DV40" s="538"/>
      <c r="DW40" s="538"/>
      <c r="DX40" s="538"/>
      <c r="DY40" s="538"/>
      <c r="DZ40" s="538"/>
      <c r="EA40" s="538"/>
      <c r="EB40" s="538"/>
      <c r="EC40" s="538"/>
      <c r="ED40" s="538"/>
      <c r="EE40" s="538"/>
      <c r="EF40" s="538"/>
      <c r="EG40" s="538"/>
      <c r="EH40" s="538"/>
      <c r="EI40" s="538"/>
      <c r="EJ40" s="538"/>
      <c r="EK40" s="538"/>
      <c r="EL40" s="538"/>
      <c r="EM40" s="538"/>
      <c r="EN40" s="538"/>
      <c r="EO40" s="538"/>
      <c r="EP40" s="538"/>
      <c r="EQ40" s="538"/>
      <c r="ER40" s="538"/>
      <c r="ES40" s="538"/>
      <c r="ET40" s="538"/>
      <c r="EU40" s="538"/>
      <c r="EV40" s="538"/>
      <c r="EW40" s="538"/>
      <c r="EX40" s="559"/>
      <c r="EY40" s="559"/>
      <c r="EZ40" s="559"/>
      <c r="FA40" s="559"/>
      <c r="FB40" s="559"/>
      <c r="FC40" s="559"/>
      <c r="FD40" s="559"/>
      <c r="FE40" s="559"/>
      <c r="FF40" s="559"/>
      <c r="FG40" s="559"/>
      <c r="FH40" s="559"/>
      <c r="FI40" s="559"/>
      <c r="FJ40" s="559"/>
      <c r="FK40" s="559"/>
      <c r="FL40" s="559"/>
      <c r="FM40" s="559"/>
      <c r="FN40" s="559"/>
      <c r="FO40" s="559"/>
      <c r="FP40" s="559"/>
      <c r="FQ40" s="559"/>
      <c r="FR40" s="559"/>
      <c r="FS40" s="559"/>
      <c r="FT40" s="559"/>
      <c r="FU40" s="559"/>
      <c r="FV40" s="559"/>
      <c r="FW40" s="559"/>
      <c r="FX40" s="559"/>
      <c r="FY40" s="559"/>
      <c r="FZ40" s="559"/>
      <c r="GA40" s="559"/>
      <c r="GB40" s="559"/>
      <c r="GC40" s="559"/>
      <c r="GD40" s="559"/>
      <c r="GE40" s="559"/>
      <c r="GF40" s="559"/>
      <c r="GG40" s="559"/>
      <c r="GH40" s="559"/>
    </row>
    <row r="41">
      <c r="A41" s="538"/>
      <c r="B41" s="134"/>
      <c r="C41" s="57"/>
      <c r="D41" s="594" t="s">
        <v>307</v>
      </c>
      <c r="E41" s="595" t="s">
        <v>366</v>
      </c>
      <c r="F41" s="596">
        <v>3.0</v>
      </c>
      <c r="G41" s="134">
        <v>6.0</v>
      </c>
      <c r="H41" s="597"/>
      <c r="I41" s="598" t="s">
        <v>365</v>
      </c>
      <c r="J41" s="599"/>
      <c r="K41" s="600">
        <v>2.0</v>
      </c>
      <c r="L41" s="601">
        <v>3.0</v>
      </c>
      <c r="M41" s="602"/>
      <c r="N41" s="603"/>
      <c r="O41" s="604"/>
      <c r="P41" s="604"/>
      <c r="Q41" s="57"/>
      <c r="R41" s="57"/>
      <c r="S41" s="605"/>
      <c r="T41" s="605"/>
      <c r="U41" s="573"/>
      <c r="V41" s="574"/>
      <c r="W41" s="575"/>
      <c r="X41" s="576">
        <v>0.0</v>
      </c>
      <c r="Y41" s="577" t="e">
        <v>#VALUE!</v>
      </c>
      <c r="Z41" s="577">
        <v>18.0</v>
      </c>
      <c r="AA41" s="578" t="b">
        <v>0</v>
      </c>
      <c r="AB41" s="578"/>
      <c r="AC41" s="579"/>
      <c r="AD41" s="580">
        <v>2.0</v>
      </c>
      <c r="AE41" s="581"/>
      <c r="AF41" s="582" t="s">
        <v>367</v>
      </c>
      <c r="AG41" s="583">
        <v>6.0</v>
      </c>
      <c r="AH41" s="584" t="s">
        <v>368</v>
      </c>
      <c r="AI41" s="583">
        <v>4.0</v>
      </c>
      <c r="AJ41" s="585">
        <v>6.0</v>
      </c>
      <c r="AK41" s="583">
        <v>6.0</v>
      </c>
      <c r="AL41" s="584" t="s">
        <v>369</v>
      </c>
      <c r="AM41" s="583">
        <v>4.0</v>
      </c>
      <c r="AN41" s="585">
        <v>7.0</v>
      </c>
      <c r="AO41" s="583"/>
      <c r="AP41" s="584">
        <v>120.0</v>
      </c>
      <c r="AQ41" s="583"/>
      <c r="AR41" s="585"/>
      <c r="AS41" s="583"/>
      <c r="AT41" s="584"/>
      <c r="AU41" s="583"/>
      <c r="AV41" s="585"/>
      <c r="AW41" s="583"/>
      <c r="AX41" s="584"/>
      <c r="AY41" s="583"/>
      <c r="AZ41" s="585"/>
      <c r="BA41" s="583"/>
      <c r="BB41" s="584"/>
      <c r="BC41" s="583"/>
      <c r="BD41" s="585"/>
      <c r="BE41" s="583"/>
      <c r="BF41" s="584"/>
      <c r="BG41" s="583"/>
      <c r="BH41" s="585"/>
      <c r="BI41" s="583"/>
      <c r="BJ41" s="584"/>
      <c r="BK41" s="583"/>
      <c r="BL41" s="585"/>
      <c r="BM41" s="583"/>
      <c r="BN41" s="584"/>
      <c r="BO41" s="583"/>
      <c r="BP41" s="585"/>
      <c r="BQ41" s="583"/>
      <c r="BR41" s="584"/>
      <c r="BS41" s="583"/>
      <c r="BT41" s="586"/>
      <c r="BU41" s="540"/>
      <c r="BV41" s="540"/>
      <c r="BW41" s="540"/>
      <c r="BX41" s="538"/>
      <c r="BY41" s="538"/>
      <c r="BZ41" s="587"/>
      <c r="CA41" s="588"/>
      <c r="CB41" s="589" t="s">
        <v>365</v>
      </c>
      <c r="CC41" s="590">
        <v>12.0</v>
      </c>
      <c r="CD41" s="590">
        <v>4.0</v>
      </c>
      <c r="CE41" s="590" t="e">
        <v>#VALUE!</v>
      </c>
      <c r="CF41" s="590"/>
      <c r="CG41" s="590">
        <v>0.12</v>
      </c>
      <c r="CH41" s="590"/>
      <c r="CI41" s="591"/>
      <c r="CJ41" s="590">
        <v>1.2</v>
      </c>
      <c r="CK41" s="478">
        <v>6.5</v>
      </c>
      <c r="CL41" s="592"/>
      <c r="CM41" s="593"/>
      <c r="CN41" s="538"/>
      <c r="CO41" s="538"/>
      <c r="CP41" s="538"/>
      <c r="CQ41" s="538"/>
      <c r="CR41" s="538"/>
      <c r="CS41" s="538"/>
      <c r="CT41" s="538"/>
      <c r="CU41" s="538"/>
      <c r="CV41" s="538"/>
      <c r="CW41" s="538"/>
      <c r="CX41" s="538"/>
      <c r="CY41" s="538"/>
      <c r="CZ41" s="538"/>
      <c r="DA41" s="538"/>
      <c r="DB41" s="538"/>
      <c r="DC41" s="538"/>
      <c r="DD41" s="538"/>
      <c r="DE41" s="538"/>
      <c r="DF41" s="538"/>
      <c r="DG41" s="538"/>
      <c r="DH41" s="538"/>
      <c r="DI41" s="538"/>
      <c r="DJ41" s="538"/>
      <c r="DK41" s="538"/>
      <c r="DL41" s="538"/>
      <c r="DM41" s="538"/>
      <c r="DN41" s="538"/>
      <c r="DO41" s="538"/>
      <c r="DP41" s="538"/>
      <c r="DQ41" s="538"/>
      <c r="DR41" s="538"/>
      <c r="DS41" s="538"/>
      <c r="DT41" s="538"/>
      <c r="DU41" s="538"/>
      <c r="DV41" s="538"/>
      <c r="DW41" s="538"/>
      <c r="DX41" s="538"/>
      <c r="DY41" s="538"/>
      <c r="DZ41" s="538"/>
      <c r="EA41" s="538"/>
      <c r="EB41" s="538"/>
      <c r="EC41" s="538"/>
      <c r="ED41" s="538"/>
      <c r="EE41" s="538"/>
      <c r="EF41" s="538"/>
      <c r="EG41" s="538"/>
      <c r="EH41" s="538"/>
      <c r="EI41" s="538"/>
      <c r="EJ41" s="538"/>
      <c r="EK41" s="538"/>
      <c r="EL41" s="538"/>
      <c r="EM41" s="538"/>
      <c r="EN41" s="538"/>
      <c r="EO41" s="538"/>
      <c r="EP41" s="538"/>
      <c r="EQ41" s="538"/>
      <c r="ER41" s="538"/>
      <c r="ES41" s="538"/>
      <c r="ET41" s="538"/>
      <c r="EU41" s="538"/>
      <c r="EV41" s="538"/>
      <c r="EW41" s="538"/>
      <c r="EX41" s="559"/>
      <c r="EY41" s="559"/>
      <c r="EZ41" s="559"/>
      <c r="FA41" s="559"/>
      <c r="FB41" s="559"/>
      <c r="FC41" s="559"/>
      <c r="FD41" s="559"/>
      <c r="FE41" s="559"/>
      <c r="FF41" s="559"/>
      <c r="FG41" s="559"/>
      <c r="FH41" s="559"/>
      <c r="FI41" s="559"/>
      <c r="FJ41" s="559"/>
      <c r="FK41" s="559"/>
      <c r="FL41" s="559"/>
      <c r="FM41" s="559"/>
      <c r="FN41" s="559"/>
      <c r="FO41" s="559"/>
      <c r="FP41" s="559"/>
      <c r="FQ41" s="559"/>
      <c r="FR41" s="559"/>
      <c r="FS41" s="559"/>
      <c r="FT41" s="559"/>
      <c r="FU41" s="559"/>
      <c r="FV41" s="559"/>
      <c r="FW41" s="559"/>
      <c r="FX41" s="559"/>
      <c r="FY41" s="559"/>
      <c r="FZ41" s="559"/>
      <c r="GA41" s="559"/>
      <c r="GB41" s="559"/>
      <c r="GC41" s="559"/>
      <c r="GD41" s="559"/>
      <c r="GE41" s="559"/>
      <c r="GF41" s="559"/>
      <c r="GG41" s="559"/>
      <c r="GH41" s="559"/>
    </row>
    <row r="42">
      <c r="A42" s="538"/>
      <c r="B42" s="560"/>
      <c r="C42" s="47"/>
      <c r="D42" s="561" t="s">
        <v>302</v>
      </c>
      <c r="E42" s="606" t="s">
        <v>370</v>
      </c>
      <c r="F42" s="563">
        <v>4.0</v>
      </c>
      <c r="G42" s="560">
        <v>8.0</v>
      </c>
      <c r="H42" s="564"/>
      <c r="I42" s="565" t="s">
        <v>365</v>
      </c>
      <c r="J42" s="566"/>
      <c r="K42" s="567">
        <v>2.0</v>
      </c>
      <c r="L42" s="568"/>
      <c r="M42" s="569"/>
      <c r="N42" s="570"/>
      <c r="O42" s="571"/>
      <c r="P42" s="571"/>
      <c r="Q42" s="47"/>
      <c r="R42" s="47"/>
      <c r="S42" s="572"/>
      <c r="T42" s="572"/>
      <c r="U42" s="573"/>
      <c r="V42" s="574"/>
      <c r="W42" s="575"/>
      <c r="X42" s="576">
        <v>0.0</v>
      </c>
      <c r="Y42" s="577" t="e">
        <v>#VALUE!</v>
      </c>
      <c r="Z42" s="577">
        <v>32.0</v>
      </c>
      <c r="AA42" s="578" t="b">
        <v>0</v>
      </c>
      <c r="AB42" s="578"/>
      <c r="AC42" s="579"/>
      <c r="AD42" s="580">
        <v>4.0</v>
      </c>
      <c r="AE42" s="581"/>
      <c r="AF42" s="582" t="s">
        <v>371</v>
      </c>
      <c r="AG42" s="583">
        <v>10.0</v>
      </c>
      <c r="AH42" s="584" t="s">
        <v>372</v>
      </c>
      <c r="AI42" s="583">
        <v>3.0</v>
      </c>
      <c r="AJ42" s="585">
        <v>7.0</v>
      </c>
      <c r="AK42" s="583">
        <v>8.0</v>
      </c>
      <c r="AL42" s="584" t="s">
        <v>373</v>
      </c>
      <c r="AM42" s="583">
        <v>1.0</v>
      </c>
      <c r="AN42" s="585">
        <v>9.0</v>
      </c>
      <c r="AO42" s="583">
        <v>7.0</v>
      </c>
      <c r="AP42" s="584" t="s">
        <v>374</v>
      </c>
      <c r="AQ42" s="583"/>
      <c r="AR42" s="585"/>
      <c r="AS42" s="583">
        <v>7.0</v>
      </c>
      <c r="AT42" s="584">
        <v>35.0</v>
      </c>
      <c r="AU42" s="583"/>
      <c r="AV42" s="585"/>
      <c r="AW42" s="583"/>
      <c r="AX42" s="584"/>
      <c r="AY42" s="583"/>
      <c r="AZ42" s="585"/>
      <c r="BA42" s="583"/>
      <c r="BB42" s="584"/>
      <c r="BC42" s="583"/>
      <c r="BD42" s="585"/>
      <c r="BE42" s="583"/>
      <c r="BF42" s="584"/>
      <c r="BG42" s="583"/>
      <c r="BH42" s="585"/>
      <c r="BI42" s="583"/>
      <c r="BJ42" s="584"/>
      <c r="BK42" s="583"/>
      <c r="BL42" s="585"/>
      <c r="BM42" s="583"/>
      <c r="BN42" s="584"/>
      <c r="BO42" s="583"/>
      <c r="BP42" s="585"/>
      <c r="BQ42" s="583"/>
      <c r="BR42" s="584"/>
      <c r="BS42" s="583"/>
      <c r="BT42" s="586"/>
      <c r="BU42" s="540"/>
      <c r="BV42" s="540"/>
      <c r="BW42" s="540"/>
      <c r="BX42" s="538"/>
      <c r="BY42" s="538"/>
      <c r="BZ42" s="587"/>
      <c r="CA42" s="588"/>
      <c r="CB42" s="589" t="s">
        <v>365</v>
      </c>
      <c r="CC42" s="590">
        <v>32.0</v>
      </c>
      <c r="CD42" s="590">
        <v>1.0</v>
      </c>
      <c r="CE42" s="590" t="e">
        <v>#VALUE!</v>
      </c>
      <c r="CF42" s="590"/>
      <c r="CG42" s="590">
        <v>0.32</v>
      </c>
      <c r="CH42" s="590"/>
      <c r="CI42" s="591"/>
      <c r="CJ42" s="590">
        <v>2.0</v>
      </c>
      <c r="CK42" s="478">
        <v>4.0</v>
      </c>
      <c r="CL42" s="592"/>
      <c r="CM42" s="593"/>
      <c r="CN42" s="538"/>
      <c r="CO42" s="538"/>
      <c r="CP42" s="538"/>
      <c r="CQ42" s="538"/>
      <c r="CR42" s="538"/>
      <c r="CS42" s="538"/>
      <c r="CT42" s="538"/>
      <c r="CU42" s="538"/>
      <c r="CV42" s="538"/>
      <c r="CW42" s="538"/>
      <c r="CX42" s="538"/>
      <c r="CY42" s="538"/>
      <c r="CZ42" s="538"/>
      <c r="DA42" s="538"/>
      <c r="DB42" s="538"/>
      <c r="DC42" s="538"/>
      <c r="DD42" s="538"/>
      <c r="DE42" s="538"/>
      <c r="DF42" s="538"/>
      <c r="DG42" s="538"/>
      <c r="DH42" s="538"/>
      <c r="DI42" s="538"/>
      <c r="DJ42" s="538"/>
      <c r="DK42" s="538"/>
      <c r="DL42" s="538"/>
      <c r="DM42" s="538"/>
      <c r="DN42" s="538"/>
      <c r="DO42" s="538"/>
      <c r="DP42" s="538"/>
      <c r="DQ42" s="538"/>
      <c r="DR42" s="538"/>
      <c r="DS42" s="538"/>
      <c r="DT42" s="538"/>
      <c r="DU42" s="538"/>
      <c r="DV42" s="538"/>
      <c r="DW42" s="538"/>
      <c r="DX42" s="538"/>
      <c r="DY42" s="538"/>
      <c r="DZ42" s="538"/>
      <c r="EA42" s="538"/>
      <c r="EB42" s="538"/>
      <c r="EC42" s="538"/>
      <c r="ED42" s="538"/>
      <c r="EE42" s="538"/>
      <c r="EF42" s="538"/>
      <c r="EG42" s="538"/>
      <c r="EH42" s="538"/>
      <c r="EI42" s="538"/>
      <c r="EJ42" s="538"/>
      <c r="EK42" s="538"/>
      <c r="EL42" s="538"/>
      <c r="EM42" s="538"/>
      <c r="EN42" s="538"/>
      <c r="EO42" s="538"/>
      <c r="EP42" s="538"/>
      <c r="EQ42" s="538"/>
      <c r="ER42" s="538"/>
      <c r="ES42" s="538"/>
      <c r="ET42" s="538"/>
      <c r="EU42" s="538"/>
      <c r="EV42" s="538"/>
      <c r="EW42" s="538"/>
      <c r="EX42" s="559"/>
      <c r="EY42" s="559"/>
      <c r="EZ42" s="559"/>
      <c r="FA42" s="559"/>
      <c r="FB42" s="559"/>
      <c r="FC42" s="559"/>
      <c r="FD42" s="559"/>
      <c r="FE42" s="559"/>
      <c r="FF42" s="559"/>
      <c r="FG42" s="559"/>
      <c r="FH42" s="559"/>
      <c r="FI42" s="559"/>
      <c r="FJ42" s="559"/>
      <c r="FK42" s="559"/>
      <c r="FL42" s="559"/>
      <c r="FM42" s="559"/>
      <c r="FN42" s="559"/>
      <c r="FO42" s="559"/>
      <c r="FP42" s="559"/>
      <c r="FQ42" s="559"/>
      <c r="FR42" s="559"/>
      <c r="FS42" s="559"/>
      <c r="FT42" s="559"/>
      <c r="FU42" s="559"/>
      <c r="FV42" s="559"/>
      <c r="FW42" s="559"/>
      <c r="FX42" s="559"/>
      <c r="FY42" s="559"/>
      <c r="FZ42" s="559"/>
      <c r="GA42" s="559"/>
      <c r="GB42" s="559"/>
      <c r="GC42" s="559"/>
      <c r="GD42" s="559"/>
      <c r="GE42" s="559"/>
      <c r="GF42" s="559"/>
      <c r="GG42" s="559"/>
      <c r="GH42" s="559"/>
    </row>
    <row r="43">
      <c r="A43" s="538"/>
      <c r="B43" s="134"/>
      <c r="C43" s="57"/>
      <c r="D43" s="594" t="s">
        <v>302</v>
      </c>
      <c r="E43" s="595" t="s">
        <v>375</v>
      </c>
      <c r="F43" s="596">
        <v>3.0</v>
      </c>
      <c r="G43" s="134">
        <v>12.0</v>
      </c>
      <c r="H43" s="597"/>
      <c r="I43" s="598" t="s">
        <v>365</v>
      </c>
      <c r="J43" s="599"/>
      <c r="K43" s="600">
        <v>2.0</v>
      </c>
      <c r="L43" s="601"/>
      <c r="M43" s="602"/>
      <c r="N43" s="603"/>
      <c r="O43" s="604"/>
      <c r="P43" s="604"/>
      <c r="Q43" s="57"/>
      <c r="S43" s="605"/>
      <c r="U43" s="573"/>
      <c r="V43" s="574"/>
      <c r="W43" s="575"/>
      <c r="X43" s="576">
        <v>0.0</v>
      </c>
      <c r="Y43" s="577">
        <v>0.0</v>
      </c>
      <c r="Z43" s="577">
        <v>36.0</v>
      </c>
      <c r="AA43" s="578" t="b">
        <v>0</v>
      </c>
      <c r="AB43" s="578"/>
      <c r="AC43" s="579"/>
      <c r="AD43" s="580">
        <v>0.0</v>
      </c>
      <c r="AE43" s="581"/>
      <c r="AF43" s="582" t="s">
        <v>376</v>
      </c>
      <c r="AG43" s="583"/>
      <c r="AH43" s="584"/>
      <c r="AI43" s="583"/>
      <c r="AJ43" s="585"/>
      <c r="AK43" s="583"/>
      <c r="AL43" s="584"/>
      <c r="AM43" s="583"/>
      <c r="AN43" s="585"/>
      <c r="AO43" s="583"/>
      <c r="AP43" s="584"/>
      <c r="AQ43" s="583"/>
      <c r="AR43" s="585"/>
      <c r="AS43" s="583"/>
      <c r="AT43" s="584"/>
      <c r="AU43" s="583"/>
      <c r="AV43" s="585"/>
      <c r="AW43" s="583"/>
      <c r="AX43" s="584"/>
      <c r="AY43" s="583"/>
      <c r="AZ43" s="585"/>
      <c r="BA43" s="583"/>
      <c r="BB43" s="584"/>
      <c r="BC43" s="583"/>
      <c r="BD43" s="585"/>
      <c r="BE43" s="583"/>
      <c r="BF43" s="584"/>
      <c r="BG43" s="583"/>
      <c r="BH43" s="585"/>
      <c r="BI43" s="583"/>
      <c r="BJ43" s="584"/>
      <c r="BK43" s="583"/>
      <c r="BL43" s="585"/>
      <c r="BM43" s="583"/>
      <c r="BN43" s="584"/>
      <c r="BO43" s="583"/>
      <c r="BP43" s="585"/>
      <c r="BQ43" s="583"/>
      <c r="BR43" s="584"/>
      <c r="BS43" s="583"/>
      <c r="BT43" s="586"/>
      <c r="BU43" s="540"/>
      <c r="BV43" s="540"/>
      <c r="BW43" s="540"/>
      <c r="BX43" s="538"/>
      <c r="BY43" s="538"/>
      <c r="BZ43" s="587"/>
      <c r="CA43" s="588"/>
      <c r="CB43" s="589" t="s">
        <v>365</v>
      </c>
      <c r="CC43" s="590">
        <v>0.0</v>
      </c>
      <c r="CD43" s="590" t="s">
        <v>365</v>
      </c>
      <c r="CE43" s="590">
        <v>0.0</v>
      </c>
      <c r="CF43" s="590"/>
      <c r="CG43" s="590">
        <v>0.0</v>
      </c>
      <c r="CH43" s="590"/>
      <c r="CI43" s="591"/>
      <c r="CJ43" s="590">
        <v>0.0</v>
      </c>
      <c r="CK43" s="478" t="s">
        <v>365</v>
      </c>
      <c r="CL43" s="592"/>
      <c r="CM43" s="593"/>
      <c r="CN43" s="538"/>
      <c r="CO43" s="538"/>
      <c r="CP43" s="538"/>
      <c r="CQ43" s="538"/>
      <c r="CR43" s="538"/>
      <c r="CS43" s="538"/>
      <c r="CT43" s="538"/>
      <c r="CU43" s="538"/>
      <c r="CV43" s="538"/>
      <c r="CW43" s="538"/>
      <c r="CX43" s="538"/>
      <c r="CY43" s="538"/>
      <c r="CZ43" s="538"/>
      <c r="DA43" s="538"/>
      <c r="DB43" s="538"/>
      <c r="DC43" s="538"/>
      <c r="DD43" s="538"/>
      <c r="DE43" s="538"/>
      <c r="DF43" s="538"/>
      <c r="DG43" s="538"/>
      <c r="DH43" s="538"/>
      <c r="DI43" s="538"/>
      <c r="DJ43" s="538"/>
      <c r="DK43" s="538"/>
      <c r="DL43" s="538"/>
      <c r="DM43" s="538"/>
      <c r="DN43" s="538"/>
      <c r="DO43" s="538"/>
      <c r="DP43" s="538"/>
      <c r="DQ43" s="538"/>
      <c r="DR43" s="538"/>
      <c r="DS43" s="538"/>
      <c r="DT43" s="538"/>
      <c r="DU43" s="538"/>
      <c r="DV43" s="538"/>
      <c r="DW43" s="538"/>
      <c r="DX43" s="538"/>
      <c r="DY43" s="538"/>
      <c r="DZ43" s="538"/>
      <c r="EA43" s="538"/>
      <c r="EB43" s="538"/>
      <c r="EC43" s="538"/>
      <c r="ED43" s="538"/>
      <c r="EE43" s="538"/>
      <c r="EF43" s="538"/>
      <c r="EG43" s="538"/>
      <c r="EH43" s="538"/>
      <c r="EI43" s="538"/>
      <c r="EJ43" s="538"/>
      <c r="EK43" s="538"/>
      <c r="EL43" s="538"/>
      <c r="EM43" s="538"/>
      <c r="EN43" s="538"/>
      <c r="EO43" s="538"/>
      <c r="EP43" s="538"/>
      <c r="EQ43" s="538"/>
      <c r="ER43" s="538"/>
      <c r="ES43" s="538"/>
      <c r="ET43" s="538"/>
      <c r="EU43" s="538"/>
      <c r="EV43" s="538"/>
      <c r="EW43" s="538"/>
      <c r="EX43" s="559"/>
      <c r="EY43" s="559"/>
      <c r="EZ43" s="559"/>
      <c r="FA43" s="559"/>
      <c r="FB43" s="559"/>
      <c r="FC43" s="559"/>
      <c r="FD43" s="559"/>
      <c r="FE43" s="559"/>
      <c r="FF43" s="559"/>
      <c r="FG43" s="559"/>
      <c r="FH43" s="559"/>
      <c r="FI43" s="559"/>
      <c r="FJ43" s="559"/>
      <c r="FK43" s="559"/>
      <c r="FL43" s="559"/>
      <c r="FM43" s="559"/>
      <c r="FN43" s="559"/>
      <c r="FO43" s="559"/>
      <c r="FP43" s="559"/>
      <c r="FQ43" s="559"/>
      <c r="FR43" s="559"/>
      <c r="FS43" s="559"/>
      <c r="FT43" s="559"/>
      <c r="FU43" s="559"/>
      <c r="FV43" s="559"/>
      <c r="FW43" s="559"/>
      <c r="FX43" s="559"/>
      <c r="FY43" s="559"/>
      <c r="FZ43" s="559"/>
      <c r="GA43" s="559"/>
      <c r="GB43" s="559"/>
      <c r="GC43" s="559"/>
      <c r="GD43" s="559"/>
      <c r="GE43" s="559"/>
      <c r="GF43" s="559"/>
      <c r="GG43" s="559"/>
      <c r="GH43" s="559"/>
    </row>
    <row r="44">
      <c r="A44" s="538"/>
      <c r="B44" s="560"/>
      <c r="C44" s="47"/>
      <c r="D44" s="561" t="s">
        <v>332</v>
      </c>
      <c r="E44" s="606" t="s">
        <v>377</v>
      </c>
      <c r="F44" s="563">
        <v>3.0</v>
      </c>
      <c r="G44" s="563">
        <v>20.0</v>
      </c>
      <c r="H44" s="564"/>
      <c r="I44" s="565" t="s">
        <v>365</v>
      </c>
      <c r="J44" s="607"/>
      <c r="K44" s="567">
        <v>2.0</v>
      </c>
      <c r="L44" s="568"/>
      <c r="M44" s="569"/>
      <c r="N44" s="570"/>
      <c r="O44" s="571"/>
      <c r="P44" s="571"/>
      <c r="Q44" s="47"/>
      <c r="S44" s="572"/>
      <c r="U44" s="573"/>
      <c r="V44" s="574"/>
      <c r="W44" s="575"/>
      <c r="X44" s="576">
        <v>0.0</v>
      </c>
      <c r="Y44" s="577">
        <v>0.0</v>
      </c>
      <c r="Z44" s="577">
        <v>60.0</v>
      </c>
      <c r="AA44" s="578" t="b">
        <v>0</v>
      </c>
      <c r="AB44" s="578"/>
      <c r="AC44" s="579"/>
      <c r="AD44" s="608">
        <v>0.0</v>
      </c>
      <c r="AE44" s="609"/>
      <c r="AF44" s="582" t="s">
        <v>378</v>
      </c>
      <c r="AG44" s="583"/>
      <c r="AH44" s="584"/>
      <c r="AI44" s="583"/>
      <c r="AJ44" s="585"/>
      <c r="AK44" s="610"/>
      <c r="AL44" s="611"/>
      <c r="AM44" s="612"/>
      <c r="AN44" s="613"/>
      <c r="AO44" s="610"/>
      <c r="AP44" s="611"/>
      <c r="AQ44" s="612"/>
      <c r="AR44" s="613"/>
      <c r="AS44" s="583"/>
      <c r="AT44" s="584"/>
      <c r="AU44" s="583"/>
      <c r="AV44" s="585"/>
      <c r="AX44" s="584"/>
      <c r="AY44" s="583"/>
      <c r="AZ44" s="585"/>
      <c r="BA44" s="583"/>
      <c r="BB44" s="584"/>
      <c r="BC44" s="583"/>
      <c r="BD44" s="585"/>
      <c r="BE44" s="583"/>
      <c r="BF44" s="584"/>
      <c r="BG44" s="583"/>
      <c r="BH44" s="585"/>
      <c r="BI44" s="583"/>
      <c r="BJ44" s="584"/>
      <c r="BK44" s="583"/>
      <c r="BL44" s="585"/>
      <c r="BM44" s="583"/>
      <c r="BN44" s="584"/>
      <c r="BO44" s="583"/>
      <c r="BP44" s="585"/>
      <c r="BQ44" s="583"/>
      <c r="BR44" s="584"/>
      <c r="BS44" s="583"/>
      <c r="BT44" s="586"/>
      <c r="BU44" s="540"/>
      <c r="BV44" s="540"/>
      <c r="BW44" s="540"/>
      <c r="BX44" s="538"/>
      <c r="BY44" s="538"/>
      <c r="BZ44" s="587"/>
      <c r="CA44" s="591"/>
      <c r="CB44" s="590" t="s">
        <v>365</v>
      </c>
      <c r="CC44" s="590">
        <v>0.0</v>
      </c>
      <c r="CD44" s="590" t="s">
        <v>365</v>
      </c>
      <c r="CE44" s="590">
        <v>0.0</v>
      </c>
      <c r="CF44" s="590"/>
      <c r="CG44" s="590">
        <v>0.0</v>
      </c>
      <c r="CH44" s="590"/>
      <c r="CI44" s="591"/>
      <c r="CJ44" s="590">
        <v>0.0</v>
      </c>
      <c r="CK44" s="478" t="s">
        <v>365</v>
      </c>
      <c r="CL44" s="592"/>
      <c r="CM44" s="593"/>
      <c r="CN44" s="538"/>
      <c r="CO44" s="538"/>
      <c r="CP44" s="538"/>
      <c r="CQ44" s="538"/>
      <c r="CR44" s="538"/>
      <c r="CS44" s="538"/>
      <c r="CT44" s="538"/>
      <c r="CU44" s="538"/>
      <c r="CV44" s="538"/>
      <c r="CW44" s="538"/>
      <c r="CX44" s="538"/>
      <c r="CY44" s="538"/>
      <c r="CZ44" s="538"/>
      <c r="DA44" s="538"/>
      <c r="DB44" s="538"/>
      <c r="DC44" s="538"/>
      <c r="DD44" s="538"/>
      <c r="DE44" s="538"/>
      <c r="DF44" s="538"/>
      <c r="DG44" s="538"/>
      <c r="DH44" s="538"/>
      <c r="DI44" s="538"/>
      <c r="DJ44" s="538"/>
      <c r="DK44" s="538"/>
      <c r="DL44" s="538"/>
      <c r="DM44" s="538"/>
      <c r="DN44" s="538"/>
      <c r="DO44" s="538"/>
      <c r="DP44" s="538"/>
      <c r="DQ44" s="538"/>
      <c r="DR44" s="538"/>
      <c r="DS44" s="538"/>
      <c r="DT44" s="538"/>
      <c r="DU44" s="538"/>
      <c r="DV44" s="538"/>
      <c r="DW44" s="538"/>
      <c r="DX44" s="538"/>
      <c r="DY44" s="538"/>
      <c r="DZ44" s="538"/>
      <c r="EA44" s="538"/>
      <c r="EB44" s="538"/>
      <c r="EC44" s="538"/>
      <c r="ED44" s="538"/>
      <c r="EE44" s="538"/>
      <c r="EF44" s="538"/>
      <c r="EG44" s="538"/>
      <c r="EH44" s="538"/>
      <c r="EI44" s="538"/>
      <c r="EJ44" s="538"/>
      <c r="EK44" s="538"/>
      <c r="EL44" s="538"/>
      <c r="EM44" s="538"/>
      <c r="EN44" s="538"/>
      <c r="EO44" s="538"/>
      <c r="EP44" s="538"/>
      <c r="EQ44" s="538"/>
      <c r="ER44" s="538"/>
      <c r="ES44" s="538"/>
      <c r="ET44" s="538"/>
      <c r="EU44" s="538"/>
      <c r="EV44" s="538"/>
      <c r="EW44" s="538"/>
      <c r="EX44" s="559"/>
      <c r="EY44" s="559"/>
      <c r="EZ44" s="559"/>
      <c r="FA44" s="559"/>
      <c r="FB44" s="559"/>
      <c r="FC44" s="559"/>
      <c r="FD44" s="559"/>
      <c r="FE44" s="559"/>
      <c r="FF44" s="559"/>
      <c r="FG44" s="559"/>
      <c r="FH44" s="559"/>
      <c r="FI44" s="559"/>
      <c r="FJ44" s="559"/>
      <c r="FK44" s="559"/>
      <c r="FL44" s="559"/>
      <c r="FM44" s="559"/>
      <c r="FN44" s="559"/>
      <c r="FO44" s="559"/>
      <c r="FP44" s="559"/>
      <c r="FQ44" s="559"/>
      <c r="FR44" s="559"/>
      <c r="FS44" s="559"/>
      <c r="FT44" s="559"/>
      <c r="FU44" s="559"/>
      <c r="FV44" s="559"/>
      <c r="FW44" s="559"/>
      <c r="FX44" s="559"/>
      <c r="FY44" s="559"/>
      <c r="FZ44" s="559"/>
      <c r="GA44" s="559"/>
      <c r="GB44" s="559"/>
      <c r="GC44" s="559"/>
      <c r="GD44" s="559"/>
      <c r="GE44" s="559"/>
      <c r="GF44" s="559"/>
      <c r="GG44" s="559"/>
      <c r="GH44" s="559"/>
    </row>
    <row r="45">
      <c r="A45" s="538"/>
      <c r="B45" s="156" t="s">
        <v>379</v>
      </c>
      <c r="C45" s="444"/>
      <c r="D45" s="614"/>
      <c r="E45" s="595"/>
      <c r="F45" s="596"/>
      <c r="G45" s="596"/>
      <c r="H45" s="615"/>
      <c r="I45" s="616" t="s">
        <v>365</v>
      </c>
      <c r="J45" s="599"/>
      <c r="K45" s="600"/>
      <c r="L45" s="601"/>
      <c r="M45" s="602"/>
      <c r="N45" s="617"/>
      <c r="O45" s="604"/>
      <c r="P45" s="57"/>
      <c r="Q45" s="57"/>
      <c r="S45" s="605"/>
      <c r="U45" s="573"/>
      <c r="V45" s="574"/>
      <c r="W45" s="618"/>
      <c r="X45" s="576">
        <v>0.0</v>
      </c>
      <c r="Y45" s="577">
        <v>0.0</v>
      </c>
      <c r="Z45" s="577" t="s">
        <v>365</v>
      </c>
      <c r="AA45" s="578" t="b">
        <v>0</v>
      </c>
      <c r="AB45" s="578"/>
      <c r="AC45" s="579"/>
      <c r="AD45" s="608">
        <v>0.0</v>
      </c>
      <c r="AE45" s="609"/>
      <c r="AF45" s="582" t="s">
        <v>365</v>
      </c>
      <c r="AG45" s="583"/>
      <c r="AH45" s="584"/>
      <c r="AI45" s="583"/>
      <c r="AJ45" s="585"/>
      <c r="AK45" s="583"/>
      <c r="AL45" s="584"/>
      <c r="AM45" s="583"/>
      <c r="AN45" s="585"/>
      <c r="AO45" s="583"/>
      <c r="AP45" s="584"/>
      <c r="AQ45" s="583"/>
      <c r="AR45" s="585"/>
      <c r="AS45" s="583"/>
      <c r="AT45" s="584"/>
      <c r="AU45" s="583"/>
      <c r="AV45" s="585"/>
      <c r="AW45" s="583"/>
      <c r="AX45" s="584"/>
      <c r="AY45" s="583"/>
      <c r="AZ45" s="585"/>
      <c r="BA45" s="583"/>
      <c r="BB45" s="584"/>
      <c r="BC45" s="583"/>
      <c r="BD45" s="585"/>
      <c r="BE45" s="583"/>
      <c r="BF45" s="584"/>
      <c r="BG45" s="583"/>
      <c r="BH45" s="585"/>
      <c r="BI45" s="583"/>
      <c r="BJ45" s="584"/>
      <c r="BK45" s="583"/>
      <c r="BL45" s="585"/>
      <c r="BM45" s="583"/>
      <c r="BN45" s="584"/>
      <c r="BO45" s="583"/>
      <c r="BP45" s="585"/>
      <c r="BQ45" s="583"/>
      <c r="BR45" s="584"/>
      <c r="BS45" s="583"/>
      <c r="BT45" s="586"/>
      <c r="BU45" s="540"/>
      <c r="BV45" s="540"/>
      <c r="BW45" s="540"/>
      <c r="BX45" s="538"/>
      <c r="BY45" s="538"/>
      <c r="BZ45" s="587"/>
      <c r="CA45" s="591"/>
      <c r="CB45" s="590" t="s">
        <v>365</v>
      </c>
      <c r="CC45" s="590">
        <v>0.0</v>
      </c>
      <c r="CD45" s="590" t="s">
        <v>365</v>
      </c>
      <c r="CE45" s="590">
        <v>0.0</v>
      </c>
      <c r="CF45" s="590"/>
      <c r="CG45" s="590">
        <v>0.0</v>
      </c>
      <c r="CH45" s="590"/>
      <c r="CI45" s="591"/>
      <c r="CJ45" s="590">
        <v>0.0</v>
      </c>
      <c r="CK45" s="479" t="s">
        <v>365</v>
      </c>
      <c r="CL45" s="592"/>
      <c r="CM45" s="593"/>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59"/>
      <c r="EY45" s="559"/>
      <c r="EZ45" s="559"/>
      <c r="FA45" s="559"/>
      <c r="FB45" s="559"/>
      <c r="FC45" s="559"/>
      <c r="FD45" s="559"/>
      <c r="FE45" s="559"/>
      <c r="FF45" s="559"/>
      <c r="FG45" s="559"/>
      <c r="FH45" s="559"/>
      <c r="FI45" s="559"/>
      <c r="FJ45" s="559"/>
      <c r="FK45" s="559"/>
      <c r="FL45" s="559"/>
      <c r="FM45" s="559"/>
      <c r="FN45" s="559"/>
      <c r="FO45" s="559"/>
      <c r="FP45" s="559"/>
      <c r="FQ45" s="559"/>
      <c r="FR45" s="559"/>
      <c r="FS45" s="559"/>
      <c r="FT45" s="559"/>
      <c r="FU45" s="559"/>
      <c r="FV45" s="559"/>
      <c r="FW45" s="559"/>
      <c r="FX45" s="559"/>
      <c r="FY45" s="559"/>
      <c r="FZ45" s="559"/>
      <c r="GA45" s="559"/>
      <c r="GB45" s="559"/>
      <c r="GC45" s="559"/>
      <c r="GD45" s="559"/>
      <c r="GE45" s="559"/>
      <c r="GF45" s="559"/>
      <c r="GG45" s="559"/>
      <c r="GH45" s="559"/>
    </row>
    <row r="46">
      <c r="A46" s="538"/>
      <c r="B46" s="156"/>
      <c r="C46" s="444"/>
      <c r="D46" s="614" t="s">
        <v>380</v>
      </c>
      <c r="E46" s="562" t="s">
        <v>381</v>
      </c>
      <c r="F46" s="563">
        <v>4.0</v>
      </c>
      <c r="G46" s="563">
        <v>4.0</v>
      </c>
      <c r="H46" s="564">
        <v>0.72</v>
      </c>
      <c r="I46" s="565">
        <v>82.5</v>
      </c>
      <c r="J46" s="566"/>
      <c r="K46" s="567"/>
      <c r="L46" s="568"/>
      <c r="M46" s="569"/>
      <c r="N46" s="619"/>
      <c r="O46" s="571"/>
      <c r="P46" s="560"/>
      <c r="Q46" s="47"/>
      <c r="S46" s="572"/>
      <c r="U46" s="573"/>
      <c r="V46" s="574"/>
      <c r="W46" s="618"/>
      <c r="X46" s="576">
        <v>1320.0</v>
      </c>
      <c r="Y46" s="577" t="e">
        <v>#VALUE!</v>
      </c>
      <c r="Z46" s="577">
        <v>16.0</v>
      </c>
      <c r="AA46" s="578">
        <v>0.0</v>
      </c>
      <c r="AB46" s="578"/>
      <c r="AC46" s="579"/>
      <c r="AD46" s="608">
        <v>4.0</v>
      </c>
      <c r="AE46" s="609"/>
      <c r="AF46" s="582" t="s">
        <v>382</v>
      </c>
      <c r="AG46" s="583">
        <v>4.0</v>
      </c>
      <c r="AH46" s="584" t="s">
        <v>383</v>
      </c>
      <c r="AI46" s="583">
        <v>4.0</v>
      </c>
      <c r="AJ46" s="585">
        <v>6.5</v>
      </c>
      <c r="AK46" s="583">
        <v>4.0</v>
      </c>
      <c r="AL46" s="584">
        <v>83.0</v>
      </c>
      <c r="AM46" s="583">
        <v>4.0</v>
      </c>
      <c r="AN46" s="585">
        <v>7.0</v>
      </c>
      <c r="AO46" s="583">
        <v>4.0</v>
      </c>
      <c r="AP46" s="584">
        <v>83.0</v>
      </c>
      <c r="AQ46" s="583">
        <v>4.0</v>
      </c>
      <c r="AR46" s="585">
        <v>7.0</v>
      </c>
      <c r="AS46" s="610">
        <v>4.0</v>
      </c>
      <c r="AT46" s="620">
        <v>83.0</v>
      </c>
      <c r="AU46" s="612">
        <v>3.0</v>
      </c>
      <c r="AV46" s="613">
        <v>7.0</v>
      </c>
      <c r="AW46" s="610"/>
      <c r="AX46" s="620"/>
      <c r="AY46" s="612"/>
      <c r="AZ46" s="613"/>
      <c r="BA46" s="583"/>
      <c r="BB46" s="584"/>
      <c r="BC46" s="583"/>
      <c r="BD46" s="585"/>
      <c r="BE46" s="583"/>
      <c r="BF46" s="584"/>
      <c r="BG46" s="583"/>
      <c r="BH46" s="585"/>
      <c r="BI46" s="583"/>
      <c r="BJ46" s="584"/>
      <c r="BK46" s="583"/>
      <c r="BL46" s="585"/>
      <c r="BM46" s="583"/>
      <c r="BN46" s="584"/>
      <c r="BO46" s="583"/>
      <c r="BP46" s="585"/>
      <c r="BQ46" s="583"/>
      <c r="BR46" s="584"/>
      <c r="BS46" s="583"/>
      <c r="BT46" s="586"/>
      <c r="BU46" s="540"/>
      <c r="BV46" s="540"/>
      <c r="BW46" s="540"/>
      <c r="BX46" s="538"/>
      <c r="BY46" s="538"/>
      <c r="BZ46" s="587">
        <v>115.0</v>
      </c>
      <c r="CA46" s="591"/>
      <c r="CB46" s="590" t="s">
        <v>365</v>
      </c>
      <c r="CC46" s="590">
        <v>16.0</v>
      </c>
      <c r="CD46" s="590">
        <v>3.75</v>
      </c>
      <c r="CE46" s="590" t="e">
        <v>#VALUE!</v>
      </c>
      <c r="CF46" s="590"/>
      <c r="CG46" s="590">
        <v>0.16</v>
      </c>
      <c r="CH46" s="590"/>
      <c r="CI46" s="591"/>
      <c r="CJ46" s="590">
        <v>2.5999999999999996</v>
      </c>
      <c r="CK46" s="479">
        <v>6.875</v>
      </c>
      <c r="CL46" s="592"/>
      <c r="CM46" s="593"/>
      <c r="CN46" s="538"/>
      <c r="CO46" s="538"/>
      <c r="CP46" s="538"/>
      <c r="CQ46" s="538"/>
      <c r="CR46" s="538"/>
      <c r="CS46" s="538"/>
      <c r="CT46" s="538"/>
      <c r="CU46" s="538"/>
      <c r="CV46" s="538"/>
      <c r="CW46" s="538"/>
      <c r="CX46" s="538"/>
      <c r="CY46" s="538"/>
      <c r="CZ46" s="538"/>
      <c r="DA46" s="538"/>
      <c r="DB46" s="538"/>
      <c r="DC46" s="538"/>
      <c r="DD46" s="538"/>
      <c r="DE46" s="538"/>
      <c r="DF46" s="538"/>
      <c r="DG46" s="538"/>
      <c r="DH46" s="538"/>
      <c r="DI46" s="538"/>
      <c r="DJ46" s="538"/>
      <c r="DK46" s="538"/>
      <c r="DL46" s="538"/>
      <c r="DM46" s="538"/>
      <c r="DN46" s="538"/>
      <c r="DO46" s="538"/>
      <c r="DP46" s="538"/>
      <c r="DQ46" s="538"/>
      <c r="DR46" s="538"/>
      <c r="DS46" s="538"/>
      <c r="DT46" s="538"/>
      <c r="DU46" s="538"/>
      <c r="DV46" s="538"/>
      <c r="DW46" s="538"/>
      <c r="DX46" s="538"/>
      <c r="DY46" s="538"/>
      <c r="DZ46" s="538"/>
      <c r="EA46" s="538"/>
      <c r="EB46" s="538"/>
      <c r="EC46" s="538"/>
      <c r="ED46" s="538"/>
      <c r="EE46" s="538"/>
      <c r="EF46" s="538"/>
      <c r="EG46" s="538"/>
      <c r="EH46" s="538"/>
      <c r="EI46" s="538"/>
      <c r="EJ46" s="538"/>
      <c r="EK46" s="538"/>
      <c r="EL46" s="538"/>
      <c r="EM46" s="538"/>
      <c r="EN46" s="538"/>
      <c r="EO46" s="538"/>
      <c r="EP46" s="538"/>
      <c r="EQ46" s="538"/>
      <c r="ER46" s="538"/>
      <c r="ES46" s="538"/>
      <c r="ET46" s="538"/>
      <c r="EU46" s="538"/>
      <c r="EV46" s="538"/>
      <c r="EW46" s="538"/>
      <c r="EX46" s="559"/>
      <c r="EY46" s="559"/>
      <c r="EZ46" s="559"/>
      <c r="FA46" s="559"/>
      <c r="FB46" s="559"/>
      <c r="FC46" s="559"/>
      <c r="FD46" s="559"/>
      <c r="FE46" s="559"/>
      <c r="FF46" s="559"/>
      <c r="FG46" s="559"/>
      <c r="FH46" s="559"/>
      <c r="FI46" s="559"/>
      <c r="FJ46" s="559"/>
      <c r="FK46" s="559"/>
      <c r="FL46" s="559"/>
      <c r="FM46" s="559"/>
      <c r="FN46" s="559"/>
      <c r="FO46" s="559"/>
      <c r="FP46" s="559"/>
      <c r="FQ46" s="559"/>
      <c r="FR46" s="559"/>
      <c r="FS46" s="559"/>
      <c r="FT46" s="559"/>
      <c r="FU46" s="559"/>
      <c r="FV46" s="559"/>
      <c r="FW46" s="559"/>
      <c r="FX46" s="559"/>
      <c r="FY46" s="559"/>
      <c r="FZ46" s="559"/>
      <c r="GA46" s="559"/>
      <c r="GB46" s="559"/>
      <c r="GC46" s="559"/>
      <c r="GD46" s="559"/>
      <c r="GE46" s="559"/>
      <c r="GF46" s="559"/>
      <c r="GG46" s="559"/>
      <c r="GH46" s="559"/>
    </row>
    <row r="47">
      <c r="A47" s="538"/>
      <c r="B47" s="156"/>
      <c r="C47" s="444"/>
      <c r="D47" s="614" t="s">
        <v>313</v>
      </c>
      <c r="E47" s="595" t="s">
        <v>384</v>
      </c>
      <c r="F47" s="596">
        <v>3.0</v>
      </c>
      <c r="G47" s="596">
        <v>10.0</v>
      </c>
      <c r="H47" s="597"/>
      <c r="I47" s="616" t="s">
        <v>365</v>
      </c>
      <c r="J47" s="599"/>
      <c r="K47" s="600">
        <v>2.0</v>
      </c>
      <c r="L47" s="601">
        <v>3.0</v>
      </c>
      <c r="M47" s="602"/>
      <c r="N47" s="603"/>
      <c r="O47" s="621"/>
      <c r="P47" s="57"/>
      <c r="Q47" s="57"/>
      <c r="R47" s="57"/>
      <c r="S47" s="605"/>
      <c r="T47" s="605"/>
      <c r="U47" s="573"/>
      <c r="V47" s="574"/>
      <c r="W47" s="618"/>
      <c r="X47" s="576">
        <v>0.0</v>
      </c>
      <c r="Y47" s="577" t="e">
        <v>#VALUE!</v>
      </c>
      <c r="Z47" s="577">
        <v>30.0</v>
      </c>
      <c r="AA47" s="578" t="b">
        <v>0</v>
      </c>
      <c r="AB47" s="578"/>
      <c r="AC47" s="579"/>
      <c r="AD47" s="608">
        <v>4.0</v>
      </c>
      <c r="AE47" s="609"/>
      <c r="AF47" s="582" t="s">
        <v>385</v>
      </c>
      <c r="AG47" s="583">
        <v>10.0</v>
      </c>
      <c r="AH47" s="584" t="s">
        <v>386</v>
      </c>
      <c r="AI47" s="583">
        <v>4.0</v>
      </c>
      <c r="AJ47" s="585">
        <v>6.5</v>
      </c>
      <c r="AK47" s="583">
        <v>10.0</v>
      </c>
      <c r="AL47" s="584">
        <v>27.0</v>
      </c>
      <c r="AM47" s="583">
        <v>4.0</v>
      </c>
      <c r="AN47" s="585">
        <v>6.5</v>
      </c>
      <c r="AO47" s="583">
        <v>8.0</v>
      </c>
      <c r="AP47" s="584" t="s">
        <v>387</v>
      </c>
      <c r="AQ47" s="583"/>
      <c r="AR47" s="585"/>
      <c r="AS47" s="583">
        <v>10.0</v>
      </c>
      <c r="AT47" s="584" t="s">
        <v>388</v>
      </c>
      <c r="AU47" s="583"/>
      <c r="AV47" s="585"/>
      <c r="AW47" s="583"/>
      <c r="AX47" s="584"/>
      <c r="AY47" s="583"/>
      <c r="AZ47" s="585"/>
      <c r="BA47" s="583"/>
      <c r="BB47" s="584"/>
      <c r="BC47" s="583"/>
      <c r="BD47" s="585"/>
      <c r="BE47" s="583"/>
      <c r="BF47" s="584"/>
      <c r="BG47" s="583"/>
      <c r="BH47" s="585"/>
      <c r="BI47" s="583"/>
      <c r="BJ47" s="584"/>
      <c r="BK47" s="583"/>
      <c r="BL47" s="585"/>
      <c r="BM47" s="583"/>
      <c r="BN47" s="584"/>
      <c r="BO47" s="583"/>
      <c r="BP47" s="585"/>
      <c r="BQ47" s="583"/>
      <c r="BR47" s="584"/>
      <c r="BS47" s="583"/>
      <c r="BT47" s="586"/>
      <c r="BU47" s="540"/>
      <c r="BV47" s="540"/>
      <c r="BW47" s="540"/>
      <c r="BX47" s="538"/>
      <c r="BY47" s="538"/>
      <c r="BZ47" s="587"/>
      <c r="CA47" s="591"/>
      <c r="CB47" s="590" t="s">
        <v>365</v>
      </c>
      <c r="CC47" s="590">
        <v>38.0</v>
      </c>
      <c r="CD47" s="590">
        <v>2.0</v>
      </c>
      <c r="CE47" s="590" t="e">
        <v>#VALUE!</v>
      </c>
      <c r="CF47" s="590"/>
      <c r="CG47" s="590">
        <v>0.38</v>
      </c>
      <c r="CH47" s="590"/>
      <c r="CI47" s="591"/>
      <c r="CJ47" s="590">
        <v>1.2</v>
      </c>
      <c r="CK47" s="479">
        <v>3.25</v>
      </c>
      <c r="CL47" s="592"/>
      <c r="CM47" s="593"/>
      <c r="CN47" s="538"/>
      <c r="CO47" s="538"/>
      <c r="CP47" s="538"/>
      <c r="CQ47" s="538"/>
      <c r="CR47" s="538"/>
      <c r="CS47" s="538"/>
      <c r="CT47" s="538"/>
      <c r="CU47" s="538"/>
      <c r="CV47" s="538"/>
      <c r="CW47" s="538"/>
      <c r="CX47" s="538"/>
      <c r="CY47" s="538"/>
      <c r="CZ47" s="538"/>
      <c r="DA47" s="538"/>
      <c r="DB47" s="538"/>
      <c r="DC47" s="538"/>
      <c r="DD47" s="538"/>
      <c r="DE47" s="538"/>
      <c r="DF47" s="538"/>
      <c r="DG47" s="538"/>
      <c r="DH47" s="538"/>
      <c r="DI47" s="538"/>
      <c r="DJ47" s="538"/>
      <c r="DK47" s="538"/>
      <c r="DL47" s="538"/>
      <c r="DM47" s="538"/>
      <c r="DN47" s="538"/>
      <c r="DO47" s="538"/>
      <c r="DP47" s="538"/>
      <c r="DQ47" s="538"/>
      <c r="DR47" s="538"/>
      <c r="DS47" s="538"/>
      <c r="DT47" s="538"/>
      <c r="DU47" s="538"/>
      <c r="DV47" s="538"/>
      <c r="DW47" s="538"/>
      <c r="DX47" s="538"/>
      <c r="DY47" s="538"/>
      <c r="DZ47" s="538"/>
      <c r="EA47" s="538"/>
      <c r="EB47" s="538"/>
      <c r="EC47" s="538"/>
      <c r="ED47" s="538"/>
      <c r="EE47" s="538"/>
      <c r="EF47" s="538"/>
      <c r="EG47" s="538"/>
      <c r="EH47" s="538"/>
      <c r="EI47" s="538"/>
      <c r="EJ47" s="538"/>
      <c r="EK47" s="538"/>
      <c r="EL47" s="538"/>
      <c r="EM47" s="538"/>
      <c r="EN47" s="538"/>
      <c r="EO47" s="538"/>
      <c r="EP47" s="538"/>
      <c r="EQ47" s="538"/>
      <c r="ER47" s="538"/>
      <c r="ES47" s="538"/>
      <c r="ET47" s="538"/>
      <c r="EU47" s="538"/>
      <c r="EV47" s="538"/>
      <c r="EW47" s="538"/>
      <c r="EX47" s="559"/>
      <c r="EY47" s="559"/>
      <c r="EZ47" s="559"/>
      <c r="FA47" s="559"/>
      <c r="FB47" s="559"/>
      <c r="FC47" s="559"/>
      <c r="FD47" s="559"/>
      <c r="FE47" s="559"/>
      <c r="FF47" s="559"/>
      <c r="FG47" s="559"/>
      <c r="FH47" s="559"/>
      <c r="FI47" s="559"/>
      <c r="FJ47" s="559"/>
      <c r="FK47" s="559"/>
      <c r="FL47" s="559"/>
      <c r="FM47" s="559"/>
      <c r="FN47" s="559"/>
      <c r="FO47" s="559"/>
      <c r="FP47" s="559"/>
      <c r="FQ47" s="559"/>
      <c r="FR47" s="559"/>
      <c r="FS47" s="559"/>
      <c r="FT47" s="559"/>
      <c r="FU47" s="559"/>
      <c r="FV47" s="559"/>
      <c r="FW47" s="559"/>
      <c r="FX47" s="559"/>
      <c r="FY47" s="559"/>
      <c r="FZ47" s="559"/>
      <c r="GA47" s="559"/>
      <c r="GB47" s="559"/>
      <c r="GC47" s="559"/>
      <c r="GD47" s="559"/>
      <c r="GE47" s="559"/>
      <c r="GF47" s="559"/>
      <c r="GG47" s="559"/>
      <c r="GH47" s="559"/>
    </row>
    <row r="48">
      <c r="A48" s="538"/>
      <c r="B48" s="156"/>
      <c r="C48" s="444"/>
      <c r="D48" s="614" t="s">
        <v>317</v>
      </c>
      <c r="E48" s="606" t="s">
        <v>389</v>
      </c>
      <c r="F48" s="563">
        <v>3.0</v>
      </c>
      <c r="G48" s="560">
        <v>8.0</v>
      </c>
      <c r="H48" s="564"/>
      <c r="I48" s="622" t="s">
        <v>365</v>
      </c>
      <c r="J48" s="566"/>
      <c r="K48" s="567">
        <v>2.0</v>
      </c>
      <c r="L48" s="568"/>
      <c r="M48" s="569"/>
      <c r="N48" s="570"/>
      <c r="O48" s="623"/>
      <c r="P48" s="47"/>
      <c r="Q48" s="47"/>
      <c r="S48" s="572"/>
      <c r="U48" s="573"/>
      <c r="V48" s="574"/>
      <c r="W48" s="618"/>
      <c r="X48" s="576">
        <v>0.0</v>
      </c>
      <c r="Y48" s="577" t="e">
        <v>#VALUE!</v>
      </c>
      <c r="Z48" s="577">
        <v>24.0</v>
      </c>
      <c r="AA48" s="578" t="b">
        <v>0</v>
      </c>
      <c r="AB48" s="578"/>
      <c r="AC48" s="579"/>
      <c r="AD48" s="608">
        <v>4.0</v>
      </c>
      <c r="AE48" s="609"/>
      <c r="AF48" s="582" t="s">
        <v>390</v>
      </c>
      <c r="AG48" s="583">
        <v>9.0</v>
      </c>
      <c r="AH48" s="584" t="s">
        <v>391</v>
      </c>
      <c r="AI48" s="583"/>
      <c r="AJ48" s="585"/>
      <c r="AK48" s="583">
        <v>10.0</v>
      </c>
      <c r="AL48" s="584" t="s">
        <v>392</v>
      </c>
      <c r="AM48" s="583"/>
      <c r="AN48" s="585"/>
      <c r="AO48" s="583">
        <v>8.0</v>
      </c>
      <c r="AP48" s="584" t="s">
        <v>393</v>
      </c>
      <c r="AQ48" s="583"/>
      <c r="AR48" s="585"/>
      <c r="AS48" s="583">
        <v>8.0</v>
      </c>
      <c r="AT48" s="584" t="s">
        <v>394</v>
      </c>
      <c r="AU48" s="583"/>
      <c r="AV48" s="585"/>
      <c r="AW48" s="583"/>
      <c r="AX48" s="584"/>
      <c r="AY48" s="583"/>
      <c r="AZ48" s="585"/>
      <c r="BA48" s="583"/>
      <c r="BB48" s="584"/>
      <c r="BC48" s="583"/>
      <c r="BD48" s="585"/>
      <c r="BE48" s="583"/>
      <c r="BF48" s="584"/>
      <c r="BG48" s="583"/>
      <c r="BH48" s="585"/>
      <c r="BI48" s="583"/>
      <c r="BJ48" s="584"/>
      <c r="BK48" s="583"/>
      <c r="BL48" s="585"/>
      <c r="BM48" s="583"/>
      <c r="BN48" s="584"/>
      <c r="BO48" s="583"/>
      <c r="BP48" s="585"/>
      <c r="BQ48" s="583"/>
      <c r="BR48" s="584"/>
      <c r="BS48" s="583"/>
      <c r="BT48" s="586"/>
      <c r="BU48" s="540"/>
      <c r="BV48" s="540"/>
      <c r="BW48" s="540"/>
      <c r="BX48" s="538"/>
      <c r="BY48" s="538"/>
      <c r="BZ48" s="587"/>
      <c r="CA48" s="591"/>
      <c r="CB48" s="590" t="s">
        <v>365</v>
      </c>
      <c r="CC48" s="590">
        <v>35.0</v>
      </c>
      <c r="CD48" s="590">
        <v>0.0</v>
      </c>
      <c r="CE48" s="590" t="e">
        <v>#VALUE!</v>
      </c>
      <c r="CF48" s="590"/>
      <c r="CG48" s="590">
        <v>0.35</v>
      </c>
      <c r="CH48" s="590"/>
      <c r="CI48" s="591"/>
      <c r="CJ48" s="590">
        <v>0.0</v>
      </c>
      <c r="CK48" s="479">
        <v>0.0</v>
      </c>
      <c r="CL48" s="592"/>
      <c r="CM48" s="593"/>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59"/>
      <c r="EY48" s="559"/>
      <c r="EZ48" s="559"/>
      <c r="FA48" s="559"/>
      <c r="FB48" s="559"/>
      <c r="FC48" s="559"/>
      <c r="FD48" s="559"/>
      <c r="FE48" s="559"/>
      <c r="FF48" s="559"/>
      <c r="FG48" s="559"/>
      <c r="FH48" s="559"/>
      <c r="FI48" s="559"/>
      <c r="FJ48" s="559"/>
      <c r="FK48" s="559"/>
      <c r="FL48" s="559"/>
      <c r="FM48" s="559"/>
      <c r="FN48" s="559"/>
      <c r="FO48" s="559"/>
      <c r="FP48" s="559"/>
      <c r="FQ48" s="559"/>
      <c r="FR48" s="559"/>
      <c r="FS48" s="559"/>
      <c r="FT48" s="559"/>
      <c r="FU48" s="559"/>
      <c r="FV48" s="559"/>
      <c r="FW48" s="559"/>
      <c r="FX48" s="559"/>
      <c r="FY48" s="559"/>
      <c r="FZ48" s="559"/>
      <c r="GA48" s="559"/>
      <c r="GB48" s="559"/>
      <c r="GC48" s="559"/>
      <c r="GD48" s="559"/>
      <c r="GE48" s="559"/>
      <c r="GF48" s="559"/>
      <c r="GG48" s="559"/>
      <c r="GH48" s="559"/>
    </row>
    <row r="49">
      <c r="A49" s="538"/>
      <c r="B49" s="156"/>
      <c r="C49" s="444"/>
      <c r="D49" s="614" t="s">
        <v>317</v>
      </c>
      <c r="E49" s="595" t="s">
        <v>395</v>
      </c>
      <c r="F49" s="596">
        <v>3.0</v>
      </c>
      <c r="G49" s="596">
        <v>10.0</v>
      </c>
      <c r="H49" s="597"/>
      <c r="I49" s="616" t="s">
        <v>365</v>
      </c>
      <c r="J49" s="624"/>
      <c r="K49" s="600">
        <v>2.0</v>
      </c>
      <c r="L49" s="601"/>
      <c r="M49" s="625"/>
      <c r="N49" s="617"/>
      <c r="O49" s="621"/>
      <c r="P49" s="57"/>
      <c r="Q49" s="57"/>
      <c r="S49" s="605"/>
      <c r="U49" s="573"/>
      <c r="V49" s="574"/>
      <c r="W49" s="618"/>
      <c r="X49" s="576">
        <v>0.0</v>
      </c>
      <c r="Y49" s="577" t="e">
        <v>#VALUE!</v>
      </c>
      <c r="Z49" s="577">
        <v>30.0</v>
      </c>
      <c r="AA49" s="578" t="b">
        <v>0</v>
      </c>
      <c r="AB49" s="578"/>
      <c r="AC49" s="579"/>
      <c r="AD49" s="608">
        <v>2.0</v>
      </c>
      <c r="AE49" s="609"/>
      <c r="AF49" s="582" t="s">
        <v>396</v>
      </c>
      <c r="AG49" s="583">
        <v>8.0</v>
      </c>
      <c r="AH49" s="584" t="s">
        <v>397</v>
      </c>
      <c r="AI49" s="583">
        <v>2.0</v>
      </c>
      <c r="AJ49" s="585">
        <v>8.0</v>
      </c>
      <c r="AK49" s="583">
        <v>7.0</v>
      </c>
      <c r="AL49" s="584" t="s">
        <v>398</v>
      </c>
      <c r="AM49" s="583"/>
      <c r="AN49" s="585"/>
      <c r="AO49" s="583"/>
      <c r="AP49" s="584" t="s">
        <v>399</v>
      </c>
      <c r="AQ49" s="583"/>
      <c r="AR49" s="585"/>
      <c r="AS49" s="583"/>
      <c r="AT49" s="584"/>
      <c r="AU49" s="583"/>
      <c r="AV49" s="585"/>
      <c r="AW49" s="583"/>
      <c r="AX49" s="584"/>
      <c r="AY49" s="583"/>
      <c r="AZ49" s="585"/>
      <c r="BA49" s="583"/>
      <c r="BB49" s="584"/>
      <c r="BC49" s="583"/>
      <c r="BD49" s="585"/>
      <c r="BE49" s="583"/>
      <c r="BF49" s="584"/>
      <c r="BG49" s="583"/>
      <c r="BH49" s="585"/>
      <c r="BI49" s="583"/>
      <c r="BJ49" s="584"/>
      <c r="BK49" s="583"/>
      <c r="BL49" s="585"/>
      <c r="BM49" s="583"/>
      <c r="BN49" s="584"/>
      <c r="BO49" s="583"/>
      <c r="BP49" s="585"/>
      <c r="BQ49" s="583"/>
      <c r="BR49" s="584"/>
      <c r="BS49" s="583"/>
      <c r="BT49" s="586"/>
      <c r="BU49" s="540"/>
      <c r="BV49" s="540"/>
      <c r="BW49" s="540"/>
      <c r="BX49" s="538"/>
      <c r="BY49" s="538"/>
      <c r="BZ49" s="587"/>
      <c r="CA49" s="591"/>
      <c r="CB49" s="590" t="s">
        <v>365</v>
      </c>
      <c r="CC49" s="590">
        <v>15.0</v>
      </c>
      <c r="CD49" s="590">
        <v>1.0</v>
      </c>
      <c r="CE49" s="590" t="e">
        <v>#VALUE!</v>
      </c>
      <c r="CF49" s="590"/>
      <c r="CG49" s="590">
        <v>0.15</v>
      </c>
      <c r="CH49" s="590"/>
      <c r="CI49" s="591"/>
      <c r="CJ49" s="590">
        <v>1.0</v>
      </c>
      <c r="CK49" s="479">
        <v>4.0</v>
      </c>
      <c r="CL49" s="592"/>
      <c r="CM49" s="593"/>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59"/>
      <c r="EY49" s="559"/>
      <c r="EZ49" s="559"/>
      <c r="FA49" s="559"/>
      <c r="FB49" s="559"/>
      <c r="FC49" s="559"/>
      <c r="FD49" s="559"/>
      <c r="FE49" s="559"/>
      <c r="FF49" s="559"/>
      <c r="FG49" s="559"/>
      <c r="FH49" s="559"/>
      <c r="FI49" s="559"/>
      <c r="FJ49" s="559"/>
      <c r="FK49" s="559"/>
      <c r="FL49" s="559"/>
      <c r="FM49" s="559"/>
      <c r="FN49" s="559"/>
      <c r="FO49" s="559"/>
      <c r="FP49" s="559"/>
      <c r="FQ49" s="559"/>
      <c r="FR49" s="559"/>
      <c r="FS49" s="559"/>
      <c r="FT49" s="559"/>
      <c r="FU49" s="559"/>
      <c r="FV49" s="559"/>
      <c r="FW49" s="559"/>
      <c r="FX49" s="559"/>
      <c r="FY49" s="559"/>
      <c r="FZ49" s="559"/>
      <c r="GA49" s="559"/>
      <c r="GB49" s="559"/>
      <c r="GC49" s="559"/>
      <c r="GD49" s="559"/>
      <c r="GE49" s="559"/>
      <c r="GF49" s="559"/>
      <c r="GG49" s="559"/>
      <c r="GH49" s="559"/>
    </row>
    <row r="50">
      <c r="A50" s="538"/>
      <c r="B50" s="156"/>
      <c r="C50" s="444"/>
      <c r="D50" s="614" t="s">
        <v>317</v>
      </c>
      <c r="E50" s="606" t="s">
        <v>400</v>
      </c>
      <c r="F50" s="563">
        <v>3.0</v>
      </c>
      <c r="G50" s="563">
        <v>15.0</v>
      </c>
      <c r="H50" s="564"/>
      <c r="I50" s="622" t="s">
        <v>365</v>
      </c>
      <c r="J50" s="607"/>
      <c r="K50" s="567">
        <v>3.0</v>
      </c>
      <c r="L50" s="568"/>
      <c r="M50" s="626"/>
      <c r="N50" s="619"/>
      <c r="O50" s="623"/>
      <c r="P50" s="47"/>
      <c r="Q50" s="47"/>
      <c r="S50" s="572"/>
      <c r="U50" s="573"/>
      <c r="V50" s="574"/>
      <c r="W50" s="618"/>
      <c r="X50" s="576">
        <v>0.0</v>
      </c>
      <c r="Y50" s="577">
        <v>0.0</v>
      </c>
      <c r="Z50" s="577">
        <v>45.0</v>
      </c>
      <c r="AA50" s="578" t="b">
        <v>0</v>
      </c>
      <c r="AB50" s="578"/>
      <c r="AC50" s="579"/>
      <c r="AD50" s="608">
        <v>0.0</v>
      </c>
      <c r="AE50" s="609"/>
      <c r="AF50" s="582" t="s">
        <v>401</v>
      </c>
      <c r="AG50" s="583"/>
      <c r="AH50" s="584"/>
      <c r="AI50" s="583"/>
      <c r="AJ50" s="585"/>
      <c r="AK50" s="583"/>
      <c r="AL50" s="584"/>
      <c r="AM50" s="583"/>
      <c r="AN50" s="585"/>
      <c r="AO50" s="583"/>
      <c r="AP50" s="584"/>
      <c r="AQ50" s="583"/>
      <c r="AR50" s="585"/>
      <c r="AS50" s="583"/>
      <c r="AT50" s="584"/>
      <c r="AU50" s="583"/>
      <c r="AV50" s="585"/>
      <c r="AW50" s="583"/>
      <c r="AX50" s="584"/>
      <c r="AY50" s="583"/>
      <c r="AZ50" s="585"/>
      <c r="BA50" s="583"/>
      <c r="BB50" s="584"/>
      <c r="BC50" s="583"/>
      <c r="BD50" s="585"/>
      <c r="BE50" s="583"/>
      <c r="BF50" s="584"/>
      <c r="BG50" s="583"/>
      <c r="BH50" s="585"/>
      <c r="BI50" s="583"/>
      <c r="BJ50" s="584"/>
      <c r="BK50" s="583"/>
      <c r="BL50" s="585"/>
      <c r="BM50" s="583"/>
      <c r="BN50" s="584"/>
      <c r="BO50" s="583"/>
      <c r="BP50" s="585"/>
      <c r="BQ50" s="583"/>
      <c r="BR50" s="584"/>
      <c r="BS50" s="583"/>
      <c r="BT50" s="586"/>
      <c r="BU50" s="540"/>
      <c r="BV50" s="540"/>
      <c r="BW50" s="540"/>
      <c r="BX50" s="538"/>
      <c r="BY50" s="538"/>
      <c r="BZ50" s="587"/>
      <c r="CA50" s="591"/>
      <c r="CB50" s="590" t="s">
        <v>365</v>
      </c>
      <c r="CC50" s="590">
        <v>0.0</v>
      </c>
      <c r="CD50" s="590" t="s">
        <v>365</v>
      </c>
      <c r="CE50" s="590">
        <v>0.0</v>
      </c>
      <c r="CF50" s="590"/>
      <c r="CG50" s="590">
        <v>0.0</v>
      </c>
      <c r="CH50" s="590"/>
      <c r="CI50" s="591"/>
      <c r="CJ50" s="590">
        <v>0.0</v>
      </c>
      <c r="CK50" s="479" t="s">
        <v>365</v>
      </c>
      <c r="CL50" s="592"/>
      <c r="CM50" s="593"/>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59"/>
      <c r="EY50" s="559"/>
      <c r="EZ50" s="559"/>
      <c r="FA50" s="559"/>
      <c r="FB50" s="559"/>
      <c r="FC50" s="559"/>
      <c r="FD50" s="559"/>
      <c r="FE50" s="559"/>
      <c r="FF50" s="559"/>
      <c r="FG50" s="559"/>
      <c r="FH50" s="559"/>
      <c r="FI50" s="559"/>
      <c r="FJ50" s="559"/>
      <c r="FK50" s="559"/>
      <c r="FL50" s="559"/>
      <c r="FM50" s="559"/>
      <c r="FN50" s="559"/>
      <c r="FO50" s="559"/>
      <c r="FP50" s="559"/>
      <c r="FQ50" s="559"/>
      <c r="FR50" s="559"/>
      <c r="FS50" s="559"/>
      <c r="FT50" s="559"/>
      <c r="FU50" s="559"/>
      <c r="FV50" s="559"/>
      <c r="FW50" s="559"/>
      <c r="FX50" s="559"/>
      <c r="FY50" s="559"/>
      <c r="FZ50" s="559"/>
      <c r="GA50" s="559"/>
      <c r="GB50" s="559"/>
      <c r="GC50" s="559"/>
      <c r="GD50" s="559"/>
      <c r="GE50" s="559"/>
      <c r="GF50" s="559"/>
      <c r="GG50" s="559"/>
      <c r="GH50" s="559"/>
    </row>
    <row r="51">
      <c r="A51" s="538"/>
      <c r="B51" s="156"/>
      <c r="C51" s="444"/>
      <c r="D51" s="614" t="s">
        <v>326</v>
      </c>
      <c r="E51" s="595" t="s">
        <v>402</v>
      </c>
      <c r="F51" s="596">
        <v>3.0</v>
      </c>
      <c r="G51" s="596" t="s">
        <v>203</v>
      </c>
      <c r="H51" s="615"/>
      <c r="I51" s="616" t="s">
        <v>365</v>
      </c>
      <c r="J51" s="624"/>
      <c r="K51" s="600"/>
      <c r="L51" s="601"/>
      <c r="M51" s="625"/>
      <c r="N51" s="617"/>
      <c r="O51" s="621"/>
      <c r="P51" s="57"/>
      <c r="Q51" s="57"/>
      <c r="S51" s="605"/>
      <c r="U51" s="573"/>
      <c r="V51" s="574"/>
      <c r="W51" s="618"/>
      <c r="X51" s="576">
        <v>0.0</v>
      </c>
      <c r="Y51" s="577" t="e">
        <v>#VALUE!</v>
      </c>
      <c r="Z51" s="577"/>
      <c r="AA51" s="578" t="b">
        <v>0</v>
      </c>
      <c r="AB51" s="578"/>
      <c r="AC51" s="579"/>
      <c r="AD51" s="608">
        <v>5.0</v>
      </c>
      <c r="AE51" s="609"/>
      <c r="AF51" s="582" t="s">
        <v>403</v>
      </c>
      <c r="AG51" s="583">
        <v>11.0</v>
      </c>
      <c r="AH51" s="584" t="s">
        <v>404</v>
      </c>
      <c r="AI51" s="583"/>
      <c r="AJ51" s="585"/>
      <c r="AK51" s="583">
        <v>23.0</v>
      </c>
      <c r="AL51" s="584" t="s">
        <v>405</v>
      </c>
      <c r="AM51" s="583"/>
      <c r="AN51" s="585"/>
      <c r="AO51" s="583">
        <v>13.0</v>
      </c>
      <c r="AP51" s="584" t="s">
        <v>406</v>
      </c>
      <c r="AQ51" s="583"/>
      <c r="AR51" s="585"/>
      <c r="AS51" s="583"/>
      <c r="AT51" s="584" t="s">
        <v>407</v>
      </c>
      <c r="AU51" s="583"/>
      <c r="AV51" s="585"/>
      <c r="AW51" s="583">
        <v>14.0</v>
      </c>
      <c r="AX51" s="584" t="s">
        <v>408</v>
      </c>
      <c r="AY51" s="583"/>
      <c r="AZ51" s="585"/>
      <c r="BA51" s="583">
        <v>15.0</v>
      </c>
      <c r="BB51" s="584" t="s">
        <v>409</v>
      </c>
      <c r="BC51" s="583"/>
      <c r="BD51" s="585"/>
      <c r="BE51" s="583"/>
      <c r="BF51" s="584"/>
      <c r="BG51" s="583"/>
      <c r="BH51" s="585"/>
      <c r="BI51" s="583"/>
      <c r="BJ51" s="584"/>
      <c r="BK51" s="583"/>
      <c r="BL51" s="585"/>
      <c r="BM51" s="583"/>
      <c r="BN51" s="584"/>
      <c r="BO51" s="583"/>
      <c r="BP51" s="585"/>
      <c r="BQ51" s="583"/>
      <c r="BR51" s="584"/>
      <c r="BS51" s="583"/>
      <c r="BT51" s="586"/>
      <c r="BU51" s="540"/>
      <c r="BV51" s="540"/>
      <c r="BW51" s="540"/>
      <c r="BX51" s="538"/>
      <c r="BY51" s="538"/>
      <c r="BZ51" s="587"/>
      <c r="CA51" s="591"/>
      <c r="CB51" s="590" t="s">
        <v>365</v>
      </c>
      <c r="CC51" s="590">
        <v>76.0</v>
      </c>
      <c r="CD51" s="590">
        <v>0.0</v>
      </c>
      <c r="CE51" s="590" t="e">
        <v>#VALUE!</v>
      </c>
      <c r="CF51" s="590"/>
      <c r="CG51" s="590">
        <v>0.76</v>
      </c>
      <c r="CH51" s="590"/>
      <c r="CI51" s="591"/>
      <c r="CJ51" s="590">
        <v>0.0</v>
      </c>
      <c r="CK51" s="479">
        <v>0.0</v>
      </c>
      <c r="CL51" s="592"/>
      <c r="CM51" s="593"/>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59"/>
      <c r="EY51" s="559"/>
      <c r="EZ51" s="559"/>
      <c r="FA51" s="559"/>
      <c r="FB51" s="559"/>
      <c r="FC51" s="559"/>
      <c r="FD51" s="559"/>
      <c r="FE51" s="559"/>
      <c r="FF51" s="559"/>
      <c r="FG51" s="559"/>
      <c r="FH51" s="559"/>
      <c r="FI51" s="559"/>
      <c r="FJ51" s="559"/>
      <c r="FK51" s="559"/>
      <c r="FL51" s="559"/>
      <c r="FM51" s="559"/>
      <c r="FN51" s="559"/>
      <c r="FO51" s="559"/>
      <c r="FP51" s="559"/>
      <c r="FQ51" s="559"/>
      <c r="FR51" s="559"/>
      <c r="FS51" s="559"/>
      <c r="FT51" s="559"/>
      <c r="FU51" s="559"/>
      <c r="FV51" s="559"/>
      <c r="FW51" s="559"/>
      <c r="FX51" s="559"/>
      <c r="FY51" s="559"/>
      <c r="FZ51" s="559"/>
      <c r="GA51" s="559"/>
      <c r="GB51" s="559"/>
      <c r="GC51" s="559"/>
      <c r="GD51" s="559"/>
      <c r="GE51" s="559"/>
      <c r="GF51" s="559"/>
      <c r="GG51" s="559"/>
      <c r="GH51" s="559"/>
    </row>
    <row r="52">
      <c r="A52" s="538"/>
      <c r="B52" s="156" t="s">
        <v>410</v>
      </c>
      <c r="C52" s="444"/>
      <c r="D52" s="614"/>
      <c r="E52" s="606"/>
      <c r="F52" s="563"/>
      <c r="G52" s="563"/>
      <c r="H52" s="627"/>
      <c r="I52" s="622" t="s">
        <v>365</v>
      </c>
      <c r="J52" s="607"/>
      <c r="K52" s="567"/>
      <c r="L52" s="628"/>
      <c r="M52" s="626"/>
      <c r="N52" s="619"/>
      <c r="O52" s="623"/>
      <c r="P52" s="47"/>
      <c r="Q52" s="47"/>
      <c r="S52" s="572"/>
      <c r="U52" s="573"/>
      <c r="V52" s="574"/>
      <c r="W52" s="618"/>
      <c r="X52" s="576">
        <v>0.0</v>
      </c>
      <c r="Y52" s="577">
        <v>0.0</v>
      </c>
      <c r="Z52" s="577" t="s">
        <v>365</v>
      </c>
      <c r="AA52" s="578" t="b">
        <v>0</v>
      </c>
      <c r="AB52" s="578"/>
      <c r="AC52" s="579"/>
      <c r="AD52" s="608">
        <v>0.0</v>
      </c>
      <c r="AE52" s="609"/>
      <c r="AF52" s="582" t="s">
        <v>365</v>
      </c>
      <c r="AG52" s="583"/>
      <c r="AH52" s="584"/>
      <c r="AI52" s="583"/>
      <c r="AJ52" s="585"/>
      <c r="AK52" s="583"/>
      <c r="AL52" s="584"/>
      <c r="AM52" s="583"/>
      <c r="AN52" s="585"/>
      <c r="AO52" s="583"/>
      <c r="AP52" s="584"/>
      <c r="AQ52" s="583"/>
      <c r="AR52" s="585"/>
      <c r="AS52" s="583"/>
      <c r="AT52" s="584"/>
      <c r="AU52" s="583"/>
      <c r="AV52" s="585"/>
      <c r="AW52" s="583"/>
      <c r="AX52" s="584"/>
      <c r="AY52" s="583"/>
      <c r="AZ52" s="585"/>
      <c r="BA52" s="583"/>
      <c r="BB52" s="584"/>
      <c r="BC52" s="583"/>
      <c r="BD52" s="585"/>
      <c r="BE52" s="583"/>
      <c r="BF52" s="584"/>
      <c r="BG52" s="583"/>
      <c r="BH52" s="585"/>
      <c r="BI52" s="583"/>
      <c r="BJ52" s="584"/>
      <c r="BK52" s="583"/>
      <c r="BL52" s="585"/>
      <c r="BM52" s="583"/>
      <c r="BN52" s="584"/>
      <c r="BO52" s="583"/>
      <c r="BP52" s="585"/>
      <c r="BQ52" s="583"/>
      <c r="BR52" s="584"/>
      <c r="BS52" s="583"/>
      <c r="BT52" s="586"/>
      <c r="BU52" s="540"/>
      <c r="BV52" s="540"/>
      <c r="BW52" s="540"/>
      <c r="BX52" s="538"/>
      <c r="BY52" s="538"/>
      <c r="BZ52" s="587"/>
      <c r="CA52" s="591"/>
      <c r="CB52" s="590" t="s">
        <v>365</v>
      </c>
      <c r="CC52" s="590">
        <v>0.0</v>
      </c>
      <c r="CD52" s="590" t="s">
        <v>365</v>
      </c>
      <c r="CE52" s="590">
        <v>0.0</v>
      </c>
      <c r="CF52" s="590"/>
      <c r="CG52" s="590">
        <v>0.0</v>
      </c>
      <c r="CH52" s="590"/>
      <c r="CI52" s="591"/>
      <c r="CJ52" s="590">
        <v>0.0</v>
      </c>
      <c r="CK52" s="479" t="s">
        <v>365</v>
      </c>
      <c r="CL52" s="592"/>
      <c r="CM52" s="593"/>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59"/>
      <c r="EY52" s="559"/>
      <c r="EZ52" s="559"/>
      <c r="FA52" s="559"/>
      <c r="FB52" s="559"/>
      <c r="FC52" s="559"/>
      <c r="FD52" s="559"/>
      <c r="FE52" s="559"/>
      <c r="FF52" s="559"/>
      <c r="FG52" s="559"/>
      <c r="FH52" s="559"/>
      <c r="FI52" s="559"/>
      <c r="FJ52" s="559"/>
      <c r="FK52" s="559"/>
      <c r="FL52" s="559"/>
      <c r="FM52" s="559"/>
      <c r="FN52" s="559"/>
      <c r="FO52" s="559"/>
      <c r="FP52" s="559"/>
      <c r="FQ52" s="559"/>
      <c r="FR52" s="559"/>
      <c r="FS52" s="559"/>
      <c r="FT52" s="559"/>
      <c r="FU52" s="559"/>
      <c r="FV52" s="559"/>
      <c r="FW52" s="559"/>
      <c r="FX52" s="559"/>
      <c r="FY52" s="559"/>
      <c r="FZ52" s="559"/>
      <c r="GA52" s="559"/>
      <c r="GB52" s="559"/>
      <c r="GC52" s="559"/>
      <c r="GD52" s="559"/>
      <c r="GE52" s="559"/>
      <c r="GF52" s="559"/>
      <c r="GG52" s="559"/>
      <c r="GH52" s="559"/>
    </row>
    <row r="53">
      <c r="A53" s="538"/>
      <c r="B53" s="156" t="s">
        <v>411</v>
      </c>
      <c r="C53" s="444"/>
      <c r="D53" s="614"/>
      <c r="E53" s="595"/>
      <c r="F53" s="596"/>
      <c r="G53" s="596"/>
      <c r="H53" s="615"/>
      <c r="I53" s="616" t="s">
        <v>365</v>
      </c>
      <c r="J53" s="624"/>
      <c r="K53" s="600"/>
      <c r="L53" s="601"/>
      <c r="M53" s="625"/>
      <c r="N53" s="617"/>
      <c r="O53" s="621"/>
      <c r="P53" s="57"/>
      <c r="Q53" s="57"/>
      <c r="S53" s="605"/>
      <c r="U53" s="573"/>
      <c r="V53" s="574"/>
      <c r="W53" s="618"/>
      <c r="X53" s="576">
        <v>0.0</v>
      </c>
      <c r="Y53" s="577">
        <v>0.0</v>
      </c>
      <c r="Z53" s="577" t="s">
        <v>365</v>
      </c>
      <c r="AA53" s="578" t="b">
        <v>0</v>
      </c>
      <c r="AB53" s="578"/>
      <c r="AC53" s="579"/>
      <c r="AD53" s="608">
        <v>0.0</v>
      </c>
      <c r="AE53" s="609"/>
      <c r="AF53" s="582" t="s">
        <v>365</v>
      </c>
      <c r="AG53" s="583"/>
      <c r="AH53" s="584"/>
      <c r="AI53" s="583"/>
      <c r="AJ53" s="585"/>
      <c r="AK53" s="583"/>
      <c r="AL53" s="584"/>
      <c r="AM53" s="583"/>
      <c r="AN53" s="585"/>
      <c r="AO53" s="583"/>
      <c r="AP53" s="584"/>
      <c r="AQ53" s="583"/>
      <c r="AR53" s="585"/>
      <c r="AS53" s="583"/>
      <c r="AT53" s="584"/>
      <c r="AU53" s="583"/>
      <c r="AV53" s="585"/>
      <c r="AW53" s="583"/>
      <c r="AX53" s="584"/>
      <c r="AY53" s="583"/>
      <c r="AZ53" s="585"/>
      <c r="BA53" s="583"/>
      <c r="BB53" s="584"/>
      <c r="BC53" s="583"/>
      <c r="BD53" s="585"/>
      <c r="BE53" s="583"/>
      <c r="BF53" s="584"/>
      <c r="BG53" s="583"/>
      <c r="BH53" s="585"/>
      <c r="BI53" s="583"/>
      <c r="BJ53" s="584"/>
      <c r="BK53" s="583"/>
      <c r="BL53" s="585"/>
      <c r="BM53" s="583"/>
      <c r="BN53" s="584"/>
      <c r="BO53" s="583"/>
      <c r="BP53" s="585"/>
      <c r="BQ53" s="583"/>
      <c r="BR53" s="584"/>
      <c r="BS53" s="583"/>
      <c r="BT53" s="586"/>
      <c r="BU53" s="540"/>
      <c r="BV53" s="540"/>
      <c r="BW53" s="540"/>
      <c r="BX53" s="538"/>
      <c r="BY53" s="538"/>
      <c r="BZ53" s="587"/>
      <c r="CA53" s="591"/>
      <c r="CB53" s="590" t="s">
        <v>365</v>
      </c>
      <c r="CC53" s="590">
        <v>0.0</v>
      </c>
      <c r="CD53" s="590" t="s">
        <v>365</v>
      </c>
      <c r="CE53" s="590">
        <v>0.0</v>
      </c>
      <c r="CF53" s="590"/>
      <c r="CG53" s="590">
        <v>0.0</v>
      </c>
      <c r="CH53" s="590"/>
      <c r="CI53" s="591"/>
      <c r="CJ53" s="590">
        <v>0.0</v>
      </c>
      <c r="CK53" s="479" t="s">
        <v>365</v>
      </c>
      <c r="CL53" s="592"/>
      <c r="CM53" s="593"/>
      <c r="CN53" s="538"/>
      <c r="CO53" s="538"/>
      <c r="CP53" s="538"/>
      <c r="CQ53" s="538"/>
      <c r="CR53" s="538"/>
      <c r="CS53" s="538"/>
      <c r="CT53" s="538"/>
      <c r="CU53" s="538"/>
      <c r="CV53" s="538"/>
      <c r="CW53" s="538"/>
      <c r="CX53" s="538"/>
      <c r="CY53" s="538"/>
      <c r="CZ53" s="538"/>
      <c r="DA53" s="538"/>
      <c r="DB53" s="538"/>
      <c r="DC53" s="538"/>
      <c r="DD53" s="538"/>
      <c r="DE53" s="538"/>
      <c r="DF53" s="538"/>
      <c r="DG53" s="538"/>
      <c r="DH53" s="538"/>
      <c r="DI53" s="538"/>
      <c r="DJ53" s="538"/>
      <c r="DK53" s="538"/>
      <c r="DL53" s="538"/>
      <c r="DM53" s="538"/>
      <c r="DN53" s="538"/>
      <c r="DO53" s="538"/>
      <c r="DP53" s="538"/>
      <c r="DQ53" s="538"/>
      <c r="DR53" s="538"/>
      <c r="DS53" s="538"/>
      <c r="DT53" s="538"/>
      <c r="DU53" s="538"/>
      <c r="DV53" s="538"/>
      <c r="DW53" s="538"/>
      <c r="DX53" s="538"/>
      <c r="DY53" s="538"/>
      <c r="DZ53" s="538"/>
      <c r="EA53" s="538"/>
      <c r="EB53" s="538"/>
      <c r="EC53" s="538"/>
      <c r="ED53" s="538"/>
      <c r="EE53" s="538"/>
      <c r="EF53" s="538"/>
      <c r="EG53" s="538"/>
      <c r="EH53" s="538"/>
      <c r="EI53" s="538"/>
      <c r="EJ53" s="538"/>
      <c r="EK53" s="538"/>
      <c r="EL53" s="538"/>
      <c r="EM53" s="538"/>
      <c r="EN53" s="538"/>
      <c r="EO53" s="538"/>
      <c r="EP53" s="538"/>
      <c r="EQ53" s="538"/>
      <c r="ER53" s="538"/>
      <c r="ES53" s="538"/>
      <c r="ET53" s="538"/>
      <c r="EU53" s="538"/>
      <c r="EV53" s="538"/>
      <c r="EW53" s="538"/>
      <c r="EX53" s="559"/>
      <c r="EY53" s="559"/>
      <c r="EZ53" s="559"/>
      <c r="FA53" s="559"/>
      <c r="FB53" s="559"/>
      <c r="FC53" s="559"/>
      <c r="FD53" s="559"/>
      <c r="FE53" s="559"/>
      <c r="FF53" s="559"/>
      <c r="FG53" s="559"/>
      <c r="FH53" s="559"/>
      <c r="FI53" s="559"/>
      <c r="FJ53" s="559"/>
      <c r="FK53" s="559"/>
      <c r="FL53" s="559"/>
      <c r="FM53" s="559"/>
      <c r="FN53" s="559"/>
      <c r="FO53" s="559"/>
      <c r="FP53" s="559"/>
      <c r="FQ53" s="559"/>
      <c r="FR53" s="559"/>
      <c r="FS53" s="559"/>
      <c r="FT53" s="559"/>
      <c r="FU53" s="559"/>
      <c r="FV53" s="559"/>
      <c r="FW53" s="559"/>
      <c r="FX53" s="559"/>
      <c r="FY53" s="559"/>
      <c r="FZ53" s="559"/>
      <c r="GA53" s="559"/>
      <c r="GB53" s="559"/>
      <c r="GC53" s="559"/>
      <c r="GD53" s="559"/>
      <c r="GE53" s="559"/>
      <c r="GF53" s="559"/>
      <c r="GG53" s="559"/>
      <c r="GH53" s="559"/>
    </row>
    <row r="54">
      <c r="A54" s="538"/>
      <c r="B54" s="134"/>
      <c r="C54" s="57"/>
      <c r="D54" s="594" t="s">
        <v>380</v>
      </c>
      <c r="E54" s="629" t="s">
        <v>412</v>
      </c>
      <c r="F54" s="596">
        <v>3.0</v>
      </c>
      <c r="G54" s="596">
        <v>6.0</v>
      </c>
      <c r="H54" s="597"/>
      <c r="I54" s="598">
        <v>0.0</v>
      </c>
      <c r="J54" s="599">
        <v>85.0</v>
      </c>
      <c r="K54" s="600"/>
      <c r="L54" s="568"/>
      <c r="M54" s="569"/>
      <c r="N54" s="619"/>
      <c r="O54" s="623"/>
      <c r="P54" s="47"/>
      <c r="Q54" s="47"/>
      <c r="R54" s="47"/>
      <c r="S54" s="572"/>
      <c r="T54" s="572"/>
      <c r="U54" s="573"/>
      <c r="V54" s="574"/>
      <c r="W54" s="618"/>
      <c r="X54" s="576">
        <v>1530.0</v>
      </c>
      <c r="Y54" s="630" t="e">
        <v>#VALUE!</v>
      </c>
      <c r="Z54" s="630">
        <v>18.0</v>
      </c>
      <c r="AA54" s="631">
        <v>0.7391304347826086</v>
      </c>
      <c r="AB54" s="631"/>
      <c r="AC54" s="576"/>
      <c r="AD54" s="479">
        <v>3.0</v>
      </c>
      <c r="AE54" s="632"/>
      <c r="AF54" s="582" t="s">
        <v>413</v>
      </c>
      <c r="AG54" s="583">
        <v>6.0</v>
      </c>
      <c r="AH54" s="584" t="s">
        <v>414</v>
      </c>
      <c r="AI54" s="583">
        <v>3.0</v>
      </c>
      <c r="AJ54" s="585">
        <v>7.0</v>
      </c>
      <c r="AK54" s="583">
        <v>6.0</v>
      </c>
      <c r="AL54" s="584">
        <v>85.0</v>
      </c>
      <c r="AM54" s="583">
        <v>3.0</v>
      </c>
      <c r="AN54" s="585"/>
      <c r="AO54" s="583">
        <v>6.0</v>
      </c>
      <c r="AP54" s="584" t="s">
        <v>415</v>
      </c>
      <c r="AQ54" s="583">
        <v>1.0</v>
      </c>
      <c r="AR54" s="585">
        <v>8.5</v>
      </c>
      <c r="AS54" s="583"/>
      <c r="AT54" s="584"/>
      <c r="AU54" s="583"/>
      <c r="AV54" s="585"/>
      <c r="AW54" s="583"/>
      <c r="AX54" s="584"/>
      <c r="AY54" s="583"/>
      <c r="AZ54" s="585"/>
      <c r="BA54" s="583"/>
      <c r="BB54" s="584"/>
      <c r="BC54" s="583"/>
      <c r="BD54" s="585"/>
      <c r="BE54" s="583"/>
      <c r="BF54" s="584"/>
      <c r="BG54" s="583"/>
      <c r="BH54" s="585"/>
      <c r="BI54" s="583"/>
      <c r="BJ54" s="584"/>
      <c r="BK54" s="583"/>
      <c r="BL54" s="585"/>
      <c r="BM54" s="583"/>
      <c r="BN54" s="584"/>
      <c r="BO54" s="583"/>
      <c r="BP54" s="585"/>
      <c r="BQ54" s="583"/>
      <c r="BR54" s="584"/>
      <c r="BS54" s="583"/>
      <c r="BT54" s="586"/>
      <c r="BU54" s="540"/>
      <c r="BV54" s="540"/>
      <c r="BW54" s="540"/>
      <c r="BX54" s="538"/>
      <c r="BY54" s="538"/>
      <c r="BZ54" s="592">
        <v>115.0</v>
      </c>
      <c r="CA54" s="633"/>
      <c r="CB54" s="592" t="s">
        <v>365</v>
      </c>
      <c r="CC54" s="592">
        <v>18.0</v>
      </c>
      <c r="CD54" s="592">
        <v>2.3333333333333335</v>
      </c>
      <c r="CE54" s="592" t="e">
        <v>#VALUE!</v>
      </c>
      <c r="CF54" s="592"/>
      <c r="CG54" s="592">
        <v>0.18</v>
      </c>
      <c r="CH54" s="592"/>
      <c r="CI54" s="633"/>
      <c r="CJ54" s="592">
        <v>2.8</v>
      </c>
      <c r="CK54" s="479">
        <v>5.166666666666667</v>
      </c>
      <c r="CL54" s="592"/>
      <c r="CM54" s="593"/>
      <c r="CN54" s="538"/>
      <c r="CO54" s="538"/>
      <c r="CP54" s="538"/>
      <c r="CQ54" s="538"/>
      <c r="CR54" s="538"/>
      <c r="CS54" s="538"/>
      <c r="CT54" s="538"/>
      <c r="CU54" s="538"/>
      <c r="CV54" s="538"/>
      <c r="CW54" s="538"/>
      <c r="CX54" s="538"/>
      <c r="CY54" s="538"/>
      <c r="CZ54" s="538"/>
      <c r="DA54" s="538"/>
      <c r="DB54" s="538"/>
      <c r="DC54" s="538"/>
      <c r="DD54" s="538"/>
      <c r="DE54" s="538"/>
      <c r="DF54" s="538"/>
      <c r="DG54" s="538"/>
      <c r="DH54" s="538"/>
      <c r="DI54" s="538"/>
      <c r="DJ54" s="84"/>
      <c r="DK54" s="538"/>
      <c r="DL54" s="538"/>
      <c r="DM54" s="538"/>
      <c r="DN54" s="538"/>
      <c r="DO54" s="538"/>
      <c r="DP54" s="538"/>
      <c r="DQ54" s="538"/>
      <c r="DR54" s="538"/>
      <c r="DS54" s="538"/>
      <c r="DT54" s="538"/>
      <c r="DU54" s="538"/>
      <c r="DV54" s="538"/>
      <c r="DW54" s="538"/>
      <c r="DX54" s="538"/>
      <c r="DY54" s="538"/>
      <c r="DZ54" s="538"/>
      <c r="EA54" s="538"/>
      <c r="EB54" s="538"/>
      <c r="EC54" s="538"/>
      <c r="ED54" s="538"/>
      <c r="EE54" s="538"/>
      <c r="EF54" s="538"/>
      <c r="EG54" s="538"/>
      <c r="EH54" s="538"/>
      <c r="EI54" s="538"/>
      <c r="EJ54" s="538"/>
      <c r="EK54" s="538"/>
      <c r="EL54" s="538"/>
      <c r="EM54" s="538"/>
      <c r="EN54" s="538"/>
      <c r="EO54" s="538"/>
      <c r="EP54" s="538"/>
      <c r="EQ54" s="538"/>
      <c r="ER54" s="538"/>
      <c r="ES54" s="538"/>
      <c r="ET54" s="538"/>
      <c r="EU54" s="538"/>
      <c r="EV54" s="538"/>
      <c r="EW54" s="538"/>
      <c r="EX54" s="559"/>
      <c r="EY54" s="559"/>
      <c r="EZ54" s="559"/>
      <c r="FA54" s="559"/>
      <c r="FB54" s="559"/>
      <c r="FC54" s="559"/>
      <c r="FD54" s="559"/>
      <c r="FE54" s="559"/>
      <c r="FF54" s="559"/>
      <c r="FG54" s="559"/>
      <c r="FH54" s="559"/>
      <c r="FI54" s="559"/>
      <c r="FJ54" s="559"/>
      <c r="FK54" s="559"/>
      <c r="FL54" s="559"/>
      <c r="FM54" s="559"/>
      <c r="FN54" s="559"/>
      <c r="FO54" s="559"/>
      <c r="FP54" s="559"/>
      <c r="FQ54" s="559"/>
      <c r="FR54" s="559"/>
      <c r="FS54" s="559"/>
      <c r="FT54" s="559"/>
      <c r="FU54" s="559"/>
      <c r="FV54" s="559"/>
      <c r="FW54" s="559"/>
      <c r="FX54" s="559"/>
      <c r="FY54" s="559"/>
      <c r="FZ54" s="559"/>
      <c r="GA54" s="559"/>
      <c r="GB54" s="559"/>
      <c r="GC54" s="559"/>
      <c r="GD54" s="559"/>
      <c r="GE54" s="559"/>
      <c r="GF54" s="559"/>
      <c r="GG54" s="559"/>
      <c r="GH54" s="559"/>
    </row>
    <row r="55">
      <c r="A55" s="538"/>
      <c r="B55" s="134"/>
      <c r="C55" s="57"/>
      <c r="D55" s="594" t="s">
        <v>313</v>
      </c>
      <c r="E55" s="606" t="s">
        <v>416</v>
      </c>
      <c r="F55" s="563">
        <v>2.0</v>
      </c>
      <c r="G55" s="563">
        <v>12.0</v>
      </c>
      <c r="H55" s="564"/>
      <c r="I55" s="622" t="s">
        <v>365</v>
      </c>
      <c r="J55" s="566"/>
      <c r="K55" s="567">
        <v>2.0</v>
      </c>
      <c r="L55" s="568">
        <v>3.0</v>
      </c>
      <c r="M55" s="626"/>
      <c r="N55" s="617"/>
      <c r="O55" s="621"/>
      <c r="P55" s="57"/>
      <c r="Q55" s="57"/>
      <c r="R55" s="57"/>
      <c r="S55" s="605"/>
      <c r="T55" s="605"/>
      <c r="U55" s="573"/>
      <c r="V55" s="574"/>
      <c r="W55" s="618"/>
      <c r="X55" s="576">
        <v>0.0</v>
      </c>
      <c r="Y55" s="630" t="e">
        <v>#VALUE!</v>
      </c>
      <c r="Z55" s="630">
        <v>24.0</v>
      </c>
      <c r="AA55" s="631" t="b">
        <v>0</v>
      </c>
      <c r="AB55" s="631"/>
      <c r="AC55" s="576"/>
      <c r="AD55" s="479">
        <v>3.0</v>
      </c>
      <c r="AE55" s="632"/>
      <c r="AF55" s="582" t="s">
        <v>417</v>
      </c>
      <c r="AG55" s="583">
        <v>11.0</v>
      </c>
      <c r="AH55" s="584" t="s">
        <v>418</v>
      </c>
      <c r="AI55" s="583"/>
      <c r="AJ55" s="585"/>
      <c r="AK55" s="583">
        <v>11.0</v>
      </c>
      <c r="AL55" s="584">
        <v>82.0</v>
      </c>
      <c r="AM55" s="583"/>
      <c r="AN55" s="585"/>
      <c r="AO55" s="583">
        <v>14.0</v>
      </c>
      <c r="AP55" s="584" t="s">
        <v>419</v>
      </c>
      <c r="AQ55" s="583"/>
      <c r="AR55" s="585"/>
      <c r="AS55" s="583"/>
      <c r="AT55" s="584"/>
      <c r="AU55" s="583"/>
      <c r="AV55" s="585"/>
      <c r="AW55" s="583"/>
      <c r="AX55" s="584"/>
      <c r="AY55" s="583"/>
      <c r="AZ55" s="585"/>
      <c r="BA55" s="583"/>
      <c r="BB55" s="584"/>
      <c r="BC55" s="583"/>
      <c r="BD55" s="585"/>
      <c r="BE55" s="583"/>
      <c r="BF55" s="584"/>
      <c r="BG55" s="583"/>
      <c r="BH55" s="585"/>
      <c r="BI55" s="583"/>
      <c r="BJ55" s="584"/>
      <c r="BK55" s="583"/>
      <c r="BL55" s="585"/>
      <c r="BM55" s="583"/>
      <c r="BN55" s="584"/>
      <c r="BO55" s="583"/>
      <c r="BP55" s="585"/>
      <c r="BQ55" s="583"/>
      <c r="BR55" s="584"/>
      <c r="BS55" s="583"/>
      <c r="BT55" s="586"/>
      <c r="BU55" s="540"/>
      <c r="BV55" s="540"/>
      <c r="BW55" s="540"/>
      <c r="BX55" s="538"/>
      <c r="BY55" s="538"/>
      <c r="BZ55" s="592"/>
      <c r="CA55" s="633"/>
      <c r="CB55" s="592" t="s">
        <v>365</v>
      </c>
      <c r="CC55" s="592">
        <v>36.0</v>
      </c>
      <c r="CD55" s="592">
        <v>0.0</v>
      </c>
      <c r="CE55" s="592" t="e">
        <v>#VALUE!</v>
      </c>
      <c r="CF55" s="592"/>
      <c r="CG55" s="592">
        <v>0.36</v>
      </c>
      <c r="CH55" s="592"/>
      <c r="CI55" s="633"/>
      <c r="CJ55" s="592">
        <v>0.0</v>
      </c>
      <c r="CK55" s="479">
        <v>0.0</v>
      </c>
      <c r="CL55" s="592"/>
      <c r="CM55" s="593"/>
      <c r="CN55" s="538"/>
      <c r="CO55" s="538"/>
      <c r="CP55" s="538"/>
      <c r="CQ55" s="538"/>
      <c r="CR55" s="538"/>
      <c r="CS55" s="538"/>
      <c r="CT55" s="538"/>
      <c r="CU55" s="538"/>
      <c r="CV55" s="538"/>
      <c r="CW55" s="538"/>
      <c r="CX55" s="538"/>
      <c r="CY55" s="538"/>
      <c r="CZ55" s="538"/>
      <c r="DA55" s="538"/>
      <c r="DB55" s="538"/>
      <c r="DC55" s="538"/>
      <c r="DD55" s="538"/>
      <c r="DE55" s="538"/>
      <c r="DF55" s="538"/>
      <c r="DG55" s="538"/>
      <c r="DH55" s="538"/>
      <c r="DI55" s="538"/>
      <c r="DJ55" s="84"/>
      <c r="DK55" s="538"/>
      <c r="DL55" s="538"/>
      <c r="DM55" s="538"/>
      <c r="DN55" s="538"/>
      <c r="DO55" s="538"/>
      <c r="DP55" s="538"/>
      <c r="DQ55" s="538"/>
      <c r="DR55" s="538"/>
      <c r="DS55" s="538"/>
      <c r="DT55" s="538"/>
      <c r="DU55" s="538"/>
      <c r="DV55" s="538"/>
      <c r="DW55" s="538"/>
      <c r="DX55" s="538"/>
      <c r="DY55" s="538"/>
      <c r="DZ55" s="538"/>
      <c r="EA55" s="538"/>
      <c r="EB55" s="538"/>
      <c r="EC55" s="538"/>
      <c r="ED55" s="538"/>
      <c r="EE55" s="538"/>
      <c r="EF55" s="538"/>
      <c r="EG55" s="538"/>
      <c r="EH55" s="538"/>
      <c r="EI55" s="538"/>
      <c r="EJ55" s="538"/>
      <c r="EK55" s="538"/>
      <c r="EL55" s="538"/>
      <c r="EM55" s="538"/>
      <c r="EN55" s="538"/>
      <c r="EO55" s="538"/>
      <c r="EP55" s="538"/>
      <c r="EQ55" s="538"/>
      <c r="ER55" s="538"/>
      <c r="ES55" s="538"/>
      <c r="ET55" s="538"/>
      <c r="EU55" s="538"/>
      <c r="EV55" s="538"/>
      <c r="EW55" s="538"/>
      <c r="EX55" s="559"/>
      <c r="EY55" s="559"/>
      <c r="EZ55" s="559"/>
      <c r="FA55" s="559"/>
      <c r="FB55" s="559"/>
      <c r="FC55" s="559"/>
      <c r="FD55" s="559"/>
      <c r="FE55" s="559"/>
      <c r="FF55" s="559"/>
      <c r="FG55" s="559"/>
      <c r="FH55" s="559"/>
      <c r="FI55" s="559"/>
      <c r="FJ55" s="559"/>
      <c r="FK55" s="559"/>
      <c r="FL55" s="559"/>
      <c r="FM55" s="559"/>
      <c r="FN55" s="559"/>
      <c r="FO55" s="559"/>
      <c r="FP55" s="559"/>
      <c r="FQ55" s="559"/>
      <c r="FR55" s="559"/>
      <c r="FS55" s="559"/>
      <c r="FT55" s="559"/>
      <c r="FU55" s="559"/>
      <c r="FV55" s="559"/>
      <c r="FW55" s="559"/>
      <c r="FX55" s="559"/>
      <c r="FY55" s="559"/>
      <c r="FZ55" s="559"/>
      <c r="GA55" s="559"/>
      <c r="GB55" s="559"/>
      <c r="GC55" s="559"/>
      <c r="GD55" s="559"/>
      <c r="GE55" s="559"/>
      <c r="GF55" s="559"/>
      <c r="GG55" s="559"/>
      <c r="GH55" s="559"/>
    </row>
    <row r="56">
      <c r="A56" s="538"/>
      <c r="B56" s="134"/>
      <c r="C56" s="57"/>
      <c r="D56" s="594" t="s">
        <v>316</v>
      </c>
      <c r="E56" s="606" t="s">
        <v>420</v>
      </c>
      <c r="F56" s="563">
        <v>4.0</v>
      </c>
      <c r="G56" s="563">
        <v>6.0</v>
      </c>
      <c r="H56" s="564"/>
      <c r="I56" s="622" t="s">
        <v>365</v>
      </c>
      <c r="J56" s="566"/>
      <c r="K56" s="567">
        <v>2.0</v>
      </c>
      <c r="L56" s="568">
        <v>3.0</v>
      </c>
      <c r="M56" s="626"/>
      <c r="N56" s="619"/>
      <c r="O56" s="623"/>
      <c r="P56" s="47"/>
      <c r="Q56" s="47"/>
      <c r="R56" s="47"/>
      <c r="S56" s="572"/>
      <c r="T56" s="572"/>
      <c r="U56" s="573"/>
      <c r="V56" s="574"/>
      <c r="W56" s="618"/>
      <c r="X56" s="576">
        <v>0.0</v>
      </c>
      <c r="Y56" s="630" t="e">
        <v>#VALUE!</v>
      </c>
      <c r="Z56" s="630">
        <v>24.0</v>
      </c>
      <c r="AA56" s="631" t="b">
        <v>0</v>
      </c>
      <c r="AB56" s="631"/>
      <c r="AC56" s="576"/>
      <c r="AD56" s="479">
        <v>3.0</v>
      </c>
      <c r="AE56" s="632"/>
      <c r="AF56" s="582" t="s">
        <v>421</v>
      </c>
      <c r="AG56" s="583">
        <v>5.0</v>
      </c>
      <c r="AH56" s="584" t="s">
        <v>422</v>
      </c>
      <c r="AI56" s="583"/>
      <c r="AJ56" s="585">
        <v>9.5</v>
      </c>
      <c r="AK56" s="583">
        <v>6.0</v>
      </c>
      <c r="AL56" s="584">
        <v>80.0</v>
      </c>
      <c r="AM56" s="583">
        <v>1.0</v>
      </c>
      <c r="AN56" s="585">
        <v>9.0</v>
      </c>
      <c r="AO56" s="583">
        <v>8.0</v>
      </c>
      <c r="AP56" s="584" t="s">
        <v>423</v>
      </c>
      <c r="AQ56" s="583"/>
      <c r="AR56" s="585"/>
      <c r="AS56" s="583"/>
      <c r="AT56" s="584"/>
      <c r="AU56" s="583"/>
      <c r="AV56" s="585"/>
      <c r="AW56" s="583"/>
      <c r="AX56" s="584"/>
      <c r="AY56" s="583"/>
      <c r="AZ56" s="585"/>
      <c r="BA56" s="583"/>
      <c r="BB56" s="584"/>
      <c r="BC56" s="583"/>
      <c r="BD56" s="585"/>
      <c r="BE56" s="583"/>
      <c r="BF56" s="584"/>
      <c r="BG56" s="583"/>
      <c r="BH56" s="585"/>
      <c r="BI56" s="583"/>
      <c r="BJ56" s="584"/>
      <c r="BK56" s="583"/>
      <c r="BL56" s="585"/>
      <c r="BM56" s="583"/>
      <c r="BN56" s="584"/>
      <c r="BO56" s="583"/>
      <c r="BP56" s="585"/>
      <c r="BQ56" s="583"/>
      <c r="BR56" s="584"/>
      <c r="BS56" s="583"/>
      <c r="BT56" s="586"/>
      <c r="BU56" s="540"/>
      <c r="BV56" s="540"/>
      <c r="BW56" s="540"/>
      <c r="BX56" s="538"/>
      <c r="BY56" s="538"/>
      <c r="BZ56" s="592"/>
      <c r="CA56" s="633"/>
      <c r="CB56" s="592" t="s">
        <v>365</v>
      </c>
      <c r="CC56" s="592">
        <v>19.0</v>
      </c>
      <c r="CD56" s="592">
        <v>0.3333333333333333</v>
      </c>
      <c r="CE56" s="592" t="e">
        <v>#VALUE!</v>
      </c>
      <c r="CF56" s="592"/>
      <c r="CG56" s="592">
        <v>0.19</v>
      </c>
      <c r="CH56" s="592"/>
      <c r="CI56" s="633"/>
      <c r="CJ56" s="592">
        <v>1.2</v>
      </c>
      <c r="CK56" s="479">
        <v>6.166666666666667</v>
      </c>
      <c r="CL56" s="592"/>
      <c r="CM56" s="593"/>
      <c r="CN56" s="538"/>
      <c r="CO56" s="538"/>
      <c r="CP56" s="538"/>
      <c r="CQ56" s="538"/>
      <c r="CR56" s="538"/>
      <c r="CS56" s="538"/>
      <c r="CT56" s="538"/>
      <c r="CU56" s="538"/>
      <c r="CV56" s="538"/>
      <c r="CW56" s="538"/>
      <c r="CX56" s="538"/>
      <c r="CY56" s="538"/>
      <c r="CZ56" s="538"/>
      <c r="DA56" s="538"/>
      <c r="DB56" s="538"/>
      <c r="DC56" s="538"/>
      <c r="DD56" s="538"/>
      <c r="DE56" s="538"/>
      <c r="DF56" s="538"/>
      <c r="DG56" s="538"/>
      <c r="DH56" s="538"/>
      <c r="DI56" s="538"/>
      <c r="DJ56" s="84"/>
      <c r="DK56" s="538"/>
      <c r="DL56" s="538"/>
      <c r="DM56" s="538"/>
      <c r="DN56" s="538"/>
      <c r="DO56" s="538"/>
      <c r="DP56" s="538"/>
      <c r="DQ56" s="538"/>
      <c r="DR56" s="538"/>
      <c r="DS56" s="538"/>
      <c r="DT56" s="538"/>
      <c r="DU56" s="538"/>
      <c r="DV56" s="538"/>
      <c r="DW56" s="538"/>
      <c r="DX56" s="538"/>
      <c r="DY56" s="538"/>
      <c r="DZ56" s="538"/>
      <c r="EA56" s="538"/>
      <c r="EB56" s="538"/>
      <c r="EC56" s="538"/>
      <c r="ED56" s="538"/>
      <c r="EE56" s="538"/>
      <c r="EF56" s="538"/>
      <c r="EG56" s="538"/>
      <c r="EH56" s="538"/>
      <c r="EI56" s="538"/>
      <c r="EJ56" s="538"/>
      <c r="EK56" s="538"/>
      <c r="EL56" s="538"/>
      <c r="EM56" s="538"/>
      <c r="EN56" s="538"/>
      <c r="EO56" s="538"/>
      <c r="EP56" s="538"/>
      <c r="EQ56" s="538"/>
      <c r="ER56" s="538"/>
      <c r="ES56" s="538"/>
      <c r="ET56" s="538"/>
      <c r="EU56" s="538"/>
      <c r="EV56" s="538"/>
      <c r="EW56" s="538"/>
      <c r="EX56" s="559"/>
      <c r="EY56" s="559"/>
      <c r="EZ56" s="559"/>
      <c r="FA56" s="559"/>
      <c r="FB56" s="559"/>
      <c r="FC56" s="559"/>
      <c r="FD56" s="559"/>
      <c r="FE56" s="559"/>
      <c r="FF56" s="559"/>
      <c r="FG56" s="559"/>
      <c r="FH56" s="559"/>
      <c r="FI56" s="559"/>
      <c r="FJ56" s="559"/>
      <c r="FK56" s="559"/>
      <c r="FL56" s="559"/>
      <c r="FM56" s="559"/>
      <c r="FN56" s="559"/>
      <c r="FO56" s="559"/>
      <c r="FP56" s="559"/>
      <c r="FQ56" s="559"/>
      <c r="FR56" s="559"/>
      <c r="FS56" s="559"/>
      <c r="FT56" s="559"/>
      <c r="FU56" s="559"/>
      <c r="FV56" s="559"/>
      <c r="FW56" s="559"/>
      <c r="FX56" s="559"/>
      <c r="FY56" s="559"/>
      <c r="FZ56" s="559"/>
      <c r="GA56" s="559"/>
      <c r="GB56" s="559"/>
      <c r="GC56" s="559"/>
      <c r="GD56" s="559"/>
      <c r="GE56" s="559"/>
      <c r="GF56" s="559"/>
      <c r="GG56" s="559"/>
      <c r="GH56" s="559"/>
    </row>
    <row r="57">
      <c r="A57" s="538"/>
      <c r="B57" s="134"/>
      <c r="C57" s="57"/>
      <c r="D57" s="594" t="s">
        <v>302</v>
      </c>
      <c r="E57" s="595" t="s">
        <v>424</v>
      </c>
      <c r="F57" s="596">
        <v>3.0</v>
      </c>
      <c r="G57" s="596">
        <v>12.0</v>
      </c>
      <c r="H57" s="597"/>
      <c r="I57" s="616" t="s">
        <v>365</v>
      </c>
      <c r="J57" s="599"/>
      <c r="K57" s="600">
        <v>2.0</v>
      </c>
      <c r="L57" s="601">
        <v>3.0</v>
      </c>
      <c r="M57" s="625"/>
      <c r="N57" s="617"/>
      <c r="O57" s="134" t="s">
        <v>425</v>
      </c>
      <c r="P57" s="57"/>
      <c r="Q57" s="57"/>
      <c r="R57" s="57"/>
      <c r="S57" s="605"/>
      <c r="T57" s="605"/>
      <c r="U57" s="573"/>
      <c r="V57" s="574"/>
      <c r="W57" s="618"/>
      <c r="X57" s="576">
        <v>0.0</v>
      </c>
      <c r="Y57" s="630">
        <v>0.0</v>
      </c>
      <c r="Z57" s="630">
        <v>36.0</v>
      </c>
      <c r="AA57" s="631" t="b">
        <v>0</v>
      </c>
      <c r="AB57" s="631"/>
      <c r="AC57" s="576"/>
      <c r="AD57" s="479">
        <v>0.0</v>
      </c>
      <c r="AE57" s="632"/>
      <c r="AF57" s="582" t="s">
        <v>426</v>
      </c>
      <c r="AG57" s="583"/>
      <c r="AH57" s="584"/>
      <c r="AI57" s="583"/>
      <c r="AJ57" s="585"/>
      <c r="AK57" s="583"/>
      <c r="AL57" s="584"/>
      <c r="AM57" s="583"/>
      <c r="AN57" s="585"/>
      <c r="AO57" s="583"/>
      <c r="AP57" s="584"/>
      <c r="AQ57" s="583"/>
      <c r="AR57" s="585"/>
      <c r="AS57" s="583"/>
      <c r="AT57" s="584"/>
      <c r="AU57" s="583"/>
      <c r="AV57" s="585"/>
      <c r="AW57" s="583"/>
      <c r="AX57" s="584"/>
      <c r="AY57" s="583"/>
      <c r="AZ57" s="585"/>
      <c r="BA57" s="583"/>
      <c r="BB57" s="584"/>
      <c r="BC57" s="583"/>
      <c r="BD57" s="585"/>
      <c r="BE57" s="583"/>
      <c r="BF57" s="584"/>
      <c r="BG57" s="583"/>
      <c r="BH57" s="585"/>
      <c r="BI57" s="583"/>
      <c r="BJ57" s="584"/>
      <c r="BK57" s="583"/>
      <c r="BL57" s="585"/>
      <c r="BM57" s="583"/>
      <c r="BN57" s="584"/>
      <c r="BO57" s="583"/>
      <c r="BP57" s="585"/>
      <c r="BQ57" s="583"/>
      <c r="BR57" s="584"/>
      <c r="BS57" s="583"/>
      <c r="BT57" s="586"/>
      <c r="BU57" s="540"/>
      <c r="BV57" s="540"/>
      <c r="BW57" s="540"/>
      <c r="BX57" s="538"/>
      <c r="BY57" s="538"/>
      <c r="BZ57" s="592"/>
      <c r="CA57" s="633"/>
      <c r="CB57" s="592" t="s">
        <v>365</v>
      </c>
      <c r="CC57" s="592">
        <v>0.0</v>
      </c>
      <c r="CD57" s="592" t="s">
        <v>365</v>
      </c>
      <c r="CE57" s="592">
        <v>0.0</v>
      </c>
      <c r="CF57" s="592"/>
      <c r="CG57" s="592">
        <v>0.0</v>
      </c>
      <c r="CH57" s="592"/>
      <c r="CI57" s="633"/>
      <c r="CJ57" s="592">
        <v>0.0</v>
      </c>
      <c r="CK57" s="479" t="s">
        <v>365</v>
      </c>
      <c r="CL57" s="592"/>
      <c r="CM57" s="593"/>
      <c r="CN57" s="538"/>
      <c r="CO57" s="538"/>
      <c r="CP57" s="538"/>
      <c r="CQ57" s="538"/>
      <c r="CR57" s="538"/>
      <c r="CS57" s="538"/>
      <c r="CT57" s="538"/>
      <c r="CU57" s="538"/>
      <c r="CV57" s="538"/>
      <c r="CW57" s="538"/>
      <c r="CX57" s="538"/>
      <c r="CY57" s="538"/>
      <c r="CZ57" s="538"/>
      <c r="DA57" s="538"/>
      <c r="DB57" s="538"/>
      <c r="DC57" s="538"/>
      <c r="DD57" s="538"/>
      <c r="DE57" s="538"/>
      <c r="DF57" s="538"/>
      <c r="DG57" s="538"/>
      <c r="DH57" s="538"/>
      <c r="DI57" s="538"/>
      <c r="DJ57" s="84"/>
      <c r="DK57" s="538"/>
      <c r="DL57" s="538"/>
      <c r="DM57" s="538"/>
      <c r="DN57" s="538"/>
      <c r="DO57" s="538"/>
      <c r="DP57" s="538"/>
      <c r="DQ57" s="538"/>
      <c r="DR57" s="538"/>
      <c r="DS57" s="538"/>
      <c r="DT57" s="538"/>
      <c r="DU57" s="538"/>
      <c r="DV57" s="538"/>
      <c r="DW57" s="538"/>
      <c r="DX57" s="538"/>
      <c r="DY57" s="538"/>
      <c r="DZ57" s="538"/>
      <c r="EA57" s="538"/>
      <c r="EB57" s="538"/>
      <c r="EC57" s="538"/>
      <c r="ED57" s="538"/>
      <c r="EE57" s="538"/>
      <c r="EF57" s="538"/>
      <c r="EG57" s="538"/>
      <c r="EH57" s="538"/>
      <c r="EI57" s="538"/>
      <c r="EJ57" s="538"/>
      <c r="EK57" s="538"/>
      <c r="EL57" s="538"/>
      <c r="EM57" s="538"/>
      <c r="EN57" s="538"/>
      <c r="EO57" s="538"/>
      <c r="EP57" s="538"/>
      <c r="EQ57" s="538"/>
      <c r="ER57" s="538"/>
      <c r="ES57" s="538"/>
      <c r="ET57" s="538"/>
      <c r="EU57" s="538"/>
      <c r="EV57" s="538"/>
      <c r="EW57" s="538"/>
      <c r="EX57" s="559"/>
      <c r="EY57" s="559"/>
      <c r="EZ57" s="559"/>
      <c r="FA57" s="559"/>
      <c r="FB57" s="559"/>
      <c r="FC57" s="559"/>
      <c r="FD57" s="559"/>
      <c r="FE57" s="559"/>
      <c r="FF57" s="559"/>
      <c r="FG57" s="559"/>
      <c r="FH57" s="559"/>
      <c r="FI57" s="559"/>
      <c r="FJ57" s="559"/>
      <c r="FK57" s="559"/>
      <c r="FL57" s="559"/>
      <c r="FM57" s="559"/>
      <c r="FN57" s="559"/>
      <c r="FO57" s="559"/>
      <c r="FP57" s="559"/>
      <c r="FQ57" s="559"/>
      <c r="FR57" s="559"/>
      <c r="FS57" s="559"/>
      <c r="FT57" s="559"/>
      <c r="FU57" s="559"/>
      <c r="FV57" s="559"/>
      <c r="FW57" s="559"/>
      <c r="FX57" s="559"/>
      <c r="FY57" s="559"/>
      <c r="FZ57" s="559"/>
      <c r="GA57" s="559"/>
      <c r="GB57" s="559"/>
      <c r="GC57" s="559"/>
      <c r="GD57" s="559"/>
      <c r="GE57" s="559"/>
      <c r="GF57" s="559"/>
      <c r="GG57" s="559"/>
      <c r="GH57" s="559"/>
    </row>
    <row r="58">
      <c r="A58" s="538"/>
      <c r="B58" s="134"/>
      <c r="C58" s="57"/>
      <c r="D58" s="594" t="s">
        <v>301</v>
      </c>
      <c r="E58" s="595" t="s">
        <v>427</v>
      </c>
      <c r="F58" s="596">
        <v>3.0</v>
      </c>
      <c r="G58" s="596">
        <v>10.0</v>
      </c>
      <c r="H58" s="597"/>
      <c r="I58" s="616" t="s">
        <v>365</v>
      </c>
      <c r="J58" s="599"/>
      <c r="K58" s="600">
        <v>1.0</v>
      </c>
      <c r="L58" s="568">
        <v>2.0</v>
      </c>
      <c r="M58" s="626"/>
      <c r="N58" s="619"/>
      <c r="O58" s="623"/>
      <c r="P58" s="47"/>
      <c r="Q58" s="47"/>
      <c r="R58" s="47"/>
      <c r="S58" s="572"/>
      <c r="T58" s="572"/>
      <c r="U58" s="573"/>
      <c r="V58" s="574"/>
      <c r="W58" s="618"/>
      <c r="X58" s="576">
        <v>0.0</v>
      </c>
      <c r="Y58" s="630" t="e">
        <v>#VALUE!</v>
      </c>
      <c r="Z58" s="630">
        <v>30.0</v>
      </c>
      <c r="AA58" s="631" t="b">
        <v>0</v>
      </c>
      <c r="AB58" s="631"/>
      <c r="AC58" s="576"/>
      <c r="AD58" s="479">
        <v>1.0</v>
      </c>
      <c r="AE58" s="632"/>
      <c r="AF58" s="582" t="s">
        <v>428</v>
      </c>
      <c r="AG58" s="583">
        <v>15.0</v>
      </c>
      <c r="AH58" s="584" t="s">
        <v>429</v>
      </c>
      <c r="AI58" s="583"/>
      <c r="AJ58" s="585"/>
      <c r="AK58" s="583"/>
      <c r="AL58" s="584"/>
      <c r="AM58" s="583"/>
      <c r="AN58" s="585"/>
      <c r="AO58" s="583"/>
      <c r="AP58" s="584"/>
      <c r="AQ58" s="583"/>
      <c r="AR58" s="585"/>
      <c r="AS58" s="583"/>
      <c r="AT58" s="584"/>
      <c r="AU58" s="583"/>
      <c r="AV58" s="585"/>
      <c r="AW58" s="583"/>
      <c r="AX58" s="584"/>
      <c r="AY58" s="583"/>
      <c r="AZ58" s="585"/>
      <c r="BA58" s="583"/>
      <c r="BB58" s="584"/>
      <c r="BC58" s="583"/>
      <c r="BD58" s="585"/>
      <c r="BE58" s="583"/>
      <c r="BF58" s="584"/>
      <c r="BG58" s="583"/>
      <c r="BH58" s="585"/>
      <c r="BI58" s="583"/>
      <c r="BJ58" s="584"/>
      <c r="BK58" s="583"/>
      <c r="BL58" s="585"/>
      <c r="BM58" s="583"/>
      <c r="BN58" s="584"/>
      <c r="BO58" s="583"/>
      <c r="BP58" s="585"/>
      <c r="BQ58" s="583"/>
      <c r="BR58" s="584"/>
      <c r="BS58" s="583"/>
      <c r="BT58" s="586"/>
      <c r="BU58" s="540"/>
      <c r="BV58" s="540"/>
      <c r="BW58" s="540"/>
      <c r="BX58" s="538"/>
      <c r="BY58" s="538"/>
      <c r="BZ58" s="592"/>
      <c r="CA58" s="633"/>
      <c r="CB58" s="592" t="s">
        <v>365</v>
      </c>
      <c r="CC58" s="592">
        <v>15.0</v>
      </c>
      <c r="CD58" s="592">
        <v>0.0</v>
      </c>
      <c r="CE58" s="592" t="e">
        <v>#VALUE!</v>
      </c>
      <c r="CF58" s="592"/>
      <c r="CG58" s="592">
        <v>0.15</v>
      </c>
      <c r="CH58" s="592"/>
      <c r="CI58" s="633"/>
      <c r="CJ58" s="592">
        <v>0.0</v>
      </c>
      <c r="CK58" s="479">
        <v>0.0</v>
      </c>
      <c r="CL58" s="592"/>
      <c r="CM58" s="593"/>
      <c r="CN58" s="538"/>
      <c r="CO58" s="538"/>
      <c r="CP58" s="538"/>
      <c r="CQ58" s="538"/>
      <c r="CR58" s="538"/>
      <c r="CS58" s="538"/>
      <c r="CT58" s="538"/>
      <c r="CU58" s="538"/>
      <c r="CV58" s="538"/>
      <c r="CW58" s="538"/>
      <c r="CX58" s="538"/>
      <c r="CY58" s="538"/>
      <c r="CZ58" s="538"/>
      <c r="DA58" s="538"/>
      <c r="DB58" s="538"/>
      <c r="DC58" s="538"/>
      <c r="DD58" s="538"/>
      <c r="DE58" s="538"/>
      <c r="DF58" s="538"/>
      <c r="DG58" s="538"/>
      <c r="DH58" s="538"/>
      <c r="DI58" s="538"/>
      <c r="DJ58" s="84"/>
      <c r="DK58" s="538"/>
      <c r="DL58" s="538"/>
      <c r="DM58" s="538"/>
      <c r="DN58" s="538"/>
      <c r="DO58" s="538"/>
      <c r="DP58" s="538"/>
      <c r="DQ58" s="538"/>
      <c r="DR58" s="538"/>
      <c r="DS58" s="538"/>
      <c r="DT58" s="538"/>
      <c r="DU58" s="538"/>
      <c r="DV58" s="538"/>
      <c r="DW58" s="538"/>
      <c r="DX58" s="538"/>
      <c r="DY58" s="538"/>
      <c r="DZ58" s="538"/>
      <c r="EA58" s="538"/>
      <c r="EB58" s="538"/>
      <c r="EC58" s="538"/>
      <c r="ED58" s="538"/>
      <c r="EE58" s="538"/>
      <c r="EF58" s="538"/>
      <c r="EG58" s="538"/>
      <c r="EH58" s="538"/>
      <c r="EI58" s="538"/>
      <c r="EJ58" s="538"/>
      <c r="EK58" s="538"/>
      <c r="EL58" s="538"/>
      <c r="EM58" s="538"/>
      <c r="EN58" s="538"/>
      <c r="EO58" s="538"/>
      <c r="EP58" s="538"/>
      <c r="EQ58" s="538"/>
      <c r="ER58" s="538"/>
      <c r="ES58" s="538"/>
      <c r="ET58" s="538"/>
      <c r="EU58" s="538"/>
      <c r="EV58" s="538"/>
      <c r="EW58" s="538"/>
      <c r="EX58" s="559"/>
      <c r="EY58" s="559"/>
      <c r="EZ58" s="559"/>
      <c r="FA58" s="559"/>
      <c r="FB58" s="559"/>
      <c r="FC58" s="559"/>
      <c r="FD58" s="559"/>
      <c r="FE58" s="559"/>
      <c r="FF58" s="559"/>
      <c r="FG58" s="559"/>
      <c r="FH58" s="559"/>
      <c r="FI58" s="559"/>
      <c r="FJ58" s="559"/>
      <c r="FK58" s="559"/>
      <c r="FL58" s="559"/>
      <c r="FM58" s="559"/>
      <c r="FN58" s="559"/>
      <c r="FO58" s="559"/>
      <c r="FP58" s="559"/>
      <c r="FQ58" s="559"/>
      <c r="FR58" s="559"/>
      <c r="FS58" s="559"/>
      <c r="FT58" s="559"/>
      <c r="FU58" s="559"/>
      <c r="FV58" s="559"/>
      <c r="FW58" s="559"/>
      <c r="FX58" s="559"/>
      <c r="FY58" s="559"/>
      <c r="FZ58" s="559"/>
      <c r="GA58" s="559"/>
      <c r="GB58" s="559"/>
      <c r="GC58" s="559"/>
      <c r="GD58" s="559"/>
      <c r="GE58" s="559"/>
      <c r="GF58" s="559"/>
      <c r="GG58" s="559"/>
      <c r="GH58" s="559"/>
    </row>
    <row r="59">
      <c r="A59" s="538"/>
      <c r="B59" s="134" t="s">
        <v>430</v>
      </c>
      <c r="C59" s="57"/>
      <c r="D59" s="594"/>
      <c r="E59" s="595"/>
      <c r="F59" s="596"/>
      <c r="G59" s="596"/>
      <c r="H59" s="597"/>
      <c r="I59" s="616" t="s">
        <v>365</v>
      </c>
      <c r="J59" s="599"/>
      <c r="K59" s="600"/>
      <c r="L59" s="601"/>
      <c r="M59" s="625"/>
      <c r="N59" s="617"/>
      <c r="O59" s="621"/>
      <c r="P59" s="57"/>
      <c r="Q59" s="57"/>
      <c r="S59" s="605"/>
      <c r="U59" s="573"/>
      <c r="V59" s="574"/>
      <c r="W59" s="618"/>
      <c r="X59" s="576">
        <v>0.0</v>
      </c>
      <c r="Y59" s="630">
        <v>0.0</v>
      </c>
      <c r="Z59" s="630" t="s">
        <v>365</v>
      </c>
      <c r="AA59" s="631" t="b">
        <v>0</v>
      </c>
      <c r="AB59" s="631"/>
      <c r="AC59" s="576"/>
      <c r="AD59" s="479">
        <v>0.0</v>
      </c>
      <c r="AE59" s="632"/>
      <c r="AF59" s="582" t="s">
        <v>365</v>
      </c>
      <c r="AG59" s="583"/>
      <c r="AH59" s="584"/>
      <c r="AI59" s="583"/>
      <c r="AJ59" s="585"/>
      <c r="AK59" s="583"/>
      <c r="AL59" s="584"/>
      <c r="AM59" s="583"/>
      <c r="AN59" s="585"/>
      <c r="AO59" s="583"/>
      <c r="AP59" s="584"/>
      <c r="AQ59" s="583"/>
      <c r="AR59" s="585"/>
      <c r="AS59" s="583"/>
      <c r="AT59" s="584"/>
      <c r="AU59" s="583"/>
      <c r="AV59" s="585"/>
      <c r="AW59" s="583"/>
      <c r="AX59" s="584"/>
      <c r="AY59" s="583"/>
      <c r="AZ59" s="585"/>
      <c r="BA59" s="583"/>
      <c r="BB59" s="584"/>
      <c r="BC59" s="583"/>
      <c r="BD59" s="585"/>
      <c r="BE59" s="583"/>
      <c r="BF59" s="584"/>
      <c r="BG59" s="583"/>
      <c r="BH59" s="585"/>
      <c r="BI59" s="583"/>
      <c r="BJ59" s="584"/>
      <c r="BK59" s="583"/>
      <c r="BL59" s="585"/>
      <c r="BM59" s="583"/>
      <c r="BN59" s="584"/>
      <c r="BO59" s="583"/>
      <c r="BP59" s="585"/>
      <c r="BQ59" s="583"/>
      <c r="BR59" s="584"/>
      <c r="BS59" s="583"/>
      <c r="BT59" s="586"/>
      <c r="BU59" s="540"/>
      <c r="BV59" s="540"/>
      <c r="BW59" s="540"/>
      <c r="BX59" s="538"/>
      <c r="BY59" s="538"/>
      <c r="BZ59" s="592"/>
      <c r="CA59" s="633"/>
      <c r="CB59" s="592" t="s">
        <v>365</v>
      </c>
      <c r="CC59" s="592">
        <v>0.0</v>
      </c>
      <c r="CD59" s="592" t="s">
        <v>365</v>
      </c>
      <c r="CE59" s="592">
        <v>0.0</v>
      </c>
      <c r="CF59" s="592"/>
      <c r="CG59" s="592">
        <v>0.0</v>
      </c>
      <c r="CH59" s="592"/>
      <c r="CI59" s="633"/>
      <c r="CJ59" s="592">
        <v>0.0</v>
      </c>
      <c r="CK59" s="479" t="s">
        <v>365</v>
      </c>
      <c r="CL59" s="592"/>
      <c r="CM59" s="593"/>
      <c r="CN59" s="538"/>
      <c r="CO59" s="538"/>
      <c r="CP59" s="538"/>
      <c r="CQ59" s="538"/>
      <c r="CR59" s="538"/>
      <c r="CS59" s="538"/>
      <c r="CT59" s="538"/>
      <c r="CU59" s="538"/>
      <c r="CV59" s="538"/>
      <c r="CW59" s="538"/>
      <c r="CX59" s="538"/>
      <c r="CY59" s="538"/>
      <c r="CZ59" s="538"/>
      <c r="DA59" s="538"/>
      <c r="DB59" s="538"/>
      <c r="DC59" s="538"/>
      <c r="DD59" s="538"/>
      <c r="DE59" s="538"/>
      <c r="DF59" s="538"/>
      <c r="DG59" s="538"/>
      <c r="DH59" s="538"/>
      <c r="DI59" s="538"/>
      <c r="DJ59" s="84"/>
      <c r="DK59" s="538"/>
      <c r="DL59" s="538"/>
      <c r="DM59" s="538"/>
      <c r="DN59" s="538"/>
      <c r="DO59" s="538"/>
      <c r="DP59" s="538"/>
      <c r="DQ59" s="538"/>
      <c r="DR59" s="538"/>
      <c r="DS59" s="538"/>
      <c r="DT59" s="538"/>
      <c r="DU59" s="538"/>
      <c r="DV59" s="538"/>
      <c r="DW59" s="538"/>
      <c r="DX59" s="538"/>
      <c r="DY59" s="538"/>
      <c r="DZ59" s="538"/>
      <c r="EA59" s="538"/>
      <c r="EB59" s="538"/>
      <c r="EC59" s="538"/>
      <c r="ED59" s="538"/>
      <c r="EE59" s="538"/>
      <c r="EF59" s="538"/>
      <c r="EG59" s="538"/>
      <c r="EH59" s="538"/>
      <c r="EI59" s="538"/>
      <c r="EJ59" s="538"/>
      <c r="EK59" s="538"/>
      <c r="EL59" s="538"/>
      <c r="EM59" s="538"/>
      <c r="EN59" s="538"/>
      <c r="EO59" s="538"/>
      <c r="EP59" s="538"/>
      <c r="EQ59" s="538"/>
      <c r="ER59" s="538"/>
      <c r="ES59" s="538"/>
      <c r="ET59" s="538"/>
      <c r="EU59" s="538"/>
      <c r="EV59" s="538"/>
      <c r="EW59" s="538"/>
      <c r="EX59" s="559"/>
      <c r="EY59" s="559"/>
      <c r="EZ59" s="559"/>
      <c r="FA59" s="559"/>
      <c r="FB59" s="559"/>
      <c r="FC59" s="559"/>
      <c r="FD59" s="559"/>
      <c r="FE59" s="559"/>
      <c r="FF59" s="559"/>
      <c r="FG59" s="559"/>
      <c r="FH59" s="559"/>
      <c r="FI59" s="559"/>
      <c r="FJ59" s="559"/>
      <c r="FK59" s="559"/>
      <c r="FL59" s="559"/>
      <c r="FM59" s="559"/>
      <c r="FN59" s="559"/>
      <c r="FO59" s="559"/>
      <c r="FP59" s="559"/>
      <c r="FQ59" s="559"/>
      <c r="FR59" s="559"/>
      <c r="FS59" s="559"/>
      <c r="FT59" s="559"/>
      <c r="FU59" s="559"/>
      <c r="FV59" s="559"/>
      <c r="FW59" s="559"/>
      <c r="FX59" s="559"/>
      <c r="FY59" s="559"/>
      <c r="FZ59" s="559"/>
      <c r="GA59" s="559"/>
      <c r="GB59" s="559"/>
      <c r="GC59" s="559"/>
      <c r="GD59" s="559"/>
      <c r="GE59" s="559"/>
      <c r="GF59" s="559"/>
      <c r="GG59" s="559"/>
      <c r="GH59" s="559"/>
    </row>
    <row r="60">
      <c r="A60" s="538"/>
      <c r="B60" s="134"/>
      <c r="C60" s="57"/>
      <c r="D60" s="594" t="s">
        <v>266</v>
      </c>
      <c r="E60" s="629" t="s">
        <v>431</v>
      </c>
      <c r="F60" s="563">
        <v>3.0</v>
      </c>
      <c r="G60" s="563">
        <v>6.0</v>
      </c>
      <c r="H60" s="564"/>
      <c r="I60" s="622">
        <v>0.0</v>
      </c>
      <c r="J60" s="566">
        <v>137.5</v>
      </c>
      <c r="K60" s="567"/>
      <c r="L60" s="568"/>
      <c r="M60" s="626"/>
      <c r="N60" s="619"/>
      <c r="O60" s="623"/>
      <c r="P60" s="47"/>
      <c r="Q60" s="47"/>
      <c r="R60" s="47"/>
      <c r="S60" s="572"/>
      <c r="T60" s="572"/>
      <c r="U60" s="573"/>
      <c r="V60" s="574"/>
      <c r="W60" s="618"/>
      <c r="X60" s="576">
        <v>2475.0</v>
      </c>
      <c r="Y60" s="630" t="e">
        <v>#VALUE!</v>
      </c>
      <c r="Z60" s="630">
        <v>18.0</v>
      </c>
      <c r="AA60" s="631">
        <v>0.7638888888888888</v>
      </c>
      <c r="AB60" s="631"/>
      <c r="AC60" s="576"/>
      <c r="AD60" s="479">
        <v>3.0</v>
      </c>
      <c r="AE60" s="632"/>
      <c r="AF60" s="582" t="s">
        <v>432</v>
      </c>
      <c r="AG60" s="583">
        <v>6.0</v>
      </c>
      <c r="AH60" s="584" t="s">
        <v>433</v>
      </c>
      <c r="AI60" s="583">
        <v>2.0</v>
      </c>
      <c r="AJ60" s="585">
        <v>8.0</v>
      </c>
      <c r="AK60" s="583">
        <v>6.0</v>
      </c>
      <c r="AL60" s="584">
        <v>140.0</v>
      </c>
      <c r="AM60" s="583">
        <v>2.0</v>
      </c>
      <c r="AN60" s="585">
        <v>7.5</v>
      </c>
      <c r="AO60" s="583">
        <v>6.0</v>
      </c>
      <c r="AP60" s="584">
        <v>140.0</v>
      </c>
      <c r="AQ60" s="583">
        <v>2.0</v>
      </c>
      <c r="AR60" s="585">
        <v>8.0</v>
      </c>
      <c r="AS60" s="583"/>
      <c r="AT60" s="584"/>
      <c r="AU60" s="583"/>
      <c r="AV60" s="585"/>
      <c r="AW60" s="583"/>
      <c r="AX60" s="584"/>
      <c r="AY60" s="583"/>
      <c r="AZ60" s="585"/>
      <c r="BA60" s="583"/>
      <c r="BB60" s="584"/>
      <c r="BC60" s="583"/>
      <c r="BD60" s="585"/>
      <c r="BE60" s="583"/>
      <c r="BF60" s="584"/>
      <c r="BG60" s="583"/>
      <c r="BH60" s="585"/>
      <c r="BI60" s="583"/>
      <c r="BJ60" s="584"/>
      <c r="BK60" s="583"/>
      <c r="BL60" s="585"/>
      <c r="BM60" s="583"/>
      <c r="BN60" s="584"/>
      <c r="BO60" s="583"/>
      <c r="BP60" s="585"/>
      <c r="BQ60" s="583"/>
      <c r="BR60" s="584"/>
      <c r="BS60" s="583"/>
      <c r="BT60" s="586"/>
      <c r="BU60" s="540"/>
      <c r="BV60" s="540"/>
      <c r="BW60" s="540"/>
      <c r="BX60" s="538"/>
      <c r="BY60" s="538"/>
      <c r="BZ60" s="592">
        <v>180.0</v>
      </c>
      <c r="CA60" s="633"/>
      <c r="CB60" s="592" t="s">
        <v>365</v>
      </c>
      <c r="CC60" s="592">
        <v>18.0</v>
      </c>
      <c r="CD60" s="592">
        <v>2.0</v>
      </c>
      <c r="CE60" s="592" t="e">
        <v>#VALUE!</v>
      </c>
      <c r="CF60" s="592"/>
      <c r="CG60" s="592">
        <v>0.18</v>
      </c>
      <c r="CH60" s="592"/>
      <c r="CI60" s="633"/>
      <c r="CJ60" s="592">
        <v>3.0</v>
      </c>
      <c r="CK60" s="479">
        <v>7.833333333333333</v>
      </c>
      <c r="CL60" s="592"/>
      <c r="CM60" s="593"/>
      <c r="CN60" s="538"/>
      <c r="CO60" s="538"/>
      <c r="CP60" s="538"/>
      <c r="CQ60" s="538"/>
      <c r="CR60" s="538"/>
      <c r="CS60" s="538"/>
      <c r="CT60" s="538"/>
      <c r="CU60" s="538"/>
      <c r="CV60" s="538"/>
      <c r="CW60" s="538"/>
      <c r="CX60" s="538"/>
      <c r="CY60" s="538"/>
      <c r="CZ60" s="538"/>
      <c r="DA60" s="538"/>
      <c r="DB60" s="538"/>
      <c r="DC60" s="538"/>
      <c r="DD60" s="538"/>
      <c r="DE60" s="538"/>
      <c r="DF60" s="538"/>
      <c r="DG60" s="538"/>
      <c r="DH60" s="538"/>
      <c r="DI60" s="538"/>
      <c r="DJ60" s="84"/>
      <c r="DK60" s="538"/>
      <c r="DL60" s="538"/>
      <c r="DM60" s="538"/>
      <c r="DN60" s="538"/>
      <c r="DO60" s="538"/>
      <c r="DP60" s="538"/>
      <c r="DQ60" s="538"/>
      <c r="DR60" s="538"/>
      <c r="DS60" s="538"/>
      <c r="DT60" s="538"/>
      <c r="DU60" s="538"/>
      <c r="DV60" s="538"/>
      <c r="DW60" s="538"/>
      <c r="DX60" s="538"/>
      <c r="DY60" s="538"/>
      <c r="DZ60" s="538"/>
      <c r="EA60" s="538"/>
      <c r="EB60" s="538"/>
      <c r="EC60" s="538"/>
      <c r="ED60" s="538"/>
      <c r="EE60" s="538"/>
      <c r="EF60" s="538"/>
      <c r="EG60" s="538"/>
      <c r="EH60" s="538"/>
      <c r="EI60" s="538"/>
      <c r="EJ60" s="538"/>
      <c r="EK60" s="538"/>
      <c r="EL60" s="538"/>
      <c r="EM60" s="538"/>
      <c r="EN60" s="538"/>
      <c r="EO60" s="538"/>
      <c r="EP60" s="538"/>
      <c r="EQ60" s="538"/>
      <c r="ER60" s="538"/>
      <c r="ES60" s="538"/>
      <c r="ET60" s="538"/>
      <c r="EU60" s="538"/>
      <c r="EV60" s="538"/>
      <c r="EW60" s="538"/>
      <c r="EX60" s="559"/>
      <c r="EY60" s="559"/>
      <c r="EZ60" s="559"/>
      <c r="FA60" s="559"/>
      <c r="FB60" s="559"/>
      <c r="FC60" s="559"/>
      <c r="FD60" s="559"/>
      <c r="FE60" s="559"/>
      <c r="FF60" s="559"/>
      <c r="FG60" s="559"/>
      <c r="FH60" s="559"/>
      <c r="FI60" s="559"/>
      <c r="FJ60" s="559"/>
      <c r="FK60" s="559"/>
      <c r="FL60" s="559"/>
      <c r="FM60" s="559"/>
      <c r="FN60" s="559"/>
      <c r="FO60" s="559"/>
      <c r="FP60" s="559"/>
      <c r="FQ60" s="559"/>
      <c r="FR60" s="559"/>
      <c r="FS60" s="559"/>
      <c r="FT60" s="559"/>
      <c r="FU60" s="559"/>
      <c r="FV60" s="559"/>
      <c r="FW60" s="559"/>
      <c r="FX60" s="559"/>
      <c r="FY60" s="559"/>
      <c r="FZ60" s="559"/>
      <c r="GA60" s="559"/>
      <c r="GB60" s="559"/>
      <c r="GC60" s="559"/>
      <c r="GD60" s="559"/>
      <c r="GE60" s="559"/>
      <c r="GF60" s="559"/>
      <c r="GG60" s="559"/>
      <c r="GH60" s="559"/>
    </row>
    <row r="61">
      <c r="A61" s="538"/>
      <c r="B61" s="134"/>
      <c r="C61" s="57"/>
      <c r="D61" s="594" t="s">
        <v>434</v>
      </c>
      <c r="E61" s="562" t="s">
        <v>435</v>
      </c>
      <c r="F61" s="563">
        <v>3.0</v>
      </c>
      <c r="G61" s="563">
        <v>5.0</v>
      </c>
      <c r="H61" s="627"/>
      <c r="I61" s="622">
        <v>0.0</v>
      </c>
      <c r="J61" s="566">
        <v>77.5</v>
      </c>
      <c r="K61" s="567"/>
      <c r="L61" s="601"/>
      <c r="M61" s="625"/>
      <c r="N61" s="617"/>
      <c r="O61" s="621"/>
      <c r="P61" s="57"/>
      <c r="Q61" s="57"/>
      <c r="S61" s="605"/>
      <c r="U61" s="573"/>
      <c r="V61" s="574"/>
      <c r="W61" s="618"/>
      <c r="X61" s="576">
        <v>1162.5</v>
      </c>
      <c r="Y61" s="630" t="e">
        <v>#VALUE!</v>
      </c>
      <c r="Z61" s="630">
        <v>15.0</v>
      </c>
      <c r="AA61" s="631">
        <v>0.6739130434782609</v>
      </c>
      <c r="AB61" s="631"/>
      <c r="AC61" s="576"/>
      <c r="AD61" s="479">
        <v>3.0</v>
      </c>
      <c r="AE61" s="632"/>
      <c r="AF61" s="582" t="s">
        <v>436</v>
      </c>
      <c r="AG61" s="583">
        <v>5.0</v>
      </c>
      <c r="AH61" s="584" t="s">
        <v>437</v>
      </c>
      <c r="AI61" s="583">
        <v>2.0</v>
      </c>
      <c r="AJ61" s="585">
        <v>7.5</v>
      </c>
      <c r="AK61" s="583">
        <v>5.0</v>
      </c>
      <c r="AL61" s="584">
        <v>80.0</v>
      </c>
      <c r="AM61" s="583">
        <v>2.0</v>
      </c>
      <c r="AN61" s="585">
        <v>8.0</v>
      </c>
      <c r="AO61" s="583">
        <v>5.0</v>
      </c>
      <c r="AP61" s="584">
        <v>80.0</v>
      </c>
      <c r="AQ61" s="583">
        <v>2.0</v>
      </c>
      <c r="AR61" s="585">
        <v>7.0</v>
      </c>
      <c r="AS61" s="583"/>
      <c r="AT61" s="584"/>
      <c r="AU61" s="583"/>
      <c r="AV61" s="585"/>
      <c r="AW61" s="583"/>
      <c r="AX61" s="584"/>
      <c r="AY61" s="583"/>
      <c r="AZ61" s="585"/>
      <c r="BA61" s="583"/>
      <c r="BB61" s="584"/>
      <c r="BC61" s="583"/>
      <c r="BD61" s="585"/>
      <c r="BE61" s="583"/>
      <c r="BF61" s="584"/>
      <c r="BG61" s="583"/>
      <c r="BH61" s="585"/>
      <c r="BI61" s="583"/>
      <c r="BJ61" s="584"/>
      <c r="BK61" s="583"/>
      <c r="BL61" s="585"/>
      <c r="BM61" s="583"/>
      <c r="BN61" s="584"/>
      <c r="BO61" s="583"/>
      <c r="BP61" s="585"/>
      <c r="BQ61" s="583"/>
      <c r="BR61" s="584"/>
      <c r="BS61" s="583"/>
      <c r="BT61" s="586"/>
      <c r="BU61" s="540"/>
      <c r="BV61" s="540"/>
      <c r="BW61" s="540"/>
      <c r="BX61" s="538"/>
      <c r="BY61" s="538"/>
      <c r="BZ61" s="592">
        <v>115.0</v>
      </c>
      <c r="CA61" s="633"/>
      <c r="CB61" s="592" t="s">
        <v>365</v>
      </c>
      <c r="CC61" s="592">
        <v>15.0</v>
      </c>
      <c r="CD61" s="592">
        <v>2.0</v>
      </c>
      <c r="CE61" s="592" t="e">
        <v>#VALUE!</v>
      </c>
      <c r="CF61" s="592"/>
      <c r="CG61" s="592">
        <v>0.15</v>
      </c>
      <c r="CH61" s="592"/>
      <c r="CI61" s="633"/>
      <c r="CJ61" s="592">
        <v>3.0</v>
      </c>
      <c r="CK61" s="479">
        <v>7.5</v>
      </c>
      <c r="CL61" s="592"/>
      <c r="CM61" s="593"/>
      <c r="CN61" s="538"/>
      <c r="CO61" s="538"/>
      <c r="CP61" s="538"/>
      <c r="CQ61" s="538"/>
      <c r="CR61" s="538"/>
      <c r="CS61" s="538"/>
      <c r="CT61" s="538"/>
      <c r="CU61" s="538"/>
      <c r="CV61" s="538"/>
      <c r="CW61" s="538"/>
      <c r="CX61" s="538"/>
      <c r="CY61" s="538"/>
      <c r="CZ61" s="538"/>
      <c r="DA61" s="538"/>
      <c r="DB61" s="538"/>
      <c r="DC61" s="538"/>
      <c r="DD61" s="538"/>
      <c r="DE61" s="538"/>
      <c r="DF61" s="538"/>
      <c r="DG61" s="538"/>
      <c r="DH61" s="538"/>
      <c r="DI61" s="538"/>
      <c r="DJ61" s="84"/>
      <c r="DK61" s="538"/>
      <c r="DL61" s="538"/>
      <c r="DM61" s="538"/>
      <c r="DN61" s="538"/>
      <c r="DO61" s="538"/>
      <c r="DP61" s="538"/>
      <c r="DQ61" s="538"/>
      <c r="DR61" s="538"/>
      <c r="DS61" s="538"/>
      <c r="DT61" s="538"/>
      <c r="DU61" s="538"/>
      <c r="DV61" s="538"/>
      <c r="DW61" s="538"/>
      <c r="DX61" s="538"/>
      <c r="DY61" s="538"/>
      <c r="DZ61" s="538"/>
      <c r="EA61" s="538"/>
      <c r="EB61" s="538"/>
      <c r="EC61" s="538"/>
      <c r="ED61" s="538"/>
      <c r="EE61" s="538"/>
      <c r="EF61" s="538"/>
      <c r="EG61" s="538"/>
      <c r="EH61" s="538"/>
      <c r="EI61" s="538"/>
      <c r="EJ61" s="538"/>
      <c r="EK61" s="538"/>
      <c r="EL61" s="538"/>
      <c r="EM61" s="538"/>
      <c r="EN61" s="538"/>
      <c r="EO61" s="538"/>
      <c r="EP61" s="538"/>
      <c r="EQ61" s="538"/>
      <c r="ER61" s="538"/>
      <c r="ES61" s="538"/>
      <c r="ET61" s="538"/>
      <c r="EU61" s="538"/>
      <c r="EV61" s="538"/>
      <c r="EW61" s="538"/>
      <c r="EX61" s="559"/>
      <c r="EY61" s="559"/>
      <c r="EZ61" s="559"/>
      <c r="FA61" s="559"/>
      <c r="FB61" s="559"/>
      <c r="FC61" s="559"/>
      <c r="FD61" s="559"/>
      <c r="FE61" s="559"/>
      <c r="FF61" s="559"/>
      <c r="FG61" s="559"/>
      <c r="FH61" s="559"/>
      <c r="FI61" s="559"/>
      <c r="FJ61" s="559"/>
      <c r="FK61" s="559"/>
      <c r="FL61" s="559"/>
      <c r="FM61" s="559"/>
      <c r="FN61" s="559"/>
      <c r="FO61" s="559"/>
      <c r="FP61" s="559"/>
      <c r="FQ61" s="559"/>
      <c r="FR61" s="559"/>
      <c r="FS61" s="559"/>
      <c r="FT61" s="559"/>
      <c r="FU61" s="559"/>
      <c r="FV61" s="559"/>
      <c r="FW61" s="559"/>
      <c r="FX61" s="559"/>
      <c r="FY61" s="559"/>
      <c r="FZ61" s="559"/>
      <c r="GA61" s="559"/>
      <c r="GB61" s="559"/>
      <c r="GC61" s="559"/>
      <c r="GD61" s="559"/>
      <c r="GE61" s="559"/>
      <c r="GF61" s="559"/>
      <c r="GG61" s="559"/>
      <c r="GH61" s="559"/>
    </row>
    <row r="62">
      <c r="A62" s="538"/>
      <c r="B62" s="560"/>
      <c r="C62" s="47"/>
      <c r="D62" s="561" t="s">
        <v>270</v>
      </c>
      <c r="E62" s="629" t="s">
        <v>438</v>
      </c>
      <c r="F62" s="596">
        <v>3.0</v>
      </c>
      <c r="G62" s="596">
        <v>6.0</v>
      </c>
      <c r="H62" s="597"/>
      <c r="I62" s="616">
        <v>0.0</v>
      </c>
      <c r="J62" s="599">
        <v>172.5</v>
      </c>
      <c r="K62" s="600"/>
      <c r="L62" s="568"/>
      <c r="M62" s="626"/>
      <c r="N62" s="619"/>
      <c r="O62" s="623"/>
      <c r="P62" s="47"/>
      <c r="Q62" s="47"/>
      <c r="S62" s="572"/>
      <c r="U62" s="573"/>
      <c r="V62" s="574"/>
      <c r="W62" s="618"/>
      <c r="X62" s="576">
        <v>3105.0</v>
      </c>
      <c r="Y62" s="630">
        <v>0.0</v>
      </c>
      <c r="Z62" s="630">
        <v>18.0</v>
      </c>
      <c r="AA62" s="631">
        <v>0.71875</v>
      </c>
      <c r="AB62" s="631"/>
      <c r="AC62" s="576"/>
      <c r="AD62" s="479">
        <v>0.0</v>
      </c>
      <c r="AE62" s="632"/>
      <c r="AF62" s="582" t="s">
        <v>439</v>
      </c>
      <c r="AG62" s="583"/>
      <c r="AH62" s="584"/>
      <c r="AI62" s="583"/>
      <c r="AJ62" s="585"/>
      <c r="AK62" s="583"/>
      <c r="AL62" s="584"/>
      <c r="AM62" s="583"/>
      <c r="AN62" s="585"/>
      <c r="AO62" s="583"/>
      <c r="AP62" s="584"/>
      <c r="AQ62" s="583"/>
      <c r="AR62" s="585"/>
      <c r="AS62" s="583"/>
      <c r="AT62" s="584"/>
      <c r="AU62" s="583"/>
      <c r="AV62" s="585"/>
      <c r="AW62" s="583"/>
      <c r="AX62" s="584"/>
      <c r="AY62" s="583"/>
      <c r="AZ62" s="585"/>
      <c r="BA62" s="583"/>
      <c r="BB62" s="584"/>
      <c r="BC62" s="583"/>
      <c r="BD62" s="585"/>
      <c r="BE62" s="583"/>
      <c r="BF62" s="584"/>
      <c r="BG62" s="583"/>
      <c r="BH62" s="585"/>
      <c r="BI62" s="583"/>
      <c r="BJ62" s="584"/>
      <c r="BK62" s="583"/>
      <c r="BL62" s="585"/>
      <c r="BM62" s="583"/>
      <c r="BN62" s="584"/>
      <c r="BO62" s="583"/>
      <c r="BP62" s="585"/>
      <c r="BQ62" s="583"/>
      <c r="BR62" s="584"/>
      <c r="BS62" s="583"/>
      <c r="BT62" s="586"/>
      <c r="BU62" s="540"/>
      <c r="BV62" s="540"/>
      <c r="BW62" s="540"/>
      <c r="BX62" s="538"/>
      <c r="BY62" s="538"/>
      <c r="BZ62" s="592">
        <v>240.0</v>
      </c>
      <c r="CA62" s="633"/>
      <c r="CB62" s="592" t="s">
        <v>365</v>
      </c>
      <c r="CC62" s="592">
        <v>0.0</v>
      </c>
      <c r="CD62" s="592" t="s">
        <v>365</v>
      </c>
      <c r="CE62" s="592">
        <v>0.0</v>
      </c>
      <c r="CF62" s="592">
        <v>0.0</v>
      </c>
      <c r="CG62" s="592">
        <v>0.0</v>
      </c>
      <c r="CH62" s="592"/>
      <c r="CI62" s="633"/>
      <c r="CJ62" s="592">
        <v>0.0</v>
      </c>
      <c r="CK62" s="479" t="s">
        <v>365</v>
      </c>
      <c r="CL62" s="592"/>
      <c r="CM62" s="593"/>
      <c r="CN62" s="538"/>
      <c r="CO62" s="538"/>
      <c r="CP62" s="538"/>
      <c r="CQ62" s="538"/>
      <c r="CR62" s="538"/>
      <c r="CS62" s="538"/>
      <c r="CT62" s="538"/>
      <c r="CU62" s="538"/>
      <c r="CV62" s="538"/>
      <c r="CW62" s="538"/>
      <c r="CX62" s="538"/>
      <c r="CY62" s="538"/>
      <c r="CZ62" s="538"/>
      <c r="DA62" s="538"/>
      <c r="DB62" s="538"/>
      <c r="DC62" s="538"/>
      <c r="DD62" s="538"/>
      <c r="DE62" s="538"/>
      <c r="DF62" s="538"/>
      <c r="DG62" s="538"/>
      <c r="DH62" s="538"/>
      <c r="DI62" s="538"/>
      <c r="DJ62" s="84"/>
      <c r="DK62" s="538"/>
      <c r="DL62" s="538"/>
      <c r="DM62" s="538"/>
      <c r="DN62" s="538"/>
      <c r="DO62" s="538"/>
      <c r="DP62" s="538"/>
      <c r="DQ62" s="538"/>
      <c r="DR62" s="538"/>
      <c r="DS62" s="538"/>
      <c r="DT62" s="538"/>
      <c r="DU62" s="538"/>
      <c r="DV62" s="538"/>
      <c r="DW62" s="538"/>
      <c r="DX62" s="538"/>
      <c r="DY62" s="538"/>
      <c r="DZ62" s="538"/>
      <c r="EA62" s="538"/>
      <c r="EB62" s="538"/>
      <c r="EC62" s="538"/>
      <c r="ED62" s="538"/>
      <c r="EE62" s="538"/>
      <c r="EF62" s="538"/>
      <c r="EG62" s="538"/>
      <c r="EH62" s="538"/>
      <c r="EI62" s="538"/>
      <c r="EJ62" s="538"/>
      <c r="EK62" s="538"/>
      <c r="EL62" s="538"/>
      <c r="EM62" s="538"/>
      <c r="EN62" s="538"/>
      <c r="EO62" s="538"/>
      <c r="EP62" s="538"/>
      <c r="EQ62" s="538"/>
      <c r="ER62" s="538"/>
      <c r="ES62" s="538"/>
      <c r="ET62" s="538"/>
      <c r="EU62" s="538"/>
      <c r="EV62" s="538"/>
      <c r="EW62" s="538"/>
      <c r="EX62" s="559"/>
      <c r="EY62" s="559"/>
      <c r="EZ62" s="559"/>
      <c r="FA62" s="559"/>
      <c r="FB62" s="559"/>
      <c r="FC62" s="559"/>
      <c r="FD62" s="559"/>
      <c r="FE62" s="559"/>
      <c r="FF62" s="559"/>
      <c r="FG62" s="559"/>
      <c r="FH62" s="559"/>
      <c r="FI62" s="559"/>
      <c r="FJ62" s="559"/>
      <c r="FK62" s="559"/>
      <c r="FL62" s="559"/>
      <c r="FM62" s="559"/>
      <c r="FN62" s="559"/>
      <c r="FO62" s="559"/>
      <c r="FP62" s="559"/>
      <c r="FQ62" s="559"/>
      <c r="FR62" s="559"/>
      <c r="FS62" s="559"/>
      <c r="FT62" s="559"/>
      <c r="FU62" s="559"/>
      <c r="FV62" s="559"/>
      <c r="FW62" s="559"/>
      <c r="FX62" s="559"/>
      <c r="FY62" s="559"/>
      <c r="FZ62" s="559"/>
      <c r="GA62" s="559"/>
      <c r="GB62" s="559"/>
      <c r="GC62" s="559"/>
      <c r="GD62" s="559"/>
      <c r="GE62" s="559"/>
      <c r="GF62" s="559"/>
      <c r="GG62" s="559"/>
      <c r="GH62" s="559"/>
    </row>
    <row r="63">
      <c r="A63" s="538"/>
      <c r="B63" s="560"/>
      <c r="C63" s="47"/>
      <c r="D63" s="561" t="s">
        <v>302</v>
      </c>
      <c r="E63" s="595" t="s">
        <v>440</v>
      </c>
      <c r="F63" s="596">
        <v>3.0</v>
      </c>
      <c r="G63" s="596">
        <v>10.0</v>
      </c>
      <c r="H63" s="597"/>
      <c r="I63" s="616" t="s">
        <v>365</v>
      </c>
      <c r="J63" s="599"/>
      <c r="K63" s="600">
        <v>1.0</v>
      </c>
      <c r="L63" s="601">
        <v>2.0</v>
      </c>
      <c r="M63" s="625"/>
      <c r="N63" s="617"/>
      <c r="O63" s="621"/>
      <c r="P63" s="134"/>
      <c r="Q63" s="57"/>
      <c r="S63" s="605"/>
      <c r="U63" s="573"/>
      <c r="V63" s="574"/>
      <c r="W63" s="618"/>
      <c r="X63" s="576">
        <v>0.0</v>
      </c>
      <c r="Y63" s="630">
        <v>0.0</v>
      </c>
      <c r="Z63" s="630">
        <v>30.0</v>
      </c>
      <c r="AA63" s="631" t="b">
        <v>0</v>
      </c>
      <c r="AB63" s="631"/>
      <c r="AC63" s="576"/>
      <c r="AD63" s="479">
        <v>0.0</v>
      </c>
      <c r="AE63" s="632"/>
      <c r="AF63" s="582" t="s">
        <v>441</v>
      </c>
      <c r="AG63" s="583"/>
      <c r="AH63" s="584"/>
      <c r="AI63" s="583"/>
      <c r="AJ63" s="585"/>
      <c r="AK63" s="583"/>
      <c r="AL63" s="584"/>
      <c r="AM63" s="583"/>
      <c r="AN63" s="585"/>
      <c r="AO63" s="610"/>
      <c r="AP63" s="634"/>
      <c r="AQ63" s="635"/>
      <c r="AR63" s="636"/>
      <c r="AS63" s="637"/>
      <c r="AT63" s="638"/>
      <c r="AU63" s="49"/>
      <c r="AV63" s="639"/>
      <c r="AW63" s="583"/>
      <c r="AX63" s="584"/>
      <c r="AY63" s="583"/>
      <c r="AZ63" s="585"/>
      <c r="BA63" s="583"/>
      <c r="BB63" s="584"/>
      <c r="BC63" s="583"/>
      <c r="BD63" s="585"/>
      <c r="BE63" s="583"/>
      <c r="BF63" s="584"/>
      <c r="BG63" s="583"/>
      <c r="BH63" s="585"/>
      <c r="BI63" s="583"/>
      <c r="BJ63" s="584"/>
      <c r="BK63" s="583"/>
      <c r="BL63" s="585"/>
      <c r="BM63" s="583"/>
      <c r="BN63" s="584"/>
      <c r="BO63" s="583"/>
      <c r="BP63" s="585"/>
      <c r="BQ63" s="583"/>
      <c r="BR63" s="584"/>
      <c r="BS63" s="583"/>
      <c r="BT63" s="586"/>
      <c r="BU63" s="540"/>
      <c r="BV63" s="540"/>
      <c r="BW63" s="540"/>
      <c r="BX63" s="538"/>
      <c r="BY63" s="538"/>
      <c r="BZ63" s="592"/>
      <c r="CA63" s="633"/>
      <c r="CB63" s="592" t="s">
        <v>365</v>
      </c>
      <c r="CC63" s="592">
        <v>0.0</v>
      </c>
      <c r="CD63" s="592" t="s">
        <v>365</v>
      </c>
      <c r="CE63" s="592">
        <v>0.0</v>
      </c>
      <c r="CF63" s="592"/>
      <c r="CG63" s="592">
        <v>0.0</v>
      </c>
      <c r="CH63" s="592"/>
      <c r="CI63" s="633"/>
      <c r="CJ63" s="592">
        <v>0.0</v>
      </c>
      <c r="CK63" s="479" t="s">
        <v>365</v>
      </c>
      <c r="CL63" s="592"/>
      <c r="CM63" s="593"/>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84"/>
      <c r="DK63" s="538"/>
      <c r="DL63" s="538"/>
      <c r="DM63" s="538"/>
      <c r="DN63" s="538"/>
      <c r="DO63" s="538"/>
      <c r="DP63" s="538"/>
      <c r="DQ63" s="538"/>
      <c r="DR63" s="538"/>
      <c r="DS63" s="538"/>
      <c r="DT63" s="538"/>
      <c r="DU63" s="538"/>
      <c r="DV63" s="538"/>
      <c r="DW63" s="538"/>
      <c r="DX63" s="538"/>
      <c r="DY63" s="538"/>
      <c r="DZ63" s="538"/>
      <c r="EA63" s="538"/>
      <c r="EB63" s="538"/>
      <c r="EC63" s="538"/>
      <c r="ED63" s="538"/>
      <c r="EE63" s="538"/>
      <c r="EF63" s="538"/>
      <c r="EG63" s="538"/>
      <c r="EH63" s="538"/>
      <c r="EI63" s="538"/>
      <c r="EJ63" s="538"/>
      <c r="EK63" s="538"/>
      <c r="EL63" s="538"/>
      <c r="EM63" s="538"/>
      <c r="EN63" s="538"/>
      <c r="EO63" s="538"/>
      <c r="EP63" s="538"/>
      <c r="EQ63" s="538"/>
      <c r="ER63" s="538"/>
      <c r="ES63" s="538"/>
      <c r="ET63" s="538"/>
      <c r="EU63" s="538"/>
      <c r="EV63" s="538"/>
      <c r="EW63" s="538"/>
      <c r="EX63" s="559"/>
      <c r="EY63" s="559"/>
      <c r="EZ63" s="559"/>
      <c r="FA63" s="559"/>
      <c r="FB63" s="559"/>
      <c r="FC63" s="559"/>
      <c r="FD63" s="559"/>
      <c r="FE63" s="559"/>
      <c r="FF63" s="559"/>
      <c r="FG63" s="559"/>
      <c r="FH63" s="559"/>
      <c r="FI63" s="559"/>
      <c r="FJ63" s="559"/>
      <c r="FK63" s="559"/>
      <c r="FL63" s="559"/>
      <c r="FM63" s="559"/>
      <c r="FN63" s="559"/>
      <c r="FO63" s="559"/>
      <c r="FP63" s="559"/>
      <c r="FQ63" s="559"/>
      <c r="FR63" s="559"/>
      <c r="FS63" s="559"/>
      <c r="FT63" s="559"/>
      <c r="FU63" s="559"/>
      <c r="FV63" s="559"/>
      <c r="FW63" s="559"/>
      <c r="FX63" s="559"/>
      <c r="FY63" s="559"/>
      <c r="FZ63" s="559"/>
      <c r="GA63" s="559"/>
      <c r="GB63" s="559"/>
      <c r="GC63" s="559"/>
      <c r="GD63" s="559"/>
      <c r="GE63" s="559"/>
      <c r="GF63" s="559"/>
      <c r="GG63" s="559"/>
      <c r="GH63" s="559"/>
    </row>
    <row r="64">
      <c r="A64" s="538"/>
      <c r="B64" s="134"/>
      <c r="C64" s="57"/>
      <c r="D64" s="594" t="s">
        <v>332</v>
      </c>
      <c r="E64" s="606" t="s">
        <v>442</v>
      </c>
      <c r="F64" s="563">
        <v>3.0</v>
      </c>
      <c r="G64" s="563">
        <v>10.0</v>
      </c>
      <c r="H64" s="564"/>
      <c r="I64" s="622" t="s">
        <v>365</v>
      </c>
      <c r="J64" s="566"/>
      <c r="K64" s="567">
        <v>1.0</v>
      </c>
      <c r="L64" s="568">
        <v>2.0</v>
      </c>
      <c r="M64" s="569"/>
      <c r="N64" s="619"/>
      <c r="O64" s="623"/>
      <c r="P64" s="560"/>
      <c r="Q64" s="47"/>
      <c r="S64" s="572"/>
      <c r="U64" s="573"/>
      <c r="V64" s="574"/>
      <c r="W64" s="618"/>
      <c r="X64" s="576">
        <v>0.0</v>
      </c>
      <c r="Y64" s="630">
        <v>0.0</v>
      </c>
      <c r="Z64" s="630">
        <v>30.0</v>
      </c>
      <c r="AA64" s="631" t="b">
        <v>0</v>
      </c>
      <c r="AB64" s="631"/>
      <c r="AC64" s="576"/>
      <c r="AD64" s="479">
        <v>0.0</v>
      </c>
      <c r="AE64" s="632"/>
      <c r="AF64" s="582" t="s">
        <v>443</v>
      </c>
      <c r="AG64" s="583"/>
      <c r="AH64" s="584"/>
      <c r="AI64" s="583"/>
      <c r="AJ64" s="585"/>
      <c r="AK64" s="583"/>
      <c r="AL64" s="584"/>
      <c r="AM64" s="583"/>
      <c r="AN64" s="585"/>
      <c r="AO64" s="583"/>
      <c r="AP64" s="584"/>
      <c r="AQ64" s="583"/>
      <c r="AR64" s="585"/>
      <c r="AS64" s="583"/>
      <c r="AT64" s="584"/>
      <c r="AU64" s="583"/>
      <c r="AV64" s="585"/>
      <c r="AW64" s="583"/>
      <c r="AX64" s="584"/>
      <c r="AY64" s="583"/>
      <c r="AZ64" s="585"/>
      <c r="BA64" s="583"/>
      <c r="BB64" s="584"/>
      <c r="BC64" s="583"/>
      <c r="BD64" s="585"/>
      <c r="BE64" s="583"/>
      <c r="BF64" s="584"/>
      <c r="BG64" s="583"/>
      <c r="BH64" s="585"/>
      <c r="BI64" s="583"/>
      <c r="BJ64" s="584"/>
      <c r="BK64" s="583"/>
      <c r="BL64" s="585"/>
      <c r="BM64" s="583"/>
      <c r="BN64" s="584"/>
      <c r="BO64" s="583"/>
      <c r="BP64" s="585"/>
      <c r="BQ64" s="583"/>
      <c r="BR64" s="584"/>
      <c r="BS64" s="583"/>
      <c r="BT64" s="586"/>
      <c r="BU64" s="540"/>
      <c r="BV64" s="540"/>
      <c r="BW64" s="540"/>
      <c r="BX64" s="538"/>
      <c r="BY64" s="538"/>
      <c r="BZ64" s="592"/>
      <c r="CA64" s="633"/>
      <c r="CB64" s="592" t="s">
        <v>365</v>
      </c>
      <c r="CC64" s="592">
        <v>0.0</v>
      </c>
      <c r="CD64" s="592" t="s">
        <v>365</v>
      </c>
      <c r="CE64" s="592">
        <v>0.0</v>
      </c>
      <c r="CF64" s="592"/>
      <c r="CG64" s="592">
        <v>0.0</v>
      </c>
      <c r="CH64" s="592"/>
      <c r="CI64" s="633"/>
      <c r="CJ64" s="592">
        <v>0.0</v>
      </c>
      <c r="CK64" s="479" t="s">
        <v>365</v>
      </c>
      <c r="CL64" s="592"/>
      <c r="CM64" s="593"/>
      <c r="CN64" s="538"/>
      <c r="CO64" s="538"/>
      <c r="CP64" s="538"/>
      <c r="CQ64" s="538"/>
      <c r="CR64" s="538"/>
      <c r="CS64" s="538"/>
      <c r="CT64" s="538"/>
      <c r="CU64" s="538"/>
      <c r="CV64" s="538"/>
      <c r="CW64" s="538"/>
      <c r="CX64" s="538"/>
      <c r="CY64" s="538"/>
      <c r="CZ64" s="538"/>
      <c r="DA64" s="538"/>
      <c r="DB64" s="538"/>
      <c r="DC64" s="538"/>
      <c r="DD64" s="538"/>
      <c r="DE64" s="538"/>
      <c r="DF64" s="538"/>
      <c r="DG64" s="538"/>
      <c r="DH64" s="538"/>
      <c r="DI64" s="538"/>
      <c r="DJ64" s="84"/>
      <c r="DK64" s="538"/>
      <c r="DL64" s="538"/>
      <c r="DM64" s="538"/>
      <c r="DN64" s="538"/>
      <c r="DO64" s="538"/>
      <c r="DP64" s="538"/>
      <c r="DQ64" s="538"/>
      <c r="DR64" s="538"/>
      <c r="DS64" s="538"/>
      <c r="DT64" s="538"/>
      <c r="DU64" s="538"/>
      <c r="DV64" s="538"/>
      <c r="DW64" s="538"/>
      <c r="DX64" s="538"/>
      <c r="DY64" s="538"/>
      <c r="DZ64" s="538"/>
      <c r="EA64" s="538"/>
      <c r="EB64" s="538"/>
      <c r="EC64" s="538"/>
      <c r="ED64" s="538"/>
      <c r="EE64" s="538"/>
      <c r="EF64" s="538"/>
      <c r="EG64" s="538"/>
      <c r="EH64" s="538"/>
      <c r="EI64" s="538"/>
      <c r="EJ64" s="538"/>
      <c r="EK64" s="538"/>
      <c r="EL64" s="538"/>
      <c r="EM64" s="538"/>
      <c r="EN64" s="538"/>
      <c r="EO64" s="538"/>
      <c r="EP64" s="538"/>
      <c r="EQ64" s="538"/>
      <c r="ER64" s="538"/>
      <c r="ES64" s="538"/>
      <c r="ET64" s="538"/>
      <c r="EU64" s="538"/>
      <c r="EV64" s="538"/>
      <c r="EW64" s="538"/>
      <c r="EX64" s="559"/>
      <c r="EY64" s="559"/>
      <c r="EZ64" s="559"/>
      <c r="FA64" s="559"/>
      <c r="FB64" s="559"/>
      <c r="FC64" s="559"/>
      <c r="FD64" s="559"/>
      <c r="FE64" s="559"/>
      <c r="FF64" s="559"/>
      <c r="FG64" s="559"/>
      <c r="FH64" s="559"/>
      <c r="FI64" s="559"/>
      <c r="FJ64" s="559"/>
      <c r="FK64" s="559"/>
      <c r="FL64" s="559"/>
      <c r="FM64" s="559"/>
      <c r="FN64" s="559"/>
      <c r="FO64" s="559"/>
      <c r="FP64" s="559"/>
      <c r="FQ64" s="559"/>
      <c r="FR64" s="559"/>
      <c r="FS64" s="559"/>
      <c r="FT64" s="559"/>
      <c r="FU64" s="559"/>
      <c r="FV64" s="559"/>
      <c r="FW64" s="559"/>
      <c r="FX64" s="559"/>
      <c r="FY64" s="559"/>
      <c r="FZ64" s="559"/>
      <c r="GA64" s="559"/>
      <c r="GB64" s="559"/>
      <c r="GC64" s="559"/>
      <c r="GD64" s="559"/>
      <c r="GE64" s="559"/>
      <c r="GF64" s="559"/>
      <c r="GG64" s="559"/>
      <c r="GH64" s="559"/>
    </row>
    <row r="65">
      <c r="A65" s="538"/>
      <c r="B65" s="134" t="s">
        <v>444</v>
      </c>
      <c r="C65" s="57"/>
      <c r="D65" s="594"/>
      <c r="E65" s="595"/>
      <c r="F65" s="596"/>
      <c r="G65" s="596"/>
      <c r="H65" s="615"/>
      <c r="I65" s="616" t="s">
        <v>365</v>
      </c>
      <c r="J65" s="599"/>
      <c r="K65" s="600"/>
      <c r="L65" s="601"/>
      <c r="M65" s="625"/>
      <c r="N65" s="617"/>
      <c r="O65" s="621"/>
      <c r="P65" s="57"/>
      <c r="Q65" s="57"/>
      <c r="R65" s="57"/>
      <c r="S65" s="605"/>
      <c r="T65" s="605"/>
      <c r="U65" s="573"/>
      <c r="V65" s="574"/>
      <c r="W65" s="618"/>
      <c r="X65" s="576">
        <v>0.0</v>
      </c>
      <c r="Y65" s="630">
        <v>0.0</v>
      </c>
      <c r="Z65" s="630" t="s">
        <v>365</v>
      </c>
      <c r="AA65" s="631" t="b">
        <v>0</v>
      </c>
      <c r="AB65" s="631"/>
      <c r="AC65" s="576"/>
      <c r="AD65" s="479">
        <v>0.0</v>
      </c>
      <c r="AE65" s="632"/>
      <c r="AF65" s="582" t="s">
        <v>365</v>
      </c>
      <c r="AG65" s="583"/>
      <c r="AH65" s="584"/>
      <c r="AI65" s="583"/>
      <c r="AJ65" s="585"/>
      <c r="AK65" s="583"/>
      <c r="AL65" s="584"/>
      <c r="AM65" s="583"/>
      <c r="AN65" s="585"/>
      <c r="AO65" s="583"/>
      <c r="AP65" s="584"/>
      <c r="AQ65" s="583"/>
      <c r="AR65" s="585"/>
      <c r="AS65" s="583"/>
      <c r="AT65" s="584"/>
      <c r="AU65" s="583"/>
      <c r="AV65" s="585"/>
      <c r="AW65" s="583"/>
      <c r="AX65" s="584"/>
      <c r="AY65" s="583"/>
      <c r="AZ65" s="585"/>
      <c r="BA65" s="583"/>
      <c r="BB65" s="584"/>
      <c r="BC65" s="583"/>
      <c r="BD65" s="585"/>
      <c r="BE65" s="583"/>
      <c r="BF65" s="584"/>
      <c r="BG65" s="583"/>
      <c r="BH65" s="585"/>
      <c r="BI65" s="583"/>
      <c r="BJ65" s="584"/>
      <c r="BK65" s="583"/>
      <c r="BL65" s="585"/>
      <c r="BM65" s="583"/>
      <c r="BN65" s="584"/>
      <c r="BO65" s="583"/>
      <c r="BP65" s="585"/>
      <c r="BQ65" s="583"/>
      <c r="BR65" s="584"/>
      <c r="BS65" s="583"/>
      <c r="BT65" s="586"/>
      <c r="BU65" s="540"/>
      <c r="BV65" s="540"/>
      <c r="BW65" s="540"/>
      <c r="BX65" s="538"/>
      <c r="BY65" s="538"/>
      <c r="BZ65" s="592"/>
      <c r="CA65" s="633"/>
      <c r="CB65" s="592" t="s">
        <v>365</v>
      </c>
      <c r="CC65" s="592">
        <v>0.0</v>
      </c>
      <c r="CD65" s="592" t="s">
        <v>365</v>
      </c>
      <c r="CE65" s="592">
        <v>0.0</v>
      </c>
      <c r="CF65" s="592"/>
      <c r="CG65" s="592">
        <v>0.0</v>
      </c>
      <c r="CH65" s="592"/>
      <c r="CI65" s="633"/>
      <c r="CJ65" s="592">
        <v>0.0</v>
      </c>
      <c r="CK65" s="479" t="s">
        <v>365</v>
      </c>
      <c r="CL65" s="592"/>
      <c r="CM65" s="593"/>
      <c r="CN65" s="538"/>
      <c r="CO65" s="538"/>
      <c r="CP65" s="538"/>
      <c r="CQ65" s="538"/>
      <c r="CR65" s="538"/>
      <c r="CS65" s="538"/>
      <c r="CT65" s="538"/>
      <c r="CU65" s="538"/>
      <c r="CV65" s="538"/>
      <c r="CW65" s="538"/>
      <c r="CX65" s="538"/>
      <c r="CY65" s="538"/>
      <c r="CZ65" s="538"/>
      <c r="DA65" s="538"/>
      <c r="DB65" s="538"/>
      <c r="DC65" s="538"/>
      <c r="DD65" s="538"/>
      <c r="DE65" s="538"/>
      <c r="DF65" s="538"/>
      <c r="DG65" s="538"/>
      <c r="DH65" s="538"/>
      <c r="DI65" s="538"/>
      <c r="DJ65" s="84"/>
      <c r="DK65" s="538"/>
      <c r="DL65" s="538"/>
      <c r="DM65" s="538"/>
      <c r="DN65" s="538"/>
      <c r="DO65" s="538"/>
      <c r="DP65" s="538"/>
      <c r="DQ65" s="538"/>
      <c r="DR65" s="538"/>
      <c r="DS65" s="538"/>
      <c r="DT65" s="538"/>
      <c r="DU65" s="538"/>
      <c r="DV65" s="538"/>
      <c r="DW65" s="538"/>
      <c r="DX65" s="538"/>
      <c r="DY65" s="538"/>
      <c r="DZ65" s="538"/>
      <c r="EA65" s="538"/>
      <c r="EB65" s="538"/>
      <c r="EC65" s="538"/>
      <c r="ED65" s="538"/>
      <c r="EE65" s="538"/>
      <c r="EF65" s="538"/>
      <c r="EG65" s="538"/>
      <c r="EH65" s="538"/>
      <c r="EI65" s="538"/>
      <c r="EJ65" s="538"/>
      <c r="EK65" s="538"/>
      <c r="EL65" s="538"/>
      <c r="EM65" s="538"/>
      <c r="EN65" s="538"/>
      <c r="EO65" s="538"/>
      <c r="EP65" s="538"/>
      <c r="EQ65" s="538"/>
      <c r="ER65" s="538"/>
      <c r="ES65" s="538"/>
      <c r="ET65" s="538"/>
      <c r="EU65" s="538"/>
      <c r="EV65" s="538"/>
      <c r="EW65" s="538"/>
      <c r="EX65" s="559"/>
      <c r="EY65" s="559"/>
      <c r="EZ65" s="559"/>
      <c r="FA65" s="559"/>
      <c r="FB65" s="559"/>
      <c r="FC65" s="559"/>
      <c r="FD65" s="559"/>
      <c r="FE65" s="559"/>
      <c r="FF65" s="559"/>
      <c r="FG65" s="559"/>
      <c r="FH65" s="559"/>
      <c r="FI65" s="559"/>
      <c r="FJ65" s="559"/>
      <c r="FK65" s="559"/>
      <c r="FL65" s="559"/>
      <c r="FM65" s="559"/>
      <c r="FN65" s="559"/>
      <c r="FO65" s="559"/>
      <c r="FP65" s="559"/>
      <c r="FQ65" s="559"/>
      <c r="FR65" s="559"/>
      <c r="FS65" s="559"/>
      <c r="FT65" s="559"/>
      <c r="FU65" s="559"/>
      <c r="FV65" s="559"/>
      <c r="FW65" s="559"/>
      <c r="FX65" s="559"/>
      <c r="FY65" s="559"/>
      <c r="FZ65" s="559"/>
      <c r="GA65" s="559"/>
      <c r="GB65" s="559"/>
      <c r="GC65" s="559"/>
      <c r="GD65" s="559"/>
      <c r="GE65" s="559"/>
      <c r="GF65" s="559"/>
      <c r="GG65" s="559"/>
      <c r="GH65" s="559"/>
    </row>
    <row r="66">
      <c r="A66" s="538"/>
      <c r="B66" s="134"/>
      <c r="C66" s="57"/>
      <c r="D66" s="594"/>
      <c r="E66" s="606"/>
      <c r="F66" s="563"/>
      <c r="G66" s="563"/>
      <c r="H66" s="627"/>
      <c r="I66" s="622" t="s">
        <v>365</v>
      </c>
      <c r="J66" s="566"/>
      <c r="K66" s="567"/>
      <c r="L66" s="568"/>
      <c r="M66" s="626"/>
      <c r="N66" s="619"/>
      <c r="O66" s="623"/>
      <c r="P66" s="47"/>
      <c r="Q66" s="47"/>
      <c r="S66" s="572"/>
      <c r="U66" s="573"/>
      <c r="V66" s="574"/>
      <c r="W66" s="618"/>
      <c r="X66" s="576">
        <v>0.0</v>
      </c>
      <c r="Y66" s="630">
        <v>0.0</v>
      </c>
      <c r="Z66" s="630" t="s">
        <v>365</v>
      </c>
      <c r="AA66" s="631" t="b">
        <v>0</v>
      </c>
      <c r="AB66" s="631"/>
      <c r="AC66" s="576"/>
      <c r="AD66" s="479">
        <v>0.0</v>
      </c>
      <c r="AE66" s="632"/>
      <c r="AF66" s="582" t="s">
        <v>365</v>
      </c>
      <c r="AG66" s="583"/>
      <c r="AH66" s="584"/>
      <c r="AI66" s="583"/>
      <c r="AJ66" s="585"/>
      <c r="AK66" s="583"/>
      <c r="AL66" s="584"/>
      <c r="AM66" s="583"/>
      <c r="AN66" s="585"/>
      <c r="AO66" s="583"/>
      <c r="AP66" s="584"/>
      <c r="AQ66" s="583"/>
      <c r="AR66" s="585"/>
      <c r="AS66" s="583"/>
      <c r="AT66" s="584"/>
      <c r="AU66" s="583"/>
      <c r="AV66" s="585"/>
      <c r="AW66" s="583"/>
      <c r="AX66" s="584"/>
      <c r="AY66" s="583"/>
      <c r="AZ66" s="585"/>
      <c r="BA66" s="583"/>
      <c r="BB66" s="584"/>
      <c r="BC66" s="583"/>
      <c r="BD66" s="585"/>
      <c r="BE66" s="583"/>
      <c r="BF66" s="584"/>
      <c r="BG66" s="583"/>
      <c r="BH66" s="585"/>
      <c r="BI66" s="583"/>
      <c r="BJ66" s="584"/>
      <c r="BK66" s="583"/>
      <c r="BL66" s="585"/>
      <c r="BM66" s="583"/>
      <c r="BN66" s="584"/>
      <c r="BO66" s="583"/>
      <c r="BP66" s="585"/>
      <c r="BQ66" s="583"/>
      <c r="BR66" s="584"/>
      <c r="BS66" s="583"/>
      <c r="BT66" s="586"/>
      <c r="BU66" s="540"/>
      <c r="BV66" s="540"/>
      <c r="BW66" s="540"/>
      <c r="BX66" s="538"/>
      <c r="BY66" s="538"/>
      <c r="BZ66" s="592"/>
      <c r="CA66" s="633"/>
      <c r="CB66" s="592" t="s">
        <v>365</v>
      </c>
      <c r="CC66" s="592">
        <v>0.0</v>
      </c>
      <c r="CD66" s="592" t="s">
        <v>365</v>
      </c>
      <c r="CE66" s="592">
        <v>0.0</v>
      </c>
      <c r="CF66" s="592"/>
      <c r="CG66" s="592">
        <v>0.0</v>
      </c>
      <c r="CH66" s="592"/>
      <c r="CI66" s="633"/>
      <c r="CJ66" s="592">
        <v>0.0</v>
      </c>
      <c r="CK66" s="479" t="s">
        <v>365</v>
      </c>
      <c r="CL66" s="592"/>
      <c r="CM66" s="593"/>
      <c r="CN66" s="538"/>
      <c r="CO66" s="538"/>
      <c r="CP66" s="538"/>
      <c r="CQ66" s="538"/>
      <c r="CR66" s="538"/>
      <c r="CS66" s="538"/>
      <c r="CT66" s="538"/>
      <c r="CU66" s="538"/>
      <c r="CV66" s="538"/>
      <c r="CW66" s="538"/>
      <c r="CX66" s="538"/>
      <c r="CY66" s="538"/>
      <c r="CZ66" s="538"/>
      <c r="DA66" s="538"/>
      <c r="DB66" s="538"/>
      <c r="DC66" s="538"/>
      <c r="DD66" s="538"/>
      <c r="DE66" s="538"/>
      <c r="DF66" s="538"/>
      <c r="DG66" s="538"/>
      <c r="DH66" s="538"/>
      <c r="DI66" s="538"/>
      <c r="DJ66" s="84"/>
      <c r="DK66" s="538"/>
      <c r="DL66" s="538"/>
      <c r="DM66" s="538"/>
      <c r="DN66" s="538"/>
      <c r="DO66" s="538"/>
      <c r="DP66" s="538"/>
      <c r="DQ66" s="538"/>
      <c r="DR66" s="538"/>
      <c r="DS66" s="538"/>
      <c r="DT66" s="538"/>
      <c r="DU66" s="538"/>
      <c r="DV66" s="538"/>
      <c r="DW66" s="538"/>
      <c r="DX66" s="538"/>
      <c r="DY66" s="538"/>
      <c r="DZ66" s="538"/>
      <c r="EA66" s="538"/>
      <c r="EB66" s="538"/>
      <c r="EC66" s="538"/>
      <c r="ED66" s="538"/>
      <c r="EE66" s="538"/>
      <c r="EF66" s="538"/>
      <c r="EG66" s="538"/>
      <c r="EH66" s="538"/>
      <c r="EI66" s="538"/>
      <c r="EJ66" s="538"/>
      <c r="EK66" s="538"/>
      <c r="EL66" s="538"/>
      <c r="EM66" s="538"/>
      <c r="EN66" s="538"/>
      <c r="EO66" s="538"/>
      <c r="EP66" s="538"/>
      <c r="EQ66" s="538"/>
      <c r="ER66" s="538"/>
      <c r="ES66" s="538"/>
      <c r="ET66" s="538"/>
      <c r="EU66" s="538"/>
      <c r="EV66" s="538"/>
      <c r="EW66" s="538"/>
      <c r="EX66" s="559"/>
      <c r="EY66" s="559"/>
      <c r="EZ66" s="559"/>
      <c r="FA66" s="559"/>
      <c r="FB66" s="559"/>
      <c r="FC66" s="559"/>
      <c r="FD66" s="559"/>
      <c r="FE66" s="559"/>
      <c r="FF66" s="559"/>
      <c r="FG66" s="559"/>
      <c r="FH66" s="559"/>
      <c r="FI66" s="559"/>
      <c r="FJ66" s="559"/>
      <c r="FK66" s="559"/>
      <c r="FL66" s="559"/>
      <c r="FM66" s="559"/>
      <c r="FN66" s="559"/>
      <c r="FO66" s="559"/>
      <c r="FP66" s="559"/>
      <c r="FQ66" s="559"/>
      <c r="FR66" s="559"/>
      <c r="FS66" s="559"/>
      <c r="FT66" s="559"/>
      <c r="FU66" s="559"/>
      <c r="FV66" s="559"/>
      <c r="FW66" s="559"/>
      <c r="FX66" s="559"/>
      <c r="FY66" s="559"/>
      <c r="FZ66" s="559"/>
      <c r="GA66" s="559"/>
      <c r="GB66" s="559"/>
      <c r="GC66" s="559"/>
      <c r="GD66" s="559"/>
      <c r="GE66" s="559"/>
      <c r="GF66" s="559"/>
      <c r="GG66" s="559"/>
      <c r="GH66" s="559"/>
    </row>
    <row r="67">
      <c r="A67" s="538"/>
      <c r="B67" s="560"/>
      <c r="C67" s="47"/>
      <c r="D67" s="561"/>
      <c r="E67" s="606"/>
      <c r="F67" s="563"/>
      <c r="G67" s="563"/>
      <c r="H67" s="627"/>
      <c r="I67" s="622" t="s">
        <v>365</v>
      </c>
      <c r="J67" s="566"/>
      <c r="K67" s="567"/>
      <c r="L67" s="601"/>
      <c r="M67" s="625"/>
      <c r="N67" s="617"/>
      <c r="O67" s="621"/>
      <c r="P67" s="57"/>
      <c r="Q67" s="57"/>
      <c r="R67" s="57"/>
      <c r="S67" s="605"/>
      <c r="T67" s="605"/>
      <c r="U67" s="573"/>
      <c r="V67" s="574"/>
      <c r="W67" s="618"/>
      <c r="X67" s="576">
        <v>0.0</v>
      </c>
      <c r="Y67" s="630">
        <v>0.0</v>
      </c>
      <c r="Z67" s="630" t="s">
        <v>365</v>
      </c>
      <c r="AA67" s="631" t="b">
        <v>0</v>
      </c>
      <c r="AB67" s="631"/>
      <c r="AC67" s="576"/>
      <c r="AD67" s="479">
        <v>0.0</v>
      </c>
      <c r="AE67" s="632"/>
      <c r="AF67" s="582" t="s">
        <v>365</v>
      </c>
      <c r="AG67" s="583"/>
      <c r="AH67" s="584"/>
      <c r="AI67" s="583"/>
      <c r="AJ67" s="585"/>
      <c r="AK67" s="583"/>
      <c r="AL67" s="584"/>
      <c r="AM67" s="583"/>
      <c r="AN67" s="585"/>
      <c r="AO67" s="583"/>
      <c r="AP67" s="584"/>
      <c r="AQ67" s="583"/>
      <c r="AR67" s="585"/>
      <c r="AS67" s="583"/>
      <c r="AT67" s="584"/>
      <c r="AU67" s="583"/>
      <c r="AV67" s="585"/>
      <c r="AW67" s="583"/>
      <c r="AX67" s="584"/>
      <c r="AY67" s="583"/>
      <c r="AZ67" s="585"/>
      <c r="BA67" s="583"/>
      <c r="BB67" s="584"/>
      <c r="BC67" s="583"/>
      <c r="BD67" s="585"/>
      <c r="BE67" s="583"/>
      <c r="BF67" s="584"/>
      <c r="BG67" s="583"/>
      <c r="BH67" s="585"/>
      <c r="BI67" s="583"/>
      <c r="BJ67" s="584"/>
      <c r="BK67" s="583"/>
      <c r="BL67" s="585"/>
      <c r="BM67" s="583"/>
      <c r="BN67" s="584"/>
      <c r="BO67" s="583"/>
      <c r="BP67" s="585"/>
      <c r="BQ67" s="583"/>
      <c r="BR67" s="584"/>
      <c r="BS67" s="583"/>
      <c r="BT67" s="586"/>
      <c r="BU67" s="540"/>
      <c r="BV67" s="540"/>
      <c r="BW67" s="540"/>
      <c r="BX67" s="538"/>
      <c r="BY67" s="538"/>
      <c r="BZ67" s="592"/>
      <c r="CA67" s="633"/>
      <c r="CB67" s="592" t="s">
        <v>365</v>
      </c>
      <c r="CC67" s="592">
        <v>0.0</v>
      </c>
      <c r="CD67" s="592" t="s">
        <v>365</v>
      </c>
      <c r="CE67" s="592">
        <v>0.0</v>
      </c>
      <c r="CF67" s="592"/>
      <c r="CG67" s="592">
        <v>0.0</v>
      </c>
      <c r="CH67" s="592"/>
      <c r="CI67" s="633"/>
      <c r="CJ67" s="592">
        <v>0.0</v>
      </c>
      <c r="CK67" s="479" t="s">
        <v>365</v>
      </c>
      <c r="CL67" s="592"/>
      <c r="CM67" s="593"/>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84"/>
      <c r="DK67" s="538"/>
      <c r="DL67" s="538"/>
      <c r="DM67" s="538"/>
      <c r="DN67" s="538"/>
      <c r="DO67" s="538"/>
      <c r="DP67" s="538"/>
      <c r="DQ67" s="538"/>
      <c r="DR67" s="538"/>
      <c r="DS67" s="538"/>
      <c r="DT67" s="538"/>
      <c r="DU67" s="538"/>
      <c r="DV67" s="538"/>
      <c r="DW67" s="538"/>
      <c r="DX67" s="538"/>
      <c r="DY67" s="538"/>
      <c r="DZ67" s="538"/>
      <c r="EA67" s="538"/>
      <c r="EB67" s="538"/>
      <c r="EC67" s="538"/>
      <c r="ED67" s="538"/>
      <c r="EE67" s="538"/>
      <c r="EF67" s="538"/>
      <c r="EG67" s="538"/>
      <c r="EH67" s="538"/>
      <c r="EI67" s="538"/>
      <c r="EJ67" s="538"/>
      <c r="EK67" s="538"/>
      <c r="EL67" s="538"/>
      <c r="EM67" s="538"/>
      <c r="EN67" s="538"/>
      <c r="EO67" s="538"/>
      <c r="EP67" s="538"/>
      <c r="EQ67" s="538"/>
      <c r="ER67" s="538"/>
      <c r="ES67" s="538"/>
      <c r="ET67" s="538"/>
      <c r="EU67" s="538"/>
      <c r="EV67" s="538"/>
      <c r="EW67" s="538"/>
      <c r="EX67" s="559"/>
      <c r="EY67" s="559"/>
      <c r="EZ67" s="559"/>
      <c r="FA67" s="559"/>
      <c r="FB67" s="559"/>
      <c r="FC67" s="559"/>
      <c r="FD67" s="559"/>
      <c r="FE67" s="559"/>
      <c r="FF67" s="559"/>
      <c r="FG67" s="559"/>
      <c r="FH67" s="559"/>
      <c r="FI67" s="559"/>
      <c r="FJ67" s="559"/>
      <c r="FK67" s="559"/>
      <c r="FL67" s="559"/>
      <c r="FM67" s="559"/>
      <c r="FN67" s="559"/>
      <c r="FO67" s="559"/>
      <c r="FP67" s="559"/>
      <c r="FQ67" s="559"/>
      <c r="FR67" s="559"/>
      <c r="FS67" s="559"/>
      <c r="FT67" s="559"/>
      <c r="FU67" s="559"/>
      <c r="FV67" s="559"/>
      <c r="FW67" s="559"/>
      <c r="FX67" s="559"/>
      <c r="FY67" s="559"/>
      <c r="FZ67" s="559"/>
      <c r="GA67" s="559"/>
      <c r="GB67" s="559"/>
      <c r="GC67" s="559"/>
      <c r="GD67" s="559"/>
      <c r="GE67" s="559"/>
      <c r="GF67" s="559"/>
      <c r="GG67" s="559"/>
      <c r="GH67" s="559"/>
    </row>
    <row r="68">
      <c r="A68" s="538"/>
      <c r="B68" s="134"/>
      <c r="C68" s="57"/>
      <c r="D68" s="594"/>
      <c r="E68" s="595"/>
      <c r="F68" s="596"/>
      <c r="G68" s="596"/>
      <c r="H68" s="597"/>
      <c r="I68" s="616" t="s">
        <v>365</v>
      </c>
      <c r="J68" s="599"/>
      <c r="K68" s="600"/>
      <c r="L68" s="568"/>
      <c r="M68" s="626"/>
      <c r="N68" s="619"/>
      <c r="O68" s="623"/>
      <c r="P68" s="47"/>
      <c r="Q68" s="47"/>
      <c r="S68" s="572"/>
      <c r="U68" s="573"/>
      <c r="V68" s="574"/>
      <c r="W68" s="618"/>
      <c r="X68" s="576">
        <v>0.0</v>
      </c>
      <c r="Y68" s="630">
        <v>0.0</v>
      </c>
      <c r="Z68" s="630" t="s">
        <v>365</v>
      </c>
      <c r="AA68" s="631" t="b">
        <v>0</v>
      </c>
      <c r="AB68" s="631"/>
      <c r="AC68" s="576"/>
      <c r="AD68" s="479">
        <v>0.0</v>
      </c>
      <c r="AE68" s="632"/>
      <c r="AF68" s="582" t="s">
        <v>365</v>
      </c>
      <c r="AG68" s="583"/>
      <c r="AH68" s="584"/>
      <c r="AI68" s="583"/>
      <c r="AJ68" s="585"/>
      <c r="AK68" s="583"/>
      <c r="AL68" s="584"/>
      <c r="AM68" s="583"/>
      <c r="AN68" s="585"/>
      <c r="AO68" s="583"/>
      <c r="AP68" s="584"/>
      <c r="AQ68" s="583"/>
      <c r="AR68" s="585"/>
      <c r="AS68" s="583"/>
      <c r="AT68" s="584"/>
      <c r="AU68" s="583"/>
      <c r="AV68" s="585"/>
      <c r="AW68" s="583"/>
      <c r="AX68" s="584"/>
      <c r="AY68" s="583"/>
      <c r="AZ68" s="585"/>
      <c r="BA68" s="583"/>
      <c r="BB68" s="584"/>
      <c r="BC68" s="583"/>
      <c r="BD68" s="585"/>
      <c r="BE68" s="583"/>
      <c r="BF68" s="584"/>
      <c r="BG68" s="583"/>
      <c r="BH68" s="585"/>
      <c r="BI68" s="583"/>
      <c r="BJ68" s="584"/>
      <c r="BK68" s="583"/>
      <c r="BL68" s="585"/>
      <c r="BM68" s="583"/>
      <c r="BN68" s="584"/>
      <c r="BO68" s="583"/>
      <c r="BP68" s="585"/>
      <c r="BQ68" s="583"/>
      <c r="BR68" s="584"/>
      <c r="BS68" s="583"/>
      <c r="BT68" s="586"/>
      <c r="BU68" s="540"/>
      <c r="BV68" s="540"/>
      <c r="BW68" s="540"/>
      <c r="BX68" s="538"/>
      <c r="BY68" s="538"/>
      <c r="BZ68" s="592"/>
      <c r="CA68" s="633"/>
      <c r="CB68" s="592" t="s">
        <v>365</v>
      </c>
      <c r="CC68" s="592">
        <v>0.0</v>
      </c>
      <c r="CD68" s="592" t="s">
        <v>365</v>
      </c>
      <c r="CE68" s="592">
        <v>0.0</v>
      </c>
      <c r="CF68" s="592"/>
      <c r="CG68" s="592">
        <v>0.0</v>
      </c>
      <c r="CH68" s="592"/>
      <c r="CI68" s="633"/>
      <c r="CJ68" s="592">
        <v>0.0</v>
      </c>
      <c r="CK68" s="479" t="s">
        <v>365</v>
      </c>
      <c r="CL68" s="592"/>
      <c r="CM68" s="593"/>
      <c r="CN68" s="538"/>
      <c r="CO68" s="538"/>
      <c r="CP68" s="538"/>
      <c r="CQ68" s="538"/>
      <c r="CR68" s="538"/>
      <c r="CS68" s="538"/>
      <c r="CT68" s="538"/>
      <c r="CU68" s="538"/>
      <c r="CV68" s="538"/>
      <c r="CW68" s="538"/>
      <c r="CX68" s="538"/>
      <c r="CY68" s="538"/>
      <c r="CZ68" s="538"/>
      <c r="DA68" s="538"/>
      <c r="DB68" s="538"/>
      <c r="DC68" s="538"/>
      <c r="DD68" s="538"/>
      <c r="DE68" s="538"/>
      <c r="DF68" s="538"/>
      <c r="DG68" s="538"/>
      <c r="DH68" s="538"/>
      <c r="DI68" s="538"/>
      <c r="DJ68" s="84"/>
      <c r="DK68" s="538"/>
      <c r="DL68" s="538"/>
      <c r="DM68" s="538"/>
      <c r="DN68" s="538"/>
      <c r="DO68" s="538"/>
      <c r="DP68" s="538"/>
      <c r="DQ68" s="538"/>
      <c r="DR68" s="538"/>
      <c r="DS68" s="538"/>
      <c r="DT68" s="538"/>
      <c r="DU68" s="538"/>
      <c r="DV68" s="538"/>
      <c r="DW68" s="538"/>
      <c r="DX68" s="538"/>
      <c r="DY68" s="538"/>
      <c r="DZ68" s="538"/>
      <c r="EA68" s="538"/>
      <c r="EB68" s="538"/>
      <c r="EC68" s="538"/>
      <c r="ED68" s="538"/>
      <c r="EE68" s="538"/>
      <c r="EF68" s="538"/>
      <c r="EG68" s="538"/>
      <c r="EH68" s="538"/>
      <c r="EI68" s="538"/>
      <c r="EJ68" s="538"/>
      <c r="EK68" s="538"/>
      <c r="EL68" s="538"/>
      <c r="EM68" s="538"/>
      <c r="EN68" s="538"/>
      <c r="EO68" s="538"/>
      <c r="EP68" s="538"/>
      <c r="EQ68" s="538"/>
      <c r="ER68" s="538"/>
      <c r="ES68" s="538"/>
      <c r="ET68" s="538"/>
      <c r="EU68" s="538"/>
      <c r="EV68" s="538"/>
      <c r="EW68" s="538"/>
      <c r="EX68" s="559"/>
      <c r="EY68" s="559"/>
      <c r="EZ68" s="559"/>
      <c r="FA68" s="559"/>
      <c r="FB68" s="559"/>
      <c r="FC68" s="559"/>
      <c r="FD68" s="559"/>
      <c r="FE68" s="559"/>
      <c r="FF68" s="559"/>
      <c r="FG68" s="559"/>
      <c r="FH68" s="559"/>
      <c r="FI68" s="559"/>
      <c r="FJ68" s="559"/>
      <c r="FK68" s="559"/>
      <c r="FL68" s="559"/>
      <c r="FM68" s="559"/>
      <c r="FN68" s="559"/>
      <c r="FO68" s="559"/>
      <c r="FP68" s="559"/>
      <c r="FQ68" s="559"/>
      <c r="FR68" s="559"/>
      <c r="FS68" s="559"/>
      <c r="FT68" s="559"/>
      <c r="FU68" s="559"/>
      <c r="FV68" s="559"/>
      <c r="FW68" s="559"/>
      <c r="FX68" s="559"/>
      <c r="FY68" s="559"/>
      <c r="FZ68" s="559"/>
      <c r="GA68" s="559"/>
      <c r="GB68" s="559"/>
      <c r="GC68" s="559"/>
      <c r="GD68" s="559"/>
      <c r="GE68" s="559"/>
      <c r="GF68" s="559"/>
      <c r="GG68" s="559"/>
      <c r="GH68" s="559"/>
    </row>
    <row r="69">
      <c r="A69" s="538"/>
      <c r="B69" s="560"/>
      <c r="C69" s="47"/>
      <c r="D69" s="561"/>
      <c r="E69" s="606"/>
      <c r="F69" s="563"/>
      <c r="G69" s="563"/>
      <c r="H69" s="564"/>
      <c r="I69" s="622" t="s">
        <v>365</v>
      </c>
      <c r="J69" s="566"/>
      <c r="K69" s="567"/>
      <c r="L69" s="640"/>
      <c r="M69" s="625"/>
      <c r="N69" s="617"/>
      <c r="O69" s="621"/>
      <c r="P69" s="57"/>
      <c r="Q69" s="57"/>
      <c r="S69" s="605"/>
      <c r="U69" s="573"/>
      <c r="V69" s="574"/>
      <c r="W69" s="618"/>
      <c r="X69" s="576">
        <v>0.0</v>
      </c>
      <c r="Y69" s="630">
        <v>0.0</v>
      </c>
      <c r="Z69" s="630" t="s">
        <v>365</v>
      </c>
      <c r="AA69" s="631" t="b">
        <v>0</v>
      </c>
      <c r="AB69" s="631"/>
      <c r="AC69" s="576"/>
      <c r="AD69" s="479">
        <v>0.0</v>
      </c>
      <c r="AE69" s="632"/>
      <c r="AF69" s="582" t="s">
        <v>365</v>
      </c>
      <c r="AG69" s="583"/>
      <c r="AH69" s="584"/>
      <c r="AI69" s="583"/>
      <c r="AJ69" s="585"/>
      <c r="AK69" s="583"/>
      <c r="AL69" s="584"/>
      <c r="AM69" s="583"/>
      <c r="AN69" s="585"/>
      <c r="AO69" s="583"/>
      <c r="AP69" s="584"/>
      <c r="AQ69" s="583"/>
      <c r="AR69" s="585"/>
      <c r="AS69" s="583"/>
      <c r="AT69" s="584"/>
      <c r="AU69" s="583"/>
      <c r="AV69" s="585"/>
      <c r="AW69" s="583"/>
      <c r="AX69" s="584"/>
      <c r="AY69" s="583"/>
      <c r="AZ69" s="585"/>
      <c r="BA69" s="583"/>
      <c r="BB69" s="584"/>
      <c r="BC69" s="583"/>
      <c r="BD69" s="585"/>
      <c r="BE69" s="583"/>
      <c r="BF69" s="584"/>
      <c r="BG69" s="583"/>
      <c r="BH69" s="585"/>
      <c r="BI69" s="583"/>
      <c r="BJ69" s="584"/>
      <c r="BK69" s="583"/>
      <c r="BL69" s="585"/>
      <c r="BM69" s="583"/>
      <c r="BN69" s="584"/>
      <c r="BO69" s="583"/>
      <c r="BP69" s="585"/>
      <c r="BQ69" s="583"/>
      <c r="BR69" s="584"/>
      <c r="BS69" s="583"/>
      <c r="BT69" s="586"/>
      <c r="BU69" s="540"/>
      <c r="BV69" s="540"/>
      <c r="BW69" s="540"/>
      <c r="BX69" s="538"/>
      <c r="BY69" s="538"/>
      <c r="BZ69" s="592"/>
      <c r="CA69" s="633"/>
      <c r="CB69" s="592" t="s">
        <v>365</v>
      </c>
      <c r="CC69" s="592">
        <v>0.0</v>
      </c>
      <c r="CD69" s="592" t="s">
        <v>365</v>
      </c>
      <c r="CE69" s="592">
        <v>0.0</v>
      </c>
      <c r="CF69" s="592"/>
      <c r="CG69" s="592">
        <v>0.0</v>
      </c>
      <c r="CH69" s="592"/>
      <c r="CI69" s="633"/>
      <c r="CJ69" s="592">
        <v>0.0</v>
      </c>
      <c r="CK69" s="479" t="s">
        <v>365</v>
      </c>
      <c r="CL69" s="592"/>
      <c r="CM69" s="593"/>
      <c r="CN69" s="538"/>
      <c r="CO69" s="538"/>
      <c r="CP69" s="538"/>
      <c r="CQ69" s="538"/>
      <c r="CR69" s="538"/>
      <c r="CS69" s="538"/>
      <c r="CT69" s="538"/>
      <c r="CU69" s="538"/>
      <c r="CV69" s="538"/>
      <c r="CW69" s="538"/>
      <c r="CX69" s="538"/>
      <c r="CY69" s="538"/>
      <c r="CZ69" s="538"/>
      <c r="DA69" s="538"/>
      <c r="DB69" s="538"/>
      <c r="DC69" s="538"/>
      <c r="DD69" s="538"/>
      <c r="DE69" s="538"/>
      <c r="DF69" s="538"/>
      <c r="DG69" s="538"/>
      <c r="DH69" s="538"/>
      <c r="DI69" s="538"/>
      <c r="DJ69" s="538"/>
      <c r="DK69" s="538"/>
      <c r="DL69" s="538"/>
      <c r="DM69" s="538"/>
      <c r="DN69" s="538"/>
      <c r="DO69" s="538"/>
      <c r="DP69" s="538"/>
      <c r="DQ69" s="538"/>
      <c r="DR69" s="538"/>
      <c r="DS69" s="538"/>
      <c r="DT69" s="538"/>
      <c r="DU69" s="538"/>
      <c r="DV69" s="538"/>
      <c r="DW69" s="538"/>
      <c r="DX69" s="538"/>
      <c r="DY69" s="538"/>
      <c r="DZ69" s="538"/>
      <c r="EA69" s="538"/>
      <c r="EB69" s="538"/>
      <c r="EC69" s="538"/>
      <c r="ED69" s="538"/>
      <c r="EE69" s="538"/>
      <c r="EF69" s="538"/>
      <c r="EG69" s="538"/>
      <c r="EH69" s="538"/>
      <c r="EI69" s="538"/>
      <c r="EJ69" s="538"/>
      <c r="EK69" s="538"/>
      <c r="EL69" s="538"/>
      <c r="EM69" s="538"/>
      <c r="EN69" s="538"/>
      <c r="EO69" s="538"/>
      <c r="EP69" s="538"/>
      <c r="EQ69" s="538"/>
      <c r="ER69" s="538"/>
      <c r="ES69" s="538"/>
      <c r="ET69" s="538"/>
      <c r="EU69" s="538"/>
      <c r="EV69" s="538"/>
      <c r="EW69" s="538"/>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row>
    <row r="70">
      <c r="A70" s="538"/>
      <c r="B70" s="156"/>
      <c r="C70" s="444"/>
      <c r="D70" s="614"/>
      <c r="E70" s="606"/>
      <c r="F70" s="563"/>
      <c r="G70" s="563"/>
      <c r="H70" s="564"/>
      <c r="I70" s="622" t="s">
        <v>365</v>
      </c>
      <c r="J70" s="607"/>
      <c r="K70" s="567"/>
      <c r="L70" s="568"/>
      <c r="M70" s="626"/>
      <c r="N70" s="619"/>
      <c r="O70" s="623"/>
      <c r="P70" s="47"/>
      <c r="Q70" s="47"/>
      <c r="S70" s="572"/>
      <c r="U70" s="573"/>
      <c r="V70" s="574"/>
      <c r="W70" s="618"/>
      <c r="X70" s="576">
        <v>0.0</v>
      </c>
      <c r="Y70" s="630">
        <v>0.0</v>
      </c>
      <c r="Z70" s="630" t="s">
        <v>365</v>
      </c>
      <c r="AA70" s="631" t="b">
        <v>0</v>
      </c>
      <c r="AB70" s="631"/>
      <c r="AC70" s="576"/>
      <c r="AD70" s="479">
        <v>0.0</v>
      </c>
      <c r="AE70" s="632"/>
      <c r="AF70" s="582" t="s">
        <v>365</v>
      </c>
      <c r="AG70" s="583"/>
      <c r="AH70" s="584"/>
      <c r="AI70" s="583"/>
      <c r="AJ70" s="585"/>
      <c r="AK70" s="583"/>
      <c r="AL70" s="584"/>
      <c r="AM70" s="583"/>
      <c r="AN70" s="585"/>
      <c r="AO70" s="583"/>
      <c r="AP70" s="584"/>
      <c r="AQ70" s="583"/>
      <c r="AR70" s="585"/>
      <c r="AS70" s="583"/>
      <c r="AT70" s="584"/>
      <c r="AU70" s="583"/>
      <c r="AV70" s="585"/>
      <c r="AW70" s="583"/>
      <c r="AX70" s="584"/>
      <c r="AY70" s="583"/>
      <c r="AZ70" s="585"/>
      <c r="BA70" s="583"/>
      <c r="BB70" s="584"/>
      <c r="BC70" s="583"/>
      <c r="BD70" s="585"/>
      <c r="BE70" s="583"/>
      <c r="BF70" s="584"/>
      <c r="BG70" s="583"/>
      <c r="BH70" s="585"/>
      <c r="BI70" s="583"/>
      <c r="BJ70" s="584"/>
      <c r="BK70" s="583"/>
      <c r="BL70" s="585"/>
      <c r="BM70" s="583"/>
      <c r="BN70" s="584"/>
      <c r="BO70" s="583"/>
      <c r="BP70" s="585"/>
      <c r="BQ70" s="583"/>
      <c r="BR70" s="584"/>
      <c r="BS70" s="583"/>
      <c r="BT70" s="586"/>
      <c r="BU70" s="540"/>
      <c r="BV70" s="540"/>
      <c r="BW70" s="540"/>
      <c r="BX70" s="538"/>
      <c r="BY70" s="538"/>
      <c r="BZ70" s="592"/>
      <c r="CA70" s="633"/>
      <c r="CB70" s="592" t="s">
        <v>365</v>
      </c>
      <c r="CC70" s="592">
        <v>0.0</v>
      </c>
      <c r="CD70" s="592" t="s">
        <v>365</v>
      </c>
      <c r="CE70" s="592">
        <v>0.0</v>
      </c>
      <c r="CF70" s="592"/>
      <c r="CG70" s="592">
        <v>0.0</v>
      </c>
      <c r="CH70" s="592"/>
      <c r="CI70" s="633"/>
      <c r="CJ70" s="592">
        <v>0.0</v>
      </c>
      <c r="CK70" s="479" t="s">
        <v>365</v>
      </c>
      <c r="CL70" s="592"/>
      <c r="CM70" s="593"/>
      <c r="CN70" s="538"/>
      <c r="CO70" s="538"/>
      <c r="CP70" s="538"/>
      <c r="CQ70" s="538"/>
      <c r="CR70" s="538"/>
      <c r="CS70" s="538"/>
      <c r="CT70" s="538"/>
      <c r="CU70" s="538"/>
      <c r="CV70" s="538"/>
      <c r="CW70" s="538"/>
      <c r="CX70" s="538"/>
      <c r="CY70" s="538"/>
      <c r="CZ70" s="538"/>
      <c r="DA70" s="538"/>
      <c r="DB70" s="538"/>
      <c r="DC70" s="538"/>
      <c r="DD70" s="538"/>
      <c r="DE70" s="538"/>
      <c r="DF70" s="538"/>
      <c r="DG70" s="538"/>
      <c r="DH70" s="538"/>
      <c r="DI70" s="538"/>
      <c r="DJ70" s="538"/>
      <c r="DK70" s="538"/>
      <c r="DL70" s="538"/>
      <c r="DM70" s="538"/>
      <c r="DN70" s="538"/>
      <c r="DO70" s="538"/>
      <c r="DP70" s="538"/>
      <c r="DQ70" s="538"/>
      <c r="DR70" s="538"/>
      <c r="DS70" s="538"/>
      <c r="DT70" s="538"/>
      <c r="DU70" s="538"/>
      <c r="DV70" s="538"/>
      <c r="DW70" s="538"/>
      <c r="DX70" s="538"/>
      <c r="DY70" s="538"/>
      <c r="DZ70" s="538"/>
      <c r="EA70" s="538"/>
      <c r="EB70" s="538"/>
      <c r="EC70" s="538"/>
      <c r="ED70" s="538"/>
      <c r="EE70" s="538"/>
      <c r="EF70" s="538"/>
      <c r="EG70" s="538"/>
      <c r="EH70" s="538"/>
      <c r="EI70" s="538"/>
      <c r="EJ70" s="538"/>
      <c r="EK70" s="538"/>
      <c r="EL70" s="538"/>
      <c r="EM70" s="538"/>
      <c r="EN70" s="538"/>
      <c r="EO70" s="538"/>
      <c r="EP70" s="538"/>
      <c r="EQ70" s="538"/>
      <c r="ER70" s="538"/>
      <c r="ES70" s="538"/>
      <c r="ET70" s="538"/>
      <c r="EU70" s="538"/>
      <c r="EV70" s="538"/>
      <c r="EW70" s="538"/>
      <c r="EX70" s="559"/>
      <c r="EY70" s="559"/>
      <c r="EZ70" s="559"/>
      <c r="FA70" s="559"/>
      <c r="FB70" s="559"/>
      <c r="FC70" s="559"/>
      <c r="FD70" s="559"/>
      <c r="FE70" s="559"/>
      <c r="FF70" s="559"/>
      <c r="FG70" s="559"/>
      <c r="FH70" s="559"/>
      <c r="FI70" s="559"/>
      <c r="FJ70" s="559"/>
      <c r="FK70" s="559"/>
      <c r="FL70" s="559"/>
      <c r="FM70" s="559"/>
      <c r="FN70" s="559"/>
      <c r="FO70" s="559"/>
      <c r="FP70" s="559"/>
      <c r="FQ70" s="559"/>
      <c r="FR70" s="559"/>
      <c r="FS70" s="559"/>
      <c r="FT70" s="559"/>
      <c r="FU70" s="559"/>
      <c r="FV70" s="559"/>
      <c r="FW70" s="559"/>
      <c r="FX70" s="559"/>
      <c r="FY70" s="559"/>
      <c r="FZ70" s="559"/>
      <c r="GA70" s="559"/>
      <c r="GB70" s="559"/>
      <c r="GC70" s="559"/>
      <c r="GD70" s="559"/>
      <c r="GE70" s="559"/>
      <c r="GF70" s="559"/>
      <c r="GG70" s="559"/>
      <c r="GH70" s="559"/>
    </row>
    <row r="71">
      <c r="A71" s="538"/>
      <c r="B71" s="156"/>
      <c r="C71" s="444"/>
      <c r="D71" s="614"/>
      <c r="E71" s="595"/>
      <c r="F71" s="596"/>
      <c r="G71" s="596"/>
      <c r="H71" s="597"/>
      <c r="I71" s="616" t="s">
        <v>365</v>
      </c>
      <c r="J71" s="624"/>
      <c r="K71" s="600"/>
      <c r="L71" s="640"/>
      <c r="M71" s="625"/>
      <c r="N71" s="617"/>
      <c r="O71" s="621"/>
      <c r="P71" s="57"/>
      <c r="Q71" s="57"/>
      <c r="S71" s="605"/>
      <c r="U71" s="573"/>
      <c r="V71" s="574"/>
      <c r="W71" s="618"/>
      <c r="X71" s="576">
        <v>0.0</v>
      </c>
      <c r="Y71" s="630">
        <v>0.0</v>
      </c>
      <c r="Z71" s="630" t="s">
        <v>365</v>
      </c>
      <c r="AA71" s="631" t="b">
        <v>0</v>
      </c>
      <c r="AB71" s="631"/>
      <c r="AC71" s="576"/>
      <c r="AD71" s="479">
        <v>0.0</v>
      </c>
      <c r="AE71" s="632"/>
      <c r="AF71" s="582" t="s">
        <v>365</v>
      </c>
      <c r="AG71" s="583"/>
      <c r="AH71" s="584"/>
      <c r="AI71" s="583"/>
      <c r="AJ71" s="585"/>
      <c r="AK71" s="583"/>
      <c r="AL71" s="584"/>
      <c r="AM71" s="583"/>
      <c r="AN71" s="585"/>
      <c r="AO71" s="583"/>
      <c r="AP71" s="584"/>
      <c r="AQ71" s="583"/>
      <c r="AR71" s="585"/>
      <c r="AS71" s="583"/>
      <c r="AT71" s="584"/>
      <c r="AU71" s="583"/>
      <c r="AV71" s="585"/>
      <c r="AW71" s="583"/>
      <c r="AX71" s="584"/>
      <c r="AY71" s="583"/>
      <c r="AZ71" s="585"/>
      <c r="BA71" s="583"/>
      <c r="BB71" s="584"/>
      <c r="BC71" s="583"/>
      <c r="BD71" s="585"/>
      <c r="BE71" s="583"/>
      <c r="BF71" s="584"/>
      <c r="BG71" s="583"/>
      <c r="BH71" s="585"/>
      <c r="BI71" s="583"/>
      <c r="BJ71" s="584"/>
      <c r="BK71" s="583"/>
      <c r="BL71" s="585"/>
      <c r="BM71" s="583"/>
      <c r="BN71" s="584"/>
      <c r="BO71" s="583"/>
      <c r="BP71" s="585"/>
      <c r="BQ71" s="583"/>
      <c r="BR71" s="584"/>
      <c r="BS71" s="583"/>
      <c r="BT71" s="586"/>
      <c r="BU71" s="540"/>
      <c r="BV71" s="540"/>
      <c r="BW71" s="540"/>
      <c r="BX71" s="538"/>
      <c r="BY71" s="538"/>
      <c r="BZ71" s="592"/>
      <c r="CA71" s="633"/>
      <c r="CB71" s="592" t="s">
        <v>365</v>
      </c>
      <c r="CC71" s="592">
        <v>0.0</v>
      </c>
      <c r="CD71" s="592" t="s">
        <v>365</v>
      </c>
      <c r="CE71" s="592">
        <v>0.0</v>
      </c>
      <c r="CF71" s="592"/>
      <c r="CG71" s="592">
        <v>0.0</v>
      </c>
      <c r="CH71" s="592"/>
      <c r="CI71" s="633"/>
      <c r="CJ71" s="592">
        <v>0.0</v>
      </c>
      <c r="CK71" s="479" t="s">
        <v>365</v>
      </c>
      <c r="CL71" s="592"/>
      <c r="CM71" s="593"/>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c r="DS71" s="538"/>
      <c r="DT71" s="538"/>
      <c r="DU71" s="538"/>
      <c r="DV71" s="538"/>
      <c r="DW71" s="538"/>
      <c r="DX71" s="538"/>
      <c r="DY71" s="538"/>
      <c r="DZ71" s="538"/>
      <c r="EA71" s="538"/>
      <c r="EB71" s="538"/>
      <c r="EC71" s="538"/>
      <c r="ED71" s="538"/>
      <c r="EE71" s="538"/>
      <c r="EF71" s="538"/>
      <c r="EG71" s="538"/>
      <c r="EH71" s="538"/>
      <c r="EI71" s="538"/>
      <c r="EJ71" s="538"/>
      <c r="EK71" s="538"/>
      <c r="EL71" s="538"/>
      <c r="EM71" s="538"/>
      <c r="EN71" s="538"/>
      <c r="EO71" s="538"/>
      <c r="EP71" s="538"/>
      <c r="EQ71" s="538"/>
      <c r="ER71" s="538"/>
      <c r="ES71" s="538"/>
      <c r="ET71" s="538"/>
      <c r="EU71" s="538"/>
      <c r="EV71" s="538"/>
      <c r="EW71" s="538"/>
      <c r="EX71" s="559"/>
      <c r="EY71" s="559"/>
      <c r="EZ71" s="559"/>
      <c r="FA71" s="559"/>
      <c r="FB71" s="559"/>
      <c r="FC71" s="559"/>
      <c r="FD71" s="559"/>
      <c r="FE71" s="559"/>
      <c r="FF71" s="559"/>
      <c r="FG71" s="559"/>
      <c r="FH71" s="559"/>
      <c r="FI71" s="559"/>
      <c r="FJ71" s="559"/>
      <c r="FK71" s="559"/>
      <c r="FL71" s="559"/>
      <c r="FM71" s="559"/>
      <c r="FN71" s="559"/>
      <c r="FO71" s="559"/>
      <c r="FP71" s="559"/>
      <c r="FQ71" s="559"/>
      <c r="FR71" s="559"/>
      <c r="FS71" s="559"/>
      <c r="FT71" s="559"/>
      <c r="FU71" s="559"/>
      <c r="FV71" s="559"/>
      <c r="FW71" s="559"/>
      <c r="FX71" s="559"/>
      <c r="FY71" s="559"/>
      <c r="FZ71" s="559"/>
      <c r="GA71" s="559"/>
      <c r="GB71" s="559"/>
      <c r="GC71" s="559"/>
      <c r="GD71" s="559"/>
      <c r="GE71" s="559"/>
      <c r="GF71" s="559"/>
      <c r="GG71" s="559"/>
      <c r="GH71" s="559"/>
    </row>
    <row r="72">
      <c r="A72" s="538"/>
      <c r="B72" s="156"/>
      <c r="C72" s="444"/>
      <c r="D72" s="614"/>
      <c r="E72" s="606"/>
      <c r="F72" s="563"/>
      <c r="G72" s="563"/>
      <c r="H72" s="627"/>
      <c r="I72" s="622" t="s">
        <v>365</v>
      </c>
      <c r="J72" s="607"/>
      <c r="K72" s="567"/>
      <c r="L72" s="628"/>
      <c r="M72" s="626"/>
      <c r="N72" s="619"/>
      <c r="O72" s="623"/>
      <c r="P72" s="47"/>
      <c r="Q72" s="47"/>
      <c r="S72" s="572"/>
      <c r="U72" s="573"/>
      <c r="V72" s="574"/>
      <c r="W72" s="618"/>
      <c r="X72" s="576">
        <v>0.0</v>
      </c>
      <c r="Y72" s="630">
        <v>0.0</v>
      </c>
      <c r="Z72" s="630" t="s">
        <v>365</v>
      </c>
      <c r="AA72" s="631" t="b">
        <v>0</v>
      </c>
      <c r="AB72" s="631"/>
      <c r="AC72" s="576"/>
      <c r="AD72" s="479">
        <v>0.0</v>
      </c>
      <c r="AE72" s="632"/>
      <c r="AF72" s="582" t="s">
        <v>365</v>
      </c>
      <c r="AG72" s="583"/>
      <c r="AH72" s="584"/>
      <c r="AI72" s="583"/>
      <c r="AJ72" s="585"/>
      <c r="AK72" s="583"/>
      <c r="AL72" s="584"/>
      <c r="AM72" s="583"/>
      <c r="AN72" s="585"/>
      <c r="AO72" s="583"/>
      <c r="AP72" s="584"/>
      <c r="AQ72" s="583"/>
      <c r="AR72" s="585"/>
      <c r="AS72" s="583"/>
      <c r="AT72" s="584"/>
      <c r="AU72" s="583"/>
      <c r="AV72" s="585"/>
      <c r="AW72" s="583"/>
      <c r="AX72" s="584"/>
      <c r="AY72" s="583"/>
      <c r="AZ72" s="585"/>
      <c r="BA72" s="583"/>
      <c r="BB72" s="584"/>
      <c r="BC72" s="583"/>
      <c r="BD72" s="585"/>
      <c r="BE72" s="583"/>
      <c r="BF72" s="584"/>
      <c r="BG72" s="583"/>
      <c r="BH72" s="585"/>
      <c r="BI72" s="583"/>
      <c r="BJ72" s="584"/>
      <c r="BK72" s="583"/>
      <c r="BL72" s="585"/>
      <c r="BM72" s="583"/>
      <c r="BN72" s="584"/>
      <c r="BO72" s="583"/>
      <c r="BP72" s="585"/>
      <c r="BQ72" s="583"/>
      <c r="BR72" s="584"/>
      <c r="BS72" s="583"/>
      <c r="BT72" s="586"/>
      <c r="BU72" s="540"/>
      <c r="BV72" s="540"/>
      <c r="BW72" s="540"/>
      <c r="BX72" s="538"/>
      <c r="BY72" s="538"/>
      <c r="BZ72" s="592"/>
      <c r="CA72" s="633"/>
      <c r="CB72" s="592" t="s">
        <v>365</v>
      </c>
      <c r="CC72" s="592">
        <v>0.0</v>
      </c>
      <c r="CD72" s="592" t="s">
        <v>365</v>
      </c>
      <c r="CE72" s="592">
        <v>0.0</v>
      </c>
      <c r="CF72" s="592"/>
      <c r="CG72" s="592">
        <v>0.0</v>
      </c>
      <c r="CH72" s="592"/>
      <c r="CI72" s="633"/>
      <c r="CJ72" s="592">
        <v>0.0</v>
      </c>
      <c r="CK72" s="479" t="s">
        <v>365</v>
      </c>
      <c r="CL72" s="592"/>
      <c r="CM72" s="593"/>
      <c r="CN72" s="538"/>
      <c r="CO72" s="538"/>
      <c r="CP72" s="538"/>
      <c r="CQ72" s="538"/>
      <c r="CR72" s="538"/>
      <c r="CS72" s="538"/>
      <c r="CT72" s="538"/>
      <c r="CU72" s="538"/>
      <c r="CV72" s="538"/>
      <c r="CW72" s="538"/>
      <c r="CX72" s="538"/>
      <c r="CY72" s="538"/>
      <c r="CZ72" s="538"/>
      <c r="DA72" s="538"/>
      <c r="DB72" s="538"/>
      <c r="DC72" s="538"/>
      <c r="DD72" s="538"/>
      <c r="DE72" s="538"/>
      <c r="DF72" s="538"/>
      <c r="DG72" s="538"/>
      <c r="DH72" s="538"/>
      <c r="DI72" s="538"/>
      <c r="DJ72" s="538"/>
      <c r="DK72" s="538"/>
      <c r="DL72" s="538"/>
      <c r="DM72" s="538"/>
      <c r="DN72" s="538"/>
      <c r="DO72" s="538"/>
      <c r="DP72" s="538"/>
      <c r="DQ72" s="538"/>
      <c r="DR72" s="538"/>
      <c r="DS72" s="538"/>
      <c r="DT72" s="538"/>
      <c r="DU72" s="538"/>
      <c r="DV72" s="538"/>
      <c r="DW72" s="538"/>
      <c r="DX72" s="538"/>
      <c r="DY72" s="538"/>
      <c r="DZ72" s="538"/>
      <c r="EA72" s="538"/>
      <c r="EB72" s="538"/>
      <c r="EC72" s="538"/>
      <c r="ED72" s="538"/>
      <c r="EE72" s="538"/>
      <c r="EF72" s="538"/>
      <c r="EG72" s="538"/>
      <c r="EH72" s="538"/>
      <c r="EI72" s="538"/>
      <c r="EJ72" s="538"/>
      <c r="EK72" s="538"/>
      <c r="EL72" s="538"/>
      <c r="EM72" s="538"/>
      <c r="EN72" s="538"/>
      <c r="EO72" s="538"/>
      <c r="EP72" s="538"/>
      <c r="EQ72" s="538"/>
      <c r="ER72" s="538"/>
      <c r="ES72" s="538"/>
      <c r="ET72" s="538"/>
      <c r="EU72" s="538"/>
      <c r="EV72" s="538"/>
      <c r="EW72" s="538"/>
      <c r="EX72" s="559"/>
      <c r="EY72" s="559"/>
      <c r="EZ72" s="559"/>
      <c r="FA72" s="559"/>
      <c r="FB72" s="559"/>
      <c r="FC72" s="559"/>
      <c r="FD72" s="559"/>
      <c r="FE72" s="559"/>
      <c r="FF72" s="559"/>
      <c r="FG72" s="559"/>
      <c r="FH72" s="559"/>
      <c r="FI72" s="559"/>
      <c r="FJ72" s="559"/>
      <c r="FK72" s="559"/>
      <c r="FL72" s="559"/>
      <c r="FM72" s="559"/>
      <c r="FN72" s="559"/>
      <c r="FO72" s="559"/>
      <c r="FP72" s="559"/>
      <c r="FQ72" s="559"/>
      <c r="FR72" s="559"/>
      <c r="FS72" s="559"/>
      <c r="FT72" s="559"/>
      <c r="FU72" s="559"/>
      <c r="FV72" s="559"/>
      <c r="FW72" s="559"/>
      <c r="FX72" s="559"/>
      <c r="FY72" s="559"/>
      <c r="FZ72" s="559"/>
      <c r="GA72" s="559"/>
      <c r="GB72" s="559"/>
      <c r="GC72" s="559"/>
      <c r="GD72" s="559"/>
      <c r="GE72" s="559"/>
      <c r="GF72" s="559"/>
      <c r="GG72" s="559"/>
      <c r="GH72" s="559"/>
    </row>
    <row r="73">
      <c r="A73" s="538"/>
      <c r="B73" s="156"/>
      <c r="C73" s="444"/>
      <c r="D73" s="614"/>
      <c r="E73" s="595"/>
      <c r="F73" s="596"/>
      <c r="G73" s="596"/>
      <c r="H73" s="615"/>
      <c r="I73" s="616" t="s">
        <v>365</v>
      </c>
      <c r="J73" s="624"/>
      <c r="K73" s="600"/>
      <c r="L73" s="640"/>
      <c r="M73" s="625"/>
      <c r="N73" s="617"/>
      <c r="O73" s="621"/>
      <c r="P73" s="57"/>
      <c r="Q73" s="57"/>
      <c r="S73" s="605"/>
      <c r="U73" s="573"/>
      <c r="V73" s="574"/>
      <c r="W73" s="618"/>
      <c r="X73" s="576">
        <v>0.0</v>
      </c>
      <c r="Y73" s="630">
        <v>0.0</v>
      </c>
      <c r="Z73" s="630" t="s">
        <v>365</v>
      </c>
      <c r="AA73" s="631" t="b">
        <v>0</v>
      </c>
      <c r="AB73" s="631"/>
      <c r="AC73" s="576"/>
      <c r="AD73" s="479">
        <v>0.0</v>
      </c>
      <c r="AE73" s="632"/>
      <c r="AF73" s="582" t="s">
        <v>365</v>
      </c>
      <c r="AG73" s="583"/>
      <c r="AH73" s="584"/>
      <c r="AI73" s="583"/>
      <c r="AJ73" s="585"/>
      <c r="AK73" s="583"/>
      <c r="AL73" s="584"/>
      <c r="AM73" s="583"/>
      <c r="AN73" s="585"/>
      <c r="AO73" s="583"/>
      <c r="AP73" s="584"/>
      <c r="AQ73" s="583"/>
      <c r="AR73" s="585"/>
      <c r="AS73" s="583"/>
      <c r="AT73" s="584"/>
      <c r="AU73" s="583"/>
      <c r="AV73" s="585"/>
      <c r="AW73" s="583"/>
      <c r="AX73" s="584"/>
      <c r="AY73" s="583"/>
      <c r="AZ73" s="585"/>
      <c r="BA73" s="583"/>
      <c r="BB73" s="584"/>
      <c r="BC73" s="583"/>
      <c r="BD73" s="585"/>
      <c r="BE73" s="583"/>
      <c r="BF73" s="584"/>
      <c r="BG73" s="583"/>
      <c r="BH73" s="585"/>
      <c r="BI73" s="583"/>
      <c r="BJ73" s="584"/>
      <c r="BK73" s="583"/>
      <c r="BL73" s="585"/>
      <c r="BM73" s="583"/>
      <c r="BN73" s="584"/>
      <c r="BO73" s="583"/>
      <c r="BP73" s="585"/>
      <c r="BQ73" s="583"/>
      <c r="BR73" s="584"/>
      <c r="BS73" s="583"/>
      <c r="BT73" s="586"/>
      <c r="BU73" s="540"/>
      <c r="BV73" s="540"/>
      <c r="BW73" s="540"/>
      <c r="BX73" s="538"/>
      <c r="BY73" s="538"/>
      <c r="BZ73" s="592"/>
      <c r="CA73" s="633"/>
      <c r="CB73" s="592" t="s">
        <v>365</v>
      </c>
      <c r="CC73" s="592">
        <v>0.0</v>
      </c>
      <c r="CD73" s="592" t="s">
        <v>365</v>
      </c>
      <c r="CE73" s="592">
        <v>0.0</v>
      </c>
      <c r="CF73" s="592"/>
      <c r="CG73" s="592">
        <v>0.0</v>
      </c>
      <c r="CH73" s="592"/>
      <c r="CI73" s="633"/>
      <c r="CJ73" s="592">
        <v>0.0</v>
      </c>
      <c r="CK73" s="479" t="s">
        <v>365</v>
      </c>
      <c r="CL73" s="592"/>
      <c r="CM73" s="593"/>
      <c r="CN73" s="538"/>
      <c r="CO73" s="538"/>
      <c r="CP73" s="538"/>
      <c r="CQ73" s="538"/>
      <c r="CR73" s="538"/>
      <c r="CS73" s="538"/>
      <c r="CT73" s="538"/>
      <c r="CU73" s="538"/>
      <c r="CV73" s="538"/>
      <c r="CW73" s="538"/>
      <c r="CX73" s="538"/>
      <c r="CY73" s="538"/>
      <c r="CZ73" s="538"/>
      <c r="DA73" s="538"/>
      <c r="DB73" s="538"/>
      <c r="DC73" s="538"/>
      <c r="DD73" s="538"/>
      <c r="DE73" s="538"/>
      <c r="DF73" s="538"/>
      <c r="DG73" s="538"/>
      <c r="DH73" s="538"/>
      <c r="DI73" s="538"/>
      <c r="DJ73" s="538"/>
      <c r="DK73" s="538"/>
      <c r="DL73" s="538"/>
      <c r="DM73" s="538"/>
      <c r="DN73" s="538"/>
      <c r="DO73" s="538"/>
      <c r="DP73" s="538"/>
      <c r="DQ73" s="538"/>
      <c r="DR73" s="538"/>
      <c r="DS73" s="538"/>
      <c r="DT73" s="538"/>
      <c r="DU73" s="538"/>
      <c r="DV73" s="538"/>
      <c r="DW73" s="538"/>
      <c r="DX73" s="538"/>
      <c r="DY73" s="538"/>
      <c r="DZ73" s="538"/>
      <c r="EA73" s="538"/>
      <c r="EB73" s="538"/>
      <c r="EC73" s="538"/>
      <c r="ED73" s="538"/>
      <c r="EE73" s="538"/>
      <c r="EF73" s="538"/>
      <c r="EG73" s="538"/>
      <c r="EH73" s="538"/>
      <c r="EI73" s="538"/>
      <c r="EJ73" s="538"/>
      <c r="EK73" s="538"/>
      <c r="EL73" s="538"/>
      <c r="EM73" s="538"/>
      <c r="EN73" s="538"/>
      <c r="EO73" s="538"/>
      <c r="EP73" s="538"/>
      <c r="EQ73" s="538"/>
      <c r="ER73" s="538"/>
      <c r="ES73" s="538"/>
      <c r="ET73" s="538"/>
      <c r="EU73" s="538"/>
      <c r="EV73" s="538"/>
      <c r="EW73" s="538"/>
      <c r="EX73" s="559"/>
      <c r="EY73" s="559"/>
      <c r="EZ73" s="559"/>
      <c r="FA73" s="559"/>
      <c r="FB73" s="559"/>
      <c r="FC73" s="559"/>
      <c r="FD73" s="559"/>
      <c r="FE73" s="559"/>
      <c r="FF73" s="559"/>
      <c r="FG73" s="559"/>
      <c r="FH73" s="559"/>
      <c r="FI73" s="559"/>
      <c r="FJ73" s="559"/>
      <c r="FK73" s="559"/>
      <c r="FL73" s="559"/>
      <c r="FM73" s="559"/>
      <c r="FN73" s="559"/>
      <c r="FO73" s="559"/>
      <c r="FP73" s="559"/>
      <c r="FQ73" s="559"/>
      <c r="FR73" s="559"/>
      <c r="FS73" s="559"/>
      <c r="FT73" s="559"/>
      <c r="FU73" s="559"/>
      <c r="FV73" s="559"/>
      <c r="FW73" s="559"/>
      <c r="FX73" s="559"/>
      <c r="FY73" s="559"/>
      <c r="FZ73" s="559"/>
      <c r="GA73" s="559"/>
      <c r="GB73" s="559"/>
      <c r="GC73" s="559"/>
      <c r="GD73" s="559"/>
      <c r="GE73" s="559"/>
      <c r="GF73" s="559"/>
      <c r="GG73" s="559"/>
      <c r="GH73" s="559"/>
    </row>
    <row r="74">
      <c r="A74" s="538"/>
      <c r="B74" s="156"/>
      <c r="C74" s="444"/>
      <c r="D74" s="614"/>
      <c r="E74" s="606"/>
      <c r="F74" s="563"/>
      <c r="G74" s="563"/>
      <c r="H74" s="627"/>
      <c r="I74" s="622" t="s">
        <v>365</v>
      </c>
      <c r="J74" s="607"/>
      <c r="K74" s="567"/>
      <c r="L74" s="628"/>
      <c r="M74" s="626"/>
      <c r="N74" s="619"/>
      <c r="O74" s="623"/>
      <c r="P74" s="47"/>
      <c r="Q74" s="47"/>
      <c r="S74" s="572"/>
      <c r="U74" s="573"/>
      <c r="V74" s="574"/>
      <c r="W74" s="618"/>
      <c r="X74" s="576">
        <v>0.0</v>
      </c>
      <c r="Y74" s="630">
        <v>0.0</v>
      </c>
      <c r="Z74" s="630" t="s">
        <v>365</v>
      </c>
      <c r="AA74" s="631" t="b">
        <v>0</v>
      </c>
      <c r="AB74" s="631"/>
      <c r="AC74" s="576"/>
      <c r="AD74" s="479">
        <v>0.0</v>
      </c>
      <c r="AE74" s="632"/>
      <c r="AF74" s="582" t="s">
        <v>365</v>
      </c>
      <c r="AG74" s="583"/>
      <c r="AH74" s="584"/>
      <c r="AI74" s="583"/>
      <c r="AJ74" s="585"/>
      <c r="AK74" s="583"/>
      <c r="AL74" s="584"/>
      <c r="AM74" s="583"/>
      <c r="AN74" s="585"/>
      <c r="AO74" s="583"/>
      <c r="AP74" s="584"/>
      <c r="AQ74" s="583"/>
      <c r="AR74" s="585"/>
      <c r="AS74" s="583"/>
      <c r="AT74" s="584"/>
      <c r="AU74" s="583"/>
      <c r="AV74" s="585"/>
      <c r="AW74" s="583"/>
      <c r="AX74" s="584"/>
      <c r="AY74" s="583"/>
      <c r="AZ74" s="585"/>
      <c r="BA74" s="583"/>
      <c r="BB74" s="584"/>
      <c r="BC74" s="583"/>
      <c r="BD74" s="585"/>
      <c r="BE74" s="583"/>
      <c r="BF74" s="584"/>
      <c r="BG74" s="583"/>
      <c r="BH74" s="585"/>
      <c r="BI74" s="583"/>
      <c r="BJ74" s="584"/>
      <c r="BK74" s="583"/>
      <c r="BL74" s="585"/>
      <c r="BM74" s="583"/>
      <c r="BN74" s="584"/>
      <c r="BO74" s="583"/>
      <c r="BP74" s="585"/>
      <c r="BQ74" s="583"/>
      <c r="BR74" s="584"/>
      <c r="BS74" s="583"/>
      <c r="BT74" s="586"/>
      <c r="BU74" s="540"/>
      <c r="BV74" s="540"/>
      <c r="BW74" s="540"/>
      <c r="BX74" s="538"/>
      <c r="BY74" s="538"/>
      <c r="BZ74" s="592"/>
      <c r="CA74" s="633"/>
      <c r="CB74" s="592" t="s">
        <v>365</v>
      </c>
      <c r="CC74" s="592">
        <v>0.0</v>
      </c>
      <c r="CD74" s="592" t="s">
        <v>365</v>
      </c>
      <c r="CE74" s="592">
        <v>0.0</v>
      </c>
      <c r="CF74" s="592"/>
      <c r="CG74" s="592">
        <v>0.0</v>
      </c>
      <c r="CH74" s="592"/>
      <c r="CI74" s="633"/>
      <c r="CJ74" s="592">
        <v>0.0</v>
      </c>
      <c r="CK74" s="479" t="s">
        <v>365</v>
      </c>
      <c r="CL74" s="592"/>
      <c r="CM74" s="593"/>
      <c r="CN74" s="538"/>
      <c r="CO74" s="538"/>
      <c r="CP74" s="538"/>
      <c r="CQ74" s="538"/>
      <c r="CR74" s="538"/>
      <c r="CS74" s="538"/>
      <c r="CT74" s="538"/>
      <c r="CU74" s="538"/>
      <c r="CV74" s="538"/>
      <c r="CW74" s="538"/>
      <c r="CX74" s="538"/>
      <c r="CY74" s="538"/>
      <c r="CZ74" s="538"/>
      <c r="DA74" s="538"/>
      <c r="DB74" s="538"/>
      <c r="DC74" s="538"/>
      <c r="DD74" s="538"/>
      <c r="DE74" s="538"/>
      <c r="DF74" s="538"/>
      <c r="DG74" s="538"/>
      <c r="DH74" s="538"/>
      <c r="DI74" s="538"/>
      <c r="DJ74" s="538"/>
      <c r="DK74" s="538"/>
      <c r="DL74" s="538"/>
      <c r="DM74" s="538"/>
      <c r="DN74" s="538"/>
      <c r="DO74" s="538"/>
      <c r="DP74" s="538"/>
      <c r="DQ74" s="538"/>
      <c r="DR74" s="538"/>
      <c r="DS74" s="538"/>
      <c r="DT74" s="538"/>
      <c r="DU74" s="538"/>
      <c r="DV74" s="538"/>
      <c r="DW74" s="538"/>
      <c r="DX74" s="538"/>
      <c r="DY74" s="538"/>
      <c r="DZ74" s="538"/>
      <c r="EA74" s="538"/>
      <c r="EB74" s="538"/>
      <c r="EC74" s="538"/>
      <c r="ED74" s="538"/>
      <c r="EE74" s="538"/>
      <c r="EF74" s="538"/>
      <c r="EG74" s="538"/>
      <c r="EH74" s="538"/>
      <c r="EI74" s="538"/>
      <c r="EJ74" s="538"/>
      <c r="EK74" s="538"/>
      <c r="EL74" s="538"/>
      <c r="EM74" s="538"/>
      <c r="EN74" s="538"/>
      <c r="EO74" s="538"/>
      <c r="EP74" s="538"/>
      <c r="EQ74" s="538"/>
      <c r="ER74" s="538"/>
      <c r="ES74" s="538"/>
      <c r="ET74" s="538"/>
      <c r="EU74" s="538"/>
      <c r="EV74" s="538"/>
      <c r="EW74" s="538"/>
      <c r="EX74" s="559"/>
      <c r="EY74" s="559"/>
      <c r="EZ74" s="559"/>
      <c r="FA74" s="559"/>
      <c r="FB74" s="559"/>
      <c r="FC74" s="559"/>
      <c r="FD74" s="559"/>
      <c r="FE74" s="559"/>
      <c r="FF74" s="559"/>
      <c r="FG74" s="559"/>
      <c r="FH74" s="559"/>
      <c r="FI74" s="559"/>
      <c r="FJ74" s="559"/>
      <c r="FK74" s="559"/>
      <c r="FL74" s="559"/>
      <c r="FM74" s="559"/>
      <c r="FN74" s="559"/>
      <c r="FO74" s="559"/>
      <c r="FP74" s="559"/>
      <c r="FQ74" s="559"/>
      <c r="FR74" s="559"/>
      <c r="FS74" s="559"/>
      <c r="FT74" s="559"/>
      <c r="FU74" s="559"/>
      <c r="FV74" s="559"/>
      <c r="FW74" s="559"/>
      <c r="FX74" s="559"/>
      <c r="FY74" s="559"/>
      <c r="FZ74" s="559"/>
      <c r="GA74" s="559"/>
      <c r="GB74" s="559"/>
      <c r="GC74" s="559"/>
      <c r="GD74" s="559"/>
      <c r="GE74" s="559"/>
      <c r="GF74" s="559"/>
      <c r="GG74" s="559"/>
      <c r="GH74" s="559"/>
    </row>
    <row r="75">
      <c r="A75" s="538"/>
      <c r="B75" s="156"/>
      <c r="C75" s="444"/>
      <c r="D75" s="614"/>
      <c r="E75" s="595"/>
      <c r="F75" s="596"/>
      <c r="G75" s="596"/>
      <c r="H75" s="597"/>
      <c r="I75" s="616" t="s">
        <v>365</v>
      </c>
      <c r="J75" s="624"/>
      <c r="K75" s="600"/>
      <c r="L75" s="601"/>
      <c r="M75" s="625"/>
      <c r="N75" s="617"/>
      <c r="O75" s="621"/>
      <c r="P75" s="57"/>
      <c r="Q75" s="57"/>
      <c r="S75" s="605"/>
      <c r="U75" s="573"/>
      <c r="V75" s="574"/>
      <c r="W75" s="618"/>
      <c r="X75" s="576">
        <v>0.0</v>
      </c>
      <c r="Y75" s="630">
        <v>0.0</v>
      </c>
      <c r="Z75" s="630" t="s">
        <v>365</v>
      </c>
      <c r="AA75" s="631" t="b">
        <v>0</v>
      </c>
      <c r="AB75" s="631"/>
      <c r="AC75" s="576"/>
      <c r="AD75" s="479">
        <v>0.0</v>
      </c>
      <c r="AE75" s="632"/>
      <c r="AF75" s="582" t="s">
        <v>365</v>
      </c>
      <c r="AG75" s="583"/>
      <c r="AH75" s="584"/>
      <c r="AI75" s="583"/>
      <c r="AJ75" s="585"/>
      <c r="AK75" s="583"/>
      <c r="AL75" s="584"/>
      <c r="AM75" s="583"/>
      <c r="AN75" s="585"/>
      <c r="AO75" s="583"/>
      <c r="AP75" s="584"/>
      <c r="AQ75" s="583"/>
      <c r="AR75" s="585"/>
      <c r="AS75" s="583"/>
      <c r="AT75" s="584"/>
      <c r="AU75" s="583"/>
      <c r="AV75" s="585"/>
      <c r="AW75" s="583"/>
      <c r="AX75" s="584"/>
      <c r="AY75" s="583"/>
      <c r="AZ75" s="585"/>
      <c r="BA75" s="583"/>
      <c r="BB75" s="584"/>
      <c r="BC75" s="583"/>
      <c r="BD75" s="585"/>
      <c r="BE75" s="583"/>
      <c r="BF75" s="584"/>
      <c r="BG75" s="583"/>
      <c r="BH75" s="585"/>
      <c r="BI75" s="583"/>
      <c r="BJ75" s="584"/>
      <c r="BK75" s="583"/>
      <c r="BL75" s="585"/>
      <c r="BM75" s="583"/>
      <c r="BN75" s="584"/>
      <c r="BO75" s="583"/>
      <c r="BP75" s="585"/>
      <c r="BQ75" s="583"/>
      <c r="BR75" s="584"/>
      <c r="BS75" s="583"/>
      <c r="BT75" s="586"/>
      <c r="BU75" s="540"/>
      <c r="BV75" s="540"/>
      <c r="BW75" s="540"/>
      <c r="BX75" s="538"/>
      <c r="BY75" s="538"/>
      <c r="BZ75" s="592"/>
      <c r="CA75" s="633"/>
      <c r="CB75" s="592" t="s">
        <v>365</v>
      </c>
      <c r="CC75" s="592">
        <v>0.0</v>
      </c>
      <c r="CD75" s="592" t="s">
        <v>365</v>
      </c>
      <c r="CE75" s="592">
        <v>0.0</v>
      </c>
      <c r="CF75" s="592"/>
      <c r="CG75" s="592">
        <v>0.0</v>
      </c>
      <c r="CH75" s="592"/>
      <c r="CI75" s="633"/>
      <c r="CJ75" s="592">
        <v>0.0</v>
      </c>
      <c r="CK75" s="479" t="s">
        <v>365</v>
      </c>
      <c r="CL75" s="592"/>
      <c r="CM75" s="593"/>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c r="DS75" s="538"/>
      <c r="DT75" s="538"/>
      <c r="DU75" s="538"/>
      <c r="DV75" s="538"/>
      <c r="DW75" s="538"/>
      <c r="DX75" s="538"/>
      <c r="DY75" s="538"/>
      <c r="DZ75" s="538"/>
      <c r="EA75" s="538"/>
      <c r="EB75" s="538"/>
      <c r="EC75" s="538"/>
      <c r="ED75" s="538"/>
      <c r="EE75" s="538"/>
      <c r="EF75" s="538"/>
      <c r="EG75" s="538"/>
      <c r="EH75" s="538"/>
      <c r="EI75" s="538"/>
      <c r="EJ75" s="538"/>
      <c r="EK75" s="538"/>
      <c r="EL75" s="538"/>
      <c r="EM75" s="538"/>
      <c r="EN75" s="538"/>
      <c r="EO75" s="538"/>
      <c r="EP75" s="538"/>
      <c r="EQ75" s="538"/>
      <c r="ER75" s="538"/>
      <c r="ES75" s="538"/>
      <c r="ET75" s="538"/>
      <c r="EU75" s="538"/>
      <c r="EV75" s="538"/>
      <c r="EW75" s="538"/>
      <c r="EX75" s="559"/>
      <c r="EY75" s="559"/>
      <c r="EZ75" s="559"/>
      <c r="FA75" s="559"/>
      <c r="FB75" s="559"/>
      <c r="FC75" s="559"/>
      <c r="FD75" s="559"/>
      <c r="FE75" s="559"/>
      <c r="FF75" s="559"/>
      <c r="FG75" s="559"/>
      <c r="FH75" s="559"/>
      <c r="FI75" s="559"/>
      <c r="FJ75" s="559"/>
      <c r="FK75" s="559"/>
      <c r="FL75" s="559"/>
      <c r="FM75" s="559"/>
      <c r="FN75" s="559"/>
      <c r="FO75" s="559"/>
      <c r="FP75" s="559"/>
      <c r="FQ75" s="559"/>
      <c r="FR75" s="559"/>
      <c r="FS75" s="559"/>
      <c r="FT75" s="559"/>
      <c r="FU75" s="559"/>
      <c r="FV75" s="559"/>
      <c r="FW75" s="559"/>
      <c r="FX75" s="559"/>
      <c r="FY75" s="559"/>
      <c r="FZ75" s="559"/>
      <c r="GA75" s="559"/>
      <c r="GB75" s="559"/>
      <c r="GC75" s="559"/>
      <c r="GD75" s="559"/>
      <c r="GE75" s="559"/>
      <c r="GF75" s="559"/>
      <c r="GG75" s="559"/>
      <c r="GH75" s="559"/>
    </row>
    <row r="76">
      <c r="A76" s="538"/>
      <c r="B76" s="156"/>
      <c r="C76" s="444"/>
      <c r="D76" s="614"/>
      <c r="E76" s="606"/>
      <c r="F76" s="563"/>
      <c r="G76" s="563"/>
      <c r="H76" s="564"/>
      <c r="I76" s="622" t="s">
        <v>365</v>
      </c>
      <c r="J76" s="607"/>
      <c r="K76" s="641"/>
      <c r="L76" s="628"/>
      <c r="M76" s="626"/>
      <c r="N76" s="619"/>
      <c r="O76" s="623"/>
      <c r="P76" s="47"/>
      <c r="Q76" s="47"/>
      <c r="S76" s="572"/>
      <c r="U76" s="573"/>
      <c r="V76" s="574"/>
      <c r="W76" s="618"/>
      <c r="X76" s="576">
        <v>0.0</v>
      </c>
      <c r="Y76" s="630">
        <v>0.0</v>
      </c>
      <c r="Z76" s="630" t="s">
        <v>365</v>
      </c>
      <c r="AA76" s="631" t="b">
        <v>0</v>
      </c>
      <c r="AB76" s="631"/>
      <c r="AC76" s="576"/>
      <c r="AD76" s="479">
        <v>0.0</v>
      </c>
      <c r="AE76" s="632"/>
      <c r="AF76" s="582" t="s">
        <v>365</v>
      </c>
      <c r="AG76" s="583"/>
      <c r="AH76" s="584"/>
      <c r="AI76" s="583"/>
      <c r="AJ76" s="585"/>
      <c r="AK76" s="583"/>
      <c r="AL76" s="584"/>
      <c r="AM76" s="583"/>
      <c r="AN76" s="585"/>
      <c r="AO76" s="583"/>
      <c r="AP76" s="584"/>
      <c r="AQ76" s="583"/>
      <c r="AR76" s="585"/>
      <c r="AS76" s="583"/>
      <c r="AT76" s="584"/>
      <c r="AU76" s="583"/>
      <c r="AV76" s="585"/>
      <c r="AW76" s="583"/>
      <c r="AX76" s="584"/>
      <c r="AY76" s="583"/>
      <c r="AZ76" s="585"/>
      <c r="BA76" s="583"/>
      <c r="BB76" s="584"/>
      <c r="BC76" s="583"/>
      <c r="BD76" s="585"/>
      <c r="BE76" s="583"/>
      <c r="BF76" s="584"/>
      <c r="BG76" s="583"/>
      <c r="BH76" s="585"/>
      <c r="BI76" s="583"/>
      <c r="BJ76" s="584"/>
      <c r="BK76" s="583"/>
      <c r="BL76" s="585"/>
      <c r="BM76" s="583"/>
      <c r="BN76" s="584"/>
      <c r="BO76" s="583"/>
      <c r="BP76" s="585"/>
      <c r="BQ76" s="583"/>
      <c r="BR76" s="584"/>
      <c r="BS76" s="583"/>
      <c r="BT76" s="586"/>
      <c r="BU76" s="540"/>
      <c r="BV76" s="540"/>
      <c r="BW76" s="540"/>
      <c r="BX76" s="538"/>
      <c r="BY76" s="538"/>
      <c r="BZ76" s="592"/>
      <c r="CA76" s="633"/>
      <c r="CB76" s="592" t="s">
        <v>365</v>
      </c>
      <c r="CC76" s="592">
        <v>0.0</v>
      </c>
      <c r="CD76" s="592" t="s">
        <v>365</v>
      </c>
      <c r="CE76" s="592">
        <v>0.0</v>
      </c>
      <c r="CF76" s="592"/>
      <c r="CG76" s="592">
        <v>0.0</v>
      </c>
      <c r="CH76" s="592"/>
      <c r="CI76" s="633"/>
      <c r="CJ76" s="592">
        <v>0.0</v>
      </c>
      <c r="CK76" s="479" t="s">
        <v>365</v>
      </c>
      <c r="CL76" s="592"/>
      <c r="CM76" s="593"/>
      <c r="CN76" s="538"/>
      <c r="CO76" s="538"/>
      <c r="CP76" s="538"/>
      <c r="CQ76" s="538"/>
      <c r="CR76" s="538"/>
      <c r="CS76" s="538"/>
      <c r="CT76" s="538"/>
      <c r="CU76" s="538"/>
      <c r="CV76" s="538"/>
      <c r="CW76" s="538"/>
      <c r="CX76" s="538"/>
      <c r="CY76" s="538"/>
      <c r="CZ76" s="538"/>
      <c r="DA76" s="538"/>
      <c r="DB76" s="538"/>
      <c r="DC76" s="538"/>
      <c r="DD76" s="538"/>
      <c r="DE76" s="538"/>
      <c r="DF76" s="538"/>
      <c r="DG76" s="538"/>
      <c r="DH76" s="538"/>
      <c r="DI76" s="538"/>
      <c r="DJ76" s="538"/>
      <c r="DK76" s="538"/>
      <c r="DL76" s="538"/>
      <c r="DM76" s="538"/>
      <c r="DN76" s="538"/>
      <c r="DO76" s="538"/>
      <c r="DP76" s="538"/>
      <c r="DQ76" s="538"/>
      <c r="DR76" s="538"/>
      <c r="DS76" s="538"/>
      <c r="DT76" s="538"/>
      <c r="DU76" s="538"/>
      <c r="DV76" s="538"/>
      <c r="DW76" s="538"/>
      <c r="DX76" s="538"/>
      <c r="DY76" s="538"/>
      <c r="DZ76" s="538"/>
      <c r="EA76" s="538"/>
      <c r="EB76" s="538"/>
      <c r="EC76" s="538"/>
      <c r="ED76" s="538"/>
      <c r="EE76" s="538"/>
      <c r="EF76" s="538"/>
      <c r="EG76" s="538"/>
      <c r="EH76" s="538"/>
      <c r="EI76" s="538"/>
      <c r="EJ76" s="538"/>
      <c r="EK76" s="538"/>
      <c r="EL76" s="538"/>
      <c r="EM76" s="538"/>
      <c r="EN76" s="538"/>
      <c r="EO76" s="538"/>
      <c r="EP76" s="538"/>
      <c r="EQ76" s="538"/>
      <c r="ER76" s="538"/>
      <c r="ES76" s="538"/>
      <c r="ET76" s="538"/>
      <c r="EU76" s="538"/>
      <c r="EV76" s="538"/>
      <c r="EW76" s="538"/>
      <c r="EX76" s="559"/>
      <c r="EY76" s="559"/>
      <c r="EZ76" s="559"/>
      <c r="FA76" s="559"/>
      <c r="FB76" s="559"/>
      <c r="FC76" s="559"/>
      <c r="FD76" s="559"/>
      <c r="FE76" s="559"/>
      <c r="FF76" s="559"/>
      <c r="FG76" s="559"/>
      <c r="FH76" s="559"/>
      <c r="FI76" s="559"/>
      <c r="FJ76" s="559"/>
      <c r="FK76" s="559"/>
      <c r="FL76" s="559"/>
      <c r="FM76" s="559"/>
      <c r="FN76" s="559"/>
      <c r="FO76" s="559"/>
      <c r="FP76" s="559"/>
      <c r="FQ76" s="559"/>
      <c r="FR76" s="559"/>
      <c r="FS76" s="559"/>
      <c r="FT76" s="559"/>
      <c r="FU76" s="559"/>
      <c r="FV76" s="559"/>
      <c r="FW76" s="559"/>
      <c r="FX76" s="559"/>
      <c r="FY76" s="559"/>
      <c r="FZ76" s="559"/>
      <c r="GA76" s="559"/>
      <c r="GB76" s="559"/>
      <c r="GC76" s="559"/>
      <c r="GD76" s="559"/>
      <c r="GE76" s="559"/>
      <c r="GF76" s="559"/>
      <c r="GG76" s="559"/>
      <c r="GH76" s="559"/>
    </row>
    <row r="77">
      <c r="A77" s="538"/>
      <c r="B77" s="156"/>
      <c r="C77" s="444"/>
      <c r="D77" s="614"/>
      <c r="E77" s="595"/>
      <c r="F77" s="596"/>
      <c r="G77" s="596"/>
      <c r="H77" s="615"/>
      <c r="I77" s="616" t="s">
        <v>365</v>
      </c>
      <c r="J77" s="624"/>
      <c r="K77" s="600"/>
      <c r="L77" s="601"/>
      <c r="M77" s="625"/>
      <c r="N77" s="617"/>
      <c r="O77" s="621"/>
      <c r="P77" s="57"/>
      <c r="Q77" s="57"/>
      <c r="S77" s="605"/>
      <c r="U77" s="573"/>
      <c r="V77" s="574"/>
      <c r="W77" s="618"/>
      <c r="X77" s="576">
        <v>0.0</v>
      </c>
      <c r="Y77" s="630">
        <v>0.0</v>
      </c>
      <c r="Z77" s="630" t="s">
        <v>365</v>
      </c>
      <c r="AA77" s="631" t="b">
        <v>0</v>
      </c>
      <c r="AB77" s="631"/>
      <c r="AC77" s="576"/>
      <c r="AD77" s="479">
        <v>0.0</v>
      </c>
      <c r="AE77" s="632"/>
      <c r="AF77" s="582" t="s">
        <v>365</v>
      </c>
      <c r="AG77" s="583"/>
      <c r="AH77" s="584"/>
      <c r="AI77" s="583"/>
      <c r="AJ77" s="585"/>
      <c r="AK77" s="583"/>
      <c r="AL77" s="584"/>
      <c r="AM77" s="583"/>
      <c r="AN77" s="585"/>
      <c r="AO77" s="583"/>
      <c r="AP77" s="584"/>
      <c r="AQ77" s="583"/>
      <c r="AR77" s="585"/>
      <c r="AS77" s="583"/>
      <c r="AT77" s="584"/>
      <c r="AU77" s="583"/>
      <c r="AV77" s="585"/>
      <c r="AW77" s="583"/>
      <c r="AX77" s="584"/>
      <c r="AY77" s="583"/>
      <c r="AZ77" s="585"/>
      <c r="BA77" s="583"/>
      <c r="BB77" s="584"/>
      <c r="BC77" s="583"/>
      <c r="BD77" s="585"/>
      <c r="BE77" s="583"/>
      <c r="BF77" s="584"/>
      <c r="BG77" s="583"/>
      <c r="BH77" s="585"/>
      <c r="BI77" s="583"/>
      <c r="BJ77" s="584"/>
      <c r="BK77" s="583"/>
      <c r="BL77" s="585"/>
      <c r="BM77" s="583"/>
      <c r="BN77" s="584"/>
      <c r="BO77" s="583"/>
      <c r="BP77" s="585"/>
      <c r="BQ77" s="583"/>
      <c r="BR77" s="584"/>
      <c r="BS77" s="583"/>
      <c r="BT77" s="586"/>
      <c r="BU77" s="540"/>
      <c r="BV77" s="540"/>
      <c r="BW77" s="540"/>
      <c r="BX77" s="538"/>
      <c r="BY77" s="538"/>
      <c r="BZ77" s="592"/>
      <c r="CA77" s="633"/>
      <c r="CB77" s="592" t="s">
        <v>365</v>
      </c>
      <c r="CC77" s="592">
        <v>0.0</v>
      </c>
      <c r="CD77" s="592" t="s">
        <v>365</v>
      </c>
      <c r="CE77" s="592">
        <v>0.0</v>
      </c>
      <c r="CF77" s="592"/>
      <c r="CG77" s="592">
        <v>0.0</v>
      </c>
      <c r="CH77" s="592"/>
      <c r="CI77" s="633"/>
      <c r="CJ77" s="592">
        <v>0.0</v>
      </c>
      <c r="CK77" s="479" t="s">
        <v>365</v>
      </c>
      <c r="CL77" s="592"/>
      <c r="CM77" s="593"/>
      <c r="CN77" s="538"/>
      <c r="CO77" s="538"/>
      <c r="CP77" s="538"/>
      <c r="CQ77" s="538"/>
      <c r="CR77" s="538"/>
      <c r="CS77" s="538"/>
      <c r="CT77" s="538"/>
      <c r="CU77" s="538"/>
      <c r="CV77" s="538"/>
      <c r="CW77" s="538"/>
      <c r="CX77" s="538"/>
      <c r="CY77" s="538"/>
      <c r="CZ77" s="538"/>
      <c r="DA77" s="538"/>
      <c r="DB77" s="538"/>
      <c r="DC77" s="538"/>
      <c r="DD77" s="538"/>
      <c r="DE77" s="538"/>
      <c r="DF77" s="538"/>
      <c r="DG77" s="538"/>
      <c r="DH77" s="538"/>
      <c r="DI77" s="538"/>
      <c r="DJ77" s="538"/>
      <c r="DK77" s="538"/>
      <c r="DL77" s="538"/>
      <c r="DM77" s="538"/>
      <c r="DN77" s="538"/>
      <c r="DO77" s="538"/>
      <c r="DP77" s="538"/>
      <c r="DQ77" s="538"/>
      <c r="DR77" s="538"/>
      <c r="DS77" s="538"/>
      <c r="DT77" s="538"/>
      <c r="DU77" s="538"/>
      <c r="DV77" s="538"/>
      <c r="DW77" s="538"/>
      <c r="DX77" s="538"/>
      <c r="DY77" s="538"/>
      <c r="DZ77" s="538"/>
      <c r="EA77" s="538"/>
      <c r="EB77" s="538"/>
      <c r="EC77" s="538"/>
      <c r="ED77" s="538"/>
      <c r="EE77" s="538"/>
      <c r="EF77" s="538"/>
      <c r="EG77" s="538"/>
      <c r="EH77" s="538"/>
      <c r="EI77" s="538"/>
      <c r="EJ77" s="538"/>
      <c r="EK77" s="538"/>
      <c r="EL77" s="538"/>
      <c r="EM77" s="538"/>
      <c r="EN77" s="538"/>
      <c r="EO77" s="538"/>
      <c r="EP77" s="538"/>
      <c r="EQ77" s="538"/>
      <c r="ER77" s="538"/>
      <c r="ES77" s="538"/>
      <c r="ET77" s="538"/>
      <c r="EU77" s="538"/>
      <c r="EV77" s="538"/>
      <c r="EW77" s="538"/>
      <c r="EX77" s="559"/>
      <c r="EY77" s="559"/>
      <c r="EZ77" s="559"/>
      <c r="FA77" s="559"/>
      <c r="FB77" s="559"/>
      <c r="FC77" s="559"/>
      <c r="FD77" s="559"/>
      <c r="FE77" s="559"/>
      <c r="FF77" s="559"/>
      <c r="FG77" s="559"/>
      <c r="FH77" s="559"/>
      <c r="FI77" s="559"/>
      <c r="FJ77" s="559"/>
      <c r="FK77" s="559"/>
      <c r="FL77" s="559"/>
      <c r="FM77" s="559"/>
      <c r="FN77" s="559"/>
      <c r="FO77" s="559"/>
      <c r="FP77" s="559"/>
      <c r="FQ77" s="559"/>
      <c r="FR77" s="559"/>
      <c r="FS77" s="559"/>
      <c r="FT77" s="559"/>
      <c r="FU77" s="559"/>
      <c r="FV77" s="559"/>
      <c r="FW77" s="559"/>
      <c r="FX77" s="559"/>
      <c r="FY77" s="559"/>
      <c r="FZ77" s="559"/>
      <c r="GA77" s="559"/>
      <c r="GB77" s="559"/>
      <c r="GC77" s="559"/>
      <c r="GD77" s="559"/>
      <c r="GE77" s="559"/>
      <c r="GF77" s="559"/>
      <c r="GG77" s="559"/>
      <c r="GH77" s="559"/>
    </row>
    <row r="78">
      <c r="A78" s="538"/>
      <c r="B78" s="156"/>
      <c r="C78" s="444"/>
      <c r="D78" s="614"/>
      <c r="E78" s="606"/>
      <c r="F78" s="563"/>
      <c r="G78" s="563"/>
      <c r="H78" s="627"/>
      <c r="I78" s="622" t="s">
        <v>365</v>
      </c>
      <c r="J78" s="607"/>
      <c r="K78" s="567"/>
      <c r="L78" s="628"/>
      <c r="M78" s="626"/>
      <c r="N78" s="619"/>
      <c r="O78" s="623"/>
      <c r="P78" s="47"/>
      <c r="Q78" s="47"/>
      <c r="S78" s="572"/>
      <c r="U78" s="573"/>
      <c r="V78" s="574"/>
      <c r="W78" s="618"/>
      <c r="X78" s="576">
        <v>0.0</v>
      </c>
      <c r="Y78" s="630">
        <v>0.0</v>
      </c>
      <c r="Z78" s="630" t="s">
        <v>365</v>
      </c>
      <c r="AA78" s="631" t="b">
        <v>0</v>
      </c>
      <c r="AB78" s="631"/>
      <c r="AC78" s="576"/>
      <c r="AD78" s="479">
        <v>0.0</v>
      </c>
      <c r="AE78" s="632"/>
      <c r="AF78" s="582" t="s">
        <v>365</v>
      </c>
      <c r="AG78" s="583"/>
      <c r="AH78" s="584"/>
      <c r="AI78" s="583"/>
      <c r="AJ78" s="585"/>
      <c r="AK78" s="583"/>
      <c r="AL78" s="584"/>
      <c r="AM78" s="583"/>
      <c r="AN78" s="585"/>
      <c r="AO78" s="583"/>
      <c r="AP78" s="584"/>
      <c r="AQ78" s="583"/>
      <c r="AR78" s="585"/>
      <c r="AS78" s="583"/>
      <c r="AT78" s="584"/>
      <c r="AU78" s="583"/>
      <c r="AV78" s="585"/>
      <c r="AW78" s="583"/>
      <c r="AX78" s="584"/>
      <c r="AY78" s="583"/>
      <c r="AZ78" s="585"/>
      <c r="BA78" s="583"/>
      <c r="BB78" s="584"/>
      <c r="BC78" s="583"/>
      <c r="BD78" s="585"/>
      <c r="BE78" s="583"/>
      <c r="BF78" s="584"/>
      <c r="BG78" s="583"/>
      <c r="BH78" s="585"/>
      <c r="BI78" s="583"/>
      <c r="BJ78" s="584"/>
      <c r="BK78" s="583"/>
      <c r="BL78" s="585"/>
      <c r="BM78" s="583"/>
      <c r="BN78" s="584"/>
      <c r="BO78" s="583"/>
      <c r="BP78" s="585"/>
      <c r="BQ78" s="583"/>
      <c r="BR78" s="584"/>
      <c r="BS78" s="583"/>
      <c r="BT78" s="586"/>
      <c r="BU78" s="540"/>
      <c r="BV78" s="540"/>
      <c r="BW78" s="540"/>
      <c r="BX78" s="538"/>
      <c r="BY78" s="538"/>
      <c r="BZ78" s="592"/>
      <c r="CA78" s="633"/>
      <c r="CB78" s="592" t="s">
        <v>365</v>
      </c>
      <c r="CC78" s="592">
        <v>0.0</v>
      </c>
      <c r="CD78" s="592" t="s">
        <v>365</v>
      </c>
      <c r="CE78" s="592">
        <v>0.0</v>
      </c>
      <c r="CF78" s="592"/>
      <c r="CG78" s="592">
        <v>0.0</v>
      </c>
      <c r="CH78" s="592"/>
      <c r="CI78" s="633"/>
      <c r="CJ78" s="592">
        <v>0.0</v>
      </c>
      <c r="CK78" s="479" t="s">
        <v>365</v>
      </c>
      <c r="CL78" s="592"/>
      <c r="CM78" s="593"/>
      <c r="CN78" s="538"/>
      <c r="CO78" s="538"/>
      <c r="CP78" s="538"/>
      <c r="CQ78" s="538"/>
      <c r="CR78" s="538"/>
      <c r="CS78" s="538"/>
      <c r="CT78" s="538"/>
      <c r="CU78" s="538"/>
      <c r="CV78" s="538"/>
      <c r="CW78" s="538"/>
      <c r="CX78" s="538"/>
      <c r="CY78" s="538"/>
      <c r="CZ78" s="538"/>
      <c r="DA78" s="538"/>
      <c r="DB78" s="538"/>
      <c r="DC78" s="538"/>
      <c r="DD78" s="538"/>
      <c r="DE78" s="538"/>
      <c r="DF78" s="538"/>
      <c r="DG78" s="538"/>
      <c r="DH78" s="538"/>
      <c r="DI78" s="538"/>
      <c r="DJ78" s="538"/>
      <c r="DK78" s="538"/>
      <c r="DL78" s="538"/>
      <c r="DM78" s="538"/>
      <c r="DN78" s="538"/>
      <c r="DO78" s="538"/>
      <c r="DP78" s="538"/>
      <c r="DQ78" s="538"/>
      <c r="DR78" s="538"/>
      <c r="DS78" s="538"/>
      <c r="DT78" s="538"/>
      <c r="DU78" s="538"/>
      <c r="DV78" s="538"/>
      <c r="DW78" s="538"/>
      <c r="DX78" s="538"/>
      <c r="DY78" s="538"/>
      <c r="DZ78" s="538"/>
      <c r="EA78" s="538"/>
      <c r="EB78" s="538"/>
      <c r="EC78" s="538"/>
      <c r="ED78" s="538"/>
      <c r="EE78" s="538"/>
      <c r="EF78" s="538"/>
      <c r="EG78" s="538"/>
      <c r="EH78" s="538"/>
      <c r="EI78" s="538"/>
      <c r="EJ78" s="538"/>
      <c r="EK78" s="538"/>
      <c r="EL78" s="538"/>
      <c r="EM78" s="538"/>
      <c r="EN78" s="538"/>
      <c r="EO78" s="538"/>
      <c r="EP78" s="538"/>
      <c r="EQ78" s="538"/>
      <c r="ER78" s="538"/>
      <c r="ES78" s="538"/>
      <c r="ET78" s="538"/>
      <c r="EU78" s="538"/>
      <c r="EV78" s="538"/>
      <c r="EW78" s="538"/>
      <c r="EX78" s="559"/>
      <c r="EY78" s="559"/>
      <c r="EZ78" s="559"/>
      <c r="FA78" s="559"/>
      <c r="FB78" s="559"/>
      <c r="FC78" s="559"/>
      <c r="FD78" s="559"/>
      <c r="FE78" s="559"/>
      <c r="FF78" s="559"/>
      <c r="FG78" s="559"/>
      <c r="FH78" s="559"/>
      <c r="FI78" s="559"/>
      <c r="FJ78" s="559"/>
      <c r="FK78" s="559"/>
      <c r="FL78" s="559"/>
      <c r="FM78" s="559"/>
      <c r="FN78" s="559"/>
      <c r="FO78" s="559"/>
      <c r="FP78" s="559"/>
      <c r="FQ78" s="559"/>
      <c r="FR78" s="559"/>
      <c r="FS78" s="559"/>
      <c r="FT78" s="559"/>
      <c r="FU78" s="559"/>
      <c r="FV78" s="559"/>
      <c r="FW78" s="559"/>
      <c r="FX78" s="559"/>
      <c r="FY78" s="559"/>
      <c r="FZ78" s="559"/>
      <c r="GA78" s="559"/>
      <c r="GB78" s="559"/>
      <c r="GC78" s="559"/>
      <c r="GD78" s="559"/>
      <c r="GE78" s="559"/>
      <c r="GF78" s="559"/>
      <c r="GG78" s="559"/>
      <c r="GH78" s="559"/>
    </row>
    <row r="79">
      <c r="A79" s="538"/>
      <c r="B79" s="156"/>
      <c r="C79" s="444"/>
      <c r="D79" s="614"/>
      <c r="E79" s="595"/>
      <c r="F79" s="596"/>
      <c r="G79" s="596"/>
      <c r="H79" s="615"/>
      <c r="I79" s="616" t="s">
        <v>365</v>
      </c>
      <c r="J79" s="624"/>
      <c r="K79" s="600"/>
      <c r="L79" s="601"/>
      <c r="M79" s="625"/>
      <c r="N79" s="617"/>
      <c r="O79" s="621"/>
      <c r="P79" s="57"/>
      <c r="Q79" s="57"/>
      <c r="S79" s="605"/>
      <c r="U79" s="573"/>
      <c r="V79" s="574"/>
      <c r="W79" s="618"/>
      <c r="X79" s="576">
        <v>0.0</v>
      </c>
      <c r="Y79" s="630">
        <v>0.0</v>
      </c>
      <c r="Z79" s="630" t="s">
        <v>365</v>
      </c>
      <c r="AA79" s="631" t="b">
        <v>0</v>
      </c>
      <c r="AB79" s="631"/>
      <c r="AC79" s="576"/>
      <c r="AD79" s="479">
        <v>0.0</v>
      </c>
      <c r="AE79" s="632"/>
      <c r="AF79" s="582" t="s">
        <v>365</v>
      </c>
      <c r="AG79" s="583"/>
      <c r="AH79" s="584"/>
      <c r="AI79" s="583"/>
      <c r="AJ79" s="585"/>
      <c r="AK79" s="583"/>
      <c r="AL79" s="584"/>
      <c r="AM79" s="583"/>
      <c r="AN79" s="585"/>
      <c r="AO79" s="583"/>
      <c r="AP79" s="584"/>
      <c r="AQ79" s="583"/>
      <c r="AR79" s="585"/>
      <c r="AS79" s="583"/>
      <c r="AT79" s="584"/>
      <c r="AU79" s="583"/>
      <c r="AV79" s="585"/>
      <c r="AW79" s="583"/>
      <c r="AX79" s="584"/>
      <c r="AY79" s="583"/>
      <c r="AZ79" s="585"/>
      <c r="BA79" s="583"/>
      <c r="BB79" s="584"/>
      <c r="BC79" s="583"/>
      <c r="BD79" s="585"/>
      <c r="BE79" s="583"/>
      <c r="BF79" s="584"/>
      <c r="BG79" s="583"/>
      <c r="BH79" s="585"/>
      <c r="BI79" s="583"/>
      <c r="BJ79" s="584"/>
      <c r="BK79" s="583"/>
      <c r="BL79" s="585"/>
      <c r="BM79" s="583"/>
      <c r="BN79" s="584"/>
      <c r="BO79" s="583"/>
      <c r="BP79" s="585"/>
      <c r="BQ79" s="583"/>
      <c r="BR79" s="584"/>
      <c r="BS79" s="583"/>
      <c r="BT79" s="586"/>
      <c r="BU79" s="540"/>
      <c r="BV79" s="540"/>
      <c r="BW79" s="540"/>
      <c r="BX79" s="538"/>
      <c r="BY79" s="538"/>
      <c r="BZ79" s="592"/>
      <c r="CA79" s="633"/>
      <c r="CB79" s="592" t="s">
        <v>365</v>
      </c>
      <c r="CC79" s="592">
        <v>0.0</v>
      </c>
      <c r="CD79" s="592" t="s">
        <v>365</v>
      </c>
      <c r="CE79" s="592">
        <v>0.0</v>
      </c>
      <c r="CF79" s="592"/>
      <c r="CG79" s="592">
        <v>0.0</v>
      </c>
      <c r="CH79" s="592"/>
      <c r="CI79" s="633"/>
      <c r="CJ79" s="592">
        <v>0.0</v>
      </c>
      <c r="CK79" s="479" t="s">
        <v>365</v>
      </c>
      <c r="CL79" s="592"/>
      <c r="CM79" s="593"/>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c r="DS79" s="538"/>
      <c r="DT79" s="538"/>
      <c r="DU79" s="538"/>
      <c r="DV79" s="538"/>
      <c r="DW79" s="538"/>
      <c r="DX79" s="538"/>
      <c r="DY79" s="538"/>
      <c r="DZ79" s="538"/>
      <c r="EA79" s="538"/>
      <c r="EB79" s="538"/>
      <c r="EC79" s="538"/>
      <c r="ED79" s="538"/>
      <c r="EE79" s="538"/>
      <c r="EF79" s="538"/>
      <c r="EG79" s="538"/>
      <c r="EH79" s="538"/>
      <c r="EI79" s="538"/>
      <c r="EJ79" s="538"/>
      <c r="EK79" s="538"/>
      <c r="EL79" s="538"/>
      <c r="EM79" s="538"/>
      <c r="EN79" s="538"/>
      <c r="EO79" s="538"/>
      <c r="EP79" s="538"/>
      <c r="EQ79" s="538"/>
      <c r="ER79" s="538"/>
      <c r="ES79" s="538"/>
      <c r="ET79" s="538"/>
      <c r="EU79" s="538"/>
      <c r="EV79" s="538"/>
      <c r="EW79" s="538"/>
      <c r="EX79" s="559"/>
      <c r="EY79" s="559"/>
      <c r="EZ79" s="559"/>
      <c r="FA79" s="559"/>
      <c r="FB79" s="559"/>
      <c r="FC79" s="559"/>
      <c r="FD79" s="559"/>
      <c r="FE79" s="559"/>
      <c r="FF79" s="559"/>
      <c r="FG79" s="559"/>
      <c r="FH79" s="559"/>
      <c r="FI79" s="559"/>
      <c r="FJ79" s="559"/>
      <c r="FK79" s="559"/>
      <c r="FL79" s="559"/>
      <c r="FM79" s="559"/>
      <c r="FN79" s="559"/>
      <c r="FO79" s="559"/>
      <c r="FP79" s="559"/>
      <c r="FQ79" s="559"/>
      <c r="FR79" s="559"/>
      <c r="FS79" s="559"/>
      <c r="FT79" s="559"/>
      <c r="FU79" s="559"/>
      <c r="FV79" s="559"/>
      <c r="FW79" s="559"/>
      <c r="FX79" s="559"/>
      <c r="FY79" s="559"/>
      <c r="FZ79" s="559"/>
      <c r="GA79" s="559"/>
      <c r="GB79" s="559"/>
      <c r="GC79" s="559"/>
      <c r="GD79" s="559"/>
      <c r="GE79" s="559"/>
      <c r="GF79" s="559"/>
      <c r="GG79" s="559"/>
      <c r="GH79" s="559"/>
    </row>
    <row r="80">
      <c r="A80" s="538"/>
      <c r="B80" s="156"/>
      <c r="C80" s="444"/>
      <c r="D80" s="614"/>
      <c r="E80" s="606"/>
      <c r="F80" s="563"/>
      <c r="G80" s="563"/>
      <c r="H80" s="627"/>
      <c r="I80" s="622" t="s">
        <v>365</v>
      </c>
      <c r="J80" s="607"/>
      <c r="K80" s="567"/>
      <c r="L80" s="568"/>
      <c r="M80" s="626"/>
      <c r="N80" s="619"/>
      <c r="O80" s="623"/>
      <c r="P80" s="47"/>
      <c r="Q80" s="47"/>
      <c r="S80" s="572"/>
      <c r="U80" s="573"/>
      <c r="V80" s="574"/>
      <c r="W80" s="618"/>
      <c r="X80" s="576">
        <v>0.0</v>
      </c>
      <c r="Y80" s="630">
        <v>0.0</v>
      </c>
      <c r="Z80" s="630" t="s">
        <v>365</v>
      </c>
      <c r="AA80" s="631" t="b">
        <v>0</v>
      </c>
      <c r="AB80" s="631"/>
      <c r="AC80" s="576"/>
      <c r="AD80" s="479">
        <v>0.0</v>
      </c>
      <c r="AE80" s="632"/>
      <c r="AF80" s="582" t="s">
        <v>365</v>
      </c>
      <c r="AG80" s="583"/>
      <c r="AH80" s="584"/>
      <c r="AI80" s="583"/>
      <c r="AJ80" s="585"/>
      <c r="AK80" s="583"/>
      <c r="AL80" s="584"/>
      <c r="AM80" s="583"/>
      <c r="AN80" s="585"/>
      <c r="AO80" s="583"/>
      <c r="AP80" s="584"/>
      <c r="AQ80" s="583"/>
      <c r="AR80" s="585"/>
      <c r="AS80" s="583"/>
      <c r="AT80" s="584"/>
      <c r="AU80" s="583"/>
      <c r="AV80" s="585"/>
      <c r="AW80" s="583"/>
      <c r="AX80" s="584"/>
      <c r="AY80" s="583"/>
      <c r="AZ80" s="585"/>
      <c r="BA80" s="583"/>
      <c r="BB80" s="584"/>
      <c r="BC80" s="583"/>
      <c r="BD80" s="585"/>
      <c r="BE80" s="583"/>
      <c r="BF80" s="584"/>
      <c r="BG80" s="583"/>
      <c r="BH80" s="585"/>
      <c r="BI80" s="583"/>
      <c r="BJ80" s="584"/>
      <c r="BK80" s="583"/>
      <c r="BL80" s="585"/>
      <c r="BM80" s="583"/>
      <c r="BN80" s="584"/>
      <c r="BO80" s="583"/>
      <c r="BP80" s="585"/>
      <c r="BQ80" s="583"/>
      <c r="BR80" s="584"/>
      <c r="BS80" s="583"/>
      <c r="BT80" s="586"/>
      <c r="BU80" s="540"/>
      <c r="BV80" s="540"/>
      <c r="BW80" s="540"/>
      <c r="BX80" s="538"/>
      <c r="BY80" s="538"/>
      <c r="BZ80" s="592"/>
      <c r="CA80" s="633"/>
      <c r="CB80" s="592" t="s">
        <v>365</v>
      </c>
      <c r="CC80" s="592">
        <v>0.0</v>
      </c>
      <c r="CD80" s="592" t="s">
        <v>365</v>
      </c>
      <c r="CE80" s="592">
        <v>0.0</v>
      </c>
      <c r="CF80" s="592"/>
      <c r="CG80" s="592">
        <v>0.0</v>
      </c>
      <c r="CH80" s="592"/>
      <c r="CI80" s="633"/>
      <c r="CJ80" s="592">
        <v>0.0</v>
      </c>
      <c r="CK80" s="479" t="s">
        <v>365</v>
      </c>
      <c r="CL80" s="592"/>
      <c r="CM80" s="593"/>
      <c r="CN80" s="538"/>
      <c r="CO80" s="538"/>
      <c r="CP80" s="538"/>
      <c r="CQ80" s="538"/>
      <c r="CR80" s="538"/>
      <c r="CS80" s="538"/>
      <c r="CT80" s="538"/>
      <c r="CU80" s="538"/>
      <c r="CV80" s="538"/>
      <c r="CW80" s="538"/>
      <c r="CX80" s="538"/>
      <c r="CY80" s="538"/>
      <c r="CZ80" s="538"/>
      <c r="DA80" s="538"/>
      <c r="DB80" s="538"/>
      <c r="DC80" s="538"/>
      <c r="DD80" s="538"/>
      <c r="DE80" s="538"/>
      <c r="DF80" s="538"/>
      <c r="DG80" s="538"/>
      <c r="DH80" s="538"/>
      <c r="DI80" s="538"/>
      <c r="DJ80" s="538"/>
      <c r="DK80" s="538"/>
      <c r="DL80" s="538"/>
      <c r="DM80" s="538"/>
      <c r="DN80" s="538"/>
      <c r="DO80" s="538"/>
      <c r="DP80" s="538"/>
      <c r="DQ80" s="538"/>
      <c r="DR80" s="538"/>
      <c r="DS80" s="538"/>
      <c r="DT80" s="538"/>
      <c r="DU80" s="538"/>
      <c r="DV80" s="538"/>
      <c r="DW80" s="538"/>
      <c r="DX80" s="538"/>
      <c r="DY80" s="538"/>
      <c r="DZ80" s="538"/>
      <c r="EA80" s="538"/>
      <c r="EB80" s="538"/>
      <c r="EC80" s="538"/>
      <c r="ED80" s="538"/>
      <c r="EE80" s="538"/>
      <c r="EF80" s="538"/>
      <c r="EG80" s="538"/>
      <c r="EH80" s="538"/>
      <c r="EI80" s="538"/>
      <c r="EJ80" s="538"/>
      <c r="EK80" s="538"/>
      <c r="EL80" s="538"/>
      <c r="EM80" s="538"/>
      <c r="EN80" s="538"/>
      <c r="EO80" s="538"/>
      <c r="EP80" s="538"/>
      <c r="EQ80" s="538"/>
      <c r="ER80" s="538"/>
      <c r="ES80" s="538"/>
      <c r="ET80" s="538"/>
      <c r="EU80" s="538"/>
      <c r="EV80" s="538"/>
      <c r="EW80" s="538"/>
      <c r="EX80" s="559"/>
      <c r="EY80" s="559"/>
      <c r="EZ80" s="559"/>
      <c r="FA80" s="559"/>
      <c r="FB80" s="559"/>
      <c r="FC80" s="559"/>
      <c r="FD80" s="559"/>
      <c r="FE80" s="559"/>
      <c r="FF80" s="559"/>
      <c r="FG80" s="559"/>
      <c r="FH80" s="559"/>
      <c r="FI80" s="559"/>
      <c r="FJ80" s="559"/>
      <c r="FK80" s="559"/>
      <c r="FL80" s="559"/>
      <c r="FM80" s="559"/>
      <c r="FN80" s="559"/>
      <c r="FO80" s="559"/>
      <c r="FP80" s="559"/>
      <c r="FQ80" s="559"/>
      <c r="FR80" s="559"/>
      <c r="FS80" s="559"/>
      <c r="FT80" s="559"/>
      <c r="FU80" s="559"/>
      <c r="FV80" s="559"/>
      <c r="FW80" s="559"/>
      <c r="FX80" s="559"/>
      <c r="FY80" s="559"/>
      <c r="FZ80" s="559"/>
      <c r="GA80" s="559"/>
      <c r="GB80" s="559"/>
      <c r="GC80" s="559"/>
      <c r="GD80" s="559"/>
      <c r="GE80" s="559"/>
      <c r="GF80" s="559"/>
      <c r="GG80" s="559"/>
      <c r="GH80" s="559"/>
    </row>
    <row r="81">
      <c r="A81" s="538"/>
      <c r="B81" s="156"/>
      <c r="C81" s="444"/>
      <c r="D81" s="614"/>
      <c r="E81" s="66"/>
      <c r="F81" s="642"/>
      <c r="G81" s="642"/>
      <c r="H81" s="615"/>
      <c r="I81" s="616" t="s">
        <v>365</v>
      </c>
      <c r="J81" s="624"/>
      <c r="K81" s="643"/>
      <c r="L81" s="640"/>
      <c r="M81" s="625"/>
      <c r="N81" s="617"/>
      <c r="O81" s="621"/>
      <c r="P81" s="57"/>
      <c r="Q81" s="57"/>
      <c r="S81" s="605"/>
      <c r="U81" s="573"/>
      <c r="V81" s="574"/>
      <c r="W81" s="618"/>
      <c r="X81" s="576">
        <v>0.0</v>
      </c>
      <c r="Y81" s="630">
        <v>0.0</v>
      </c>
      <c r="Z81" s="630" t="s">
        <v>365</v>
      </c>
      <c r="AA81" s="631" t="b">
        <v>0</v>
      </c>
      <c r="AB81" s="631"/>
      <c r="AC81" s="576"/>
      <c r="AD81" s="479">
        <v>0.0</v>
      </c>
      <c r="AE81" s="632"/>
      <c r="AF81" s="582" t="s">
        <v>365</v>
      </c>
      <c r="AG81" s="583"/>
      <c r="AH81" s="584"/>
      <c r="AI81" s="583"/>
      <c r="AJ81" s="585"/>
      <c r="AK81" s="583"/>
      <c r="AL81" s="584"/>
      <c r="AM81" s="583"/>
      <c r="AN81" s="585"/>
      <c r="AO81" s="583"/>
      <c r="AP81" s="584"/>
      <c r="AQ81" s="583"/>
      <c r="AR81" s="585"/>
      <c r="AS81" s="583"/>
      <c r="AT81" s="584"/>
      <c r="AU81" s="583"/>
      <c r="AV81" s="585"/>
      <c r="AW81" s="583"/>
      <c r="AX81" s="584"/>
      <c r="AY81" s="583"/>
      <c r="AZ81" s="585"/>
      <c r="BA81" s="583"/>
      <c r="BB81" s="584"/>
      <c r="BC81" s="583"/>
      <c r="BD81" s="585"/>
      <c r="BE81" s="583"/>
      <c r="BF81" s="584"/>
      <c r="BG81" s="583"/>
      <c r="BH81" s="585"/>
      <c r="BI81" s="583"/>
      <c r="BJ81" s="584"/>
      <c r="BK81" s="583"/>
      <c r="BL81" s="585"/>
      <c r="BM81" s="583"/>
      <c r="BN81" s="584"/>
      <c r="BO81" s="583"/>
      <c r="BP81" s="585"/>
      <c r="BQ81" s="583"/>
      <c r="BR81" s="584"/>
      <c r="BS81" s="583"/>
      <c r="BT81" s="586"/>
      <c r="BU81" s="540"/>
      <c r="BV81" s="540"/>
      <c r="BW81" s="540"/>
      <c r="BX81" s="538"/>
      <c r="BY81" s="538"/>
      <c r="BZ81" s="592"/>
      <c r="CA81" s="633"/>
      <c r="CB81" s="592" t="s">
        <v>365</v>
      </c>
      <c r="CC81" s="592">
        <v>0.0</v>
      </c>
      <c r="CD81" s="592" t="s">
        <v>365</v>
      </c>
      <c r="CE81" s="592">
        <v>0.0</v>
      </c>
      <c r="CF81" s="592"/>
      <c r="CG81" s="592">
        <v>0.0</v>
      </c>
      <c r="CH81" s="592"/>
      <c r="CI81" s="633"/>
      <c r="CJ81" s="592">
        <v>0.0</v>
      </c>
      <c r="CK81" s="479" t="s">
        <v>365</v>
      </c>
      <c r="CL81" s="592"/>
      <c r="CM81" s="593"/>
      <c r="CN81" s="538"/>
      <c r="CO81" s="538"/>
      <c r="CP81" s="538"/>
      <c r="CQ81" s="538"/>
      <c r="CR81" s="538"/>
      <c r="CS81" s="538"/>
      <c r="CT81" s="538"/>
      <c r="CU81" s="538"/>
      <c r="CV81" s="538"/>
      <c r="CW81" s="538"/>
      <c r="CX81" s="538"/>
      <c r="CY81" s="538"/>
      <c r="CZ81" s="538"/>
      <c r="DA81" s="538"/>
      <c r="DB81" s="538"/>
      <c r="DC81" s="538"/>
      <c r="DD81" s="538"/>
      <c r="DE81" s="538"/>
      <c r="DF81" s="538"/>
      <c r="DG81" s="538"/>
      <c r="DH81" s="538"/>
      <c r="DI81" s="538"/>
      <c r="DJ81" s="538"/>
      <c r="DK81" s="538"/>
      <c r="DL81" s="538"/>
      <c r="DM81" s="538"/>
      <c r="DN81" s="538"/>
      <c r="DO81" s="538"/>
      <c r="DP81" s="538"/>
      <c r="DQ81" s="538"/>
      <c r="DR81" s="538"/>
      <c r="DS81" s="538"/>
      <c r="DT81" s="538"/>
      <c r="DU81" s="538"/>
      <c r="DV81" s="538"/>
      <c r="DW81" s="538"/>
      <c r="DX81" s="538"/>
      <c r="DY81" s="538"/>
      <c r="DZ81" s="538"/>
      <c r="EA81" s="538"/>
      <c r="EB81" s="538"/>
      <c r="EC81" s="538"/>
      <c r="ED81" s="538"/>
      <c r="EE81" s="538"/>
      <c r="EF81" s="538"/>
      <c r="EG81" s="538"/>
      <c r="EH81" s="538"/>
      <c r="EI81" s="538"/>
      <c r="EJ81" s="538"/>
      <c r="EK81" s="538"/>
      <c r="EL81" s="538"/>
      <c r="EM81" s="538"/>
      <c r="EN81" s="538"/>
      <c r="EO81" s="538"/>
      <c r="EP81" s="538"/>
      <c r="EQ81" s="538"/>
      <c r="ER81" s="538"/>
      <c r="ES81" s="538"/>
      <c r="ET81" s="538"/>
      <c r="EU81" s="538"/>
      <c r="EV81" s="538"/>
      <c r="EW81" s="538"/>
      <c r="EX81" s="559"/>
      <c r="EY81" s="559"/>
      <c r="EZ81" s="559"/>
      <c r="FA81" s="559"/>
      <c r="FB81" s="559"/>
      <c r="FC81" s="559"/>
      <c r="FD81" s="559"/>
      <c r="FE81" s="559"/>
      <c r="FF81" s="559"/>
      <c r="FG81" s="559"/>
      <c r="FH81" s="559"/>
      <c r="FI81" s="559"/>
      <c r="FJ81" s="559"/>
      <c r="FK81" s="559"/>
      <c r="FL81" s="559"/>
      <c r="FM81" s="559"/>
      <c r="FN81" s="559"/>
      <c r="FO81" s="559"/>
      <c r="FP81" s="559"/>
      <c r="FQ81" s="559"/>
      <c r="FR81" s="559"/>
      <c r="FS81" s="559"/>
      <c r="FT81" s="559"/>
      <c r="FU81" s="559"/>
      <c r="FV81" s="559"/>
      <c r="FW81" s="559"/>
      <c r="FX81" s="559"/>
      <c r="FY81" s="559"/>
      <c r="FZ81" s="559"/>
      <c r="GA81" s="559"/>
      <c r="GB81" s="559"/>
      <c r="GC81" s="559"/>
      <c r="GD81" s="559"/>
      <c r="GE81" s="559"/>
      <c r="GF81" s="559"/>
      <c r="GG81" s="559"/>
      <c r="GH81" s="559"/>
    </row>
    <row r="82">
      <c r="A82" s="538"/>
      <c r="B82" s="156"/>
      <c r="C82" s="444"/>
      <c r="D82" s="614"/>
      <c r="E82" s="606"/>
      <c r="F82" s="644"/>
      <c r="G82" s="644"/>
      <c r="H82" s="627"/>
      <c r="I82" s="622" t="s">
        <v>365</v>
      </c>
      <c r="J82" s="607"/>
      <c r="K82" s="641"/>
      <c r="L82" s="628"/>
      <c r="M82" s="626"/>
      <c r="N82" s="619"/>
      <c r="O82" s="623"/>
      <c r="P82" s="47"/>
      <c r="Q82" s="47"/>
      <c r="S82" s="572"/>
      <c r="U82" s="573"/>
      <c r="V82" s="574"/>
      <c r="W82" s="618"/>
      <c r="X82" s="576">
        <v>0.0</v>
      </c>
      <c r="Y82" s="630">
        <v>0.0</v>
      </c>
      <c r="Z82" s="630" t="s">
        <v>365</v>
      </c>
      <c r="AA82" s="631" t="b">
        <v>0</v>
      </c>
      <c r="AB82" s="631"/>
      <c r="AC82" s="576"/>
      <c r="AD82" s="479">
        <v>0.0</v>
      </c>
      <c r="AE82" s="632"/>
      <c r="AF82" s="582" t="s">
        <v>365</v>
      </c>
      <c r="AG82" s="583"/>
      <c r="AH82" s="584"/>
      <c r="AI82" s="583"/>
      <c r="AJ82" s="585"/>
      <c r="AK82" s="583"/>
      <c r="AL82" s="584"/>
      <c r="AM82" s="583"/>
      <c r="AN82" s="585"/>
      <c r="AO82" s="583"/>
      <c r="AP82" s="584"/>
      <c r="AQ82" s="583"/>
      <c r="AR82" s="585"/>
      <c r="AS82" s="583"/>
      <c r="AT82" s="584"/>
      <c r="AU82" s="583"/>
      <c r="AV82" s="585"/>
      <c r="AW82" s="583"/>
      <c r="AX82" s="584"/>
      <c r="AY82" s="583"/>
      <c r="AZ82" s="585"/>
      <c r="BA82" s="583"/>
      <c r="BB82" s="584"/>
      <c r="BC82" s="583"/>
      <c r="BD82" s="585"/>
      <c r="BE82" s="583"/>
      <c r="BF82" s="584"/>
      <c r="BG82" s="583"/>
      <c r="BH82" s="585"/>
      <c r="BI82" s="583"/>
      <c r="BJ82" s="584"/>
      <c r="BK82" s="583"/>
      <c r="BL82" s="585"/>
      <c r="BM82" s="583"/>
      <c r="BN82" s="584"/>
      <c r="BO82" s="583"/>
      <c r="BP82" s="585"/>
      <c r="BQ82" s="583"/>
      <c r="BR82" s="584"/>
      <c r="BS82" s="583"/>
      <c r="BT82" s="586"/>
      <c r="BU82" s="540"/>
      <c r="BV82" s="540"/>
      <c r="BW82" s="540"/>
      <c r="BX82" s="538"/>
      <c r="BY82" s="538"/>
      <c r="BZ82" s="592"/>
      <c r="CA82" s="633"/>
      <c r="CB82" s="592" t="s">
        <v>365</v>
      </c>
      <c r="CC82" s="592">
        <v>0.0</v>
      </c>
      <c r="CD82" s="592" t="s">
        <v>365</v>
      </c>
      <c r="CE82" s="592">
        <v>0.0</v>
      </c>
      <c r="CF82" s="592"/>
      <c r="CG82" s="592">
        <v>0.0</v>
      </c>
      <c r="CH82" s="592"/>
      <c r="CI82" s="633"/>
      <c r="CJ82" s="592">
        <v>0.0</v>
      </c>
      <c r="CK82" s="479" t="s">
        <v>365</v>
      </c>
      <c r="CL82" s="592"/>
      <c r="CM82" s="593"/>
      <c r="CN82" s="538"/>
      <c r="CO82" s="538"/>
      <c r="CP82" s="538"/>
      <c r="CQ82" s="538"/>
      <c r="CR82" s="538"/>
      <c r="CS82" s="538"/>
      <c r="CT82" s="538"/>
      <c r="CU82" s="538"/>
      <c r="CV82" s="538"/>
      <c r="CW82" s="538"/>
      <c r="CX82" s="538"/>
      <c r="CY82" s="538"/>
      <c r="CZ82" s="538"/>
      <c r="DA82" s="538"/>
      <c r="DB82" s="538"/>
      <c r="DC82" s="538"/>
      <c r="DD82" s="538"/>
      <c r="DE82" s="538"/>
      <c r="DF82" s="538"/>
      <c r="DG82" s="538"/>
      <c r="DH82" s="538"/>
      <c r="DI82" s="538"/>
      <c r="DJ82" s="538"/>
      <c r="DK82" s="538"/>
      <c r="DL82" s="538"/>
      <c r="DM82" s="538"/>
      <c r="DN82" s="538"/>
      <c r="DO82" s="538"/>
      <c r="DP82" s="538"/>
      <c r="DQ82" s="538"/>
      <c r="DR82" s="538"/>
      <c r="DS82" s="538"/>
      <c r="DT82" s="538"/>
      <c r="DU82" s="538"/>
      <c r="DV82" s="538"/>
      <c r="DW82" s="538"/>
      <c r="DX82" s="538"/>
      <c r="DY82" s="538"/>
      <c r="DZ82" s="538"/>
      <c r="EA82" s="538"/>
      <c r="EB82" s="538"/>
      <c r="EC82" s="538"/>
      <c r="ED82" s="538"/>
      <c r="EE82" s="538"/>
      <c r="EF82" s="538"/>
      <c r="EG82" s="538"/>
      <c r="EH82" s="538"/>
      <c r="EI82" s="538"/>
      <c r="EJ82" s="538"/>
      <c r="EK82" s="538"/>
      <c r="EL82" s="538"/>
      <c r="EM82" s="538"/>
      <c r="EN82" s="538"/>
      <c r="EO82" s="538"/>
      <c r="EP82" s="538"/>
      <c r="EQ82" s="538"/>
      <c r="ER82" s="538"/>
      <c r="ES82" s="538"/>
      <c r="ET82" s="538"/>
      <c r="EU82" s="538"/>
      <c r="EV82" s="538"/>
      <c r="EW82" s="538"/>
      <c r="EX82" s="559"/>
      <c r="EY82" s="559"/>
      <c r="EZ82" s="559"/>
      <c r="FA82" s="559"/>
      <c r="FB82" s="559"/>
      <c r="FC82" s="559"/>
      <c r="FD82" s="559"/>
      <c r="FE82" s="559"/>
      <c r="FF82" s="559"/>
      <c r="FG82" s="559"/>
      <c r="FH82" s="559"/>
      <c r="FI82" s="559"/>
      <c r="FJ82" s="559"/>
      <c r="FK82" s="559"/>
      <c r="FL82" s="559"/>
      <c r="FM82" s="559"/>
      <c r="FN82" s="559"/>
      <c r="FO82" s="559"/>
      <c r="FP82" s="559"/>
      <c r="FQ82" s="559"/>
      <c r="FR82" s="559"/>
      <c r="FS82" s="559"/>
      <c r="FT82" s="559"/>
      <c r="FU82" s="559"/>
      <c r="FV82" s="559"/>
      <c r="FW82" s="559"/>
      <c r="FX82" s="559"/>
      <c r="FY82" s="559"/>
      <c r="FZ82" s="559"/>
      <c r="GA82" s="559"/>
      <c r="GB82" s="559"/>
      <c r="GC82" s="559"/>
      <c r="GD82" s="559"/>
      <c r="GE82" s="559"/>
      <c r="GF82" s="559"/>
      <c r="GG82" s="559"/>
      <c r="GH82" s="559"/>
    </row>
    <row r="83">
      <c r="A83" s="538"/>
      <c r="B83" s="156"/>
      <c r="C83" s="444"/>
      <c r="D83" s="614"/>
      <c r="E83" s="595"/>
      <c r="F83" s="596"/>
      <c r="G83" s="596"/>
      <c r="H83" s="597"/>
      <c r="I83" s="616" t="s">
        <v>365</v>
      </c>
      <c r="J83" s="624"/>
      <c r="K83" s="600"/>
      <c r="L83" s="601"/>
      <c r="M83" s="602"/>
      <c r="N83" s="603"/>
      <c r="O83" s="134"/>
      <c r="P83" s="57"/>
      <c r="Q83" s="57"/>
      <c r="S83" s="605"/>
      <c r="U83" s="573"/>
      <c r="V83" s="574"/>
      <c r="W83" s="618"/>
      <c r="X83" s="576">
        <v>0.0</v>
      </c>
      <c r="Y83" s="630">
        <v>0.0</v>
      </c>
      <c r="Z83" s="630" t="s">
        <v>365</v>
      </c>
      <c r="AA83" s="631" t="b">
        <v>0</v>
      </c>
      <c r="AB83" s="631"/>
      <c r="AC83" s="576"/>
      <c r="AD83" s="479">
        <v>0.0</v>
      </c>
      <c r="AE83" s="632"/>
      <c r="AF83" s="582" t="s">
        <v>365</v>
      </c>
      <c r="AG83" s="583"/>
      <c r="AH83" s="584"/>
      <c r="AI83" s="583"/>
      <c r="AJ83" s="585"/>
      <c r="AK83" s="583"/>
      <c r="AL83" s="584"/>
      <c r="AM83" s="583"/>
      <c r="AN83" s="585"/>
      <c r="AO83" s="583"/>
      <c r="AP83" s="584"/>
      <c r="AQ83" s="583"/>
      <c r="AR83" s="585"/>
      <c r="AS83" s="583"/>
      <c r="AT83" s="584"/>
      <c r="AU83" s="583"/>
      <c r="AV83" s="585"/>
      <c r="AW83" s="583"/>
      <c r="AX83" s="584"/>
      <c r="AY83" s="583"/>
      <c r="AZ83" s="585"/>
      <c r="BA83" s="583"/>
      <c r="BB83" s="584"/>
      <c r="BC83" s="583"/>
      <c r="BD83" s="585"/>
      <c r="BE83" s="583"/>
      <c r="BF83" s="584"/>
      <c r="BG83" s="583"/>
      <c r="BH83" s="585"/>
      <c r="BI83" s="583"/>
      <c r="BJ83" s="584"/>
      <c r="BK83" s="583"/>
      <c r="BL83" s="585"/>
      <c r="BM83" s="583"/>
      <c r="BN83" s="584"/>
      <c r="BO83" s="583"/>
      <c r="BP83" s="585"/>
      <c r="BQ83" s="583"/>
      <c r="BR83" s="584"/>
      <c r="BS83" s="583"/>
      <c r="BT83" s="586"/>
      <c r="BU83" s="540"/>
      <c r="BV83" s="540"/>
      <c r="BW83" s="540"/>
      <c r="BX83" s="538"/>
      <c r="BY83" s="538"/>
      <c r="BZ83" s="592"/>
      <c r="CA83" s="633"/>
      <c r="CB83" s="592" t="s">
        <v>365</v>
      </c>
      <c r="CC83" s="592">
        <v>0.0</v>
      </c>
      <c r="CD83" s="592" t="s">
        <v>365</v>
      </c>
      <c r="CE83" s="592">
        <v>0.0</v>
      </c>
      <c r="CF83" s="592"/>
      <c r="CG83" s="592">
        <v>0.0</v>
      </c>
      <c r="CH83" s="592"/>
      <c r="CI83" s="633"/>
      <c r="CJ83" s="592">
        <v>0.0</v>
      </c>
      <c r="CK83" s="479" t="s">
        <v>365</v>
      </c>
      <c r="CL83" s="592"/>
      <c r="CM83" s="593"/>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c r="DS83" s="538"/>
      <c r="DT83" s="538"/>
      <c r="DU83" s="538"/>
      <c r="DV83" s="538"/>
      <c r="DW83" s="538"/>
      <c r="DX83" s="538"/>
      <c r="DY83" s="538"/>
      <c r="DZ83" s="538"/>
      <c r="EA83" s="538"/>
      <c r="EB83" s="538"/>
      <c r="EC83" s="538"/>
      <c r="ED83" s="538"/>
      <c r="EE83" s="538"/>
      <c r="EF83" s="538"/>
      <c r="EG83" s="538"/>
      <c r="EH83" s="538"/>
      <c r="EI83" s="538"/>
      <c r="EJ83" s="538"/>
      <c r="EK83" s="538"/>
      <c r="EL83" s="538"/>
      <c r="EM83" s="538"/>
      <c r="EN83" s="538"/>
      <c r="EO83" s="538"/>
      <c r="EP83" s="538"/>
      <c r="EQ83" s="538"/>
      <c r="ER83" s="538"/>
      <c r="ES83" s="538"/>
      <c r="ET83" s="538"/>
      <c r="EU83" s="538"/>
      <c r="EV83" s="538"/>
      <c r="EW83" s="538"/>
      <c r="EX83" s="559"/>
      <c r="EY83" s="559"/>
      <c r="EZ83" s="559"/>
      <c r="FA83" s="559"/>
      <c r="FB83" s="559"/>
      <c r="FC83" s="559"/>
      <c r="FD83" s="559"/>
      <c r="FE83" s="559"/>
      <c r="FF83" s="559"/>
      <c r="FG83" s="559"/>
      <c r="FH83" s="559"/>
      <c r="FI83" s="559"/>
      <c r="FJ83" s="559"/>
      <c r="FK83" s="559"/>
      <c r="FL83" s="559"/>
      <c r="FM83" s="559"/>
      <c r="FN83" s="559"/>
      <c r="FO83" s="559"/>
      <c r="FP83" s="559"/>
      <c r="FQ83" s="559"/>
      <c r="FR83" s="559"/>
      <c r="FS83" s="559"/>
      <c r="FT83" s="559"/>
      <c r="FU83" s="559"/>
      <c r="FV83" s="559"/>
      <c r="FW83" s="559"/>
      <c r="FX83" s="559"/>
      <c r="FY83" s="559"/>
      <c r="FZ83" s="559"/>
      <c r="GA83" s="559"/>
      <c r="GB83" s="559"/>
      <c r="GC83" s="559"/>
      <c r="GD83" s="559"/>
      <c r="GE83" s="559"/>
      <c r="GF83" s="559"/>
      <c r="GG83" s="559"/>
      <c r="GH83" s="559"/>
    </row>
    <row r="84">
      <c r="A84" s="538"/>
      <c r="B84" s="156"/>
      <c r="C84" s="444"/>
      <c r="D84" s="614"/>
      <c r="E84" s="68"/>
      <c r="F84" s="644"/>
      <c r="G84" s="644"/>
      <c r="H84" s="627"/>
      <c r="I84" s="622" t="s">
        <v>365</v>
      </c>
      <c r="J84" s="607"/>
      <c r="K84" s="641"/>
      <c r="L84" s="628"/>
      <c r="M84" s="626"/>
      <c r="N84" s="619"/>
      <c r="O84" s="560"/>
      <c r="P84" s="47"/>
      <c r="Q84" s="47"/>
      <c r="S84" s="572"/>
      <c r="U84" s="573"/>
      <c r="V84" s="574"/>
      <c r="W84" s="618"/>
      <c r="X84" s="576">
        <v>0.0</v>
      </c>
      <c r="Y84" s="630">
        <v>0.0</v>
      </c>
      <c r="Z84" s="630" t="s">
        <v>365</v>
      </c>
      <c r="AA84" s="631" t="b">
        <v>0</v>
      </c>
      <c r="AB84" s="631"/>
      <c r="AC84" s="576"/>
      <c r="AD84" s="479">
        <v>0.0</v>
      </c>
      <c r="AE84" s="632"/>
      <c r="AF84" s="582" t="s">
        <v>365</v>
      </c>
      <c r="AG84" s="583"/>
      <c r="AH84" s="584"/>
      <c r="AI84" s="583"/>
      <c r="AJ84" s="585"/>
      <c r="AK84" s="583"/>
      <c r="AL84" s="584"/>
      <c r="AM84" s="583"/>
      <c r="AN84" s="585"/>
      <c r="AO84" s="583"/>
      <c r="AP84" s="584"/>
      <c r="AQ84" s="583"/>
      <c r="AR84" s="585"/>
      <c r="AS84" s="583"/>
      <c r="AT84" s="584"/>
      <c r="AU84" s="583"/>
      <c r="AV84" s="585"/>
      <c r="AW84" s="583"/>
      <c r="AX84" s="584"/>
      <c r="AY84" s="583"/>
      <c r="AZ84" s="585"/>
      <c r="BA84" s="583"/>
      <c r="BB84" s="584"/>
      <c r="BC84" s="583"/>
      <c r="BD84" s="585"/>
      <c r="BE84" s="583"/>
      <c r="BF84" s="584"/>
      <c r="BG84" s="583"/>
      <c r="BH84" s="585"/>
      <c r="BI84" s="583"/>
      <c r="BJ84" s="584"/>
      <c r="BK84" s="583"/>
      <c r="BL84" s="585"/>
      <c r="BM84" s="583"/>
      <c r="BN84" s="584"/>
      <c r="BO84" s="583"/>
      <c r="BP84" s="585"/>
      <c r="BQ84" s="583"/>
      <c r="BR84" s="584"/>
      <c r="BS84" s="583"/>
      <c r="BT84" s="586"/>
      <c r="BU84" s="540"/>
      <c r="BV84" s="540"/>
      <c r="BW84" s="540"/>
      <c r="BX84" s="538"/>
      <c r="BY84" s="538"/>
      <c r="BZ84" s="592"/>
      <c r="CA84" s="633"/>
      <c r="CB84" s="592" t="s">
        <v>365</v>
      </c>
      <c r="CC84" s="592">
        <v>0.0</v>
      </c>
      <c r="CD84" s="592" t="s">
        <v>365</v>
      </c>
      <c r="CE84" s="592">
        <v>0.0</v>
      </c>
      <c r="CF84" s="592"/>
      <c r="CG84" s="592">
        <v>0.0</v>
      </c>
      <c r="CH84" s="592"/>
      <c r="CI84" s="633"/>
      <c r="CJ84" s="592">
        <v>0.0</v>
      </c>
      <c r="CK84" s="479" t="s">
        <v>365</v>
      </c>
      <c r="CL84" s="592"/>
      <c r="CM84" s="593"/>
      <c r="CN84" s="538"/>
      <c r="CO84" s="538"/>
      <c r="CP84" s="538"/>
      <c r="CQ84" s="538"/>
      <c r="CR84" s="538"/>
      <c r="CS84" s="538"/>
      <c r="CT84" s="538"/>
      <c r="CU84" s="538"/>
      <c r="CV84" s="538"/>
      <c r="CW84" s="538"/>
      <c r="CX84" s="538"/>
      <c r="CY84" s="538"/>
      <c r="CZ84" s="538"/>
      <c r="DA84" s="538"/>
      <c r="DB84" s="538"/>
      <c r="DC84" s="538"/>
      <c r="DD84" s="538"/>
      <c r="DE84" s="538"/>
      <c r="DF84" s="538"/>
      <c r="DG84" s="538"/>
      <c r="DH84" s="538"/>
      <c r="DI84" s="538"/>
      <c r="DJ84" s="538"/>
      <c r="DK84" s="538"/>
      <c r="DL84" s="538"/>
      <c r="DM84" s="538"/>
      <c r="DN84" s="538"/>
      <c r="DO84" s="538"/>
      <c r="DP84" s="538"/>
      <c r="DQ84" s="538"/>
      <c r="DR84" s="538"/>
      <c r="DS84" s="538"/>
      <c r="DT84" s="538"/>
      <c r="DU84" s="538"/>
      <c r="DV84" s="538"/>
      <c r="DW84" s="538"/>
      <c r="DX84" s="538"/>
      <c r="DY84" s="538"/>
      <c r="DZ84" s="538"/>
      <c r="EA84" s="538"/>
      <c r="EB84" s="538"/>
      <c r="EC84" s="538"/>
      <c r="ED84" s="538"/>
      <c r="EE84" s="538"/>
      <c r="EF84" s="538"/>
      <c r="EG84" s="538"/>
      <c r="EH84" s="538"/>
      <c r="EI84" s="538"/>
      <c r="EJ84" s="538"/>
      <c r="EK84" s="538"/>
      <c r="EL84" s="538"/>
      <c r="EM84" s="538"/>
      <c r="EN84" s="538"/>
      <c r="EO84" s="538"/>
      <c r="EP84" s="538"/>
      <c r="EQ84" s="538"/>
      <c r="ER84" s="538"/>
      <c r="ES84" s="538"/>
      <c r="ET84" s="538"/>
      <c r="EU84" s="538"/>
      <c r="EV84" s="538"/>
      <c r="EW84" s="538"/>
      <c r="EX84" s="559"/>
      <c r="EY84" s="559"/>
      <c r="EZ84" s="559"/>
      <c r="FA84" s="559"/>
      <c r="FB84" s="559"/>
      <c r="FC84" s="559"/>
      <c r="FD84" s="559"/>
      <c r="FE84" s="559"/>
      <c r="FF84" s="559"/>
      <c r="FG84" s="559"/>
      <c r="FH84" s="559"/>
      <c r="FI84" s="559"/>
      <c r="FJ84" s="559"/>
      <c r="FK84" s="559"/>
      <c r="FL84" s="559"/>
      <c r="FM84" s="559"/>
      <c r="FN84" s="559"/>
      <c r="FO84" s="559"/>
      <c r="FP84" s="559"/>
      <c r="FQ84" s="559"/>
      <c r="FR84" s="559"/>
      <c r="FS84" s="559"/>
      <c r="FT84" s="559"/>
      <c r="FU84" s="559"/>
      <c r="FV84" s="559"/>
      <c r="FW84" s="559"/>
      <c r="FX84" s="559"/>
      <c r="FY84" s="559"/>
      <c r="FZ84" s="559"/>
      <c r="GA84" s="559"/>
      <c r="GB84" s="559"/>
      <c r="GC84" s="559"/>
      <c r="GD84" s="559"/>
      <c r="GE84" s="559"/>
      <c r="GF84" s="559"/>
      <c r="GG84" s="559"/>
      <c r="GH84" s="559"/>
    </row>
    <row r="85">
      <c r="A85" s="538"/>
      <c r="B85" s="156"/>
      <c r="C85" s="444"/>
      <c r="D85" s="614"/>
      <c r="E85" s="66"/>
      <c r="F85" s="642"/>
      <c r="G85" s="642"/>
      <c r="H85" s="615"/>
      <c r="I85" s="616" t="s">
        <v>365</v>
      </c>
      <c r="J85" s="624"/>
      <c r="K85" s="643"/>
      <c r="L85" s="640"/>
      <c r="M85" s="625"/>
      <c r="N85" s="617"/>
      <c r="O85" s="134"/>
      <c r="P85" s="57"/>
      <c r="Q85" s="57"/>
      <c r="S85" s="605"/>
      <c r="U85" s="573"/>
      <c r="V85" s="574"/>
      <c r="W85" s="618"/>
      <c r="X85" s="576">
        <v>0.0</v>
      </c>
      <c r="Y85" s="630">
        <v>0.0</v>
      </c>
      <c r="Z85" s="630" t="s">
        <v>365</v>
      </c>
      <c r="AA85" s="631" t="b">
        <v>0</v>
      </c>
      <c r="AB85" s="631"/>
      <c r="AC85" s="576"/>
      <c r="AD85" s="479">
        <v>0.0</v>
      </c>
      <c r="AE85" s="632"/>
      <c r="AF85" s="582" t="s">
        <v>365</v>
      </c>
      <c r="AG85" s="583"/>
      <c r="AH85" s="584"/>
      <c r="AI85" s="583"/>
      <c r="AJ85" s="585"/>
      <c r="AK85" s="583"/>
      <c r="AL85" s="584"/>
      <c r="AM85" s="583"/>
      <c r="AN85" s="585"/>
      <c r="AO85" s="583"/>
      <c r="AP85" s="584"/>
      <c r="AQ85" s="583"/>
      <c r="AR85" s="585"/>
      <c r="AS85" s="583"/>
      <c r="AT85" s="584"/>
      <c r="AU85" s="583"/>
      <c r="AV85" s="585"/>
      <c r="AW85" s="583"/>
      <c r="AX85" s="584"/>
      <c r="AY85" s="583"/>
      <c r="AZ85" s="585"/>
      <c r="BA85" s="583"/>
      <c r="BB85" s="584"/>
      <c r="BC85" s="583"/>
      <c r="BD85" s="585"/>
      <c r="BE85" s="583"/>
      <c r="BF85" s="584"/>
      <c r="BG85" s="583"/>
      <c r="BH85" s="585"/>
      <c r="BI85" s="583"/>
      <c r="BJ85" s="584"/>
      <c r="BK85" s="583"/>
      <c r="BL85" s="585"/>
      <c r="BM85" s="583"/>
      <c r="BN85" s="584"/>
      <c r="BO85" s="583"/>
      <c r="BP85" s="585"/>
      <c r="BQ85" s="583"/>
      <c r="BR85" s="584"/>
      <c r="BS85" s="583"/>
      <c r="BT85" s="586"/>
      <c r="BU85" s="540"/>
      <c r="BV85" s="540"/>
      <c r="BW85" s="540"/>
      <c r="BX85" s="538"/>
      <c r="BY85" s="538"/>
      <c r="BZ85" s="592"/>
      <c r="CA85" s="633"/>
      <c r="CB85" s="592" t="s">
        <v>365</v>
      </c>
      <c r="CC85" s="592">
        <v>0.0</v>
      </c>
      <c r="CD85" s="592" t="s">
        <v>365</v>
      </c>
      <c r="CE85" s="592">
        <v>0.0</v>
      </c>
      <c r="CF85" s="592"/>
      <c r="CG85" s="592">
        <v>0.0</v>
      </c>
      <c r="CH85" s="592"/>
      <c r="CI85" s="633"/>
      <c r="CJ85" s="592">
        <v>0.0</v>
      </c>
      <c r="CK85" s="479" t="s">
        <v>365</v>
      </c>
      <c r="CL85" s="592"/>
      <c r="CM85" s="593"/>
      <c r="CN85" s="538"/>
      <c r="CO85" s="538"/>
      <c r="CP85" s="538"/>
      <c r="CQ85" s="538"/>
      <c r="CR85" s="538"/>
      <c r="CS85" s="538"/>
      <c r="CT85" s="538"/>
      <c r="CU85" s="538"/>
      <c r="CV85" s="538"/>
      <c r="CW85" s="538"/>
      <c r="CX85" s="538"/>
      <c r="CY85" s="538"/>
      <c r="CZ85" s="538"/>
      <c r="DA85" s="538"/>
      <c r="DB85" s="538"/>
      <c r="DC85" s="538"/>
      <c r="DD85" s="538"/>
      <c r="DE85" s="538"/>
      <c r="DF85" s="538"/>
      <c r="DG85" s="538"/>
      <c r="DH85" s="538"/>
      <c r="DI85" s="538"/>
      <c r="DJ85" s="538"/>
      <c r="DK85" s="538"/>
      <c r="DL85" s="538"/>
      <c r="DM85" s="538"/>
      <c r="DN85" s="538"/>
      <c r="DO85" s="538"/>
      <c r="DP85" s="538"/>
      <c r="DQ85" s="538"/>
      <c r="DR85" s="538"/>
      <c r="DS85" s="538"/>
      <c r="DT85" s="538"/>
      <c r="DU85" s="538"/>
      <c r="DV85" s="538"/>
      <c r="DW85" s="538"/>
      <c r="DX85" s="538"/>
      <c r="DY85" s="538"/>
      <c r="DZ85" s="538"/>
      <c r="EA85" s="538"/>
      <c r="EB85" s="538"/>
      <c r="EC85" s="538"/>
      <c r="ED85" s="538"/>
      <c r="EE85" s="538"/>
      <c r="EF85" s="538"/>
      <c r="EG85" s="538"/>
      <c r="EH85" s="538"/>
      <c r="EI85" s="538"/>
      <c r="EJ85" s="538"/>
      <c r="EK85" s="538"/>
      <c r="EL85" s="538"/>
      <c r="EM85" s="538"/>
      <c r="EN85" s="538"/>
      <c r="EO85" s="538"/>
      <c r="EP85" s="538"/>
      <c r="EQ85" s="538"/>
      <c r="ER85" s="538"/>
      <c r="ES85" s="538"/>
      <c r="ET85" s="538"/>
      <c r="EU85" s="538"/>
      <c r="EV85" s="538"/>
      <c r="EW85" s="538"/>
      <c r="EX85" s="559"/>
      <c r="EY85" s="559"/>
      <c r="EZ85" s="559"/>
      <c r="FA85" s="559"/>
      <c r="FB85" s="559"/>
      <c r="FC85" s="559"/>
      <c r="FD85" s="559"/>
      <c r="FE85" s="559"/>
      <c r="FF85" s="559"/>
      <c r="FG85" s="559"/>
      <c r="FH85" s="559"/>
      <c r="FI85" s="559"/>
      <c r="FJ85" s="559"/>
      <c r="FK85" s="559"/>
      <c r="FL85" s="559"/>
      <c r="FM85" s="559"/>
      <c r="FN85" s="559"/>
      <c r="FO85" s="559"/>
      <c r="FP85" s="559"/>
      <c r="FQ85" s="559"/>
      <c r="FR85" s="559"/>
      <c r="FS85" s="559"/>
      <c r="FT85" s="559"/>
      <c r="FU85" s="559"/>
      <c r="FV85" s="559"/>
      <c r="FW85" s="559"/>
      <c r="FX85" s="559"/>
      <c r="FY85" s="559"/>
      <c r="FZ85" s="559"/>
      <c r="GA85" s="559"/>
      <c r="GB85" s="559"/>
      <c r="GC85" s="559"/>
      <c r="GD85" s="559"/>
      <c r="GE85" s="559"/>
      <c r="GF85" s="559"/>
      <c r="GG85" s="559"/>
      <c r="GH85" s="559"/>
    </row>
    <row r="86">
      <c r="A86" s="538"/>
      <c r="B86" s="156"/>
      <c r="C86" s="444"/>
      <c r="D86" s="614"/>
      <c r="E86" s="68"/>
      <c r="F86" s="644"/>
      <c r="G86" s="644"/>
      <c r="H86" s="627"/>
      <c r="I86" s="622" t="s">
        <v>365</v>
      </c>
      <c r="J86" s="607"/>
      <c r="K86" s="641"/>
      <c r="L86" s="628"/>
      <c r="M86" s="626"/>
      <c r="N86" s="619"/>
      <c r="O86" s="560"/>
      <c r="P86" s="47"/>
      <c r="Q86" s="47"/>
      <c r="S86" s="572"/>
      <c r="U86" s="573"/>
      <c r="V86" s="574"/>
      <c r="W86" s="618"/>
      <c r="X86" s="576">
        <v>0.0</v>
      </c>
      <c r="Y86" s="630">
        <v>0.0</v>
      </c>
      <c r="Z86" s="630" t="s">
        <v>365</v>
      </c>
      <c r="AA86" s="631" t="b">
        <v>0</v>
      </c>
      <c r="AB86" s="631"/>
      <c r="AC86" s="576"/>
      <c r="AD86" s="479">
        <v>0.0</v>
      </c>
      <c r="AE86" s="632"/>
      <c r="AF86" s="582" t="s">
        <v>365</v>
      </c>
      <c r="AG86" s="583"/>
      <c r="AH86" s="584"/>
      <c r="AI86" s="583"/>
      <c r="AJ86" s="585"/>
      <c r="AK86" s="583"/>
      <c r="AL86" s="584"/>
      <c r="AM86" s="583"/>
      <c r="AN86" s="585"/>
      <c r="AO86" s="583"/>
      <c r="AP86" s="584"/>
      <c r="AQ86" s="583"/>
      <c r="AR86" s="585"/>
      <c r="AS86" s="583"/>
      <c r="AT86" s="584"/>
      <c r="AU86" s="583"/>
      <c r="AV86" s="585"/>
      <c r="AW86" s="583"/>
      <c r="AX86" s="584"/>
      <c r="AY86" s="583"/>
      <c r="AZ86" s="585"/>
      <c r="BA86" s="583"/>
      <c r="BB86" s="584"/>
      <c r="BC86" s="583"/>
      <c r="BD86" s="585"/>
      <c r="BE86" s="583"/>
      <c r="BF86" s="584"/>
      <c r="BG86" s="583"/>
      <c r="BH86" s="585"/>
      <c r="BI86" s="583"/>
      <c r="BJ86" s="584"/>
      <c r="BK86" s="583"/>
      <c r="BL86" s="585"/>
      <c r="BM86" s="583"/>
      <c r="BN86" s="584"/>
      <c r="BO86" s="583"/>
      <c r="BP86" s="585"/>
      <c r="BQ86" s="583"/>
      <c r="BR86" s="584"/>
      <c r="BS86" s="583"/>
      <c r="BT86" s="586"/>
      <c r="BU86" s="540"/>
      <c r="BV86" s="540"/>
      <c r="BW86" s="540"/>
      <c r="BX86" s="538"/>
      <c r="BY86" s="538"/>
      <c r="BZ86" s="592"/>
      <c r="CA86" s="633"/>
      <c r="CB86" s="592" t="s">
        <v>365</v>
      </c>
      <c r="CC86" s="592">
        <v>0.0</v>
      </c>
      <c r="CD86" s="592" t="s">
        <v>365</v>
      </c>
      <c r="CE86" s="592">
        <v>0.0</v>
      </c>
      <c r="CF86" s="592"/>
      <c r="CG86" s="592">
        <v>0.0</v>
      </c>
      <c r="CH86" s="592"/>
      <c r="CI86" s="633"/>
      <c r="CJ86" s="592">
        <v>0.0</v>
      </c>
      <c r="CK86" s="479" t="s">
        <v>365</v>
      </c>
      <c r="CL86" s="592"/>
      <c r="CM86" s="593"/>
      <c r="CN86" s="538"/>
      <c r="CO86" s="538"/>
      <c r="CP86" s="538"/>
      <c r="CQ86" s="538"/>
      <c r="CR86" s="538"/>
      <c r="CS86" s="538"/>
      <c r="CT86" s="538"/>
      <c r="CU86" s="538"/>
      <c r="CV86" s="538"/>
      <c r="CW86" s="538"/>
      <c r="CX86" s="538"/>
      <c r="CY86" s="538"/>
      <c r="CZ86" s="538"/>
      <c r="DA86" s="538"/>
      <c r="DB86" s="538"/>
      <c r="DC86" s="538"/>
      <c r="DD86" s="538"/>
      <c r="DE86" s="538"/>
      <c r="DF86" s="538"/>
      <c r="DG86" s="538"/>
      <c r="DH86" s="538"/>
      <c r="DI86" s="538"/>
      <c r="DJ86" s="538"/>
      <c r="DK86" s="538"/>
      <c r="DL86" s="538"/>
      <c r="DM86" s="538"/>
      <c r="DN86" s="538"/>
      <c r="DO86" s="538"/>
      <c r="DP86" s="538"/>
      <c r="DQ86" s="538"/>
      <c r="DR86" s="538"/>
      <c r="DS86" s="538"/>
      <c r="DT86" s="538"/>
      <c r="DU86" s="538"/>
      <c r="DV86" s="538"/>
      <c r="DW86" s="538"/>
      <c r="DX86" s="538"/>
      <c r="DY86" s="538"/>
      <c r="DZ86" s="538"/>
      <c r="EA86" s="538"/>
      <c r="EB86" s="538"/>
      <c r="EC86" s="538"/>
      <c r="ED86" s="538"/>
      <c r="EE86" s="538"/>
      <c r="EF86" s="538"/>
      <c r="EG86" s="538"/>
      <c r="EH86" s="538"/>
      <c r="EI86" s="538"/>
      <c r="EJ86" s="538"/>
      <c r="EK86" s="538"/>
      <c r="EL86" s="538"/>
      <c r="EM86" s="538"/>
      <c r="EN86" s="538"/>
      <c r="EO86" s="538"/>
      <c r="EP86" s="538"/>
      <c r="EQ86" s="538"/>
      <c r="ER86" s="538"/>
      <c r="ES86" s="538"/>
      <c r="ET86" s="538"/>
      <c r="EU86" s="538"/>
      <c r="EV86" s="538"/>
      <c r="EW86" s="538"/>
      <c r="EX86" s="559"/>
      <c r="EY86" s="559"/>
      <c r="EZ86" s="559"/>
      <c r="FA86" s="559"/>
      <c r="FB86" s="559"/>
      <c r="FC86" s="559"/>
      <c r="FD86" s="559"/>
      <c r="FE86" s="559"/>
      <c r="FF86" s="559"/>
      <c r="FG86" s="559"/>
      <c r="FH86" s="559"/>
      <c r="FI86" s="559"/>
      <c r="FJ86" s="559"/>
      <c r="FK86" s="559"/>
      <c r="FL86" s="559"/>
      <c r="FM86" s="559"/>
      <c r="FN86" s="559"/>
      <c r="FO86" s="559"/>
      <c r="FP86" s="559"/>
      <c r="FQ86" s="559"/>
      <c r="FR86" s="559"/>
      <c r="FS86" s="559"/>
      <c r="FT86" s="559"/>
      <c r="FU86" s="559"/>
      <c r="FV86" s="559"/>
      <c r="FW86" s="559"/>
      <c r="FX86" s="559"/>
      <c r="FY86" s="559"/>
      <c r="FZ86" s="559"/>
      <c r="GA86" s="559"/>
      <c r="GB86" s="559"/>
      <c r="GC86" s="559"/>
      <c r="GD86" s="559"/>
      <c r="GE86" s="559"/>
      <c r="GF86" s="559"/>
      <c r="GG86" s="559"/>
      <c r="GH86" s="559"/>
    </row>
    <row r="87">
      <c r="A87" s="538"/>
      <c r="B87" s="156"/>
      <c r="C87" s="444"/>
      <c r="D87" s="614"/>
      <c r="E87" s="66"/>
      <c r="F87" s="642"/>
      <c r="G87" s="642"/>
      <c r="H87" s="615"/>
      <c r="I87" s="616" t="s">
        <v>365</v>
      </c>
      <c r="J87" s="624"/>
      <c r="K87" s="643"/>
      <c r="L87" s="640"/>
      <c r="M87" s="625"/>
      <c r="N87" s="617"/>
      <c r="O87" s="134"/>
      <c r="P87" s="57"/>
      <c r="Q87" s="57"/>
      <c r="S87" s="605"/>
      <c r="U87" s="573"/>
      <c r="V87" s="574"/>
      <c r="W87" s="618"/>
      <c r="X87" s="576">
        <v>0.0</v>
      </c>
      <c r="Y87" s="630">
        <v>0.0</v>
      </c>
      <c r="Z87" s="630" t="s">
        <v>365</v>
      </c>
      <c r="AA87" s="631" t="b">
        <v>0</v>
      </c>
      <c r="AB87" s="631"/>
      <c r="AC87" s="576"/>
      <c r="AD87" s="479">
        <v>0.0</v>
      </c>
      <c r="AE87" s="632"/>
      <c r="AF87" s="582" t="s">
        <v>365</v>
      </c>
      <c r="AG87" s="583"/>
      <c r="AH87" s="584"/>
      <c r="AI87" s="583"/>
      <c r="AJ87" s="585"/>
      <c r="AK87" s="583"/>
      <c r="AL87" s="584"/>
      <c r="AM87" s="583"/>
      <c r="AN87" s="585"/>
      <c r="AO87" s="583"/>
      <c r="AP87" s="584"/>
      <c r="AQ87" s="583"/>
      <c r="AR87" s="585"/>
      <c r="AS87" s="583"/>
      <c r="AT87" s="584"/>
      <c r="AU87" s="583"/>
      <c r="AV87" s="585"/>
      <c r="AW87" s="583"/>
      <c r="AX87" s="584"/>
      <c r="AY87" s="583"/>
      <c r="AZ87" s="585"/>
      <c r="BA87" s="583"/>
      <c r="BB87" s="584"/>
      <c r="BC87" s="583"/>
      <c r="BD87" s="585"/>
      <c r="BE87" s="583"/>
      <c r="BF87" s="584"/>
      <c r="BG87" s="583"/>
      <c r="BH87" s="585"/>
      <c r="BI87" s="583"/>
      <c r="BJ87" s="584"/>
      <c r="BK87" s="583"/>
      <c r="BL87" s="585"/>
      <c r="BM87" s="583"/>
      <c r="BN87" s="584"/>
      <c r="BO87" s="583"/>
      <c r="BP87" s="585"/>
      <c r="BQ87" s="583"/>
      <c r="BR87" s="584"/>
      <c r="BS87" s="583"/>
      <c r="BT87" s="586"/>
      <c r="BU87" s="540"/>
      <c r="BV87" s="540"/>
      <c r="BW87" s="540"/>
      <c r="BX87" s="538"/>
      <c r="BY87" s="538"/>
      <c r="BZ87" s="592"/>
      <c r="CA87" s="633"/>
      <c r="CB87" s="592" t="s">
        <v>365</v>
      </c>
      <c r="CC87" s="592">
        <v>0.0</v>
      </c>
      <c r="CD87" s="592" t="s">
        <v>365</v>
      </c>
      <c r="CE87" s="592">
        <v>0.0</v>
      </c>
      <c r="CF87" s="592"/>
      <c r="CG87" s="592">
        <v>0.0</v>
      </c>
      <c r="CH87" s="592"/>
      <c r="CI87" s="633"/>
      <c r="CJ87" s="592">
        <v>0.0</v>
      </c>
      <c r="CK87" s="479" t="s">
        <v>365</v>
      </c>
      <c r="CL87" s="592"/>
      <c r="CM87" s="593"/>
      <c r="CN87" s="538"/>
      <c r="CO87" s="538"/>
      <c r="CP87" s="538"/>
      <c r="CQ87" s="538"/>
      <c r="CR87" s="538"/>
      <c r="CS87" s="538"/>
      <c r="CT87" s="538"/>
      <c r="CU87" s="538"/>
      <c r="CV87" s="538"/>
      <c r="CW87" s="538"/>
      <c r="CX87" s="538"/>
      <c r="CY87" s="538"/>
      <c r="CZ87" s="538"/>
      <c r="DA87" s="538"/>
      <c r="DB87" s="538"/>
      <c r="DC87" s="538"/>
      <c r="DD87" s="538"/>
      <c r="DE87" s="538"/>
      <c r="DF87" s="538"/>
      <c r="DG87" s="538"/>
      <c r="DH87" s="538"/>
      <c r="DI87" s="538"/>
      <c r="DJ87" s="538"/>
      <c r="DK87" s="538"/>
      <c r="DL87" s="538"/>
      <c r="DM87" s="538"/>
      <c r="DN87" s="538"/>
      <c r="DO87" s="538"/>
      <c r="DP87" s="538"/>
      <c r="DQ87" s="538"/>
      <c r="DR87" s="538"/>
      <c r="DS87" s="538"/>
      <c r="DT87" s="538"/>
      <c r="DU87" s="538"/>
      <c r="DV87" s="538"/>
      <c r="DW87" s="538"/>
      <c r="DX87" s="538"/>
      <c r="DY87" s="538"/>
      <c r="DZ87" s="538"/>
      <c r="EA87" s="538"/>
      <c r="EB87" s="538"/>
      <c r="EC87" s="538"/>
      <c r="ED87" s="538"/>
      <c r="EE87" s="538"/>
      <c r="EF87" s="538"/>
      <c r="EG87" s="538"/>
      <c r="EH87" s="538"/>
      <c r="EI87" s="538"/>
      <c r="EJ87" s="538"/>
      <c r="EK87" s="538"/>
      <c r="EL87" s="538"/>
      <c r="EM87" s="538"/>
      <c r="EN87" s="538"/>
      <c r="EO87" s="538"/>
      <c r="EP87" s="538"/>
      <c r="EQ87" s="538"/>
      <c r="ER87" s="538"/>
      <c r="ES87" s="538"/>
      <c r="ET87" s="538"/>
      <c r="EU87" s="538"/>
      <c r="EV87" s="538"/>
      <c r="EW87" s="538"/>
      <c r="EX87" s="559"/>
      <c r="EY87" s="559"/>
      <c r="EZ87" s="559"/>
      <c r="FA87" s="559"/>
      <c r="FB87" s="559"/>
      <c r="FC87" s="559"/>
      <c r="FD87" s="559"/>
      <c r="FE87" s="559"/>
      <c r="FF87" s="559"/>
      <c r="FG87" s="559"/>
      <c r="FH87" s="559"/>
      <c r="FI87" s="559"/>
      <c r="FJ87" s="559"/>
      <c r="FK87" s="559"/>
      <c r="FL87" s="559"/>
      <c r="FM87" s="559"/>
      <c r="FN87" s="559"/>
      <c r="FO87" s="559"/>
      <c r="FP87" s="559"/>
      <c r="FQ87" s="559"/>
      <c r="FR87" s="559"/>
      <c r="FS87" s="559"/>
      <c r="FT87" s="559"/>
      <c r="FU87" s="559"/>
      <c r="FV87" s="559"/>
      <c r="FW87" s="559"/>
      <c r="FX87" s="559"/>
      <c r="FY87" s="559"/>
      <c r="FZ87" s="559"/>
      <c r="GA87" s="559"/>
      <c r="GB87" s="559"/>
      <c r="GC87" s="559"/>
      <c r="GD87" s="559"/>
      <c r="GE87" s="559"/>
      <c r="GF87" s="559"/>
      <c r="GG87" s="559"/>
      <c r="GH87" s="559"/>
    </row>
    <row r="88">
      <c r="A88" s="538"/>
      <c r="B88" s="156"/>
      <c r="C88" s="444"/>
      <c r="D88" s="614"/>
      <c r="E88" s="68"/>
      <c r="F88" s="644"/>
      <c r="G88" s="644"/>
      <c r="H88" s="627"/>
      <c r="I88" s="622" t="s">
        <v>365</v>
      </c>
      <c r="J88" s="607"/>
      <c r="K88" s="641"/>
      <c r="L88" s="628"/>
      <c r="M88" s="626"/>
      <c r="N88" s="619"/>
      <c r="O88" s="560"/>
      <c r="P88" s="47"/>
      <c r="Q88" s="47"/>
      <c r="S88" s="572"/>
      <c r="U88" s="573"/>
      <c r="V88" s="574"/>
      <c r="W88" s="618"/>
      <c r="X88" s="576">
        <v>0.0</v>
      </c>
      <c r="Y88" s="630">
        <v>0.0</v>
      </c>
      <c r="Z88" s="630" t="s">
        <v>365</v>
      </c>
      <c r="AA88" s="631" t="b">
        <v>0</v>
      </c>
      <c r="AB88" s="631"/>
      <c r="AC88" s="576"/>
      <c r="AD88" s="479">
        <v>0.0</v>
      </c>
      <c r="AE88" s="632"/>
      <c r="AF88" s="582" t="s">
        <v>365</v>
      </c>
      <c r="AG88" s="583"/>
      <c r="AH88" s="584"/>
      <c r="AI88" s="583"/>
      <c r="AJ88" s="585"/>
      <c r="AK88" s="583"/>
      <c r="AL88" s="584"/>
      <c r="AM88" s="583"/>
      <c r="AN88" s="585"/>
      <c r="AO88" s="583"/>
      <c r="AP88" s="584"/>
      <c r="AQ88" s="583"/>
      <c r="AR88" s="585"/>
      <c r="AS88" s="583"/>
      <c r="AT88" s="584"/>
      <c r="AU88" s="583"/>
      <c r="AV88" s="585"/>
      <c r="AW88" s="583"/>
      <c r="AX88" s="584"/>
      <c r="AY88" s="583"/>
      <c r="AZ88" s="585"/>
      <c r="BA88" s="583"/>
      <c r="BB88" s="584"/>
      <c r="BC88" s="583"/>
      <c r="BD88" s="585"/>
      <c r="BE88" s="583"/>
      <c r="BF88" s="584"/>
      <c r="BG88" s="583"/>
      <c r="BH88" s="585"/>
      <c r="BI88" s="583"/>
      <c r="BJ88" s="584"/>
      <c r="BK88" s="583"/>
      <c r="BL88" s="585"/>
      <c r="BM88" s="583"/>
      <c r="BN88" s="584"/>
      <c r="BO88" s="583"/>
      <c r="BP88" s="585"/>
      <c r="BQ88" s="583"/>
      <c r="BR88" s="584"/>
      <c r="BS88" s="583"/>
      <c r="BT88" s="586"/>
      <c r="BU88" s="540"/>
      <c r="BV88" s="540"/>
      <c r="BW88" s="540"/>
      <c r="BX88" s="538"/>
      <c r="BY88" s="538"/>
      <c r="BZ88" s="592"/>
      <c r="CA88" s="633"/>
      <c r="CB88" s="592" t="s">
        <v>365</v>
      </c>
      <c r="CC88" s="592">
        <v>0.0</v>
      </c>
      <c r="CD88" s="592" t="s">
        <v>365</v>
      </c>
      <c r="CE88" s="592">
        <v>0.0</v>
      </c>
      <c r="CF88" s="592"/>
      <c r="CG88" s="592">
        <v>0.0</v>
      </c>
      <c r="CH88" s="592"/>
      <c r="CI88" s="633"/>
      <c r="CJ88" s="592">
        <v>0.0</v>
      </c>
      <c r="CK88" s="479" t="s">
        <v>365</v>
      </c>
      <c r="CL88" s="592"/>
      <c r="CM88" s="593"/>
      <c r="CN88" s="538"/>
      <c r="CO88" s="538"/>
      <c r="CP88" s="538"/>
      <c r="CQ88" s="538"/>
      <c r="CR88" s="538"/>
      <c r="CS88" s="538"/>
      <c r="CT88" s="538"/>
      <c r="CU88" s="538"/>
      <c r="CV88" s="538"/>
      <c r="CW88" s="538"/>
      <c r="CX88" s="538"/>
      <c r="CY88" s="538"/>
      <c r="CZ88" s="538"/>
      <c r="DA88" s="538"/>
      <c r="DB88" s="538"/>
      <c r="DC88" s="538"/>
      <c r="DD88" s="538"/>
      <c r="DE88" s="538"/>
      <c r="DF88" s="538"/>
      <c r="DG88" s="538"/>
      <c r="DH88" s="538"/>
      <c r="DI88" s="538"/>
      <c r="DJ88" s="538"/>
      <c r="DK88" s="538"/>
      <c r="DL88" s="538"/>
      <c r="DM88" s="538"/>
      <c r="DN88" s="538"/>
      <c r="DO88" s="538"/>
      <c r="DP88" s="538"/>
      <c r="DQ88" s="538"/>
      <c r="DR88" s="538"/>
      <c r="DS88" s="538"/>
      <c r="DT88" s="538"/>
      <c r="DU88" s="538"/>
      <c r="DV88" s="538"/>
      <c r="DW88" s="538"/>
      <c r="DX88" s="538"/>
      <c r="DY88" s="538"/>
      <c r="DZ88" s="538"/>
      <c r="EA88" s="538"/>
      <c r="EB88" s="538"/>
      <c r="EC88" s="538"/>
      <c r="ED88" s="538"/>
      <c r="EE88" s="538"/>
      <c r="EF88" s="538"/>
      <c r="EG88" s="538"/>
      <c r="EH88" s="538"/>
      <c r="EI88" s="538"/>
      <c r="EJ88" s="538"/>
      <c r="EK88" s="538"/>
      <c r="EL88" s="538"/>
      <c r="EM88" s="538"/>
      <c r="EN88" s="538"/>
      <c r="EO88" s="538"/>
      <c r="EP88" s="538"/>
      <c r="EQ88" s="538"/>
      <c r="ER88" s="538"/>
      <c r="ES88" s="538"/>
      <c r="ET88" s="538"/>
      <c r="EU88" s="538"/>
      <c r="EV88" s="538"/>
      <c r="EW88" s="538"/>
      <c r="EX88" s="559"/>
      <c r="EY88" s="559"/>
      <c r="EZ88" s="559"/>
      <c r="FA88" s="559"/>
      <c r="FB88" s="559"/>
      <c r="FC88" s="559"/>
      <c r="FD88" s="559"/>
      <c r="FE88" s="559"/>
      <c r="FF88" s="559"/>
      <c r="FG88" s="559"/>
      <c r="FH88" s="559"/>
      <c r="FI88" s="559"/>
      <c r="FJ88" s="559"/>
      <c r="FK88" s="559"/>
      <c r="FL88" s="559"/>
      <c r="FM88" s="559"/>
      <c r="FN88" s="559"/>
      <c r="FO88" s="559"/>
      <c r="FP88" s="559"/>
      <c r="FQ88" s="559"/>
      <c r="FR88" s="559"/>
      <c r="FS88" s="559"/>
      <c r="FT88" s="559"/>
      <c r="FU88" s="559"/>
      <c r="FV88" s="559"/>
      <c r="FW88" s="559"/>
      <c r="FX88" s="559"/>
      <c r="FY88" s="559"/>
      <c r="FZ88" s="559"/>
      <c r="GA88" s="559"/>
      <c r="GB88" s="559"/>
      <c r="GC88" s="559"/>
      <c r="GD88" s="559"/>
      <c r="GE88" s="559"/>
      <c r="GF88" s="559"/>
      <c r="GG88" s="559"/>
      <c r="GH88" s="559"/>
    </row>
    <row r="89">
      <c r="A89" s="538"/>
      <c r="B89" s="156"/>
      <c r="C89" s="444"/>
      <c r="D89" s="614"/>
      <c r="E89" s="66"/>
      <c r="F89" s="642"/>
      <c r="G89" s="642"/>
      <c r="H89" s="615"/>
      <c r="I89" s="616" t="s">
        <v>365</v>
      </c>
      <c r="J89" s="624"/>
      <c r="K89" s="643"/>
      <c r="L89" s="640"/>
      <c r="M89" s="625"/>
      <c r="N89" s="617"/>
      <c r="O89" s="134"/>
      <c r="P89" s="57"/>
      <c r="Q89" s="57"/>
      <c r="S89" s="605"/>
      <c r="U89" s="573"/>
      <c r="V89" s="574"/>
      <c r="W89" s="618"/>
      <c r="X89" s="576">
        <v>0.0</v>
      </c>
      <c r="Y89" s="630">
        <v>0.0</v>
      </c>
      <c r="Z89" s="630" t="s">
        <v>365</v>
      </c>
      <c r="AA89" s="631" t="b">
        <v>0</v>
      </c>
      <c r="AB89" s="631"/>
      <c r="AC89" s="576"/>
      <c r="AD89" s="479">
        <v>0.0</v>
      </c>
      <c r="AE89" s="632"/>
      <c r="AF89" s="582" t="s">
        <v>365</v>
      </c>
      <c r="AG89" s="583"/>
      <c r="AH89" s="584"/>
      <c r="AI89" s="583"/>
      <c r="AJ89" s="585"/>
      <c r="AK89" s="583"/>
      <c r="AL89" s="584"/>
      <c r="AM89" s="583"/>
      <c r="AN89" s="585"/>
      <c r="AO89" s="583"/>
      <c r="AP89" s="584"/>
      <c r="AQ89" s="583"/>
      <c r="AR89" s="585"/>
      <c r="AS89" s="583"/>
      <c r="AT89" s="584"/>
      <c r="AU89" s="583"/>
      <c r="AV89" s="585"/>
      <c r="AW89" s="583"/>
      <c r="AX89" s="584"/>
      <c r="AY89" s="583"/>
      <c r="AZ89" s="585"/>
      <c r="BA89" s="583"/>
      <c r="BB89" s="584"/>
      <c r="BC89" s="583"/>
      <c r="BD89" s="585"/>
      <c r="BE89" s="583"/>
      <c r="BF89" s="584"/>
      <c r="BG89" s="583"/>
      <c r="BH89" s="585"/>
      <c r="BI89" s="583"/>
      <c r="BJ89" s="584"/>
      <c r="BK89" s="583"/>
      <c r="BL89" s="585"/>
      <c r="BM89" s="583"/>
      <c r="BN89" s="584"/>
      <c r="BO89" s="583"/>
      <c r="BP89" s="585"/>
      <c r="BQ89" s="583"/>
      <c r="BR89" s="584"/>
      <c r="BS89" s="583"/>
      <c r="BT89" s="586"/>
      <c r="BU89" s="540"/>
      <c r="BV89" s="540"/>
      <c r="BW89" s="540"/>
      <c r="BX89" s="538"/>
      <c r="BY89" s="538"/>
      <c r="BZ89" s="592"/>
      <c r="CA89" s="633"/>
      <c r="CB89" s="592" t="s">
        <v>365</v>
      </c>
      <c r="CC89" s="592">
        <v>0.0</v>
      </c>
      <c r="CD89" s="592" t="s">
        <v>365</v>
      </c>
      <c r="CE89" s="592">
        <v>0.0</v>
      </c>
      <c r="CF89" s="592"/>
      <c r="CG89" s="592">
        <v>0.0</v>
      </c>
      <c r="CH89" s="592"/>
      <c r="CI89" s="633"/>
      <c r="CJ89" s="592">
        <v>0.0</v>
      </c>
      <c r="CK89" s="479" t="s">
        <v>365</v>
      </c>
      <c r="CL89" s="592"/>
      <c r="CM89" s="593"/>
      <c r="CN89" s="538"/>
      <c r="CO89" s="538"/>
      <c r="CP89" s="538"/>
      <c r="CQ89" s="538"/>
      <c r="CR89" s="538"/>
      <c r="CS89" s="538"/>
      <c r="CT89" s="538"/>
      <c r="CU89" s="538"/>
      <c r="CV89" s="538"/>
      <c r="CW89" s="538"/>
      <c r="CX89" s="538"/>
      <c r="CY89" s="538"/>
      <c r="CZ89" s="538"/>
      <c r="DA89" s="538"/>
      <c r="DB89" s="538"/>
      <c r="DC89" s="538"/>
      <c r="DD89" s="538"/>
      <c r="DE89" s="538"/>
      <c r="DF89" s="538"/>
      <c r="DG89" s="538"/>
      <c r="DH89" s="538"/>
      <c r="DI89" s="538"/>
      <c r="DJ89" s="538"/>
      <c r="DK89" s="538"/>
      <c r="DL89" s="538"/>
      <c r="DM89" s="538"/>
      <c r="DN89" s="538"/>
      <c r="DO89" s="538"/>
      <c r="DP89" s="538"/>
      <c r="DQ89" s="538"/>
      <c r="DR89" s="538"/>
      <c r="DS89" s="538"/>
      <c r="DT89" s="538"/>
      <c r="DU89" s="538"/>
      <c r="DV89" s="538"/>
      <c r="DW89" s="538"/>
      <c r="DX89" s="538"/>
      <c r="DY89" s="538"/>
      <c r="DZ89" s="538"/>
      <c r="EA89" s="538"/>
      <c r="EB89" s="538"/>
      <c r="EC89" s="538"/>
      <c r="ED89" s="538"/>
      <c r="EE89" s="538"/>
      <c r="EF89" s="538"/>
      <c r="EG89" s="538"/>
      <c r="EH89" s="538"/>
      <c r="EI89" s="538"/>
      <c r="EJ89" s="538"/>
      <c r="EK89" s="538"/>
      <c r="EL89" s="538"/>
      <c r="EM89" s="538"/>
      <c r="EN89" s="538"/>
      <c r="EO89" s="538"/>
      <c r="EP89" s="538"/>
      <c r="EQ89" s="538"/>
      <c r="ER89" s="538"/>
      <c r="ES89" s="538"/>
      <c r="ET89" s="538"/>
      <c r="EU89" s="538"/>
      <c r="EV89" s="538"/>
      <c r="EW89" s="538"/>
      <c r="EX89" s="559"/>
      <c r="EY89" s="559"/>
      <c r="EZ89" s="559"/>
      <c r="FA89" s="559"/>
      <c r="FB89" s="559"/>
      <c r="FC89" s="559"/>
      <c r="FD89" s="559"/>
      <c r="FE89" s="559"/>
      <c r="FF89" s="559"/>
      <c r="FG89" s="559"/>
      <c r="FH89" s="559"/>
      <c r="FI89" s="559"/>
      <c r="FJ89" s="559"/>
      <c r="FK89" s="559"/>
      <c r="FL89" s="559"/>
      <c r="FM89" s="559"/>
      <c r="FN89" s="559"/>
      <c r="FO89" s="559"/>
      <c r="FP89" s="559"/>
      <c r="FQ89" s="559"/>
      <c r="FR89" s="559"/>
      <c r="FS89" s="559"/>
      <c r="FT89" s="559"/>
      <c r="FU89" s="559"/>
      <c r="FV89" s="559"/>
      <c r="FW89" s="559"/>
      <c r="FX89" s="559"/>
      <c r="FY89" s="559"/>
      <c r="FZ89" s="559"/>
      <c r="GA89" s="559"/>
      <c r="GB89" s="559"/>
      <c r="GC89" s="559"/>
      <c r="GD89" s="559"/>
      <c r="GE89" s="559"/>
      <c r="GF89" s="559"/>
      <c r="GG89" s="559"/>
      <c r="GH89" s="559"/>
    </row>
    <row r="90">
      <c r="A90" s="538"/>
      <c r="B90" s="156"/>
      <c r="C90" s="444"/>
      <c r="D90" s="614"/>
      <c r="E90" s="68"/>
      <c r="F90" s="644"/>
      <c r="G90" s="644"/>
      <c r="H90" s="627"/>
      <c r="I90" s="622" t="s">
        <v>365</v>
      </c>
      <c r="J90" s="607"/>
      <c r="K90" s="641"/>
      <c r="L90" s="628"/>
      <c r="M90" s="626"/>
      <c r="N90" s="619"/>
      <c r="O90" s="560"/>
      <c r="P90" s="47"/>
      <c r="Q90" s="47"/>
      <c r="S90" s="572"/>
      <c r="U90" s="573"/>
      <c r="V90" s="574"/>
      <c r="W90" s="618"/>
      <c r="X90" s="576">
        <v>0.0</v>
      </c>
      <c r="Y90" s="630">
        <v>0.0</v>
      </c>
      <c r="Z90" s="630" t="s">
        <v>365</v>
      </c>
      <c r="AA90" s="631" t="b">
        <v>0</v>
      </c>
      <c r="AB90" s="631"/>
      <c r="AC90" s="576"/>
      <c r="AD90" s="479">
        <v>0.0</v>
      </c>
      <c r="AE90" s="632"/>
      <c r="AF90" s="582" t="s">
        <v>365</v>
      </c>
      <c r="AG90" s="583"/>
      <c r="AH90" s="584"/>
      <c r="AI90" s="583"/>
      <c r="AJ90" s="585"/>
      <c r="AK90" s="583"/>
      <c r="AL90" s="584"/>
      <c r="AM90" s="583"/>
      <c r="AN90" s="585"/>
      <c r="AO90" s="583"/>
      <c r="AP90" s="584"/>
      <c r="AQ90" s="583"/>
      <c r="AR90" s="585"/>
      <c r="AS90" s="583"/>
      <c r="AT90" s="584"/>
      <c r="AU90" s="583"/>
      <c r="AV90" s="585"/>
      <c r="AW90" s="583"/>
      <c r="AX90" s="584"/>
      <c r="AY90" s="583"/>
      <c r="AZ90" s="585"/>
      <c r="BA90" s="583"/>
      <c r="BB90" s="584"/>
      <c r="BC90" s="583"/>
      <c r="BD90" s="585"/>
      <c r="BE90" s="583"/>
      <c r="BF90" s="584"/>
      <c r="BG90" s="583"/>
      <c r="BH90" s="585"/>
      <c r="BI90" s="583"/>
      <c r="BJ90" s="584"/>
      <c r="BK90" s="583"/>
      <c r="BL90" s="585"/>
      <c r="BM90" s="583"/>
      <c r="BN90" s="584"/>
      <c r="BO90" s="583"/>
      <c r="BP90" s="585"/>
      <c r="BQ90" s="583"/>
      <c r="BR90" s="584"/>
      <c r="BS90" s="583"/>
      <c r="BT90" s="586"/>
      <c r="BU90" s="540"/>
      <c r="BV90" s="540"/>
      <c r="BW90" s="540"/>
      <c r="BX90" s="538"/>
      <c r="BY90" s="538"/>
      <c r="BZ90" s="592"/>
      <c r="CA90" s="633"/>
      <c r="CB90" s="592" t="s">
        <v>365</v>
      </c>
      <c r="CC90" s="592">
        <v>0.0</v>
      </c>
      <c r="CD90" s="592" t="s">
        <v>365</v>
      </c>
      <c r="CE90" s="592">
        <v>0.0</v>
      </c>
      <c r="CF90" s="592"/>
      <c r="CG90" s="592">
        <v>0.0</v>
      </c>
      <c r="CH90" s="592"/>
      <c r="CI90" s="633"/>
      <c r="CJ90" s="592">
        <v>0.0</v>
      </c>
      <c r="CK90" s="479" t="s">
        <v>365</v>
      </c>
      <c r="CL90" s="592"/>
      <c r="CM90" s="593"/>
      <c r="CN90" s="538"/>
      <c r="CO90" s="538"/>
      <c r="CP90" s="538"/>
      <c r="CQ90" s="538"/>
      <c r="CR90" s="538"/>
      <c r="CS90" s="538"/>
      <c r="CT90" s="538"/>
      <c r="CU90" s="538"/>
      <c r="CV90" s="538"/>
      <c r="CW90" s="538"/>
      <c r="CX90" s="538"/>
      <c r="CY90" s="538"/>
      <c r="CZ90" s="538"/>
      <c r="DA90" s="538"/>
      <c r="DB90" s="538"/>
      <c r="DC90" s="538"/>
      <c r="DD90" s="538"/>
      <c r="DE90" s="538"/>
      <c r="DF90" s="538"/>
      <c r="DG90" s="538"/>
      <c r="DH90" s="538"/>
      <c r="DI90" s="538"/>
      <c r="DJ90" s="538"/>
      <c r="DK90" s="538"/>
      <c r="DL90" s="538"/>
      <c r="DM90" s="538"/>
      <c r="DN90" s="538"/>
      <c r="DO90" s="538"/>
      <c r="DP90" s="538"/>
      <c r="DQ90" s="538"/>
      <c r="DR90" s="538"/>
      <c r="DS90" s="538"/>
      <c r="DT90" s="538"/>
      <c r="DU90" s="538"/>
      <c r="DV90" s="538"/>
      <c r="DW90" s="538"/>
      <c r="DX90" s="538"/>
      <c r="DY90" s="538"/>
      <c r="DZ90" s="538"/>
      <c r="EA90" s="538"/>
      <c r="EB90" s="538"/>
      <c r="EC90" s="538"/>
      <c r="ED90" s="538"/>
      <c r="EE90" s="538"/>
      <c r="EF90" s="538"/>
      <c r="EG90" s="538"/>
      <c r="EH90" s="538"/>
      <c r="EI90" s="538"/>
      <c r="EJ90" s="538"/>
      <c r="EK90" s="538"/>
      <c r="EL90" s="538"/>
      <c r="EM90" s="538"/>
      <c r="EN90" s="538"/>
      <c r="EO90" s="538"/>
      <c r="EP90" s="538"/>
      <c r="EQ90" s="538"/>
      <c r="ER90" s="538"/>
      <c r="ES90" s="538"/>
      <c r="ET90" s="538"/>
      <c r="EU90" s="538"/>
      <c r="EV90" s="538"/>
      <c r="EW90" s="538"/>
      <c r="EX90" s="559"/>
      <c r="EY90" s="559"/>
      <c r="EZ90" s="559"/>
      <c r="FA90" s="559"/>
      <c r="FB90" s="559"/>
      <c r="FC90" s="559"/>
      <c r="FD90" s="559"/>
      <c r="FE90" s="559"/>
      <c r="FF90" s="559"/>
      <c r="FG90" s="559"/>
      <c r="FH90" s="559"/>
      <c r="FI90" s="559"/>
      <c r="FJ90" s="559"/>
      <c r="FK90" s="559"/>
      <c r="FL90" s="559"/>
      <c r="FM90" s="559"/>
      <c r="FN90" s="559"/>
      <c r="FO90" s="559"/>
      <c r="FP90" s="559"/>
      <c r="FQ90" s="559"/>
      <c r="FR90" s="559"/>
      <c r="FS90" s="559"/>
      <c r="FT90" s="559"/>
      <c r="FU90" s="559"/>
      <c r="FV90" s="559"/>
      <c r="FW90" s="559"/>
      <c r="FX90" s="559"/>
      <c r="FY90" s="559"/>
      <c r="FZ90" s="559"/>
      <c r="GA90" s="559"/>
      <c r="GB90" s="559"/>
      <c r="GC90" s="559"/>
      <c r="GD90" s="559"/>
      <c r="GE90" s="559"/>
      <c r="GF90" s="559"/>
      <c r="GG90" s="559"/>
      <c r="GH90" s="559"/>
    </row>
    <row r="91">
      <c r="A91" s="538"/>
      <c r="B91" s="156"/>
      <c r="C91" s="444"/>
      <c r="D91" s="614"/>
      <c r="E91" s="66"/>
      <c r="F91" s="642"/>
      <c r="G91" s="642"/>
      <c r="H91" s="615"/>
      <c r="I91" s="616" t="s">
        <v>365</v>
      </c>
      <c r="J91" s="624"/>
      <c r="K91" s="643"/>
      <c r="L91" s="640"/>
      <c r="M91" s="625"/>
      <c r="N91" s="617"/>
      <c r="O91" s="134"/>
      <c r="P91" s="57"/>
      <c r="Q91" s="57"/>
      <c r="S91" s="605"/>
      <c r="U91" s="573"/>
      <c r="V91" s="574"/>
      <c r="W91" s="618"/>
      <c r="X91" s="576">
        <v>0.0</v>
      </c>
      <c r="Y91" s="630">
        <v>0.0</v>
      </c>
      <c r="Z91" s="630" t="s">
        <v>365</v>
      </c>
      <c r="AA91" s="631" t="b">
        <v>0</v>
      </c>
      <c r="AB91" s="631"/>
      <c r="AC91" s="576"/>
      <c r="AD91" s="479">
        <v>0.0</v>
      </c>
      <c r="AE91" s="632"/>
      <c r="AF91" s="582" t="s">
        <v>365</v>
      </c>
      <c r="AG91" s="583"/>
      <c r="AH91" s="584"/>
      <c r="AI91" s="583"/>
      <c r="AJ91" s="585"/>
      <c r="AK91" s="583"/>
      <c r="AL91" s="584"/>
      <c r="AM91" s="583"/>
      <c r="AN91" s="585"/>
      <c r="AO91" s="583"/>
      <c r="AP91" s="584"/>
      <c r="AQ91" s="583"/>
      <c r="AR91" s="585"/>
      <c r="AS91" s="583"/>
      <c r="AT91" s="584"/>
      <c r="AU91" s="583"/>
      <c r="AV91" s="585"/>
      <c r="AW91" s="583"/>
      <c r="AX91" s="584"/>
      <c r="AY91" s="583"/>
      <c r="AZ91" s="585"/>
      <c r="BA91" s="583"/>
      <c r="BB91" s="584"/>
      <c r="BC91" s="583"/>
      <c r="BD91" s="585"/>
      <c r="BE91" s="583"/>
      <c r="BF91" s="584"/>
      <c r="BG91" s="583"/>
      <c r="BH91" s="585"/>
      <c r="BI91" s="583"/>
      <c r="BJ91" s="584"/>
      <c r="BK91" s="583"/>
      <c r="BL91" s="585"/>
      <c r="BM91" s="583"/>
      <c r="BN91" s="584"/>
      <c r="BO91" s="583"/>
      <c r="BP91" s="585"/>
      <c r="BQ91" s="583"/>
      <c r="BR91" s="584"/>
      <c r="BS91" s="583"/>
      <c r="BT91" s="586"/>
      <c r="BU91" s="540"/>
      <c r="BV91" s="540"/>
      <c r="BW91" s="540"/>
      <c r="BX91" s="538"/>
      <c r="BY91" s="538"/>
      <c r="BZ91" s="592"/>
      <c r="CA91" s="633"/>
      <c r="CB91" s="592" t="s">
        <v>365</v>
      </c>
      <c r="CC91" s="592">
        <v>0.0</v>
      </c>
      <c r="CD91" s="592" t="s">
        <v>365</v>
      </c>
      <c r="CE91" s="592">
        <v>0.0</v>
      </c>
      <c r="CF91" s="592"/>
      <c r="CG91" s="592">
        <v>0.0</v>
      </c>
      <c r="CH91" s="592"/>
      <c r="CI91" s="633"/>
      <c r="CJ91" s="592">
        <v>0.0</v>
      </c>
      <c r="CK91" s="479" t="s">
        <v>365</v>
      </c>
      <c r="CL91" s="592"/>
      <c r="CM91" s="593"/>
      <c r="CN91" s="538"/>
      <c r="CO91" s="538"/>
      <c r="CP91" s="538"/>
      <c r="CQ91" s="538"/>
      <c r="CR91" s="538"/>
      <c r="CS91" s="538"/>
      <c r="CT91" s="538"/>
      <c r="CU91" s="538"/>
      <c r="CV91" s="538"/>
      <c r="CW91" s="538"/>
      <c r="CX91" s="538"/>
      <c r="CY91" s="538"/>
      <c r="CZ91" s="538"/>
      <c r="DA91" s="538"/>
      <c r="DB91" s="538"/>
      <c r="DC91" s="538"/>
      <c r="DD91" s="538"/>
      <c r="DE91" s="538"/>
      <c r="DF91" s="538"/>
      <c r="DG91" s="538"/>
      <c r="DH91" s="538"/>
      <c r="DI91" s="538"/>
      <c r="DJ91" s="538"/>
      <c r="DK91" s="538"/>
      <c r="DL91" s="538"/>
      <c r="DM91" s="538"/>
      <c r="DN91" s="538"/>
      <c r="DO91" s="538"/>
      <c r="DP91" s="538"/>
      <c r="DQ91" s="538"/>
      <c r="DR91" s="538"/>
      <c r="DS91" s="538"/>
      <c r="DT91" s="538"/>
      <c r="DU91" s="538"/>
      <c r="DV91" s="538"/>
      <c r="DW91" s="538"/>
      <c r="DX91" s="538"/>
      <c r="DY91" s="538"/>
      <c r="DZ91" s="538"/>
      <c r="EA91" s="538"/>
      <c r="EB91" s="538"/>
      <c r="EC91" s="538"/>
      <c r="ED91" s="538"/>
      <c r="EE91" s="538"/>
      <c r="EF91" s="538"/>
      <c r="EG91" s="538"/>
      <c r="EH91" s="538"/>
      <c r="EI91" s="538"/>
      <c r="EJ91" s="538"/>
      <c r="EK91" s="538"/>
      <c r="EL91" s="538"/>
      <c r="EM91" s="538"/>
      <c r="EN91" s="538"/>
      <c r="EO91" s="538"/>
      <c r="EP91" s="538"/>
      <c r="EQ91" s="538"/>
      <c r="ER91" s="538"/>
      <c r="ES91" s="538"/>
      <c r="ET91" s="538"/>
      <c r="EU91" s="538"/>
      <c r="EV91" s="538"/>
      <c r="EW91" s="538"/>
      <c r="EX91" s="559"/>
      <c r="EY91" s="559"/>
      <c r="EZ91" s="559"/>
      <c r="FA91" s="559"/>
      <c r="FB91" s="559"/>
      <c r="FC91" s="559"/>
      <c r="FD91" s="559"/>
      <c r="FE91" s="559"/>
      <c r="FF91" s="559"/>
      <c r="FG91" s="559"/>
      <c r="FH91" s="559"/>
      <c r="FI91" s="559"/>
      <c r="FJ91" s="559"/>
      <c r="FK91" s="559"/>
      <c r="FL91" s="559"/>
      <c r="FM91" s="559"/>
      <c r="FN91" s="559"/>
      <c r="FO91" s="559"/>
      <c r="FP91" s="559"/>
      <c r="FQ91" s="559"/>
      <c r="FR91" s="559"/>
      <c r="FS91" s="559"/>
      <c r="FT91" s="559"/>
      <c r="FU91" s="559"/>
      <c r="FV91" s="559"/>
      <c r="FW91" s="559"/>
      <c r="FX91" s="559"/>
      <c r="FY91" s="559"/>
      <c r="FZ91" s="559"/>
      <c r="GA91" s="559"/>
      <c r="GB91" s="559"/>
      <c r="GC91" s="559"/>
      <c r="GD91" s="559"/>
      <c r="GE91" s="559"/>
      <c r="GF91" s="559"/>
      <c r="GG91" s="559"/>
      <c r="GH91" s="559"/>
    </row>
    <row r="92">
      <c r="A92" s="538"/>
      <c r="B92" s="156"/>
      <c r="C92" s="444"/>
      <c r="D92" s="614"/>
      <c r="E92" s="68"/>
      <c r="F92" s="644"/>
      <c r="G92" s="644"/>
      <c r="H92" s="627"/>
      <c r="I92" s="622" t="s">
        <v>365</v>
      </c>
      <c r="J92" s="607"/>
      <c r="K92" s="641"/>
      <c r="L92" s="628"/>
      <c r="M92" s="626"/>
      <c r="N92" s="619"/>
      <c r="O92" s="560"/>
      <c r="P92" s="47"/>
      <c r="Q92" s="47"/>
      <c r="S92" s="572"/>
      <c r="U92" s="573"/>
      <c r="V92" s="574"/>
      <c r="W92" s="618"/>
      <c r="X92" s="576">
        <v>0.0</v>
      </c>
      <c r="Y92" s="630">
        <v>0.0</v>
      </c>
      <c r="Z92" s="630" t="s">
        <v>365</v>
      </c>
      <c r="AA92" s="631" t="b">
        <v>0</v>
      </c>
      <c r="AB92" s="631"/>
      <c r="AC92" s="576"/>
      <c r="AD92" s="479">
        <v>0.0</v>
      </c>
      <c r="AE92" s="632"/>
      <c r="AF92" s="582" t="s">
        <v>365</v>
      </c>
      <c r="AG92" s="583"/>
      <c r="AH92" s="584"/>
      <c r="AI92" s="583"/>
      <c r="AJ92" s="585"/>
      <c r="AK92" s="583"/>
      <c r="AL92" s="584"/>
      <c r="AM92" s="583"/>
      <c r="AN92" s="585"/>
      <c r="AO92" s="583"/>
      <c r="AP92" s="584"/>
      <c r="AQ92" s="583"/>
      <c r="AR92" s="585"/>
      <c r="AS92" s="583"/>
      <c r="AT92" s="584"/>
      <c r="AU92" s="583"/>
      <c r="AV92" s="585"/>
      <c r="AW92" s="583"/>
      <c r="AX92" s="584"/>
      <c r="AY92" s="583"/>
      <c r="AZ92" s="585"/>
      <c r="BA92" s="583"/>
      <c r="BB92" s="584"/>
      <c r="BC92" s="583"/>
      <c r="BD92" s="585"/>
      <c r="BE92" s="583"/>
      <c r="BF92" s="584"/>
      <c r="BG92" s="583"/>
      <c r="BH92" s="585"/>
      <c r="BI92" s="583"/>
      <c r="BJ92" s="584"/>
      <c r="BK92" s="583"/>
      <c r="BL92" s="585"/>
      <c r="BM92" s="583"/>
      <c r="BN92" s="584"/>
      <c r="BO92" s="583"/>
      <c r="BP92" s="585"/>
      <c r="BQ92" s="583"/>
      <c r="BR92" s="584"/>
      <c r="BS92" s="583"/>
      <c r="BT92" s="586"/>
      <c r="BU92" s="540"/>
      <c r="BV92" s="540"/>
      <c r="BW92" s="540"/>
      <c r="BX92" s="538"/>
      <c r="BY92" s="538"/>
      <c r="BZ92" s="592"/>
      <c r="CA92" s="633"/>
      <c r="CB92" s="592" t="s">
        <v>365</v>
      </c>
      <c r="CC92" s="592">
        <v>0.0</v>
      </c>
      <c r="CD92" s="592" t="s">
        <v>365</v>
      </c>
      <c r="CE92" s="592">
        <v>0.0</v>
      </c>
      <c r="CF92" s="592"/>
      <c r="CG92" s="592">
        <v>0.0</v>
      </c>
      <c r="CH92" s="592"/>
      <c r="CI92" s="633"/>
      <c r="CJ92" s="592">
        <v>0.0</v>
      </c>
      <c r="CK92" s="479" t="s">
        <v>365</v>
      </c>
      <c r="CL92" s="592"/>
      <c r="CM92" s="593"/>
      <c r="CN92" s="538"/>
      <c r="CO92" s="538"/>
      <c r="CP92" s="538"/>
      <c r="CQ92" s="538"/>
      <c r="CR92" s="538"/>
      <c r="CS92" s="538"/>
      <c r="CT92" s="538"/>
      <c r="CU92" s="538"/>
      <c r="CV92" s="538"/>
      <c r="CW92" s="538"/>
      <c r="CX92" s="538"/>
      <c r="CY92" s="538"/>
      <c r="CZ92" s="538"/>
      <c r="DA92" s="538"/>
      <c r="DB92" s="538"/>
      <c r="DC92" s="538"/>
      <c r="DD92" s="538"/>
      <c r="DE92" s="538"/>
      <c r="DF92" s="538"/>
      <c r="DG92" s="538"/>
      <c r="DH92" s="538"/>
      <c r="DI92" s="538"/>
      <c r="DJ92" s="538"/>
      <c r="DK92" s="538"/>
      <c r="DL92" s="538"/>
      <c r="DM92" s="538"/>
      <c r="DN92" s="538"/>
      <c r="DO92" s="538"/>
      <c r="DP92" s="538"/>
      <c r="DQ92" s="538"/>
      <c r="DR92" s="538"/>
      <c r="DS92" s="538"/>
      <c r="DT92" s="538"/>
      <c r="DU92" s="538"/>
      <c r="DV92" s="538"/>
      <c r="DW92" s="538"/>
      <c r="DX92" s="538"/>
      <c r="DY92" s="538"/>
      <c r="DZ92" s="538"/>
      <c r="EA92" s="538"/>
      <c r="EB92" s="538"/>
      <c r="EC92" s="538"/>
      <c r="ED92" s="538"/>
      <c r="EE92" s="538"/>
      <c r="EF92" s="538"/>
      <c r="EG92" s="538"/>
      <c r="EH92" s="538"/>
      <c r="EI92" s="538"/>
      <c r="EJ92" s="538"/>
      <c r="EK92" s="538"/>
      <c r="EL92" s="538"/>
      <c r="EM92" s="538"/>
      <c r="EN92" s="538"/>
      <c r="EO92" s="538"/>
      <c r="EP92" s="538"/>
      <c r="EQ92" s="538"/>
      <c r="ER92" s="538"/>
      <c r="ES92" s="538"/>
      <c r="ET92" s="538"/>
      <c r="EU92" s="538"/>
      <c r="EV92" s="538"/>
      <c r="EW92" s="538"/>
      <c r="EX92" s="559"/>
      <c r="EY92" s="559"/>
      <c r="EZ92" s="559"/>
      <c r="FA92" s="559"/>
      <c r="FB92" s="559"/>
      <c r="FC92" s="559"/>
      <c r="FD92" s="559"/>
      <c r="FE92" s="559"/>
      <c r="FF92" s="559"/>
      <c r="FG92" s="559"/>
      <c r="FH92" s="559"/>
      <c r="FI92" s="559"/>
      <c r="FJ92" s="559"/>
      <c r="FK92" s="559"/>
      <c r="FL92" s="559"/>
      <c r="FM92" s="559"/>
      <c r="FN92" s="559"/>
      <c r="FO92" s="559"/>
      <c r="FP92" s="559"/>
      <c r="FQ92" s="559"/>
      <c r="FR92" s="559"/>
      <c r="FS92" s="559"/>
      <c r="FT92" s="559"/>
      <c r="FU92" s="559"/>
      <c r="FV92" s="559"/>
      <c r="FW92" s="559"/>
      <c r="FX92" s="559"/>
      <c r="FY92" s="559"/>
      <c r="FZ92" s="559"/>
      <c r="GA92" s="559"/>
      <c r="GB92" s="559"/>
      <c r="GC92" s="559"/>
      <c r="GD92" s="559"/>
      <c r="GE92" s="559"/>
      <c r="GF92" s="559"/>
      <c r="GG92" s="559"/>
      <c r="GH92" s="559"/>
    </row>
    <row r="93">
      <c r="A93" s="538"/>
      <c r="B93" s="156"/>
      <c r="C93" s="444"/>
      <c r="D93" s="614"/>
      <c r="E93" s="66"/>
      <c r="F93" s="642"/>
      <c r="G93" s="642"/>
      <c r="H93" s="615"/>
      <c r="I93" s="616" t="s">
        <v>365</v>
      </c>
      <c r="J93" s="624"/>
      <c r="K93" s="643"/>
      <c r="L93" s="640"/>
      <c r="M93" s="625"/>
      <c r="N93" s="617"/>
      <c r="O93" s="134"/>
      <c r="P93" s="57"/>
      <c r="Q93" s="57"/>
      <c r="S93" s="605"/>
      <c r="U93" s="573"/>
      <c r="V93" s="574"/>
      <c r="W93" s="618"/>
      <c r="X93" s="576">
        <v>0.0</v>
      </c>
      <c r="Y93" s="630">
        <v>0.0</v>
      </c>
      <c r="Z93" s="630" t="s">
        <v>365</v>
      </c>
      <c r="AA93" s="631" t="b">
        <v>0</v>
      </c>
      <c r="AB93" s="631"/>
      <c r="AC93" s="576"/>
      <c r="AD93" s="479">
        <v>0.0</v>
      </c>
      <c r="AE93" s="632"/>
      <c r="AF93" s="582" t="s">
        <v>365</v>
      </c>
      <c r="AG93" s="583"/>
      <c r="AH93" s="584"/>
      <c r="AI93" s="583"/>
      <c r="AJ93" s="585"/>
      <c r="AK93" s="583"/>
      <c r="AL93" s="584"/>
      <c r="AM93" s="583"/>
      <c r="AN93" s="585"/>
      <c r="AO93" s="583"/>
      <c r="AP93" s="584"/>
      <c r="AQ93" s="583"/>
      <c r="AR93" s="585"/>
      <c r="AS93" s="583"/>
      <c r="AT93" s="584"/>
      <c r="AU93" s="583"/>
      <c r="AV93" s="585"/>
      <c r="AW93" s="583"/>
      <c r="AX93" s="584"/>
      <c r="AY93" s="583"/>
      <c r="AZ93" s="585"/>
      <c r="BA93" s="583"/>
      <c r="BB93" s="584"/>
      <c r="BC93" s="583"/>
      <c r="BD93" s="585"/>
      <c r="BE93" s="583"/>
      <c r="BF93" s="584"/>
      <c r="BG93" s="583"/>
      <c r="BH93" s="585"/>
      <c r="BI93" s="583"/>
      <c r="BJ93" s="584"/>
      <c r="BK93" s="583"/>
      <c r="BL93" s="585"/>
      <c r="BM93" s="583"/>
      <c r="BN93" s="584"/>
      <c r="BO93" s="583"/>
      <c r="BP93" s="585"/>
      <c r="BQ93" s="583"/>
      <c r="BR93" s="584"/>
      <c r="BS93" s="583"/>
      <c r="BT93" s="586"/>
      <c r="BU93" s="540"/>
      <c r="BV93" s="540"/>
      <c r="BW93" s="540"/>
      <c r="BX93" s="538"/>
      <c r="BY93" s="538"/>
      <c r="BZ93" s="592"/>
      <c r="CA93" s="633"/>
      <c r="CB93" s="592" t="s">
        <v>365</v>
      </c>
      <c r="CC93" s="592">
        <v>0.0</v>
      </c>
      <c r="CD93" s="592" t="s">
        <v>365</v>
      </c>
      <c r="CE93" s="592">
        <v>0.0</v>
      </c>
      <c r="CF93" s="592"/>
      <c r="CG93" s="592">
        <v>0.0</v>
      </c>
      <c r="CH93" s="592"/>
      <c r="CI93" s="633"/>
      <c r="CJ93" s="592">
        <v>0.0</v>
      </c>
      <c r="CK93" s="479" t="s">
        <v>365</v>
      </c>
      <c r="CL93" s="592"/>
      <c r="CM93" s="593"/>
      <c r="CN93" s="538"/>
      <c r="CO93" s="538"/>
      <c r="CP93" s="538"/>
      <c r="CQ93" s="538"/>
      <c r="CR93" s="538"/>
      <c r="CS93" s="538"/>
      <c r="CT93" s="538"/>
      <c r="CU93" s="538"/>
      <c r="CV93" s="538"/>
      <c r="CW93" s="538"/>
      <c r="CX93" s="538"/>
      <c r="CY93" s="538"/>
      <c r="CZ93" s="538"/>
      <c r="DA93" s="538"/>
      <c r="DB93" s="538"/>
      <c r="DC93" s="538"/>
      <c r="DD93" s="538"/>
      <c r="DE93" s="538"/>
      <c r="DF93" s="538"/>
      <c r="DG93" s="538"/>
      <c r="DH93" s="538"/>
      <c r="DI93" s="538"/>
      <c r="DJ93" s="538"/>
      <c r="DK93" s="538"/>
      <c r="DL93" s="538"/>
      <c r="DM93" s="538"/>
      <c r="DN93" s="538"/>
      <c r="DO93" s="538"/>
      <c r="DP93" s="538"/>
      <c r="DQ93" s="538"/>
      <c r="DR93" s="538"/>
      <c r="DS93" s="538"/>
      <c r="DT93" s="538"/>
      <c r="DU93" s="538"/>
      <c r="DV93" s="538"/>
      <c r="DW93" s="538"/>
      <c r="DX93" s="538"/>
      <c r="DY93" s="538"/>
      <c r="DZ93" s="538"/>
      <c r="EA93" s="538"/>
      <c r="EB93" s="538"/>
      <c r="EC93" s="538"/>
      <c r="ED93" s="538"/>
      <c r="EE93" s="538"/>
      <c r="EF93" s="538"/>
      <c r="EG93" s="538"/>
      <c r="EH93" s="538"/>
      <c r="EI93" s="538"/>
      <c r="EJ93" s="538"/>
      <c r="EK93" s="538"/>
      <c r="EL93" s="538"/>
      <c r="EM93" s="538"/>
      <c r="EN93" s="538"/>
      <c r="EO93" s="538"/>
      <c r="EP93" s="538"/>
      <c r="EQ93" s="538"/>
      <c r="ER93" s="538"/>
      <c r="ES93" s="538"/>
      <c r="ET93" s="538"/>
      <c r="EU93" s="538"/>
      <c r="EV93" s="538"/>
      <c r="EW93" s="538"/>
      <c r="EX93" s="559"/>
      <c r="EY93" s="559"/>
      <c r="EZ93" s="559"/>
      <c r="FA93" s="559"/>
      <c r="FB93" s="559"/>
      <c r="FC93" s="559"/>
      <c r="FD93" s="559"/>
      <c r="FE93" s="559"/>
      <c r="FF93" s="559"/>
      <c r="FG93" s="559"/>
      <c r="FH93" s="559"/>
      <c r="FI93" s="559"/>
      <c r="FJ93" s="559"/>
      <c r="FK93" s="559"/>
      <c r="FL93" s="559"/>
      <c r="FM93" s="559"/>
      <c r="FN93" s="559"/>
      <c r="FO93" s="559"/>
      <c r="FP93" s="559"/>
      <c r="FQ93" s="559"/>
      <c r="FR93" s="559"/>
      <c r="FS93" s="559"/>
      <c r="FT93" s="559"/>
      <c r="FU93" s="559"/>
      <c r="FV93" s="559"/>
      <c r="FW93" s="559"/>
      <c r="FX93" s="559"/>
      <c r="FY93" s="559"/>
      <c r="FZ93" s="559"/>
      <c r="GA93" s="559"/>
      <c r="GB93" s="559"/>
      <c r="GC93" s="559"/>
      <c r="GD93" s="559"/>
      <c r="GE93" s="559"/>
      <c r="GF93" s="559"/>
      <c r="GG93" s="559"/>
      <c r="GH93" s="559"/>
    </row>
    <row r="94">
      <c r="A94" s="538"/>
      <c r="B94" s="156"/>
      <c r="C94" s="444"/>
      <c r="D94" s="614"/>
      <c r="E94" s="68"/>
      <c r="F94" s="644"/>
      <c r="G94" s="644"/>
      <c r="H94" s="627"/>
      <c r="I94" s="622" t="s">
        <v>365</v>
      </c>
      <c r="J94" s="607"/>
      <c r="K94" s="641"/>
      <c r="L94" s="628"/>
      <c r="M94" s="626"/>
      <c r="N94" s="619"/>
      <c r="O94" s="560"/>
      <c r="P94" s="47"/>
      <c r="Q94" s="47"/>
      <c r="S94" s="572"/>
      <c r="U94" s="573"/>
      <c r="V94" s="574"/>
      <c r="W94" s="618"/>
      <c r="X94" s="576">
        <v>0.0</v>
      </c>
      <c r="Y94" s="630">
        <v>0.0</v>
      </c>
      <c r="Z94" s="630" t="s">
        <v>365</v>
      </c>
      <c r="AA94" s="631" t="b">
        <v>0</v>
      </c>
      <c r="AB94" s="631"/>
      <c r="AC94" s="576"/>
      <c r="AD94" s="479">
        <v>0.0</v>
      </c>
      <c r="AE94" s="632"/>
      <c r="AF94" s="582" t="s">
        <v>365</v>
      </c>
      <c r="AG94" s="583"/>
      <c r="AH94" s="584"/>
      <c r="AI94" s="583"/>
      <c r="AJ94" s="585"/>
      <c r="AK94" s="583"/>
      <c r="AL94" s="584"/>
      <c r="AM94" s="583"/>
      <c r="AN94" s="585"/>
      <c r="AO94" s="583"/>
      <c r="AP94" s="584"/>
      <c r="AQ94" s="583"/>
      <c r="AR94" s="585"/>
      <c r="AS94" s="583"/>
      <c r="AT94" s="584"/>
      <c r="AU94" s="583"/>
      <c r="AV94" s="585"/>
      <c r="AW94" s="583"/>
      <c r="AX94" s="584"/>
      <c r="AY94" s="583"/>
      <c r="AZ94" s="585"/>
      <c r="BA94" s="583"/>
      <c r="BB94" s="584"/>
      <c r="BC94" s="583"/>
      <c r="BD94" s="585"/>
      <c r="BE94" s="583"/>
      <c r="BF94" s="584"/>
      <c r="BG94" s="583"/>
      <c r="BH94" s="585"/>
      <c r="BI94" s="583"/>
      <c r="BJ94" s="584"/>
      <c r="BK94" s="583"/>
      <c r="BL94" s="585"/>
      <c r="BM94" s="583"/>
      <c r="BN94" s="584"/>
      <c r="BO94" s="583"/>
      <c r="BP94" s="585"/>
      <c r="BQ94" s="583"/>
      <c r="BR94" s="584"/>
      <c r="BS94" s="583"/>
      <c r="BT94" s="586"/>
      <c r="BU94" s="540"/>
      <c r="BV94" s="540"/>
      <c r="BW94" s="540"/>
      <c r="BX94" s="538"/>
      <c r="BY94" s="538"/>
      <c r="BZ94" s="592"/>
      <c r="CA94" s="633"/>
      <c r="CB94" s="592" t="s">
        <v>365</v>
      </c>
      <c r="CC94" s="592">
        <v>0.0</v>
      </c>
      <c r="CD94" s="592" t="s">
        <v>365</v>
      </c>
      <c r="CE94" s="592">
        <v>0.0</v>
      </c>
      <c r="CF94" s="592"/>
      <c r="CG94" s="592">
        <v>0.0</v>
      </c>
      <c r="CH94" s="592"/>
      <c r="CI94" s="633"/>
      <c r="CJ94" s="592">
        <v>0.0</v>
      </c>
      <c r="CK94" s="479" t="s">
        <v>365</v>
      </c>
      <c r="CL94" s="592"/>
      <c r="CM94" s="593"/>
      <c r="CN94" s="538"/>
      <c r="CO94" s="538"/>
      <c r="CP94" s="538"/>
      <c r="CQ94" s="538"/>
      <c r="CR94" s="538"/>
      <c r="CS94" s="538"/>
      <c r="CT94" s="538"/>
      <c r="CU94" s="538"/>
      <c r="CV94" s="538"/>
      <c r="CW94" s="538"/>
      <c r="CX94" s="538"/>
      <c r="CY94" s="538"/>
      <c r="CZ94" s="538"/>
      <c r="DA94" s="538"/>
      <c r="DB94" s="538"/>
      <c r="DC94" s="538"/>
      <c r="DD94" s="538"/>
      <c r="DE94" s="538"/>
      <c r="DF94" s="538"/>
      <c r="DG94" s="538"/>
      <c r="DH94" s="538"/>
      <c r="DI94" s="538"/>
      <c r="DJ94" s="538"/>
      <c r="DK94" s="538"/>
      <c r="DL94" s="538"/>
      <c r="DM94" s="538"/>
      <c r="DN94" s="538"/>
      <c r="DO94" s="538"/>
      <c r="DP94" s="538"/>
      <c r="DQ94" s="538"/>
      <c r="DR94" s="538"/>
      <c r="DS94" s="538"/>
      <c r="DT94" s="538"/>
      <c r="DU94" s="538"/>
      <c r="DV94" s="538"/>
      <c r="DW94" s="538"/>
      <c r="DX94" s="538"/>
      <c r="DY94" s="538"/>
      <c r="DZ94" s="538"/>
      <c r="EA94" s="538"/>
      <c r="EB94" s="538"/>
      <c r="EC94" s="538"/>
      <c r="ED94" s="538"/>
      <c r="EE94" s="538"/>
      <c r="EF94" s="538"/>
      <c r="EG94" s="538"/>
      <c r="EH94" s="538"/>
      <c r="EI94" s="538"/>
      <c r="EJ94" s="538"/>
      <c r="EK94" s="538"/>
      <c r="EL94" s="538"/>
      <c r="EM94" s="538"/>
      <c r="EN94" s="538"/>
      <c r="EO94" s="538"/>
      <c r="EP94" s="538"/>
      <c r="EQ94" s="538"/>
      <c r="ER94" s="538"/>
      <c r="ES94" s="538"/>
      <c r="ET94" s="538"/>
      <c r="EU94" s="538"/>
      <c r="EV94" s="538"/>
      <c r="EW94" s="538"/>
      <c r="EX94" s="559"/>
      <c r="EY94" s="559"/>
      <c r="EZ94" s="559"/>
      <c r="FA94" s="559"/>
      <c r="FB94" s="559"/>
      <c r="FC94" s="559"/>
      <c r="FD94" s="559"/>
      <c r="FE94" s="559"/>
      <c r="FF94" s="559"/>
      <c r="FG94" s="559"/>
      <c r="FH94" s="559"/>
      <c r="FI94" s="559"/>
      <c r="FJ94" s="559"/>
      <c r="FK94" s="559"/>
      <c r="FL94" s="559"/>
      <c r="FM94" s="559"/>
      <c r="FN94" s="559"/>
      <c r="FO94" s="559"/>
      <c r="FP94" s="559"/>
      <c r="FQ94" s="559"/>
      <c r="FR94" s="559"/>
      <c r="FS94" s="559"/>
      <c r="FT94" s="559"/>
      <c r="FU94" s="559"/>
      <c r="FV94" s="559"/>
      <c r="FW94" s="559"/>
      <c r="FX94" s="559"/>
      <c r="FY94" s="559"/>
      <c r="FZ94" s="559"/>
      <c r="GA94" s="559"/>
      <c r="GB94" s="559"/>
      <c r="GC94" s="559"/>
      <c r="GD94" s="559"/>
      <c r="GE94" s="559"/>
      <c r="GF94" s="559"/>
      <c r="GG94" s="559"/>
      <c r="GH94" s="559"/>
    </row>
    <row r="95">
      <c r="A95" s="538"/>
      <c r="B95" s="156"/>
      <c r="C95" s="444"/>
      <c r="D95" s="614"/>
      <c r="E95" s="66"/>
      <c r="F95" s="642"/>
      <c r="G95" s="642"/>
      <c r="H95" s="615"/>
      <c r="I95" s="616" t="s">
        <v>365</v>
      </c>
      <c r="J95" s="624"/>
      <c r="K95" s="643"/>
      <c r="L95" s="640"/>
      <c r="M95" s="625"/>
      <c r="N95" s="617"/>
      <c r="O95" s="134"/>
      <c r="P95" s="57"/>
      <c r="Q95" s="57"/>
      <c r="S95" s="605"/>
      <c r="U95" s="573"/>
      <c r="V95" s="574"/>
      <c r="W95" s="618"/>
      <c r="X95" s="576">
        <v>0.0</v>
      </c>
      <c r="Y95" s="630">
        <v>0.0</v>
      </c>
      <c r="Z95" s="630" t="s">
        <v>365</v>
      </c>
      <c r="AA95" s="631" t="b">
        <v>0</v>
      </c>
      <c r="AB95" s="631"/>
      <c r="AC95" s="576"/>
      <c r="AD95" s="479">
        <v>0.0</v>
      </c>
      <c r="AE95" s="632"/>
      <c r="AF95" s="582" t="s">
        <v>365</v>
      </c>
      <c r="AG95" s="583"/>
      <c r="AH95" s="584"/>
      <c r="AI95" s="583"/>
      <c r="AJ95" s="585"/>
      <c r="AK95" s="583"/>
      <c r="AL95" s="584"/>
      <c r="AM95" s="583"/>
      <c r="AN95" s="585"/>
      <c r="AO95" s="583"/>
      <c r="AP95" s="584"/>
      <c r="AQ95" s="583"/>
      <c r="AR95" s="585"/>
      <c r="AS95" s="583"/>
      <c r="AT95" s="584"/>
      <c r="AU95" s="583"/>
      <c r="AV95" s="585"/>
      <c r="AW95" s="583"/>
      <c r="AX95" s="584"/>
      <c r="AY95" s="583"/>
      <c r="AZ95" s="585"/>
      <c r="BA95" s="583"/>
      <c r="BB95" s="584"/>
      <c r="BC95" s="583"/>
      <c r="BD95" s="585"/>
      <c r="BE95" s="583"/>
      <c r="BF95" s="584"/>
      <c r="BG95" s="583"/>
      <c r="BH95" s="585"/>
      <c r="BI95" s="583"/>
      <c r="BJ95" s="584"/>
      <c r="BK95" s="583"/>
      <c r="BL95" s="585"/>
      <c r="BM95" s="583"/>
      <c r="BN95" s="584"/>
      <c r="BO95" s="583"/>
      <c r="BP95" s="585"/>
      <c r="BQ95" s="583"/>
      <c r="BR95" s="584"/>
      <c r="BS95" s="583"/>
      <c r="BT95" s="586"/>
      <c r="BU95" s="540"/>
      <c r="BV95" s="540"/>
      <c r="BW95" s="540"/>
      <c r="BX95" s="538"/>
      <c r="BY95" s="538"/>
      <c r="BZ95" s="592"/>
      <c r="CA95" s="633"/>
      <c r="CB95" s="592" t="s">
        <v>365</v>
      </c>
      <c r="CC95" s="592">
        <v>0.0</v>
      </c>
      <c r="CD95" s="592" t="s">
        <v>365</v>
      </c>
      <c r="CE95" s="592">
        <v>0.0</v>
      </c>
      <c r="CF95" s="592"/>
      <c r="CG95" s="592">
        <v>0.0</v>
      </c>
      <c r="CH95" s="592"/>
      <c r="CI95" s="633"/>
      <c r="CJ95" s="592">
        <v>0.0</v>
      </c>
      <c r="CK95" s="479" t="s">
        <v>365</v>
      </c>
      <c r="CL95" s="592"/>
      <c r="CM95" s="593"/>
      <c r="CN95" s="538"/>
      <c r="CO95" s="538"/>
      <c r="CP95" s="538"/>
      <c r="CQ95" s="538"/>
      <c r="CR95" s="538"/>
      <c r="CS95" s="538"/>
      <c r="CT95" s="538"/>
      <c r="CU95" s="538"/>
      <c r="CV95" s="538"/>
      <c r="CW95" s="538"/>
      <c r="CX95" s="538"/>
      <c r="CY95" s="538"/>
      <c r="CZ95" s="538"/>
      <c r="DA95" s="538"/>
      <c r="DB95" s="538"/>
      <c r="DC95" s="538"/>
      <c r="DD95" s="538"/>
      <c r="DE95" s="538"/>
      <c r="DF95" s="538"/>
      <c r="DG95" s="538"/>
      <c r="DH95" s="538"/>
      <c r="DI95" s="538"/>
      <c r="DJ95" s="538"/>
      <c r="DK95" s="538"/>
      <c r="DL95" s="538"/>
      <c r="DM95" s="538"/>
      <c r="DN95" s="538"/>
      <c r="DO95" s="538"/>
      <c r="DP95" s="538"/>
      <c r="DQ95" s="538"/>
      <c r="DR95" s="538"/>
      <c r="DS95" s="538"/>
      <c r="DT95" s="538"/>
      <c r="DU95" s="538"/>
      <c r="DV95" s="538"/>
      <c r="DW95" s="538"/>
      <c r="DX95" s="538"/>
      <c r="DY95" s="538"/>
      <c r="DZ95" s="538"/>
      <c r="EA95" s="538"/>
      <c r="EB95" s="538"/>
      <c r="EC95" s="538"/>
      <c r="ED95" s="538"/>
      <c r="EE95" s="538"/>
      <c r="EF95" s="538"/>
      <c r="EG95" s="538"/>
      <c r="EH95" s="538"/>
      <c r="EI95" s="538"/>
      <c r="EJ95" s="538"/>
      <c r="EK95" s="538"/>
      <c r="EL95" s="538"/>
      <c r="EM95" s="538"/>
      <c r="EN95" s="538"/>
      <c r="EO95" s="538"/>
      <c r="EP95" s="538"/>
      <c r="EQ95" s="538"/>
      <c r="ER95" s="538"/>
      <c r="ES95" s="538"/>
      <c r="ET95" s="538"/>
      <c r="EU95" s="538"/>
      <c r="EV95" s="538"/>
      <c r="EW95" s="538"/>
      <c r="EX95" s="559"/>
      <c r="EY95" s="559"/>
      <c r="EZ95" s="559"/>
      <c r="FA95" s="559"/>
      <c r="FB95" s="559"/>
      <c r="FC95" s="559"/>
      <c r="FD95" s="559"/>
      <c r="FE95" s="559"/>
      <c r="FF95" s="559"/>
      <c r="FG95" s="559"/>
      <c r="FH95" s="559"/>
      <c r="FI95" s="559"/>
      <c r="FJ95" s="559"/>
      <c r="FK95" s="559"/>
      <c r="FL95" s="559"/>
      <c r="FM95" s="559"/>
      <c r="FN95" s="559"/>
      <c r="FO95" s="559"/>
      <c r="FP95" s="559"/>
      <c r="FQ95" s="559"/>
      <c r="FR95" s="559"/>
      <c r="FS95" s="559"/>
      <c r="FT95" s="559"/>
      <c r="FU95" s="559"/>
      <c r="FV95" s="559"/>
      <c r="FW95" s="559"/>
      <c r="FX95" s="559"/>
      <c r="FY95" s="559"/>
      <c r="FZ95" s="559"/>
      <c r="GA95" s="559"/>
      <c r="GB95" s="559"/>
      <c r="GC95" s="559"/>
      <c r="GD95" s="559"/>
      <c r="GE95" s="559"/>
      <c r="GF95" s="559"/>
      <c r="GG95" s="559"/>
      <c r="GH95" s="559"/>
    </row>
    <row r="96">
      <c r="A96" s="538"/>
      <c r="B96" s="156"/>
      <c r="C96" s="444"/>
      <c r="D96" s="614"/>
      <c r="E96" s="68"/>
      <c r="F96" s="644"/>
      <c r="G96" s="644"/>
      <c r="H96" s="627"/>
      <c r="I96" s="622" t="s">
        <v>365</v>
      </c>
      <c r="J96" s="607"/>
      <c r="K96" s="641"/>
      <c r="L96" s="628"/>
      <c r="M96" s="626"/>
      <c r="N96" s="619"/>
      <c r="O96" s="560"/>
      <c r="P96" s="47"/>
      <c r="Q96" s="47"/>
      <c r="S96" s="572"/>
      <c r="U96" s="573"/>
      <c r="V96" s="574"/>
      <c r="W96" s="618"/>
      <c r="X96" s="576">
        <v>0.0</v>
      </c>
      <c r="Y96" s="630">
        <v>0.0</v>
      </c>
      <c r="Z96" s="630" t="s">
        <v>365</v>
      </c>
      <c r="AA96" s="631" t="b">
        <v>0</v>
      </c>
      <c r="AB96" s="631"/>
      <c r="AC96" s="576"/>
      <c r="AD96" s="479">
        <v>0.0</v>
      </c>
      <c r="AE96" s="632"/>
      <c r="AF96" s="582" t="s">
        <v>365</v>
      </c>
      <c r="AG96" s="583"/>
      <c r="AH96" s="584"/>
      <c r="AI96" s="583"/>
      <c r="AJ96" s="585"/>
      <c r="AK96" s="583"/>
      <c r="AL96" s="584"/>
      <c r="AM96" s="583"/>
      <c r="AN96" s="585"/>
      <c r="AO96" s="583"/>
      <c r="AP96" s="584"/>
      <c r="AQ96" s="583"/>
      <c r="AR96" s="585"/>
      <c r="AS96" s="583"/>
      <c r="AT96" s="584"/>
      <c r="AU96" s="583"/>
      <c r="AV96" s="585"/>
      <c r="AW96" s="583"/>
      <c r="AX96" s="584"/>
      <c r="AY96" s="583"/>
      <c r="AZ96" s="585"/>
      <c r="BA96" s="583"/>
      <c r="BB96" s="584"/>
      <c r="BC96" s="583"/>
      <c r="BD96" s="585"/>
      <c r="BE96" s="583"/>
      <c r="BF96" s="584"/>
      <c r="BG96" s="583"/>
      <c r="BH96" s="585"/>
      <c r="BI96" s="583"/>
      <c r="BJ96" s="584"/>
      <c r="BK96" s="583"/>
      <c r="BL96" s="585"/>
      <c r="BM96" s="583"/>
      <c r="BN96" s="584"/>
      <c r="BO96" s="583"/>
      <c r="BP96" s="585"/>
      <c r="BQ96" s="583"/>
      <c r="BR96" s="584"/>
      <c r="BS96" s="583"/>
      <c r="BT96" s="586"/>
      <c r="BU96" s="540"/>
      <c r="BV96" s="540"/>
      <c r="BW96" s="540"/>
      <c r="BX96" s="538"/>
      <c r="BY96" s="538"/>
      <c r="BZ96" s="592"/>
      <c r="CA96" s="633"/>
      <c r="CB96" s="592" t="s">
        <v>365</v>
      </c>
      <c r="CC96" s="592">
        <v>0.0</v>
      </c>
      <c r="CD96" s="592" t="s">
        <v>365</v>
      </c>
      <c r="CE96" s="592">
        <v>0.0</v>
      </c>
      <c r="CF96" s="592"/>
      <c r="CG96" s="592">
        <v>0.0</v>
      </c>
      <c r="CH96" s="592"/>
      <c r="CI96" s="633"/>
      <c r="CJ96" s="592">
        <v>0.0</v>
      </c>
      <c r="CK96" s="479" t="s">
        <v>365</v>
      </c>
      <c r="CL96" s="592"/>
      <c r="CM96" s="593"/>
      <c r="CN96" s="538"/>
      <c r="CO96" s="538"/>
      <c r="CP96" s="538"/>
      <c r="CQ96" s="538"/>
      <c r="CR96" s="538"/>
      <c r="CS96" s="538"/>
      <c r="CT96" s="538"/>
      <c r="CU96" s="538"/>
      <c r="CV96" s="538"/>
      <c r="CW96" s="538"/>
      <c r="CX96" s="538"/>
      <c r="CY96" s="538"/>
      <c r="CZ96" s="538"/>
      <c r="DA96" s="538"/>
      <c r="DB96" s="538"/>
      <c r="DC96" s="538"/>
      <c r="DD96" s="538"/>
      <c r="DE96" s="538"/>
      <c r="DF96" s="538"/>
      <c r="DG96" s="538"/>
      <c r="DH96" s="538"/>
      <c r="DI96" s="538"/>
      <c r="DJ96" s="538"/>
      <c r="DK96" s="538"/>
      <c r="DL96" s="538"/>
      <c r="DM96" s="538"/>
      <c r="DN96" s="538"/>
      <c r="DO96" s="538"/>
      <c r="DP96" s="538"/>
      <c r="DQ96" s="538"/>
      <c r="DR96" s="538"/>
      <c r="DS96" s="538"/>
      <c r="DT96" s="538"/>
      <c r="DU96" s="538"/>
      <c r="DV96" s="538"/>
      <c r="DW96" s="538"/>
      <c r="DX96" s="538"/>
      <c r="DY96" s="538"/>
      <c r="DZ96" s="538"/>
      <c r="EA96" s="538"/>
      <c r="EB96" s="538"/>
      <c r="EC96" s="538"/>
      <c r="ED96" s="538"/>
      <c r="EE96" s="538"/>
      <c r="EF96" s="538"/>
      <c r="EG96" s="538"/>
      <c r="EH96" s="538"/>
      <c r="EI96" s="538"/>
      <c r="EJ96" s="538"/>
      <c r="EK96" s="538"/>
      <c r="EL96" s="538"/>
      <c r="EM96" s="538"/>
      <c r="EN96" s="538"/>
      <c r="EO96" s="538"/>
      <c r="EP96" s="538"/>
      <c r="EQ96" s="538"/>
      <c r="ER96" s="538"/>
      <c r="ES96" s="538"/>
      <c r="ET96" s="538"/>
      <c r="EU96" s="538"/>
      <c r="EV96" s="538"/>
      <c r="EW96" s="538"/>
      <c r="EX96" s="559"/>
      <c r="EY96" s="559"/>
      <c r="EZ96" s="559"/>
      <c r="FA96" s="559"/>
      <c r="FB96" s="559"/>
      <c r="FC96" s="559"/>
      <c r="FD96" s="559"/>
      <c r="FE96" s="559"/>
      <c r="FF96" s="559"/>
      <c r="FG96" s="559"/>
      <c r="FH96" s="559"/>
      <c r="FI96" s="559"/>
      <c r="FJ96" s="559"/>
      <c r="FK96" s="559"/>
      <c r="FL96" s="559"/>
      <c r="FM96" s="559"/>
      <c r="FN96" s="559"/>
      <c r="FO96" s="559"/>
      <c r="FP96" s="559"/>
      <c r="FQ96" s="559"/>
      <c r="FR96" s="559"/>
      <c r="FS96" s="559"/>
      <c r="FT96" s="559"/>
      <c r="FU96" s="559"/>
      <c r="FV96" s="559"/>
      <c r="FW96" s="559"/>
      <c r="FX96" s="559"/>
      <c r="FY96" s="559"/>
      <c r="FZ96" s="559"/>
      <c r="GA96" s="559"/>
      <c r="GB96" s="559"/>
      <c r="GC96" s="559"/>
      <c r="GD96" s="559"/>
      <c r="GE96" s="559"/>
      <c r="GF96" s="559"/>
      <c r="GG96" s="559"/>
      <c r="GH96" s="559"/>
    </row>
    <row r="97">
      <c r="A97" s="538"/>
      <c r="B97" s="156"/>
      <c r="C97" s="444"/>
      <c r="D97" s="614"/>
      <c r="E97" s="66"/>
      <c r="F97" s="642"/>
      <c r="G97" s="642"/>
      <c r="H97" s="615"/>
      <c r="I97" s="616" t="s">
        <v>365</v>
      </c>
      <c r="J97" s="624"/>
      <c r="K97" s="643"/>
      <c r="L97" s="640"/>
      <c r="M97" s="625"/>
      <c r="N97" s="617"/>
      <c r="O97" s="134"/>
      <c r="P97" s="57"/>
      <c r="Q97" s="57"/>
      <c r="S97" s="605"/>
      <c r="U97" s="573"/>
      <c r="V97" s="574"/>
      <c r="W97" s="618"/>
      <c r="X97" s="576">
        <v>0.0</v>
      </c>
      <c r="Y97" s="630">
        <v>0.0</v>
      </c>
      <c r="Z97" s="630" t="s">
        <v>365</v>
      </c>
      <c r="AA97" s="631" t="b">
        <v>0</v>
      </c>
      <c r="AB97" s="631"/>
      <c r="AC97" s="576"/>
      <c r="AD97" s="479">
        <v>0.0</v>
      </c>
      <c r="AE97" s="632"/>
      <c r="AF97" s="582" t="s">
        <v>365</v>
      </c>
      <c r="AG97" s="583"/>
      <c r="AH97" s="584"/>
      <c r="AI97" s="583"/>
      <c r="AJ97" s="585"/>
      <c r="AK97" s="583"/>
      <c r="AL97" s="584"/>
      <c r="AM97" s="583"/>
      <c r="AN97" s="585"/>
      <c r="AO97" s="583"/>
      <c r="AP97" s="584"/>
      <c r="AQ97" s="583"/>
      <c r="AR97" s="585"/>
      <c r="AS97" s="583"/>
      <c r="AT97" s="584"/>
      <c r="AU97" s="583"/>
      <c r="AV97" s="585"/>
      <c r="AW97" s="583"/>
      <c r="AX97" s="584"/>
      <c r="AY97" s="583"/>
      <c r="AZ97" s="585"/>
      <c r="BA97" s="583"/>
      <c r="BB97" s="584"/>
      <c r="BC97" s="583"/>
      <c r="BD97" s="585"/>
      <c r="BE97" s="583"/>
      <c r="BF97" s="584"/>
      <c r="BG97" s="583"/>
      <c r="BH97" s="585"/>
      <c r="BI97" s="583"/>
      <c r="BJ97" s="584"/>
      <c r="BK97" s="583"/>
      <c r="BL97" s="585"/>
      <c r="BM97" s="583"/>
      <c r="BN97" s="584"/>
      <c r="BO97" s="583"/>
      <c r="BP97" s="585"/>
      <c r="BQ97" s="583"/>
      <c r="BR97" s="584"/>
      <c r="BS97" s="583"/>
      <c r="BT97" s="586"/>
      <c r="BU97" s="540"/>
      <c r="BV97" s="540"/>
      <c r="BW97" s="540"/>
      <c r="BX97" s="538"/>
      <c r="BY97" s="538"/>
      <c r="BZ97" s="592"/>
      <c r="CA97" s="633"/>
      <c r="CB97" s="592" t="s">
        <v>365</v>
      </c>
      <c r="CC97" s="592">
        <v>0.0</v>
      </c>
      <c r="CD97" s="592" t="s">
        <v>365</v>
      </c>
      <c r="CE97" s="592">
        <v>0.0</v>
      </c>
      <c r="CF97" s="592"/>
      <c r="CG97" s="592">
        <v>0.0</v>
      </c>
      <c r="CH97" s="592"/>
      <c r="CI97" s="633"/>
      <c r="CJ97" s="592">
        <v>0.0</v>
      </c>
      <c r="CK97" s="479" t="s">
        <v>365</v>
      </c>
      <c r="CL97" s="592"/>
      <c r="CM97" s="593"/>
      <c r="CN97" s="538"/>
      <c r="CO97" s="538"/>
      <c r="CP97" s="538"/>
      <c r="CQ97" s="538"/>
      <c r="CR97" s="538"/>
      <c r="CS97" s="538"/>
      <c r="CT97" s="538"/>
      <c r="CU97" s="538"/>
      <c r="CV97" s="538"/>
      <c r="CW97" s="538"/>
      <c r="CX97" s="538"/>
      <c r="CY97" s="538"/>
      <c r="CZ97" s="538"/>
      <c r="DA97" s="538"/>
      <c r="DB97" s="538"/>
      <c r="DC97" s="538"/>
      <c r="DD97" s="538"/>
      <c r="DE97" s="538"/>
      <c r="DF97" s="538"/>
      <c r="DG97" s="538"/>
      <c r="DH97" s="538"/>
      <c r="DI97" s="538"/>
      <c r="DJ97" s="538"/>
      <c r="DK97" s="538"/>
      <c r="DL97" s="538"/>
      <c r="DM97" s="538"/>
      <c r="DN97" s="538"/>
      <c r="DO97" s="538"/>
      <c r="DP97" s="538"/>
      <c r="DQ97" s="538"/>
      <c r="DR97" s="538"/>
      <c r="DS97" s="538"/>
      <c r="DT97" s="538"/>
      <c r="DU97" s="538"/>
      <c r="DV97" s="538"/>
      <c r="DW97" s="538"/>
      <c r="DX97" s="538"/>
      <c r="DY97" s="538"/>
      <c r="DZ97" s="538"/>
      <c r="EA97" s="538"/>
      <c r="EB97" s="538"/>
      <c r="EC97" s="538"/>
      <c r="ED97" s="538"/>
      <c r="EE97" s="538"/>
      <c r="EF97" s="538"/>
      <c r="EG97" s="538"/>
      <c r="EH97" s="538"/>
      <c r="EI97" s="538"/>
      <c r="EJ97" s="538"/>
      <c r="EK97" s="538"/>
      <c r="EL97" s="538"/>
      <c r="EM97" s="538"/>
      <c r="EN97" s="538"/>
      <c r="EO97" s="538"/>
      <c r="EP97" s="538"/>
      <c r="EQ97" s="538"/>
      <c r="ER97" s="538"/>
      <c r="ES97" s="538"/>
      <c r="ET97" s="538"/>
      <c r="EU97" s="538"/>
      <c r="EV97" s="538"/>
      <c r="EW97" s="538"/>
      <c r="EX97" s="559"/>
      <c r="EY97" s="559"/>
      <c r="EZ97" s="559"/>
      <c r="FA97" s="559"/>
      <c r="FB97" s="559"/>
      <c r="FC97" s="559"/>
      <c r="FD97" s="559"/>
      <c r="FE97" s="559"/>
      <c r="FF97" s="559"/>
      <c r="FG97" s="559"/>
      <c r="FH97" s="559"/>
      <c r="FI97" s="559"/>
      <c r="FJ97" s="559"/>
      <c r="FK97" s="559"/>
      <c r="FL97" s="559"/>
      <c r="FM97" s="559"/>
      <c r="FN97" s="559"/>
      <c r="FO97" s="559"/>
      <c r="FP97" s="559"/>
      <c r="FQ97" s="559"/>
      <c r="FR97" s="559"/>
      <c r="FS97" s="559"/>
      <c r="FT97" s="559"/>
      <c r="FU97" s="559"/>
      <c r="FV97" s="559"/>
      <c r="FW97" s="559"/>
      <c r="FX97" s="559"/>
      <c r="FY97" s="559"/>
      <c r="FZ97" s="559"/>
      <c r="GA97" s="559"/>
      <c r="GB97" s="559"/>
      <c r="GC97" s="559"/>
      <c r="GD97" s="559"/>
      <c r="GE97" s="559"/>
      <c r="GF97" s="559"/>
      <c r="GG97" s="559"/>
      <c r="GH97" s="559"/>
    </row>
    <row r="98">
      <c r="A98" s="538"/>
      <c r="B98" s="156"/>
      <c r="C98" s="444"/>
      <c r="D98" s="614"/>
      <c r="E98" s="68"/>
      <c r="F98" s="644"/>
      <c r="G98" s="644"/>
      <c r="H98" s="627"/>
      <c r="I98" s="622" t="s">
        <v>365</v>
      </c>
      <c r="J98" s="607"/>
      <c r="K98" s="641"/>
      <c r="L98" s="628"/>
      <c r="M98" s="626"/>
      <c r="N98" s="619"/>
      <c r="O98" s="560"/>
      <c r="P98" s="47"/>
      <c r="Q98" s="47"/>
      <c r="S98" s="572"/>
      <c r="U98" s="573"/>
      <c r="V98" s="574"/>
      <c r="W98" s="618"/>
      <c r="X98" s="576">
        <v>0.0</v>
      </c>
      <c r="Y98" s="630">
        <v>0.0</v>
      </c>
      <c r="Z98" s="630" t="s">
        <v>365</v>
      </c>
      <c r="AA98" s="631" t="b">
        <v>0</v>
      </c>
      <c r="AB98" s="631"/>
      <c r="AC98" s="576"/>
      <c r="AD98" s="479">
        <v>0.0</v>
      </c>
      <c r="AE98" s="632"/>
      <c r="AF98" s="582" t="s">
        <v>365</v>
      </c>
      <c r="AG98" s="583"/>
      <c r="AH98" s="584"/>
      <c r="AI98" s="583"/>
      <c r="AJ98" s="585"/>
      <c r="AK98" s="583"/>
      <c r="AL98" s="584"/>
      <c r="AM98" s="583"/>
      <c r="AN98" s="585"/>
      <c r="AO98" s="583"/>
      <c r="AP98" s="584"/>
      <c r="AQ98" s="583"/>
      <c r="AR98" s="585"/>
      <c r="AS98" s="583"/>
      <c r="AT98" s="584"/>
      <c r="AU98" s="583"/>
      <c r="AV98" s="585"/>
      <c r="AW98" s="583"/>
      <c r="AX98" s="584"/>
      <c r="AY98" s="583"/>
      <c r="AZ98" s="585"/>
      <c r="BA98" s="583"/>
      <c r="BB98" s="584"/>
      <c r="BC98" s="583"/>
      <c r="BD98" s="585"/>
      <c r="BE98" s="583"/>
      <c r="BF98" s="584"/>
      <c r="BG98" s="583"/>
      <c r="BH98" s="585"/>
      <c r="BI98" s="583"/>
      <c r="BJ98" s="584"/>
      <c r="BK98" s="583"/>
      <c r="BL98" s="585"/>
      <c r="BM98" s="583"/>
      <c r="BN98" s="584"/>
      <c r="BO98" s="583"/>
      <c r="BP98" s="585"/>
      <c r="BQ98" s="583"/>
      <c r="BR98" s="584"/>
      <c r="BS98" s="583"/>
      <c r="BT98" s="586"/>
      <c r="BU98" s="540"/>
      <c r="BV98" s="540"/>
      <c r="BW98" s="540"/>
      <c r="BX98" s="538"/>
      <c r="BY98" s="538"/>
      <c r="BZ98" s="592"/>
      <c r="CA98" s="633"/>
      <c r="CB98" s="592" t="s">
        <v>365</v>
      </c>
      <c r="CC98" s="592">
        <v>0.0</v>
      </c>
      <c r="CD98" s="592" t="s">
        <v>365</v>
      </c>
      <c r="CE98" s="592">
        <v>0.0</v>
      </c>
      <c r="CF98" s="592"/>
      <c r="CG98" s="592">
        <v>0.0</v>
      </c>
      <c r="CH98" s="592"/>
      <c r="CI98" s="633"/>
      <c r="CJ98" s="592">
        <v>0.0</v>
      </c>
      <c r="CK98" s="479" t="s">
        <v>365</v>
      </c>
      <c r="CL98" s="592"/>
      <c r="CM98" s="593"/>
      <c r="CN98" s="538"/>
      <c r="CO98" s="538"/>
      <c r="CP98" s="538"/>
      <c r="CQ98" s="538"/>
      <c r="CR98" s="538"/>
      <c r="CS98" s="538"/>
      <c r="CT98" s="538"/>
      <c r="CU98" s="538"/>
      <c r="CV98" s="538"/>
      <c r="CW98" s="538"/>
      <c r="CX98" s="538"/>
      <c r="CY98" s="538"/>
      <c r="CZ98" s="538"/>
      <c r="DA98" s="538"/>
      <c r="DB98" s="538"/>
      <c r="DC98" s="538"/>
      <c r="DD98" s="538"/>
      <c r="DE98" s="538"/>
      <c r="DF98" s="538"/>
      <c r="DG98" s="538"/>
      <c r="DH98" s="538"/>
      <c r="DI98" s="538"/>
      <c r="DJ98" s="538"/>
      <c r="DK98" s="538"/>
      <c r="DL98" s="538"/>
      <c r="DM98" s="538"/>
      <c r="DN98" s="538"/>
      <c r="DO98" s="538"/>
      <c r="DP98" s="538"/>
      <c r="DQ98" s="538"/>
      <c r="DR98" s="538"/>
      <c r="DS98" s="538"/>
      <c r="DT98" s="538"/>
      <c r="DU98" s="538"/>
      <c r="DV98" s="538"/>
      <c r="DW98" s="538"/>
      <c r="DX98" s="538"/>
      <c r="DY98" s="538"/>
      <c r="DZ98" s="538"/>
      <c r="EA98" s="538"/>
      <c r="EB98" s="538"/>
      <c r="EC98" s="538"/>
      <c r="ED98" s="538"/>
      <c r="EE98" s="538"/>
      <c r="EF98" s="538"/>
      <c r="EG98" s="538"/>
      <c r="EH98" s="538"/>
      <c r="EI98" s="538"/>
      <c r="EJ98" s="538"/>
      <c r="EK98" s="538"/>
      <c r="EL98" s="538"/>
      <c r="EM98" s="538"/>
      <c r="EN98" s="538"/>
      <c r="EO98" s="538"/>
      <c r="EP98" s="538"/>
      <c r="EQ98" s="538"/>
      <c r="ER98" s="538"/>
      <c r="ES98" s="538"/>
      <c r="ET98" s="538"/>
      <c r="EU98" s="538"/>
      <c r="EV98" s="538"/>
      <c r="EW98" s="538"/>
      <c r="EX98" s="559"/>
      <c r="EY98" s="559"/>
      <c r="EZ98" s="559"/>
      <c r="FA98" s="559"/>
      <c r="FB98" s="559"/>
      <c r="FC98" s="559"/>
      <c r="FD98" s="559"/>
      <c r="FE98" s="559"/>
      <c r="FF98" s="559"/>
      <c r="FG98" s="559"/>
      <c r="FH98" s="559"/>
      <c r="FI98" s="559"/>
      <c r="FJ98" s="559"/>
      <c r="FK98" s="559"/>
      <c r="FL98" s="559"/>
      <c r="FM98" s="559"/>
      <c r="FN98" s="559"/>
      <c r="FO98" s="559"/>
      <c r="FP98" s="559"/>
      <c r="FQ98" s="559"/>
      <c r="FR98" s="559"/>
      <c r="FS98" s="559"/>
      <c r="FT98" s="559"/>
      <c r="FU98" s="559"/>
      <c r="FV98" s="559"/>
      <c r="FW98" s="559"/>
      <c r="FX98" s="559"/>
      <c r="FY98" s="559"/>
      <c r="FZ98" s="559"/>
      <c r="GA98" s="559"/>
      <c r="GB98" s="559"/>
      <c r="GC98" s="559"/>
      <c r="GD98" s="559"/>
      <c r="GE98" s="559"/>
      <c r="GF98" s="559"/>
      <c r="GG98" s="559"/>
      <c r="GH98" s="559"/>
    </row>
    <row r="99">
      <c r="A99" s="538"/>
      <c r="B99" s="156"/>
      <c r="C99" s="444"/>
      <c r="D99" s="614"/>
      <c r="E99" s="66"/>
      <c r="F99" s="642"/>
      <c r="G99" s="642"/>
      <c r="H99" s="615"/>
      <c r="I99" s="616" t="s">
        <v>365</v>
      </c>
      <c r="J99" s="624"/>
      <c r="K99" s="643"/>
      <c r="L99" s="640"/>
      <c r="M99" s="625"/>
      <c r="N99" s="617"/>
      <c r="O99" s="134"/>
      <c r="P99" s="57"/>
      <c r="Q99" s="57"/>
      <c r="S99" s="605"/>
      <c r="U99" s="573"/>
      <c r="V99" s="574"/>
      <c r="W99" s="618"/>
      <c r="X99" s="576">
        <v>0.0</v>
      </c>
      <c r="Y99" s="630">
        <v>0.0</v>
      </c>
      <c r="Z99" s="630" t="s">
        <v>365</v>
      </c>
      <c r="AA99" s="631" t="b">
        <v>0</v>
      </c>
      <c r="AB99" s="631"/>
      <c r="AC99" s="576"/>
      <c r="AD99" s="479">
        <v>0.0</v>
      </c>
      <c r="AE99" s="632"/>
      <c r="AF99" s="582" t="s">
        <v>365</v>
      </c>
      <c r="AG99" s="583"/>
      <c r="AH99" s="584"/>
      <c r="AI99" s="583"/>
      <c r="AJ99" s="585"/>
      <c r="AK99" s="583"/>
      <c r="AL99" s="584"/>
      <c r="AM99" s="583"/>
      <c r="AN99" s="585"/>
      <c r="AO99" s="583"/>
      <c r="AP99" s="584"/>
      <c r="AQ99" s="583"/>
      <c r="AR99" s="585"/>
      <c r="AS99" s="583"/>
      <c r="AT99" s="584"/>
      <c r="AU99" s="583"/>
      <c r="AV99" s="585"/>
      <c r="AW99" s="583"/>
      <c r="AX99" s="584"/>
      <c r="AY99" s="583"/>
      <c r="AZ99" s="585"/>
      <c r="BA99" s="583"/>
      <c r="BB99" s="584"/>
      <c r="BC99" s="583"/>
      <c r="BD99" s="585"/>
      <c r="BE99" s="583"/>
      <c r="BF99" s="584"/>
      <c r="BG99" s="583"/>
      <c r="BH99" s="585"/>
      <c r="BI99" s="583"/>
      <c r="BJ99" s="584"/>
      <c r="BK99" s="583"/>
      <c r="BL99" s="585"/>
      <c r="BM99" s="583"/>
      <c r="BN99" s="584"/>
      <c r="BO99" s="583"/>
      <c r="BP99" s="585"/>
      <c r="BQ99" s="583"/>
      <c r="BR99" s="584"/>
      <c r="BS99" s="583"/>
      <c r="BT99" s="586"/>
      <c r="BU99" s="540"/>
      <c r="BV99" s="540"/>
      <c r="BW99" s="540"/>
      <c r="BX99" s="538"/>
      <c r="BY99" s="538"/>
      <c r="BZ99" s="592"/>
      <c r="CA99" s="633"/>
      <c r="CB99" s="592" t="s">
        <v>365</v>
      </c>
      <c r="CC99" s="592">
        <v>0.0</v>
      </c>
      <c r="CD99" s="592" t="s">
        <v>365</v>
      </c>
      <c r="CE99" s="592">
        <v>0.0</v>
      </c>
      <c r="CF99" s="592"/>
      <c r="CG99" s="592">
        <v>0.0</v>
      </c>
      <c r="CH99" s="592"/>
      <c r="CI99" s="633"/>
      <c r="CJ99" s="592">
        <v>0.0</v>
      </c>
      <c r="CK99" s="479" t="s">
        <v>365</v>
      </c>
      <c r="CL99" s="592"/>
      <c r="CM99" s="593"/>
      <c r="CN99" s="538"/>
      <c r="CO99" s="538"/>
      <c r="CP99" s="538"/>
      <c r="CQ99" s="538"/>
      <c r="CR99" s="538"/>
      <c r="CS99" s="538"/>
      <c r="CT99" s="538"/>
      <c r="CU99" s="538"/>
      <c r="CV99" s="538"/>
      <c r="CW99" s="538"/>
      <c r="CX99" s="538"/>
      <c r="CY99" s="538"/>
      <c r="CZ99" s="538"/>
      <c r="DA99" s="538"/>
      <c r="DB99" s="538"/>
      <c r="DC99" s="538"/>
      <c r="DD99" s="538"/>
      <c r="DE99" s="538"/>
      <c r="DF99" s="538"/>
      <c r="DG99" s="538"/>
      <c r="DH99" s="538"/>
      <c r="DI99" s="538"/>
      <c r="DJ99" s="538"/>
      <c r="DK99" s="538"/>
      <c r="DL99" s="538"/>
      <c r="DM99" s="538"/>
      <c r="DN99" s="538"/>
      <c r="DO99" s="538"/>
      <c r="DP99" s="538"/>
      <c r="DQ99" s="538"/>
      <c r="DR99" s="538"/>
      <c r="DS99" s="538"/>
      <c r="DT99" s="538"/>
      <c r="DU99" s="538"/>
      <c r="DV99" s="538"/>
      <c r="DW99" s="538"/>
      <c r="DX99" s="538"/>
      <c r="DY99" s="538"/>
      <c r="DZ99" s="538"/>
      <c r="EA99" s="538"/>
      <c r="EB99" s="538"/>
      <c r="EC99" s="538"/>
      <c r="ED99" s="538"/>
      <c r="EE99" s="538"/>
      <c r="EF99" s="538"/>
      <c r="EG99" s="538"/>
      <c r="EH99" s="538"/>
      <c r="EI99" s="538"/>
      <c r="EJ99" s="538"/>
      <c r="EK99" s="538"/>
      <c r="EL99" s="538"/>
      <c r="EM99" s="538"/>
      <c r="EN99" s="538"/>
      <c r="EO99" s="538"/>
      <c r="EP99" s="538"/>
      <c r="EQ99" s="538"/>
      <c r="ER99" s="538"/>
      <c r="ES99" s="538"/>
      <c r="ET99" s="538"/>
      <c r="EU99" s="538"/>
      <c r="EV99" s="538"/>
      <c r="EW99" s="538"/>
      <c r="EX99" s="559"/>
      <c r="EY99" s="559"/>
      <c r="EZ99" s="559"/>
      <c r="FA99" s="559"/>
      <c r="FB99" s="559"/>
      <c r="FC99" s="559"/>
      <c r="FD99" s="559"/>
      <c r="FE99" s="559"/>
      <c r="FF99" s="559"/>
      <c r="FG99" s="559"/>
      <c r="FH99" s="559"/>
      <c r="FI99" s="559"/>
      <c r="FJ99" s="559"/>
      <c r="FK99" s="559"/>
      <c r="FL99" s="559"/>
      <c r="FM99" s="559"/>
      <c r="FN99" s="559"/>
      <c r="FO99" s="559"/>
      <c r="FP99" s="559"/>
      <c r="FQ99" s="559"/>
      <c r="FR99" s="559"/>
      <c r="FS99" s="559"/>
      <c r="FT99" s="559"/>
      <c r="FU99" s="559"/>
      <c r="FV99" s="559"/>
      <c r="FW99" s="559"/>
      <c r="FX99" s="559"/>
      <c r="FY99" s="559"/>
      <c r="FZ99" s="559"/>
      <c r="GA99" s="559"/>
      <c r="GB99" s="559"/>
      <c r="GC99" s="559"/>
      <c r="GD99" s="559"/>
      <c r="GE99" s="559"/>
      <c r="GF99" s="559"/>
      <c r="GG99" s="559"/>
      <c r="GH99" s="559"/>
    </row>
    <row r="100">
      <c r="A100" s="538"/>
      <c r="B100" s="156"/>
      <c r="C100" s="444"/>
      <c r="D100" s="614"/>
      <c r="E100" s="68"/>
      <c r="F100" s="644"/>
      <c r="G100" s="644"/>
      <c r="H100" s="627"/>
      <c r="I100" s="622" t="s">
        <v>365</v>
      </c>
      <c r="J100" s="607"/>
      <c r="K100" s="641"/>
      <c r="L100" s="628"/>
      <c r="M100" s="626"/>
      <c r="N100" s="619"/>
      <c r="O100" s="560"/>
      <c r="P100" s="47"/>
      <c r="Q100" s="47"/>
      <c r="S100" s="572"/>
      <c r="U100" s="573"/>
      <c r="V100" s="574"/>
      <c r="W100" s="618"/>
      <c r="X100" s="576">
        <v>0.0</v>
      </c>
      <c r="Y100" s="630">
        <v>0.0</v>
      </c>
      <c r="Z100" s="630" t="s">
        <v>365</v>
      </c>
      <c r="AA100" s="631" t="b">
        <v>0</v>
      </c>
      <c r="AB100" s="631"/>
      <c r="AC100" s="576"/>
      <c r="AD100" s="479">
        <v>0.0</v>
      </c>
      <c r="AE100" s="632"/>
      <c r="AF100" s="582" t="s">
        <v>365</v>
      </c>
      <c r="AG100" s="583"/>
      <c r="AH100" s="584"/>
      <c r="AI100" s="583"/>
      <c r="AJ100" s="585"/>
      <c r="AK100" s="583"/>
      <c r="AL100" s="584"/>
      <c r="AM100" s="583"/>
      <c r="AN100" s="585"/>
      <c r="AO100" s="583"/>
      <c r="AP100" s="584"/>
      <c r="AQ100" s="583"/>
      <c r="AR100" s="585"/>
      <c r="AS100" s="583"/>
      <c r="AT100" s="584"/>
      <c r="AU100" s="583"/>
      <c r="AV100" s="585"/>
      <c r="AW100" s="583"/>
      <c r="AX100" s="584"/>
      <c r="AY100" s="583"/>
      <c r="AZ100" s="585"/>
      <c r="BA100" s="583"/>
      <c r="BB100" s="584"/>
      <c r="BC100" s="583"/>
      <c r="BD100" s="585"/>
      <c r="BE100" s="583"/>
      <c r="BF100" s="584"/>
      <c r="BG100" s="583"/>
      <c r="BH100" s="585"/>
      <c r="BI100" s="583"/>
      <c r="BJ100" s="584"/>
      <c r="BK100" s="583"/>
      <c r="BL100" s="585"/>
      <c r="BM100" s="583"/>
      <c r="BN100" s="584"/>
      <c r="BO100" s="583"/>
      <c r="BP100" s="585"/>
      <c r="BQ100" s="583"/>
      <c r="BR100" s="584"/>
      <c r="BS100" s="583"/>
      <c r="BT100" s="586"/>
      <c r="BU100" s="540"/>
      <c r="BV100" s="540"/>
      <c r="BW100" s="540"/>
      <c r="BX100" s="538"/>
      <c r="BY100" s="538"/>
      <c r="BZ100" s="592"/>
      <c r="CA100" s="633"/>
      <c r="CB100" s="592" t="s">
        <v>365</v>
      </c>
      <c r="CC100" s="592">
        <v>0.0</v>
      </c>
      <c r="CD100" s="592" t="s">
        <v>365</v>
      </c>
      <c r="CE100" s="592">
        <v>0.0</v>
      </c>
      <c r="CF100" s="592"/>
      <c r="CG100" s="592">
        <v>0.0</v>
      </c>
      <c r="CH100" s="592"/>
      <c r="CI100" s="633"/>
      <c r="CJ100" s="592">
        <v>0.0</v>
      </c>
      <c r="CK100" s="479" t="s">
        <v>365</v>
      </c>
      <c r="CL100" s="592"/>
      <c r="CM100" s="593"/>
      <c r="CN100" s="538"/>
      <c r="CO100" s="538"/>
      <c r="CP100" s="538"/>
      <c r="CQ100" s="538"/>
      <c r="CR100" s="538"/>
      <c r="CS100" s="538"/>
      <c r="CT100" s="538"/>
      <c r="CU100" s="538"/>
      <c r="CV100" s="538"/>
      <c r="CW100" s="538"/>
      <c r="CX100" s="538"/>
      <c r="CY100" s="538"/>
      <c r="CZ100" s="538"/>
      <c r="DA100" s="538"/>
      <c r="DB100" s="538"/>
      <c r="DC100" s="538"/>
      <c r="DD100" s="538"/>
      <c r="DE100" s="538"/>
      <c r="DF100" s="538"/>
      <c r="DG100" s="538"/>
      <c r="DH100" s="538"/>
      <c r="DI100" s="538"/>
      <c r="DJ100" s="538"/>
      <c r="DK100" s="538"/>
      <c r="DL100" s="538"/>
      <c r="DM100" s="538"/>
      <c r="DN100" s="538"/>
      <c r="DO100" s="538"/>
      <c r="DP100" s="538"/>
      <c r="DQ100" s="538"/>
      <c r="DR100" s="538"/>
      <c r="DS100" s="538"/>
      <c r="DT100" s="538"/>
      <c r="DU100" s="538"/>
      <c r="DV100" s="538"/>
      <c r="DW100" s="538"/>
      <c r="DX100" s="538"/>
      <c r="DY100" s="538"/>
      <c r="DZ100" s="538"/>
      <c r="EA100" s="538"/>
      <c r="EB100" s="538"/>
      <c r="EC100" s="538"/>
      <c r="ED100" s="538"/>
      <c r="EE100" s="538"/>
      <c r="EF100" s="538"/>
      <c r="EG100" s="538"/>
      <c r="EH100" s="538"/>
      <c r="EI100" s="538"/>
      <c r="EJ100" s="538"/>
      <c r="EK100" s="538"/>
      <c r="EL100" s="538"/>
      <c r="EM100" s="538"/>
      <c r="EN100" s="538"/>
      <c r="EO100" s="538"/>
      <c r="EP100" s="538"/>
      <c r="EQ100" s="538"/>
      <c r="ER100" s="538"/>
      <c r="ES100" s="538"/>
      <c r="ET100" s="538"/>
      <c r="EU100" s="538"/>
      <c r="EV100" s="538"/>
      <c r="EW100" s="538"/>
      <c r="EX100" s="559"/>
      <c r="EY100" s="559"/>
      <c r="EZ100" s="559"/>
      <c r="FA100" s="559"/>
      <c r="FB100" s="559"/>
      <c r="FC100" s="559"/>
      <c r="FD100" s="559"/>
      <c r="FE100" s="559"/>
      <c r="FF100" s="559"/>
      <c r="FG100" s="559"/>
      <c r="FH100" s="559"/>
      <c r="FI100" s="559"/>
      <c r="FJ100" s="559"/>
      <c r="FK100" s="559"/>
      <c r="FL100" s="559"/>
      <c r="FM100" s="559"/>
      <c r="FN100" s="559"/>
      <c r="FO100" s="559"/>
      <c r="FP100" s="559"/>
      <c r="FQ100" s="559"/>
      <c r="FR100" s="559"/>
      <c r="FS100" s="559"/>
      <c r="FT100" s="559"/>
      <c r="FU100" s="559"/>
      <c r="FV100" s="559"/>
      <c r="FW100" s="559"/>
      <c r="FX100" s="559"/>
      <c r="FY100" s="559"/>
      <c r="FZ100" s="559"/>
      <c r="GA100" s="559"/>
      <c r="GB100" s="559"/>
      <c r="GC100" s="559"/>
      <c r="GD100" s="559"/>
      <c r="GE100" s="559"/>
      <c r="GF100" s="559"/>
      <c r="GG100" s="559"/>
      <c r="GH100" s="559"/>
    </row>
    <row r="101">
      <c r="A101" s="538"/>
      <c r="B101" s="156"/>
      <c r="C101" s="444"/>
      <c r="D101" s="614"/>
      <c r="E101" s="66"/>
      <c r="F101" s="642"/>
      <c r="G101" s="642"/>
      <c r="H101" s="615"/>
      <c r="I101" s="616" t="s">
        <v>365</v>
      </c>
      <c r="J101" s="624"/>
      <c r="K101" s="643"/>
      <c r="L101" s="640"/>
      <c r="M101" s="625"/>
      <c r="N101" s="617"/>
      <c r="O101" s="134"/>
      <c r="P101" s="57"/>
      <c r="Q101" s="57"/>
      <c r="S101" s="605"/>
      <c r="U101" s="573"/>
      <c r="V101" s="574"/>
      <c r="W101" s="618"/>
      <c r="X101" s="576">
        <v>0.0</v>
      </c>
      <c r="Y101" s="630">
        <v>0.0</v>
      </c>
      <c r="Z101" s="630" t="s">
        <v>365</v>
      </c>
      <c r="AA101" s="631" t="b">
        <v>0</v>
      </c>
      <c r="AB101" s="631"/>
      <c r="AC101" s="576"/>
      <c r="AD101" s="479">
        <v>0.0</v>
      </c>
      <c r="AE101" s="632"/>
      <c r="AF101" s="582" t="s">
        <v>365</v>
      </c>
      <c r="AG101" s="583"/>
      <c r="AH101" s="584"/>
      <c r="AI101" s="583"/>
      <c r="AJ101" s="585"/>
      <c r="AK101" s="583"/>
      <c r="AL101" s="584"/>
      <c r="AM101" s="583"/>
      <c r="AN101" s="585"/>
      <c r="AO101" s="583"/>
      <c r="AP101" s="584"/>
      <c r="AQ101" s="583"/>
      <c r="AR101" s="585"/>
      <c r="AS101" s="583"/>
      <c r="AT101" s="584"/>
      <c r="AU101" s="583"/>
      <c r="AV101" s="585"/>
      <c r="AW101" s="583"/>
      <c r="AX101" s="584"/>
      <c r="AY101" s="583"/>
      <c r="AZ101" s="585"/>
      <c r="BA101" s="583"/>
      <c r="BB101" s="584"/>
      <c r="BC101" s="583"/>
      <c r="BD101" s="585"/>
      <c r="BE101" s="583"/>
      <c r="BF101" s="584"/>
      <c r="BG101" s="583"/>
      <c r="BH101" s="585"/>
      <c r="BI101" s="583"/>
      <c r="BJ101" s="584"/>
      <c r="BK101" s="583"/>
      <c r="BL101" s="585"/>
      <c r="BM101" s="583"/>
      <c r="BN101" s="584"/>
      <c r="BO101" s="583"/>
      <c r="BP101" s="585"/>
      <c r="BQ101" s="583"/>
      <c r="BR101" s="584"/>
      <c r="BS101" s="583"/>
      <c r="BT101" s="586"/>
      <c r="BU101" s="540"/>
      <c r="BV101" s="540"/>
      <c r="BW101" s="540"/>
      <c r="BX101" s="538"/>
      <c r="BY101" s="538"/>
      <c r="BZ101" s="592"/>
      <c r="CA101" s="633"/>
      <c r="CB101" s="592" t="s">
        <v>365</v>
      </c>
      <c r="CC101" s="592">
        <v>0.0</v>
      </c>
      <c r="CD101" s="592" t="s">
        <v>365</v>
      </c>
      <c r="CE101" s="592">
        <v>0.0</v>
      </c>
      <c r="CF101" s="592"/>
      <c r="CG101" s="592">
        <v>0.0</v>
      </c>
      <c r="CH101" s="592"/>
      <c r="CI101" s="633"/>
      <c r="CJ101" s="592">
        <v>0.0</v>
      </c>
      <c r="CK101" s="479" t="s">
        <v>365</v>
      </c>
      <c r="CL101" s="592"/>
      <c r="CM101" s="593"/>
      <c r="CN101" s="538"/>
      <c r="CO101" s="538"/>
      <c r="CP101" s="538"/>
      <c r="CQ101" s="538"/>
      <c r="CR101" s="538"/>
      <c r="CS101" s="538"/>
      <c r="CT101" s="538"/>
      <c r="CU101" s="538"/>
      <c r="CV101" s="538"/>
      <c r="CW101" s="538"/>
      <c r="CX101" s="538"/>
      <c r="CY101" s="538"/>
      <c r="CZ101" s="538"/>
      <c r="DA101" s="538"/>
      <c r="DB101" s="538"/>
      <c r="DC101" s="538"/>
      <c r="DD101" s="538"/>
      <c r="DE101" s="538"/>
      <c r="DF101" s="538"/>
      <c r="DG101" s="538"/>
      <c r="DH101" s="538"/>
      <c r="DI101" s="538"/>
      <c r="DJ101" s="538"/>
      <c r="DK101" s="538"/>
      <c r="DL101" s="538"/>
      <c r="DM101" s="538"/>
      <c r="DN101" s="538"/>
      <c r="DO101" s="538"/>
      <c r="DP101" s="538"/>
      <c r="DQ101" s="538"/>
      <c r="DR101" s="538"/>
      <c r="DS101" s="538"/>
      <c r="DT101" s="538"/>
      <c r="DU101" s="538"/>
      <c r="DV101" s="538"/>
      <c r="DW101" s="538"/>
      <c r="DX101" s="538"/>
      <c r="DY101" s="538"/>
      <c r="DZ101" s="538"/>
      <c r="EA101" s="538"/>
      <c r="EB101" s="538"/>
      <c r="EC101" s="538"/>
      <c r="ED101" s="538"/>
      <c r="EE101" s="538"/>
      <c r="EF101" s="538"/>
      <c r="EG101" s="538"/>
      <c r="EH101" s="538"/>
      <c r="EI101" s="538"/>
      <c r="EJ101" s="538"/>
      <c r="EK101" s="538"/>
      <c r="EL101" s="538"/>
      <c r="EM101" s="538"/>
      <c r="EN101" s="538"/>
      <c r="EO101" s="538"/>
      <c r="EP101" s="538"/>
      <c r="EQ101" s="538"/>
      <c r="ER101" s="538"/>
      <c r="ES101" s="538"/>
      <c r="ET101" s="538"/>
      <c r="EU101" s="538"/>
      <c r="EV101" s="538"/>
      <c r="EW101" s="538"/>
      <c r="EX101" s="559"/>
      <c r="EY101" s="559"/>
      <c r="EZ101" s="559"/>
      <c r="FA101" s="559"/>
      <c r="FB101" s="559"/>
      <c r="FC101" s="559"/>
      <c r="FD101" s="559"/>
      <c r="FE101" s="559"/>
      <c r="FF101" s="559"/>
      <c r="FG101" s="559"/>
      <c r="FH101" s="559"/>
      <c r="FI101" s="559"/>
      <c r="FJ101" s="559"/>
      <c r="FK101" s="559"/>
      <c r="FL101" s="559"/>
      <c r="FM101" s="559"/>
      <c r="FN101" s="559"/>
      <c r="FO101" s="559"/>
      <c r="FP101" s="559"/>
      <c r="FQ101" s="559"/>
      <c r="FR101" s="559"/>
      <c r="FS101" s="559"/>
      <c r="FT101" s="559"/>
      <c r="FU101" s="559"/>
      <c r="FV101" s="559"/>
      <c r="FW101" s="559"/>
      <c r="FX101" s="559"/>
      <c r="FY101" s="559"/>
      <c r="FZ101" s="559"/>
      <c r="GA101" s="559"/>
      <c r="GB101" s="559"/>
      <c r="GC101" s="559"/>
      <c r="GD101" s="559"/>
      <c r="GE101" s="559"/>
      <c r="GF101" s="559"/>
      <c r="GG101" s="559"/>
      <c r="GH101" s="559"/>
    </row>
    <row r="102">
      <c r="A102" s="538"/>
      <c r="B102" s="156"/>
      <c r="C102" s="444"/>
      <c r="D102" s="614"/>
      <c r="E102" s="68"/>
      <c r="F102" s="644"/>
      <c r="G102" s="644"/>
      <c r="H102" s="627"/>
      <c r="I102" s="622" t="s">
        <v>365</v>
      </c>
      <c r="J102" s="607"/>
      <c r="K102" s="641"/>
      <c r="L102" s="628"/>
      <c r="M102" s="626"/>
      <c r="N102" s="619"/>
      <c r="O102" s="560"/>
      <c r="P102" s="47"/>
      <c r="Q102" s="47"/>
      <c r="S102" s="572"/>
      <c r="U102" s="573"/>
      <c r="V102" s="574"/>
      <c r="W102" s="618"/>
      <c r="X102" s="576">
        <v>0.0</v>
      </c>
      <c r="Y102" s="630">
        <v>0.0</v>
      </c>
      <c r="Z102" s="630" t="s">
        <v>365</v>
      </c>
      <c r="AA102" s="631" t="b">
        <v>0</v>
      </c>
      <c r="AB102" s="631"/>
      <c r="AC102" s="576"/>
      <c r="AD102" s="479">
        <v>0.0</v>
      </c>
      <c r="AE102" s="632"/>
      <c r="AF102" s="582" t="s">
        <v>365</v>
      </c>
      <c r="AG102" s="583"/>
      <c r="AH102" s="584"/>
      <c r="AI102" s="583"/>
      <c r="AJ102" s="585"/>
      <c r="AK102" s="583"/>
      <c r="AL102" s="584"/>
      <c r="AM102" s="583"/>
      <c r="AN102" s="585"/>
      <c r="AO102" s="583"/>
      <c r="AP102" s="584"/>
      <c r="AQ102" s="583"/>
      <c r="AR102" s="585"/>
      <c r="AS102" s="583"/>
      <c r="AT102" s="584"/>
      <c r="AU102" s="583"/>
      <c r="AV102" s="585"/>
      <c r="AW102" s="583"/>
      <c r="AX102" s="584"/>
      <c r="AY102" s="583"/>
      <c r="AZ102" s="585"/>
      <c r="BA102" s="583"/>
      <c r="BB102" s="584"/>
      <c r="BC102" s="583"/>
      <c r="BD102" s="585"/>
      <c r="BE102" s="583"/>
      <c r="BF102" s="584"/>
      <c r="BG102" s="583"/>
      <c r="BH102" s="585"/>
      <c r="BI102" s="583"/>
      <c r="BJ102" s="584"/>
      <c r="BK102" s="583"/>
      <c r="BL102" s="585"/>
      <c r="BM102" s="583"/>
      <c r="BN102" s="584"/>
      <c r="BO102" s="583"/>
      <c r="BP102" s="585"/>
      <c r="BQ102" s="583"/>
      <c r="BR102" s="584"/>
      <c r="BS102" s="583"/>
      <c r="BT102" s="586"/>
      <c r="BU102" s="540"/>
      <c r="BV102" s="540"/>
      <c r="BW102" s="540"/>
      <c r="BX102" s="538"/>
      <c r="BY102" s="538"/>
      <c r="BZ102" s="592"/>
      <c r="CA102" s="633"/>
      <c r="CB102" s="592" t="s">
        <v>365</v>
      </c>
      <c r="CC102" s="592">
        <v>0.0</v>
      </c>
      <c r="CD102" s="592" t="s">
        <v>365</v>
      </c>
      <c r="CE102" s="592">
        <v>0.0</v>
      </c>
      <c r="CF102" s="592"/>
      <c r="CG102" s="592">
        <v>0.0</v>
      </c>
      <c r="CH102" s="592"/>
      <c r="CI102" s="633"/>
      <c r="CJ102" s="592">
        <v>0.0</v>
      </c>
      <c r="CK102" s="479" t="s">
        <v>365</v>
      </c>
      <c r="CL102" s="592"/>
      <c r="CM102" s="593"/>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c r="DS102" s="538"/>
      <c r="DT102" s="538"/>
      <c r="DU102" s="538"/>
      <c r="DV102" s="538"/>
      <c r="DW102" s="538"/>
      <c r="DX102" s="538"/>
      <c r="DY102" s="538"/>
      <c r="DZ102" s="538"/>
      <c r="EA102" s="538"/>
      <c r="EB102" s="538"/>
      <c r="EC102" s="538"/>
      <c r="ED102" s="538"/>
      <c r="EE102" s="538"/>
      <c r="EF102" s="538"/>
      <c r="EG102" s="538"/>
      <c r="EH102" s="538"/>
      <c r="EI102" s="538"/>
      <c r="EJ102" s="538"/>
      <c r="EK102" s="538"/>
      <c r="EL102" s="538"/>
      <c r="EM102" s="538"/>
      <c r="EN102" s="538"/>
      <c r="EO102" s="538"/>
      <c r="EP102" s="538"/>
      <c r="EQ102" s="538"/>
      <c r="ER102" s="538"/>
      <c r="ES102" s="538"/>
      <c r="ET102" s="538"/>
      <c r="EU102" s="538"/>
      <c r="EV102" s="538"/>
      <c r="EW102" s="538"/>
      <c r="EX102" s="559"/>
      <c r="EY102" s="559"/>
      <c r="EZ102" s="559"/>
      <c r="FA102" s="559"/>
      <c r="FB102" s="559"/>
      <c r="FC102" s="559"/>
      <c r="FD102" s="559"/>
      <c r="FE102" s="559"/>
      <c r="FF102" s="559"/>
      <c r="FG102" s="559"/>
      <c r="FH102" s="559"/>
      <c r="FI102" s="559"/>
      <c r="FJ102" s="559"/>
      <c r="FK102" s="559"/>
      <c r="FL102" s="559"/>
      <c r="FM102" s="559"/>
      <c r="FN102" s="559"/>
      <c r="FO102" s="559"/>
      <c r="FP102" s="559"/>
      <c r="FQ102" s="559"/>
      <c r="FR102" s="559"/>
      <c r="FS102" s="559"/>
      <c r="FT102" s="559"/>
      <c r="FU102" s="559"/>
      <c r="FV102" s="559"/>
      <c r="FW102" s="559"/>
      <c r="FX102" s="559"/>
      <c r="FY102" s="559"/>
      <c r="FZ102" s="559"/>
      <c r="GA102" s="559"/>
      <c r="GB102" s="559"/>
      <c r="GC102" s="559"/>
      <c r="GD102" s="559"/>
      <c r="GE102" s="559"/>
      <c r="GF102" s="559"/>
      <c r="GG102" s="559"/>
      <c r="GH102" s="559"/>
    </row>
    <row r="103">
      <c r="A103" s="538"/>
      <c r="B103" s="156"/>
      <c r="C103" s="444"/>
      <c r="D103" s="614"/>
      <c r="E103" s="66"/>
      <c r="F103" s="642"/>
      <c r="G103" s="642"/>
      <c r="H103" s="615"/>
      <c r="I103" s="616" t="s">
        <v>365</v>
      </c>
      <c r="J103" s="624"/>
      <c r="K103" s="643"/>
      <c r="L103" s="640"/>
      <c r="M103" s="625"/>
      <c r="N103" s="617"/>
      <c r="O103" s="134"/>
      <c r="P103" s="57"/>
      <c r="Q103" s="57"/>
      <c r="S103" s="605"/>
      <c r="U103" s="573"/>
      <c r="V103" s="574"/>
      <c r="W103" s="618"/>
      <c r="X103" s="576">
        <v>0.0</v>
      </c>
      <c r="Y103" s="630">
        <v>0.0</v>
      </c>
      <c r="Z103" s="630" t="s">
        <v>365</v>
      </c>
      <c r="AA103" s="631" t="b">
        <v>0</v>
      </c>
      <c r="AB103" s="631"/>
      <c r="AC103" s="576"/>
      <c r="AD103" s="479">
        <v>0.0</v>
      </c>
      <c r="AE103" s="632"/>
      <c r="AF103" s="582" t="s">
        <v>365</v>
      </c>
      <c r="AG103" s="583"/>
      <c r="AH103" s="584"/>
      <c r="AI103" s="583"/>
      <c r="AJ103" s="585"/>
      <c r="AK103" s="583"/>
      <c r="AL103" s="584"/>
      <c r="AM103" s="583"/>
      <c r="AN103" s="585"/>
      <c r="AO103" s="583"/>
      <c r="AP103" s="584"/>
      <c r="AQ103" s="583"/>
      <c r="AR103" s="585"/>
      <c r="AS103" s="583"/>
      <c r="AT103" s="584"/>
      <c r="AU103" s="583"/>
      <c r="AV103" s="585"/>
      <c r="AW103" s="583"/>
      <c r="AX103" s="584"/>
      <c r="AY103" s="583"/>
      <c r="AZ103" s="585"/>
      <c r="BA103" s="583"/>
      <c r="BB103" s="584"/>
      <c r="BC103" s="583"/>
      <c r="BD103" s="585"/>
      <c r="BE103" s="583"/>
      <c r="BF103" s="584"/>
      <c r="BG103" s="583"/>
      <c r="BH103" s="585"/>
      <c r="BI103" s="583"/>
      <c r="BJ103" s="584"/>
      <c r="BK103" s="583"/>
      <c r="BL103" s="585"/>
      <c r="BM103" s="583"/>
      <c r="BN103" s="584"/>
      <c r="BO103" s="583"/>
      <c r="BP103" s="585"/>
      <c r="BQ103" s="583"/>
      <c r="BR103" s="584"/>
      <c r="BS103" s="583"/>
      <c r="BT103" s="586"/>
      <c r="BU103" s="540"/>
      <c r="BV103" s="540"/>
      <c r="BW103" s="540"/>
      <c r="BX103" s="538"/>
      <c r="BY103" s="538"/>
      <c r="BZ103" s="592"/>
      <c r="CA103" s="633"/>
      <c r="CB103" s="592" t="s">
        <v>365</v>
      </c>
      <c r="CC103" s="592">
        <v>0.0</v>
      </c>
      <c r="CD103" s="592" t="s">
        <v>365</v>
      </c>
      <c r="CE103" s="592">
        <v>0.0</v>
      </c>
      <c r="CF103" s="592"/>
      <c r="CG103" s="592">
        <v>0.0</v>
      </c>
      <c r="CH103" s="592"/>
      <c r="CI103" s="633"/>
      <c r="CJ103" s="592">
        <v>0.0</v>
      </c>
      <c r="CK103" s="479" t="s">
        <v>365</v>
      </c>
      <c r="CL103" s="592"/>
      <c r="CM103" s="593"/>
      <c r="CN103" s="538"/>
      <c r="CO103" s="538"/>
      <c r="CP103" s="538"/>
      <c r="CQ103" s="538"/>
      <c r="CR103" s="538"/>
      <c r="CS103" s="538"/>
      <c r="CT103" s="538"/>
      <c r="CU103" s="538"/>
      <c r="CV103" s="538"/>
      <c r="CW103" s="538"/>
      <c r="CX103" s="538"/>
      <c r="CY103" s="538"/>
      <c r="CZ103" s="538"/>
      <c r="DA103" s="538"/>
      <c r="DB103" s="538"/>
      <c r="DC103" s="538"/>
      <c r="DD103" s="538"/>
      <c r="DE103" s="538"/>
      <c r="DF103" s="538"/>
      <c r="DG103" s="538"/>
      <c r="DH103" s="538"/>
      <c r="DI103" s="538"/>
      <c r="DJ103" s="538"/>
      <c r="DK103" s="538"/>
      <c r="DL103" s="538"/>
      <c r="DM103" s="538"/>
      <c r="DN103" s="538"/>
      <c r="DO103" s="538"/>
      <c r="DP103" s="538"/>
      <c r="DQ103" s="538"/>
      <c r="DR103" s="538"/>
      <c r="DS103" s="538"/>
      <c r="DT103" s="538"/>
      <c r="DU103" s="538"/>
      <c r="DV103" s="538"/>
      <c r="DW103" s="538"/>
      <c r="DX103" s="538"/>
      <c r="DY103" s="538"/>
      <c r="DZ103" s="538"/>
      <c r="EA103" s="538"/>
      <c r="EB103" s="538"/>
      <c r="EC103" s="538"/>
      <c r="ED103" s="538"/>
      <c r="EE103" s="538"/>
      <c r="EF103" s="538"/>
      <c r="EG103" s="538"/>
      <c r="EH103" s="538"/>
      <c r="EI103" s="538"/>
      <c r="EJ103" s="538"/>
      <c r="EK103" s="538"/>
      <c r="EL103" s="538"/>
      <c r="EM103" s="538"/>
      <c r="EN103" s="538"/>
      <c r="EO103" s="538"/>
      <c r="EP103" s="538"/>
      <c r="EQ103" s="538"/>
      <c r="ER103" s="538"/>
      <c r="ES103" s="538"/>
      <c r="ET103" s="538"/>
      <c r="EU103" s="538"/>
      <c r="EV103" s="538"/>
      <c r="EW103" s="538"/>
      <c r="EX103" s="559"/>
      <c r="EY103" s="559"/>
      <c r="EZ103" s="559"/>
      <c r="FA103" s="559"/>
      <c r="FB103" s="559"/>
      <c r="FC103" s="559"/>
      <c r="FD103" s="559"/>
      <c r="FE103" s="559"/>
      <c r="FF103" s="559"/>
      <c r="FG103" s="559"/>
      <c r="FH103" s="559"/>
      <c r="FI103" s="559"/>
      <c r="FJ103" s="559"/>
      <c r="FK103" s="559"/>
      <c r="FL103" s="559"/>
      <c r="FM103" s="559"/>
      <c r="FN103" s="559"/>
      <c r="FO103" s="559"/>
      <c r="FP103" s="559"/>
      <c r="FQ103" s="559"/>
      <c r="FR103" s="559"/>
      <c r="FS103" s="559"/>
      <c r="FT103" s="559"/>
      <c r="FU103" s="559"/>
      <c r="FV103" s="559"/>
      <c r="FW103" s="559"/>
      <c r="FX103" s="559"/>
      <c r="FY103" s="559"/>
      <c r="FZ103" s="559"/>
      <c r="GA103" s="559"/>
      <c r="GB103" s="559"/>
      <c r="GC103" s="559"/>
      <c r="GD103" s="559"/>
      <c r="GE103" s="559"/>
      <c r="GF103" s="559"/>
      <c r="GG103" s="559"/>
      <c r="GH103" s="559"/>
    </row>
    <row r="104">
      <c r="A104" s="538"/>
      <c r="B104" s="156"/>
      <c r="C104" s="444"/>
      <c r="D104" s="614"/>
      <c r="E104" s="68"/>
      <c r="F104" s="644"/>
      <c r="G104" s="644"/>
      <c r="H104" s="627"/>
      <c r="I104" s="622" t="s">
        <v>365</v>
      </c>
      <c r="J104" s="607"/>
      <c r="K104" s="641"/>
      <c r="L104" s="628"/>
      <c r="M104" s="626"/>
      <c r="N104" s="619"/>
      <c r="O104" s="560"/>
      <c r="P104" s="47"/>
      <c r="Q104" s="47"/>
      <c r="S104" s="572"/>
      <c r="U104" s="573"/>
      <c r="V104" s="574"/>
      <c r="W104" s="618"/>
      <c r="X104" s="576">
        <v>0.0</v>
      </c>
      <c r="Y104" s="630">
        <v>0.0</v>
      </c>
      <c r="Z104" s="630" t="s">
        <v>365</v>
      </c>
      <c r="AA104" s="631" t="b">
        <v>0</v>
      </c>
      <c r="AB104" s="631"/>
      <c r="AC104" s="576"/>
      <c r="AD104" s="479">
        <v>0.0</v>
      </c>
      <c r="AE104" s="632"/>
      <c r="AF104" s="582" t="s">
        <v>365</v>
      </c>
      <c r="AG104" s="583"/>
      <c r="AH104" s="584"/>
      <c r="AI104" s="583"/>
      <c r="AJ104" s="585"/>
      <c r="AK104" s="583"/>
      <c r="AL104" s="584"/>
      <c r="AM104" s="583"/>
      <c r="AN104" s="585"/>
      <c r="AO104" s="583"/>
      <c r="AP104" s="584"/>
      <c r="AQ104" s="583"/>
      <c r="AR104" s="585"/>
      <c r="AS104" s="583"/>
      <c r="AT104" s="584"/>
      <c r="AU104" s="583"/>
      <c r="AV104" s="585"/>
      <c r="AW104" s="583"/>
      <c r="AX104" s="584"/>
      <c r="AY104" s="583"/>
      <c r="AZ104" s="585"/>
      <c r="BA104" s="583"/>
      <c r="BB104" s="584"/>
      <c r="BC104" s="583"/>
      <c r="BD104" s="585"/>
      <c r="BE104" s="583"/>
      <c r="BF104" s="584"/>
      <c r="BG104" s="583"/>
      <c r="BH104" s="585"/>
      <c r="BI104" s="583"/>
      <c r="BJ104" s="584"/>
      <c r="BK104" s="583"/>
      <c r="BL104" s="585"/>
      <c r="BM104" s="583"/>
      <c r="BN104" s="584"/>
      <c r="BO104" s="583"/>
      <c r="BP104" s="585"/>
      <c r="BQ104" s="583"/>
      <c r="BR104" s="584"/>
      <c r="BS104" s="583"/>
      <c r="BT104" s="586"/>
      <c r="BU104" s="540"/>
      <c r="BV104" s="540"/>
      <c r="BW104" s="540"/>
      <c r="BX104" s="538"/>
      <c r="BY104" s="538"/>
      <c r="BZ104" s="592"/>
      <c r="CA104" s="633"/>
      <c r="CB104" s="592" t="s">
        <v>365</v>
      </c>
      <c r="CC104" s="592">
        <v>0.0</v>
      </c>
      <c r="CD104" s="592" t="s">
        <v>365</v>
      </c>
      <c r="CE104" s="592">
        <v>0.0</v>
      </c>
      <c r="CF104" s="592"/>
      <c r="CG104" s="592">
        <v>0.0</v>
      </c>
      <c r="CH104" s="592"/>
      <c r="CI104" s="633"/>
      <c r="CJ104" s="592">
        <v>0.0</v>
      </c>
      <c r="CK104" s="479" t="s">
        <v>365</v>
      </c>
      <c r="CL104" s="592"/>
      <c r="CM104" s="593"/>
      <c r="CN104" s="538"/>
      <c r="CO104" s="538"/>
      <c r="CP104" s="538"/>
      <c r="CQ104" s="538"/>
      <c r="CR104" s="538"/>
      <c r="CS104" s="538"/>
      <c r="CT104" s="538"/>
      <c r="CU104" s="538"/>
      <c r="CV104" s="538"/>
      <c r="CW104" s="538"/>
      <c r="CX104" s="538"/>
      <c r="CY104" s="538"/>
      <c r="CZ104" s="538"/>
      <c r="DA104" s="538"/>
      <c r="DB104" s="538"/>
      <c r="DC104" s="538"/>
      <c r="DD104" s="538"/>
      <c r="DE104" s="538"/>
      <c r="DF104" s="538"/>
      <c r="DG104" s="538"/>
      <c r="DH104" s="538"/>
      <c r="DI104" s="538"/>
      <c r="DJ104" s="538"/>
      <c r="DK104" s="538"/>
      <c r="DL104" s="538"/>
      <c r="DM104" s="538"/>
      <c r="DN104" s="538"/>
      <c r="DO104" s="538"/>
      <c r="DP104" s="538"/>
      <c r="DQ104" s="538"/>
      <c r="DR104" s="538"/>
      <c r="DS104" s="538"/>
      <c r="DT104" s="538"/>
      <c r="DU104" s="538"/>
      <c r="DV104" s="538"/>
      <c r="DW104" s="538"/>
      <c r="DX104" s="538"/>
      <c r="DY104" s="538"/>
      <c r="DZ104" s="538"/>
      <c r="EA104" s="538"/>
      <c r="EB104" s="538"/>
      <c r="EC104" s="538"/>
      <c r="ED104" s="538"/>
      <c r="EE104" s="538"/>
      <c r="EF104" s="538"/>
      <c r="EG104" s="538"/>
      <c r="EH104" s="538"/>
      <c r="EI104" s="538"/>
      <c r="EJ104" s="538"/>
      <c r="EK104" s="538"/>
      <c r="EL104" s="538"/>
      <c r="EM104" s="538"/>
      <c r="EN104" s="538"/>
      <c r="EO104" s="538"/>
      <c r="EP104" s="538"/>
      <c r="EQ104" s="538"/>
      <c r="ER104" s="538"/>
      <c r="ES104" s="538"/>
      <c r="ET104" s="538"/>
      <c r="EU104" s="538"/>
      <c r="EV104" s="538"/>
      <c r="EW104" s="538"/>
      <c r="EX104" s="559"/>
      <c r="EY104" s="559"/>
      <c r="EZ104" s="559"/>
      <c r="FA104" s="559"/>
      <c r="FB104" s="559"/>
      <c r="FC104" s="559"/>
      <c r="FD104" s="559"/>
      <c r="FE104" s="559"/>
      <c r="FF104" s="559"/>
      <c r="FG104" s="559"/>
      <c r="FH104" s="559"/>
      <c r="FI104" s="559"/>
      <c r="FJ104" s="559"/>
      <c r="FK104" s="559"/>
      <c r="FL104" s="559"/>
      <c r="FM104" s="559"/>
      <c r="FN104" s="559"/>
      <c r="FO104" s="559"/>
      <c r="FP104" s="559"/>
      <c r="FQ104" s="559"/>
      <c r="FR104" s="559"/>
      <c r="FS104" s="559"/>
      <c r="FT104" s="559"/>
      <c r="FU104" s="559"/>
      <c r="FV104" s="559"/>
      <c r="FW104" s="559"/>
      <c r="FX104" s="559"/>
      <c r="FY104" s="559"/>
      <c r="FZ104" s="559"/>
      <c r="GA104" s="559"/>
      <c r="GB104" s="559"/>
      <c r="GC104" s="559"/>
      <c r="GD104" s="559"/>
      <c r="GE104" s="559"/>
      <c r="GF104" s="559"/>
      <c r="GG104" s="559"/>
      <c r="GH104" s="559"/>
    </row>
    <row r="105">
      <c r="A105" s="538"/>
      <c r="B105" s="156"/>
      <c r="C105" s="444"/>
      <c r="D105" s="614"/>
      <c r="E105" s="66"/>
      <c r="F105" s="642"/>
      <c r="G105" s="642"/>
      <c r="H105" s="615"/>
      <c r="I105" s="616" t="s">
        <v>365</v>
      </c>
      <c r="J105" s="624"/>
      <c r="K105" s="643"/>
      <c r="L105" s="640"/>
      <c r="M105" s="625"/>
      <c r="N105" s="617"/>
      <c r="O105" s="134"/>
      <c r="P105" s="57"/>
      <c r="Q105" s="57"/>
      <c r="S105" s="605"/>
      <c r="U105" s="573"/>
      <c r="V105" s="574"/>
      <c r="W105" s="618"/>
      <c r="X105" s="576">
        <v>0.0</v>
      </c>
      <c r="Y105" s="630">
        <v>0.0</v>
      </c>
      <c r="Z105" s="630" t="s">
        <v>365</v>
      </c>
      <c r="AA105" s="631" t="b">
        <v>0</v>
      </c>
      <c r="AB105" s="631"/>
      <c r="AC105" s="576"/>
      <c r="AD105" s="479">
        <v>0.0</v>
      </c>
      <c r="AE105" s="632"/>
      <c r="AF105" s="582" t="s">
        <v>365</v>
      </c>
      <c r="AG105" s="583"/>
      <c r="AH105" s="584"/>
      <c r="AI105" s="583"/>
      <c r="AJ105" s="585"/>
      <c r="AK105" s="583"/>
      <c r="AL105" s="584"/>
      <c r="AM105" s="583"/>
      <c r="AN105" s="585"/>
      <c r="AO105" s="583"/>
      <c r="AP105" s="584"/>
      <c r="AQ105" s="583"/>
      <c r="AR105" s="585"/>
      <c r="AS105" s="583"/>
      <c r="AT105" s="584"/>
      <c r="AU105" s="583"/>
      <c r="AV105" s="585"/>
      <c r="AW105" s="583"/>
      <c r="AX105" s="584"/>
      <c r="AY105" s="583"/>
      <c r="AZ105" s="585"/>
      <c r="BA105" s="583"/>
      <c r="BB105" s="584"/>
      <c r="BC105" s="583"/>
      <c r="BD105" s="585"/>
      <c r="BE105" s="583"/>
      <c r="BF105" s="584"/>
      <c r="BG105" s="583"/>
      <c r="BH105" s="585"/>
      <c r="BI105" s="583"/>
      <c r="BJ105" s="584"/>
      <c r="BK105" s="583"/>
      <c r="BL105" s="585"/>
      <c r="BM105" s="583"/>
      <c r="BN105" s="584"/>
      <c r="BO105" s="583"/>
      <c r="BP105" s="585"/>
      <c r="BQ105" s="583"/>
      <c r="BR105" s="584"/>
      <c r="BS105" s="583"/>
      <c r="BT105" s="586"/>
      <c r="BU105" s="540"/>
      <c r="BV105" s="540"/>
      <c r="BW105" s="540"/>
      <c r="BX105" s="538"/>
      <c r="BY105" s="538"/>
      <c r="BZ105" s="592"/>
      <c r="CA105" s="633"/>
      <c r="CB105" s="592" t="s">
        <v>365</v>
      </c>
      <c r="CC105" s="592">
        <v>0.0</v>
      </c>
      <c r="CD105" s="592" t="s">
        <v>365</v>
      </c>
      <c r="CE105" s="592">
        <v>0.0</v>
      </c>
      <c r="CF105" s="592"/>
      <c r="CG105" s="592">
        <v>0.0</v>
      </c>
      <c r="CH105" s="592"/>
      <c r="CI105" s="633"/>
      <c r="CJ105" s="592">
        <v>0.0</v>
      </c>
      <c r="CK105" s="479" t="s">
        <v>365</v>
      </c>
      <c r="CL105" s="592"/>
      <c r="CM105" s="593"/>
      <c r="CN105" s="538"/>
      <c r="CO105" s="538"/>
      <c r="CP105" s="538"/>
      <c r="CQ105" s="538"/>
      <c r="CR105" s="538"/>
      <c r="CS105" s="538"/>
      <c r="CT105" s="538"/>
      <c r="CU105" s="538"/>
      <c r="CV105" s="538"/>
      <c r="CW105" s="538"/>
      <c r="CX105" s="538"/>
      <c r="CY105" s="538"/>
      <c r="CZ105" s="538"/>
      <c r="DA105" s="538"/>
      <c r="DB105" s="538"/>
      <c r="DC105" s="538"/>
      <c r="DD105" s="538"/>
      <c r="DE105" s="538"/>
      <c r="DF105" s="538"/>
      <c r="DG105" s="538"/>
      <c r="DH105" s="538"/>
      <c r="DI105" s="538"/>
      <c r="DJ105" s="538"/>
      <c r="DK105" s="538"/>
      <c r="DL105" s="538"/>
      <c r="DM105" s="538"/>
      <c r="DN105" s="538"/>
      <c r="DO105" s="538"/>
      <c r="DP105" s="538"/>
      <c r="DQ105" s="538"/>
      <c r="DR105" s="538"/>
      <c r="DS105" s="538"/>
      <c r="DT105" s="538"/>
      <c r="DU105" s="538"/>
      <c r="DV105" s="538"/>
      <c r="DW105" s="538"/>
      <c r="DX105" s="538"/>
      <c r="DY105" s="538"/>
      <c r="DZ105" s="538"/>
      <c r="EA105" s="538"/>
      <c r="EB105" s="538"/>
      <c r="EC105" s="538"/>
      <c r="ED105" s="538"/>
      <c r="EE105" s="538"/>
      <c r="EF105" s="538"/>
      <c r="EG105" s="538"/>
      <c r="EH105" s="538"/>
      <c r="EI105" s="538"/>
      <c r="EJ105" s="538"/>
      <c r="EK105" s="538"/>
      <c r="EL105" s="538"/>
      <c r="EM105" s="538"/>
      <c r="EN105" s="538"/>
      <c r="EO105" s="538"/>
      <c r="EP105" s="538"/>
      <c r="EQ105" s="538"/>
      <c r="ER105" s="538"/>
      <c r="ES105" s="538"/>
      <c r="ET105" s="538"/>
      <c r="EU105" s="538"/>
      <c r="EV105" s="538"/>
      <c r="EW105" s="538"/>
      <c r="EX105" s="559"/>
      <c r="EY105" s="559"/>
      <c r="EZ105" s="559"/>
      <c r="FA105" s="559"/>
      <c r="FB105" s="559"/>
      <c r="FC105" s="559"/>
      <c r="FD105" s="559"/>
      <c r="FE105" s="559"/>
      <c r="FF105" s="559"/>
      <c r="FG105" s="559"/>
      <c r="FH105" s="559"/>
      <c r="FI105" s="559"/>
      <c r="FJ105" s="559"/>
      <c r="FK105" s="559"/>
      <c r="FL105" s="559"/>
      <c r="FM105" s="559"/>
      <c r="FN105" s="559"/>
      <c r="FO105" s="559"/>
      <c r="FP105" s="559"/>
      <c r="FQ105" s="559"/>
      <c r="FR105" s="559"/>
      <c r="FS105" s="559"/>
      <c r="FT105" s="559"/>
      <c r="FU105" s="559"/>
      <c r="FV105" s="559"/>
      <c r="FW105" s="559"/>
      <c r="FX105" s="559"/>
      <c r="FY105" s="559"/>
      <c r="FZ105" s="559"/>
      <c r="GA105" s="559"/>
      <c r="GB105" s="559"/>
      <c r="GC105" s="559"/>
      <c r="GD105" s="559"/>
      <c r="GE105" s="559"/>
      <c r="GF105" s="559"/>
      <c r="GG105" s="559"/>
      <c r="GH105" s="559"/>
    </row>
    <row r="106">
      <c r="A106" s="538"/>
      <c r="B106" s="156"/>
      <c r="C106" s="444"/>
      <c r="D106" s="614"/>
      <c r="E106" s="68"/>
      <c r="F106" s="644"/>
      <c r="G106" s="644"/>
      <c r="H106" s="627"/>
      <c r="I106" s="622" t="s">
        <v>365</v>
      </c>
      <c r="J106" s="607"/>
      <c r="K106" s="641"/>
      <c r="L106" s="628"/>
      <c r="M106" s="626"/>
      <c r="N106" s="619"/>
      <c r="O106" s="560"/>
      <c r="P106" s="47"/>
      <c r="Q106" s="47"/>
      <c r="S106" s="572"/>
      <c r="U106" s="573"/>
      <c r="V106" s="574"/>
      <c r="W106" s="618"/>
      <c r="X106" s="576">
        <v>0.0</v>
      </c>
      <c r="Y106" s="630">
        <v>0.0</v>
      </c>
      <c r="Z106" s="630" t="s">
        <v>365</v>
      </c>
      <c r="AA106" s="631" t="b">
        <v>0</v>
      </c>
      <c r="AB106" s="631"/>
      <c r="AC106" s="576"/>
      <c r="AD106" s="479">
        <v>0.0</v>
      </c>
      <c r="AE106" s="632"/>
      <c r="AF106" s="582" t="s">
        <v>365</v>
      </c>
      <c r="AG106" s="583"/>
      <c r="AH106" s="584"/>
      <c r="AI106" s="583"/>
      <c r="AJ106" s="585"/>
      <c r="AK106" s="583"/>
      <c r="AL106" s="584"/>
      <c r="AM106" s="583"/>
      <c r="AN106" s="585"/>
      <c r="AO106" s="583"/>
      <c r="AP106" s="584"/>
      <c r="AQ106" s="583"/>
      <c r="AR106" s="585"/>
      <c r="AS106" s="583"/>
      <c r="AT106" s="584"/>
      <c r="AU106" s="583"/>
      <c r="AV106" s="585"/>
      <c r="AW106" s="583"/>
      <c r="AX106" s="584"/>
      <c r="AY106" s="583"/>
      <c r="AZ106" s="585"/>
      <c r="BA106" s="583"/>
      <c r="BB106" s="584"/>
      <c r="BC106" s="583"/>
      <c r="BD106" s="585"/>
      <c r="BE106" s="583"/>
      <c r="BF106" s="584"/>
      <c r="BG106" s="583"/>
      <c r="BH106" s="585"/>
      <c r="BI106" s="583"/>
      <c r="BJ106" s="584"/>
      <c r="BK106" s="583"/>
      <c r="BL106" s="585"/>
      <c r="BM106" s="583"/>
      <c r="BN106" s="584"/>
      <c r="BO106" s="583"/>
      <c r="BP106" s="585"/>
      <c r="BQ106" s="583"/>
      <c r="BR106" s="584"/>
      <c r="BS106" s="583"/>
      <c r="BT106" s="586"/>
      <c r="BU106" s="540"/>
      <c r="BV106" s="540"/>
      <c r="BW106" s="540"/>
      <c r="BX106" s="538"/>
      <c r="BY106" s="538"/>
      <c r="BZ106" s="592"/>
      <c r="CA106" s="633"/>
      <c r="CB106" s="592" t="s">
        <v>365</v>
      </c>
      <c r="CC106" s="592">
        <v>0.0</v>
      </c>
      <c r="CD106" s="592" t="s">
        <v>365</v>
      </c>
      <c r="CE106" s="592">
        <v>0.0</v>
      </c>
      <c r="CF106" s="592"/>
      <c r="CG106" s="592">
        <v>0.0</v>
      </c>
      <c r="CH106" s="592"/>
      <c r="CI106" s="633"/>
      <c r="CJ106" s="592">
        <v>0.0</v>
      </c>
      <c r="CK106" s="479" t="s">
        <v>365</v>
      </c>
      <c r="CL106" s="592"/>
      <c r="CM106" s="593"/>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c r="DS106" s="538"/>
      <c r="DT106" s="538"/>
      <c r="DU106" s="538"/>
      <c r="DV106" s="538"/>
      <c r="DW106" s="538"/>
      <c r="DX106" s="538"/>
      <c r="DY106" s="538"/>
      <c r="DZ106" s="538"/>
      <c r="EA106" s="538"/>
      <c r="EB106" s="538"/>
      <c r="EC106" s="538"/>
      <c r="ED106" s="538"/>
      <c r="EE106" s="538"/>
      <c r="EF106" s="538"/>
      <c r="EG106" s="538"/>
      <c r="EH106" s="538"/>
      <c r="EI106" s="538"/>
      <c r="EJ106" s="538"/>
      <c r="EK106" s="538"/>
      <c r="EL106" s="538"/>
      <c r="EM106" s="538"/>
      <c r="EN106" s="538"/>
      <c r="EO106" s="538"/>
      <c r="EP106" s="538"/>
      <c r="EQ106" s="538"/>
      <c r="ER106" s="538"/>
      <c r="ES106" s="538"/>
      <c r="ET106" s="538"/>
      <c r="EU106" s="538"/>
      <c r="EV106" s="538"/>
      <c r="EW106" s="538"/>
      <c r="EX106" s="559"/>
      <c r="EY106" s="559"/>
      <c r="EZ106" s="559"/>
      <c r="FA106" s="559"/>
      <c r="FB106" s="559"/>
      <c r="FC106" s="559"/>
      <c r="FD106" s="559"/>
      <c r="FE106" s="559"/>
      <c r="FF106" s="559"/>
      <c r="FG106" s="559"/>
      <c r="FH106" s="559"/>
      <c r="FI106" s="559"/>
      <c r="FJ106" s="559"/>
      <c r="FK106" s="559"/>
      <c r="FL106" s="559"/>
      <c r="FM106" s="559"/>
      <c r="FN106" s="559"/>
      <c r="FO106" s="559"/>
      <c r="FP106" s="559"/>
      <c r="FQ106" s="559"/>
      <c r="FR106" s="559"/>
      <c r="FS106" s="559"/>
      <c r="FT106" s="559"/>
      <c r="FU106" s="559"/>
      <c r="FV106" s="559"/>
      <c r="FW106" s="559"/>
      <c r="FX106" s="559"/>
      <c r="FY106" s="559"/>
      <c r="FZ106" s="559"/>
      <c r="GA106" s="559"/>
      <c r="GB106" s="559"/>
      <c r="GC106" s="559"/>
      <c r="GD106" s="559"/>
      <c r="GE106" s="559"/>
      <c r="GF106" s="559"/>
      <c r="GG106" s="559"/>
      <c r="GH106" s="559"/>
    </row>
    <row r="107">
      <c r="A107" s="538"/>
      <c r="B107" s="156"/>
      <c r="C107" s="444"/>
      <c r="D107" s="614"/>
      <c r="E107" s="66"/>
      <c r="F107" s="642"/>
      <c r="G107" s="642"/>
      <c r="H107" s="615"/>
      <c r="I107" s="616" t="s">
        <v>365</v>
      </c>
      <c r="J107" s="624"/>
      <c r="K107" s="643"/>
      <c r="L107" s="640"/>
      <c r="M107" s="625"/>
      <c r="N107" s="617"/>
      <c r="O107" s="134"/>
      <c r="P107" s="57"/>
      <c r="Q107" s="57"/>
      <c r="S107" s="605"/>
      <c r="U107" s="573"/>
      <c r="V107" s="574"/>
      <c r="W107" s="618"/>
      <c r="X107" s="576">
        <v>0.0</v>
      </c>
      <c r="Y107" s="630">
        <v>0.0</v>
      </c>
      <c r="Z107" s="630" t="s">
        <v>365</v>
      </c>
      <c r="AA107" s="631" t="b">
        <v>0</v>
      </c>
      <c r="AB107" s="631"/>
      <c r="AC107" s="576"/>
      <c r="AD107" s="479">
        <v>0.0</v>
      </c>
      <c r="AE107" s="632"/>
      <c r="AF107" s="582" t="s">
        <v>365</v>
      </c>
      <c r="AG107" s="583"/>
      <c r="AH107" s="584"/>
      <c r="AI107" s="583"/>
      <c r="AJ107" s="585"/>
      <c r="AK107" s="583"/>
      <c r="AL107" s="584"/>
      <c r="AM107" s="583"/>
      <c r="AN107" s="585"/>
      <c r="AO107" s="583"/>
      <c r="AP107" s="584"/>
      <c r="AQ107" s="583"/>
      <c r="AR107" s="585"/>
      <c r="AS107" s="583"/>
      <c r="AT107" s="584"/>
      <c r="AU107" s="583"/>
      <c r="AV107" s="585"/>
      <c r="AW107" s="583"/>
      <c r="AX107" s="584"/>
      <c r="AY107" s="583"/>
      <c r="AZ107" s="585"/>
      <c r="BA107" s="583"/>
      <c r="BB107" s="584"/>
      <c r="BC107" s="583"/>
      <c r="BD107" s="585"/>
      <c r="BE107" s="583"/>
      <c r="BF107" s="584"/>
      <c r="BG107" s="583"/>
      <c r="BH107" s="585"/>
      <c r="BI107" s="583"/>
      <c r="BJ107" s="584"/>
      <c r="BK107" s="583"/>
      <c r="BL107" s="585"/>
      <c r="BM107" s="583"/>
      <c r="BN107" s="584"/>
      <c r="BO107" s="583"/>
      <c r="BP107" s="585"/>
      <c r="BQ107" s="583"/>
      <c r="BR107" s="584"/>
      <c r="BS107" s="583"/>
      <c r="BT107" s="586"/>
      <c r="BU107" s="540"/>
      <c r="BV107" s="540"/>
      <c r="BW107" s="540"/>
      <c r="BX107" s="538"/>
      <c r="BY107" s="538"/>
      <c r="BZ107" s="592"/>
      <c r="CA107" s="633"/>
      <c r="CB107" s="592" t="s">
        <v>365</v>
      </c>
      <c r="CC107" s="592">
        <v>0.0</v>
      </c>
      <c r="CD107" s="592" t="s">
        <v>365</v>
      </c>
      <c r="CE107" s="592">
        <v>0.0</v>
      </c>
      <c r="CF107" s="592"/>
      <c r="CG107" s="592">
        <v>0.0</v>
      </c>
      <c r="CH107" s="592"/>
      <c r="CI107" s="633"/>
      <c r="CJ107" s="592">
        <v>0.0</v>
      </c>
      <c r="CK107" s="479" t="s">
        <v>365</v>
      </c>
      <c r="CL107" s="592"/>
      <c r="CM107" s="593"/>
      <c r="CN107" s="538"/>
      <c r="CO107" s="538"/>
      <c r="CP107" s="538"/>
      <c r="CQ107" s="538"/>
      <c r="CR107" s="538"/>
      <c r="CS107" s="538"/>
      <c r="CT107" s="538"/>
      <c r="CU107" s="538"/>
      <c r="CV107" s="538"/>
      <c r="CW107" s="538"/>
      <c r="CX107" s="538"/>
      <c r="CY107" s="538"/>
      <c r="CZ107" s="538"/>
      <c r="DA107" s="538"/>
      <c r="DB107" s="538"/>
      <c r="DC107" s="538"/>
      <c r="DD107" s="538"/>
      <c r="DE107" s="538"/>
      <c r="DF107" s="538"/>
      <c r="DG107" s="538"/>
      <c r="DH107" s="538"/>
      <c r="DI107" s="538"/>
      <c r="DJ107" s="538"/>
      <c r="DK107" s="538"/>
      <c r="DL107" s="538"/>
      <c r="DM107" s="538"/>
      <c r="DN107" s="538"/>
      <c r="DO107" s="538"/>
      <c r="DP107" s="538"/>
      <c r="DQ107" s="538"/>
      <c r="DR107" s="538"/>
      <c r="DS107" s="538"/>
      <c r="DT107" s="538"/>
      <c r="DU107" s="538"/>
      <c r="DV107" s="538"/>
      <c r="DW107" s="538"/>
      <c r="DX107" s="538"/>
      <c r="DY107" s="538"/>
      <c r="DZ107" s="538"/>
      <c r="EA107" s="538"/>
      <c r="EB107" s="538"/>
      <c r="EC107" s="538"/>
      <c r="ED107" s="538"/>
      <c r="EE107" s="538"/>
      <c r="EF107" s="538"/>
      <c r="EG107" s="538"/>
      <c r="EH107" s="538"/>
      <c r="EI107" s="538"/>
      <c r="EJ107" s="538"/>
      <c r="EK107" s="538"/>
      <c r="EL107" s="538"/>
      <c r="EM107" s="538"/>
      <c r="EN107" s="538"/>
      <c r="EO107" s="538"/>
      <c r="EP107" s="538"/>
      <c r="EQ107" s="538"/>
      <c r="ER107" s="538"/>
      <c r="ES107" s="538"/>
      <c r="ET107" s="538"/>
      <c r="EU107" s="538"/>
      <c r="EV107" s="538"/>
      <c r="EW107" s="538"/>
      <c r="EX107" s="559"/>
      <c r="EY107" s="559"/>
      <c r="EZ107" s="559"/>
      <c r="FA107" s="559"/>
      <c r="FB107" s="559"/>
      <c r="FC107" s="559"/>
      <c r="FD107" s="559"/>
      <c r="FE107" s="559"/>
      <c r="FF107" s="559"/>
      <c r="FG107" s="559"/>
      <c r="FH107" s="559"/>
      <c r="FI107" s="559"/>
      <c r="FJ107" s="559"/>
      <c r="FK107" s="559"/>
      <c r="FL107" s="559"/>
      <c r="FM107" s="559"/>
      <c r="FN107" s="559"/>
      <c r="FO107" s="559"/>
      <c r="FP107" s="559"/>
      <c r="FQ107" s="559"/>
      <c r="FR107" s="559"/>
      <c r="FS107" s="559"/>
      <c r="FT107" s="559"/>
      <c r="FU107" s="559"/>
      <c r="FV107" s="559"/>
      <c r="FW107" s="559"/>
      <c r="FX107" s="559"/>
      <c r="FY107" s="559"/>
      <c r="FZ107" s="559"/>
      <c r="GA107" s="559"/>
      <c r="GB107" s="559"/>
      <c r="GC107" s="559"/>
      <c r="GD107" s="559"/>
      <c r="GE107" s="559"/>
      <c r="GF107" s="559"/>
      <c r="GG107" s="559"/>
      <c r="GH107" s="559"/>
    </row>
    <row r="108">
      <c r="A108" s="538"/>
      <c r="B108" s="156"/>
      <c r="C108" s="444"/>
      <c r="D108" s="614"/>
      <c r="E108" s="68"/>
      <c r="F108" s="644"/>
      <c r="G108" s="644"/>
      <c r="H108" s="627"/>
      <c r="I108" s="622" t="s">
        <v>365</v>
      </c>
      <c r="J108" s="607"/>
      <c r="K108" s="641"/>
      <c r="L108" s="628"/>
      <c r="M108" s="626"/>
      <c r="N108" s="619"/>
      <c r="O108" s="560"/>
      <c r="P108" s="47"/>
      <c r="Q108" s="47"/>
      <c r="S108" s="572"/>
      <c r="U108" s="573"/>
      <c r="V108" s="574"/>
      <c r="W108" s="618"/>
      <c r="X108" s="576">
        <v>0.0</v>
      </c>
      <c r="Y108" s="630">
        <v>0.0</v>
      </c>
      <c r="Z108" s="630" t="s">
        <v>365</v>
      </c>
      <c r="AA108" s="631" t="b">
        <v>0</v>
      </c>
      <c r="AB108" s="631"/>
      <c r="AC108" s="576"/>
      <c r="AD108" s="479">
        <v>0.0</v>
      </c>
      <c r="AE108" s="632"/>
      <c r="AF108" s="582" t="s">
        <v>365</v>
      </c>
      <c r="AG108" s="583"/>
      <c r="AH108" s="584"/>
      <c r="AI108" s="583"/>
      <c r="AJ108" s="585"/>
      <c r="AK108" s="583"/>
      <c r="AL108" s="584"/>
      <c r="AM108" s="583"/>
      <c r="AN108" s="585"/>
      <c r="AO108" s="583"/>
      <c r="AP108" s="584"/>
      <c r="AQ108" s="583"/>
      <c r="AR108" s="585"/>
      <c r="AS108" s="583"/>
      <c r="AT108" s="584"/>
      <c r="AU108" s="583"/>
      <c r="AV108" s="585"/>
      <c r="AW108" s="583"/>
      <c r="AX108" s="584"/>
      <c r="AY108" s="583"/>
      <c r="AZ108" s="585"/>
      <c r="BA108" s="583"/>
      <c r="BB108" s="584"/>
      <c r="BC108" s="583"/>
      <c r="BD108" s="585"/>
      <c r="BE108" s="583"/>
      <c r="BF108" s="584"/>
      <c r="BG108" s="583"/>
      <c r="BH108" s="585"/>
      <c r="BI108" s="583"/>
      <c r="BJ108" s="584"/>
      <c r="BK108" s="583"/>
      <c r="BL108" s="585"/>
      <c r="BM108" s="583"/>
      <c r="BN108" s="584"/>
      <c r="BO108" s="583"/>
      <c r="BP108" s="585"/>
      <c r="BQ108" s="583"/>
      <c r="BR108" s="584"/>
      <c r="BS108" s="583"/>
      <c r="BT108" s="586"/>
      <c r="BU108" s="540"/>
      <c r="BV108" s="540"/>
      <c r="BW108" s="540"/>
      <c r="BX108" s="538"/>
      <c r="BY108" s="538"/>
      <c r="BZ108" s="592"/>
      <c r="CA108" s="633"/>
      <c r="CB108" s="592" t="s">
        <v>365</v>
      </c>
      <c r="CC108" s="592">
        <v>0.0</v>
      </c>
      <c r="CD108" s="592" t="s">
        <v>365</v>
      </c>
      <c r="CE108" s="592">
        <v>0.0</v>
      </c>
      <c r="CF108" s="592"/>
      <c r="CG108" s="592">
        <v>0.0</v>
      </c>
      <c r="CH108" s="592"/>
      <c r="CI108" s="633"/>
      <c r="CJ108" s="592">
        <v>0.0</v>
      </c>
      <c r="CK108" s="479" t="s">
        <v>365</v>
      </c>
      <c r="CL108" s="592"/>
      <c r="CM108" s="593"/>
      <c r="CN108" s="538"/>
      <c r="CO108" s="538"/>
      <c r="CP108" s="538"/>
      <c r="CQ108" s="538"/>
      <c r="CR108" s="538"/>
      <c r="CS108" s="538"/>
      <c r="CT108" s="538"/>
      <c r="CU108" s="538"/>
      <c r="CV108" s="538"/>
      <c r="CW108" s="538"/>
      <c r="CX108" s="538"/>
      <c r="CY108" s="538"/>
      <c r="CZ108" s="538"/>
      <c r="DA108" s="538"/>
      <c r="DB108" s="538"/>
      <c r="DC108" s="538"/>
      <c r="DD108" s="538"/>
      <c r="DE108" s="538"/>
      <c r="DF108" s="538"/>
      <c r="DG108" s="538"/>
      <c r="DH108" s="538"/>
      <c r="DI108" s="538"/>
      <c r="DJ108" s="538"/>
      <c r="DK108" s="538"/>
      <c r="DL108" s="538"/>
      <c r="DM108" s="538"/>
      <c r="DN108" s="538"/>
      <c r="DO108" s="538"/>
      <c r="DP108" s="538"/>
      <c r="DQ108" s="538"/>
      <c r="DR108" s="538"/>
      <c r="DS108" s="538"/>
      <c r="DT108" s="538"/>
      <c r="DU108" s="538"/>
      <c r="DV108" s="538"/>
      <c r="DW108" s="538"/>
      <c r="DX108" s="538"/>
      <c r="DY108" s="538"/>
      <c r="DZ108" s="538"/>
      <c r="EA108" s="538"/>
      <c r="EB108" s="538"/>
      <c r="EC108" s="538"/>
      <c r="ED108" s="538"/>
      <c r="EE108" s="538"/>
      <c r="EF108" s="538"/>
      <c r="EG108" s="538"/>
      <c r="EH108" s="538"/>
      <c r="EI108" s="538"/>
      <c r="EJ108" s="538"/>
      <c r="EK108" s="538"/>
      <c r="EL108" s="538"/>
      <c r="EM108" s="538"/>
      <c r="EN108" s="538"/>
      <c r="EO108" s="538"/>
      <c r="EP108" s="538"/>
      <c r="EQ108" s="538"/>
      <c r="ER108" s="538"/>
      <c r="ES108" s="538"/>
      <c r="ET108" s="538"/>
      <c r="EU108" s="538"/>
      <c r="EV108" s="538"/>
      <c r="EW108" s="538"/>
      <c r="EX108" s="559"/>
      <c r="EY108" s="559"/>
      <c r="EZ108" s="559"/>
      <c r="FA108" s="559"/>
      <c r="FB108" s="559"/>
      <c r="FC108" s="559"/>
      <c r="FD108" s="559"/>
      <c r="FE108" s="559"/>
      <c r="FF108" s="559"/>
      <c r="FG108" s="559"/>
      <c r="FH108" s="559"/>
      <c r="FI108" s="559"/>
      <c r="FJ108" s="559"/>
      <c r="FK108" s="559"/>
      <c r="FL108" s="559"/>
      <c r="FM108" s="559"/>
      <c r="FN108" s="559"/>
      <c r="FO108" s="559"/>
      <c r="FP108" s="559"/>
      <c r="FQ108" s="559"/>
      <c r="FR108" s="559"/>
      <c r="FS108" s="559"/>
      <c r="FT108" s="559"/>
      <c r="FU108" s="559"/>
      <c r="FV108" s="559"/>
      <c r="FW108" s="559"/>
      <c r="FX108" s="559"/>
      <c r="FY108" s="559"/>
      <c r="FZ108" s="559"/>
      <c r="GA108" s="559"/>
      <c r="GB108" s="559"/>
      <c r="GC108" s="559"/>
      <c r="GD108" s="559"/>
      <c r="GE108" s="559"/>
      <c r="GF108" s="559"/>
      <c r="GG108" s="559"/>
      <c r="GH108" s="559"/>
    </row>
    <row r="109">
      <c r="A109" s="538"/>
      <c r="B109" s="156"/>
      <c r="C109" s="444"/>
      <c r="D109" s="614"/>
      <c r="E109" s="66"/>
      <c r="F109" s="642"/>
      <c r="G109" s="642"/>
      <c r="H109" s="615"/>
      <c r="I109" s="616" t="s">
        <v>365</v>
      </c>
      <c r="J109" s="624"/>
      <c r="K109" s="643"/>
      <c r="L109" s="640"/>
      <c r="M109" s="625"/>
      <c r="N109" s="617"/>
      <c r="O109" s="134"/>
      <c r="P109" s="57"/>
      <c r="Q109" s="57"/>
      <c r="S109" s="605"/>
      <c r="U109" s="573"/>
      <c r="V109" s="574"/>
      <c r="W109" s="618"/>
      <c r="X109" s="576">
        <v>0.0</v>
      </c>
      <c r="Y109" s="630">
        <v>0.0</v>
      </c>
      <c r="Z109" s="630" t="s">
        <v>365</v>
      </c>
      <c r="AA109" s="631" t="b">
        <v>0</v>
      </c>
      <c r="AB109" s="631"/>
      <c r="AC109" s="576"/>
      <c r="AD109" s="479">
        <v>0.0</v>
      </c>
      <c r="AE109" s="632"/>
      <c r="AF109" s="582" t="s">
        <v>365</v>
      </c>
      <c r="AG109" s="583"/>
      <c r="AH109" s="584"/>
      <c r="AI109" s="583"/>
      <c r="AJ109" s="585"/>
      <c r="AK109" s="583"/>
      <c r="AL109" s="584"/>
      <c r="AM109" s="583"/>
      <c r="AN109" s="585"/>
      <c r="AO109" s="583"/>
      <c r="AP109" s="584"/>
      <c r="AQ109" s="583"/>
      <c r="AR109" s="585"/>
      <c r="AS109" s="583"/>
      <c r="AT109" s="584"/>
      <c r="AU109" s="583"/>
      <c r="AV109" s="585"/>
      <c r="AW109" s="583"/>
      <c r="AX109" s="584"/>
      <c r="AY109" s="583"/>
      <c r="AZ109" s="585"/>
      <c r="BA109" s="583"/>
      <c r="BB109" s="584"/>
      <c r="BC109" s="583"/>
      <c r="BD109" s="585"/>
      <c r="BE109" s="583"/>
      <c r="BF109" s="584"/>
      <c r="BG109" s="583"/>
      <c r="BH109" s="585"/>
      <c r="BI109" s="583"/>
      <c r="BJ109" s="584"/>
      <c r="BK109" s="583"/>
      <c r="BL109" s="585"/>
      <c r="BM109" s="583"/>
      <c r="BN109" s="584"/>
      <c r="BO109" s="583"/>
      <c r="BP109" s="585"/>
      <c r="BQ109" s="583"/>
      <c r="BR109" s="584"/>
      <c r="BS109" s="583"/>
      <c r="BT109" s="586"/>
      <c r="BU109" s="540"/>
      <c r="BV109" s="540"/>
      <c r="BW109" s="540"/>
      <c r="BX109" s="538"/>
      <c r="BY109" s="538"/>
      <c r="BZ109" s="592"/>
      <c r="CA109" s="633"/>
      <c r="CB109" s="592" t="s">
        <v>365</v>
      </c>
      <c r="CC109" s="592">
        <v>0.0</v>
      </c>
      <c r="CD109" s="592" t="s">
        <v>365</v>
      </c>
      <c r="CE109" s="592">
        <v>0.0</v>
      </c>
      <c r="CF109" s="592"/>
      <c r="CG109" s="592">
        <v>0.0</v>
      </c>
      <c r="CH109" s="592"/>
      <c r="CI109" s="633"/>
      <c r="CJ109" s="592">
        <v>0.0</v>
      </c>
      <c r="CK109" s="479" t="s">
        <v>365</v>
      </c>
      <c r="CL109" s="592"/>
      <c r="CM109" s="593"/>
      <c r="CN109" s="538"/>
      <c r="CO109" s="538"/>
      <c r="CP109" s="538"/>
      <c r="CQ109" s="538"/>
      <c r="CR109" s="538"/>
      <c r="CS109" s="538"/>
      <c r="CT109" s="538"/>
      <c r="CU109" s="538"/>
      <c r="CV109" s="538"/>
      <c r="CW109" s="538"/>
      <c r="CX109" s="538"/>
      <c r="CY109" s="538"/>
      <c r="CZ109" s="538"/>
      <c r="DA109" s="538"/>
      <c r="DB109" s="538"/>
      <c r="DC109" s="538"/>
      <c r="DD109" s="538"/>
      <c r="DE109" s="538"/>
      <c r="DF109" s="538"/>
      <c r="DG109" s="538"/>
      <c r="DH109" s="538"/>
      <c r="DI109" s="538"/>
      <c r="DJ109" s="538"/>
      <c r="DK109" s="538"/>
      <c r="DL109" s="538"/>
      <c r="DM109" s="538"/>
      <c r="DN109" s="538"/>
      <c r="DO109" s="538"/>
      <c r="DP109" s="538"/>
      <c r="DQ109" s="538"/>
      <c r="DR109" s="538"/>
      <c r="DS109" s="538"/>
      <c r="DT109" s="538"/>
      <c r="DU109" s="538"/>
      <c r="DV109" s="538"/>
      <c r="DW109" s="538"/>
      <c r="DX109" s="538"/>
      <c r="DY109" s="538"/>
      <c r="DZ109" s="538"/>
      <c r="EA109" s="538"/>
      <c r="EB109" s="538"/>
      <c r="EC109" s="538"/>
      <c r="ED109" s="538"/>
      <c r="EE109" s="538"/>
      <c r="EF109" s="538"/>
      <c r="EG109" s="538"/>
      <c r="EH109" s="538"/>
      <c r="EI109" s="538"/>
      <c r="EJ109" s="538"/>
      <c r="EK109" s="538"/>
      <c r="EL109" s="538"/>
      <c r="EM109" s="538"/>
      <c r="EN109" s="538"/>
      <c r="EO109" s="538"/>
      <c r="EP109" s="538"/>
      <c r="EQ109" s="538"/>
      <c r="ER109" s="538"/>
      <c r="ES109" s="538"/>
      <c r="ET109" s="538"/>
      <c r="EU109" s="538"/>
      <c r="EV109" s="538"/>
      <c r="EW109" s="538"/>
      <c r="EX109" s="559"/>
      <c r="EY109" s="559"/>
      <c r="EZ109" s="559"/>
      <c r="FA109" s="559"/>
      <c r="FB109" s="559"/>
      <c r="FC109" s="559"/>
      <c r="FD109" s="559"/>
      <c r="FE109" s="559"/>
      <c r="FF109" s="559"/>
      <c r="FG109" s="559"/>
      <c r="FH109" s="559"/>
      <c r="FI109" s="559"/>
      <c r="FJ109" s="559"/>
      <c r="FK109" s="559"/>
      <c r="FL109" s="559"/>
      <c r="FM109" s="559"/>
      <c r="FN109" s="559"/>
      <c r="FO109" s="559"/>
      <c r="FP109" s="559"/>
      <c r="FQ109" s="559"/>
      <c r="FR109" s="559"/>
      <c r="FS109" s="559"/>
      <c r="FT109" s="559"/>
      <c r="FU109" s="559"/>
      <c r="FV109" s="559"/>
      <c r="FW109" s="559"/>
      <c r="FX109" s="559"/>
      <c r="FY109" s="559"/>
      <c r="FZ109" s="559"/>
      <c r="GA109" s="559"/>
      <c r="GB109" s="559"/>
      <c r="GC109" s="559"/>
      <c r="GD109" s="559"/>
      <c r="GE109" s="559"/>
      <c r="GF109" s="559"/>
      <c r="GG109" s="559"/>
      <c r="GH109" s="559"/>
    </row>
    <row r="110">
      <c r="A110" s="538"/>
      <c r="B110" s="156"/>
      <c r="C110" s="444"/>
      <c r="D110" s="614"/>
      <c r="E110" s="68"/>
      <c r="F110" s="644"/>
      <c r="G110" s="644"/>
      <c r="H110" s="627"/>
      <c r="I110" s="622" t="s">
        <v>365</v>
      </c>
      <c r="J110" s="607"/>
      <c r="K110" s="641"/>
      <c r="L110" s="628"/>
      <c r="M110" s="626"/>
      <c r="N110" s="619"/>
      <c r="O110" s="560"/>
      <c r="P110" s="47"/>
      <c r="Q110" s="47"/>
      <c r="S110" s="572"/>
      <c r="U110" s="573"/>
      <c r="V110" s="574"/>
      <c r="W110" s="618"/>
      <c r="X110" s="576">
        <v>0.0</v>
      </c>
      <c r="Y110" s="630">
        <v>0.0</v>
      </c>
      <c r="Z110" s="630" t="s">
        <v>365</v>
      </c>
      <c r="AA110" s="631" t="b">
        <v>0</v>
      </c>
      <c r="AB110" s="631"/>
      <c r="AC110" s="576"/>
      <c r="AD110" s="479">
        <v>0.0</v>
      </c>
      <c r="AE110" s="632"/>
      <c r="AF110" s="582" t="s">
        <v>365</v>
      </c>
      <c r="AG110" s="583"/>
      <c r="AH110" s="584"/>
      <c r="AI110" s="583"/>
      <c r="AJ110" s="585"/>
      <c r="AK110" s="583"/>
      <c r="AL110" s="584"/>
      <c r="AM110" s="583"/>
      <c r="AN110" s="585"/>
      <c r="AO110" s="583"/>
      <c r="AP110" s="584"/>
      <c r="AQ110" s="583"/>
      <c r="AR110" s="585"/>
      <c r="AS110" s="583"/>
      <c r="AT110" s="584"/>
      <c r="AU110" s="583"/>
      <c r="AV110" s="585"/>
      <c r="AW110" s="583"/>
      <c r="AX110" s="584"/>
      <c r="AY110" s="583"/>
      <c r="AZ110" s="585"/>
      <c r="BA110" s="583"/>
      <c r="BB110" s="584"/>
      <c r="BC110" s="583"/>
      <c r="BD110" s="585"/>
      <c r="BE110" s="583"/>
      <c r="BF110" s="584"/>
      <c r="BG110" s="583"/>
      <c r="BH110" s="585"/>
      <c r="BI110" s="583"/>
      <c r="BJ110" s="584"/>
      <c r="BK110" s="583"/>
      <c r="BL110" s="585"/>
      <c r="BM110" s="583"/>
      <c r="BN110" s="584"/>
      <c r="BO110" s="583"/>
      <c r="BP110" s="585"/>
      <c r="BQ110" s="583"/>
      <c r="BR110" s="584"/>
      <c r="BS110" s="583"/>
      <c r="BT110" s="586"/>
      <c r="BU110" s="540"/>
      <c r="BV110" s="540"/>
      <c r="BW110" s="540"/>
      <c r="BX110" s="538"/>
      <c r="BY110" s="538"/>
      <c r="BZ110" s="592"/>
      <c r="CA110" s="633"/>
      <c r="CB110" s="592" t="s">
        <v>365</v>
      </c>
      <c r="CC110" s="592">
        <v>0.0</v>
      </c>
      <c r="CD110" s="592" t="s">
        <v>365</v>
      </c>
      <c r="CE110" s="592">
        <v>0.0</v>
      </c>
      <c r="CF110" s="592"/>
      <c r="CG110" s="592">
        <v>0.0</v>
      </c>
      <c r="CH110" s="592"/>
      <c r="CI110" s="633"/>
      <c r="CJ110" s="592">
        <v>0.0</v>
      </c>
      <c r="CK110" s="479" t="s">
        <v>365</v>
      </c>
      <c r="CL110" s="592"/>
      <c r="CM110" s="593"/>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c r="DS110" s="538"/>
      <c r="DT110" s="538"/>
      <c r="DU110" s="538"/>
      <c r="DV110" s="538"/>
      <c r="DW110" s="538"/>
      <c r="DX110" s="538"/>
      <c r="DY110" s="538"/>
      <c r="DZ110" s="538"/>
      <c r="EA110" s="538"/>
      <c r="EB110" s="538"/>
      <c r="EC110" s="538"/>
      <c r="ED110" s="538"/>
      <c r="EE110" s="538"/>
      <c r="EF110" s="538"/>
      <c r="EG110" s="538"/>
      <c r="EH110" s="538"/>
      <c r="EI110" s="538"/>
      <c r="EJ110" s="538"/>
      <c r="EK110" s="538"/>
      <c r="EL110" s="538"/>
      <c r="EM110" s="538"/>
      <c r="EN110" s="538"/>
      <c r="EO110" s="538"/>
      <c r="EP110" s="538"/>
      <c r="EQ110" s="538"/>
      <c r="ER110" s="538"/>
      <c r="ES110" s="538"/>
      <c r="ET110" s="538"/>
      <c r="EU110" s="538"/>
      <c r="EV110" s="538"/>
      <c r="EW110" s="538"/>
      <c r="EX110" s="559"/>
      <c r="EY110" s="559"/>
      <c r="EZ110" s="559"/>
      <c r="FA110" s="559"/>
      <c r="FB110" s="559"/>
      <c r="FC110" s="559"/>
      <c r="FD110" s="559"/>
      <c r="FE110" s="559"/>
      <c r="FF110" s="559"/>
      <c r="FG110" s="559"/>
      <c r="FH110" s="559"/>
      <c r="FI110" s="559"/>
      <c r="FJ110" s="559"/>
      <c r="FK110" s="559"/>
      <c r="FL110" s="559"/>
      <c r="FM110" s="559"/>
      <c r="FN110" s="559"/>
      <c r="FO110" s="559"/>
      <c r="FP110" s="559"/>
      <c r="FQ110" s="559"/>
      <c r="FR110" s="559"/>
      <c r="FS110" s="559"/>
      <c r="FT110" s="559"/>
      <c r="FU110" s="559"/>
      <c r="FV110" s="559"/>
      <c r="FW110" s="559"/>
      <c r="FX110" s="559"/>
      <c r="FY110" s="559"/>
      <c r="FZ110" s="559"/>
      <c r="GA110" s="559"/>
      <c r="GB110" s="559"/>
      <c r="GC110" s="559"/>
      <c r="GD110" s="559"/>
      <c r="GE110" s="559"/>
      <c r="GF110" s="559"/>
      <c r="GG110" s="559"/>
      <c r="GH110" s="559"/>
    </row>
    <row r="111">
      <c r="A111" s="538"/>
      <c r="B111" s="156"/>
      <c r="C111" s="444"/>
      <c r="D111" s="614"/>
      <c r="E111" s="66"/>
      <c r="F111" s="642"/>
      <c r="G111" s="642"/>
      <c r="H111" s="615"/>
      <c r="I111" s="616" t="s">
        <v>365</v>
      </c>
      <c r="J111" s="624"/>
      <c r="K111" s="643"/>
      <c r="L111" s="640"/>
      <c r="M111" s="625"/>
      <c r="N111" s="617"/>
      <c r="O111" s="134"/>
      <c r="P111" s="57"/>
      <c r="Q111" s="57"/>
      <c r="S111" s="605"/>
      <c r="U111" s="573"/>
      <c r="V111" s="574"/>
      <c r="W111" s="618"/>
      <c r="X111" s="576">
        <v>0.0</v>
      </c>
      <c r="Y111" s="630">
        <v>0.0</v>
      </c>
      <c r="Z111" s="630" t="s">
        <v>365</v>
      </c>
      <c r="AA111" s="631" t="b">
        <v>0</v>
      </c>
      <c r="AB111" s="631"/>
      <c r="AC111" s="576"/>
      <c r="AD111" s="479">
        <v>0.0</v>
      </c>
      <c r="AE111" s="632"/>
      <c r="AF111" s="582" t="s">
        <v>365</v>
      </c>
      <c r="AG111" s="583"/>
      <c r="AH111" s="584"/>
      <c r="AI111" s="583"/>
      <c r="AJ111" s="585"/>
      <c r="AK111" s="583"/>
      <c r="AL111" s="584"/>
      <c r="AM111" s="583"/>
      <c r="AN111" s="585"/>
      <c r="AO111" s="583"/>
      <c r="AP111" s="584"/>
      <c r="AQ111" s="583"/>
      <c r="AR111" s="585"/>
      <c r="AS111" s="583"/>
      <c r="AT111" s="584"/>
      <c r="AU111" s="583"/>
      <c r="AV111" s="585"/>
      <c r="AW111" s="583"/>
      <c r="AX111" s="584"/>
      <c r="AY111" s="583"/>
      <c r="AZ111" s="585"/>
      <c r="BA111" s="583"/>
      <c r="BB111" s="584"/>
      <c r="BC111" s="583"/>
      <c r="BD111" s="585"/>
      <c r="BE111" s="583"/>
      <c r="BF111" s="584"/>
      <c r="BG111" s="583"/>
      <c r="BH111" s="585"/>
      <c r="BI111" s="583"/>
      <c r="BJ111" s="584"/>
      <c r="BK111" s="583"/>
      <c r="BL111" s="585"/>
      <c r="BM111" s="583"/>
      <c r="BN111" s="584"/>
      <c r="BO111" s="583"/>
      <c r="BP111" s="585"/>
      <c r="BQ111" s="583"/>
      <c r="BR111" s="584"/>
      <c r="BS111" s="583"/>
      <c r="BT111" s="586"/>
      <c r="BU111" s="540"/>
      <c r="BV111" s="540"/>
      <c r="BW111" s="540"/>
      <c r="BX111" s="538"/>
      <c r="BY111" s="538"/>
      <c r="BZ111" s="592"/>
      <c r="CA111" s="633"/>
      <c r="CB111" s="592" t="s">
        <v>365</v>
      </c>
      <c r="CC111" s="592">
        <v>0.0</v>
      </c>
      <c r="CD111" s="592" t="s">
        <v>365</v>
      </c>
      <c r="CE111" s="592">
        <v>0.0</v>
      </c>
      <c r="CF111" s="592"/>
      <c r="CG111" s="592">
        <v>0.0</v>
      </c>
      <c r="CH111" s="592"/>
      <c r="CI111" s="633"/>
      <c r="CJ111" s="592">
        <v>0.0</v>
      </c>
      <c r="CK111" s="479" t="s">
        <v>365</v>
      </c>
      <c r="CL111" s="592"/>
      <c r="CM111" s="593"/>
      <c r="CN111" s="538"/>
      <c r="CO111" s="538"/>
      <c r="CP111" s="538"/>
      <c r="CQ111" s="538"/>
      <c r="CR111" s="538"/>
      <c r="CS111" s="538"/>
      <c r="CT111" s="538"/>
      <c r="CU111" s="538"/>
      <c r="CV111" s="538"/>
      <c r="CW111" s="538"/>
      <c r="CX111" s="538"/>
      <c r="CY111" s="538"/>
      <c r="CZ111" s="538"/>
      <c r="DA111" s="538"/>
      <c r="DB111" s="538"/>
      <c r="DC111" s="538"/>
      <c r="DD111" s="538"/>
      <c r="DE111" s="538"/>
      <c r="DF111" s="538"/>
      <c r="DG111" s="538"/>
      <c r="DH111" s="538"/>
      <c r="DI111" s="538"/>
      <c r="DJ111" s="538"/>
      <c r="DK111" s="538"/>
      <c r="DL111" s="538"/>
      <c r="DM111" s="538"/>
      <c r="DN111" s="538"/>
      <c r="DO111" s="538"/>
      <c r="DP111" s="538"/>
      <c r="DQ111" s="538"/>
      <c r="DR111" s="538"/>
      <c r="DS111" s="538"/>
      <c r="DT111" s="538"/>
      <c r="DU111" s="538"/>
      <c r="DV111" s="538"/>
      <c r="DW111" s="538"/>
      <c r="DX111" s="538"/>
      <c r="DY111" s="538"/>
      <c r="DZ111" s="538"/>
      <c r="EA111" s="538"/>
      <c r="EB111" s="538"/>
      <c r="EC111" s="538"/>
      <c r="ED111" s="538"/>
      <c r="EE111" s="538"/>
      <c r="EF111" s="538"/>
      <c r="EG111" s="538"/>
      <c r="EH111" s="538"/>
      <c r="EI111" s="538"/>
      <c r="EJ111" s="538"/>
      <c r="EK111" s="538"/>
      <c r="EL111" s="538"/>
      <c r="EM111" s="538"/>
      <c r="EN111" s="538"/>
      <c r="EO111" s="538"/>
      <c r="EP111" s="538"/>
      <c r="EQ111" s="538"/>
      <c r="ER111" s="538"/>
      <c r="ES111" s="538"/>
      <c r="ET111" s="538"/>
      <c r="EU111" s="538"/>
      <c r="EV111" s="538"/>
      <c r="EW111" s="538"/>
      <c r="EX111" s="559"/>
      <c r="EY111" s="559"/>
      <c r="EZ111" s="559"/>
      <c r="FA111" s="559"/>
      <c r="FB111" s="559"/>
      <c r="FC111" s="559"/>
      <c r="FD111" s="559"/>
      <c r="FE111" s="559"/>
      <c r="FF111" s="559"/>
      <c r="FG111" s="559"/>
      <c r="FH111" s="559"/>
      <c r="FI111" s="559"/>
      <c r="FJ111" s="559"/>
      <c r="FK111" s="559"/>
      <c r="FL111" s="559"/>
      <c r="FM111" s="559"/>
      <c r="FN111" s="559"/>
      <c r="FO111" s="559"/>
      <c r="FP111" s="559"/>
      <c r="FQ111" s="559"/>
      <c r="FR111" s="559"/>
      <c r="FS111" s="559"/>
      <c r="FT111" s="559"/>
      <c r="FU111" s="559"/>
      <c r="FV111" s="559"/>
      <c r="FW111" s="559"/>
      <c r="FX111" s="559"/>
      <c r="FY111" s="559"/>
      <c r="FZ111" s="559"/>
      <c r="GA111" s="559"/>
      <c r="GB111" s="559"/>
      <c r="GC111" s="559"/>
      <c r="GD111" s="559"/>
      <c r="GE111" s="559"/>
      <c r="GF111" s="559"/>
      <c r="GG111" s="559"/>
      <c r="GH111" s="559"/>
    </row>
    <row r="112">
      <c r="A112" s="538"/>
      <c r="B112" s="156"/>
      <c r="C112" s="444"/>
      <c r="D112" s="614"/>
      <c r="E112" s="68"/>
      <c r="F112" s="644"/>
      <c r="G112" s="644"/>
      <c r="H112" s="627"/>
      <c r="I112" s="622" t="s">
        <v>365</v>
      </c>
      <c r="J112" s="607"/>
      <c r="K112" s="641"/>
      <c r="L112" s="628"/>
      <c r="M112" s="626"/>
      <c r="N112" s="619"/>
      <c r="O112" s="560"/>
      <c r="P112" s="47"/>
      <c r="Q112" s="47"/>
      <c r="S112" s="572"/>
      <c r="U112" s="573"/>
      <c r="V112" s="574"/>
      <c r="W112" s="618"/>
      <c r="X112" s="576">
        <v>0.0</v>
      </c>
      <c r="Y112" s="630">
        <v>0.0</v>
      </c>
      <c r="Z112" s="630" t="s">
        <v>365</v>
      </c>
      <c r="AA112" s="631" t="b">
        <v>0</v>
      </c>
      <c r="AB112" s="631"/>
      <c r="AC112" s="576"/>
      <c r="AD112" s="479">
        <v>0.0</v>
      </c>
      <c r="AE112" s="632"/>
      <c r="AF112" s="582" t="s">
        <v>365</v>
      </c>
      <c r="AG112" s="583"/>
      <c r="AH112" s="584"/>
      <c r="AI112" s="583"/>
      <c r="AJ112" s="585"/>
      <c r="AK112" s="583"/>
      <c r="AL112" s="584"/>
      <c r="AM112" s="583"/>
      <c r="AN112" s="585"/>
      <c r="AO112" s="583"/>
      <c r="AP112" s="584"/>
      <c r="AQ112" s="583"/>
      <c r="AR112" s="585"/>
      <c r="AS112" s="583"/>
      <c r="AT112" s="584"/>
      <c r="AU112" s="583"/>
      <c r="AV112" s="585"/>
      <c r="AW112" s="583"/>
      <c r="AX112" s="584"/>
      <c r="AY112" s="583"/>
      <c r="AZ112" s="585"/>
      <c r="BA112" s="583"/>
      <c r="BB112" s="584"/>
      <c r="BC112" s="583"/>
      <c r="BD112" s="585"/>
      <c r="BE112" s="583"/>
      <c r="BF112" s="584"/>
      <c r="BG112" s="583"/>
      <c r="BH112" s="585"/>
      <c r="BI112" s="583"/>
      <c r="BJ112" s="584"/>
      <c r="BK112" s="583"/>
      <c r="BL112" s="585"/>
      <c r="BM112" s="583"/>
      <c r="BN112" s="584"/>
      <c r="BO112" s="583"/>
      <c r="BP112" s="585"/>
      <c r="BQ112" s="583"/>
      <c r="BR112" s="584"/>
      <c r="BS112" s="583"/>
      <c r="BT112" s="586"/>
      <c r="BU112" s="540"/>
      <c r="BV112" s="540"/>
      <c r="BW112" s="540"/>
      <c r="BX112" s="538"/>
      <c r="BY112" s="538"/>
      <c r="BZ112" s="592"/>
      <c r="CA112" s="633"/>
      <c r="CB112" s="592" t="s">
        <v>365</v>
      </c>
      <c r="CC112" s="592">
        <v>0.0</v>
      </c>
      <c r="CD112" s="592" t="s">
        <v>365</v>
      </c>
      <c r="CE112" s="592">
        <v>0.0</v>
      </c>
      <c r="CF112" s="592"/>
      <c r="CG112" s="592">
        <v>0.0</v>
      </c>
      <c r="CH112" s="592"/>
      <c r="CI112" s="633"/>
      <c r="CJ112" s="592">
        <v>0.0</v>
      </c>
      <c r="CK112" s="479" t="s">
        <v>365</v>
      </c>
      <c r="CL112" s="592"/>
      <c r="CM112" s="593"/>
      <c r="CN112" s="538"/>
      <c r="CO112" s="538"/>
      <c r="CP112" s="538"/>
      <c r="CQ112" s="538"/>
      <c r="CR112" s="538"/>
      <c r="CS112" s="538"/>
      <c r="CT112" s="538"/>
      <c r="CU112" s="538"/>
      <c r="CV112" s="538"/>
      <c r="CW112" s="538"/>
      <c r="CX112" s="538"/>
      <c r="CY112" s="538"/>
      <c r="CZ112" s="538"/>
      <c r="DA112" s="538"/>
      <c r="DB112" s="538"/>
      <c r="DC112" s="538"/>
      <c r="DD112" s="538"/>
      <c r="DE112" s="538"/>
      <c r="DF112" s="538"/>
      <c r="DG112" s="538"/>
      <c r="DH112" s="538"/>
      <c r="DI112" s="538"/>
      <c r="DJ112" s="538"/>
      <c r="DK112" s="538"/>
      <c r="DL112" s="538"/>
      <c r="DM112" s="538"/>
      <c r="DN112" s="538"/>
      <c r="DO112" s="538"/>
      <c r="DP112" s="538"/>
      <c r="DQ112" s="538"/>
      <c r="DR112" s="538"/>
      <c r="DS112" s="538"/>
      <c r="DT112" s="538"/>
      <c r="DU112" s="538"/>
      <c r="DV112" s="538"/>
      <c r="DW112" s="538"/>
      <c r="DX112" s="538"/>
      <c r="DY112" s="538"/>
      <c r="DZ112" s="538"/>
      <c r="EA112" s="538"/>
      <c r="EB112" s="538"/>
      <c r="EC112" s="538"/>
      <c r="ED112" s="538"/>
      <c r="EE112" s="538"/>
      <c r="EF112" s="538"/>
      <c r="EG112" s="538"/>
      <c r="EH112" s="538"/>
      <c r="EI112" s="538"/>
      <c r="EJ112" s="538"/>
      <c r="EK112" s="538"/>
      <c r="EL112" s="538"/>
      <c r="EM112" s="538"/>
      <c r="EN112" s="538"/>
      <c r="EO112" s="538"/>
      <c r="EP112" s="538"/>
      <c r="EQ112" s="538"/>
      <c r="ER112" s="538"/>
      <c r="ES112" s="538"/>
      <c r="ET112" s="538"/>
      <c r="EU112" s="538"/>
      <c r="EV112" s="538"/>
      <c r="EW112" s="538"/>
      <c r="EX112" s="559"/>
      <c r="EY112" s="559"/>
      <c r="EZ112" s="559"/>
      <c r="FA112" s="559"/>
      <c r="FB112" s="559"/>
      <c r="FC112" s="559"/>
      <c r="FD112" s="559"/>
      <c r="FE112" s="559"/>
      <c r="FF112" s="559"/>
      <c r="FG112" s="559"/>
      <c r="FH112" s="559"/>
      <c r="FI112" s="559"/>
      <c r="FJ112" s="559"/>
      <c r="FK112" s="559"/>
      <c r="FL112" s="559"/>
      <c r="FM112" s="559"/>
      <c r="FN112" s="559"/>
      <c r="FO112" s="559"/>
      <c r="FP112" s="559"/>
      <c r="FQ112" s="559"/>
      <c r="FR112" s="559"/>
      <c r="FS112" s="559"/>
      <c r="FT112" s="559"/>
      <c r="FU112" s="559"/>
      <c r="FV112" s="559"/>
      <c r="FW112" s="559"/>
      <c r="FX112" s="559"/>
      <c r="FY112" s="559"/>
      <c r="FZ112" s="559"/>
      <c r="GA112" s="559"/>
      <c r="GB112" s="559"/>
      <c r="GC112" s="559"/>
      <c r="GD112" s="559"/>
      <c r="GE112" s="559"/>
      <c r="GF112" s="559"/>
      <c r="GG112" s="559"/>
      <c r="GH112" s="559"/>
    </row>
    <row r="113">
      <c r="A113" s="538"/>
      <c r="B113" s="156"/>
      <c r="C113" s="444"/>
      <c r="D113" s="614"/>
      <c r="E113" s="66"/>
      <c r="F113" s="642"/>
      <c r="G113" s="642"/>
      <c r="H113" s="615"/>
      <c r="I113" s="616" t="s">
        <v>365</v>
      </c>
      <c r="J113" s="624"/>
      <c r="K113" s="643"/>
      <c r="L113" s="640"/>
      <c r="M113" s="625"/>
      <c r="N113" s="617"/>
      <c r="O113" s="134"/>
      <c r="P113" s="57"/>
      <c r="Q113" s="57"/>
      <c r="S113" s="605"/>
      <c r="U113" s="573"/>
      <c r="V113" s="574"/>
      <c r="W113" s="618"/>
      <c r="X113" s="576">
        <v>0.0</v>
      </c>
      <c r="Y113" s="630">
        <v>0.0</v>
      </c>
      <c r="Z113" s="630" t="s">
        <v>365</v>
      </c>
      <c r="AA113" s="631" t="b">
        <v>0</v>
      </c>
      <c r="AB113" s="631"/>
      <c r="AC113" s="576"/>
      <c r="AD113" s="479">
        <v>0.0</v>
      </c>
      <c r="AE113" s="632"/>
      <c r="AF113" s="582" t="s">
        <v>365</v>
      </c>
      <c r="AG113" s="583"/>
      <c r="AH113" s="584"/>
      <c r="AI113" s="583"/>
      <c r="AJ113" s="585"/>
      <c r="AK113" s="583"/>
      <c r="AL113" s="584"/>
      <c r="AM113" s="583"/>
      <c r="AN113" s="585"/>
      <c r="AO113" s="583"/>
      <c r="AP113" s="584"/>
      <c r="AQ113" s="583"/>
      <c r="AR113" s="585"/>
      <c r="AS113" s="583"/>
      <c r="AT113" s="584"/>
      <c r="AU113" s="583"/>
      <c r="AV113" s="585"/>
      <c r="AW113" s="583"/>
      <c r="AX113" s="584"/>
      <c r="AY113" s="583"/>
      <c r="AZ113" s="585"/>
      <c r="BA113" s="583"/>
      <c r="BB113" s="584"/>
      <c r="BC113" s="583"/>
      <c r="BD113" s="585"/>
      <c r="BE113" s="583"/>
      <c r="BF113" s="584"/>
      <c r="BG113" s="583"/>
      <c r="BH113" s="585"/>
      <c r="BI113" s="583"/>
      <c r="BJ113" s="584"/>
      <c r="BK113" s="583"/>
      <c r="BL113" s="585"/>
      <c r="BM113" s="583"/>
      <c r="BN113" s="584"/>
      <c r="BO113" s="583"/>
      <c r="BP113" s="585"/>
      <c r="BQ113" s="583"/>
      <c r="BR113" s="584"/>
      <c r="BS113" s="583"/>
      <c r="BT113" s="586"/>
      <c r="BU113" s="540"/>
      <c r="BV113" s="540"/>
      <c r="BW113" s="540"/>
      <c r="BX113" s="538"/>
      <c r="BY113" s="538"/>
      <c r="BZ113" s="592"/>
      <c r="CA113" s="633"/>
      <c r="CB113" s="592" t="s">
        <v>365</v>
      </c>
      <c r="CC113" s="592">
        <v>0.0</v>
      </c>
      <c r="CD113" s="592" t="s">
        <v>365</v>
      </c>
      <c r="CE113" s="592">
        <v>0.0</v>
      </c>
      <c r="CF113" s="592"/>
      <c r="CG113" s="592">
        <v>0.0</v>
      </c>
      <c r="CH113" s="592"/>
      <c r="CI113" s="633"/>
      <c r="CJ113" s="592">
        <v>0.0</v>
      </c>
      <c r="CK113" s="479" t="s">
        <v>365</v>
      </c>
      <c r="CL113" s="592"/>
      <c r="CM113" s="593"/>
      <c r="CN113" s="538"/>
      <c r="CO113" s="538"/>
      <c r="CP113" s="538"/>
      <c r="CQ113" s="538"/>
      <c r="CR113" s="538"/>
      <c r="CS113" s="538"/>
      <c r="CT113" s="538"/>
      <c r="CU113" s="538"/>
      <c r="CV113" s="538"/>
      <c r="CW113" s="538"/>
      <c r="CX113" s="538"/>
      <c r="CY113" s="538"/>
      <c r="CZ113" s="538"/>
      <c r="DA113" s="538"/>
      <c r="DB113" s="538"/>
      <c r="DC113" s="538"/>
      <c r="DD113" s="538"/>
      <c r="DE113" s="538"/>
      <c r="DF113" s="538"/>
      <c r="DG113" s="538"/>
      <c r="DH113" s="538"/>
      <c r="DI113" s="538"/>
      <c r="DJ113" s="538"/>
      <c r="DK113" s="538"/>
      <c r="DL113" s="538"/>
      <c r="DM113" s="538"/>
      <c r="DN113" s="538"/>
      <c r="DO113" s="538"/>
      <c r="DP113" s="538"/>
      <c r="DQ113" s="538"/>
      <c r="DR113" s="538"/>
      <c r="DS113" s="538"/>
      <c r="DT113" s="538"/>
      <c r="DU113" s="538"/>
      <c r="DV113" s="538"/>
      <c r="DW113" s="538"/>
      <c r="DX113" s="538"/>
      <c r="DY113" s="538"/>
      <c r="DZ113" s="538"/>
      <c r="EA113" s="538"/>
      <c r="EB113" s="538"/>
      <c r="EC113" s="538"/>
      <c r="ED113" s="538"/>
      <c r="EE113" s="538"/>
      <c r="EF113" s="538"/>
      <c r="EG113" s="538"/>
      <c r="EH113" s="538"/>
      <c r="EI113" s="538"/>
      <c r="EJ113" s="538"/>
      <c r="EK113" s="538"/>
      <c r="EL113" s="538"/>
      <c r="EM113" s="538"/>
      <c r="EN113" s="538"/>
      <c r="EO113" s="538"/>
      <c r="EP113" s="538"/>
      <c r="EQ113" s="538"/>
      <c r="ER113" s="538"/>
      <c r="ES113" s="538"/>
      <c r="ET113" s="538"/>
      <c r="EU113" s="538"/>
      <c r="EV113" s="538"/>
      <c r="EW113" s="538"/>
      <c r="EX113" s="559"/>
      <c r="EY113" s="559"/>
      <c r="EZ113" s="559"/>
      <c r="FA113" s="559"/>
      <c r="FB113" s="559"/>
      <c r="FC113" s="559"/>
      <c r="FD113" s="559"/>
      <c r="FE113" s="559"/>
      <c r="FF113" s="559"/>
      <c r="FG113" s="559"/>
      <c r="FH113" s="559"/>
      <c r="FI113" s="559"/>
      <c r="FJ113" s="559"/>
      <c r="FK113" s="559"/>
      <c r="FL113" s="559"/>
      <c r="FM113" s="559"/>
      <c r="FN113" s="559"/>
      <c r="FO113" s="559"/>
      <c r="FP113" s="559"/>
      <c r="FQ113" s="559"/>
      <c r="FR113" s="559"/>
      <c r="FS113" s="559"/>
      <c r="FT113" s="559"/>
      <c r="FU113" s="559"/>
      <c r="FV113" s="559"/>
      <c r="FW113" s="559"/>
      <c r="FX113" s="559"/>
      <c r="FY113" s="559"/>
      <c r="FZ113" s="559"/>
      <c r="GA113" s="559"/>
      <c r="GB113" s="559"/>
      <c r="GC113" s="559"/>
      <c r="GD113" s="559"/>
      <c r="GE113" s="559"/>
      <c r="GF113" s="559"/>
      <c r="GG113" s="559"/>
      <c r="GH113" s="559"/>
    </row>
    <row r="114">
      <c r="A114" s="538"/>
      <c r="B114" s="156"/>
      <c r="C114" s="444"/>
      <c r="D114" s="614"/>
      <c r="E114" s="68"/>
      <c r="F114" s="644"/>
      <c r="G114" s="644"/>
      <c r="H114" s="627"/>
      <c r="I114" s="622" t="s">
        <v>365</v>
      </c>
      <c r="J114" s="607"/>
      <c r="K114" s="641"/>
      <c r="L114" s="628"/>
      <c r="M114" s="626"/>
      <c r="N114" s="619"/>
      <c r="O114" s="560"/>
      <c r="P114" s="47"/>
      <c r="Q114" s="47"/>
      <c r="S114" s="572"/>
      <c r="U114" s="573"/>
      <c r="V114" s="574"/>
      <c r="W114" s="618"/>
      <c r="X114" s="576">
        <v>0.0</v>
      </c>
      <c r="Y114" s="630">
        <v>0.0</v>
      </c>
      <c r="Z114" s="630" t="s">
        <v>365</v>
      </c>
      <c r="AA114" s="631" t="b">
        <v>0</v>
      </c>
      <c r="AB114" s="631"/>
      <c r="AC114" s="576"/>
      <c r="AD114" s="479">
        <v>0.0</v>
      </c>
      <c r="AE114" s="632"/>
      <c r="AF114" s="582" t="s">
        <v>365</v>
      </c>
      <c r="AG114" s="583"/>
      <c r="AH114" s="584"/>
      <c r="AI114" s="583"/>
      <c r="AJ114" s="585"/>
      <c r="AK114" s="583"/>
      <c r="AL114" s="584"/>
      <c r="AM114" s="583"/>
      <c r="AN114" s="585"/>
      <c r="AO114" s="583"/>
      <c r="AP114" s="584"/>
      <c r="AQ114" s="583"/>
      <c r="AR114" s="585"/>
      <c r="AS114" s="583"/>
      <c r="AT114" s="584"/>
      <c r="AU114" s="583"/>
      <c r="AV114" s="585"/>
      <c r="AW114" s="583"/>
      <c r="AX114" s="584"/>
      <c r="AY114" s="583"/>
      <c r="AZ114" s="585"/>
      <c r="BA114" s="583"/>
      <c r="BB114" s="584"/>
      <c r="BC114" s="583"/>
      <c r="BD114" s="585"/>
      <c r="BE114" s="583"/>
      <c r="BF114" s="584"/>
      <c r="BG114" s="583"/>
      <c r="BH114" s="585"/>
      <c r="BI114" s="583"/>
      <c r="BJ114" s="584"/>
      <c r="BK114" s="583"/>
      <c r="BL114" s="585"/>
      <c r="BM114" s="583"/>
      <c r="BN114" s="584"/>
      <c r="BO114" s="583"/>
      <c r="BP114" s="585"/>
      <c r="BQ114" s="583"/>
      <c r="BR114" s="584"/>
      <c r="BS114" s="583"/>
      <c r="BT114" s="586"/>
      <c r="BU114" s="540"/>
      <c r="BV114" s="540"/>
      <c r="BW114" s="540"/>
      <c r="BX114" s="538"/>
      <c r="BY114" s="538"/>
      <c r="BZ114" s="592"/>
      <c r="CA114" s="633"/>
      <c r="CB114" s="592" t="s">
        <v>365</v>
      </c>
      <c r="CC114" s="592">
        <v>0.0</v>
      </c>
      <c r="CD114" s="592" t="s">
        <v>365</v>
      </c>
      <c r="CE114" s="592">
        <v>0.0</v>
      </c>
      <c r="CF114" s="592"/>
      <c r="CG114" s="592">
        <v>0.0</v>
      </c>
      <c r="CH114" s="592"/>
      <c r="CI114" s="633"/>
      <c r="CJ114" s="592">
        <v>0.0</v>
      </c>
      <c r="CK114" s="479" t="s">
        <v>365</v>
      </c>
      <c r="CL114" s="592"/>
      <c r="CM114" s="593"/>
      <c r="CN114" s="538"/>
      <c r="CO114" s="538"/>
      <c r="CP114" s="538"/>
      <c r="CQ114" s="538"/>
      <c r="CR114" s="538"/>
      <c r="CS114" s="538"/>
      <c r="CT114" s="538"/>
      <c r="CU114" s="538"/>
      <c r="CV114" s="538"/>
      <c r="CW114" s="538"/>
      <c r="CX114" s="538"/>
      <c r="CY114" s="538"/>
      <c r="CZ114" s="538"/>
      <c r="DA114" s="538"/>
      <c r="DB114" s="538"/>
      <c r="DC114" s="538"/>
      <c r="DD114" s="538"/>
      <c r="DE114" s="538"/>
      <c r="DF114" s="538"/>
      <c r="DG114" s="538"/>
      <c r="DH114" s="538"/>
      <c r="DI114" s="538"/>
      <c r="DJ114" s="538"/>
      <c r="DK114" s="538"/>
      <c r="DL114" s="538"/>
      <c r="DM114" s="538"/>
      <c r="DN114" s="538"/>
      <c r="DO114" s="538"/>
      <c r="DP114" s="538"/>
      <c r="DQ114" s="538"/>
      <c r="DR114" s="538"/>
      <c r="DS114" s="538"/>
      <c r="DT114" s="538"/>
      <c r="DU114" s="538"/>
      <c r="DV114" s="538"/>
      <c r="DW114" s="538"/>
      <c r="DX114" s="538"/>
      <c r="DY114" s="538"/>
      <c r="DZ114" s="538"/>
      <c r="EA114" s="538"/>
      <c r="EB114" s="538"/>
      <c r="EC114" s="538"/>
      <c r="ED114" s="538"/>
      <c r="EE114" s="538"/>
      <c r="EF114" s="538"/>
      <c r="EG114" s="538"/>
      <c r="EH114" s="538"/>
      <c r="EI114" s="538"/>
      <c r="EJ114" s="538"/>
      <c r="EK114" s="538"/>
      <c r="EL114" s="538"/>
      <c r="EM114" s="538"/>
      <c r="EN114" s="538"/>
      <c r="EO114" s="538"/>
      <c r="EP114" s="538"/>
      <c r="EQ114" s="538"/>
      <c r="ER114" s="538"/>
      <c r="ES114" s="538"/>
      <c r="ET114" s="538"/>
      <c r="EU114" s="538"/>
      <c r="EV114" s="538"/>
      <c r="EW114" s="538"/>
      <c r="EX114" s="559"/>
      <c r="EY114" s="559"/>
      <c r="EZ114" s="559"/>
      <c r="FA114" s="559"/>
      <c r="FB114" s="559"/>
      <c r="FC114" s="559"/>
      <c r="FD114" s="559"/>
      <c r="FE114" s="559"/>
      <c r="FF114" s="559"/>
      <c r="FG114" s="559"/>
      <c r="FH114" s="559"/>
      <c r="FI114" s="559"/>
      <c r="FJ114" s="559"/>
      <c r="FK114" s="559"/>
      <c r="FL114" s="559"/>
      <c r="FM114" s="559"/>
      <c r="FN114" s="559"/>
      <c r="FO114" s="559"/>
      <c r="FP114" s="559"/>
      <c r="FQ114" s="559"/>
      <c r="FR114" s="559"/>
      <c r="FS114" s="559"/>
      <c r="FT114" s="559"/>
      <c r="FU114" s="559"/>
      <c r="FV114" s="559"/>
      <c r="FW114" s="559"/>
      <c r="FX114" s="559"/>
      <c r="FY114" s="559"/>
      <c r="FZ114" s="559"/>
      <c r="GA114" s="559"/>
      <c r="GB114" s="559"/>
      <c r="GC114" s="559"/>
      <c r="GD114" s="559"/>
      <c r="GE114" s="559"/>
      <c r="GF114" s="559"/>
      <c r="GG114" s="559"/>
      <c r="GH114" s="559"/>
    </row>
    <row r="115">
      <c r="A115" s="538"/>
      <c r="B115" s="156"/>
      <c r="C115" s="444"/>
      <c r="D115" s="614"/>
      <c r="E115" s="66"/>
      <c r="F115" s="642"/>
      <c r="G115" s="642"/>
      <c r="H115" s="615"/>
      <c r="I115" s="616" t="s">
        <v>365</v>
      </c>
      <c r="J115" s="624"/>
      <c r="K115" s="643"/>
      <c r="L115" s="640"/>
      <c r="M115" s="625"/>
      <c r="N115" s="617"/>
      <c r="O115" s="134"/>
      <c r="P115" s="57"/>
      <c r="Q115" s="57"/>
      <c r="S115" s="605"/>
      <c r="U115" s="573"/>
      <c r="V115" s="574"/>
      <c r="W115" s="618"/>
      <c r="X115" s="576">
        <v>0.0</v>
      </c>
      <c r="Y115" s="630">
        <v>0.0</v>
      </c>
      <c r="Z115" s="630" t="s">
        <v>365</v>
      </c>
      <c r="AA115" s="631" t="b">
        <v>0</v>
      </c>
      <c r="AB115" s="631"/>
      <c r="AC115" s="576"/>
      <c r="AD115" s="479">
        <v>0.0</v>
      </c>
      <c r="AE115" s="632"/>
      <c r="AF115" s="582" t="s">
        <v>365</v>
      </c>
      <c r="AG115" s="583"/>
      <c r="AH115" s="584"/>
      <c r="AI115" s="583"/>
      <c r="AJ115" s="585"/>
      <c r="AK115" s="583"/>
      <c r="AL115" s="584"/>
      <c r="AM115" s="583"/>
      <c r="AN115" s="585"/>
      <c r="AO115" s="583"/>
      <c r="AP115" s="584"/>
      <c r="AQ115" s="583"/>
      <c r="AR115" s="585"/>
      <c r="AS115" s="583"/>
      <c r="AT115" s="584"/>
      <c r="AU115" s="583"/>
      <c r="AV115" s="585"/>
      <c r="AW115" s="583"/>
      <c r="AX115" s="584"/>
      <c r="AY115" s="583"/>
      <c r="AZ115" s="585"/>
      <c r="BA115" s="583"/>
      <c r="BB115" s="584"/>
      <c r="BC115" s="583"/>
      <c r="BD115" s="585"/>
      <c r="BE115" s="583"/>
      <c r="BF115" s="584"/>
      <c r="BG115" s="583"/>
      <c r="BH115" s="585"/>
      <c r="BI115" s="583"/>
      <c r="BJ115" s="584"/>
      <c r="BK115" s="583"/>
      <c r="BL115" s="585"/>
      <c r="BM115" s="583"/>
      <c r="BN115" s="584"/>
      <c r="BO115" s="583"/>
      <c r="BP115" s="585"/>
      <c r="BQ115" s="583"/>
      <c r="BR115" s="584"/>
      <c r="BS115" s="583"/>
      <c r="BT115" s="586"/>
      <c r="BU115" s="540"/>
      <c r="BV115" s="540"/>
      <c r="BW115" s="540"/>
      <c r="BX115" s="538"/>
      <c r="BY115" s="538"/>
      <c r="BZ115" s="592"/>
      <c r="CA115" s="633"/>
      <c r="CB115" s="592" t="s">
        <v>365</v>
      </c>
      <c r="CC115" s="592">
        <v>0.0</v>
      </c>
      <c r="CD115" s="592" t="s">
        <v>365</v>
      </c>
      <c r="CE115" s="592">
        <v>0.0</v>
      </c>
      <c r="CF115" s="592"/>
      <c r="CG115" s="592">
        <v>0.0</v>
      </c>
      <c r="CH115" s="592"/>
      <c r="CI115" s="633"/>
      <c r="CJ115" s="592">
        <v>0.0</v>
      </c>
      <c r="CK115" s="479" t="s">
        <v>365</v>
      </c>
      <c r="CL115" s="592"/>
      <c r="CM115" s="593"/>
      <c r="CN115" s="538"/>
      <c r="CO115" s="538"/>
      <c r="CP115" s="538"/>
      <c r="CQ115" s="538"/>
      <c r="CR115" s="538"/>
      <c r="CS115" s="538"/>
      <c r="CT115" s="538"/>
      <c r="CU115" s="538"/>
      <c r="CV115" s="538"/>
      <c r="CW115" s="538"/>
      <c r="CX115" s="538"/>
      <c r="CY115" s="538"/>
      <c r="CZ115" s="538"/>
      <c r="DA115" s="538"/>
      <c r="DB115" s="538"/>
      <c r="DC115" s="538"/>
      <c r="DD115" s="538"/>
      <c r="DE115" s="538"/>
      <c r="DF115" s="538"/>
      <c r="DG115" s="538"/>
      <c r="DH115" s="538"/>
      <c r="DI115" s="538"/>
      <c r="DJ115" s="538"/>
      <c r="DK115" s="538"/>
      <c r="DL115" s="538"/>
      <c r="DM115" s="538"/>
      <c r="DN115" s="538"/>
      <c r="DO115" s="538"/>
      <c r="DP115" s="538"/>
      <c r="DQ115" s="538"/>
      <c r="DR115" s="538"/>
      <c r="DS115" s="538"/>
      <c r="DT115" s="538"/>
      <c r="DU115" s="538"/>
      <c r="DV115" s="538"/>
      <c r="DW115" s="538"/>
      <c r="DX115" s="538"/>
      <c r="DY115" s="538"/>
      <c r="DZ115" s="538"/>
      <c r="EA115" s="538"/>
      <c r="EB115" s="538"/>
      <c r="EC115" s="538"/>
      <c r="ED115" s="538"/>
      <c r="EE115" s="538"/>
      <c r="EF115" s="538"/>
      <c r="EG115" s="538"/>
      <c r="EH115" s="538"/>
      <c r="EI115" s="538"/>
      <c r="EJ115" s="538"/>
      <c r="EK115" s="538"/>
      <c r="EL115" s="538"/>
      <c r="EM115" s="538"/>
      <c r="EN115" s="538"/>
      <c r="EO115" s="538"/>
      <c r="EP115" s="538"/>
      <c r="EQ115" s="538"/>
      <c r="ER115" s="538"/>
      <c r="ES115" s="538"/>
      <c r="ET115" s="538"/>
      <c r="EU115" s="538"/>
      <c r="EV115" s="538"/>
      <c r="EW115" s="538"/>
      <c r="EX115" s="559"/>
      <c r="EY115" s="559"/>
      <c r="EZ115" s="559"/>
      <c r="FA115" s="559"/>
      <c r="FB115" s="559"/>
      <c r="FC115" s="559"/>
      <c r="FD115" s="559"/>
      <c r="FE115" s="559"/>
      <c r="FF115" s="559"/>
      <c r="FG115" s="559"/>
      <c r="FH115" s="559"/>
      <c r="FI115" s="559"/>
      <c r="FJ115" s="559"/>
      <c r="FK115" s="559"/>
      <c r="FL115" s="559"/>
      <c r="FM115" s="559"/>
      <c r="FN115" s="559"/>
      <c r="FO115" s="559"/>
      <c r="FP115" s="559"/>
      <c r="FQ115" s="559"/>
      <c r="FR115" s="559"/>
      <c r="FS115" s="559"/>
      <c r="FT115" s="559"/>
      <c r="FU115" s="559"/>
      <c r="FV115" s="559"/>
      <c r="FW115" s="559"/>
      <c r="FX115" s="559"/>
      <c r="FY115" s="559"/>
      <c r="FZ115" s="559"/>
      <c r="GA115" s="559"/>
      <c r="GB115" s="559"/>
      <c r="GC115" s="559"/>
      <c r="GD115" s="559"/>
      <c r="GE115" s="559"/>
      <c r="GF115" s="559"/>
      <c r="GG115" s="559"/>
      <c r="GH115" s="559"/>
    </row>
    <row r="116">
      <c r="A116" s="538"/>
      <c r="B116" s="156"/>
      <c r="C116" s="444"/>
      <c r="D116" s="614"/>
      <c r="E116" s="68"/>
      <c r="F116" s="644"/>
      <c r="G116" s="644"/>
      <c r="H116" s="627"/>
      <c r="I116" s="622" t="s">
        <v>365</v>
      </c>
      <c r="J116" s="607"/>
      <c r="K116" s="641"/>
      <c r="L116" s="628"/>
      <c r="M116" s="626"/>
      <c r="N116" s="619"/>
      <c r="O116" s="560"/>
      <c r="P116" s="47"/>
      <c r="Q116" s="47"/>
      <c r="S116" s="572"/>
      <c r="U116" s="573"/>
      <c r="V116" s="574"/>
      <c r="W116" s="618"/>
      <c r="X116" s="576">
        <v>0.0</v>
      </c>
      <c r="Y116" s="630">
        <v>0.0</v>
      </c>
      <c r="Z116" s="630" t="s">
        <v>365</v>
      </c>
      <c r="AA116" s="631" t="b">
        <v>0</v>
      </c>
      <c r="AB116" s="631"/>
      <c r="AC116" s="576"/>
      <c r="AD116" s="479">
        <v>0.0</v>
      </c>
      <c r="AE116" s="632"/>
      <c r="AF116" s="582" t="s">
        <v>365</v>
      </c>
      <c r="AG116" s="583"/>
      <c r="AH116" s="584"/>
      <c r="AI116" s="583"/>
      <c r="AJ116" s="585"/>
      <c r="AK116" s="583"/>
      <c r="AL116" s="584"/>
      <c r="AM116" s="583"/>
      <c r="AN116" s="585"/>
      <c r="AO116" s="583"/>
      <c r="AP116" s="584"/>
      <c r="AQ116" s="583"/>
      <c r="AR116" s="585"/>
      <c r="AS116" s="583"/>
      <c r="AT116" s="584"/>
      <c r="AU116" s="583"/>
      <c r="AV116" s="585"/>
      <c r="AW116" s="583"/>
      <c r="AX116" s="584"/>
      <c r="AY116" s="583"/>
      <c r="AZ116" s="585"/>
      <c r="BA116" s="583"/>
      <c r="BB116" s="584"/>
      <c r="BC116" s="583"/>
      <c r="BD116" s="585"/>
      <c r="BE116" s="583"/>
      <c r="BF116" s="584"/>
      <c r="BG116" s="583"/>
      <c r="BH116" s="585"/>
      <c r="BI116" s="583"/>
      <c r="BJ116" s="584"/>
      <c r="BK116" s="583"/>
      <c r="BL116" s="585"/>
      <c r="BM116" s="583"/>
      <c r="BN116" s="584"/>
      <c r="BO116" s="583"/>
      <c r="BP116" s="585"/>
      <c r="BQ116" s="583"/>
      <c r="BR116" s="584"/>
      <c r="BS116" s="583"/>
      <c r="BT116" s="586"/>
      <c r="BU116" s="540"/>
      <c r="BV116" s="540"/>
      <c r="BW116" s="540"/>
      <c r="BX116" s="538"/>
      <c r="BY116" s="538"/>
      <c r="BZ116" s="592"/>
      <c r="CA116" s="633"/>
      <c r="CB116" s="592" t="s">
        <v>365</v>
      </c>
      <c r="CC116" s="592">
        <v>0.0</v>
      </c>
      <c r="CD116" s="592" t="s">
        <v>365</v>
      </c>
      <c r="CE116" s="592">
        <v>0.0</v>
      </c>
      <c r="CF116" s="592"/>
      <c r="CG116" s="592">
        <v>0.0</v>
      </c>
      <c r="CH116" s="592"/>
      <c r="CI116" s="633"/>
      <c r="CJ116" s="592">
        <v>0.0</v>
      </c>
      <c r="CK116" s="479" t="s">
        <v>365</v>
      </c>
      <c r="CL116" s="592"/>
      <c r="CM116" s="593"/>
      <c r="CN116" s="538"/>
      <c r="CO116" s="538"/>
      <c r="CP116" s="538"/>
      <c r="CQ116" s="538"/>
      <c r="CR116" s="538"/>
      <c r="CS116" s="538"/>
      <c r="CT116" s="538"/>
      <c r="CU116" s="538"/>
      <c r="CV116" s="538"/>
      <c r="CW116" s="538"/>
      <c r="CX116" s="538"/>
      <c r="CY116" s="538"/>
      <c r="CZ116" s="538"/>
      <c r="DA116" s="538"/>
      <c r="DB116" s="538"/>
      <c r="DC116" s="538"/>
      <c r="DD116" s="538"/>
      <c r="DE116" s="538"/>
      <c r="DF116" s="538"/>
      <c r="DG116" s="538"/>
      <c r="DH116" s="538"/>
      <c r="DI116" s="538"/>
      <c r="DJ116" s="538"/>
      <c r="DK116" s="538"/>
      <c r="DL116" s="538"/>
      <c r="DM116" s="538"/>
      <c r="DN116" s="538"/>
      <c r="DO116" s="538"/>
      <c r="DP116" s="538"/>
      <c r="DQ116" s="538"/>
      <c r="DR116" s="538"/>
      <c r="DS116" s="538"/>
      <c r="DT116" s="538"/>
      <c r="DU116" s="538"/>
      <c r="DV116" s="538"/>
      <c r="DW116" s="538"/>
      <c r="DX116" s="538"/>
      <c r="DY116" s="538"/>
      <c r="DZ116" s="538"/>
      <c r="EA116" s="538"/>
      <c r="EB116" s="538"/>
      <c r="EC116" s="538"/>
      <c r="ED116" s="538"/>
      <c r="EE116" s="538"/>
      <c r="EF116" s="538"/>
      <c r="EG116" s="538"/>
      <c r="EH116" s="538"/>
      <c r="EI116" s="538"/>
      <c r="EJ116" s="538"/>
      <c r="EK116" s="538"/>
      <c r="EL116" s="538"/>
      <c r="EM116" s="538"/>
      <c r="EN116" s="538"/>
      <c r="EO116" s="538"/>
      <c r="EP116" s="538"/>
      <c r="EQ116" s="538"/>
      <c r="ER116" s="538"/>
      <c r="ES116" s="538"/>
      <c r="ET116" s="538"/>
      <c r="EU116" s="538"/>
      <c r="EV116" s="538"/>
      <c r="EW116" s="538"/>
      <c r="EX116" s="559"/>
      <c r="EY116" s="559"/>
      <c r="EZ116" s="559"/>
      <c r="FA116" s="559"/>
      <c r="FB116" s="559"/>
      <c r="FC116" s="559"/>
      <c r="FD116" s="559"/>
      <c r="FE116" s="559"/>
      <c r="FF116" s="559"/>
      <c r="FG116" s="559"/>
      <c r="FH116" s="559"/>
      <c r="FI116" s="559"/>
      <c r="FJ116" s="559"/>
      <c r="FK116" s="559"/>
      <c r="FL116" s="559"/>
      <c r="FM116" s="559"/>
      <c r="FN116" s="559"/>
      <c r="FO116" s="559"/>
      <c r="FP116" s="559"/>
      <c r="FQ116" s="559"/>
      <c r="FR116" s="559"/>
      <c r="FS116" s="559"/>
      <c r="FT116" s="559"/>
      <c r="FU116" s="559"/>
      <c r="FV116" s="559"/>
      <c r="FW116" s="559"/>
      <c r="FX116" s="559"/>
      <c r="FY116" s="559"/>
      <c r="FZ116" s="559"/>
      <c r="GA116" s="559"/>
      <c r="GB116" s="559"/>
      <c r="GC116" s="559"/>
      <c r="GD116" s="559"/>
      <c r="GE116" s="559"/>
      <c r="GF116" s="559"/>
      <c r="GG116" s="559"/>
      <c r="GH116" s="559"/>
    </row>
    <row r="117">
      <c r="A117" s="538"/>
      <c r="B117" s="156"/>
      <c r="C117" s="444"/>
      <c r="D117" s="614"/>
      <c r="E117" s="66"/>
      <c r="F117" s="642"/>
      <c r="G117" s="642"/>
      <c r="H117" s="615"/>
      <c r="I117" s="616" t="s">
        <v>365</v>
      </c>
      <c r="J117" s="624"/>
      <c r="K117" s="643"/>
      <c r="L117" s="640"/>
      <c r="M117" s="625"/>
      <c r="N117" s="617"/>
      <c r="O117" s="134"/>
      <c r="P117" s="57"/>
      <c r="Q117" s="57"/>
      <c r="S117" s="605"/>
      <c r="U117" s="573"/>
      <c r="V117" s="574"/>
      <c r="W117" s="618"/>
      <c r="X117" s="576">
        <v>0.0</v>
      </c>
      <c r="Y117" s="630">
        <v>0.0</v>
      </c>
      <c r="Z117" s="630" t="s">
        <v>365</v>
      </c>
      <c r="AA117" s="631" t="b">
        <v>0</v>
      </c>
      <c r="AB117" s="631"/>
      <c r="AC117" s="576"/>
      <c r="AD117" s="479">
        <v>0.0</v>
      </c>
      <c r="AE117" s="632"/>
      <c r="AF117" s="582" t="s">
        <v>365</v>
      </c>
      <c r="AG117" s="583"/>
      <c r="AH117" s="584"/>
      <c r="AI117" s="583"/>
      <c r="AJ117" s="585"/>
      <c r="AK117" s="583"/>
      <c r="AL117" s="584"/>
      <c r="AM117" s="583"/>
      <c r="AN117" s="585"/>
      <c r="AO117" s="583"/>
      <c r="AP117" s="584"/>
      <c r="AQ117" s="583"/>
      <c r="AR117" s="585"/>
      <c r="AS117" s="583"/>
      <c r="AT117" s="584"/>
      <c r="AU117" s="583"/>
      <c r="AV117" s="585"/>
      <c r="AW117" s="583"/>
      <c r="AX117" s="584"/>
      <c r="AY117" s="583"/>
      <c r="AZ117" s="585"/>
      <c r="BA117" s="583"/>
      <c r="BB117" s="584"/>
      <c r="BC117" s="583"/>
      <c r="BD117" s="585"/>
      <c r="BE117" s="583"/>
      <c r="BF117" s="584"/>
      <c r="BG117" s="583"/>
      <c r="BH117" s="585"/>
      <c r="BI117" s="583"/>
      <c r="BJ117" s="584"/>
      <c r="BK117" s="583"/>
      <c r="BL117" s="585"/>
      <c r="BM117" s="583"/>
      <c r="BN117" s="584"/>
      <c r="BO117" s="583"/>
      <c r="BP117" s="585"/>
      <c r="BQ117" s="583"/>
      <c r="BR117" s="584"/>
      <c r="BS117" s="583"/>
      <c r="BT117" s="586"/>
      <c r="BU117" s="540"/>
      <c r="BV117" s="540"/>
      <c r="BW117" s="540"/>
      <c r="BX117" s="538"/>
      <c r="BY117" s="538"/>
      <c r="BZ117" s="592"/>
      <c r="CA117" s="633"/>
      <c r="CB117" s="592" t="s">
        <v>365</v>
      </c>
      <c r="CC117" s="592">
        <v>0.0</v>
      </c>
      <c r="CD117" s="592" t="s">
        <v>365</v>
      </c>
      <c r="CE117" s="592">
        <v>0.0</v>
      </c>
      <c r="CF117" s="592"/>
      <c r="CG117" s="592">
        <v>0.0</v>
      </c>
      <c r="CH117" s="592"/>
      <c r="CI117" s="633"/>
      <c r="CJ117" s="592">
        <v>0.0</v>
      </c>
      <c r="CK117" s="479" t="s">
        <v>365</v>
      </c>
      <c r="CL117" s="592"/>
      <c r="CM117" s="593"/>
      <c r="CN117" s="538"/>
      <c r="CO117" s="538"/>
      <c r="CP117" s="538"/>
      <c r="CQ117" s="538"/>
      <c r="CR117" s="538"/>
      <c r="CS117" s="538"/>
      <c r="CT117" s="538"/>
      <c r="CU117" s="538"/>
      <c r="CV117" s="538"/>
      <c r="CW117" s="538"/>
      <c r="CX117" s="538"/>
      <c r="CY117" s="538"/>
      <c r="CZ117" s="538"/>
      <c r="DA117" s="538"/>
      <c r="DB117" s="538"/>
      <c r="DC117" s="538"/>
      <c r="DD117" s="538"/>
      <c r="DE117" s="538"/>
      <c r="DF117" s="538"/>
      <c r="DG117" s="538"/>
      <c r="DH117" s="538"/>
      <c r="DI117" s="538"/>
      <c r="DJ117" s="538"/>
      <c r="DK117" s="538"/>
      <c r="DL117" s="538"/>
      <c r="DM117" s="538"/>
      <c r="DN117" s="538"/>
      <c r="DO117" s="538"/>
      <c r="DP117" s="538"/>
      <c r="DQ117" s="538"/>
      <c r="DR117" s="538"/>
      <c r="DS117" s="538"/>
      <c r="DT117" s="538"/>
      <c r="DU117" s="538"/>
      <c r="DV117" s="538"/>
      <c r="DW117" s="538"/>
      <c r="DX117" s="538"/>
      <c r="DY117" s="538"/>
      <c r="DZ117" s="538"/>
      <c r="EA117" s="538"/>
      <c r="EB117" s="538"/>
      <c r="EC117" s="538"/>
      <c r="ED117" s="538"/>
      <c r="EE117" s="538"/>
      <c r="EF117" s="538"/>
      <c r="EG117" s="538"/>
      <c r="EH117" s="538"/>
      <c r="EI117" s="538"/>
      <c r="EJ117" s="538"/>
      <c r="EK117" s="538"/>
      <c r="EL117" s="538"/>
      <c r="EM117" s="538"/>
      <c r="EN117" s="538"/>
      <c r="EO117" s="538"/>
      <c r="EP117" s="538"/>
      <c r="EQ117" s="538"/>
      <c r="ER117" s="538"/>
      <c r="ES117" s="538"/>
      <c r="ET117" s="538"/>
      <c r="EU117" s="538"/>
      <c r="EV117" s="538"/>
      <c r="EW117" s="538"/>
      <c r="EX117" s="559"/>
      <c r="EY117" s="559"/>
      <c r="EZ117" s="559"/>
      <c r="FA117" s="559"/>
      <c r="FB117" s="559"/>
      <c r="FC117" s="559"/>
      <c r="FD117" s="559"/>
      <c r="FE117" s="559"/>
      <c r="FF117" s="559"/>
      <c r="FG117" s="559"/>
      <c r="FH117" s="559"/>
      <c r="FI117" s="559"/>
      <c r="FJ117" s="559"/>
      <c r="FK117" s="559"/>
      <c r="FL117" s="559"/>
      <c r="FM117" s="559"/>
      <c r="FN117" s="559"/>
      <c r="FO117" s="559"/>
      <c r="FP117" s="559"/>
      <c r="FQ117" s="559"/>
      <c r="FR117" s="559"/>
      <c r="FS117" s="559"/>
      <c r="FT117" s="559"/>
      <c r="FU117" s="559"/>
      <c r="FV117" s="559"/>
      <c r="FW117" s="559"/>
      <c r="FX117" s="559"/>
      <c r="FY117" s="559"/>
      <c r="FZ117" s="559"/>
      <c r="GA117" s="559"/>
      <c r="GB117" s="559"/>
      <c r="GC117" s="559"/>
      <c r="GD117" s="559"/>
      <c r="GE117" s="559"/>
      <c r="GF117" s="559"/>
      <c r="GG117" s="559"/>
      <c r="GH117" s="559"/>
    </row>
    <row r="118">
      <c r="A118" s="538"/>
      <c r="B118" s="156"/>
      <c r="C118" s="444"/>
      <c r="D118" s="614"/>
      <c r="E118" s="68"/>
      <c r="F118" s="644"/>
      <c r="G118" s="644"/>
      <c r="H118" s="627"/>
      <c r="I118" s="622" t="s">
        <v>365</v>
      </c>
      <c r="J118" s="607"/>
      <c r="K118" s="641"/>
      <c r="L118" s="628"/>
      <c r="M118" s="626"/>
      <c r="N118" s="619"/>
      <c r="O118" s="560"/>
      <c r="P118" s="47"/>
      <c r="Q118" s="47"/>
      <c r="S118" s="572"/>
      <c r="U118" s="573"/>
      <c r="V118" s="574"/>
      <c r="W118" s="618"/>
      <c r="X118" s="576">
        <v>0.0</v>
      </c>
      <c r="Y118" s="630">
        <v>0.0</v>
      </c>
      <c r="Z118" s="630" t="s">
        <v>365</v>
      </c>
      <c r="AA118" s="631" t="b">
        <v>0</v>
      </c>
      <c r="AB118" s="631"/>
      <c r="AC118" s="576"/>
      <c r="AD118" s="479">
        <v>0.0</v>
      </c>
      <c r="AE118" s="632"/>
      <c r="AF118" s="582" t="s">
        <v>365</v>
      </c>
      <c r="AG118" s="583"/>
      <c r="AH118" s="584"/>
      <c r="AI118" s="583"/>
      <c r="AJ118" s="585"/>
      <c r="AK118" s="583"/>
      <c r="AL118" s="584"/>
      <c r="AM118" s="583"/>
      <c r="AN118" s="585"/>
      <c r="AO118" s="583"/>
      <c r="AP118" s="584"/>
      <c r="AQ118" s="583"/>
      <c r="AR118" s="585"/>
      <c r="AS118" s="583"/>
      <c r="AT118" s="584"/>
      <c r="AU118" s="583"/>
      <c r="AV118" s="585"/>
      <c r="AW118" s="583"/>
      <c r="AX118" s="584"/>
      <c r="AY118" s="583"/>
      <c r="AZ118" s="585"/>
      <c r="BA118" s="583"/>
      <c r="BB118" s="584"/>
      <c r="BC118" s="583"/>
      <c r="BD118" s="585"/>
      <c r="BE118" s="583"/>
      <c r="BF118" s="584"/>
      <c r="BG118" s="583"/>
      <c r="BH118" s="585"/>
      <c r="BI118" s="583"/>
      <c r="BJ118" s="584"/>
      <c r="BK118" s="583"/>
      <c r="BL118" s="585"/>
      <c r="BM118" s="583"/>
      <c r="BN118" s="584"/>
      <c r="BO118" s="583"/>
      <c r="BP118" s="585"/>
      <c r="BQ118" s="583"/>
      <c r="BR118" s="584"/>
      <c r="BS118" s="583"/>
      <c r="BT118" s="586"/>
      <c r="BU118" s="540"/>
      <c r="BV118" s="540"/>
      <c r="BW118" s="540"/>
      <c r="BX118" s="538"/>
      <c r="BY118" s="538"/>
      <c r="BZ118" s="592"/>
      <c r="CA118" s="633"/>
      <c r="CB118" s="592" t="s">
        <v>365</v>
      </c>
      <c r="CC118" s="592">
        <v>0.0</v>
      </c>
      <c r="CD118" s="592" t="s">
        <v>365</v>
      </c>
      <c r="CE118" s="592">
        <v>0.0</v>
      </c>
      <c r="CF118" s="592"/>
      <c r="CG118" s="592">
        <v>0.0</v>
      </c>
      <c r="CH118" s="592"/>
      <c r="CI118" s="633"/>
      <c r="CJ118" s="592">
        <v>0.0</v>
      </c>
      <c r="CK118" s="479" t="s">
        <v>365</v>
      </c>
      <c r="CL118" s="592"/>
      <c r="CM118" s="593"/>
      <c r="CN118" s="538"/>
      <c r="CO118" s="538"/>
      <c r="CP118" s="538"/>
      <c r="CQ118" s="538"/>
      <c r="CR118" s="538"/>
      <c r="CS118" s="538"/>
      <c r="CT118" s="538"/>
      <c r="CU118" s="538"/>
      <c r="CV118" s="538"/>
      <c r="CW118" s="538"/>
      <c r="CX118" s="538"/>
      <c r="CY118" s="538"/>
      <c r="CZ118" s="538"/>
      <c r="DA118" s="538"/>
      <c r="DB118" s="538"/>
      <c r="DC118" s="538"/>
      <c r="DD118" s="538"/>
      <c r="DE118" s="538"/>
      <c r="DF118" s="538"/>
      <c r="DG118" s="538"/>
      <c r="DH118" s="538"/>
      <c r="DI118" s="538"/>
      <c r="DJ118" s="538"/>
      <c r="DK118" s="538"/>
      <c r="DL118" s="538"/>
      <c r="DM118" s="538"/>
      <c r="DN118" s="538"/>
      <c r="DO118" s="538"/>
      <c r="DP118" s="538"/>
      <c r="DQ118" s="538"/>
      <c r="DR118" s="538"/>
      <c r="DS118" s="538"/>
      <c r="DT118" s="538"/>
      <c r="DU118" s="538"/>
      <c r="DV118" s="538"/>
      <c r="DW118" s="538"/>
      <c r="DX118" s="538"/>
      <c r="DY118" s="538"/>
      <c r="DZ118" s="538"/>
      <c r="EA118" s="538"/>
      <c r="EB118" s="538"/>
      <c r="EC118" s="538"/>
      <c r="ED118" s="538"/>
      <c r="EE118" s="538"/>
      <c r="EF118" s="538"/>
      <c r="EG118" s="538"/>
      <c r="EH118" s="538"/>
      <c r="EI118" s="538"/>
      <c r="EJ118" s="538"/>
      <c r="EK118" s="538"/>
      <c r="EL118" s="538"/>
      <c r="EM118" s="538"/>
      <c r="EN118" s="538"/>
      <c r="EO118" s="538"/>
      <c r="EP118" s="538"/>
      <c r="EQ118" s="538"/>
      <c r="ER118" s="538"/>
      <c r="ES118" s="538"/>
      <c r="ET118" s="538"/>
      <c r="EU118" s="538"/>
      <c r="EV118" s="538"/>
      <c r="EW118" s="538"/>
      <c r="EX118" s="559"/>
      <c r="EY118" s="559"/>
      <c r="EZ118" s="559"/>
      <c r="FA118" s="559"/>
      <c r="FB118" s="559"/>
      <c r="FC118" s="559"/>
      <c r="FD118" s="559"/>
      <c r="FE118" s="559"/>
      <c r="FF118" s="559"/>
      <c r="FG118" s="559"/>
      <c r="FH118" s="559"/>
      <c r="FI118" s="559"/>
      <c r="FJ118" s="559"/>
      <c r="FK118" s="559"/>
      <c r="FL118" s="559"/>
      <c r="FM118" s="559"/>
      <c r="FN118" s="559"/>
      <c r="FO118" s="559"/>
      <c r="FP118" s="559"/>
      <c r="FQ118" s="559"/>
      <c r="FR118" s="559"/>
      <c r="FS118" s="559"/>
      <c r="FT118" s="559"/>
      <c r="FU118" s="559"/>
      <c r="FV118" s="559"/>
      <c r="FW118" s="559"/>
      <c r="FX118" s="559"/>
      <c r="FY118" s="559"/>
      <c r="FZ118" s="559"/>
      <c r="GA118" s="559"/>
      <c r="GB118" s="559"/>
      <c r="GC118" s="559"/>
      <c r="GD118" s="559"/>
      <c r="GE118" s="559"/>
      <c r="GF118" s="559"/>
      <c r="GG118" s="559"/>
      <c r="GH118" s="559"/>
    </row>
    <row r="119">
      <c r="A119" s="538"/>
      <c r="B119" s="156"/>
      <c r="C119" s="444"/>
      <c r="D119" s="614"/>
      <c r="E119" s="66"/>
      <c r="F119" s="642"/>
      <c r="G119" s="642"/>
      <c r="H119" s="615"/>
      <c r="I119" s="616" t="s">
        <v>365</v>
      </c>
      <c r="J119" s="624"/>
      <c r="K119" s="643"/>
      <c r="L119" s="640"/>
      <c r="M119" s="625"/>
      <c r="N119" s="617"/>
      <c r="O119" s="134"/>
      <c r="P119" s="57"/>
      <c r="Q119" s="57"/>
      <c r="S119" s="605"/>
      <c r="U119" s="573"/>
      <c r="V119" s="574"/>
      <c r="W119" s="618"/>
      <c r="X119" s="576">
        <v>0.0</v>
      </c>
      <c r="Y119" s="630">
        <v>0.0</v>
      </c>
      <c r="Z119" s="630" t="s">
        <v>365</v>
      </c>
      <c r="AA119" s="631" t="b">
        <v>0</v>
      </c>
      <c r="AB119" s="631"/>
      <c r="AC119" s="576"/>
      <c r="AD119" s="479">
        <v>0.0</v>
      </c>
      <c r="AE119" s="632"/>
      <c r="AF119" s="582" t="s">
        <v>365</v>
      </c>
      <c r="AG119" s="583"/>
      <c r="AH119" s="584"/>
      <c r="AI119" s="583"/>
      <c r="AJ119" s="585"/>
      <c r="AK119" s="583"/>
      <c r="AL119" s="584"/>
      <c r="AM119" s="583"/>
      <c r="AN119" s="585"/>
      <c r="AO119" s="583"/>
      <c r="AP119" s="584"/>
      <c r="AQ119" s="583"/>
      <c r="AR119" s="585"/>
      <c r="AS119" s="583"/>
      <c r="AT119" s="584"/>
      <c r="AU119" s="583"/>
      <c r="AV119" s="585"/>
      <c r="AW119" s="583"/>
      <c r="AX119" s="584"/>
      <c r="AY119" s="583"/>
      <c r="AZ119" s="585"/>
      <c r="BA119" s="583"/>
      <c r="BB119" s="584"/>
      <c r="BC119" s="583"/>
      <c r="BD119" s="585"/>
      <c r="BE119" s="583"/>
      <c r="BF119" s="584"/>
      <c r="BG119" s="583"/>
      <c r="BH119" s="585"/>
      <c r="BI119" s="583"/>
      <c r="BJ119" s="584"/>
      <c r="BK119" s="583"/>
      <c r="BL119" s="585"/>
      <c r="BM119" s="583"/>
      <c r="BN119" s="584"/>
      <c r="BO119" s="583"/>
      <c r="BP119" s="585"/>
      <c r="BQ119" s="583"/>
      <c r="BR119" s="584"/>
      <c r="BS119" s="583"/>
      <c r="BT119" s="586"/>
      <c r="BU119" s="540"/>
      <c r="BV119" s="540"/>
      <c r="BW119" s="540"/>
      <c r="BX119" s="538"/>
      <c r="BY119" s="538"/>
      <c r="BZ119" s="592"/>
      <c r="CA119" s="633"/>
      <c r="CB119" s="592" t="s">
        <v>365</v>
      </c>
      <c r="CC119" s="592">
        <v>0.0</v>
      </c>
      <c r="CD119" s="592" t="s">
        <v>365</v>
      </c>
      <c r="CE119" s="592">
        <v>0.0</v>
      </c>
      <c r="CF119" s="592"/>
      <c r="CG119" s="592">
        <v>0.0</v>
      </c>
      <c r="CH119" s="592"/>
      <c r="CI119" s="633"/>
      <c r="CJ119" s="592">
        <v>0.0</v>
      </c>
      <c r="CK119" s="479" t="s">
        <v>365</v>
      </c>
      <c r="CL119" s="592"/>
      <c r="CM119" s="593"/>
      <c r="CN119" s="538"/>
      <c r="CO119" s="538"/>
      <c r="CP119" s="538"/>
      <c r="CQ119" s="538"/>
      <c r="CR119" s="538"/>
      <c r="CS119" s="538"/>
      <c r="CT119" s="538"/>
      <c r="CU119" s="538"/>
      <c r="CV119" s="538"/>
      <c r="CW119" s="538"/>
      <c r="CX119" s="538"/>
      <c r="CY119" s="538"/>
      <c r="CZ119" s="538"/>
      <c r="DA119" s="538"/>
      <c r="DB119" s="538"/>
      <c r="DC119" s="538"/>
      <c r="DD119" s="538"/>
      <c r="DE119" s="538"/>
      <c r="DF119" s="538"/>
      <c r="DG119" s="538"/>
      <c r="DH119" s="538"/>
      <c r="DI119" s="538"/>
      <c r="DJ119" s="538"/>
      <c r="DK119" s="538"/>
      <c r="DL119" s="538"/>
      <c r="DM119" s="538"/>
      <c r="DN119" s="538"/>
      <c r="DO119" s="538"/>
      <c r="DP119" s="538"/>
      <c r="DQ119" s="538"/>
      <c r="DR119" s="538"/>
      <c r="DS119" s="538"/>
      <c r="DT119" s="538"/>
      <c r="DU119" s="538"/>
      <c r="DV119" s="538"/>
      <c r="DW119" s="538"/>
      <c r="DX119" s="538"/>
      <c r="DY119" s="538"/>
      <c r="DZ119" s="538"/>
      <c r="EA119" s="538"/>
      <c r="EB119" s="538"/>
      <c r="EC119" s="538"/>
      <c r="ED119" s="538"/>
      <c r="EE119" s="538"/>
      <c r="EF119" s="538"/>
      <c r="EG119" s="538"/>
      <c r="EH119" s="538"/>
      <c r="EI119" s="538"/>
      <c r="EJ119" s="538"/>
      <c r="EK119" s="538"/>
      <c r="EL119" s="538"/>
      <c r="EM119" s="538"/>
      <c r="EN119" s="538"/>
      <c r="EO119" s="538"/>
      <c r="EP119" s="538"/>
      <c r="EQ119" s="538"/>
      <c r="ER119" s="538"/>
      <c r="ES119" s="538"/>
      <c r="ET119" s="538"/>
      <c r="EU119" s="538"/>
      <c r="EV119" s="538"/>
      <c r="EW119" s="538"/>
      <c r="EX119" s="559"/>
      <c r="EY119" s="559"/>
      <c r="EZ119" s="559"/>
      <c r="FA119" s="559"/>
      <c r="FB119" s="559"/>
      <c r="FC119" s="559"/>
      <c r="FD119" s="559"/>
      <c r="FE119" s="559"/>
      <c r="FF119" s="559"/>
      <c r="FG119" s="559"/>
      <c r="FH119" s="559"/>
      <c r="FI119" s="559"/>
      <c r="FJ119" s="559"/>
      <c r="FK119" s="559"/>
      <c r="FL119" s="559"/>
      <c r="FM119" s="559"/>
      <c r="FN119" s="559"/>
      <c r="FO119" s="559"/>
      <c r="FP119" s="559"/>
      <c r="FQ119" s="559"/>
      <c r="FR119" s="559"/>
      <c r="FS119" s="559"/>
      <c r="FT119" s="559"/>
      <c r="FU119" s="559"/>
      <c r="FV119" s="559"/>
      <c r="FW119" s="559"/>
      <c r="FX119" s="559"/>
      <c r="FY119" s="559"/>
      <c r="FZ119" s="559"/>
      <c r="GA119" s="559"/>
      <c r="GB119" s="559"/>
      <c r="GC119" s="559"/>
      <c r="GD119" s="559"/>
      <c r="GE119" s="559"/>
      <c r="GF119" s="559"/>
      <c r="GG119" s="559"/>
      <c r="GH119" s="559"/>
    </row>
    <row r="120">
      <c r="A120" s="538"/>
      <c r="B120" s="156"/>
      <c r="C120" s="444"/>
      <c r="D120" s="614"/>
      <c r="E120" s="68"/>
      <c r="F120" s="644"/>
      <c r="G120" s="644"/>
      <c r="H120" s="627"/>
      <c r="I120" s="622" t="s">
        <v>365</v>
      </c>
      <c r="J120" s="607"/>
      <c r="K120" s="641"/>
      <c r="L120" s="628"/>
      <c r="M120" s="626"/>
      <c r="N120" s="619"/>
      <c r="O120" s="560"/>
      <c r="P120" s="47"/>
      <c r="Q120" s="47"/>
      <c r="S120" s="572"/>
      <c r="U120" s="573"/>
      <c r="V120" s="574"/>
      <c r="W120" s="618"/>
      <c r="X120" s="576">
        <v>0.0</v>
      </c>
      <c r="Y120" s="630">
        <v>0.0</v>
      </c>
      <c r="Z120" s="630" t="s">
        <v>365</v>
      </c>
      <c r="AA120" s="631" t="b">
        <v>0</v>
      </c>
      <c r="AB120" s="631"/>
      <c r="AC120" s="576"/>
      <c r="AD120" s="479">
        <v>0.0</v>
      </c>
      <c r="AE120" s="632"/>
      <c r="AF120" s="582" t="s">
        <v>365</v>
      </c>
      <c r="AG120" s="583"/>
      <c r="AH120" s="584"/>
      <c r="AI120" s="583"/>
      <c r="AJ120" s="585"/>
      <c r="AK120" s="583"/>
      <c r="AL120" s="584"/>
      <c r="AM120" s="583"/>
      <c r="AN120" s="585"/>
      <c r="AO120" s="583"/>
      <c r="AP120" s="584"/>
      <c r="AQ120" s="583"/>
      <c r="AR120" s="585"/>
      <c r="AS120" s="583"/>
      <c r="AT120" s="584"/>
      <c r="AU120" s="583"/>
      <c r="AV120" s="585"/>
      <c r="AW120" s="583"/>
      <c r="AX120" s="584"/>
      <c r="AY120" s="583"/>
      <c r="AZ120" s="585"/>
      <c r="BA120" s="583"/>
      <c r="BB120" s="584"/>
      <c r="BC120" s="583"/>
      <c r="BD120" s="585"/>
      <c r="BE120" s="583"/>
      <c r="BF120" s="584"/>
      <c r="BG120" s="583"/>
      <c r="BH120" s="585"/>
      <c r="BI120" s="583"/>
      <c r="BJ120" s="584"/>
      <c r="BK120" s="583"/>
      <c r="BL120" s="585"/>
      <c r="BM120" s="583"/>
      <c r="BN120" s="584"/>
      <c r="BO120" s="583"/>
      <c r="BP120" s="585"/>
      <c r="BQ120" s="583"/>
      <c r="BR120" s="584"/>
      <c r="BS120" s="583"/>
      <c r="BT120" s="586"/>
      <c r="BU120" s="540"/>
      <c r="BV120" s="540"/>
      <c r="BW120" s="540"/>
      <c r="BX120" s="538"/>
      <c r="BY120" s="538"/>
      <c r="BZ120" s="592"/>
      <c r="CA120" s="633"/>
      <c r="CB120" s="592" t="s">
        <v>365</v>
      </c>
      <c r="CC120" s="592">
        <v>0.0</v>
      </c>
      <c r="CD120" s="592" t="s">
        <v>365</v>
      </c>
      <c r="CE120" s="592">
        <v>0.0</v>
      </c>
      <c r="CF120" s="592"/>
      <c r="CG120" s="592">
        <v>0.0</v>
      </c>
      <c r="CH120" s="592"/>
      <c r="CI120" s="633"/>
      <c r="CJ120" s="592">
        <v>0.0</v>
      </c>
      <c r="CK120" s="479" t="s">
        <v>365</v>
      </c>
      <c r="CL120" s="592"/>
      <c r="CM120" s="593"/>
      <c r="CN120" s="538"/>
      <c r="CO120" s="538"/>
      <c r="CP120" s="538"/>
      <c r="CQ120" s="538"/>
      <c r="CR120" s="538"/>
      <c r="CS120" s="538"/>
      <c r="CT120" s="538"/>
      <c r="CU120" s="538"/>
      <c r="CV120" s="538"/>
      <c r="CW120" s="538"/>
      <c r="CX120" s="538"/>
      <c r="CY120" s="538"/>
      <c r="CZ120" s="538"/>
      <c r="DA120" s="538"/>
      <c r="DB120" s="538"/>
      <c r="DC120" s="538"/>
      <c r="DD120" s="538"/>
      <c r="DE120" s="538"/>
      <c r="DF120" s="538"/>
      <c r="DG120" s="538"/>
      <c r="DH120" s="538"/>
      <c r="DI120" s="538"/>
      <c r="DJ120" s="538"/>
      <c r="DK120" s="538"/>
      <c r="DL120" s="538"/>
      <c r="DM120" s="538"/>
      <c r="DN120" s="538"/>
      <c r="DO120" s="538"/>
      <c r="DP120" s="538"/>
      <c r="DQ120" s="538"/>
      <c r="DR120" s="538"/>
      <c r="DS120" s="538"/>
      <c r="DT120" s="538"/>
      <c r="DU120" s="538"/>
      <c r="DV120" s="538"/>
      <c r="DW120" s="538"/>
      <c r="DX120" s="538"/>
      <c r="DY120" s="538"/>
      <c r="DZ120" s="538"/>
      <c r="EA120" s="538"/>
      <c r="EB120" s="538"/>
      <c r="EC120" s="538"/>
      <c r="ED120" s="538"/>
      <c r="EE120" s="538"/>
      <c r="EF120" s="538"/>
      <c r="EG120" s="538"/>
      <c r="EH120" s="538"/>
      <c r="EI120" s="538"/>
      <c r="EJ120" s="538"/>
      <c r="EK120" s="538"/>
      <c r="EL120" s="538"/>
      <c r="EM120" s="538"/>
      <c r="EN120" s="538"/>
      <c r="EO120" s="538"/>
      <c r="EP120" s="538"/>
      <c r="EQ120" s="538"/>
      <c r="ER120" s="538"/>
      <c r="ES120" s="538"/>
      <c r="ET120" s="538"/>
      <c r="EU120" s="538"/>
      <c r="EV120" s="538"/>
      <c r="EW120" s="538"/>
      <c r="EX120" s="559"/>
      <c r="EY120" s="559"/>
      <c r="EZ120" s="559"/>
      <c r="FA120" s="559"/>
      <c r="FB120" s="559"/>
      <c r="FC120" s="559"/>
      <c r="FD120" s="559"/>
      <c r="FE120" s="559"/>
      <c r="FF120" s="559"/>
      <c r="FG120" s="559"/>
      <c r="FH120" s="559"/>
      <c r="FI120" s="559"/>
      <c r="FJ120" s="559"/>
      <c r="FK120" s="559"/>
      <c r="FL120" s="559"/>
      <c r="FM120" s="559"/>
      <c r="FN120" s="559"/>
      <c r="FO120" s="559"/>
      <c r="FP120" s="559"/>
      <c r="FQ120" s="559"/>
      <c r="FR120" s="559"/>
      <c r="FS120" s="559"/>
      <c r="FT120" s="559"/>
      <c r="FU120" s="559"/>
      <c r="FV120" s="559"/>
      <c r="FW120" s="559"/>
      <c r="FX120" s="559"/>
      <c r="FY120" s="559"/>
      <c r="FZ120" s="559"/>
      <c r="GA120" s="559"/>
      <c r="GB120" s="559"/>
      <c r="GC120" s="559"/>
      <c r="GD120" s="559"/>
      <c r="GE120" s="559"/>
      <c r="GF120" s="559"/>
      <c r="GG120" s="559"/>
      <c r="GH120" s="559"/>
    </row>
    <row r="121">
      <c r="A121" s="538"/>
      <c r="B121" s="156"/>
      <c r="C121" s="444"/>
      <c r="D121" s="614"/>
      <c r="E121" s="66"/>
      <c r="F121" s="642"/>
      <c r="G121" s="642"/>
      <c r="H121" s="615"/>
      <c r="I121" s="616" t="s">
        <v>365</v>
      </c>
      <c r="J121" s="624"/>
      <c r="K121" s="643"/>
      <c r="L121" s="640"/>
      <c r="M121" s="625"/>
      <c r="N121" s="617"/>
      <c r="O121" s="134"/>
      <c r="P121" s="57"/>
      <c r="Q121" s="57"/>
      <c r="S121" s="605"/>
      <c r="U121" s="573"/>
      <c r="V121" s="574"/>
      <c r="W121" s="618"/>
      <c r="X121" s="576">
        <v>0.0</v>
      </c>
      <c r="Y121" s="630">
        <v>0.0</v>
      </c>
      <c r="Z121" s="630" t="s">
        <v>365</v>
      </c>
      <c r="AA121" s="631" t="b">
        <v>0</v>
      </c>
      <c r="AB121" s="631"/>
      <c r="AC121" s="576"/>
      <c r="AD121" s="479">
        <v>0.0</v>
      </c>
      <c r="AE121" s="632"/>
      <c r="AF121" s="582" t="s">
        <v>365</v>
      </c>
      <c r="AG121" s="583"/>
      <c r="AH121" s="584"/>
      <c r="AI121" s="583"/>
      <c r="AJ121" s="585"/>
      <c r="AK121" s="583"/>
      <c r="AL121" s="584"/>
      <c r="AM121" s="583"/>
      <c r="AN121" s="585"/>
      <c r="AO121" s="583"/>
      <c r="AP121" s="584"/>
      <c r="AQ121" s="583"/>
      <c r="AR121" s="585"/>
      <c r="AS121" s="583"/>
      <c r="AT121" s="584"/>
      <c r="AU121" s="583"/>
      <c r="AV121" s="585"/>
      <c r="AW121" s="583"/>
      <c r="AX121" s="584"/>
      <c r="AY121" s="583"/>
      <c r="AZ121" s="585"/>
      <c r="BA121" s="583"/>
      <c r="BB121" s="584"/>
      <c r="BC121" s="583"/>
      <c r="BD121" s="585"/>
      <c r="BE121" s="583"/>
      <c r="BF121" s="584"/>
      <c r="BG121" s="583"/>
      <c r="BH121" s="585"/>
      <c r="BI121" s="583"/>
      <c r="BJ121" s="584"/>
      <c r="BK121" s="583"/>
      <c r="BL121" s="585"/>
      <c r="BM121" s="583"/>
      <c r="BN121" s="584"/>
      <c r="BO121" s="583"/>
      <c r="BP121" s="585"/>
      <c r="BQ121" s="583"/>
      <c r="BR121" s="584"/>
      <c r="BS121" s="583"/>
      <c r="BT121" s="586"/>
      <c r="BU121" s="540"/>
      <c r="BV121" s="540"/>
      <c r="BW121" s="540"/>
      <c r="BX121" s="538"/>
      <c r="BY121" s="538"/>
      <c r="BZ121" s="592"/>
      <c r="CA121" s="633"/>
      <c r="CB121" s="592" t="s">
        <v>365</v>
      </c>
      <c r="CC121" s="592">
        <v>0.0</v>
      </c>
      <c r="CD121" s="592" t="s">
        <v>365</v>
      </c>
      <c r="CE121" s="592">
        <v>0.0</v>
      </c>
      <c r="CF121" s="592"/>
      <c r="CG121" s="592">
        <v>0.0</v>
      </c>
      <c r="CH121" s="592"/>
      <c r="CI121" s="633"/>
      <c r="CJ121" s="592">
        <v>0.0</v>
      </c>
      <c r="CK121" s="479" t="s">
        <v>365</v>
      </c>
      <c r="CL121" s="592"/>
      <c r="CM121" s="593"/>
      <c r="CN121" s="538"/>
      <c r="CO121" s="538"/>
      <c r="CP121" s="538"/>
      <c r="CQ121" s="538"/>
      <c r="CR121" s="538"/>
      <c r="CS121" s="538"/>
      <c r="CT121" s="538"/>
      <c r="CU121" s="538"/>
      <c r="CV121" s="538"/>
      <c r="CW121" s="538"/>
      <c r="CX121" s="538"/>
      <c r="CY121" s="538"/>
      <c r="CZ121" s="538"/>
      <c r="DA121" s="538"/>
      <c r="DB121" s="538"/>
      <c r="DC121" s="538"/>
      <c r="DD121" s="538"/>
      <c r="DE121" s="538"/>
      <c r="DF121" s="538"/>
      <c r="DG121" s="538"/>
      <c r="DH121" s="538"/>
      <c r="DI121" s="538"/>
      <c r="DJ121" s="538"/>
      <c r="DK121" s="538"/>
      <c r="DL121" s="538"/>
      <c r="DM121" s="538"/>
      <c r="DN121" s="538"/>
      <c r="DO121" s="538"/>
      <c r="DP121" s="538"/>
      <c r="DQ121" s="538"/>
      <c r="DR121" s="538"/>
      <c r="DS121" s="538"/>
      <c r="DT121" s="538"/>
      <c r="DU121" s="538"/>
      <c r="DV121" s="538"/>
      <c r="DW121" s="538"/>
      <c r="DX121" s="538"/>
      <c r="DY121" s="538"/>
      <c r="DZ121" s="538"/>
      <c r="EA121" s="538"/>
      <c r="EB121" s="538"/>
      <c r="EC121" s="538"/>
      <c r="ED121" s="538"/>
      <c r="EE121" s="538"/>
      <c r="EF121" s="538"/>
      <c r="EG121" s="538"/>
      <c r="EH121" s="538"/>
      <c r="EI121" s="538"/>
      <c r="EJ121" s="538"/>
      <c r="EK121" s="538"/>
      <c r="EL121" s="538"/>
      <c r="EM121" s="538"/>
      <c r="EN121" s="538"/>
      <c r="EO121" s="538"/>
      <c r="EP121" s="538"/>
      <c r="EQ121" s="538"/>
      <c r="ER121" s="538"/>
      <c r="ES121" s="538"/>
      <c r="ET121" s="538"/>
      <c r="EU121" s="538"/>
      <c r="EV121" s="538"/>
      <c r="EW121" s="538"/>
      <c r="EX121" s="559"/>
      <c r="EY121" s="559"/>
      <c r="EZ121" s="559"/>
      <c r="FA121" s="559"/>
      <c r="FB121" s="559"/>
      <c r="FC121" s="559"/>
      <c r="FD121" s="559"/>
      <c r="FE121" s="559"/>
      <c r="FF121" s="559"/>
      <c r="FG121" s="559"/>
      <c r="FH121" s="559"/>
      <c r="FI121" s="559"/>
      <c r="FJ121" s="559"/>
      <c r="FK121" s="559"/>
      <c r="FL121" s="559"/>
      <c r="FM121" s="559"/>
      <c r="FN121" s="559"/>
      <c r="FO121" s="559"/>
      <c r="FP121" s="559"/>
      <c r="FQ121" s="559"/>
      <c r="FR121" s="559"/>
      <c r="FS121" s="559"/>
      <c r="FT121" s="559"/>
      <c r="FU121" s="559"/>
      <c r="FV121" s="559"/>
      <c r="FW121" s="559"/>
      <c r="FX121" s="559"/>
      <c r="FY121" s="559"/>
      <c r="FZ121" s="559"/>
      <c r="GA121" s="559"/>
      <c r="GB121" s="559"/>
      <c r="GC121" s="559"/>
      <c r="GD121" s="559"/>
      <c r="GE121" s="559"/>
      <c r="GF121" s="559"/>
      <c r="GG121" s="559"/>
      <c r="GH121" s="559"/>
    </row>
    <row r="122">
      <c r="A122" s="538"/>
      <c r="B122" s="156"/>
      <c r="C122" s="444"/>
      <c r="D122" s="614"/>
      <c r="E122" s="68"/>
      <c r="F122" s="644"/>
      <c r="G122" s="644"/>
      <c r="H122" s="627"/>
      <c r="I122" s="622" t="s">
        <v>365</v>
      </c>
      <c r="J122" s="607"/>
      <c r="K122" s="641"/>
      <c r="L122" s="628"/>
      <c r="M122" s="626"/>
      <c r="N122" s="619"/>
      <c r="O122" s="560"/>
      <c r="P122" s="47"/>
      <c r="Q122" s="47"/>
      <c r="S122" s="572"/>
      <c r="U122" s="573"/>
      <c r="V122" s="574"/>
      <c r="W122" s="618"/>
      <c r="X122" s="576">
        <v>0.0</v>
      </c>
      <c r="Y122" s="630">
        <v>0.0</v>
      </c>
      <c r="Z122" s="630" t="s">
        <v>365</v>
      </c>
      <c r="AA122" s="631" t="b">
        <v>0</v>
      </c>
      <c r="AB122" s="631"/>
      <c r="AC122" s="576"/>
      <c r="AD122" s="479">
        <v>0.0</v>
      </c>
      <c r="AE122" s="632"/>
      <c r="AF122" s="582" t="s">
        <v>365</v>
      </c>
      <c r="AG122" s="583"/>
      <c r="AH122" s="584"/>
      <c r="AI122" s="583"/>
      <c r="AJ122" s="585"/>
      <c r="AK122" s="583"/>
      <c r="AL122" s="584"/>
      <c r="AM122" s="583"/>
      <c r="AN122" s="585"/>
      <c r="AO122" s="583"/>
      <c r="AP122" s="584"/>
      <c r="AQ122" s="583"/>
      <c r="AR122" s="585"/>
      <c r="AS122" s="583"/>
      <c r="AT122" s="584"/>
      <c r="AU122" s="583"/>
      <c r="AV122" s="585"/>
      <c r="AW122" s="583"/>
      <c r="AX122" s="584"/>
      <c r="AY122" s="583"/>
      <c r="AZ122" s="585"/>
      <c r="BA122" s="583"/>
      <c r="BB122" s="584"/>
      <c r="BC122" s="583"/>
      <c r="BD122" s="585"/>
      <c r="BE122" s="583"/>
      <c r="BF122" s="584"/>
      <c r="BG122" s="583"/>
      <c r="BH122" s="585"/>
      <c r="BI122" s="583"/>
      <c r="BJ122" s="584"/>
      <c r="BK122" s="583"/>
      <c r="BL122" s="585"/>
      <c r="BM122" s="583"/>
      <c r="BN122" s="584"/>
      <c r="BO122" s="583"/>
      <c r="BP122" s="585"/>
      <c r="BQ122" s="583"/>
      <c r="BR122" s="584"/>
      <c r="BS122" s="583"/>
      <c r="BT122" s="586"/>
      <c r="BU122" s="540"/>
      <c r="BV122" s="540"/>
      <c r="BW122" s="540"/>
      <c r="BX122" s="538"/>
      <c r="BY122" s="538"/>
      <c r="BZ122" s="592"/>
      <c r="CA122" s="633"/>
      <c r="CB122" s="592" t="s">
        <v>365</v>
      </c>
      <c r="CC122" s="592">
        <v>0.0</v>
      </c>
      <c r="CD122" s="592" t="s">
        <v>365</v>
      </c>
      <c r="CE122" s="592">
        <v>0.0</v>
      </c>
      <c r="CF122" s="592"/>
      <c r="CG122" s="592">
        <v>0.0</v>
      </c>
      <c r="CH122" s="592"/>
      <c r="CI122" s="633"/>
      <c r="CJ122" s="592">
        <v>0.0</v>
      </c>
      <c r="CK122" s="479" t="s">
        <v>365</v>
      </c>
      <c r="CL122" s="592"/>
      <c r="CM122" s="593"/>
      <c r="CN122" s="538"/>
      <c r="CO122" s="538"/>
      <c r="CP122" s="538"/>
      <c r="CQ122" s="538"/>
      <c r="CR122" s="538"/>
      <c r="CS122" s="538"/>
      <c r="CT122" s="538"/>
      <c r="CU122" s="538"/>
      <c r="CV122" s="538"/>
      <c r="CW122" s="538"/>
      <c r="CX122" s="538"/>
      <c r="CY122" s="538"/>
      <c r="CZ122" s="538"/>
      <c r="DA122" s="538"/>
      <c r="DB122" s="538"/>
      <c r="DC122" s="538"/>
      <c r="DD122" s="538"/>
      <c r="DE122" s="538"/>
      <c r="DF122" s="538"/>
      <c r="DG122" s="538"/>
      <c r="DH122" s="538"/>
      <c r="DI122" s="538"/>
      <c r="DJ122" s="538"/>
      <c r="DK122" s="538"/>
      <c r="DL122" s="538"/>
      <c r="DM122" s="538"/>
      <c r="DN122" s="538"/>
      <c r="DO122" s="538"/>
      <c r="DP122" s="538"/>
      <c r="DQ122" s="538"/>
      <c r="DR122" s="538"/>
      <c r="DS122" s="538"/>
      <c r="DT122" s="538"/>
      <c r="DU122" s="538"/>
      <c r="DV122" s="538"/>
      <c r="DW122" s="538"/>
      <c r="DX122" s="538"/>
      <c r="DY122" s="538"/>
      <c r="DZ122" s="538"/>
      <c r="EA122" s="538"/>
      <c r="EB122" s="538"/>
      <c r="EC122" s="538"/>
      <c r="ED122" s="538"/>
      <c r="EE122" s="538"/>
      <c r="EF122" s="538"/>
      <c r="EG122" s="538"/>
      <c r="EH122" s="538"/>
      <c r="EI122" s="538"/>
      <c r="EJ122" s="538"/>
      <c r="EK122" s="538"/>
      <c r="EL122" s="538"/>
      <c r="EM122" s="538"/>
      <c r="EN122" s="538"/>
      <c r="EO122" s="538"/>
      <c r="EP122" s="538"/>
      <c r="EQ122" s="538"/>
      <c r="ER122" s="538"/>
      <c r="ES122" s="538"/>
      <c r="ET122" s="538"/>
      <c r="EU122" s="538"/>
      <c r="EV122" s="538"/>
      <c r="EW122" s="538"/>
      <c r="EX122" s="559"/>
      <c r="EY122" s="559"/>
      <c r="EZ122" s="559"/>
      <c r="FA122" s="559"/>
      <c r="FB122" s="559"/>
      <c r="FC122" s="559"/>
      <c r="FD122" s="559"/>
      <c r="FE122" s="559"/>
      <c r="FF122" s="559"/>
      <c r="FG122" s="559"/>
      <c r="FH122" s="559"/>
      <c r="FI122" s="559"/>
      <c r="FJ122" s="559"/>
      <c r="FK122" s="559"/>
      <c r="FL122" s="559"/>
      <c r="FM122" s="559"/>
      <c r="FN122" s="559"/>
      <c r="FO122" s="559"/>
      <c r="FP122" s="559"/>
      <c r="FQ122" s="559"/>
      <c r="FR122" s="559"/>
      <c r="FS122" s="559"/>
      <c r="FT122" s="559"/>
      <c r="FU122" s="559"/>
      <c r="FV122" s="559"/>
      <c r="FW122" s="559"/>
      <c r="FX122" s="559"/>
      <c r="FY122" s="559"/>
      <c r="FZ122" s="559"/>
      <c r="GA122" s="559"/>
      <c r="GB122" s="559"/>
      <c r="GC122" s="559"/>
      <c r="GD122" s="559"/>
      <c r="GE122" s="559"/>
      <c r="GF122" s="559"/>
      <c r="GG122" s="559"/>
      <c r="GH122" s="559"/>
    </row>
    <row r="123">
      <c r="A123" s="538"/>
      <c r="B123" s="156"/>
      <c r="C123" s="444"/>
      <c r="D123" s="614"/>
      <c r="E123" s="66"/>
      <c r="F123" s="642"/>
      <c r="G123" s="642"/>
      <c r="H123" s="615"/>
      <c r="I123" s="616" t="s">
        <v>365</v>
      </c>
      <c r="J123" s="624"/>
      <c r="K123" s="643"/>
      <c r="L123" s="640"/>
      <c r="M123" s="625"/>
      <c r="N123" s="617"/>
      <c r="O123" s="134"/>
      <c r="P123" s="57"/>
      <c r="Q123" s="57"/>
      <c r="S123" s="605"/>
      <c r="U123" s="573"/>
      <c r="V123" s="574"/>
      <c r="W123" s="618"/>
      <c r="X123" s="576">
        <v>0.0</v>
      </c>
      <c r="Y123" s="630">
        <v>0.0</v>
      </c>
      <c r="Z123" s="630" t="s">
        <v>365</v>
      </c>
      <c r="AA123" s="631" t="b">
        <v>0</v>
      </c>
      <c r="AB123" s="631"/>
      <c r="AC123" s="576"/>
      <c r="AD123" s="479">
        <v>0.0</v>
      </c>
      <c r="AE123" s="632"/>
      <c r="AF123" s="582" t="s">
        <v>365</v>
      </c>
      <c r="AG123" s="583"/>
      <c r="AH123" s="584"/>
      <c r="AI123" s="583"/>
      <c r="AJ123" s="585"/>
      <c r="AK123" s="583"/>
      <c r="AL123" s="584"/>
      <c r="AM123" s="583"/>
      <c r="AN123" s="585"/>
      <c r="AO123" s="583"/>
      <c r="AP123" s="584"/>
      <c r="AQ123" s="583"/>
      <c r="AR123" s="585"/>
      <c r="AS123" s="583"/>
      <c r="AT123" s="584"/>
      <c r="AU123" s="583"/>
      <c r="AV123" s="585"/>
      <c r="AW123" s="583"/>
      <c r="AX123" s="584"/>
      <c r="AY123" s="583"/>
      <c r="AZ123" s="585"/>
      <c r="BA123" s="583"/>
      <c r="BB123" s="584"/>
      <c r="BC123" s="583"/>
      <c r="BD123" s="585"/>
      <c r="BE123" s="583"/>
      <c r="BF123" s="584"/>
      <c r="BG123" s="583"/>
      <c r="BH123" s="585"/>
      <c r="BI123" s="583"/>
      <c r="BJ123" s="584"/>
      <c r="BK123" s="583"/>
      <c r="BL123" s="585"/>
      <c r="BM123" s="583"/>
      <c r="BN123" s="584"/>
      <c r="BO123" s="583"/>
      <c r="BP123" s="585"/>
      <c r="BQ123" s="583"/>
      <c r="BR123" s="584"/>
      <c r="BS123" s="583"/>
      <c r="BT123" s="586"/>
      <c r="BU123" s="540"/>
      <c r="BV123" s="540"/>
      <c r="BW123" s="540"/>
      <c r="BX123" s="538"/>
      <c r="BY123" s="538"/>
      <c r="BZ123" s="592"/>
      <c r="CA123" s="633"/>
      <c r="CB123" s="592" t="s">
        <v>365</v>
      </c>
      <c r="CC123" s="592">
        <v>0.0</v>
      </c>
      <c r="CD123" s="592" t="s">
        <v>365</v>
      </c>
      <c r="CE123" s="592">
        <v>0.0</v>
      </c>
      <c r="CF123" s="592"/>
      <c r="CG123" s="592">
        <v>0.0</v>
      </c>
      <c r="CH123" s="592"/>
      <c r="CI123" s="633"/>
      <c r="CJ123" s="592">
        <v>0.0</v>
      </c>
      <c r="CK123" s="479" t="s">
        <v>365</v>
      </c>
      <c r="CL123" s="592"/>
      <c r="CM123" s="593"/>
      <c r="CN123" s="538"/>
      <c r="CO123" s="538"/>
      <c r="CP123" s="538"/>
      <c r="CQ123" s="538"/>
      <c r="CR123" s="538"/>
      <c r="CS123" s="538"/>
      <c r="CT123" s="538"/>
      <c r="CU123" s="538"/>
      <c r="CV123" s="538"/>
      <c r="CW123" s="538"/>
      <c r="CX123" s="538"/>
      <c r="CY123" s="538"/>
      <c r="CZ123" s="538"/>
      <c r="DA123" s="538"/>
      <c r="DB123" s="538"/>
      <c r="DC123" s="538"/>
      <c r="DD123" s="538"/>
      <c r="DE123" s="538"/>
      <c r="DF123" s="538"/>
      <c r="DG123" s="538"/>
      <c r="DH123" s="538"/>
      <c r="DI123" s="538"/>
      <c r="DJ123" s="538"/>
      <c r="DK123" s="538"/>
      <c r="DL123" s="538"/>
      <c r="DM123" s="538"/>
      <c r="DN123" s="538"/>
      <c r="DO123" s="538"/>
      <c r="DP123" s="538"/>
      <c r="DQ123" s="538"/>
      <c r="DR123" s="538"/>
      <c r="DS123" s="538"/>
      <c r="DT123" s="538"/>
      <c r="DU123" s="538"/>
      <c r="DV123" s="538"/>
      <c r="DW123" s="538"/>
      <c r="DX123" s="538"/>
      <c r="DY123" s="538"/>
      <c r="DZ123" s="538"/>
      <c r="EA123" s="538"/>
      <c r="EB123" s="538"/>
      <c r="EC123" s="538"/>
      <c r="ED123" s="538"/>
      <c r="EE123" s="538"/>
      <c r="EF123" s="538"/>
      <c r="EG123" s="538"/>
      <c r="EH123" s="538"/>
      <c r="EI123" s="538"/>
      <c r="EJ123" s="538"/>
      <c r="EK123" s="538"/>
      <c r="EL123" s="538"/>
      <c r="EM123" s="538"/>
      <c r="EN123" s="538"/>
      <c r="EO123" s="538"/>
      <c r="EP123" s="538"/>
      <c r="EQ123" s="538"/>
      <c r="ER123" s="538"/>
      <c r="ES123" s="538"/>
      <c r="ET123" s="538"/>
      <c r="EU123" s="538"/>
      <c r="EV123" s="538"/>
      <c r="EW123" s="538"/>
      <c r="EX123" s="559"/>
      <c r="EY123" s="559"/>
      <c r="EZ123" s="559"/>
      <c r="FA123" s="559"/>
      <c r="FB123" s="559"/>
      <c r="FC123" s="559"/>
      <c r="FD123" s="559"/>
      <c r="FE123" s="559"/>
      <c r="FF123" s="559"/>
      <c r="FG123" s="559"/>
      <c r="FH123" s="559"/>
      <c r="FI123" s="559"/>
      <c r="FJ123" s="559"/>
      <c r="FK123" s="559"/>
      <c r="FL123" s="559"/>
      <c r="FM123" s="559"/>
      <c r="FN123" s="559"/>
      <c r="FO123" s="559"/>
      <c r="FP123" s="559"/>
      <c r="FQ123" s="559"/>
      <c r="FR123" s="559"/>
      <c r="FS123" s="559"/>
      <c r="FT123" s="559"/>
      <c r="FU123" s="559"/>
      <c r="FV123" s="559"/>
      <c r="FW123" s="559"/>
      <c r="FX123" s="559"/>
      <c r="FY123" s="559"/>
      <c r="FZ123" s="559"/>
      <c r="GA123" s="559"/>
      <c r="GB123" s="559"/>
      <c r="GC123" s="559"/>
      <c r="GD123" s="559"/>
      <c r="GE123" s="559"/>
      <c r="GF123" s="559"/>
      <c r="GG123" s="559"/>
      <c r="GH123" s="559"/>
    </row>
    <row r="124">
      <c r="A124" s="538"/>
      <c r="B124" s="156"/>
      <c r="C124" s="444"/>
      <c r="D124" s="614"/>
      <c r="E124" s="68"/>
      <c r="F124" s="644"/>
      <c r="G124" s="644"/>
      <c r="H124" s="627"/>
      <c r="I124" s="622" t="s">
        <v>365</v>
      </c>
      <c r="J124" s="607"/>
      <c r="K124" s="641"/>
      <c r="L124" s="628"/>
      <c r="M124" s="626"/>
      <c r="N124" s="619"/>
      <c r="O124" s="560"/>
      <c r="P124" s="47"/>
      <c r="Q124" s="47"/>
      <c r="S124" s="572"/>
      <c r="U124" s="573"/>
      <c r="V124" s="574"/>
      <c r="W124" s="618"/>
      <c r="X124" s="576">
        <v>0.0</v>
      </c>
      <c r="Y124" s="630">
        <v>0.0</v>
      </c>
      <c r="Z124" s="630" t="s">
        <v>365</v>
      </c>
      <c r="AA124" s="631" t="b">
        <v>0</v>
      </c>
      <c r="AB124" s="631"/>
      <c r="AC124" s="576"/>
      <c r="AD124" s="479">
        <v>0.0</v>
      </c>
      <c r="AE124" s="632"/>
      <c r="AF124" s="582" t="s">
        <v>365</v>
      </c>
      <c r="AG124" s="583"/>
      <c r="AH124" s="584"/>
      <c r="AI124" s="583"/>
      <c r="AJ124" s="585"/>
      <c r="AK124" s="583"/>
      <c r="AL124" s="584"/>
      <c r="AM124" s="583"/>
      <c r="AN124" s="585"/>
      <c r="AO124" s="583"/>
      <c r="AP124" s="584"/>
      <c r="AQ124" s="583"/>
      <c r="AR124" s="585"/>
      <c r="AS124" s="583"/>
      <c r="AT124" s="584"/>
      <c r="AU124" s="583"/>
      <c r="AV124" s="585"/>
      <c r="AW124" s="583"/>
      <c r="AX124" s="584"/>
      <c r="AY124" s="583"/>
      <c r="AZ124" s="585"/>
      <c r="BA124" s="583"/>
      <c r="BB124" s="584"/>
      <c r="BC124" s="583"/>
      <c r="BD124" s="585"/>
      <c r="BE124" s="583"/>
      <c r="BF124" s="584"/>
      <c r="BG124" s="583"/>
      <c r="BH124" s="585"/>
      <c r="BI124" s="583"/>
      <c r="BJ124" s="584"/>
      <c r="BK124" s="583"/>
      <c r="BL124" s="585"/>
      <c r="BM124" s="583"/>
      <c r="BN124" s="584"/>
      <c r="BO124" s="583"/>
      <c r="BP124" s="585"/>
      <c r="BQ124" s="583"/>
      <c r="BR124" s="584"/>
      <c r="BS124" s="583"/>
      <c r="BT124" s="586"/>
      <c r="BU124" s="540"/>
      <c r="BV124" s="540"/>
      <c r="BW124" s="540"/>
      <c r="BX124" s="538"/>
      <c r="BY124" s="538"/>
      <c r="BZ124" s="592"/>
      <c r="CA124" s="633"/>
      <c r="CB124" s="592" t="s">
        <v>365</v>
      </c>
      <c r="CC124" s="592">
        <v>0.0</v>
      </c>
      <c r="CD124" s="592" t="s">
        <v>365</v>
      </c>
      <c r="CE124" s="592">
        <v>0.0</v>
      </c>
      <c r="CF124" s="592"/>
      <c r="CG124" s="592">
        <v>0.0</v>
      </c>
      <c r="CH124" s="592"/>
      <c r="CI124" s="633"/>
      <c r="CJ124" s="592">
        <v>0.0</v>
      </c>
      <c r="CK124" s="479" t="s">
        <v>365</v>
      </c>
      <c r="CL124" s="592"/>
      <c r="CM124" s="593"/>
      <c r="CN124" s="538"/>
      <c r="CO124" s="538"/>
      <c r="CP124" s="538"/>
      <c r="CQ124" s="538"/>
      <c r="CR124" s="538"/>
      <c r="CS124" s="538"/>
      <c r="CT124" s="538"/>
      <c r="CU124" s="538"/>
      <c r="CV124" s="538"/>
      <c r="CW124" s="538"/>
      <c r="CX124" s="538"/>
      <c r="CY124" s="538"/>
      <c r="CZ124" s="538"/>
      <c r="DA124" s="538"/>
      <c r="DB124" s="538"/>
      <c r="DC124" s="538"/>
      <c r="DD124" s="538"/>
      <c r="DE124" s="538"/>
      <c r="DF124" s="538"/>
      <c r="DG124" s="538"/>
      <c r="DH124" s="538"/>
      <c r="DI124" s="538"/>
      <c r="DJ124" s="538"/>
      <c r="DK124" s="538"/>
      <c r="DL124" s="538"/>
      <c r="DM124" s="538"/>
      <c r="DN124" s="538"/>
      <c r="DO124" s="538"/>
      <c r="DP124" s="538"/>
      <c r="DQ124" s="538"/>
      <c r="DR124" s="538"/>
      <c r="DS124" s="538"/>
      <c r="DT124" s="538"/>
      <c r="DU124" s="538"/>
      <c r="DV124" s="538"/>
      <c r="DW124" s="538"/>
      <c r="DX124" s="538"/>
      <c r="DY124" s="538"/>
      <c r="DZ124" s="538"/>
      <c r="EA124" s="538"/>
      <c r="EB124" s="538"/>
      <c r="EC124" s="538"/>
      <c r="ED124" s="538"/>
      <c r="EE124" s="538"/>
      <c r="EF124" s="538"/>
      <c r="EG124" s="538"/>
      <c r="EH124" s="538"/>
      <c r="EI124" s="538"/>
      <c r="EJ124" s="538"/>
      <c r="EK124" s="538"/>
      <c r="EL124" s="538"/>
      <c r="EM124" s="538"/>
      <c r="EN124" s="538"/>
      <c r="EO124" s="538"/>
      <c r="EP124" s="538"/>
      <c r="EQ124" s="538"/>
      <c r="ER124" s="538"/>
      <c r="ES124" s="538"/>
      <c r="ET124" s="538"/>
      <c r="EU124" s="538"/>
      <c r="EV124" s="538"/>
      <c r="EW124" s="538"/>
      <c r="EX124" s="559"/>
      <c r="EY124" s="559"/>
      <c r="EZ124" s="559"/>
      <c r="FA124" s="559"/>
      <c r="FB124" s="559"/>
      <c r="FC124" s="559"/>
      <c r="FD124" s="559"/>
      <c r="FE124" s="559"/>
      <c r="FF124" s="559"/>
      <c r="FG124" s="559"/>
      <c r="FH124" s="559"/>
      <c r="FI124" s="559"/>
      <c r="FJ124" s="559"/>
      <c r="FK124" s="559"/>
      <c r="FL124" s="559"/>
      <c r="FM124" s="559"/>
      <c r="FN124" s="559"/>
      <c r="FO124" s="559"/>
      <c r="FP124" s="559"/>
      <c r="FQ124" s="559"/>
      <c r="FR124" s="559"/>
      <c r="FS124" s="559"/>
      <c r="FT124" s="559"/>
      <c r="FU124" s="559"/>
      <c r="FV124" s="559"/>
      <c r="FW124" s="559"/>
      <c r="FX124" s="559"/>
      <c r="FY124" s="559"/>
      <c r="FZ124" s="559"/>
      <c r="GA124" s="559"/>
      <c r="GB124" s="559"/>
      <c r="GC124" s="559"/>
      <c r="GD124" s="559"/>
      <c r="GE124" s="559"/>
      <c r="GF124" s="559"/>
      <c r="GG124" s="559"/>
      <c r="GH124" s="559"/>
    </row>
    <row r="125">
      <c r="A125" s="538"/>
      <c r="B125" s="156"/>
      <c r="C125" s="444"/>
      <c r="D125" s="614"/>
      <c r="E125" s="66"/>
      <c r="F125" s="642"/>
      <c r="G125" s="642"/>
      <c r="H125" s="615"/>
      <c r="I125" s="616" t="s">
        <v>365</v>
      </c>
      <c r="J125" s="624"/>
      <c r="K125" s="643"/>
      <c r="L125" s="640"/>
      <c r="M125" s="625"/>
      <c r="N125" s="617"/>
      <c r="O125" s="134"/>
      <c r="P125" s="57"/>
      <c r="Q125" s="57"/>
      <c r="S125" s="605"/>
      <c r="U125" s="573"/>
      <c r="V125" s="574"/>
      <c r="W125" s="618"/>
      <c r="X125" s="576">
        <v>0.0</v>
      </c>
      <c r="Y125" s="630">
        <v>0.0</v>
      </c>
      <c r="Z125" s="630" t="s">
        <v>365</v>
      </c>
      <c r="AA125" s="631" t="b">
        <v>0</v>
      </c>
      <c r="AB125" s="631"/>
      <c r="AC125" s="576"/>
      <c r="AD125" s="479">
        <v>0.0</v>
      </c>
      <c r="AE125" s="632"/>
      <c r="AF125" s="582" t="s">
        <v>365</v>
      </c>
      <c r="AG125" s="583"/>
      <c r="AH125" s="584"/>
      <c r="AI125" s="583"/>
      <c r="AJ125" s="585"/>
      <c r="AK125" s="583"/>
      <c r="AL125" s="584"/>
      <c r="AM125" s="583"/>
      <c r="AN125" s="585"/>
      <c r="AO125" s="583"/>
      <c r="AP125" s="584"/>
      <c r="AQ125" s="583"/>
      <c r="AR125" s="585"/>
      <c r="AS125" s="583"/>
      <c r="AT125" s="584"/>
      <c r="AU125" s="583"/>
      <c r="AV125" s="585"/>
      <c r="AW125" s="583"/>
      <c r="AX125" s="584"/>
      <c r="AY125" s="583"/>
      <c r="AZ125" s="585"/>
      <c r="BA125" s="583"/>
      <c r="BB125" s="584"/>
      <c r="BC125" s="583"/>
      <c r="BD125" s="585"/>
      <c r="BE125" s="583"/>
      <c r="BF125" s="584"/>
      <c r="BG125" s="583"/>
      <c r="BH125" s="585"/>
      <c r="BI125" s="583"/>
      <c r="BJ125" s="584"/>
      <c r="BK125" s="583"/>
      <c r="BL125" s="585"/>
      <c r="BM125" s="583"/>
      <c r="BN125" s="584"/>
      <c r="BO125" s="583"/>
      <c r="BP125" s="585"/>
      <c r="BQ125" s="583"/>
      <c r="BR125" s="584"/>
      <c r="BS125" s="583"/>
      <c r="BT125" s="586"/>
      <c r="BU125" s="540"/>
      <c r="BV125" s="540"/>
      <c r="BW125" s="540"/>
      <c r="BX125" s="538"/>
      <c r="BY125" s="538"/>
      <c r="BZ125" s="592"/>
      <c r="CA125" s="633"/>
      <c r="CB125" s="592" t="s">
        <v>365</v>
      </c>
      <c r="CC125" s="592">
        <v>0.0</v>
      </c>
      <c r="CD125" s="592" t="s">
        <v>365</v>
      </c>
      <c r="CE125" s="592">
        <v>0.0</v>
      </c>
      <c r="CF125" s="592"/>
      <c r="CG125" s="592">
        <v>0.0</v>
      </c>
      <c r="CH125" s="592"/>
      <c r="CI125" s="633"/>
      <c r="CJ125" s="592">
        <v>0.0</v>
      </c>
      <c r="CK125" s="479" t="s">
        <v>365</v>
      </c>
      <c r="CL125" s="592"/>
      <c r="CM125" s="593"/>
      <c r="CN125" s="538"/>
      <c r="CO125" s="538"/>
      <c r="CP125" s="538"/>
      <c r="CQ125" s="538"/>
      <c r="CR125" s="538"/>
      <c r="CS125" s="538"/>
      <c r="CT125" s="538"/>
      <c r="CU125" s="538"/>
      <c r="CV125" s="538"/>
      <c r="CW125" s="538"/>
      <c r="CX125" s="538"/>
      <c r="CY125" s="538"/>
      <c r="CZ125" s="538"/>
      <c r="DA125" s="538"/>
      <c r="DB125" s="538"/>
      <c r="DC125" s="538"/>
      <c r="DD125" s="538"/>
      <c r="DE125" s="538"/>
      <c r="DF125" s="538"/>
      <c r="DG125" s="538"/>
      <c r="DH125" s="538"/>
      <c r="DI125" s="538"/>
      <c r="DJ125" s="538"/>
      <c r="DK125" s="538"/>
      <c r="DL125" s="538"/>
      <c r="DM125" s="538"/>
      <c r="DN125" s="538"/>
      <c r="DO125" s="538"/>
      <c r="DP125" s="538"/>
      <c r="DQ125" s="538"/>
      <c r="DR125" s="538"/>
      <c r="DS125" s="538"/>
      <c r="DT125" s="538"/>
      <c r="DU125" s="538"/>
      <c r="DV125" s="538"/>
      <c r="DW125" s="538"/>
      <c r="DX125" s="538"/>
      <c r="DY125" s="538"/>
      <c r="DZ125" s="538"/>
      <c r="EA125" s="538"/>
      <c r="EB125" s="538"/>
      <c r="EC125" s="538"/>
      <c r="ED125" s="538"/>
      <c r="EE125" s="538"/>
      <c r="EF125" s="538"/>
      <c r="EG125" s="538"/>
      <c r="EH125" s="538"/>
      <c r="EI125" s="538"/>
      <c r="EJ125" s="538"/>
      <c r="EK125" s="538"/>
      <c r="EL125" s="538"/>
      <c r="EM125" s="538"/>
      <c r="EN125" s="538"/>
      <c r="EO125" s="538"/>
      <c r="EP125" s="538"/>
      <c r="EQ125" s="538"/>
      <c r="ER125" s="538"/>
      <c r="ES125" s="538"/>
      <c r="ET125" s="538"/>
      <c r="EU125" s="538"/>
      <c r="EV125" s="538"/>
      <c r="EW125" s="538"/>
      <c r="EX125" s="559"/>
      <c r="EY125" s="559"/>
      <c r="EZ125" s="559"/>
      <c r="FA125" s="559"/>
      <c r="FB125" s="559"/>
      <c r="FC125" s="559"/>
      <c r="FD125" s="559"/>
      <c r="FE125" s="559"/>
      <c r="FF125" s="559"/>
      <c r="FG125" s="559"/>
      <c r="FH125" s="559"/>
      <c r="FI125" s="559"/>
      <c r="FJ125" s="559"/>
      <c r="FK125" s="559"/>
      <c r="FL125" s="559"/>
      <c r="FM125" s="559"/>
      <c r="FN125" s="559"/>
      <c r="FO125" s="559"/>
      <c r="FP125" s="559"/>
      <c r="FQ125" s="559"/>
      <c r="FR125" s="559"/>
      <c r="FS125" s="559"/>
      <c r="FT125" s="559"/>
      <c r="FU125" s="559"/>
      <c r="FV125" s="559"/>
      <c r="FW125" s="559"/>
      <c r="FX125" s="559"/>
      <c r="FY125" s="559"/>
      <c r="FZ125" s="559"/>
      <c r="GA125" s="559"/>
      <c r="GB125" s="559"/>
      <c r="GC125" s="559"/>
      <c r="GD125" s="559"/>
      <c r="GE125" s="559"/>
      <c r="GF125" s="559"/>
      <c r="GG125" s="559"/>
      <c r="GH125" s="559"/>
    </row>
    <row r="126">
      <c r="A126" s="538"/>
      <c r="B126" s="156"/>
      <c r="C126" s="444"/>
      <c r="D126" s="614"/>
      <c r="E126" s="68"/>
      <c r="F126" s="644"/>
      <c r="G126" s="644"/>
      <c r="H126" s="627"/>
      <c r="I126" s="622" t="s">
        <v>365</v>
      </c>
      <c r="J126" s="607"/>
      <c r="K126" s="641"/>
      <c r="L126" s="628"/>
      <c r="M126" s="626"/>
      <c r="N126" s="619"/>
      <c r="O126" s="560"/>
      <c r="P126" s="47"/>
      <c r="Q126" s="47"/>
      <c r="S126" s="572"/>
      <c r="U126" s="573"/>
      <c r="V126" s="574"/>
      <c r="W126" s="618"/>
      <c r="X126" s="576">
        <v>0.0</v>
      </c>
      <c r="Y126" s="630">
        <v>0.0</v>
      </c>
      <c r="Z126" s="630" t="s">
        <v>365</v>
      </c>
      <c r="AA126" s="631" t="b">
        <v>0</v>
      </c>
      <c r="AB126" s="631"/>
      <c r="AC126" s="576"/>
      <c r="AD126" s="479">
        <v>0.0</v>
      </c>
      <c r="AE126" s="632"/>
      <c r="AF126" s="582" t="s">
        <v>365</v>
      </c>
      <c r="AG126" s="583"/>
      <c r="AH126" s="584"/>
      <c r="AI126" s="583"/>
      <c r="AJ126" s="585"/>
      <c r="AK126" s="583"/>
      <c r="AL126" s="584"/>
      <c r="AM126" s="583"/>
      <c r="AN126" s="585"/>
      <c r="AO126" s="583"/>
      <c r="AP126" s="584"/>
      <c r="AQ126" s="583"/>
      <c r="AR126" s="585"/>
      <c r="AS126" s="583"/>
      <c r="AT126" s="584"/>
      <c r="AU126" s="583"/>
      <c r="AV126" s="585"/>
      <c r="AW126" s="583"/>
      <c r="AX126" s="584"/>
      <c r="AY126" s="583"/>
      <c r="AZ126" s="585"/>
      <c r="BA126" s="583"/>
      <c r="BB126" s="584"/>
      <c r="BC126" s="583"/>
      <c r="BD126" s="585"/>
      <c r="BE126" s="583"/>
      <c r="BF126" s="584"/>
      <c r="BG126" s="583"/>
      <c r="BH126" s="585"/>
      <c r="BI126" s="583"/>
      <c r="BJ126" s="584"/>
      <c r="BK126" s="583"/>
      <c r="BL126" s="585"/>
      <c r="BM126" s="583"/>
      <c r="BN126" s="584"/>
      <c r="BO126" s="583"/>
      <c r="BP126" s="585"/>
      <c r="BQ126" s="583"/>
      <c r="BR126" s="584"/>
      <c r="BS126" s="583"/>
      <c r="BT126" s="586"/>
      <c r="BU126" s="540"/>
      <c r="BV126" s="540"/>
      <c r="BW126" s="540"/>
      <c r="BX126" s="538"/>
      <c r="BY126" s="538"/>
      <c r="BZ126" s="592"/>
      <c r="CA126" s="633"/>
      <c r="CB126" s="592" t="s">
        <v>365</v>
      </c>
      <c r="CC126" s="592">
        <v>0.0</v>
      </c>
      <c r="CD126" s="592" t="s">
        <v>365</v>
      </c>
      <c r="CE126" s="592">
        <v>0.0</v>
      </c>
      <c r="CF126" s="592"/>
      <c r="CG126" s="592">
        <v>0.0</v>
      </c>
      <c r="CH126" s="592"/>
      <c r="CI126" s="633"/>
      <c r="CJ126" s="592">
        <v>0.0</v>
      </c>
      <c r="CK126" s="479" t="s">
        <v>365</v>
      </c>
      <c r="CL126" s="592"/>
      <c r="CM126" s="593"/>
      <c r="CN126" s="538"/>
      <c r="CO126" s="538"/>
      <c r="CP126" s="538"/>
      <c r="CQ126" s="538"/>
      <c r="CR126" s="538"/>
      <c r="CS126" s="538"/>
      <c r="CT126" s="538"/>
      <c r="CU126" s="538"/>
      <c r="CV126" s="538"/>
      <c r="CW126" s="538"/>
      <c r="CX126" s="538"/>
      <c r="CY126" s="538"/>
      <c r="CZ126" s="538"/>
      <c r="DA126" s="538"/>
      <c r="DB126" s="538"/>
      <c r="DC126" s="538"/>
      <c r="DD126" s="538"/>
      <c r="DE126" s="538"/>
      <c r="DF126" s="538"/>
      <c r="DG126" s="538"/>
      <c r="DH126" s="538"/>
      <c r="DI126" s="538"/>
      <c r="DJ126" s="538"/>
      <c r="DK126" s="538"/>
      <c r="DL126" s="538"/>
      <c r="DM126" s="538"/>
      <c r="DN126" s="538"/>
      <c r="DO126" s="538"/>
      <c r="DP126" s="538"/>
      <c r="DQ126" s="538"/>
      <c r="DR126" s="538"/>
      <c r="DS126" s="538"/>
      <c r="DT126" s="538"/>
      <c r="DU126" s="538"/>
      <c r="DV126" s="538"/>
      <c r="DW126" s="538"/>
      <c r="DX126" s="538"/>
      <c r="DY126" s="538"/>
      <c r="DZ126" s="538"/>
      <c r="EA126" s="538"/>
      <c r="EB126" s="538"/>
      <c r="EC126" s="538"/>
      <c r="ED126" s="538"/>
      <c r="EE126" s="538"/>
      <c r="EF126" s="538"/>
      <c r="EG126" s="538"/>
      <c r="EH126" s="538"/>
      <c r="EI126" s="538"/>
      <c r="EJ126" s="538"/>
      <c r="EK126" s="538"/>
      <c r="EL126" s="538"/>
      <c r="EM126" s="538"/>
      <c r="EN126" s="538"/>
      <c r="EO126" s="538"/>
      <c r="EP126" s="538"/>
      <c r="EQ126" s="538"/>
      <c r="ER126" s="538"/>
      <c r="ES126" s="538"/>
      <c r="ET126" s="538"/>
      <c r="EU126" s="538"/>
      <c r="EV126" s="538"/>
      <c r="EW126" s="538"/>
      <c r="EX126" s="559"/>
      <c r="EY126" s="559"/>
      <c r="EZ126" s="559"/>
      <c r="FA126" s="559"/>
      <c r="FB126" s="559"/>
      <c r="FC126" s="559"/>
      <c r="FD126" s="559"/>
      <c r="FE126" s="559"/>
      <c r="FF126" s="559"/>
      <c r="FG126" s="559"/>
      <c r="FH126" s="559"/>
      <c r="FI126" s="559"/>
      <c r="FJ126" s="559"/>
      <c r="FK126" s="559"/>
      <c r="FL126" s="559"/>
      <c r="FM126" s="559"/>
      <c r="FN126" s="559"/>
      <c r="FO126" s="559"/>
      <c r="FP126" s="559"/>
      <c r="FQ126" s="559"/>
      <c r="FR126" s="559"/>
      <c r="FS126" s="559"/>
      <c r="FT126" s="559"/>
      <c r="FU126" s="559"/>
      <c r="FV126" s="559"/>
      <c r="FW126" s="559"/>
      <c r="FX126" s="559"/>
      <c r="FY126" s="559"/>
      <c r="FZ126" s="559"/>
      <c r="GA126" s="559"/>
      <c r="GB126" s="559"/>
      <c r="GC126" s="559"/>
      <c r="GD126" s="559"/>
      <c r="GE126" s="559"/>
      <c r="GF126" s="559"/>
      <c r="GG126" s="559"/>
      <c r="GH126" s="559"/>
    </row>
    <row r="127">
      <c r="A127" s="538"/>
      <c r="B127" s="156"/>
      <c r="C127" s="444"/>
      <c r="D127" s="614"/>
      <c r="E127" s="66"/>
      <c r="F127" s="642"/>
      <c r="G127" s="642"/>
      <c r="H127" s="615"/>
      <c r="I127" s="616" t="s">
        <v>365</v>
      </c>
      <c r="J127" s="624"/>
      <c r="K127" s="643"/>
      <c r="L127" s="640"/>
      <c r="M127" s="625"/>
      <c r="N127" s="617"/>
      <c r="O127" s="134"/>
      <c r="P127" s="57"/>
      <c r="Q127" s="57"/>
      <c r="S127" s="605"/>
      <c r="U127" s="573"/>
      <c r="V127" s="574"/>
      <c r="W127" s="618"/>
      <c r="X127" s="576">
        <v>0.0</v>
      </c>
      <c r="Y127" s="630">
        <v>0.0</v>
      </c>
      <c r="Z127" s="630" t="s">
        <v>365</v>
      </c>
      <c r="AA127" s="631" t="b">
        <v>0</v>
      </c>
      <c r="AB127" s="631"/>
      <c r="AC127" s="576"/>
      <c r="AD127" s="479">
        <v>0.0</v>
      </c>
      <c r="AE127" s="632"/>
      <c r="AF127" s="582" t="s">
        <v>365</v>
      </c>
      <c r="AG127" s="583"/>
      <c r="AH127" s="584"/>
      <c r="AI127" s="583"/>
      <c r="AJ127" s="585"/>
      <c r="AK127" s="583"/>
      <c r="AL127" s="584"/>
      <c r="AM127" s="583"/>
      <c r="AN127" s="585"/>
      <c r="AO127" s="583"/>
      <c r="AP127" s="584"/>
      <c r="AQ127" s="583"/>
      <c r="AR127" s="585"/>
      <c r="AS127" s="583"/>
      <c r="AT127" s="584"/>
      <c r="AU127" s="583"/>
      <c r="AV127" s="585"/>
      <c r="AW127" s="583"/>
      <c r="AX127" s="584"/>
      <c r="AY127" s="583"/>
      <c r="AZ127" s="585"/>
      <c r="BA127" s="583"/>
      <c r="BB127" s="584"/>
      <c r="BC127" s="583"/>
      <c r="BD127" s="585"/>
      <c r="BE127" s="583"/>
      <c r="BF127" s="584"/>
      <c r="BG127" s="583"/>
      <c r="BH127" s="585"/>
      <c r="BI127" s="583"/>
      <c r="BJ127" s="584"/>
      <c r="BK127" s="583"/>
      <c r="BL127" s="585"/>
      <c r="BM127" s="583"/>
      <c r="BN127" s="584"/>
      <c r="BO127" s="583"/>
      <c r="BP127" s="585"/>
      <c r="BQ127" s="583"/>
      <c r="BR127" s="584"/>
      <c r="BS127" s="583"/>
      <c r="BT127" s="586"/>
      <c r="BU127" s="540"/>
      <c r="BV127" s="540"/>
      <c r="BW127" s="540"/>
      <c r="BX127" s="538"/>
      <c r="BY127" s="538"/>
      <c r="BZ127" s="592"/>
      <c r="CA127" s="633"/>
      <c r="CB127" s="592" t="s">
        <v>365</v>
      </c>
      <c r="CC127" s="592">
        <v>0.0</v>
      </c>
      <c r="CD127" s="592" t="s">
        <v>365</v>
      </c>
      <c r="CE127" s="592">
        <v>0.0</v>
      </c>
      <c r="CF127" s="592"/>
      <c r="CG127" s="592">
        <v>0.0</v>
      </c>
      <c r="CH127" s="592"/>
      <c r="CI127" s="633"/>
      <c r="CJ127" s="592">
        <v>0.0</v>
      </c>
      <c r="CK127" s="479" t="s">
        <v>365</v>
      </c>
      <c r="CL127" s="592"/>
      <c r="CM127" s="593"/>
      <c r="CN127" s="538"/>
      <c r="CO127" s="538"/>
      <c r="CP127" s="538"/>
      <c r="CQ127" s="538"/>
      <c r="CR127" s="538"/>
      <c r="CS127" s="538"/>
      <c r="CT127" s="538"/>
      <c r="CU127" s="538"/>
      <c r="CV127" s="538"/>
      <c r="CW127" s="538"/>
      <c r="CX127" s="538"/>
      <c r="CY127" s="538"/>
      <c r="CZ127" s="538"/>
      <c r="DA127" s="538"/>
      <c r="DB127" s="538"/>
      <c r="DC127" s="538"/>
      <c r="DD127" s="538"/>
      <c r="DE127" s="538"/>
      <c r="DF127" s="538"/>
      <c r="DG127" s="538"/>
      <c r="DH127" s="538"/>
      <c r="DI127" s="538"/>
      <c r="DJ127" s="538"/>
      <c r="DK127" s="538"/>
      <c r="DL127" s="538"/>
      <c r="DM127" s="538"/>
      <c r="DN127" s="538"/>
      <c r="DO127" s="538"/>
      <c r="DP127" s="538"/>
      <c r="DQ127" s="538"/>
      <c r="DR127" s="538"/>
      <c r="DS127" s="538"/>
      <c r="DT127" s="538"/>
      <c r="DU127" s="538"/>
      <c r="DV127" s="538"/>
      <c r="DW127" s="538"/>
      <c r="DX127" s="538"/>
      <c r="DY127" s="538"/>
      <c r="DZ127" s="538"/>
      <c r="EA127" s="538"/>
      <c r="EB127" s="538"/>
      <c r="EC127" s="538"/>
      <c r="ED127" s="538"/>
      <c r="EE127" s="538"/>
      <c r="EF127" s="538"/>
      <c r="EG127" s="538"/>
      <c r="EH127" s="538"/>
      <c r="EI127" s="538"/>
      <c r="EJ127" s="538"/>
      <c r="EK127" s="538"/>
      <c r="EL127" s="538"/>
      <c r="EM127" s="538"/>
      <c r="EN127" s="538"/>
      <c r="EO127" s="538"/>
      <c r="EP127" s="538"/>
      <c r="EQ127" s="538"/>
      <c r="ER127" s="538"/>
      <c r="ES127" s="538"/>
      <c r="ET127" s="538"/>
      <c r="EU127" s="538"/>
      <c r="EV127" s="538"/>
      <c r="EW127" s="538"/>
      <c r="EX127" s="559"/>
      <c r="EY127" s="559"/>
      <c r="EZ127" s="559"/>
      <c r="FA127" s="559"/>
      <c r="FB127" s="559"/>
      <c r="FC127" s="559"/>
      <c r="FD127" s="559"/>
      <c r="FE127" s="559"/>
      <c r="FF127" s="559"/>
      <c r="FG127" s="559"/>
      <c r="FH127" s="559"/>
      <c r="FI127" s="559"/>
      <c r="FJ127" s="559"/>
      <c r="FK127" s="559"/>
      <c r="FL127" s="559"/>
      <c r="FM127" s="559"/>
      <c r="FN127" s="559"/>
      <c r="FO127" s="559"/>
      <c r="FP127" s="559"/>
      <c r="FQ127" s="559"/>
      <c r="FR127" s="559"/>
      <c r="FS127" s="559"/>
      <c r="FT127" s="559"/>
      <c r="FU127" s="559"/>
      <c r="FV127" s="559"/>
      <c r="FW127" s="559"/>
      <c r="FX127" s="559"/>
      <c r="FY127" s="559"/>
      <c r="FZ127" s="559"/>
      <c r="GA127" s="559"/>
      <c r="GB127" s="559"/>
      <c r="GC127" s="559"/>
      <c r="GD127" s="559"/>
      <c r="GE127" s="559"/>
      <c r="GF127" s="559"/>
      <c r="GG127" s="559"/>
      <c r="GH127" s="559"/>
    </row>
    <row r="128">
      <c r="A128" s="538"/>
      <c r="B128" s="156"/>
      <c r="C128" s="444"/>
      <c r="D128" s="614"/>
      <c r="E128" s="68"/>
      <c r="F128" s="644"/>
      <c r="G128" s="644"/>
      <c r="H128" s="627"/>
      <c r="I128" s="622" t="s">
        <v>365</v>
      </c>
      <c r="J128" s="607"/>
      <c r="K128" s="641"/>
      <c r="L128" s="628"/>
      <c r="M128" s="626"/>
      <c r="N128" s="619"/>
      <c r="O128" s="560"/>
      <c r="P128" s="47"/>
      <c r="Q128" s="47"/>
      <c r="S128" s="572"/>
      <c r="U128" s="573"/>
      <c r="V128" s="574"/>
      <c r="W128" s="618"/>
      <c r="X128" s="576">
        <v>0.0</v>
      </c>
      <c r="Y128" s="630">
        <v>0.0</v>
      </c>
      <c r="Z128" s="630" t="s">
        <v>365</v>
      </c>
      <c r="AA128" s="631" t="b">
        <v>0</v>
      </c>
      <c r="AB128" s="631"/>
      <c r="AC128" s="576"/>
      <c r="AD128" s="479">
        <v>0.0</v>
      </c>
      <c r="AE128" s="632"/>
      <c r="AF128" s="582" t="s">
        <v>365</v>
      </c>
      <c r="AG128" s="583"/>
      <c r="AH128" s="584"/>
      <c r="AI128" s="583"/>
      <c r="AJ128" s="585"/>
      <c r="AK128" s="583"/>
      <c r="AL128" s="584"/>
      <c r="AM128" s="583"/>
      <c r="AN128" s="585"/>
      <c r="AO128" s="583"/>
      <c r="AP128" s="584"/>
      <c r="AQ128" s="583"/>
      <c r="AR128" s="585"/>
      <c r="AS128" s="583"/>
      <c r="AT128" s="584"/>
      <c r="AU128" s="583"/>
      <c r="AV128" s="585"/>
      <c r="AW128" s="583"/>
      <c r="AX128" s="584"/>
      <c r="AY128" s="583"/>
      <c r="AZ128" s="585"/>
      <c r="BA128" s="583"/>
      <c r="BB128" s="584"/>
      <c r="BC128" s="583"/>
      <c r="BD128" s="585"/>
      <c r="BE128" s="583"/>
      <c r="BF128" s="584"/>
      <c r="BG128" s="583"/>
      <c r="BH128" s="585"/>
      <c r="BI128" s="583"/>
      <c r="BJ128" s="584"/>
      <c r="BK128" s="583"/>
      <c r="BL128" s="585"/>
      <c r="BM128" s="583"/>
      <c r="BN128" s="584"/>
      <c r="BO128" s="583"/>
      <c r="BP128" s="585"/>
      <c r="BQ128" s="583"/>
      <c r="BR128" s="584"/>
      <c r="BS128" s="583"/>
      <c r="BT128" s="586"/>
      <c r="BU128" s="540"/>
      <c r="BV128" s="540"/>
      <c r="BW128" s="540"/>
      <c r="BX128" s="538"/>
      <c r="BY128" s="538"/>
      <c r="BZ128" s="592"/>
      <c r="CA128" s="633"/>
      <c r="CB128" s="592" t="s">
        <v>365</v>
      </c>
      <c r="CC128" s="592">
        <v>0.0</v>
      </c>
      <c r="CD128" s="592" t="s">
        <v>365</v>
      </c>
      <c r="CE128" s="592">
        <v>0.0</v>
      </c>
      <c r="CF128" s="592"/>
      <c r="CG128" s="592">
        <v>0.0</v>
      </c>
      <c r="CH128" s="592"/>
      <c r="CI128" s="633"/>
      <c r="CJ128" s="592">
        <v>0.0</v>
      </c>
      <c r="CK128" s="479" t="s">
        <v>365</v>
      </c>
      <c r="CL128" s="592"/>
      <c r="CM128" s="593"/>
      <c r="CN128" s="538"/>
      <c r="CO128" s="538"/>
      <c r="CP128" s="538"/>
      <c r="CQ128" s="538"/>
      <c r="CR128" s="538"/>
      <c r="CS128" s="538"/>
      <c r="CT128" s="538"/>
      <c r="CU128" s="538"/>
      <c r="CV128" s="538"/>
      <c r="CW128" s="538"/>
      <c r="CX128" s="538"/>
      <c r="CY128" s="538"/>
      <c r="CZ128" s="538"/>
      <c r="DA128" s="538"/>
      <c r="DB128" s="538"/>
      <c r="DC128" s="538"/>
      <c r="DD128" s="538"/>
      <c r="DE128" s="538"/>
      <c r="DF128" s="538"/>
      <c r="DG128" s="538"/>
      <c r="DH128" s="538"/>
      <c r="DI128" s="538"/>
      <c r="DJ128" s="538"/>
      <c r="DK128" s="538"/>
      <c r="DL128" s="538"/>
      <c r="DM128" s="538"/>
      <c r="DN128" s="538"/>
      <c r="DO128" s="538"/>
      <c r="DP128" s="538"/>
      <c r="DQ128" s="538"/>
      <c r="DR128" s="538"/>
      <c r="DS128" s="538"/>
      <c r="DT128" s="538"/>
      <c r="DU128" s="538"/>
      <c r="DV128" s="538"/>
      <c r="DW128" s="538"/>
      <c r="DX128" s="538"/>
      <c r="DY128" s="538"/>
      <c r="DZ128" s="538"/>
      <c r="EA128" s="538"/>
      <c r="EB128" s="538"/>
      <c r="EC128" s="538"/>
      <c r="ED128" s="538"/>
      <c r="EE128" s="538"/>
      <c r="EF128" s="538"/>
      <c r="EG128" s="538"/>
      <c r="EH128" s="538"/>
      <c r="EI128" s="538"/>
      <c r="EJ128" s="538"/>
      <c r="EK128" s="538"/>
      <c r="EL128" s="538"/>
      <c r="EM128" s="538"/>
      <c r="EN128" s="538"/>
      <c r="EO128" s="538"/>
      <c r="EP128" s="538"/>
      <c r="EQ128" s="538"/>
      <c r="ER128" s="538"/>
      <c r="ES128" s="538"/>
      <c r="ET128" s="538"/>
      <c r="EU128" s="538"/>
      <c r="EV128" s="538"/>
      <c r="EW128" s="538"/>
      <c r="EX128" s="559"/>
      <c r="EY128" s="559"/>
      <c r="EZ128" s="559"/>
      <c r="FA128" s="559"/>
      <c r="FB128" s="559"/>
      <c r="FC128" s="559"/>
      <c r="FD128" s="559"/>
      <c r="FE128" s="559"/>
      <c r="FF128" s="559"/>
      <c r="FG128" s="559"/>
      <c r="FH128" s="559"/>
      <c r="FI128" s="559"/>
      <c r="FJ128" s="559"/>
      <c r="FK128" s="559"/>
      <c r="FL128" s="559"/>
      <c r="FM128" s="559"/>
      <c r="FN128" s="559"/>
      <c r="FO128" s="559"/>
      <c r="FP128" s="559"/>
      <c r="FQ128" s="559"/>
      <c r="FR128" s="559"/>
      <c r="FS128" s="559"/>
      <c r="FT128" s="559"/>
      <c r="FU128" s="559"/>
      <c r="FV128" s="559"/>
      <c r="FW128" s="559"/>
      <c r="FX128" s="559"/>
      <c r="FY128" s="559"/>
      <c r="FZ128" s="559"/>
      <c r="GA128" s="559"/>
      <c r="GB128" s="559"/>
      <c r="GC128" s="559"/>
      <c r="GD128" s="559"/>
      <c r="GE128" s="559"/>
      <c r="GF128" s="559"/>
      <c r="GG128" s="559"/>
      <c r="GH128" s="559"/>
    </row>
    <row r="129">
      <c r="A129" s="538"/>
      <c r="B129" s="156"/>
      <c r="C129" s="444"/>
      <c r="D129" s="614"/>
      <c r="E129" s="66"/>
      <c r="F129" s="642"/>
      <c r="G129" s="642"/>
      <c r="H129" s="615"/>
      <c r="I129" s="616" t="s">
        <v>365</v>
      </c>
      <c r="J129" s="624"/>
      <c r="K129" s="643"/>
      <c r="L129" s="640"/>
      <c r="M129" s="625"/>
      <c r="N129" s="617"/>
      <c r="O129" s="134"/>
      <c r="P129" s="57"/>
      <c r="Q129" s="57"/>
      <c r="S129" s="605"/>
      <c r="U129" s="573"/>
      <c r="V129" s="574"/>
      <c r="W129" s="618"/>
      <c r="X129" s="576">
        <v>0.0</v>
      </c>
      <c r="Y129" s="630">
        <v>0.0</v>
      </c>
      <c r="Z129" s="630" t="s">
        <v>365</v>
      </c>
      <c r="AA129" s="631" t="b">
        <v>0</v>
      </c>
      <c r="AB129" s="631"/>
      <c r="AC129" s="576"/>
      <c r="AD129" s="479">
        <v>0.0</v>
      </c>
      <c r="AE129" s="632"/>
      <c r="AF129" s="582" t="s">
        <v>365</v>
      </c>
      <c r="AG129" s="583"/>
      <c r="AH129" s="584"/>
      <c r="AI129" s="583"/>
      <c r="AJ129" s="585"/>
      <c r="AK129" s="583"/>
      <c r="AL129" s="584"/>
      <c r="AM129" s="583"/>
      <c r="AN129" s="585"/>
      <c r="AO129" s="583"/>
      <c r="AP129" s="584"/>
      <c r="AQ129" s="583"/>
      <c r="AR129" s="585"/>
      <c r="AS129" s="583"/>
      <c r="AT129" s="584"/>
      <c r="AU129" s="583"/>
      <c r="AV129" s="585"/>
      <c r="AW129" s="583"/>
      <c r="AX129" s="584"/>
      <c r="AY129" s="583"/>
      <c r="AZ129" s="585"/>
      <c r="BA129" s="583"/>
      <c r="BB129" s="584"/>
      <c r="BC129" s="583"/>
      <c r="BD129" s="585"/>
      <c r="BE129" s="583"/>
      <c r="BF129" s="584"/>
      <c r="BG129" s="583"/>
      <c r="BH129" s="585"/>
      <c r="BI129" s="583"/>
      <c r="BJ129" s="584"/>
      <c r="BK129" s="583"/>
      <c r="BL129" s="585"/>
      <c r="BM129" s="583"/>
      <c r="BN129" s="584"/>
      <c r="BO129" s="583"/>
      <c r="BP129" s="585"/>
      <c r="BQ129" s="583"/>
      <c r="BR129" s="584"/>
      <c r="BS129" s="583"/>
      <c r="BT129" s="586"/>
      <c r="BU129" s="540"/>
      <c r="BV129" s="540"/>
      <c r="BW129" s="540"/>
      <c r="BX129" s="538"/>
      <c r="BY129" s="538"/>
      <c r="BZ129" s="592"/>
      <c r="CA129" s="633"/>
      <c r="CB129" s="592" t="s">
        <v>365</v>
      </c>
      <c r="CC129" s="592">
        <v>0.0</v>
      </c>
      <c r="CD129" s="592" t="s">
        <v>365</v>
      </c>
      <c r="CE129" s="592">
        <v>0.0</v>
      </c>
      <c r="CF129" s="592"/>
      <c r="CG129" s="592">
        <v>0.0</v>
      </c>
      <c r="CH129" s="592"/>
      <c r="CI129" s="633"/>
      <c r="CJ129" s="592">
        <v>0.0</v>
      </c>
      <c r="CK129" s="479" t="s">
        <v>365</v>
      </c>
      <c r="CL129" s="592"/>
      <c r="CM129" s="593"/>
      <c r="CN129" s="538"/>
      <c r="CO129" s="538"/>
      <c r="CP129" s="538"/>
      <c r="CQ129" s="538"/>
      <c r="CR129" s="538"/>
      <c r="CS129" s="538"/>
      <c r="CT129" s="538"/>
      <c r="CU129" s="538"/>
      <c r="CV129" s="538"/>
      <c r="CW129" s="538"/>
      <c r="CX129" s="538"/>
      <c r="CY129" s="538"/>
      <c r="CZ129" s="538"/>
      <c r="DA129" s="538"/>
      <c r="DB129" s="538"/>
      <c r="DC129" s="538"/>
      <c r="DD129" s="538"/>
      <c r="DE129" s="538"/>
      <c r="DF129" s="538"/>
      <c r="DG129" s="538"/>
      <c r="DH129" s="538"/>
      <c r="DI129" s="538"/>
      <c r="DJ129" s="538"/>
      <c r="DK129" s="538"/>
      <c r="DL129" s="538"/>
      <c r="DM129" s="538"/>
      <c r="DN129" s="538"/>
      <c r="DO129" s="538"/>
      <c r="DP129" s="538"/>
      <c r="DQ129" s="538"/>
      <c r="DR129" s="538"/>
      <c r="DS129" s="538"/>
      <c r="DT129" s="538"/>
      <c r="DU129" s="538"/>
      <c r="DV129" s="538"/>
      <c r="DW129" s="538"/>
      <c r="DX129" s="538"/>
      <c r="DY129" s="538"/>
      <c r="DZ129" s="538"/>
      <c r="EA129" s="538"/>
      <c r="EB129" s="538"/>
      <c r="EC129" s="538"/>
      <c r="ED129" s="538"/>
      <c r="EE129" s="538"/>
      <c r="EF129" s="538"/>
      <c r="EG129" s="538"/>
      <c r="EH129" s="538"/>
      <c r="EI129" s="538"/>
      <c r="EJ129" s="538"/>
      <c r="EK129" s="538"/>
      <c r="EL129" s="538"/>
      <c r="EM129" s="538"/>
      <c r="EN129" s="538"/>
      <c r="EO129" s="538"/>
      <c r="EP129" s="538"/>
      <c r="EQ129" s="538"/>
      <c r="ER129" s="538"/>
      <c r="ES129" s="538"/>
      <c r="ET129" s="538"/>
      <c r="EU129" s="538"/>
      <c r="EV129" s="538"/>
      <c r="EW129" s="538"/>
      <c r="EX129" s="559"/>
      <c r="EY129" s="559"/>
      <c r="EZ129" s="559"/>
      <c r="FA129" s="559"/>
      <c r="FB129" s="559"/>
      <c r="FC129" s="559"/>
      <c r="FD129" s="559"/>
      <c r="FE129" s="559"/>
      <c r="FF129" s="559"/>
      <c r="FG129" s="559"/>
      <c r="FH129" s="559"/>
      <c r="FI129" s="559"/>
      <c r="FJ129" s="559"/>
      <c r="FK129" s="559"/>
      <c r="FL129" s="559"/>
      <c r="FM129" s="559"/>
      <c r="FN129" s="559"/>
      <c r="FO129" s="559"/>
      <c r="FP129" s="559"/>
      <c r="FQ129" s="559"/>
      <c r="FR129" s="559"/>
      <c r="FS129" s="559"/>
      <c r="FT129" s="559"/>
      <c r="FU129" s="559"/>
      <c r="FV129" s="559"/>
      <c r="FW129" s="559"/>
      <c r="FX129" s="559"/>
      <c r="FY129" s="559"/>
      <c r="FZ129" s="559"/>
      <c r="GA129" s="559"/>
      <c r="GB129" s="559"/>
      <c r="GC129" s="559"/>
      <c r="GD129" s="559"/>
      <c r="GE129" s="559"/>
      <c r="GF129" s="559"/>
      <c r="GG129" s="559"/>
      <c r="GH129" s="559"/>
    </row>
    <row r="130">
      <c r="A130" s="538"/>
      <c r="B130" s="156"/>
      <c r="C130" s="444"/>
      <c r="D130" s="614"/>
      <c r="E130" s="68"/>
      <c r="F130" s="644"/>
      <c r="G130" s="644"/>
      <c r="H130" s="627"/>
      <c r="I130" s="622" t="s">
        <v>365</v>
      </c>
      <c r="J130" s="607"/>
      <c r="K130" s="641"/>
      <c r="L130" s="628"/>
      <c r="M130" s="626"/>
      <c r="N130" s="619"/>
      <c r="O130" s="560"/>
      <c r="P130" s="47"/>
      <c r="Q130" s="47"/>
      <c r="S130" s="572"/>
      <c r="U130" s="573"/>
      <c r="V130" s="574"/>
      <c r="W130" s="618"/>
      <c r="X130" s="576">
        <v>0.0</v>
      </c>
      <c r="Y130" s="630">
        <v>0.0</v>
      </c>
      <c r="Z130" s="630" t="s">
        <v>365</v>
      </c>
      <c r="AA130" s="631" t="b">
        <v>0</v>
      </c>
      <c r="AB130" s="631"/>
      <c r="AC130" s="576"/>
      <c r="AD130" s="479">
        <v>0.0</v>
      </c>
      <c r="AE130" s="632"/>
      <c r="AF130" s="582" t="s">
        <v>365</v>
      </c>
      <c r="AG130" s="583"/>
      <c r="AH130" s="584"/>
      <c r="AI130" s="583"/>
      <c r="AJ130" s="585"/>
      <c r="AK130" s="583"/>
      <c r="AL130" s="584"/>
      <c r="AM130" s="583"/>
      <c r="AN130" s="585"/>
      <c r="AO130" s="583"/>
      <c r="AP130" s="584"/>
      <c r="AQ130" s="583"/>
      <c r="AR130" s="585"/>
      <c r="AS130" s="583"/>
      <c r="AT130" s="584"/>
      <c r="AU130" s="583"/>
      <c r="AV130" s="585"/>
      <c r="AW130" s="583"/>
      <c r="AX130" s="584"/>
      <c r="AY130" s="583"/>
      <c r="AZ130" s="585"/>
      <c r="BA130" s="583"/>
      <c r="BB130" s="584"/>
      <c r="BC130" s="583"/>
      <c r="BD130" s="585"/>
      <c r="BE130" s="583"/>
      <c r="BF130" s="584"/>
      <c r="BG130" s="583"/>
      <c r="BH130" s="585"/>
      <c r="BI130" s="583"/>
      <c r="BJ130" s="584"/>
      <c r="BK130" s="583"/>
      <c r="BL130" s="585"/>
      <c r="BM130" s="583"/>
      <c r="BN130" s="584"/>
      <c r="BO130" s="583"/>
      <c r="BP130" s="585"/>
      <c r="BQ130" s="583"/>
      <c r="BR130" s="584"/>
      <c r="BS130" s="583"/>
      <c r="BT130" s="586"/>
      <c r="BU130" s="540"/>
      <c r="BV130" s="540"/>
      <c r="BW130" s="540"/>
      <c r="BX130" s="538"/>
      <c r="BY130" s="538"/>
      <c r="BZ130" s="592"/>
      <c r="CA130" s="633"/>
      <c r="CB130" s="592" t="s">
        <v>365</v>
      </c>
      <c r="CC130" s="592">
        <v>0.0</v>
      </c>
      <c r="CD130" s="592" t="s">
        <v>365</v>
      </c>
      <c r="CE130" s="592">
        <v>0.0</v>
      </c>
      <c r="CF130" s="592"/>
      <c r="CG130" s="592">
        <v>0.0</v>
      </c>
      <c r="CH130" s="592"/>
      <c r="CI130" s="633"/>
      <c r="CJ130" s="592">
        <v>0.0</v>
      </c>
      <c r="CK130" s="479" t="s">
        <v>365</v>
      </c>
      <c r="CL130" s="592"/>
      <c r="CM130" s="593"/>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8"/>
      <c r="DS130" s="538"/>
      <c r="DT130" s="538"/>
      <c r="DU130" s="538"/>
      <c r="DV130" s="538"/>
      <c r="DW130" s="538"/>
      <c r="DX130" s="538"/>
      <c r="DY130" s="538"/>
      <c r="DZ130" s="538"/>
      <c r="EA130" s="538"/>
      <c r="EB130" s="538"/>
      <c r="EC130" s="538"/>
      <c r="ED130" s="538"/>
      <c r="EE130" s="538"/>
      <c r="EF130" s="538"/>
      <c r="EG130" s="538"/>
      <c r="EH130" s="538"/>
      <c r="EI130" s="538"/>
      <c r="EJ130" s="538"/>
      <c r="EK130" s="538"/>
      <c r="EL130" s="538"/>
      <c r="EM130" s="538"/>
      <c r="EN130" s="538"/>
      <c r="EO130" s="538"/>
      <c r="EP130" s="538"/>
      <c r="EQ130" s="538"/>
      <c r="ER130" s="538"/>
      <c r="ES130" s="538"/>
      <c r="ET130" s="538"/>
      <c r="EU130" s="538"/>
      <c r="EV130" s="538"/>
      <c r="EW130" s="538"/>
      <c r="EX130" s="559"/>
      <c r="EY130" s="559"/>
      <c r="EZ130" s="559"/>
      <c r="FA130" s="559"/>
      <c r="FB130" s="559"/>
      <c r="FC130" s="559"/>
      <c r="FD130" s="559"/>
      <c r="FE130" s="559"/>
      <c r="FF130" s="559"/>
      <c r="FG130" s="559"/>
      <c r="FH130" s="559"/>
      <c r="FI130" s="559"/>
      <c r="FJ130" s="559"/>
      <c r="FK130" s="559"/>
      <c r="FL130" s="559"/>
      <c r="FM130" s="559"/>
      <c r="FN130" s="559"/>
      <c r="FO130" s="559"/>
      <c r="FP130" s="559"/>
      <c r="FQ130" s="559"/>
      <c r="FR130" s="559"/>
      <c r="FS130" s="559"/>
      <c r="FT130" s="559"/>
      <c r="FU130" s="559"/>
      <c r="FV130" s="559"/>
      <c r="FW130" s="559"/>
      <c r="FX130" s="559"/>
      <c r="FY130" s="559"/>
      <c r="FZ130" s="559"/>
      <c r="GA130" s="559"/>
      <c r="GB130" s="559"/>
      <c r="GC130" s="559"/>
      <c r="GD130" s="559"/>
      <c r="GE130" s="559"/>
      <c r="GF130" s="559"/>
      <c r="GG130" s="559"/>
      <c r="GH130" s="559"/>
    </row>
    <row r="131">
      <c r="A131" s="538"/>
      <c r="B131" s="156"/>
      <c r="C131" s="444"/>
      <c r="D131" s="614"/>
      <c r="E131" s="66"/>
      <c r="F131" s="642"/>
      <c r="G131" s="642"/>
      <c r="H131" s="615"/>
      <c r="I131" s="616" t="s">
        <v>365</v>
      </c>
      <c r="J131" s="624"/>
      <c r="K131" s="643"/>
      <c r="L131" s="640"/>
      <c r="M131" s="625"/>
      <c r="N131" s="617"/>
      <c r="O131" s="134"/>
      <c r="P131" s="57"/>
      <c r="Q131" s="57"/>
      <c r="S131" s="605"/>
      <c r="U131" s="573"/>
      <c r="V131" s="574"/>
      <c r="W131" s="618"/>
      <c r="X131" s="576">
        <v>0.0</v>
      </c>
      <c r="Y131" s="630">
        <v>0.0</v>
      </c>
      <c r="Z131" s="630" t="s">
        <v>365</v>
      </c>
      <c r="AA131" s="631" t="b">
        <v>0</v>
      </c>
      <c r="AB131" s="631"/>
      <c r="AC131" s="576"/>
      <c r="AD131" s="479">
        <v>0.0</v>
      </c>
      <c r="AE131" s="632"/>
      <c r="AF131" s="582" t="s">
        <v>365</v>
      </c>
      <c r="AG131" s="583"/>
      <c r="AH131" s="584"/>
      <c r="AI131" s="583"/>
      <c r="AJ131" s="585"/>
      <c r="AK131" s="583"/>
      <c r="AL131" s="584"/>
      <c r="AM131" s="583"/>
      <c r="AN131" s="585"/>
      <c r="AO131" s="583"/>
      <c r="AP131" s="584"/>
      <c r="AQ131" s="583"/>
      <c r="AR131" s="585"/>
      <c r="AS131" s="583"/>
      <c r="AT131" s="584"/>
      <c r="AU131" s="583"/>
      <c r="AV131" s="585"/>
      <c r="AW131" s="583"/>
      <c r="AX131" s="584"/>
      <c r="AY131" s="583"/>
      <c r="AZ131" s="585"/>
      <c r="BA131" s="583"/>
      <c r="BB131" s="584"/>
      <c r="BC131" s="583"/>
      <c r="BD131" s="585"/>
      <c r="BE131" s="583"/>
      <c r="BF131" s="584"/>
      <c r="BG131" s="583"/>
      <c r="BH131" s="585"/>
      <c r="BI131" s="583"/>
      <c r="BJ131" s="584"/>
      <c r="BK131" s="583"/>
      <c r="BL131" s="585"/>
      <c r="BM131" s="583"/>
      <c r="BN131" s="584"/>
      <c r="BO131" s="583"/>
      <c r="BP131" s="585"/>
      <c r="BQ131" s="583"/>
      <c r="BR131" s="584"/>
      <c r="BS131" s="583"/>
      <c r="BT131" s="586"/>
      <c r="BU131" s="540"/>
      <c r="BV131" s="540"/>
      <c r="BW131" s="540"/>
      <c r="BX131" s="538"/>
      <c r="BY131" s="538"/>
      <c r="BZ131" s="592"/>
      <c r="CA131" s="633"/>
      <c r="CB131" s="592" t="s">
        <v>365</v>
      </c>
      <c r="CC131" s="592">
        <v>0.0</v>
      </c>
      <c r="CD131" s="592" t="s">
        <v>365</v>
      </c>
      <c r="CE131" s="592">
        <v>0.0</v>
      </c>
      <c r="CF131" s="592"/>
      <c r="CG131" s="592">
        <v>0.0</v>
      </c>
      <c r="CH131" s="592"/>
      <c r="CI131" s="633"/>
      <c r="CJ131" s="592">
        <v>0.0</v>
      </c>
      <c r="CK131" s="479" t="s">
        <v>365</v>
      </c>
      <c r="CL131" s="592"/>
      <c r="CM131" s="593"/>
      <c r="CN131" s="538"/>
      <c r="CO131" s="538"/>
      <c r="CP131" s="538"/>
      <c r="CQ131" s="538"/>
      <c r="CR131" s="538"/>
      <c r="CS131" s="538"/>
      <c r="CT131" s="538"/>
      <c r="CU131" s="538"/>
      <c r="CV131" s="538"/>
      <c r="CW131" s="538"/>
      <c r="CX131" s="538"/>
      <c r="CY131" s="538"/>
      <c r="CZ131" s="538"/>
      <c r="DA131" s="538"/>
      <c r="DB131" s="538"/>
      <c r="DC131" s="538"/>
      <c r="DD131" s="538"/>
      <c r="DE131" s="538"/>
      <c r="DF131" s="538"/>
      <c r="DG131" s="538"/>
      <c r="DH131" s="538"/>
      <c r="DI131" s="538"/>
      <c r="DJ131" s="538"/>
      <c r="DK131" s="538"/>
      <c r="DL131" s="538"/>
      <c r="DM131" s="538"/>
      <c r="DN131" s="538"/>
      <c r="DO131" s="538"/>
      <c r="DP131" s="538"/>
      <c r="DQ131" s="538"/>
      <c r="DR131" s="538"/>
      <c r="DS131" s="538"/>
      <c r="DT131" s="538"/>
      <c r="DU131" s="538"/>
      <c r="DV131" s="538"/>
      <c r="DW131" s="538"/>
      <c r="DX131" s="538"/>
      <c r="DY131" s="538"/>
      <c r="DZ131" s="538"/>
      <c r="EA131" s="538"/>
      <c r="EB131" s="538"/>
      <c r="EC131" s="538"/>
      <c r="ED131" s="538"/>
      <c r="EE131" s="538"/>
      <c r="EF131" s="538"/>
      <c r="EG131" s="538"/>
      <c r="EH131" s="538"/>
      <c r="EI131" s="538"/>
      <c r="EJ131" s="538"/>
      <c r="EK131" s="538"/>
      <c r="EL131" s="538"/>
      <c r="EM131" s="538"/>
      <c r="EN131" s="538"/>
      <c r="EO131" s="538"/>
      <c r="EP131" s="538"/>
      <c r="EQ131" s="538"/>
      <c r="ER131" s="538"/>
      <c r="ES131" s="538"/>
      <c r="ET131" s="538"/>
      <c r="EU131" s="538"/>
      <c r="EV131" s="538"/>
      <c r="EW131" s="538"/>
      <c r="EX131" s="559"/>
      <c r="EY131" s="559"/>
      <c r="EZ131" s="559"/>
      <c r="FA131" s="559"/>
      <c r="FB131" s="559"/>
      <c r="FC131" s="559"/>
      <c r="FD131" s="559"/>
      <c r="FE131" s="559"/>
      <c r="FF131" s="559"/>
      <c r="FG131" s="559"/>
      <c r="FH131" s="559"/>
      <c r="FI131" s="559"/>
      <c r="FJ131" s="559"/>
      <c r="FK131" s="559"/>
      <c r="FL131" s="559"/>
      <c r="FM131" s="559"/>
      <c r="FN131" s="559"/>
      <c r="FO131" s="559"/>
      <c r="FP131" s="559"/>
      <c r="FQ131" s="559"/>
      <c r="FR131" s="559"/>
      <c r="FS131" s="559"/>
      <c r="FT131" s="559"/>
      <c r="FU131" s="559"/>
      <c r="FV131" s="559"/>
      <c r="FW131" s="559"/>
      <c r="FX131" s="559"/>
      <c r="FY131" s="559"/>
      <c r="FZ131" s="559"/>
      <c r="GA131" s="559"/>
      <c r="GB131" s="559"/>
      <c r="GC131" s="559"/>
      <c r="GD131" s="559"/>
      <c r="GE131" s="559"/>
      <c r="GF131" s="559"/>
      <c r="GG131" s="559"/>
      <c r="GH131" s="559"/>
    </row>
    <row r="132">
      <c r="A132" s="538"/>
      <c r="B132" s="156"/>
      <c r="C132" s="444"/>
      <c r="D132" s="614"/>
      <c r="E132" s="68"/>
      <c r="F132" s="644"/>
      <c r="G132" s="644"/>
      <c r="H132" s="627"/>
      <c r="I132" s="622" t="s">
        <v>365</v>
      </c>
      <c r="J132" s="607"/>
      <c r="K132" s="641"/>
      <c r="L132" s="628"/>
      <c r="M132" s="626"/>
      <c r="N132" s="619"/>
      <c r="O132" s="560"/>
      <c r="P132" s="47"/>
      <c r="Q132" s="47"/>
      <c r="S132" s="572"/>
      <c r="U132" s="573"/>
      <c r="V132" s="574"/>
      <c r="W132" s="618"/>
      <c r="X132" s="576">
        <v>0.0</v>
      </c>
      <c r="Y132" s="630">
        <v>0.0</v>
      </c>
      <c r="Z132" s="630" t="s">
        <v>365</v>
      </c>
      <c r="AA132" s="631" t="b">
        <v>0</v>
      </c>
      <c r="AB132" s="631"/>
      <c r="AC132" s="576"/>
      <c r="AD132" s="479">
        <v>0.0</v>
      </c>
      <c r="AE132" s="632"/>
      <c r="AF132" s="582" t="s">
        <v>365</v>
      </c>
      <c r="AG132" s="583"/>
      <c r="AH132" s="584"/>
      <c r="AI132" s="583"/>
      <c r="AJ132" s="585"/>
      <c r="AK132" s="583"/>
      <c r="AL132" s="584"/>
      <c r="AM132" s="583"/>
      <c r="AN132" s="585"/>
      <c r="AO132" s="583"/>
      <c r="AP132" s="584"/>
      <c r="AQ132" s="583"/>
      <c r="AR132" s="585"/>
      <c r="AS132" s="583"/>
      <c r="AT132" s="584"/>
      <c r="AU132" s="583"/>
      <c r="AV132" s="585"/>
      <c r="AW132" s="583"/>
      <c r="AX132" s="584"/>
      <c r="AY132" s="583"/>
      <c r="AZ132" s="585"/>
      <c r="BA132" s="583"/>
      <c r="BB132" s="584"/>
      <c r="BC132" s="583"/>
      <c r="BD132" s="585"/>
      <c r="BE132" s="583"/>
      <c r="BF132" s="584"/>
      <c r="BG132" s="583"/>
      <c r="BH132" s="585"/>
      <c r="BI132" s="583"/>
      <c r="BJ132" s="584"/>
      <c r="BK132" s="583"/>
      <c r="BL132" s="585"/>
      <c r="BM132" s="583"/>
      <c r="BN132" s="584"/>
      <c r="BO132" s="583"/>
      <c r="BP132" s="585"/>
      <c r="BQ132" s="583"/>
      <c r="BR132" s="584"/>
      <c r="BS132" s="583"/>
      <c r="BT132" s="586"/>
      <c r="BU132" s="540"/>
      <c r="BV132" s="540"/>
      <c r="BW132" s="540"/>
      <c r="BX132" s="538"/>
      <c r="BY132" s="538"/>
      <c r="BZ132" s="592"/>
      <c r="CA132" s="633"/>
      <c r="CB132" s="592" t="s">
        <v>365</v>
      </c>
      <c r="CC132" s="592">
        <v>0.0</v>
      </c>
      <c r="CD132" s="592" t="s">
        <v>365</v>
      </c>
      <c r="CE132" s="592">
        <v>0.0</v>
      </c>
      <c r="CF132" s="592"/>
      <c r="CG132" s="592">
        <v>0.0</v>
      </c>
      <c r="CH132" s="592"/>
      <c r="CI132" s="633"/>
      <c r="CJ132" s="592">
        <v>0.0</v>
      </c>
      <c r="CK132" s="479" t="s">
        <v>365</v>
      </c>
      <c r="CL132" s="592"/>
      <c r="CM132" s="593"/>
      <c r="CN132" s="538"/>
      <c r="CO132" s="538"/>
      <c r="CP132" s="538"/>
      <c r="CQ132" s="538"/>
      <c r="CR132" s="538"/>
      <c r="CS132" s="538"/>
      <c r="CT132" s="538"/>
      <c r="CU132" s="538"/>
      <c r="CV132" s="538"/>
      <c r="CW132" s="538"/>
      <c r="CX132" s="538"/>
      <c r="CY132" s="538"/>
      <c r="CZ132" s="538"/>
      <c r="DA132" s="538"/>
      <c r="DB132" s="538"/>
      <c r="DC132" s="538"/>
      <c r="DD132" s="538"/>
      <c r="DE132" s="538"/>
      <c r="DF132" s="538"/>
      <c r="DG132" s="538"/>
      <c r="DH132" s="538"/>
      <c r="DI132" s="538"/>
      <c r="DJ132" s="538"/>
      <c r="DK132" s="538"/>
      <c r="DL132" s="538"/>
      <c r="DM132" s="538"/>
      <c r="DN132" s="538"/>
      <c r="DO132" s="538"/>
      <c r="DP132" s="538"/>
      <c r="DQ132" s="538"/>
      <c r="DR132" s="538"/>
      <c r="DS132" s="538"/>
      <c r="DT132" s="538"/>
      <c r="DU132" s="538"/>
      <c r="DV132" s="538"/>
      <c r="DW132" s="538"/>
      <c r="DX132" s="538"/>
      <c r="DY132" s="538"/>
      <c r="DZ132" s="538"/>
      <c r="EA132" s="538"/>
      <c r="EB132" s="538"/>
      <c r="EC132" s="538"/>
      <c r="ED132" s="538"/>
      <c r="EE132" s="538"/>
      <c r="EF132" s="538"/>
      <c r="EG132" s="538"/>
      <c r="EH132" s="538"/>
      <c r="EI132" s="538"/>
      <c r="EJ132" s="538"/>
      <c r="EK132" s="538"/>
      <c r="EL132" s="538"/>
      <c r="EM132" s="538"/>
      <c r="EN132" s="538"/>
      <c r="EO132" s="538"/>
      <c r="EP132" s="538"/>
      <c r="EQ132" s="538"/>
      <c r="ER132" s="538"/>
      <c r="ES132" s="538"/>
      <c r="ET132" s="538"/>
      <c r="EU132" s="538"/>
      <c r="EV132" s="538"/>
      <c r="EW132" s="538"/>
      <c r="EX132" s="559"/>
      <c r="EY132" s="559"/>
      <c r="EZ132" s="559"/>
      <c r="FA132" s="559"/>
      <c r="FB132" s="559"/>
      <c r="FC132" s="559"/>
      <c r="FD132" s="559"/>
      <c r="FE132" s="559"/>
      <c r="FF132" s="559"/>
      <c r="FG132" s="559"/>
      <c r="FH132" s="559"/>
      <c r="FI132" s="559"/>
      <c r="FJ132" s="559"/>
      <c r="FK132" s="559"/>
      <c r="FL132" s="559"/>
      <c r="FM132" s="559"/>
      <c r="FN132" s="559"/>
      <c r="FO132" s="559"/>
      <c r="FP132" s="559"/>
      <c r="FQ132" s="559"/>
      <c r="FR132" s="559"/>
      <c r="FS132" s="559"/>
      <c r="FT132" s="559"/>
      <c r="FU132" s="559"/>
      <c r="FV132" s="559"/>
      <c r="FW132" s="559"/>
      <c r="FX132" s="559"/>
      <c r="FY132" s="559"/>
      <c r="FZ132" s="559"/>
      <c r="GA132" s="559"/>
      <c r="GB132" s="559"/>
      <c r="GC132" s="559"/>
      <c r="GD132" s="559"/>
      <c r="GE132" s="559"/>
      <c r="GF132" s="559"/>
      <c r="GG132" s="559"/>
      <c r="GH132" s="559"/>
    </row>
    <row r="133">
      <c r="A133" s="538"/>
      <c r="B133" s="156"/>
      <c r="C133" s="444"/>
      <c r="D133" s="614"/>
      <c r="E133" s="66"/>
      <c r="F133" s="642"/>
      <c r="G133" s="642"/>
      <c r="H133" s="615"/>
      <c r="I133" s="616" t="s">
        <v>365</v>
      </c>
      <c r="J133" s="624"/>
      <c r="K133" s="643"/>
      <c r="L133" s="640"/>
      <c r="M133" s="625"/>
      <c r="N133" s="617"/>
      <c r="O133" s="134"/>
      <c r="P133" s="57"/>
      <c r="Q133" s="57"/>
      <c r="S133" s="605"/>
      <c r="U133" s="573"/>
      <c r="V133" s="574"/>
      <c r="W133" s="618"/>
      <c r="X133" s="576">
        <v>0.0</v>
      </c>
      <c r="Y133" s="630">
        <v>0.0</v>
      </c>
      <c r="Z133" s="630" t="s">
        <v>365</v>
      </c>
      <c r="AA133" s="631" t="b">
        <v>0</v>
      </c>
      <c r="AB133" s="631"/>
      <c r="AC133" s="576"/>
      <c r="AD133" s="479">
        <v>0.0</v>
      </c>
      <c r="AE133" s="632"/>
      <c r="AF133" s="582" t="s">
        <v>365</v>
      </c>
      <c r="AG133" s="583"/>
      <c r="AH133" s="584"/>
      <c r="AI133" s="583"/>
      <c r="AJ133" s="585"/>
      <c r="AK133" s="583"/>
      <c r="AL133" s="584"/>
      <c r="AM133" s="583"/>
      <c r="AN133" s="585"/>
      <c r="AO133" s="583"/>
      <c r="AP133" s="584"/>
      <c r="AQ133" s="583"/>
      <c r="AR133" s="585"/>
      <c r="AS133" s="583"/>
      <c r="AT133" s="584"/>
      <c r="AU133" s="583"/>
      <c r="AV133" s="585"/>
      <c r="AW133" s="583"/>
      <c r="AX133" s="584"/>
      <c r="AY133" s="583"/>
      <c r="AZ133" s="585"/>
      <c r="BA133" s="583"/>
      <c r="BB133" s="584"/>
      <c r="BC133" s="583"/>
      <c r="BD133" s="585"/>
      <c r="BE133" s="583"/>
      <c r="BF133" s="584"/>
      <c r="BG133" s="583"/>
      <c r="BH133" s="585"/>
      <c r="BI133" s="583"/>
      <c r="BJ133" s="584"/>
      <c r="BK133" s="583"/>
      <c r="BL133" s="585"/>
      <c r="BM133" s="583"/>
      <c r="BN133" s="584"/>
      <c r="BO133" s="583"/>
      <c r="BP133" s="585"/>
      <c r="BQ133" s="583"/>
      <c r="BR133" s="584"/>
      <c r="BS133" s="583"/>
      <c r="BT133" s="586"/>
      <c r="BU133" s="540"/>
      <c r="BV133" s="540"/>
      <c r="BW133" s="540"/>
      <c r="BX133" s="538"/>
      <c r="BY133" s="538"/>
      <c r="BZ133" s="592"/>
      <c r="CA133" s="633"/>
      <c r="CB133" s="592" t="s">
        <v>365</v>
      </c>
      <c r="CC133" s="592">
        <v>0.0</v>
      </c>
      <c r="CD133" s="592" t="s">
        <v>365</v>
      </c>
      <c r="CE133" s="592">
        <v>0.0</v>
      </c>
      <c r="CF133" s="592"/>
      <c r="CG133" s="592">
        <v>0.0</v>
      </c>
      <c r="CH133" s="592"/>
      <c r="CI133" s="633"/>
      <c r="CJ133" s="592">
        <v>0.0</v>
      </c>
      <c r="CK133" s="479" t="s">
        <v>365</v>
      </c>
      <c r="CL133" s="592"/>
      <c r="CM133" s="593"/>
      <c r="CN133" s="538"/>
      <c r="CO133" s="538"/>
      <c r="CP133" s="538"/>
      <c r="CQ133" s="538"/>
      <c r="CR133" s="538"/>
      <c r="CS133" s="538"/>
      <c r="CT133" s="538"/>
      <c r="CU133" s="538"/>
      <c r="CV133" s="538"/>
      <c r="CW133" s="538"/>
      <c r="CX133" s="538"/>
      <c r="CY133" s="538"/>
      <c r="CZ133" s="538"/>
      <c r="DA133" s="538"/>
      <c r="DB133" s="538"/>
      <c r="DC133" s="538"/>
      <c r="DD133" s="538"/>
      <c r="DE133" s="538"/>
      <c r="DF133" s="538"/>
      <c r="DG133" s="538"/>
      <c r="DH133" s="538"/>
      <c r="DI133" s="538"/>
      <c r="DJ133" s="538"/>
      <c r="DK133" s="538"/>
      <c r="DL133" s="538"/>
      <c r="DM133" s="538"/>
      <c r="DN133" s="538"/>
      <c r="DO133" s="538"/>
      <c r="DP133" s="538"/>
      <c r="DQ133" s="538"/>
      <c r="DR133" s="538"/>
      <c r="DS133" s="538"/>
      <c r="DT133" s="538"/>
      <c r="DU133" s="538"/>
      <c r="DV133" s="538"/>
      <c r="DW133" s="538"/>
      <c r="DX133" s="538"/>
      <c r="DY133" s="538"/>
      <c r="DZ133" s="538"/>
      <c r="EA133" s="538"/>
      <c r="EB133" s="538"/>
      <c r="EC133" s="538"/>
      <c r="ED133" s="538"/>
      <c r="EE133" s="538"/>
      <c r="EF133" s="538"/>
      <c r="EG133" s="538"/>
      <c r="EH133" s="538"/>
      <c r="EI133" s="538"/>
      <c r="EJ133" s="538"/>
      <c r="EK133" s="538"/>
      <c r="EL133" s="538"/>
      <c r="EM133" s="538"/>
      <c r="EN133" s="538"/>
      <c r="EO133" s="538"/>
      <c r="EP133" s="538"/>
      <c r="EQ133" s="538"/>
      <c r="ER133" s="538"/>
      <c r="ES133" s="538"/>
      <c r="ET133" s="538"/>
      <c r="EU133" s="538"/>
      <c r="EV133" s="538"/>
      <c r="EW133" s="538"/>
      <c r="EX133" s="559"/>
      <c r="EY133" s="559"/>
      <c r="EZ133" s="559"/>
      <c r="FA133" s="559"/>
      <c r="FB133" s="559"/>
      <c r="FC133" s="559"/>
      <c r="FD133" s="559"/>
      <c r="FE133" s="559"/>
      <c r="FF133" s="559"/>
      <c r="FG133" s="559"/>
      <c r="FH133" s="559"/>
      <c r="FI133" s="559"/>
      <c r="FJ133" s="559"/>
      <c r="FK133" s="559"/>
      <c r="FL133" s="559"/>
      <c r="FM133" s="559"/>
      <c r="FN133" s="559"/>
      <c r="FO133" s="559"/>
      <c r="FP133" s="559"/>
      <c r="FQ133" s="559"/>
      <c r="FR133" s="559"/>
      <c r="FS133" s="559"/>
      <c r="FT133" s="559"/>
      <c r="FU133" s="559"/>
      <c r="FV133" s="559"/>
      <c r="FW133" s="559"/>
      <c r="FX133" s="559"/>
      <c r="FY133" s="559"/>
      <c r="FZ133" s="559"/>
      <c r="GA133" s="559"/>
      <c r="GB133" s="559"/>
      <c r="GC133" s="559"/>
      <c r="GD133" s="559"/>
      <c r="GE133" s="559"/>
      <c r="GF133" s="559"/>
      <c r="GG133" s="559"/>
      <c r="GH133" s="559"/>
    </row>
    <row r="134">
      <c r="A134" s="538"/>
      <c r="B134" s="156"/>
      <c r="C134" s="444"/>
      <c r="D134" s="614"/>
      <c r="E134" s="68"/>
      <c r="F134" s="644"/>
      <c r="G134" s="644"/>
      <c r="H134" s="627"/>
      <c r="I134" s="622" t="s">
        <v>365</v>
      </c>
      <c r="J134" s="607"/>
      <c r="K134" s="641"/>
      <c r="L134" s="628"/>
      <c r="M134" s="626"/>
      <c r="N134" s="619"/>
      <c r="O134" s="560"/>
      <c r="P134" s="47"/>
      <c r="Q134" s="47"/>
      <c r="S134" s="572"/>
      <c r="U134" s="573"/>
      <c r="V134" s="574"/>
      <c r="W134" s="618"/>
      <c r="X134" s="576">
        <v>0.0</v>
      </c>
      <c r="Y134" s="630">
        <v>0.0</v>
      </c>
      <c r="Z134" s="630" t="s">
        <v>365</v>
      </c>
      <c r="AA134" s="631" t="b">
        <v>0</v>
      </c>
      <c r="AB134" s="631"/>
      <c r="AC134" s="576"/>
      <c r="AD134" s="479">
        <v>0.0</v>
      </c>
      <c r="AE134" s="632"/>
      <c r="AF134" s="582" t="s">
        <v>365</v>
      </c>
      <c r="AG134" s="583"/>
      <c r="AH134" s="584"/>
      <c r="AI134" s="583"/>
      <c r="AJ134" s="585"/>
      <c r="AK134" s="583"/>
      <c r="AL134" s="584"/>
      <c r="AM134" s="583"/>
      <c r="AN134" s="585"/>
      <c r="AO134" s="583"/>
      <c r="AP134" s="584"/>
      <c r="AQ134" s="583"/>
      <c r="AR134" s="585"/>
      <c r="AS134" s="583"/>
      <c r="AT134" s="584"/>
      <c r="AU134" s="583"/>
      <c r="AV134" s="585"/>
      <c r="AW134" s="583"/>
      <c r="AX134" s="584"/>
      <c r="AY134" s="583"/>
      <c r="AZ134" s="585"/>
      <c r="BA134" s="583"/>
      <c r="BB134" s="584"/>
      <c r="BC134" s="583"/>
      <c r="BD134" s="585"/>
      <c r="BE134" s="583"/>
      <c r="BF134" s="584"/>
      <c r="BG134" s="583"/>
      <c r="BH134" s="585"/>
      <c r="BI134" s="583"/>
      <c r="BJ134" s="584"/>
      <c r="BK134" s="583"/>
      <c r="BL134" s="585"/>
      <c r="BM134" s="583"/>
      <c r="BN134" s="584"/>
      <c r="BO134" s="583"/>
      <c r="BP134" s="585"/>
      <c r="BQ134" s="583"/>
      <c r="BR134" s="584"/>
      <c r="BS134" s="583"/>
      <c r="BT134" s="586"/>
      <c r="BU134" s="540"/>
      <c r="BV134" s="540"/>
      <c r="BW134" s="540"/>
      <c r="BX134" s="538"/>
      <c r="BY134" s="538"/>
      <c r="BZ134" s="592"/>
      <c r="CA134" s="633"/>
      <c r="CB134" s="592" t="s">
        <v>365</v>
      </c>
      <c r="CC134" s="592">
        <v>0.0</v>
      </c>
      <c r="CD134" s="592" t="s">
        <v>365</v>
      </c>
      <c r="CE134" s="592">
        <v>0.0</v>
      </c>
      <c r="CF134" s="592"/>
      <c r="CG134" s="592">
        <v>0.0</v>
      </c>
      <c r="CH134" s="592"/>
      <c r="CI134" s="633"/>
      <c r="CJ134" s="592">
        <v>0.0</v>
      </c>
      <c r="CK134" s="479" t="s">
        <v>365</v>
      </c>
      <c r="CL134" s="592"/>
      <c r="CM134" s="593"/>
      <c r="CN134" s="538"/>
      <c r="CO134" s="538"/>
      <c r="CP134" s="538"/>
      <c r="CQ134" s="538"/>
      <c r="CR134" s="538"/>
      <c r="CS134" s="538"/>
      <c r="CT134" s="538"/>
      <c r="CU134" s="538"/>
      <c r="CV134" s="538"/>
      <c r="CW134" s="538"/>
      <c r="CX134" s="538"/>
      <c r="CY134" s="538"/>
      <c r="CZ134" s="538"/>
      <c r="DA134" s="538"/>
      <c r="DB134" s="538"/>
      <c r="DC134" s="538"/>
      <c r="DD134" s="538"/>
      <c r="DE134" s="538"/>
      <c r="DF134" s="538"/>
      <c r="DG134" s="538"/>
      <c r="DH134" s="538"/>
      <c r="DI134" s="538"/>
      <c r="DJ134" s="538"/>
      <c r="DK134" s="538"/>
      <c r="DL134" s="538"/>
      <c r="DM134" s="538"/>
      <c r="DN134" s="538"/>
      <c r="DO134" s="538"/>
      <c r="DP134" s="538"/>
      <c r="DQ134" s="538"/>
      <c r="DR134" s="538"/>
      <c r="DS134" s="538"/>
      <c r="DT134" s="538"/>
      <c r="DU134" s="538"/>
      <c r="DV134" s="538"/>
      <c r="DW134" s="538"/>
      <c r="DX134" s="538"/>
      <c r="DY134" s="538"/>
      <c r="DZ134" s="538"/>
      <c r="EA134" s="538"/>
      <c r="EB134" s="538"/>
      <c r="EC134" s="538"/>
      <c r="ED134" s="538"/>
      <c r="EE134" s="538"/>
      <c r="EF134" s="538"/>
      <c r="EG134" s="538"/>
      <c r="EH134" s="538"/>
      <c r="EI134" s="538"/>
      <c r="EJ134" s="538"/>
      <c r="EK134" s="538"/>
      <c r="EL134" s="538"/>
      <c r="EM134" s="538"/>
      <c r="EN134" s="538"/>
      <c r="EO134" s="538"/>
      <c r="EP134" s="538"/>
      <c r="EQ134" s="538"/>
      <c r="ER134" s="538"/>
      <c r="ES134" s="538"/>
      <c r="ET134" s="538"/>
      <c r="EU134" s="538"/>
      <c r="EV134" s="538"/>
      <c r="EW134" s="538"/>
      <c r="EX134" s="559"/>
      <c r="EY134" s="559"/>
      <c r="EZ134" s="559"/>
      <c r="FA134" s="559"/>
      <c r="FB134" s="559"/>
      <c r="FC134" s="559"/>
      <c r="FD134" s="559"/>
      <c r="FE134" s="559"/>
      <c r="FF134" s="559"/>
      <c r="FG134" s="559"/>
      <c r="FH134" s="559"/>
      <c r="FI134" s="559"/>
      <c r="FJ134" s="559"/>
      <c r="FK134" s="559"/>
      <c r="FL134" s="559"/>
      <c r="FM134" s="559"/>
      <c r="FN134" s="559"/>
      <c r="FO134" s="559"/>
      <c r="FP134" s="559"/>
      <c r="FQ134" s="559"/>
      <c r="FR134" s="559"/>
      <c r="FS134" s="559"/>
      <c r="FT134" s="559"/>
      <c r="FU134" s="559"/>
      <c r="FV134" s="559"/>
      <c r="FW134" s="559"/>
      <c r="FX134" s="559"/>
      <c r="FY134" s="559"/>
      <c r="FZ134" s="559"/>
      <c r="GA134" s="559"/>
      <c r="GB134" s="559"/>
      <c r="GC134" s="559"/>
      <c r="GD134" s="559"/>
      <c r="GE134" s="559"/>
      <c r="GF134" s="559"/>
      <c r="GG134" s="559"/>
      <c r="GH134" s="559"/>
    </row>
    <row r="135">
      <c r="A135" s="538"/>
      <c r="B135" s="156"/>
      <c r="C135" s="444"/>
      <c r="D135" s="614"/>
      <c r="E135" s="66"/>
      <c r="F135" s="642"/>
      <c r="G135" s="642"/>
      <c r="H135" s="615"/>
      <c r="I135" s="616" t="s">
        <v>365</v>
      </c>
      <c r="J135" s="624"/>
      <c r="K135" s="643"/>
      <c r="L135" s="640"/>
      <c r="M135" s="625"/>
      <c r="N135" s="617"/>
      <c r="O135" s="134"/>
      <c r="P135" s="57"/>
      <c r="Q135" s="57"/>
      <c r="S135" s="605"/>
      <c r="U135" s="573"/>
      <c r="V135" s="574"/>
      <c r="W135" s="618"/>
      <c r="X135" s="576">
        <v>0.0</v>
      </c>
      <c r="Y135" s="630">
        <v>0.0</v>
      </c>
      <c r="Z135" s="630" t="s">
        <v>365</v>
      </c>
      <c r="AA135" s="631" t="b">
        <v>0</v>
      </c>
      <c r="AB135" s="631"/>
      <c r="AC135" s="576"/>
      <c r="AD135" s="479">
        <v>0.0</v>
      </c>
      <c r="AE135" s="632"/>
      <c r="AF135" s="582" t="s">
        <v>365</v>
      </c>
      <c r="AG135" s="583"/>
      <c r="AH135" s="584"/>
      <c r="AI135" s="583"/>
      <c r="AJ135" s="585"/>
      <c r="AK135" s="583"/>
      <c r="AL135" s="584"/>
      <c r="AM135" s="583"/>
      <c r="AN135" s="585"/>
      <c r="AO135" s="583"/>
      <c r="AP135" s="584"/>
      <c r="AQ135" s="583"/>
      <c r="AR135" s="585"/>
      <c r="AS135" s="583"/>
      <c r="AT135" s="584"/>
      <c r="AU135" s="583"/>
      <c r="AV135" s="585"/>
      <c r="AW135" s="583"/>
      <c r="AX135" s="584"/>
      <c r="AY135" s="583"/>
      <c r="AZ135" s="585"/>
      <c r="BA135" s="583"/>
      <c r="BB135" s="584"/>
      <c r="BC135" s="583"/>
      <c r="BD135" s="585"/>
      <c r="BE135" s="583"/>
      <c r="BF135" s="584"/>
      <c r="BG135" s="583"/>
      <c r="BH135" s="585"/>
      <c r="BI135" s="583"/>
      <c r="BJ135" s="584"/>
      <c r="BK135" s="583"/>
      <c r="BL135" s="585"/>
      <c r="BM135" s="583"/>
      <c r="BN135" s="584"/>
      <c r="BO135" s="583"/>
      <c r="BP135" s="585"/>
      <c r="BQ135" s="583"/>
      <c r="BR135" s="584"/>
      <c r="BS135" s="583"/>
      <c r="BT135" s="586"/>
      <c r="BU135" s="540"/>
      <c r="BV135" s="540"/>
      <c r="BW135" s="540"/>
      <c r="BX135" s="538"/>
      <c r="BY135" s="538"/>
      <c r="BZ135" s="592"/>
      <c r="CA135" s="633"/>
      <c r="CB135" s="592" t="s">
        <v>365</v>
      </c>
      <c r="CC135" s="592">
        <v>0.0</v>
      </c>
      <c r="CD135" s="592" t="s">
        <v>365</v>
      </c>
      <c r="CE135" s="592">
        <v>0.0</v>
      </c>
      <c r="CF135" s="592"/>
      <c r="CG135" s="592">
        <v>0.0</v>
      </c>
      <c r="CH135" s="592"/>
      <c r="CI135" s="633"/>
      <c r="CJ135" s="592">
        <v>0.0</v>
      </c>
      <c r="CK135" s="479" t="s">
        <v>365</v>
      </c>
      <c r="CL135" s="592"/>
      <c r="CM135" s="593"/>
      <c r="CN135" s="538"/>
      <c r="CO135" s="538"/>
      <c r="CP135" s="538"/>
      <c r="CQ135" s="538"/>
      <c r="CR135" s="538"/>
      <c r="CS135" s="538"/>
      <c r="CT135" s="538"/>
      <c r="CU135" s="538"/>
      <c r="CV135" s="538"/>
      <c r="CW135" s="538"/>
      <c r="CX135" s="538"/>
      <c r="CY135" s="538"/>
      <c r="CZ135" s="538"/>
      <c r="DA135" s="538"/>
      <c r="DB135" s="538"/>
      <c r="DC135" s="538"/>
      <c r="DD135" s="538"/>
      <c r="DE135" s="538"/>
      <c r="DF135" s="538"/>
      <c r="DG135" s="538"/>
      <c r="DH135" s="538"/>
      <c r="DI135" s="538"/>
      <c r="DJ135" s="538"/>
      <c r="DK135" s="538"/>
      <c r="DL135" s="538"/>
      <c r="DM135" s="538"/>
      <c r="DN135" s="538"/>
      <c r="DO135" s="538"/>
      <c r="DP135" s="538"/>
      <c r="DQ135" s="538"/>
      <c r="DR135" s="538"/>
      <c r="DS135" s="538"/>
      <c r="DT135" s="538"/>
      <c r="DU135" s="538"/>
      <c r="DV135" s="538"/>
      <c r="DW135" s="538"/>
      <c r="DX135" s="538"/>
      <c r="DY135" s="538"/>
      <c r="DZ135" s="538"/>
      <c r="EA135" s="538"/>
      <c r="EB135" s="538"/>
      <c r="EC135" s="538"/>
      <c r="ED135" s="538"/>
      <c r="EE135" s="538"/>
      <c r="EF135" s="538"/>
      <c r="EG135" s="538"/>
      <c r="EH135" s="538"/>
      <c r="EI135" s="538"/>
      <c r="EJ135" s="538"/>
      <c r="EK135" s="538"/>
      <c r="EL135" s="538"/>
      <c r="EM135" s="538"/>
      <c r="EN135" s="538"/>
      <c r="EO135" s="538"/>
      <c r="EP135" s="538"/>
      <c r="EQ135" s="538"/>
      <c r="ER135" s="538"/>
      <c r="ES135" s="538"/>
      <c r="ET135" s="538"/>
      <c r="EU135" s="538"/>
      <c r="EV135" s="538"/>
      <c r="EW135" s="538"/>
      <c r="EX135" s="559"/>
      <c r="EY135" s="559"/>
      <c r="EZ135" s="559"/>
      <c r="FA135" s="559"/>
      <c r="FB135" s="559"/>
      <c r="FC135" s="559"/>
      <c r="FD135" s="559"/>
      <c r="FE135" s="559"/>
      <c r="FF135" s="559"/>
      <c r="FG135" s="559"/>
      <c r="FH135" s="559"/>
      <c r="FI135" s="559"/>
      <c r="FJ135" s="559"/>
      <c r="FK135" s="559"/>
      <c r="FL135" s="559"/>
      <c r="FM135" s="559"/>
      <c r="FN135" s="559"/>
      <c r="FO135" s="559"/>
      <c r="FP135" s="559"/>
      <c r="FQ135" s="559"/>
      <c r="FR135" s="559"/>
      <c r="FS135" s="559"/>
      <c r="FT135" s="559"/>
      <c r="FU135" s="559"/>
      <c r="FV135" s="559"/>
      <c r="FW135" s="559"/>
      <c r="FX135" s="559"/>
      <c r="FY135" s="559"/>
      <c r="FZ135" s="559"/>
      <c r="GA135" s="559"/>
      <c r="GB135" s="559"/>
      <c r="GC135" s="559"/>
      <c r="GD135" s="559"/>
      <c r="GE135" s="559"/>
      <c r="GF135" s="559"/>
      <c r="GG135" s="559"/>
      <c r="GH135" s="559"/>
    </row>
    <row r="136">
      <c r="A136" s="538"/>
      <c r="B136" s="156"/>
      <c r="C136" s="444"/>
      <c r="D136" s="614"/>
      <c r="E136" s="68"/>
      <c r="F136" s="644"/>
      <c r="G136" s="644"/>
      <c r="H136" s="627"/>
      <c r="I136" s="622" t="s">
        <v>365</v>
      </c>
      <c r="J136" s="607"/>
      <c r="K136" s="641"/>
      <c r="L136" s="628"/>
      <c r="M136" s="626"/>
      <c r="N136" s="619"/>
      <c r="O136" s="560"/>
      <c r="P136" s="47"/>
      <c r="Q136" s="47"/>
      <c r="S136" s="572"/>
      <c r="U136" s="573"/>
      <c r="V136" s="574"/>
      <c r="W136" s="618"/>
      <c r="X136" s="576">
        <v>0.0</v>
      </c>
      <c r="Y136" s="630">
        <v>0.0</v>
      </c>
      <c r="Z136" s="630" t="s">
        <v>365</v>
      </c>
      <c r="AA136" s="631" t="b">
        <v>0</v>
      </c>
      <c r="AB136" s="631"/>
      <c r="AC136" s="576"/>
      <c r="AD136" s="479">
        <v>0.0</v>
      </c>
      <c r="AE136" s="632"/>
      <c r="AF136" s="582" t="s">
        <v>365</v>
      </c>
      <c r="AG136" s="583"/>
      <c r="AH136" s="584"/>
      <c r="AI136" s="583"/>
      <c r="AJ136" s="585"/>
      <c r="AK136" s="583"/>
      <c r="AL136" s="584"/>
      <c r="AM136" s="583"/>
      <c r="AN136" s="585"/>
      <c r="AO136" s="583"/>
      <c r="AP136" s="584"/>
      <c r="AQ136" s="583"/>
      <c r="AR136" s="585"/>
      <c r="AS136" s="583"/>
      <c r="AT136" s="584"/>
      <c r="AU136" s="583"/>
      <c r="AV136" s="585"/>
      <c r="AW136" s="583"/>
      <c r="AX136" s="584"/>
      <c r="AY136" s="583"/>
      <c r="AZ136" s="585"/>
      <c r="BA136" s="583"/>
      <c r="BB136" s="584"/>
      <c r="BC136" s="583"/>
      <c r="BD136" s="585"/>
      <c r="BE136" s="583"/>
      <c r="BF136" s="584"/>
      <c r="BG136" s="583"/>
      <c r="BH136" s="585"/>
      <c r="BI136" s="583"/>
      <c r="BJ136" s="584"/>
      <c r="BK136" s="583"/>
      <c r="BL136" s="585"/>
      <c r="BM136" s="583"/>
      <c r="BN136" s="584"/>
      <c r="BO136" s="583"/>
      <c r="BP136" s="585"/>
      <c r="BQ136" s="583"/>
      <c r="BR136" s="584"/>
      <c r="BS136" s="583"/>
      <c r="BT136" s="586"/>
      <c r="BU136" s="540"/>
      <c r="BV136" s="540"/>
      <c r="BW136" s="540"/>
      <c r="BX136" s="538"/>
      <c r="BY136" s="538"/>
      <c r="BZ136" s="592"/>
      <c r="CA136" s="633"/>
      <c r="CB136" s="592" t="s">
        <v>365</v>
      </c>
      <c r="CC136" s="592">
        <v>0.0</v>
      </c>
      <c r="CD136" s="592" t="s">
        <v>365</v>
      </c>
      <c r="CE136" s="592">
        <v>0.0</v>
      </c>
      <c r="CF136" s="592"/>
      <c r="CG136" s="592">
        <v>0.0</v>
      </c>
      <c r="CH136" s="592"/>
      <c r="CI136" s="633"/>
      <c r="CJ136" s="592">
        <v>0.0</v>
      </c>
      <c r="CK136" s="479" t="s">
        <v>365</v>
      </c>
      <c r="CL136" s="592"/>
      <c r="CM136" s="593"/>
      <c r="CN136" s="538"/>
      <c r="CO136" s="538"/>
      <c r="CP136" s="538"/>
      <c r="CQ136" s="538"/>
      <c r="CR136" s="538"/>
      <c r="CS136" s="538"/>
      <c r="CT136" s="538"/>
      <c r="CU136" s="538"/>
      <c r="CV136" s="538"/>
      <c r="CW136" s="538"/>
      <c r="CX136" s="538"/>
      <c r="CY136" s="538"/>
      <c r="CZ136" s="538"/>
      <c r="DA136" s="538"/>
      <c r="DB136" s="538"/>
      <c r="DC136" s="538"/>
      <c r="DD136" s="538"/>
      <c r="DE136" s="538"/>
      <c r="DF136" s="538"/>
      <c r="DG136" s="538"/>
      <c r="DH136" s="538"/>
      <c r="DI136" s="538"/>
      <c r="DJ136" s="538"/>
      <c r="DK136" s="538"/>
      <c r="DL136" s="538"/>
      <c r="DM136" s="538"/>
      <c r="DN136" s="538"/>
      <c r="DO136" s="538"/>
      <c r="DP136" s="538"/>
      <c r="DQ136" s="538"/>
      <c r="DR136" s="538"/>
      <c r="DS136" s="538"/>
      <c r="DT136" s="538"/>
      <c r="DU136" s="538"/>
      <c r="DV136" s="538"/>
      <c r="DW136" s="538"/>
      <c r="DX136" s="538"/>
      <c r="DY136" s="538"/>
      <c r="DZ136" s="538"/>
      <c r="EA136" s="538"/>
      <c r="EB136" s="538"/>
      <c r="EC136" s="538"/>
      <c r="ED136" s="538"/>
      <c r="EE136" s="538"/>
      <c r="EF136" s="538"/>
      <c r="EG136" s="538"/>
      <c r="EH136" s="538"/>
      <c r="EI136" s="538"/>
      <c r="EJ136" s="538"/>
      <c r="EK136" s="538"/>
      <c r="EL136" s="538"/>
      <c r="EM136" s="538"/>
      <c r="EN136" s="538"/>
      <c r="EO136" s="538"/>
      <c r="EP136" s="538"/>
      <c r="EQ136" s="538"/>
      <c r="ER136" s="538"/>
      <c r="ES136" s="538"/>
      <c r="ET136" s="538"/>
      <c r="EU136" s="538"/>
      <c r="EV136" s="538"/>
      <c r="EW136" s="538"/>
      <c r="EX136" s="559"/>
      <c r="EY136" s="559"/>
      <c r="EZ136" s="559"/>
      <c r="FA136" s="559"/>
      <c r="FB136" s="559"/>
      <c r="FC136" s="559"/>
      <c r="FD136" s="559"/>
      <c r="FE136" s="559"/>
      <c r="FF136" s="559"/>
      <c r="FG136" s="559"/>
      <c r="FH136" s="559"/>
      <c r="FI136" s="559"/>
      <c r="FJ136" s="559"/>
      <c r="FK136" s="559"/>
      <c r="FL136" s="559"/>
      <c r="FM136" s="559"/>
      <c r="FN136" s="559"/>
      <c r="FO136" s="559"/>
      <c r="FP136" s="559"/>
      <c r="FQ136" s="559"/>
      <c r="FR136" s="559"/>
      <c r="FS136" s="559"/>
      <c r="FT136" s="559"/>
      <c r="FU136" s="559"/>
      <c r="FV136" s="559"/>
      <c r="FW136" s="559"/>
      <c r="FX136" s="559"/>
      <c r="FY136" s="559"/>
      <c r="FZ136" s="559"/>
      <c r="GA136" s="559"/>
      <c r="GB136" s="559"/>
      <c r="GC136" s="559"/>
      <c r="GD136" s="559"/>
      <c r="GE136" s="559"/>
      <c r="GF136" s="559"/>
      <c r="GG136" s="559"/>
      <c r="GH136" s="559"/>
    </row>
    <row r="137">
      <c r="A137" s="538"/>
      <c r="B137" s="156"/>
      <c r="C137" s="444"/>
      <c r="D137" s="614"/>
      <c r="E137" s="66"/>
      <c r="F137" s="642"/>
      <c r="G137" s="642"/>
      <c r="H137" s="615"/>
      <c r="I137" s="616" t="s">
        <v>365</v>
      </c>
      <c r="J137" s="624"/>
      <c r="K137" s="643"/>
      <c r="L137" s="640"/>
      <c r="M137" s="625"/>
      <c r="N137" s="617"/>
      <c r="O137" s="134"/>
      <c r="P137" s="57"/>
      <c r="Q137" s="57"/>
      <c r="S137" s="605"/>
      <c r="U137" s="573"/>
      <c r="V137" s="574"/>
      <c r="W137" s="618"/>
      <c r="X137" s="576">
        <v>0.0</v>
      </c>
      <c r="Y137" s="630">
        <v>0.0</v>
      </c>
      <c r="Z137" s="630" t="s">
        <v>365</v>
      </c>
      <c r="AA137" s="631" t="b">
        <v>0</v>
      </c>
      <c r="AB137" s="631"/>
      <c r="AC137" s="576"/>
      <c r="AD137" s="479">
        <v>0.0</v>
      </c>
      <c r="AE137" s="632"/>
      <c r="AF137" s="582" t="s">
        <v>365</v>
      </c>
      <c r="AG137" s="583"/>
      <c r="AH137" s="584"/>
      <c r="AI137" s="583"/>
      <c r="AJ137" s="585"/>
      <c r="AK137" s="583"/>
      <c r="AL137" s="584"/>
      <c r="AM137" s="583"/>
      <c r="AN137" s="585"/>
      <c r="AO137" s="583"/>
      <c r="AP137" s="584"/>
      <c r="AQ137" s="583"/>
      <c r="AR137" s="585"/>
      <c r="AS137" s="583"/>
      <c r="AT137" s="584"/>
      <c r="AU137" s="583"/>
      <c r="AV137" s="585"/>
      <c r="AW137" s="583"/>
      <c r="AX137" s="584"/>
      <c r="AY137" s="583"/>
      <c r="AZ137" s="585"/>
      <c r="BA137" s="583"/>
      <c r="BB137" s="584"/>
      <c r="BC137" s="583"/>
      <c r="BD137" s="585"/>
      <c r="BE137" s="583"/>
      <c r="BF137" s="584"/>
      <c r="BG137" s="583"/>
      <c r="BH137" s="585"/>
      <c r="BI137" s="583"/>
      <c r="BJ137" s="584"/>
      <c r="BK137" s="583"/>
      <c r="BL137" s="585"/>
      <c r="BM137" s="583"/>
      <c r="BN137" s="584"/>
      <c r="BO137" s="583"/>
      <c r="BP137" s="585"/>
      <c r="BQ137" s="583"/>
      <c r="BR137" s="584"/>
      <c r="BS137" s="583"/>
      <c r="BT137" s="586"/>
      <c r="BU137" s="540"/>
      <c r="BV137" s="540"/>
      <c r="BW137" s="540"/>
      <c r="BX137" s="538"/>
      <c r="BY137" s="538"/>
      <c r="BZ137" s="592"/>
      <c r="CA137" s="633"/>
      <c r="CB137" s="592" t="s">
        <v>365</v>
      </c>
      <c r="CC137" s="592">
        <v>0.0</v>
      </c>
      <c r="CD137" s="592" t="s">
        <v>365</v>
      </c>
      <c r="CE137" s="592">
        <v>0.0</v>
      </c>
      <c r="CF137" s="592"/>
      <c r="CG137" s="592">
        <v>0.0</v>
      </c>
      <c r="CH137" s="592"/>
      <c r="CI137" s="633"/>
      <c r="CJ137" s="592">
        <v>0.0</v>
      </c>
      <c r="CK137" s="479" t="s">
        <v>365</v>
      </c>
      <c r="CL137" s="592"/>
      <c r="CM137" s="593"/>
      <c r="CN137" s="538"/>
      <c r="CO137" s="538"/>
      <c r="CP137" s="538"/>
      <c r="CQ137" s="538"/>
      <c r="CR137" s="538"/>
      <c r="CS137" s="538"/>
      <c r="CT137" s="538"/>
      <c r="CU137" s="538"/>
      <c r="CV137" s="538"/>
      <c r="CW137" s="538"/>
      <c r="CX137" s="538"/>
      <c r="CY137" s="538"/>
      <c r="CZ137" s="538"/>
      <c r="DA137" s="538"/>
      <c r="DB137" s="538"/>
      <c r="DC137" s="538"/>
      <c r="DD137" s="538"/>
      <c r="DE137" s="538"/>
      <c r="DF137" s="538"/>
      <c r="DG137" s="538"/>
      <c r="DH137" s="538"/>
      <c r="DI137" s="538"/>
      <c r="DJ137" s="538"/>
      <c r="DK137" s="538"/>
      <c r="DL137" s="538"/>
      <c r="DM137" s="538"/>
      <c r="DN137" s="538"/>
      <c r="DO137" s="538"/>
      <c r="DP137" s="538"/>
      <c r="DQ137" s="538"/>
      <c r="DR137" s="538"/>
      <c r="DS137" s="538"/>
      <c r="DT137" s="538"/>
      <c r="DU137" s="538"/>
      <c r="DV137" s="538"/>
      <c r="DW137" s="538"/>
      <c r="DX137" s="538"/>
      <c r="DY137" s="538"/>
      <c r="DZ137" s="538"/>
      <c r="EA137" s="538"/>
      <c r="EB137" s="538"/>
      <c r="EC137" s="538"/>
      <c r="ED137" s="538"/>
      <c r="EE137" s="538"/>
      <c r="EF137" s="538"/>
      <c r="EG137" s="538"/>
      <c r="EH137" s="538"/>
      <c r="EI137" s="538"/>
      <c r="EJ137" s="538"/>
      <c r="EK137" s="538"/>
      <c r="EL137" s="538"/>
      <c r="EM137" s="538"/>
      <c r="EN137" s="538"/>
      <c r="EO137" s="538"/>
      <c r="EP137" s="538"/>
      <c r="EQ137" s="538"/>
      <c r="ER137" s="538"/>
      <c r="ES137" s="538"/>
      <c r="ET137" s="538"/>
      <c r="EU137" s="538"/>
      <c r="EV137" s="538"/>
      <c r="EW137" s="538"/>
      <c r="EX137" s="559"/>
      <c r="EY137" s="559"/>
      <c r="EZ137" s="559"/>
      <c r="FA137" s="559"/>
      <c r="FB137" s="559"/>
      <c r="FC137" s="559"/>
      <c r="FD137" s="559"/>
      <c r="FE137" s="559"/>
      <c r="FF137" s="559"/>
      <c r="FG137" s="559"/>
      <c r="FH137" s="559"/>
      <c r="FI137" s="559"/>
      <c r="FJ137" s="559"/>
      <c r="FK137" s="559"/>
      <c r="FL137" s="559"/>
      <c r="FM137" s="559"/>
      <c r="FN137" s="559"/>
      <c r="FO137" s="559"/>
      <c r="FP137" s="559"/>
      <c r="FQ137" s="559"/>
      <c r="FR137" s="559"/>
      <c r="FS137" s="559"/>
      <c r="FT137" s="559"/>
      <c r="FU137" s="559"/>
      <c r="FV137" s="559"/>
      <c r="FW137" s="559"/>
      <c r="FX137" s="559"/>
      <c r="FY137" s="559"/>
      <c r="FZ137" s="559"/>
      <c r="GA137" s="559"/>
      <c r="GB137" s="559"/>
      <c r="GC137" s="559"/>
      <c r="GD137" s="559"/>
      <c r="GE137" s="559"/>
      <c r="GF137" s="559"/>
      <c r="GG137" s="559"/>
      <c r="GH137" s="559"/>
    </row>
    <row r="138">
      <c r="A138" s="538"/>
      <c r="B138" s="156"/>
      <c r="C138" s="444"/>
      <c r="D138" s="614"/>
      <c r="E138" s="68"/>
      <c r="F138" s="644"/>
      <c r="G138" s="644"/>
      <c r="H138" s="627"/>
      <c r="I138" s="622" t="s">
        <v>365</v>
      </c>
      <c r="J138" s="607"/>
      <c r="K138" s="641"/>
      <c r="L138" s="628"/>
      <c r="M138" s="626"/>
      <c r="N138" s="619"/>
      <c r="O138" s="560"/>
      <c r="P138" s="47"/>
      <c r="Q138" s="47"/>
      <c r="S138" s="572"/>
      <c r="U138" s="573"/>
      <c r="V138" s="574"/>
      <c r="W138" s="618"/>
      <c r="X138" s="576">
        <v>0.0</v>
      </c>
      <c r="Y138" s="630">
        <v>0.0</v>
      </c>
      <c r="Z138" s="630" t="s">
        <v>365</v>
      </c>
      <c r="AA138" s="631" t="b">
        <v>0</v>
      </c>
      <c r="AB138" s="631"/>
      <c r="AC138" s="576"/>
      <c r="AD138" s="479">
        <v>0.0</v>
      </c>
      <c r="AE138" s="632"/>
      <c r="AF138" s="582" t="s">
        <v>365</v>
      </c>
      <c r="AG138" s="583"/>
      <c r="AH138" s="584"/>
      <c r="AI138" s="583"/>
      <c r="AJ138" s="585"/>
      <c r="AK138" s="583"/>
      <c r="AL138" s="584"/>
      <c r="AM138" s="583"/>
      <c r="AN138" s="585"/>
      <c r="AO138" s="583"/>
      <c r="AP138" s="584"/>
      <c r="AQ138" s="583"/>
      <c r="AR138" s="585"/>
      <c r="AS138" s="583"/>
      <c r="AT138" s="584"/>
      <c r="AU138" s="583"/>
      <c r="AV138" s="585"/>
      <c r="AW138" s="583"/>
      <c r="AX138" s="584"/>
      <c r="AY138" s="583"/>
      <c r="AZ138" s="585"/>
      <c r="BA138" s="583"/>
      <c r="BB138" s="584"/>
      <c r="BC138" s="583"/>
      <c r="BD138" s="585"/>
      <c r="BE138" s="583"/>
      <c r="BF138" s="584"/>
      <c r="BG138" s="583"/>
      <c r="BH138" s="585"/>
      <c r="BI138" s="583"/>
      <c r="BJ138" s="584"/>
      <c r="BK138" s="583"/>
      <c r="BL138" s="585"/>
      <c r="BM138" s="583"/>
      <c r="BN138" s="584"/>
      <c r="BO138" s="583"/>
      <c r="BP138" s="585"/>
      <c r="BQ138" s="583"/>
      <c r="BR138" s="584"/>
      <c r="BS138" s="583"/>
      <c r="BT138" s="586"/>
      <c r="BU138" s="540"/>
      <c r="BV138" s="540"/>
      <c r="BW138" s="540"/>
      <c r="BX138" s="538"/>
      <c r="BY138" s="538"/>
      <c r="BZ138" s="592"/>
      <c r="CA138" s="633"/>
      <c r="CB138" s="592" t="s">
        <v>365</v>
      </c>
      <c r="CC138" s="592">
        <v>0.0</v>
      </c>
      <c r="CD138" s="592" t="s">
        <v>365</v>
      </c>
      <c r="CE138" s="592">
        <v>0.0</v>
      </c>
      <c r="CF138" s="592"/>
      <c r="CG138" s="592">
        <v>0.0</v>
      </c>
      <c r="CH138" s="592"/>
      <c r="CI138" s="633"/>
      <c r="CJ138" s="592">
        <v>0.0</v>
      </c>
      <c r="CK138" s="479" t="s">
        <v>365</v>
      </c>
      <c r="CL138" s="592"/>
      <c r="CM138" s="593"/>
      <c r="CN138" s="538"/>
      <c r="CO138" s="538"/>
      <c r="CP138" s="538"/>
      <c r="CQ138" s="538"/>
      <c r="CR138" s="538"/>
      <c r="CS138" s="538"/>
      <c r="CT138" s="538"/>
      <c r="CU138" s="538"/>
      <c r="CV138" s="538"/>
      <c r="CW138" s="538"/>
      <c r="CX138" s="538"/>
      <c r="CY138" s="538"/>
      <c r="CZ138" s="538"/>
      <c r="DA138" s="538"/>
      <c r="DB138" s="538"/>
      <c r="DC138" s="538"/>
      <c r="DD138" s="538"/>
      <c r="DE138" s="538"/>
      <c r="DF138" s="538"/>
      <c r="DG138" s="538"/>
      <c r="DH138" s="538"/>
      <c r="DI138" s="538"/>
      <c r="DJ138" s="538"/>
      <c r="DK138" s="538"/>
      <c r="DL138" s="538"/>
      <c r="DM138" s="538"/>
      <c r="DN138" s="538"/>
      <c r="DO138" s="538"/>
      <c r="DP138" s="538"/>
      <c r="DQ138" s="538"/>
      <c r="DR138" s="538"/>
      <c r="DS138" s="538"/>
      <c r="DT138" s="538"/>
      <c r="DU138" s="538"/>
      <c r="DV138" s="538"/>
      <c r="DW138" s="538"/>
      <c r="DX138" s="538"/>
      <c r="DY138" s="538"/>
      <c r="DZ138" s="538"/>
      <c r="EA138" s="538"/>
      <c r="EB138" s="538"/>
      <c r="EC138" s="538"/>
      <c r="ED138" s="538"/>
      <c r="EE138" s="538"/>
      <c r="EF138" s="538"/>
      <c r="EG138" s="538"/>
      <c r="EH138" s="538"/>
      <c r="EI138" s="538"/>
      <c r="EJ138" s="538"/>
      <c r="EK138" s="538"/>
      <c r="EL138" s="538"/>
      <c r="EM138" s="538"/>
      <c r="EN138" s="538"/>
      <c r="EO138" s="538"/>
      <c r="EP138" s="538"/>
      <c r="EQ138" s="538"/>
      <c r="ER138" s="538"/>
      <c r="ES138" s="538"/>
      <c r="ET138" s="538"/>
      <c r="EU138" s="538"/>
      <c r="EV138" s="538"/>
      <c r="EW138" s="538"/>
      <c r="EX138" s="559"/>
      <c r="EY138" s="559"/>
      <c r="EZ138" s="559"/>
      <c r="FA138" s="559"/>
      <c r="FB138" s="559"/>
      <c r="FC138" s="559"/>
      <c r="FD138" s="559"/>
      <c r="FE138" s="559"/>
      <c r="FF138" s="559"/>
      <c r="FG138" s="559"/>
      <c r="FH138" s="559"/>
      <c r="FI138" s="559"/>
      <c r="FJ138" s="559"/>
      <c r="FK138" s="559"/>
      <c r="FL138" s="559"/>
      <c r="FM138" s="559"/>
      <c r="FN138" s="559"/>
      <c r="FO138" s="559"/>
      <c r="FP138" s="559"/>
      <c r="FQ138" s="559"/>
      <c r="FR138" s="559"/>
      <c r="FS138" s="559"/>
      <c r="FT138" s="559"/>
      <c r="FU138" s="559"/>
      <c r="FV138" s="559"/>
      <c r="FW138" s="559"/>
      <c r="FX138" s="559"/>
      <c r="FY138" s="559"/>
      <c r="FZ138" s="559"/>
      <c r="GA138" s="559"/>
      <c r="GB138" s="559"/>
      <c r="GC138" s="559"/>
      <c r="GD138" s="559"/>
      <c r="GE138" s="559"/>
      <c r="GF138" s="559"/>
      <c r="GG138" s="559"/>
      <c r="GH138" s="559"/>
    </row>
    <row r="139">
      <c r="A139" s="538"/>
      <c r="B139" s="156"/>
      <c r="C139" s="444"/>
      <c r="D139" s="614"/>
      <c r="E139" s="66"/>
      <c r="F139" s="642"/>
      <c r="G139" s="642"/>
      <c r="H139" s="615"/>
      <c r="I139" s="616" t="s">
        <v>365</v>
      </c>
      <c r="J139" s="624"/>
      <c r="K139" s="643"/>
      <c r="L139" s="640"/>
      <c r="M139" s="625"/>
      <c r="N139" s="617"/>
      <c r="O139" s="134"/>
      <c r="P139" s="57"/>
      <c r="Q139" s="57"/>
      <c r="S139" s="605"/>
      <c r="U139" s="573"/>
      <c r="V139" s="574"/>
      <c r="W139" s="618"/>
      <c r="X139" s="576">
        <v>0.0</v>
      </c>
      <c r="Y139" s="630">
        <v>0.0</v>
      </c>
      <c r="Z139" s="630" t="s">
        <v>365</v>
      </c>
      <c r="AA139" s="631" t="b">
        <v>0</v>
      </c>
      <c r="AB139" s="631"/>
      <c r="AC139" s="576"/>
      <c r="AD139" s="479">
        <v>0.0</v>
      </c>
      <c r="AE139" s="632"/>
      <c r="AF139" s="582" t="s">
        <v>365</v>
      </c>
      <c r="AG139" s="583"/>
      <c r="AH139" s="584"/>
      <c r="AI139" s="583"/>
      <c r="AJ139" s="585"/>
      <c r="AK139" s="583"/>
      <c r="AL139" s="584"/>
      <c r="AM139" s="583"/>
      <c r="AN139" s="585"/>
      <c r="AO139" s="583"/>
      <c r="AP139" s="584"/>
      <c r="AQ139" s="583"/>
      <c r="AR139" s="585"/>
      <c r="AS139" s="583"/>
      <c r="AT139" s="584"/>
      <c r="AU139" s="583"/>
      <c r="AV139" s="585"/>
      <c r="AW139" s="583"/>
      <c r="AX139" s="584"/>
      <c r="AY139" s="583"/>
      <c r="AZ139" s="585"/>
      <c r="BA139" s="583"/>
      <c r="BB139" s="584"/>
      <c r="BC139" s="583"/>
      <c r="BD139" s="585"/>
      <c r="BE139" s="583"/>
      <c r="BF139" s="584"/>
      <c r="BG139" s="583"/>
      <c r="BH139" s="585"/>
      <c r="BI139" s="583"/>
      <c r="BJ139" s="584"/>
      <c r="BK139" s="583"/>
      <c r="BL139" s="585"/>
      <c r="BM139" s="583"/>
      <c r="BN139" s="584"/>
      <c r="BO139" s="583"/>
      <c r="BP139" s="585"/>
      <c r="BQ139" s="583"/>
      <c r="BR139" s="584"/>
      <c r="BS139" s="583"/>
      <c r="BT139" s="586"/>
      <c r="BU139" s="540"/>
      <c r="BV139" s="540"/>
      <c r="BW139" s="540"/>
      <c r="BX139" s="538"/>
      <c r="BY139" s="538"/>
      <c r="BZ139" s="592"/>
      <c r="CA139" s="633"/>
      <c r="CB139" s="592" t="s">
        <v>365</v>
      </c>
      <c r="CC139" s="592">
        <v>0.0</v>
      </c>
      <c r="CD139" s="592" t="s">
        <v>365</v>
      </c>
      <c r="CE139" s="592">
        <v>0.0</v>
      </c>
      <c r="CF139" s="592"/>
      <c r="CG139" s="592">
        <v>0.0</v>
      </c>
      <c r="CH139" s="592"/>
      <c r="CI139" s="633"/>
      <c r="CJ139" s="592">
        <v>0.0</v>
      </c>
      <c r="CK139" s="479" t="s">
        <v>365</v>
      </c>
      <c r="CL139" s="592"/>
      <c r="CM139" s="593"/>
      <c r="CN139" s="538"/>
      <c r="CO139" s="538"/>
      <c r="CP139" s="538"/>
      <c r="CQ139" s="538"/>
      <c r="CR139" s="538"/>
      <c r="CS139" s="538"/>
      <c r="CT139" s="538"/>
      <c r="CU139" s="538"/>
      <c r="CV139" s="538"/>
      <c r="CW139" s="538"/>
      <c r="CX139" s="538"/>
      <c r="CY139" s="538"/>
      <c r="CZ139" s="538"/>
      <c r="DA139" s="538"/>
      <c r="DB139" s="538"/>
      <c r="DC139" s="538"/>
      <c r="DD139" s="538"/>
      <c r="DE139" s="538"/>
      <c r="DF139" s="538"/>
      <c r="DG139" s="538"/>
      <c r="DH139" s="538"/>
      <c r="DI139" s="538"/>
      <c r="DJ139" s="538"/>
      <c r="DK139" s="538"/>
      <c r="DL139" s="538"/>
      <c r="DM139" s="538"/>
      <c r="DN139" s="538"/>
      <c r="DO139" s="538"/>
      <c r="DP139" s="538"/>
      <c r="DQ139" s="538"/>
      <c r="DR139" s="538"/>
      <c r="DS139" s="538"/>
      <c r="DT139" s="538"/>
      <c r="DU139" s="538"/>
      <c r="DV139" s="538"/>
      <c r="DW139" s="538"/>
      <c r="DX139" s="538"/>
      <c r="DY139" s="538"/>
      <c r="DZ139" s="538"/>
      <c r="EA139" s="538"/>
      <c r="EB139" s="538"/>
      <c r="EC139" s="538"/>
      <c r="ED139" s="538"/>
      <c r="EE139" s="538"/>
      <c r="EF139" s="538"/>
      <c r="EG139" s="538"/>
      <c r="EH139" s="538"/>
      <c r="EI139" s="538"/>
      <c r="EJ139" s="538"/>
      <c r="EK139" s="538"/>
      <c r="EL139" s="538"/>
      <c r="EM139" s="538"/>
      <c r="EN139" s="538"/>
      <c r="EO139" s="538"/>
      <c r="EP139" s="538"/>
      <c r="EQ139" s="538"/>
      <c r="ER139" s="538"/>
      <c r="ES139" s="538"/>
      <c r="ET139" s="538"/>
      <c r="EU139" s="538"/>
      <c r="EV139" s="538"/>
      <c r="EW139" s="538"/>
      <c r="EX139" s="559"/>
      <c r="EY139" s="559"/>
      <c r="EZ139" s="559"/>
      <c r="FA139" s="559"/>
      <c r="FB139" s="559"/>
      <c r="FC139" s="559"/>
      <c r="FD139" s="559"/>
      <c r="FE139" s="559"/>
      <c r="FF139" s="559"/>
      <c r="FG139" s="559"/>
      <c r="FH139" s="559"/>
      <c r="FI139" s="559"/>
      <c r="FJ139" s="559"/>
      <c r="FK139" s="559"/>
      <c r="FL139" s="559"/>
      <c r="FM139" s="559"/>
      <c r="FN139" s="559"/>
      <c r="FO139" s="559"/>
      <c r="FP139" s="559"/>
      <c r="FQ139" s="559"/>
      <c r="FR139" s="559"/>
      <c r="FS139" s="559"/>
      <c r="FT139" s="559"/>
      <c r="FU139" s="559"/>
      <c r="FV139" s="559"/>
      <c r="FW139" s="559"/>
      <c r="FX139" s="559"/>
      <c r="FY139" s="559"/>
      <c r="FZ139" s="559"/>
      <c r="GA139" s="559"/>
      <c r="GB139" s="559"/>
      <c r="GC139" s="559"/>
      <c r="GD139" s="559"/>
      <c r="GE139" s="559"/>
      <c r="GF139" s="559"/>
      <c r="GG139" s="559"/>
      <c r="GH139" s="559"/>
    </row>
    <row r="140">
      <c r="A140" s="538"/>
      <c r="B140" s="156"/>
      <c r="C140" s="444"/>
      <c r="D140" s="614"/>
      <c r="E140" s="68"/>
      <c r="F140" s="644"/>
      <c r="G140" s="644"/>
      <c r="H140" s="627"/>
      <c r="I140" s="622" t="s">
        <v>365</v>
      </c>
      <c r="J140" s="607"/>
      <c r="K140" s="641"/>
      <c r="L140" s="628"/>
      <c r="M140" s="626"/>
      <c r="N140" s="619"/>
      <c r="O140" s="560"/>
      <c r="P140" s="47"/>
      <c r="Q140" s="47"/>
      <c r="S140" s="572"/>
      <c r="U140" s="573"/>
      <c r="V140" s="574"/>
      <c r="W140" s="618"/>
      <c r="X140" s="576">
        <v>0.0</v>
      </c>
      <c r="Y140" s="630">
        <v>0.0</v>
      </c>
      <c r="Z140" s="630" t="s">
        <v>365</v>
      </c>
      <c r="AA140" s="631" t="b">
        <v>0</v>
      </c>
      <c r="AB140" s="631"/>
      <c r="AC140" s="576"/>
      <c r="AD140" s="479">
        <v>0.0</v>
      </c>
      <c r="AE140" s="632"/>
      <c r="AF140" s="582" t="s">
        <v>365</v>
      </c>
      <c r="AG140" s="583"/>
      <c r="AH140" s="584"/>
      <c r="AI140" s="583"/>
      <c r="AJ140" s="585"/>
      <c r="AK140" s="583"/>
      <c r="AL140" s="584"/>
      <c r="AM140" s="583"/>
      <c r="AN140" s="585"/>
      <c r="AO140" s="583"/>
      <c r="AP140" s="584"/>
      <c r="AQ140" s="583"/>
      <c r="AR140" s="585"/>
      <c r="AS140" s="583"/>
      <c r="AT140" s="584"/>
      <c r="AU140" s="583"/>
      <c r="AV140" s="585"/>
      <c r="AW140" s="583"/>
      <c r="AX140" s="584"/>
      <c r="AY140" s="583"/>
      <c r="AZ140" s="585"/>
      <c r="BA140" s="583"/>
      <c r="BB140" s="584"/>
      <c r="BC140" s="583"/>
      <c r="BD140" s="585"/>
      <c r="BE140" s="583"/>
      <c r="BF140" s="584"/>
      <c r="BG140" s="583"/>
      <c r="BH140" s="585"/>
      <c r="BI140" s="583"/>
      <c r="BJ140" s="584"/>
      <c r="BK140" s="583"/>
      <c r="BL140" s="585"/>
      <c r="BM140" s="583"/>
      <c r="BN140" s="584"/>
      <c r="BO140" s="583"/>
      <c r="BP140" s="585"/>
      <c r="BQ140" s="583"/>
      <c r="BR140" s="584"/>
      <c r="BS140" s="583"/>
      <c r="BT140" s="586"/>
      <c r="BU140" s="540"/>
      <c r="BV140" s="540"/>
      <c r="BW140" s="540"/>
      <c r="BX140" s="538"/>
      <c r="BY140" s="538"/>
      <c r="BZ140" s="592"/>
      <c r="CA140" s="633"/>
      <c r="CB140" s="592" t="s">
        <v>365</v>
      </c>
      <c r="CC140" s="592">
        <v>0.0</v>
      </c>
      <c r="CD140" s="592" t="s">
        <v>365</v>
      </c>
      <c r="CE140" s="592">
        <v>0.0</v>
      </c>
      <c r="CF140" s="592"/>
      <c r="CG140" s="592">
        <v>0.0</v>
      </c>
      <c r="CH140" s="592"/>
      <c r="CI140" s="633"/>
      <c r="CJ140" s="592">
        <v>0.0</v>
      </c>
      <c r="CK140" s="479" t="s">
        <v>365</v>
      </c>
      <c r="CL140" s="592"/>
      <c r="CM140" s="593"/>
      <c r="CN140" s="538"/>
      <c r="CO140" s="538"/>
      <c r="CP140" s="538"/>
      <c r="CQ140" s="538"/>
      <c r="CR140" s="538"/>
      <c r="CS140" s="538"/>
      <c r="CT140" s="538"/>
      <c r="CU140" s="538"/>
      <c r="CV140" s="538"/>
      <c r="CW140" s="538"/>
      <c r="CX140" s="538"/>
      <c r="CY140" s="538"/>
      <c r="CZ140" s="538"/>
      <c r="DA140" s="538"/>
      <c r="DB140" s="538"/>
      <c r="DC140" s="538"/>
      <c r="DD140" s="538"/>
      <c r="DE140" s="538"/>
      <c r="DF140" s="538"/>
      <c r="DG140" s="538"/>
      <c r="DH140" s="538"/>
      <c r="DI140" s="538"/>
      <c r="DJ140" s="538"/>
      <c r="DK140" s="538"/>
      <c r="DL140" s="538"/>
      <c r="DM140" s="538"/>
      <c r="DN140" s="538"/>
      <c r="DO140" s="538"/>
      <c r="DP140" s="538"/>
      <c r="DQ140" s="538"/>
      <c r="DR140" s="538"/>
      <c r="DS140" s="538"/>
      <c r="DT140" s="538"/>
      <c r="DU140" s="538"/>
      <c r="DV140" s="538"/>
      <c r="DW140" s="538"/>
      <c r="DX140" s="538"/>
      <c r="DY140" s="538"/>
      <c r="DZ140" s="538"/>
      <c r="EA140" s="538"/>
      <c r="EB140" s="538"/>
      <c r="EC140" s="538"/>
      <c r="ED140" s="538"/>
      <c r="EE140" s="538"/>
      <c r="EF140" s="538"/>
      <c r="EG140" s="538"/>
      <c r="EH140" s="538"/>
      <c r="EI140" s="538"/>
      <c r="EJ140" s="538"/>
      <c r="EK140" s="538"/>
      <c r="EL140" s="538"/>
      <c r="EM140" s="538"/>
      <c r="EN140" s="538"/>
      <c r="EO140" s="538"/>
      <c r="EP140" s="538"/>
      <c r="EQ140" s="538"/>
      <c r="ER140" s="538"/>
      <c r="ES140" s="538"/>
      <c r="ET140" s="538"/>
      <c r="EU140" s="538"/>
      <c r="EV140" s="538"/>
      <c r="EW140" s="538"/>
      <c r="EX140" s="559"/>
      <c r="EY140" s="559"/>
      <c r="EZ140" s="559"/>
      <c r="FA140" s="559"/>
      <c r="FB140" s="559"/>
      <c r="FC140" s="559"/>
      <c r="FD140" s="559"/>
      <c r="FE140" s="559"/>
      <c r="FF140" s="559"/>
      <c r="FG140" s="559"/>
      <c r="FH140" s="559"/>
      <c r="FI140" s="559"/>
      <c r="FJ140" s="559"/>
      <c r="FK140" s="559"/>
      <c r="FL140" s="559"/>
      <c r="FM140" s="559"/>
      <c r="FN140" s="559"/>
      <c r="FO140" s="559"/>
      <c r="FP140" s="559"/>
      <c r="FQ140" s="559"/>
      <c r="FR140" s="559"/>
      <c r="FS140" s="559"/>
      <c r="FT140" s="559"/>
      <c r="FU140" s="559"/>
      <c r="FV140" s="559"/>
      <c r="FW140" s="559"/>
      <c r="FX140" s="559"/>
      <c r="FY140" s="559"/>
      <c r="FZ140" s="559"/>
      <c r="GA140" s="559"/>
      <c r="GB140" s="559"/>
      <c r="GC140" s="559"/>
      <c r="GD140" s="559"/>
      <c r="GE140" s="559"/>
      <c r="GF140" s="559"/>
      <c r="GG140" s="559"/>
      <c r="GH140" s="559"/>
    </row>
    <row r="141">
      <c r="A141" s="538"/>
      <c r="B141" s="156"/>
      <c r="C141" s="444"/>
      <c r="D141" s="614"/>
      <c r="E141" s="66"/>
      <c r="F141" s="642"/>
      <c r="G141" s="642"/>
      <c r="H141" s="615"/>
      <c r="I141" s="616" t="s">
        <v>365</v>
      </c>
      <c r="J141" s="624"/>
      <c r="K141" s="643"/>
      <c r="L141" s="640"/>
      <c r="M141" s="625"/>
      <c r="N141" s="617"/>
      <c r="O141" s="134"/>
      <c r="P141" s="57"/>
      <c r="Q141" s="57"/>
      <c r="S141" s="605"/>
      <c r="U141" s="573"/>
      <c r="V141" s="574"/>
      <c r="W141" s="618"/>
      <c r="X141" s="576">
        <v>0.0</v>
      </c>
      <c r="Y141" s="630">
        <v>0.0</v>
      </c>
      <c r="Z141" s="630" t="s">
        <v>365</v>
      </c>
      <c r="AA141" s="631" t="b">
        <v>0</v>
      </c>
      <c r="AB141" s="631"/>
      <c r="AC141" s="576"/>
      <c r="AD141" s="479">
        <v>0.0</v>
      </c>
      <c r="AE141" s="632"/>
      <c r="AF141" s="582" t="s">
        <v>365</v>
      </c>
      <c r="AG141" s="583"/>
      <c r="AH141" s="584"/>
      <c r="AI141" s="583"/>
      <c r="AJ141" s="585"/>
      <c r="AK141" s="583"/>
      <c r="AL141" s="584"/>
      <c r="AM141" s="583"/>
      <c r="AN141" s="585"/>
      <c r="AO141" s="583"/>
      <c r="AP141" s="584"/>
      <c r="AQ141" s="583"/>
      <c r="AR141" s="585"/>
      <c r="AS141" s="583"/>
      <c r="AT141" s="584"/>
      <c r="AU141" s="583"/>
      <c r="AV141" s="585"/>
      <c r="AW141" s="583"/>
      <c r="AX141" s="584"/>
      <c r="AY141" s="583"/>
      <c r="AZ141" s="585"/>
      <c r="BA141" s="583"/>
      <c r="BB141" s="584"/>
      <c r="BC141" s="583"/>
      <c r="BD141" s="585"/>
      <c r="BE141" s="583"/>
      <c r="BF141" s="584"/>
      <c r="BG141" s="583"/>
      <c r="BH141" s="585"/>
      <c r="BI141" s="583"/>
      <c r="BJ141" s="584"/>
      <c r="BK141" s="583"/>
      <c r="BL141" s="585"/>
      <c r="BM141" s="583"/>
      <c r="BN141" s="584"/>
      <c r="BO141" s="583"/>
      <c r="BP141" s="585"/>
      <c r="BQ141" s="583"/>
      <c r="BR141" s="584"/>
      <c r="BS141" s="583"/>
      <c r="BT141" s="586"/>
      <c r="BU141" s="540"/>
      <c r="BV141" s="540"/>
      <c r="BW141" s="540"/>
      <c r="BX141" s="538"/>
      <c r="BY141" s="538"/>
      <c r="BZ141" s="592"/>
      <c r="CA141" s="633"/>
      <c r="CB141" s="592" t="s">
        <v>365</v>
      </c>
      <c r="CC141" s="592">
        <v>0.0</v>
      </c>
      <c r="CD141" s="592" t="s">
        <v>365</v>
      </c>
      <c r="CE141" s="592">
        <v>0.0</v>
      </c>
      <c r="CF141" s="592"/>
      <c r="CG141" s="592">
        <v>0.0</v>
      </c>
      <c r="CH141" s="592"/>
      <c r="CI141" s="633"/>
      <c r="CJ141" s="592">
        <v>0.0</v>
      </c>
      <c r="CK141" s="479" t="s">
        <v>365</v>
      </c>
      <c r="CL141" s="592"/>
      <c r="CM141" s="593"/>
      <c r="CN141" s="538"/>
      <c r="CO141" s="538"/>
      <c r="CP141" s="538"/>
      <c r="CQ141" s="538"/>
      <c r="CR141" s="538"/>
      <c r="CS141" s="538"/>
      <c r="CT141" s="538"/>
      <c r="CU141" s="538"/>
      <c r="CV141" s="538"/>
      <c r="CW141" s="538"/>
      <c r="CX141" s="538"/>
      <c r="CY141" s="538"/>
      <c r="CZ141" s="538"/>
      <c r="DA141" s="538"/>
      <c r="DB141" s="538"/>
      <c r="DC141" s="538"/>
      <c r="DD141" s="538"/>
      <c r="DE141" s="538"/>
      <c r="DF141" s="538"/>
      <c r="DG141" s="538"/>
      <c r="DH141" s="538"/>
      <c r="DI141" s="538"/>
      <c r="DJ141" s="538"/>
      <c r="DK141" s="538"/>
      <c r="DL141" s="538"/>
      <c r="DM141" s="538"/>
      <c r="DN141" s="538"/>
      <c r="DO141" s="538"/>
      <c r="DP141" s="538"/>
      <c r="DQ141" s="538"/>
      <c r="DR141" s="538"/>
      <c r="DS141" s="538"/>
      <c r="DT141" s="538"/>
      <c r="DU141" s="538"/>
      <c r="DV141" s="538"/>
      <c r="DW141" s="538"/>
      <c r="DX141" s="538"/>
      <c r="DY141" s="538"/>
      <c r="DZ141" s="538"/>
      <c r="EA141" s="538"/>
      <c r="EB141" s="538"/>
      <c r="EC141" s="538"/>
      <c r="ED141" s="538"/>
      <c r="EE141" s="538"/>
      <c r="EF141" s="538"/>
      <c r="EG141" s="538"/>
      <c r="EH141" s="538"/>
      <c r="EI141" s="538"/>
      <c r="EJ141" s="538"/>
      <c r="EK141" s="538"/>
      <c r="EL141" s="538"/>
      <c r="EM141" s="538"/>
      <c r="EN141" s="538"/>
      <c r="EO141" s="538"/>
      <c r="EP141" s="538"/>
      <c r="EQ141" s="538"/>
      <c r="ER141" s="538"/>
      <c r="ES141" s="538"/>
      <c r="ET141" s="538"/>
      <c r="EU141" s="538"/>
      <c r="EV141" s="538"/>
      <c r="EW141" s="538"/>
      <c r="EX141" s="559"/>
      <c r="EY141" s="559"/>
      <c r="EZ141" s="559"/>
      <c r="FA141" s="559"/>
      <c r="FB141" s="559"/>
      <c r="FC141" s="559"/>
      <c r="FD141" s="559"/>
      <c r="FE141" s="559"/>
      <c r="FF141" s="559"/>
      <c r="FG141" s="559"/>
      <c r="FH141" s="559"/>
      <c r="FI141" s="559"/>
      <c r="FJ141" s="559"/>
      <c r="FK141" s="559"/>
      <c r="FL141" s="559"/>
      <c r="FM141" s="559"/>
      <c r="FN141" s="559"/>
      <c r="FO141" s="559"/>
      <c r="FP141" s="559"/>
      <c r="FQ141" s="559"/>
      <c r="FR141" s="559"/>
      <c r="FS141" s="559"/>
      <c r="FT141" s="559"/>
      <c r="FU141" s="559"/>
      <c r="FV141" s="559"/>
      <c r="FW141" s="559"/>
      <c r="FX141" s="559"/>
      <c r="FY141" s="559"/>
      <c r="FZ141" s="559"/>
      <c r="GA141" s="559"/>
      <c r="GB141" s="559"/>
      <c r="GC141" s="559"/>
      <c r="GD141" s="559"/>
      <c r="GE141" s="559"/>
      <c r="GF141" s="559"/>
      <c r="GG141" s="559"/>
      <c r="GH141" s="559"/>
    </row>
    <row r="142">
      <c r="A142" s="538"/>
      <c r="B142" s="156"/>
      <c r="C142" s="444"/>
      <c r="D142" s="614"/>
      <c r="E142" s="68"/>
      <c r="F142" s="644"/>
      <c r="G142" s="644"/>
      <c r="H142" s="627"/>
      <c r="I142" s="622" t="s">
        <v>365</v>
      </c>
      <c r="J142" s="607"/>
      <c r="K142" s="641"/>
      <c r="L142" s="628"/>
      <c r="M142" s="626"/>
      <c r="N142" s="619"/>
      <c r="O142" s="560"/>
      <c r="P142" s="47"/>
      <c r="Q142" s="47"/>
      <c r="S142" s="572"/>
      <c r="U142" s="573"/>
      <c r="V142" s="574"/>
      <c r="W142" s="618"/>
      <c r="X142" s="576">
        <v>0.0</v>
      </c>
      <c r="Y142" s="630">
        <v>0.0</v>
      </c>
      <c r="Z142" s="630" t="s">
        <v>365</v>
      </c>
      <c r="AA142" s="631" t="b">
        <v>0</v>
      </c>
      <c r="AB142" s="631"/>
      <c r="AC142" s="576"/>
      <c r="AD142" s="479">
        <v>0.0</v>
      </c>
      <c r="AE142" s="632"/>
      <c r="AF142" s="582" t="s">
        <v>365</v>
      </c>
      <c r="AG142" s="583"/>
      <c r="AH142" s="584"/>
      <c r="AI142" s="583"/>
      <c r="AJ142" s="585"/>
      <c r="AK142" s="583"/>
      <c r="AL142" s="584"/>
      <c r="AM142" s="583"/>
      <c r="AN142" s="585"/>
      <c r="AO142" s="583"/>
      <c r="AP142" s="584"/>
      <c r="AQ142" s="583"/>
      <c r="AR142" s="585"/>
      <c r="AS142" s="583"/>
      <c r="AT142" s="584"/>
      <c r="AU142" s="583"/>
      <c r="AV142" s="585"/>
      <c r="AW142" s="583"/>
      <c r="AX142" s="584"/>
      <c r="AY142" s="583"/>
      <c r="AZ142" s="585"/>
      <c r="BA142" s="583"/>
      <c r="BB142" s="584"/>
      <c r="BC142" s="583"/>
      <c r="BD142" s="585"/>
      <c r="BE142" s="583"/>
      <c r="BF142" s="584"/>
      <c r="BG142" s="583"/>
      <c r="BH142" s="585"/>
      <c r="BI142" s="583"/>
      <c r="BJ142" s="584"/>
      <c r="BK142" s="583"/>
      <c r="BL142" s="585"/>
      <c r="BM142" s="583"/>
      <c r="BN142" s="584"/>
      <c r="BO142" s="583"/>
      <c r="BP142" s="585"/>
      <c r="BQ142" s="583"/>
      <c r="BR142" s="584"/>
      <c r="BS142" s="583"/>
      <c r="BT142" s="586"/>
      <c r="BU142" s="540"/>
      <c r="BV142" s="540"/>
      <c r="BW142" s="540"/>
      <c r="BX142" s="538"/>
      <c r="BY142" s="538"/>
      <c r="BZ142" s="592"/>
      <c r="CA142" s="633"/>
      <c r="CB142" s="592" t="s">
        <v>365</v>
      </c>
      <c r="CC142" s="592">
        <v>0.0</v>
      </c>
      <c r="CD142" s="592" t="s">
        <v>365</v>
      </c>
      <c r="CE142" s="592">
        <v>0.0</v>
      </c>
      <c r="CF142" s="592"/>
      <c r="CG142" s="592">
        <v>0.0</v>
      </c>
      <c r="CH142" s="592"/>
      <c r="CI142" s="633"/>
      <c r="CJ142" s="592">
        <v>0.0</v>
      </c>
      <c r="CK142" s="479" t="s">
        <v>365</v>
      </c>
      <c r="CL142" s="592"/>
      <c r="CM142" s="593"/>
      <c r="CN142" s="538"/>
      <c r="CO142" s="538"/>
      <c r="CP142" s="538"/>
      <c r="CQ142" s="538"/>
      <c r="CR142" s="538"/>
      <c r="CS142" s="538"/>
      <c r="CT142" s="538"/>
      <c r="CU142" s="538"/>
      <c r="CV142" s="538"/>
      <c r="CW142" s="538"/>
      <c r="CX142" s="538"/>
      <c r="CY142" s="538"/>
      <c r="CZ142" s="538"/>
      <c r="DA142" s="538"/>
      <c r="DB142" s="538"/>
      <c r="DC142" s="538"/>
      <c r="DD142" s="538"/>
      <c r="DE142" s="538"/>
      <c r="DF142" s="538"/>
      <c r="DG142" s="538"/>
      <c r="DH142" s="538"/>
      <c r="DI142" s="538"/>
      <c r="DJ142" s="538"/>
      <c r="DK142" s="538"/>
      <c r="DL142" s="538"/>
      <c r="DM142" s="538"/>
      <c r="DN142" s="538"/>
      <c r="DO142" s="538"/>
      <c r="DP142" s="538"/>
      <c r="DQ142" s="538"/>
      <c r="DR142" s="538"/>
      <c r="DS142" s="538"/>
      <c r="DT142" s="538"/>
      <c r="DU142" s="538"/>
      <c r="DV142" s="538"/>
      <c r="DW142" s="538"/>
      <c r="DX142" s="538"/>
      <c r="DY142" s="538"/>
      <c r="DZ142" s="538"/>
      <c r="EA142" s="538"/>
      <c r="EB142" s="538"/>
      <c r="EC142" s="538"/>
      <c r="ED142" s="538"/>
      <c r="EE142" s="538"/>
      <c r="EF142" s="538"/>
      <c r="EG142" s="538"/>
      <c r="EH142" s="538"/>
      <c r="EI142" s="538"/>
      <c r="EJ142" s="538"/>
      <c r="EK142" s="538"/>
      <c r="EL142" s="538"/>
      <c r="EM142" s="538"/>
      <c r="EN142" s="538"/>
      <c r="EO142" s="538"/>
      <c r="EP142" s="538"/>
      <c r="EQ142" s="538"/>
      <c r="ER142" s="538"/>
      <c r="ES142" s="538"/>
      <c r="ET142" s="538"/>
      <c r="EU142" s="538"/>
      <c r="EV142" s="538"/>
      <c r="EW142" s="538"/>
      <c r="EX142" s="559"/>
      <c r="EY142" s="559"/>
      <c r="EZ142" s="559"/>
      <c r="FA142" s="559"/>
      <c r="FB142" s="559"/>
      <c r="FC142" s="559"/>
      <c r="FD142" s="559"/>
      <c r="FE142" s="559"/>
      <c r="FF142" s="559"/>
      <c r="FG142" s="559"/>
      <c r="FH142" s="559"/>
      <c r="FI142" s="559"/>
      <c r="FJ142" s="559"/>
      <c r="FK142" s="559"/>
      <c r="FL142" s="559"/>
      <c r="FM142" s="559"/>
      <c r="FN142" s="559"/>
      <c r="FO142" s="559"/>
      <c r="FP142" s="559"/>
      <c r="FQ142" s="559"/>
      <c r="FR142" s="559"/>
      <c r="FS142" s="559"/>
      <c r="FT142" s="559"/>
      <c r="FU142" s="559"/>
      <c r="FV142" s="559"/>
      <c r="FW142" s="559"/>
      <c r="FX142" s="559"/>
      <c r="FY142" s="559"/>
      <c r="FZ142" s="559"/>
      <c r="GA142" s="559"/>
      <c r="GB142" s="559"/>
      <c r="GC142" s="559"/>
      <c r="GD142" s="559"/>
      <c r="GE142" s="559"/>
      <c r="GF142" s="559"/>
      <c r="GG142" s="559"/>
      <c r="GH142" s="559"/>
    </row>
    <row r="143">
      <c r="A143" s="538"/>
      <c r="B143" s="156"/>
      <c r="C143" s="444"/>
      <c r="D143" s="614"/>
      <c r="E143" s="66"/>
      <c r="F143" s="642"/>
      <c r="G143" s="642"/>
      <c r="H143" s="615"/>
      <c r="I143" s="616" t="s">
        <v>365</v>
      </c>
      <c r="J143" s="624"/>
      <c r="K143" s="643"/>
      <c r="L143" s="640"/>
      <c r="M143" s="625"/>
      <c r="N143" s="617"/>
      <c r="O143" s="134"/>
      <c r="P143" s="57"/>
      <c r="Q143" s="57"/>
      <c r="S143" s="605"/>
      <c r="U143" s="573"/>
      <c r="V143" s="574"/>
      <c r="W143" s="618"/>
      <c r="X143" s="576">
        <v>0.0</v>
      </c>
      <c r="Y143" s="630">
        <v>0.0</v>
      </c>
      <c r="Z143" s="630" t="s">
        <v>365</v>
      </c>
      <c r="AA143" s="631" t="b">
        <v>0</v>
      </c>
      <c r="AB143" s="631"/>
      <c r="AC143" s="576"/>
      <c r="AD143" s="479">
        <v>0.0</v>
      </c>
      <c r="AE143" s="632"/>
      <c r="AF143" s="582" t="s">
        <v>365</v>
      </c>
      <c r="AG143" s="583"/>
      <c r="AH143" s="584"/>
      <c r="AI143" s="583"/>
      <c r="AJ143" s="585"/>
      <c r="AK143" s="583"/>
      <c r="AL143" s="584"/>
      <c r="AM143" s="583"/>
      <c r="AN143" s="585"/>
      <c r="AO143" s="583"/>
      <c r="AP143" s="584"/>
      <c r="AQ143" s="583"/>
      <c r="AR143" s="585"/>
      <c r="AS143" s="583"/>
      <c r="AT143" s="584"/>
      <c r="AU143" s="583"/>
      <c r="AV143" s="585"/>
      <c r="AW143" s="583"/>
      <c r="AX143" s="584"/>
      <c r="AY143" s="583"/>
      <c r="AZ143" s="585"/>
      <c r="BA143" s="583"/>
      <c r="BB143" s="584"/>
      <c r="BC143" s="583"/>
      <c r="BD143" s="585"/>
      <c r="BE143" s="583"/>
      <c r="BF143" s="584"/>
      <c r="BG143" s="583"/>
      <c r="BH143" s="585"/>
      <c r="BI143" s="583"/>
      <c r="BJ143" s="584"/>
      <c r="BK143" s="583"/>
      <c r="BL143" s="585"/>
      <c r="BM143" s="583"/>
      <c r="BN143" s="584"/>
      <c r="BO143" s="583"/>
      <c r="BP143" s="585"/>
      <c r="BQ143" s="583"/>
      <c r="BR143" s="584"/>
      <c r="BS143" s="583"/>
      <c r="BT143" s="586"/>
      <c r="BU143" s="540"/>
      <c r="BV143" s="540"/>
      <c r="BW143" s="540"/>
      <c r="BX143" s="538"/>
      <c r="BY143" s="538"/>
      <c r="BZ143" s="592"/>
      <c r="CA143" s="633"/>
      <c r="CB143" s="592" t="s">
        <v>365</v>
      </c>
      <c r="CC143" s="592">
        <v>0.0</v>
      </c>
      <c r="CD143" s="592" t="s">
        <v>365</v>
      </c>
      <c r="CE143" s="592">
        <v>0.0</v>
      </c>
      <c r="CF143" s="592"/>
      <c r="CG143" s="592">
        <v>0.0</v>
      </c>
      <c r="CH143" s="592"/>
      <c r="CI143" s="633"/>
      <c r="CJ143" s="592">
        <v>0.0</v>
      </c>
      <c r="CK143" s="479" t="s">
        <v>365</v>
      </c>
      <c r="CL143" s="592"/>
      <c r="CM143" s="593"/>
      <c r="CN143" s="538"/>
      <c r="CO143" s="538"/>
      <c r="CP143" s="538"/>
      <c r="CQ143" s="538"/>
      <c r="CR143" s="538"/>
      <c r="CS143" s="538"/>
      <c r="CT143" s="538"/>
      <c r="CU143" s="538"/>
      <c r="CV143" s="538"/>
      <c r="CW143" s="538"/>
      <c r="CX143" s="538"/>
      <c r="CY143" s="538"/>
      <c r="CZ143" s="538"/>
      <c r="DA143" s="538"/>
      <c r="DB143" s="538"/>
      <c r="DC143" s="538"/>
      <c r="DD143" s="538"/>
      <c r="DE143" s="538"/>
      <c r="DF143" s="538"/>
      <c r="DG143" s="538"/>
      <c r="DH143" s="538"/>
      <c r="DI143" s="538"/>
      <c r="DJ143" s="538"/>
      <c r="DK143" s="538"/>
      <c r="DL143" s="538"/>
      <c r="DM143" s="538"/>
      <c r="DN143" s="538"/>
      <c r="DO143" s="538"/>
      <c r="DP143" s="538"/>
      <c r="DQ143" s="538"/>
      <c r="DR143" s="538"/>
      <c r="DS143" s="538"/>
      <c r="DT143" s="538"/>
      <c r="DU143" s="538"/>
      <c r="DV143" s="538"/>
      <c r="DW143" s="538"/>
      <c r="DX143" s="538"/>
      <c r="DY143" s="538"/>
      <c r="DZ143" s="538"/>
      <c r="EA143" s="538"/>
      <c r="EB143" s="538"/>
      <c r="EC143" s="538"/>
      <c r="ED143" s="538"/>
      <c r="EE143" s="538"/>
      <c r="EF143" s="538"/>
      <c r="EG143" s="538"/>
      <c r="EH143" s="538"/>
      <c r="EI143" s="538"/>
      <c r="EJ143" s="538"/>
      <c r="EK143" s="538"/>
      <c r="EL143" s="538"/>
      <c r="EM143" s="538"/>
      <c r="EN143" s="538"/>
      <c r="EO143" s="538"/>
      <c r="EP143" s="538"/>
      <c r="EQ143" s="538"/>
      <c r="ER143" s="538"/>
      <c r="ES143" s="538"/>
      <c r="ET143" s="538"/>
      <c r="EU143" s="538"/>
      <c r="EV143" s="538"/>
      <c r="EW143" s="538"/>
      <c r="EX143" s="559"/>
      <c r="EY143" s="559"/>
      <c r="EZ143" s="559"/>
      <c r="FA143" s="559"/>
      <c r="FB143" s="559"/>
      <c r="FC143" s="559"/>
      <c r="FD143" s="559"/>
      <c r="FE143" s="559"/>
      <c r="FF143" s="559"/>
      <c r="FG143" s="559"/>
      <c r="FH143" s="559"/>
      <c r="FI143" s="559"/>
      <c r="FJ143" s="559"/>
      <c r="FK143" s="559"/>
      <c r="FL143" s="559"/>
      <c r="FM143" s="559"/>
      <c r="FN143" s="559"/>
      <c r="FO143" s="559"/>
      <c r="FP143" s="559"/>
      <c r="FQ143" s="559"/>
      <c r="FR143" s="559"/>
      <c r="FS143" s="559"/>
      <c r="FT143" s="559"/>
      <c r="FU143" s="559"/>
      <c r="FV143" s="559"/>
      <c r="FW143" s="559"/>
      <c r="FX143" s="559"/>
      <c r="FY143" s="559"/>
      <c r="FZ143" s="559"/>
      <c r="GA143" s="559"/>
      <c r="GB143" s="559"/>
      <c r="GC143" s="559"/>
      <c r="GD143" s="559"/>
      <c r="GE143" s="559"/>
      <c r="GF143" s="559"/>
      <c r="GG143" s="559"/>
      <c r="GH143" s="559"/>
    </row>
    <row r="144">
      <c r="A144" s="538"/>
      <c r="B144" s="156"/>
      <c r="C144" s="444"/>
      <c r="D144" s="614"/>
      <c r="E144" s="68"/>
      <c r="F144" s="644"/>
      <c r="G144" s="644"/>
      <c r="H144" s="627"/>
      <c r="I144" s="622" t="s">
        <v>365</v>
      </c>
      <c r="J144" s="607"/>
      <c r="K144" s="641"/>
      <c r="L144" s="628"/>
      <c r="M144" s="626"/>
      <c r="N144" s="619"/>
      <c r="O144" s="560"/>
      <c r="P144" s="47"/>
      <c r="Q144" s="47"/>
      <c r="S144" s="572"/>
      <c r="U144" s="573"/>
      <c r="V144" s="574"/>
      <c r="W144" s="618"/>
      <c r="X144" s="576">
        <v>0.0</v>
      </c>
      <c r="Y144" s="630">
        <v>0.0</v>
      </c>
      <c r="Z144" s="630" t="s">
        <v>365</v>
      </c>
      <c r="AA144" s="631" t="b">
        <v>0</v>
      </c>
      <c r="AB144" s="631"/>
      <c r="AC144" s="576"/>
      <c r="AD144" s="479">
        <v>0.0</v>
      </c>
      <c r="AE144" s="632"/>
      <c r="AF144" s="582" t="s">
        <v>365</v>
      </c>
      <c r="AG144" s="583"/>
      <c r="AH144" s="584"/>
      <c r="AI144" s="583"/>
      <c r="AJ144" s="585"/>
      <c r="AK144" s="583"/>
      <c r="AL144" s="584"/>
      <c r="AM144" s="583"/>
      <c r="AN144" s="585"/>
      <c r="AO144" s="583"/>
      <c r="AP144" s="584"/>
      <c r="AQ144" s="583"/>
      <c r="AR144" s="585"/>
      <c r="AS144" s="583"/>
      <c r="AT144" s="584"/>
      <c r="AU144" s="583"/>
      <c r="AV144" s="585"/>
      <c r="AW144" s="583"/>
      <c r="AX144" s="584"/>
      <c r="AY144" s="583"/>
      <c r="AZ144" s="585"/>
      <c r="BA144" s="583"/>
      <c r="BB144" s="584"/>
      <c r="BC144" s="583"/>
      <c r="BD144" s="585"/>
      <c r="BE144" s="583"/>
      <c r="BF144" s="584"/>
      <c r="BG144" s="583"/>
      <c r="BH144" s="585"/>
      <c r="BI144" s="583"/>
      <c r="BJ144" s="584"/>
      <c r="BK144" s="583"/>
      <c r="BL144" s="585"/>
      <c r="BM144" s="583"/>
      <c r="BN144" s="584"/>
      <c r="BO144" s="583"/>
      <c r="BP144" s="585"/>
      <c r="BQ144" s="583"/>
      <c r="BR144" s="584"/>
      <c r="BS144" s="583"/>
      <c r="BT144" s="586"/>
      <c r="BU144" s="540"/>
      <c r="BV144" s="540"/>
      <c r="BW144" s="540"/>
      <c r="BX144" s="538"/>
      <c r="BY144" s="538"/>
      <c r="BZ144" s="592"/>
      <c r="CA144" s="633"/>
      <c r="CB144" s="592" t="s">
        <v>365</v>
      </c>
      <c r="CC144" s="592">
        <v>0.0</v>
      </c>
      <c r="CD144" s="592" t="s">
        <v>365</v>
      </c>
      <c r="CE144" s="592">
        <v>0.0</v>
      </c>
      <c r="CF144" s="592"/>
      <c r="CG144" s="592">
        <v>0.0</v>
      </c>
      <c r="CH144" s="592"/>
      <c r="CI144" s="633"/>
      <c r="CJ144" s="592">
        <v>0.0</v>
      </c>
      <c r="CK144" s="479" t="s">
        <v>365</v>
      </c>
      <c r="CL144" s="592"/>
      <c r="CM144" s="593"/>
      <c r="CN144" s="538"/>
      <c r="CO144" s="538"/>
      <c r="CP144" s="538"/>
      <c r="CQ144" s="538"/>
      <c r="CR144" s="538"/>
      <c r="CS144" s="538"/>
      <c r="CT144" s="538"/>
      <c r="CU144" s="538"/>
      <c r="CV144" s="538"/>
      <c r="CW144" s="538"/>
      <c r="CX144" s="538"/>
      <c r="CY144" s="538"/>
      <c r="CZ144" s="538"/>
      <c r="DA144" s="538"/>
      <c r="DB144" s="538"/>
      <c r="DC144" s="538"/>
      <c r="DD144" s="538"/>
      <c r="DE144" s="538"/>
      <c r="DF144" s="538"/>
      <c r="DG144" s="538"/>
      <c r="DH144" s="538"/>
      <c r="DI144" s="538"/>
      <c r="DJ144" s="538"/>
      <c r="DK144" s="538"/>
      <c r="DL144" s="538"/>
      <c r="DM144" s="538"/>
      <c r="DN144" s="538"/>
      <c r="DO144" s="538"/>
      <c r="DP144" s="538"/>
      <c r="DQ144" s="538"/>
      <c r="DR144" s="538"/>
      <c r="DS144" s="538"/>
      <c r="DT144" s="538"/>
      <c r="DU144" s="538"/>
      <c r="DV144" s="538"/>
      <c r="DW144" s="538"/>
      <c r="DX144" s="538"/>
      <c r="DY144" s="538"/>
      <c r="DZ144" s="538"/>
      <c r="EA144" s="538"/>
      <c r="EB144" s="538"/>
      <c r="EC144" s="538"/>
      <c r="ED144" s="538"/>
      <c r="EE144" s="538"/>
      <c r="EF144" s="538"/>
      <c r="EG144" s="538"/>
      <c r="EH144" s="538"/>
      <c r="EI144" s="538"/>
      <c r="EJ144" s="538"/>
      <c r="EK144" s="538"/>
      <c r="EL144" s="538"/>
      <c r="EM144" s="538"/>
      <c r="EN144" s="538"/>
      <c r="EO144" s="538"/>
      <c r="EP144" s="538"/>
      <c r="EQ144" s="538"/>
      <c r="ER144" s="538"/>
      <c r="ES144" s="538"/>
      <c r="ET144" s="538"/>
      <c r="EU144" s="538"/>
      <c r="EV144" s="538"/>
      <c r="EW144" s="538"/>
      <c r="EX144" s="559"/>
      <c r="EY144" s="559"/>
      <c r="EZ144" s="559"/>
      <c r="FA144" s="559"/>
      <c r="FB144" s="559"/>
      <c r="FC144" s="559"/>
      <c r="FD144" s="559"/>
      <c r="FE144" s="559"/>
      <c r="FF144" s="559"/>
      <c r="FG144" s="559"/>
      <c r="FH144" s="559"/>
      <c r="FI144" s="559"/>
      <c r="FJ144" s="559"/>
      <c r="FK144" s="559"/>
      <c r="FL144" s="559"/>
      <c r="FM144" s="559"/>
      <c r="FN144" s="559"/>
      <c r="FO144" s="559"/>
      <c r="FP144" s="559"/>
      <c r="FQ144" s="559"/>
      <c r="FR144" s="559"/>
      <c r="FS144" s="559"/>
      <c r="FT144" s="559"/>
      <c r="FU144" s="559"/>
      <c r="FV144" s="559"/>
      <c r="FW144" s="559"/>
      <c r="FX144" s="559"/>
      <c r="FY144" s="559"/>
      <c r="FZ144" s="559"/>
      <c r="GA144" s="559"/>
      <c r="GB144" s="559"/>
      <c r="GC144" s="559"/>
      <c r="GD144" s="559"/>
      <c r="GE144" s="559"/>
      <c r="GF144" s="559"/>
      <c r="GG144" s="559"/>
      <c r="GH144" s="559"/>
    </row>
    <row r="145">
      <c r="A145" s="538"/>
      <c r="B145" s="156"/>
      <c r="C145" s="444"/>
      <c r="D145" s="614"/>
      <c r="E145" s="66"/>
      <c r="F145" s="642"/>
      <c r="G145" s="642"/>
      <c r="H145" s="615"/>
      <c r="I145" s="616" t="s">
        <v>365</v>
      </c>
      <c r="J145" s="624"/>
      <c r="K145" s="643"/>
      <c r="L145" s="640"/>
      <c r="M145" s="625"/>
      <c r="N145" s="617"/>
      <c r="O145" s="134"/>
      <c r="P145" s="57"/>
      <c r="Q145" s="57"/>
      <c r="S145" s="605"/>
      <c r="U145" s="573"/>
      <c r="V145" s="574"/>
      <c r="W145" s="618"/>
      <c r="X145" s="576">
        <v>0.0</v>
      </c>
      <c r="Y145" s="630">
        <v>0.0</v>
      </c>
      <c r="Z145" s="630" t="s">
        <v>365</v>
      </c>
      <c r="AA145" s="631" t="b">
        <v>0</v>
      </c>
      <c r="AB145" s="631"/>
      <c r="AC145" s="576"/>
      <c r="AD145" s="479">
        <v>0.0</v>
      </c>
      <c r="AE145" s="632"/>
      <c r="AF145" s="582" t="s">
        <v>365</v>
      </c>
      <c r="AG145" s="583"/>
      <c r="AH145" s="584"/>
      <c r="AI145" s="583"/>
      <c r="AJ145" s="585"/>
      <c r="AK145" s="583"/>
      <c r="AL145" s="584"/>
      <c r="AM145" s="583"/>
      <c r="AN145" s="585"/>
      <c r="AO145" s="583"/>
      <c r="AP145" s="584"/>
      <c r="AQ145" s="583"/>
      <c r="AR145" s="585"/>
      <c r="AS145" s="583"/>
      <c r="AT145" s="584"/>
      <c r="AU145" s="583"/>
      <c r="AV145" s="585"/>
      <c r="AW145" s="583"/>
      <c r="AX145" s="584"/>
      <c r="AY145" s="583"/>
      <c r="AZ145" s="585"/>
      <c r="BA145" s="583"/>
      <c r="BB145" s="584"/>
      <c r="BC145" s="583"/>
      <c r="BD145" s="585"/>
      <c r="BE145" s="583"/>
      <c r="BF145" s="584"/>
      <c r="BG145" s="583"/>
      <c r="BH145" s="585"/>
      <c r="BI145" s="583"/>
      <c r="BJ145" s="584"/>
      <c r="BK145" s="583"/>
      <c r="BL145" s="585"/>
      <c r="BM145" s="583"/>
      <c r="BN145" s="584"/>
      <c r="BO145" s="583"/>
      <c r="BP145" s="585"/>
      <c r="BQ145" s="583"/>
      <c r="BR145" s="584"/>
      <c r="BS145" s="583"/>
      <c r="BT145" s="586"/>
      <c r="BU145" s="540"/>
      <c r="BV145" s="540"/>
      <c r="BW145" s="540"/>
      <c r="BX145" s="538"/>
      <c r="BY145" s="538"/>
      <c r="BZ145" s="592"/>
      <c r="CA145" s="633"/>
      <c r="CB145" s="592" t="s">
        <v>365</v>
      </c>
      <c r="CC145" s="592">
        <v>0.0</v>
      </c>
      <c r="CD145" s="592" t="s">
        <v>365</v>
      </c>
      <c r="CE145" s="592">
        <v>0.0</v>
      </c>
      <c r="CF145" s="592"/>
      <c r="CG145" s="592">
        <v>0.0</v>
      </c>
      <c r="CH145" s="592"/>
      <c r="CI145" s="633"/>
      <c r="CJ145" s="592">
        <v>0.0</v>
      </c>
      <c r="CK145" s="479" t="s">
        <v>365</v>
      </c>
      <c r="CL145" s="592"/>
      <c r="CM145" s="593"/>
      <c r="CN145" s="538"/>
      <c r="CO145" s="538"/>
      <c r="CP145" s="538"/>
      <c r="CQ145" s="538"/>
      <c r="CR145" s="538"/>
      <c r="CS145" s="538"/>
      <c r="CT145" s="538"/>
      <c r="CU145" s="538"/>
      <c r="CV145" s="538"/>
      <c r="CW145" s="538"/>
      <c r="CX145" s="538"/>
      <c r="CY145" s="538"/>
      <c r="CZ145" s="538"/>
      <c r="DA145" s="538"/>
      <c r="DB145" s="538"/>
      <c r="DC145" s="538"/>
      <c r="DD145" s="538"/>
      <c r="DE145" s="538"/>
      <c r="DF145" s="538"/>
      <c r="DG145" s="538"/>
      <c r="DH145" s="538"/>
      <c r="DI145" s="538"/>
      <c r="DJ145" s="538"/>
      <c r="DK145" s="538"/>
      <c r="DL145" s="538"/>
      <c r="DM145" s="538"/>
      <c r="DN145" s="538"/>
      <c r="DO145" s="538"/>
      <c r="DP145" s="538"/>
      <c r="DQ145" s="538"/>
      <c r="DR145" s="538"/>
      <c r="DS145" s="538"/>
      <c r="DT145" s="538"/>
      <c r="DU145" s="538"/>
      <c r="DV145" s="538"/>
      <c r="DW145" s="538"/>
      <c r="DX145" s="538"/>
      <c r="DY145" s="538"/>
      <c r="DZ145" s="538"/>
      <c r="EA145" s="538"/>
      <c r="EB145" s="538"/>
      <c r="EC145" s="538"/>
      <c r="ED145" s="538"/>
      <c r="EE145" s="538"/>
      <c r="EF145" s="538"/>
      <c r="EG145" s="538"/>
      <c r="EH145" s="538"/>
      <c r="EI145" s="538"/>
      <c r="EJ145" s="538"/>
      <c r="EK145" s="538"/>
      <c r="EL145" s="538"/>
      <c r="EM145" s="538"/>
      <c r="EN145" s="538"/>
      <c r="EO145" s="538"/>
      <c r="EP145" s="538"/>
      <c r="EQ145" s="538"/>
      <c r="ER145" s="538"/>
      <c r="ES145" s="538"/>
      <c r="ET145" s="538"/>
      <c r="EU145" s="538"/>
      <c r="EV145" s="538"/>
      <c r="EW145" s="538"/>
      <c r="EX145" s="559"/>
      <c r="EY145" s="559"/>
      <c r="EZ145" s="559"/>
      <c r="FA145" s="559"/>
      <c r="FB145" s="559"/>
      <c r="FC145" s="559"/>
      <c r="FD145" s="559"/>
      <c r="FE145" s="559"/>
      <c r="FF145" s="559"/>
      <c r="FG145" s="559"/>
      <c r="FH145" s="559"/>
      <c r="FI145" s="559"/>
      <c r="FJ145" s="559"/>
      <c r="FK145" s="559"/>
      <c r="FL145" s="559"/>
      <c r="FM145" s="559"/>
      <c r="FN145" s="559"/>
      <c r="FO145" s="559"/>
      <c r="FP145" s="559"/>
      <c r="FQ145" s="559"/>
      <c r="FR145" s="559"/>
      <c r="FS145" s="559"/>
      <c r="FT145" s="559"/>
      <c r="FU145" s="559"/>
      <c r="FV145" s="559"/>
      <c r="FW145" s="559"/>
      <c r="FX145" s="559"/>
      <c r="FY145" s="559"/>
      <c r="FZ145" s="559"/>
      <c r="GA145" s="559"/>
      <c r="GB145" s="559"/>
      <c r="GC145" s="559"/>
      <c r="GD145" s="559"/>
      <c r="GE145" s="559"/>
      <c r="GF145" s="559"/>
      <c r="GG145" s="559"/>
      <c r="GH145" s="559"/>
    </row>
    <row r="146">
      <c r="A146" s="538"/>
      <c r="B146" s="156"/>
      <c r="C146" s="444"/>
      <c r="D146" s="614"/>
      <c r="E146" s="68"/>
      <c r="F146" s="644"/>
      <c r="G146" s="644"/>
      <c r="H146" s="627"/>
      <c r="I146" s="622" t="s">
        <v>365</v>
      </c>
      <c r="J146" s="607"/>
      <c r="K146" s="641"/>
      <c r="L146" s="628"/>
      <c r="M146" s="626"/>
      <c r="N146" s="619"/>
      <c r="O146" s="560"/>
      <c r="P146" s="47"/>
      <c r="Q146" s="47"/>
      <c r="S146" s="572"/>
      <c r="U146" s="573"/>
      <c r="V146" s="574"/>
      <c r="W146" s="618"/>
      <c r="X146" s="576">
        <v>0.0</v>
      </c>
      <c r="Y146" s="630">
        <v>0.0</v>
      </c>
      <c r="Z146" s="630" t="s">
        <v>365</v>
      </c>
      <c r="AA146" s="631" t="b">
        <v>0</v>
      </c>
      <c r="AB146" s="631"/>
      <c r="AC146" s="576"/>
      <c r="AD146" s="479">
        <v>0.0</v>
      </c>
      <c r="AE146" s="632"/>
      <c r="AF146" s="582" t="s">
        <v>365</v>
      </c>
      <c r="AG146" s="583"/>
      <c r="AH146" s="584"/>
      <c r="AI146" s="583"/>
      <c r="AJ146" s="585"/>
      <c r="AK146" s="583"/>
      <c r="AL146" s="584"/>
      <c r="AM146" s="583"/>
      <c r="AN146" s="585"/>
      <c r="AO146" s="583"/>
      <c r="AP146" s="584"/>
      <c r="AQ146" s="583"/>
      <c r="AR146" s="585"/>
      <c r="AS146" s="583"/>
      <c r="AT146" s="584"/>
      <c r="AU146" s="583"/>
      <c r="AV146" s="585"/>
      <c r="AW146" s="583"/>
      <c r="AX146" s="584"/>
      <c r="AY146" s="583"/>
      <c r="AZ146" s="585"/>
      <c r="BA146" s="583"/>
      <c r="BB146" s="584"/>
      <c r="BC146" s="583"/>
      <c r="BD146" s="585"/>
      <c r="BE146" s="583"/>
      <c r="BF146" s="584"/>
      <c r="BG146" s="583"/>
      <c r="BH146" s="585"/>
      <c r="BI146" s="583"/>
      <c r="BJ146" s="584"/>
      <c r="BK146" s="583"/>
      <c r="BL146" s="585"/>
      <c r="BM146" s="583"/>
      <c r="BN146" s="584"/>
      <c r="BO146" s="583"/>
      <c r="BP146" s="585"/>
      <c r="BQ146" s="583"/>
      <c r="BR146" s="584"/>
      <c r="BS146" s="583"/>
      <c r="BT146" s="586"/>
      <c r="BU146" s="540"/>
      <c r="BV146" s="540"/>
      <c r="BW146" s="540"/>
      <c r="BX146" s="538"/>
      <c r="BY146" s="538"/>
      <c r="BZ146" s="592"/>
      <c r="CA146" s="633"/>
      <c r="CB146" s="592" t="s">
        <v>365</v>
      </c>
      <c r="CC146" s="592">
        <v>0.0</v>
      </c>
      <c r="CD146" s="592" t="s">
        <v>365</v>
      </c>
      <c r="CE146" s="592">
        <v>0.0</v>
      </c>
      <c r="CF146" s="592"/>
      <c r="CG146" s="592">
        <v>0.0</v>
      </c>
      <c r="CH146" s="592"/>
      <c r="CI146" s="633"/>
      <c r="CJ146" s="592">
        <v>0.0</v>
      </c>
      <c r="CK146" s="479" t="s">
        <v>365</v>
      </c>
      <c r="CL146" s="592"/>
      <c r="CM146" s="593"/>
      <c r="CN146" s="538"/>
      <c r="CO146" s="538"/>
      <c r="CP146" s="538"/>
      <c r="CQ146" s="538"/>
      <c r="CR146" s="538"/>
      <c r="CS146" s="538"/>
      <c r="CT146" s="538"/>
      <c r="CU146" s="538"/>
      <c r="CV146" s="538"/>
      <c r="CW146" s="538"/>
      <c r="CX146" s="538"/>
      <c r="CY146" s="538"/>
      <c r="CZ146" s="538"/>
      <c r="DA146" s="538"/>
      <c r="DB146" s="538"/>
      <c r="DC146" s="538"/>
      <c r="DD146" s="538"/>
      <c r="DE146" s="538"/>
      <c r="DF146" s="538"/>
      <c r="DG146" s="538"/>
      <c r="DH146" s="538"/>
      <c r="DI146" s="538"/>
      <c r="DJ146" s="538"/>
      <c r="DK146" s="538"/>
      <c r="DL146" s="538"/>
      <c r="DM146" s="538"/>
      <c r="DN146" s="538"/>
      <c r="DO146" s="538"/>
      <c r="DP146" s="538"/>
      <c r="DQ146" s="538"/>
      <c r="DR146" s="538"/>
      <c r="DS146" s="538"/>
      <c r="DT146" s="538"/>
      <c r="DU146" s="538"/>
      <c r="DV146" s="538"/>
      <c r="DW146" s="538"/>
      <c r="DX146" s="538"/>
      <c r="DY146" s="538"/>
      <c r="DZ146" s="538"/>
      <c r="EA146" s="538"/>
      <c r="EB146" s="538"/>
      <c r="EC146" s="538"/>
      <c r="ED146" s="538"/>
      <c r="EE146" s="538"/>
      <c r="EF146" s="538"/>
      <c r="EG146" s="538"/>
      <c r="EH146" s="538"/>
      <c r="EI146" s="538"/>
      <c r="EJ146" s="538"/>
      <c r="EK146" s="538"/>
      <c r="EL146" s="538"/>
      <c r="EM146" s="538"/>
      <c r="EN146" s="538"/>
      <c r="EO146" s="538"/>
      <c r="EP146" s="538"/>
      <c r="EQ146" s="538"/>
      <c r="ER146" s="538"/>
      <c r="ES146" s="538"/>
      <c r="ET146" s="538"/>
      <c r="EU146" s="538"/>
      <c r="EV146" s="538"/>
      <c r="EW146" s="538"/>
      <c r="EX146" s="559"/>
      <c r="EY146" s="559"/>
      <c r="EZ146" s="559"/>
      <c r="FA146" s="559"/>
      <c r="FB146" s="559"/>
      <c r="FC146" s="559"/>
      <c r="FD146" s="559"/>
      <c r="FE146" s="559"/>
      <c r="FF146" s="559"/>
      <c r="FG146" s="559"/>
      <c r="FH146" s="559"/>
      <c r="FI146" s="559"/>
      <c r="FJ146" s="559"/>
      <c r="FK146" s="559"/>
      <c r="FL146" s="559"/>
      <c r="FM146" s="559"/>
      <c r="FN146" s="559"/>
      <c r="FO146" s="559"/>
      <c r="FP146" s="559"/>
      <c r="FQ146" s="559"/>
      <c r="FR146" s="559"/>
      <c r="FS146" s="559"/>
      <c r="FT146" s="559"/>
      <c r="FU146" s="559"/>
      <c r="FV146" s="559"/>
      <c r="FW146" s="559"/>
      <c r="FX146" s="559"/>
      <c r="FY146" s="559"/>
      <c r="FZ146" s="559"/>
      <c r="GA146" s="559"/>
      <c r="GB146" s="559"/>
      <c r="GC146" s="559"/>
      <c r="GD146" s="559"/>
      <c r="GE146" s="559"/>
      <c r="GF146" s="559"/>
      <c r="GG146" s="559"/>
      <c r="GH146" s="559"/>
    </row>
    <row r="147">
      <c r="A147" s="538"/>
      <c r="B147" s="156"/>
      <c r="C147" s="444"/>
      <c r="D147" s="614"/>
      <c r="E147" s="66"/>
      <c r="F147" s="642"/>
      <c r="G147" s="642"/>
      <c r="H147" s="615"/>
      <c r="I147" s="616" t="s">
        <v>365</v>
      </c>
      <c r="J147" s="624"/>
      <c r="K147" s="643"/>
      <c r="L147" s="640"/>
      <c r="M147" s="625"/>
      <c r="N147" s="617"/>
      <c r="O147" s="134"/>
      <c r="P147" s="57"/>
      <c r="Q147" s="57"/>
      <c r="S147" s="605"/>
      <c r="U147" s="573"/>
      <c r="V147" s="574"/>
      <c r="W147" s="618"/>
      <c r="X147" s="576">
        <v>0.0</v>
      </c>
      <c r="Y147" s="630">
        <v>0.0</v>
      </c>
      <c r="Z147" s="630" t="s">
        <v>365</v>
      </c>
      <c r="AA147" s="631" t="b">
        <v>0</v>
      </c>
      <c r="AB147" s="631"/>
      <c r="AC147" s="576"/>
      <c r="AD147" s="479">
        <v>0.0</v>
      </c>
      <c r="AE147" s="632"/>
      <c r="AF147" s="582" t="s">
        <v>365</v>
      </c>
      <c r="AG147" s="583"/>
      <c r="AH147" s="584"/>
      <c r="AI147" s="583"/>
      <c r="AJ147" s="585"/>
      <c r="AK147" s="583"/>
      <c r="AL147" s="584"/>
      <c r="AM147" s="583"/>
      <c r="AN147" s="585"/>
      <c r="AO147" s="583"/>
      <c r="AP147" s="584"/>
      <c r="AQ147" s="583"/>
      <c r="AR147" s="585"/>
      <c r="AS147" s="583"/>
      <c r="AT147" s="584"/>
      <c r="AU147" s="583"/>
      <c r="AV147" s="585"/>
      <c r="AW147" s="583"/>
      <c r="AX147" s="584"/>
      <c r="AY147" s="583"/>
      <c r="AZ147" s="585"/>
      <c r="BA147" s="583"/>
      <c r="BB147" s="584"/>
      <c r="BC147" s="583"/>
      <c r="BD147" s="585"/>
      <c r="BE147" s="583"/>
      <c r="BF147" s="584"/>
      <c r="BG147" s="583"/>
      <c r="BH147" s="585"/>
      <c r="BI147" s="583"/>
      <c r="BJ147" s="584"/>
      <c r="BK147" s="583"/>
      <c r="BL147" s="585"/>
      <c r="BM147" s="583"/>
      <c r="BN147" s="584"/>
      <c r="BO147" s="583"/>
      <c r="BP147" s="585"/>
      <c r="BQ147" s="583"/>
      <c r="BR147" s="584"/>
      <c r="BS147" s="583"/>
      <c r="BT147" s="586"/>
      <c r="BU147" s="540"/>
      <c r="BV147" s="540"/>
      <c r="BW147" s="540"/>
      <c r="BX147" s="538"/>
      <c r="BY147" s="538"/>
      <c r="BZ147" s="592"/>
      <c r="CA147" s="633"/>
      <c r="CB147" s="592" t="s">
        <v>365</v>
      </c>
      <c r="CC147" s="592">
        <v>0.0</v>
      </c>
      <c r="CD147" s="592" t="s">
        <v>365</v>
      </c>
      <c r="CE147" s="592">
        <v>0.0</v>
      </c>
      <c r="CF147" s="592"/>
      <c r="CG147" s="592">
        <v>0.0</v>
      </c>
      <c r="CH147" s="592"/>
      <c r="CI147" s="633"/>
      <c r="CJ147" s="592">
        <v>0.0</v>
      </c>
      <c r="CK147" s="479" t="s">
        <v>365</v>
      </c>
      <c r="CL147" s="592"/>
      <c r="CM147" s="593"/>
      <c r="CN147" s="538"/>
      <c r="CO147" s="538"/>
      <c r="CP147" s="538"/>
      <c r="CQ147" s="538"/>
      <c r="CR147" s="538"/>
      <c r="CS147" s="538"/>
      <c r="CT147" s="538"/>
      <c r="CU147" s="538"/>
      <c r="CV147" s="538"/>
      <c r="CW147" s="538"/>
      <c r="CX147" s="538"/>
      <c r="CY147" s="538"/>
      <c r="CZ147" s="538"/>
      <c r="DA147" s="538"/>
      <c r="DB147" s="538"/>
      <c r="DC147" s="538"/>
      <c r="DD147" s="538"/>
      <c r="DE147" s="538"/>
      <c r="DF147" s="538"/>
      <c r="DG147" s="538"/>
      <c r="DH147" s="538"/>
      <c r="DI147" s="538"/>
      <c r="DJ147" s="538"/>
      <c r="DK147" s="538"/>
      <c r="DL147" s="538"/>
      <c r="DM147" s="538"/>
      <c r="DN147" s="538"/>
      <c r="DO147" s="538"/>
      <c r="DP147" s="538"/>
      <c r="DQ147" s="538"/>
      <c r="DR147" s="538"/>
      <c r="DS147" s="538"/>
      <c r="DT147" s="538"/>
      <c r="DU147" s="538"/>
      <c r="DV147" s="538"/>
      <c r="DW147" s="538"/>
      <c r="DX147" s="538"/>
      <c r="DY147" s="538"/>
      <c r="DZ147" s="538"/>
      <c r="EA147" s="538"/>
      <c r="EB147" s="538"/>
      <c r="EC147" s="538"/>
      <c r="ED147" s="538"/>
      <c r="EE147" s="538"/>
      <c r="EF147" s="538"/>
      <c r="EG147" s="538"/>
      <c r="EH147" s="538"/>
      <c r="EI147" s="538"/>
      <c r="EJ147" s="538"/>
      <c r="EK147" s="538"/>
      <c r="EL147" s="538"/>
      <c r="EM147" s="538"/>
      <c r="EN147" s="538"/>
      <c r="EO147" s="538"/>
      <c r="EP147" s="538"/>
      <c r="EQ147" s="538"/>
      <c r="ER147" s="538"/>
      <c r="ES147" s="538"/>
      <c r="ET147" s="538"/>
      <c r="EU147" s="538"/>
      <c r="EV147" s="538"/>
      <c r="EW147" s="538"/>
      <c r="EX147" s="559"/>
      <c r="EY147" s="559"/>
      <c r="EZ147" s="559"/>
      <c r="FA147" s="559"/>
      <c r="FB147" s="559"/>
      <c r="FC147" s="559"/>
      <c r="FD147" s="559"/>
      <c r="FE147" s="559"/>
      <c r="FF147" s="559"/>
      <c r="FG147" s="559"/>
      <c r="FH147" s="559"/>
      <c r="FI147" s="559"/>
      <c r="FJ147" s="559"/>
      <c r="FK147" s="559"/>
      <c r="FL147" s="559"/>
      <c r="FM147" s="559"/>
      <c r="FN147" s="559"/>
      <c r="FO147" s="559"/>
      <c r="FP147" s="559"/>
      <c r="FQ147" s="559"/>
      <c r="FR147" s="559"/>
      <c r="FS147" s="559"/>
      <c r="FT147" s="559"/>
      <c r="FU147" s="559"/>
      <c r="FV147" s="559"/>
      <c r="FW147" s="559"/>
      <c r="FX147" s="559"/>
      <c r="FY147" s="559"/>
      <c r="FZ147" s="559"/>
      <c r="GA147" s="559"/>
      <c r="GB147" s="559"/>
      <c r="GC147" s="559"/>
      <c r="GD147" s="559"/>
      <c r="GE147" s="559"/>
      <c r="GF147" s="559"/>
      <c r="GG147" s="559"/>
      <c r="GH147" s="559"/>
    </row>
    <row r="148">
      <c r="A148" s="538"/>
      <c r="B148" s="156"/>
      <c r="C148" s="444"/>
      <c r="D148" s="614"/>
      <c r="E148" s="68"/>
      <c r="F148" s="644"/>
      <c r="G148" s="644"/>
      <c r="H148" s="627"/>
      <c r="I148" s="622" t="s">
        <v>365</v>
      </c>
      <c r="J148" s="607"/>
      <c r="K148" s="641"/>
      <c r="L148" s="628"/>
      <c r="M148" s="626"/>
      <c r="N148" s="619"/>
      <c r="O148" s="560"/>
      <c r="P148" s="47"/>
      <c r="Q148" s="47"/>
      <c r="S148" s="572"/>
      <c r="U148" s="573"/>
      <c r="V148" s="574"/>
      <c r="W148" s="618"/>
      <c r="X148" s="576">
        <v>0.0</v>
      </c>
      <c r="Y148" s="630">
        <v>0.0</v>
      </c>
      <c r="Z148" s="630" t="s">
        <v>365</v>
      </c>
      <c r="AA148" s="631" t="b">
        <v>0</v>
      </c>
      <c r="AB148" s="631"/>
      <c r="AC148" s="576"/>
      <c r="AD148" s="479">
        <v>0.0</v>
      </c>
      <c r="AE148" s="632"/>
      <c r="AF148" s="582" t="s">
        <v>365</v>
      </c>
      <c r="AG148" s="583"/>
      <c r="AH148" s="584"/>
      <c r="AI148" s="583"/>
      <c r="AJ148" s="585"/>
      <c r="AK148" s="583"/>
      <c r="AL148" s="584"/>
      <c r="AM148" s="583"/>
      <c r="AN148" s="585"/>
      <c r="AO148" s="583"/>
      <c r="AP148" s="584"/>
      <c r="AQ148" s="583"/>
      <c r="AR148" s="585"/>
      <c r="AS148" s="583"/>
      <c r="AT148" s="584"/>
      <c r="AU148" s="583"/>
      <c r="AV148" s="585"/>
      <c r="AW148" s="583"/>
      <c r="AX148" s="584"/>
      <c r="AY148" s="583"/>
      <c r="AZ148" s="585"/>
      <c r="BA148" s="583"/>
      <c r="BB148" s="584"/>
      <c r="BC148" s="583"/>
      <c r="BD148" s="585"/>
      <c r="BE148" s="583"/>
      <c r="BF148" s="584"/>
      <c r="BG148" s="583"/>
      <c r="BH148" s="585"/>
      <c r="BI148" s="583"/>
      <c r="BJ148" s="584"/>
      <c r="BK148" s="583"/>
      <c r="BL148" s="585"/>
      <c r="BM148" s="583"/>
      <c r="BN148" s="584"/>
      <c r="BO148" s="583"/>
      <c r="BP148" s="585"/>
      <c r="BQ148" s="583"/>
      <c r="BR148" s="584"/>
      <c r="BS148" s="583"/>
      <c r="BT148" s="586"/>
      <c r="BU148" s="540"/>
      <c r="BV148" s="540"/>
      <c r="BW148" s="540"/>
      <c r="BX148" s="538"/>
      <c r="BY148" s="538"/>
      <c r="BZ148" s="592"/>
      <c r="CA148" s="633"/>
      <c r="CB148" s="592" t="s">
        <v>365</v>
      </c>
      <c r="CC148" s="592">
        <v>0.0</v>
      </c>
      <c r="CD148" s="592" t="s">
        <v>365</v>
      </c>
      <c r="CE148" s="592">
        <v>0.0</v>
      </c>
      <c r="CF148" s="592"/>
      <c r="CG148" s="592">
        <v>0.0</v>
      </c>
      <c r="CH148" s="592"/>
      <c r="CI148" s="633"/>
      <c r="CJ148" s="592">
        <v>0.0</v>
      </c>
      <c r="CK148" s="479" t="s">
        <v>365</v>
      </c>
      <c r="CL148" s="592"/>
      <c r="CM148" s="593"/>
      <c r="CN148" s="538"/>
      <c r="CO148" s="538"/>
      <c r="CP148" s="538"/>
      <c r="CQ148" s="538"/>
      <c r="CR148" s="538"/>
      <c r="CS148" s="538"/>
      <c r="CT148" s="538"/>
      <c r="CU148" s="538"/>
      <c r="CV148" s="538"/>
      <c r="CW148" s="538"/>
      <c r="CX148" s="538"/>
      <c r="CY148" s="538"/>
      <c r="CZ148" s="538"/>
      <c r="DA148" s="538"/>
      <c r="DB148" s="538"/>
      <c r="DC148" s="538"/>
      <c r="DD148" s="538"/>
      <c r="DE148" s="538"/>
      <c r="DF148" s="538"/>
      <c r="DG148" s="538"/>
      <c r="DH148" s="538"/>
      <c r="DI148" s="538"/>
      <c r="DJ148" s="538"/>
      <c r="DK148" s="538"/>
      <c r="DL148" s="538"/>
      <c r="DM148" s="538"/>
      <c r="DN148" s="538"/>
      <c r="DO148" s="538"/>
      <c r="DP148" s="538"/>
      <c r="DQ148" s="538"/>
      <c r="DR148" s="538"/>
      <c r="DS148" s="538"/>
      <c r="DT148" s="538"/>
      <c r="DU148" s="538"/>
      <c r="DV148" s="538"/>
      <c r="DW148" s="538"/>
      <c r="DX148" s="538"/>
      <c r="DY148" s="538"/>
      <c r="DZ148" s="538"/>
      <c r="EA148" s="538"/>
      <c r="EB148" s="538"/>
      <c r="EC148" s="538"/>
      <c r="ED148" s="538"/>
      <c r="EE148" s="538"/>
      <c r="EF148" s="538"/>
      <c r="EG148" s="538"/>
      <c r="EH148" s="538"/>
      <c r="EI148" s="538"/>
      <c r="EJ148" s="538"/>
      <c r="EK148" s="538"/>
      <c r="EL148" s="538"/>
      <c r="EM148" s="538"/>
      <c r="EN148" s="538"/>
      <c r="EO148" s="538"/>
      <c r="EP148" s="538"/>
      <c r="EQ148" s="538"/>
      <c r="ER148" s="538"/>
      <c r="ES148" s="538"/>
      <c r="ET148" s="538"/>
      <c r="EU148" s="538"/>
      <c r="EV148" s="538"/>
      <c r="EW148" s="538"/>
      <c r="EX148" s="559"/>
      <c r="EY148" s="559"/>
      <c r="EZ148" s="559"/>
      <c r="FA148" s="559"/>
      <c r="FB148" s="559"/>
      <c r="FC148" s="559"/>
      <c r="FD148" s="559"/>
      <c r="FE148" s="559"/>
      <c r="FF148" s="559"/>
      <c r="FG148" s="559"/>
      <c r="FH148" s="559"/>
      <c r="FI148" s="559"/>
      <c r="FJ148" s="559"/>
      <c r="FK148" s="559"/>
      <c r="FL148" s="559"/>
      <c r="FM148" s="559"/>
      <c r="FN148" s="559"/>
      <c r="FO148" s="559"/>
      <c r="FP148" s="559"/>
      <c r="FQ148" s="559"/>
      <c r="FR148" s="559"/>
      <c r="FS148" s="559"/>
      <c r="FT148" s="559"/>
      <c r="FU148" s="559"/>
      <c r="FV148" s="559"/>
      <c r="FW148" s="559"/>
      <c r="FX148" s="559"/>
      <c r="FY148" s="559"/>
      <c r="FZ148" s="559"/>
      <c r="GA148" s="559"/>
      <c r="GB148" s="559"/>
      <c r="GC148" s="559"/>
      <c r="GD148" s="559"/>
      <c r="GE148" s="559"/>
      <c r="GF148" s="559"/>
      <c r="GG148" s="559"/>
      <c r="GH148" s="559"/>
    </row>
    <row r="149">
      <c r="A149" s="538"/>
      <c r="B149" s="156"/>
      <c r="C149" s="444"/>
      <c r="D149" s="614"/>
      <c r="E149" s="66"/>
      <c r="F149" s="642"/>
      <c r="G149" s="642"/>
      <c r="H149" s="615"/>
      <c r="I149" s="616" t="s">
        <v>365</v>
      </c>
      <c r="J149" s="624"/>
      <c r="K149" s="643"/>
      <c r="L149" s="640"/>
      <c r="M149" s="625"/>
      <c r="N149" s="617"/>
      <c r="O149" s="134"/>
      <c r="P149" s="57"/>
      <c r="Q149" s="57"/>
      <c r="S149" s="605"/>
      <c r="U149" s="573"/>
      <c r="V149" s="574"/>
      <c r="W149" s="618"/>
      <c r="X149" s="576">
        <v>0.0</v>
      </c>
      <c r="Y149" s="630">
        <v>0.0</v>
      </c>
      <c r="Z149" s="630" t="s">
        <v>365</v>
      </c>
      <c r="AA149" s="631" t="b">
        <v>0</v>
      </c>
      <c r="AB149" s="631"/>
      <c r="AC149" s="576"/>
      <c r="AD149" s="479">
        <v>0.0</v>
      </c>
      <c r="AE149" s="632"/>
      <c r="AF149" s="582" t="s">
        <v>365</v>
      </c>
      <c r="AG149" s="583"/>
      <c r="AH149" s="584"/>
      <c r="AI149" s="583"/>
      <c r="AJ149" s="585"/>
      <c r="AK149" s="583"/>
      <c r="AL149" s="584"/>
      <c r="AM149" s="583"/>
      <c r="AN149" s="585"/>
      <c r="AO149" s="583"/>
      <c r="AP149" s="584"/>
      <c r="AQ149" s="583"/>
      <c r="AR149" s="585"/>
      <c r="AS149" s="583"/>
      <c r="AT149" s="584"/>
      <c r="AU149" s="583"/>
      <c r="AV149" s="585"/>
      <c r="AW149" s="583"/>
      <c r="AX149" s="584"/>
      <c r="AY149" s="583"/>
      <c r="AZ149" s="585"/>
      <c r="BA149" s="583"/>
      <c r="BB149" s="584"/>
      <c r="BC149" s="583"/>
      <c r="BD149" s="585"/>
      <c r="BE149" s="583"/>
      <c r="BF149" s="584"/>
      <c r="BG149" s="583"/>
      <c r="BH149" s="585"/>
      <c r="BI149" s="583"/>
      <c r="BJ149" s="584"/>
      <c r="BK149" s="583"/>
      <c r="BL149" s="585"/>
      <c r="BM149" s="583"/>
      <c r="BN149" s="584"/>
      <c r="BO149" s="583"/>
      <c r="BP149" s="585"/>
      <c r="BQ149" s="583"/>
      <c r="BR149" s="584"/>
      <c r="BS149" s="583"/>
      <c r="BT149" s="586"/>
      <c r="BU149" s="540"/>
      <c r="BV149" s="540"/>
      <c r="BW149" s="540"/>
      <c r="BX149" s="538"/>
      <c r="BY149" s="538"/>
      <c r="BZ149" s="592"/>
      <c r="CA149" s="633"/>
      <c r="CB149" s="592" t="s">
        <v>365</v>
      </c>
      <c r="CC149" s="592">
        <v>0.0</v>
      </c>
      <c r="CD149" s="592" t="s">
        <v>365</v>
      </c>
      <c r="CE149" s="592">
        <v>0.0</v>
      </c>
      <c r="CF149" s="592"/>
      <c r="CG149" s="592">
        <v>0.0</v>
      </c>
      <c r="CH149" s="592"/>
      <c r="CI149" s="633"/>
      <c r="CJ149" s="592">
        <v>0.0</v>
      </c>
      <c r="CK149" s="479" t="s">
        <v>365</v>
      </c>
      <c r="CL149" s="592"/>
      <c r="CM149" s="593"/>
      <c r="CN149" s="538"/>
      <c r="CO149" s="538"/>
      <c r="CP149" s="538"/>
      <c r="CQ149" s="538"/>
      <c r="CR149" s="538"/>
      <c r="CS149" s="538"/>
      <c r="CT149" s="538"/>
      <c r="CU149" s="538"/>
      <c r="CV149" s="538"/>
      <c r="CW149" s="538"/>
      <c r="CX149" s="538"/>
      <c r="CY149" s="538"/>
      <c r="CZ149" s="538"/>
      <c r="DA149" s="538"/>
      <c r="DB149" s="538"/>
      <c r="DC149" s="538"/>
      <c r="DD149" s="538"/>
      <c r="DE149" s="538"/>
      <c r="DF149" s="538"/>
      <c r="DG149" s="538"/>
      <c r="DH149" s="538"/>
      <c r="DI149" s="538"/>
      <c r="DJ149" s="538"/>
      <c r="DK149" s="538"/>
      <c r="DL149" s="538"/>
      <c r="DM149" s="538"/>
      <c r="DN149" s="538"/>
      <c r="DO149" s="538"/>
      <c r="DP149" s="538"/>
      <c r="DQ149" s="538"/>
      <c r="DR149" s="538"/>
      <c r="DS149" s="538"/>
      <c r="DT149" s="538"/>
      <c r="DU149" s="538"/>
      <c r="DV149" s="538"/>
      <c r="DW149" s="538"/>
      <c r="DX149" s="538"/>
      <c r="DY149" s="538"/>
      <c r="DZ149" s="538"/>
      <c r="EA149" s="538"/>
      <c r="EB149" s="538"/>
      <c r="EC149" s="538"/>
      <c r="ED149" s="538"/>
      <c r="EE149" s="538"/>
      <c r="EF149" s="538"/>
      <c r="EG149" s="538"/>
      <c r="EH149" s="538"/>
      <c r="EI149" s="538"/>
      <c r="EJ149" s="538"/>
      <c r="EK149" s="538"/>
      <c r="EL149" s="538"/>
      <c r="EM149" s="538"/>
      <c r="EN149" s="538"/>
      <c r="EO149" s="538"/>
      <c r="EP149" s="538"/>
      <c r="EQ149" s="538"/>
      <c r="ER149" s="538"/>
      <c r="ES149" s="538"/>
      <c r="ET149" s="538"/>
      <c r="EU149" s="538"/>
      <c r="EV149" s="538"/>
      <c r="EW149" s="538"/>
      <c r="EX149" s="559"/>
      <c r="EY149" s="559"/>
      <c r="EZ149" s="559"/>
      <c r="FA149" s="559"/>
      <c r="FB149" s="559"/>
      <c r="FC149" s="559"/>
      <c r="FD149" s="559"/>
      <c r="FE149" s="559"/>
      <c r="FF149" s="559"/>
      <c r="FG149" s="559"/>
      <c r="FH149" s="559"/>
      <c r="FI149" s="559"/>
      <c r="FJ149" s="559"/>
      <c r="FK149" s="559"/>
      <c r="FL149" s="559"/>
      <c r="FM149" s="559"/>
      <c r="FN149" s="559"/>
      <c r="FO149" s="559"/>
      <c r="FP149" s="559"/>
      <c r="FQ149" s="559"/>
      <c r="FR149" s="559"/>
      <c r="FS149" s="559"/>
      <c r="FT149" s="559"/>
      <c r="FU149" s="559"/>
      <c r="FV149" s="559"/>
      <c r="FW149" s="559"/>
      <c r="FX149" s="559"/>
      <c r="FY149" s="559"/>
      <c r="FZ149" s="559"/>
      <c r="GA149" s="559"/>
      <c r="GB149" s="559"/>
      <c r="GC149" s="559"/>
      <c r="GD149" s="559"/>
      <c r="GE149" s="559"/>
      <c r="GF149" s="559"/>
      <c r="GG149" s="559"/>
      <c r="GH149" s="559"/>
    </row>
    <row r="150">
      <c r="A150" s="538"/>
      <c r="B150" s="156"/>
      <c r="C150" s="444"/>
      <c r="D150" s="614"/>
      <c r="E150" s="68"/>
      <c r="F150" s="644"/>
      <c r="G150" s="644"/>
      <c r="H150" s="627"/>
      <c r="I150" s="622" t="s">
        <v>365</v>
      </c>
      <c r="J150" s="607"/>
      <c r="K150" s="641"/>
      <c r="L150" s="628"/>
      <c r="M150" s="626"/>
      <c r="N150" s="619"/>
      <c r="O150" s="560"/>
      <c r="P150" s="47"/>
      <c r="Q150" s="47"/>
      <c r="S150" s="572"/>
      <c r="U150" s="573"/>
      <c r="V150" s="574"/>
      <c r="W150" s="618"/>
      <c r="X150" s="576">
        <v>0.0</v>
      </c>
      <c r="Y150" s="630">
        <v>0.0</v>
      </c>
      <c r="Z150" s="630" t="s">
        <v>365</v>
      </c>
      <c r="AA150" s="631" t="b">
        <v>0</v>
      </c>
      <c r="AB150" s="631"/>
      <c r="AC150" s="576"/>
      <c r="AD150" s="479">
        <v>0.0</v>
      </c>
      <c r="AE150" s="632"/>
      <c r="AF150" s="582" t="s">
        <v>365</v>
      </c>
      <c r="AG150" s="583"/>
      <c r="AH150" s="584"/>
      <c r="AI150" s="583"/>
      <c r="AJ150" s="585"/>
      <c r="AK150" s="583"/>
      <c r="AL150" s="584"/>
      <c r="AM150" s="583"/>
      <c r="AN150" s="585"/>
      <c r="AO150" s="583"/>
      <c r="AP150" s="584"/>
      <c r="AQ150" s="583"/>
      <c r="AR150" s="585"/>
      <c r="AS150" s="583"/>
      <c r="AT150" s="584"/>
      <c r="AU150" s="583"/>
      <c r="AV150" s="585"/>
      <c r="AW150" s="583"/>
      <c r="AX150" s="584"/>
      <c r="AY150" s="583"/>
      <c r="AZ150" s="585"/>
      <c r="BA150" s="583"/>
      <c r="BB150" s="584"/>
      <c r="BC150" s="583"/>
      <c r="BD150" s="585"/>
      <c r="BE150" s="583"/>
      <c r="BF150" s="584"/>
      <c r="BG150" s="583"/>
      <c r="BH150" s="585"/>
      <c r="BI150" s="583"/>
      <c r="BJ150" s="584"/>
      <c r="BK150" s="583"/>
      <c r="BL150" s="585"/>
      <c r="BM150" s="583"/>
      <c r="BN150" s="584"/>
      <c r="BO150" s="583"/>
      <c r="BP150" s="585"/>
      <c r="BQ150" s="583"/>
      <c r="BR150" s="584"/>
      <c r="BS150" s="583"/>
      <c r="BT150" s="586"/>
      <c r="BU150" s="540"/>
      <c r="BV150" s="540"/>
      <c r="BW150" s="540"/>
      <c r="BX150" s="538"/>
      <c r="BY150" s="538"/>
      <c r="BZ150" s="592"/>
      <c r="CA150" s="633"/>
      <c r="CB150" s="592" t="s">
        <v>365</v>
      </c>
      <c r="CC150" s="592">
        <v>0.0</v>
      </c>
      <c r="CD150" s="592" t="s">
        <v>365</v>
      </c>
      <c r="CE150" s="592">
        <v>0.0</v>
      </c>
      <c r="CF150" s="592"/>
      <c r="CG150" s="592">
        <v>0.0</v>
      </c>
      <c r="CH150" s="592"/>
      <c r="CI150" s="633"/>
      <c r="CJ150" s="592">
        <v>0.0</v>
      </c>
      <c r="CK150" s="479" t="s">
        <v>365</v>
      </c>
      <c r="CL150" s="592"/>
      <c r="CM150" s="593"/>
      <c r="CN150" s="538"/>
      <c r="CO150" s="538"/>
      <c r="CP150" s="538"/>
      <c r="CQ150" s="538"/>
      <c r="CR150" s="538"/>
      <c r="CS150" s="538"/>
      <c r="CT150" s="538"/>
      <c r="CU150" s="538"/>
      <c r="CV150" s="538"/>
      <c r="CW150" s="538"/>
      <c r="CX150" s="538"/>
      <c r="CY150" s="538"/>
      <c r="CZ150" s="538"/>
      <c r="DA150" s="538"/>
      <c r="DB150" s="538"/>
      <c r="DC150" s="538"/>
      <c r="DD150" s="538"/>
      <c r="DE150" s="538"/>
      <c r="DF150" s="538"/>
      <c r="DG150" s="538"/>
      <c r="DH150" s="538"/>
      <c r="DI150" s="538"/>
      <c r="DJ150" s="538"/>
      <c r="DK150" s="538"/>
      <c r="DL150" s="538"/>
      <c r="DM150" s="538"/>
      <c r="DN150" s="538"/>
      <c r="DO150" s="538"/>
      <c r="DP150" s="538"/>
      <c r="DQ150" s="538"/>
      <c r="DR150" s="538"/>
      <c r="DS150" s="538"/>
      <c r="DT150" s="538"/>
      <c r="DU150" s="538"/>
      <c r="DV150" s="538"/>
      <c r="DW150" s="538"/>
      <c r="DX150" s="538"/>
      <c r="DY150" s="538"/>
      <c r="DZ150" s="538"/>
      <c r="EA150" s="538"/>
      <c r="EB150" s="538"/>
      <c r="EC150" s="538"/>
      <c r="ED150" s="538"/>
      <c r="EE150" s="538"/>
      <c r="EF150" s="538"/>
      <c r="EG150" s="538"/>
      <c r="EH150" s="538"/>
      <c r="EI150" s="538"/>
      <c r="EJ150" s="538"/>
      <c r="EK150" s="538"/>
      <c r="EL150" s="538"/>
      <c r="EM150" s="538"/>
      <c r="EN150" s="538"/>
      <c r="EO150" s="538"/>
      <c r="EP150" s="538"/>
      <c r="EQ150" s="538"/>
      <c r="ER150" s="538"/>
      <c r="ES150" s="538"/>
      <c r="ET150" s="538"/>
      <c r="EU150" s="538"/>
      <c r="EV150" s="538"/>
      <c r="EW150" s="538"/>
      <c r="EX150" s="559"/>
      <c r="EY150" s="559"/>
      <c r="EZ150" s="559"/>
      <c r="FA150" s="559"/>
      <c r="FB150" s="559"/>
      <c r="FC150" s="559"/>
      <c r="FD150" s="559"/>
      <c r="FE150" s="559"/>
      <c r="FF150" s="559"/>
      <c r="FG150" s="559"/>
      <c r="FH150" s="559"/>
      <c r="FI150" s="559"/>
      <c r="FJ150" s="559"/>
      <c r="FK150" s="559"/>
      <c r="FL150" s="559"/>
      <c r="FM150" s="559"/>
      <c r="FN150" s="559"/>
      <c r="FO150" s="559"/>
      <c r="FP150" s="559"/>
      <c r="FQ150" s="559"/>
      <c r="FR150" s="559"/>
      <c r="FS150" s="559"/>
      <c r="FT150" s="559"/>
      <c r="FU150" s="559"/>
      <c r="FV150" s="559"/>
      <c r="FW150" s="559"/>
      <c r="FX150" s="559"/>
      <c r="FY150" s="559"/>
      <c r="FZ150" s="559"/>
      <c r="GA150" s="559"/>
      <c r="GB150" s="559"/>
      <c r="GC150" s="559"/>
      <c r="GD150" s="559"/>
      <c r="GE150" s="559"/>
      <c r="GF150" s="559"/>
      <c r="GG150" s="559"/>
      <c r="GH150" s="559"/>
    </row>
    <row r="151">
      <c r="A151" s="538"/>
      <c r="B151" s="156"/>
      <c r="C151" s="444"/>
      <c r="D151" s="614"/>
      <c r="E151" s="66"/>
      <c r="F151" s="642"/>
      <c r="G151" s="642"/>
      <c r="H151" s="615"/>
      <c r="I151" s="616" t="s">
        <v>365</v>
      </c>
      <c r="J151" s="624"/>
      <c r="K151" s="643"/>
      <c r="L151" s="640"/>
      <c r="M151" s="625"/>
      <c r="N151" s="617"/>
      <c r="O151" s="134"/>
      <c r="P151" s="57"/>
      <c r="Q151" s="57"/>
      <c r="S151" s="605"/>
      <c r="U151" s="573"/>
      <c r="V151" s="574"/>
      <c r="W151" s="618"/>
      <c r="X151" s="576">
        <v>0.0</v>
      </c>
      <c r="Y151" s="630">
        <v>0.0</v>
      </c>
      <c r="Z151" s="630" t="s">
        <v>365</v>
      </c>
      <c r="AA151" s="631" t="b">
        <v>0</v>
      </c>
      <c r="AB151" s="631"/>
      <c r="AC151" s="576"/>
      <c r="AD151" s="479">
        <v>0.0</v>
      </c>
      <c r="AE151" s="632"/>
      <c r="AF151" s="582" t="s">
        <v>365</v>
      </c>
      <c r="AG151" s="583"/>
      <c r="AH151" s="584"/>
      <c r="AI151" s="583"/>
      <c r="AJ151" s="585"/>
      <c r="AK151" s="583"/>
      <c r="AL151" s="584"/>
      <c r="AM151" s="583"/>
      <c r="AN151" s="585"/>
      <c r="AO151" s="583"/>
      <c r="AP151" s="584"/>
      <c r="AQ151" s="583"/>
      <c r="AR151" s="585"/>
      <c r="AS151" s="583"/>
      <c r="AT151" s="584"/>
      <c r="AU151" s="583"/>
      <c r="AV151" s="585"/>
      <c r="AW151" s="583"/>
      <c r="AX151" s="584"/>
      <c r="AY151" s="583"/>
      <c r="AZ151" s="585"/>
      <c r="BA151" s="583"/>
      <c r="BB151" s="584"/>
      <c r="BC151" s="583"/>
      <c r="BD151" s="585"/>
      <c r="BE151" s="583"/>
      <c r="BF151" s="584"/>
      <c r="BG151" s="583"/>
      <c r="BH151" s="585"/>
      <c r="BI151" s="583"/>
      <c r="BJ151" s="584"/>
      <c r="BK151" s="583"/>
      <c r="BL151" s="585"/>
      <c r="BM151" s="583"/>
      <c r="BN151" s="584"/>
      <c r="BO151" s="583"/>
      <c r="BP151" s="585"/>
      <c r="BQ151" s="583"/>
      <c r="BR151" s="584"/>
      <c r="BS151" s="583"/>
      <c r="BT151" s="586"/>
      <c r="BU151" s="540"/>
      <c r="BV151" s="540"/>
      <c r="BW151" s="540"/>
      <c r="BX151" s="538"/>
      <c r="BY151" s="538"/>
      <c r="BZ151" s="592"/>
      <c r="CA151" s="633"/>
      <c r="CB151" s="592" t="s">
        <v>365</v>
      </c>
      <c r="CC151" s="592">
        <v>0.0</v>
      </c>
      <c r="CD151" s="592" t="s">
        <v>365</v>
      </c>
      <c r="CE151" s="592">
        <v>0.0</v>
      </c>
      <c r="CF151" s="592"/>
      <c r="CG151" s="592">
        <v>0.0</v>
      </c>
      <c r="CH151" s="592"/>
      <c r="CI151" s="633"/>
      <c r="CJ151" s="592">
        <v>0.0</v>
      </c>
      <c r="CK151" s="479" t="s">
        <v>365</v>
      </c>
      <c r="CL151" s="592"/>
      <c r="CM151" s="593"/>
      <c r="CN151" s="538"/>
      <c r="CO151" s="538"/>
      <c r="CP151" s="538"/>
      <c r="CQ151" s="538"/>
      <c r="CR151" s="538"/>
      <c r="CS151" s="538"/>
      <c r="CT151" s="538"/>
      <c r="CU151" s="538"/>
      <c r="CV151" s="538"/>
      <c r="CW151" s="538"/>
      <c r="CX151" s="538"/>
      <c r="CY151" s="538"/>
      <c r="CZ151" s="538"/>
      <c r="DA151" s="538"/>
      <c r="DB151" s="538"/>
      <c r="DC151" s="538"/>
      <c r="DD151" s="538"/>
      <c r="DE151" s="538"/>
      <c r="DF151" s="538"/>
      <c r="DG151" s="538"/>
      <c r="DH151" s="538"/>
      <c r="DI151" s="538"/>
      <c r="DJ151" s="538"/>
      <c r="DK151" s="538"/>
      <c r="DL151" s="538"/>
      <c r="DM151" s="538"/>
      <c r="DN151" s="538"/>
      <c r="DO151" s="538"/>
      <c r="DP151" s="538"/>
      <c r="DQ151" s="538"/>
      <c r="DR151" s="538"/>
      <c r="DS151" s="538"/>
      <c r="DT151" s="538"/>
      <c r="DU151" s="538"/>
      <c r="DV151" s="538"/>
      <c r="DW151" s="538"/>
      <c r="DX151" s="538"/>
      <c r="DY151" s="538"/>
      <c r="DZ151" s="538"/>
      <c r="EA151" s="538"/>
      <c r="EB151" s="538"/>
      <c r="EC151" s="538"/>
      <c r="ED151" s="538"/>
      <c r="EE151" s="538"/>
      <c r="EF151" s="538"/>
      <c r="EG151" s="538"/>
      <c r="EH151" s="538"/>
      <c r="EI151" s="538"/>
      <c r="EJ151" s="538"/>
      <c r="EK151" s="538"/>
      <c r="EL151" s="538"/>
      <c r="EM151" s="538"/>
      <c r="EN151" s="538"/>
      <c r="EO151" s="538"/>
      <c r="EP151" s="538"/>
      <c r="EQ151" s="538"/>
      <c r="ER151" s="538"/>
      <c r="ES151" s="538"/>
      <c r="ET151" s="538"/>
      <c r="EU151" s="538"/>
      <c r="EV151" s="538"/>
      <c r="EW151" s="538"/>
      <c r="EX151" s="559"/>
      <c r="EY151" s="559"/>
      <c r="EZ151" s="559"/>
      <c r="FA151" s="559"/>
      <c r="FB151" s="559"/>
      <c r="FC151" s="559"/>
      <c r="FD151" s="559"/>
      <c r="FE151" s="559"/>
      <c r="FF151" s="559"/>
      <c r="FG151" s="559"/>
      <c r="FH151" s="559"/>
      <c r="FI151" s="559"/>
      <c r="FJ151" s="559"/>
      <c r="FK151" s="559"/>
      <c r="FL151" s="559"/>
      <c r="FM151" s="559"/>
      <c r="FN151" s="559"/>
      <c r="FO151" s="559"/>
      <c r="FP151" s="559"/>
      <c r="FQ151" s="559"/>
      <c r="FR151" s="559"/>
      <c r="FS151" s="559"/>
      <c r="FT151" s="559"/>
      <c r="FU151" s="559"/>
      <c r="FV151" s="559"/>
      <c r="FW151" s="559"/>
      <c r="FX151" s="559"/>
      <c r="FY151" s="559"/>
      <c r="FZ151" s="559"/>
      <c r="GA151" s="559"/>
      <c r="GB151" s="559"/>
      <c r="GC151" s="559"/>
      <c r="GD151" s="559"/>
      <c r="GE151" s="559"/>
      <c r="GF151" s="559"/>
      <c r="GG151" s="559"/>
      <c r="GH151" s="559"/>
    </row>
    <row r="152">
      <c r="A152" s="538"/>
      <c r="B152" s="156"/>
      <c r="C152" s="444"/>
      <c r="D152" s="614"/>
      <c r="E152" s="68"/>
      <c r="F152" s="644"/>
      <c r="G152" s="644"/>
      <c r="H152" s="627"/>
      <c r="I152" s="622" t="s">
        <v>365</v>
      </c>
      <c r="J152" s="607"/>
      <c r="K152" s="641"/>
      <c r="L152" s="628"/>
      <c r="M152" s="626"/>
      <c r="N152" s="619"/>
      <c r="O152" s="560"/>
      <c r="P152" s="47"/>
      <c r="Q152" s="47"/>
      <c r="S152" s="572"/>
      <c r="U152" s="573"/>
      <c r="V152" s="574"/>
      <c r="W152" s="618"/>
      <c r="X152" s="576">
        <v>0.0</v>
      </c>
      <c r="Y152" s="630">
        <v>0.0</v>
      </c>
      <c r="Z152" s="630" t="s">
        <v>365</v>
      </c>
      <c r="AA152" s="631" t="b">
        <v>0</v>
      </c>
      <c r="AB152" s="631"/>
      <c r="AC152" s="576"/>
      <c r="AD152" s="479">
        <v>0.0</v>
      </c>
      <c r="AE152" s="632"/>
      <c r="AF152" s="582" t="s">
        <v>365</v>
      </c>
      <c r="AG152" s="583"/>
      <c r="AH152" s="584"/>
      <c r="AI152" s="583"/>
      <c r="AJ152" s="585"/>
      <c r="AK152" s="583"/>
      <c r="AL152" s="584"/>
      <c r="AM152" s="583"/>
      <c r="AN152" s="585"/>
      <c r="AO152" s="583"/>
      <c r="AP152" s="584"/>
      <c r="AQ152" s="583"/>
      <c r="AR152" s="585"/>
      <c r="AS152" s="583"/>
      <c r="AT152" s="584"/>
      <c r="AU152" s="583"/>
      <c r="AV152" s="585"/>
      <c r="AW152" s="583"/>
      <c r="AX152" s="584"/>
      <c r="AY152" s="583"/>
      <c r="AZ152" s="585"/>
      <c r="BA152" s="583"/>
      <c r="BB152" s="584"/>
      <c r="BC152" s="583"/>
      <c r="BD152" s="585"/>
      <c r="BE152" s="583"/>
      <c r="BF152" s="584"/>
      <c r="BG152" s="583"/>
      <c r="BH152" s="585"/>
      <c r="BI152" s="583"/>
      <c r="BJ152" s="584"/>
      <c r="BK152" s="583"/>
      <c r="BL152" s="585"/>
      <c r="BM152" s="583"/>
      <c r="BN152" s="584"/>
      <c r="BO152" s="583"/>
      <c r="BP152" s="585"/>
      <c r="BQ152" s="583"/>
      <c r="BR152" s="584"/>
      <c r="BS152" s="583"/>
      <c r="BT152" s="586"/>
      <c r="BU152" s="540"/>
      <c r="BV152" s="540"/>
      <c r="BW152" s="540"/>
      <c r="BX152" s="538"/>
      <c r="BY152" s="538"/>
      <c r="BZ152" s="592"/>
      <c r="CA152" s="633"/>
      <c r="CB152" s="592" t="s">
        <v>365</v>
      </c>
      <c r="CC152" s="592">
        <v>0.0</v>
      </c>
      <c r="CD152" s="592" t="s">
        <v>365</v>
      </c>
      <c r="CE152" s="592">
        <v>0.0</v>
      </c>
      <c r="CF152" s="592"/>
      <c r="CG152" s="592">
        <v>0.0</v>
      </c>
      <c r="CH152" s="592"/>
      <c r="CI152" s="633"/>
      <c r="CJ152" s="592">
        <v>0.0</v>
      </c>
      <c r="CK152" s="479" t="s">
        <v>365</v>
      </c>
      <c r="CL152" s="592"/>
      <c r="CM152" s="593"/>
      <c r="CN152" s="538"/>
      <c r="CO152" s="538"/>
      <c r="CP152" s="538"/>
      <c r="CQ152" s="538"/>
      <c r="CR152" s="538"/>
      <c r="CS152" s="538"/>
      <c r="CT152" s="538"/>
      <c r="CU152" s="538"/>
      <c r="CV152" s="538"/>
      <c r="CW152" s="538"/>
      <c r="CX152" s="538"/>
      <c r="CY152" s="538"/>
      <c r="CZ152" s="538"/>
      <c r="DA152" s="538"/>
      <c r="DB152" s="538"/>
      <c r="DC152" s="538"/>
      <c r="DD152" s="538"/>
      <c r="DE152" s="538"/>
      <c r="DF152" s="538"/>
      <c r="DG152" s="538"/>
      <c r="DH152" s="538"/>
      <c r="DI152" s="538"/>
      <c r="DJ152" s="538"/>
      <c r="DK152" s="538"/>
      <c r="DL152" s="538"/>
      <c r="DM152" s="538"/>
      <c r="DN152" s="538"/>
      <c r="DO152" s="538"/>
      <c r="DP152" s="538"/>
      <c r="DQ152" s="538"/>
      <c r="DR152" s="538"/>
      <c r="DS152" s="538"/>
      <c r="DT152" s="538"/>
      <c r="DU152" s="538"/>
      <c r="DV152" s="538"/>
      <c r="DW152" s="538"/>
      <c r="DX152" s="538"/>
      <c r="DY152" s="538"/>
      <c r="DZ152" s="538"/>
      <c r="EA152" s="538"/>
      <c r="EB152" s="538"/>
      <c r="EC152" s="538"/>
      <c r="ED152" s="538"/>
      <c r="EE152" s="538"/>
      <c r="EF152" s="538"/>
      <c r="EG152" s="538"/>
      <c r="EH152" s="538"/>
      <c r="EI152" s="538"/>
      <c r="EJ152" s="538"/>
      <c r="EK152" s="538"/>
      <c r="EL152" s="538"/>
      <c r="EM152" s="538"/>
      <c r="EN152" s="538"/>
      <c r="EO152" s="538"/>
      <c r="EP152" s="538"/>
      <c r="EQ152" s="538"/>
      <c r="ER152" s="538"/>
      <c r="ES152" s="538"/>
      <c r="ET152" s="538"/>
      <c r="EU152" s="538"/>
      <c r="EV152" s="538"/>
      <c r="EW152" s="538"/>
      <c r="EX152" s="559"/>
      <c r="EY152" s="559"/>
      <c r="EZ152" s="559"/>
      <c r="FA152" s="559"/>
      <c r="FB152" s="559"/>
      <c r="FC152" s="559"/>
      <c r="FD152" s="559"/>
      <c r="FE152" s="559"/>
      <c r="FF152" s="559"/>
      <c r="FG152" s="559"/>
      <c r="FH152" s="559"/>
      <c r="FI152" s="559"/>
      <c r="FJ152" s="559"/>
      <c r="FK152" s="559"/>
      <c r="FL152" s="559"/>
      <c r="FM152" s="559"/>
      <c r="FN152" s="559"/>
      <c r="FO152" s="559"/>
      <c r="FP152" s="559"/>
      <c r="FQ152" s="559"/>
      <c r="FR152" s="559"/>
      <c r="FS152" s="559"/>
      <c r="FT152" s="559"/>
      <c r="FU152" s="559"/>
      <c r="FV152" s="559"/>
      <c r="FW152" s="559"/>
      <c r="FX152" s="559"/>
      <c r="FY152" s="559"/>
      <c r="FZ152" s="559"/>
      <c r="GA152" s="559"/>
      <c r="GB152" s="559"/>
      <c r="GC152" s="559"/>
      <c r="GD152" s="559"/>
      <c r="GE152" s="559"/>
      <c r="GF152" s="559"/>
      <c r="GG152" s="559"/>
      <c r="GH152" s="559"/>
    </row>
    <row r="153">
      <c r="A153" s="538"/>
      <c r="B153" s="156"/>
      <c r="C153" s="444"/>
      <c r="D153" s="614"/>
      <c r="E153" s="66"/>
      <c r="F153" s="642"/>
      <c r="G153" s="642"/>
      <c r="H153" s="615"/>
      <c r="I153" s="616" t="s">
        <v>365</v>
      </c>
      <c r="J153" s="624"/>
      <c r="K153" s="643"/>
      <c r="L153" s="640"/>
      <c r="M153" s="625"/>
      <c r="N153" s="617"/>
      <c r="O153" s="134"/>
      <c r="P153" s="57"/>
      <c r="Q153" s="57"/>
      <c r="S153" s="605"/>
      <c r="U153" s="573"/>
      <c r="V153" s="574"/>
      <c r="W153" s="618"/>
      <c r="X153" s="576">
        <v>0.0</v>
      </c>
      <c r="Y153" s="630">
        <v>0.0</v>
      </c>
      <c r="Z153" s="630" t="s">
        <v>365</v>
      </c>
      <c r="AA153" s="631" t="b">
        <v>0</v>
      </c>
      <c r="AB153" s="631"/>
      <c r="AC153" s="576"/>
      <c r="AD153" s="479">
        <v>0.0</v>
      </c>
      <c r="AE153" s="632"/>
      <c r="AF153" s="582" t="s">
        <v>365</v>
      </c>
      <c r="AG153" s="583"/>
      <c r="AH153" s="584"/>
      <c r="AI153" s="583"/>
      <c r="AJ153" s="585"/>
      <c r="AK153" s="583"/>
      <c r="AL153" s="584"/>
      <c r="AM153" s="583"/>
      <c r="AN153" s="585"/>
      <c r="AO153" s="583"/>
      <c r="AP153" s="584"/>
      <c r="AQ153" s="583"/>
      <c r="AR153" s="585"/>
      <c r="AS153" s="583"/>
      <c r="AT153" s="584"/>
      <c r="AU153" s="583"/>
      <c r="AV153" s="585"/>
      <c r="AW153" s="583"/>
      <c r="AX153" s="584"/>
      <c r="AY153" s="583"/>
      <c r="AZ153" s="585"/>
      <c r="BA153" s="583"/>
      <c r="BB153" s="584"/>
      <c r="BC153" s="583"/>
      <c r="BD153" s="585"/>
      <c r="BE153" s="583"/>
      <c r="BF153" s="584"/>
      <c r="BG153" s="583"/>
      <c r="BH153" s="585"/>
      <c r="BI153" s="583"/>
      <c r="BJ153" s="584"/>
      <c r="BK153" s="583"/>
      <c r="BL153" s="585"/>
      <c r="BM153" s="583"/>
      <c r="BN153" s="584"/>
      <c r="BO153" s="583"/>
      <c r="BP153" s="585"/>
      <c r="BQ153" s="583"/>
      <c r="BR153" s="584"/>
      <c r="BS153" s="583"/>
      <c r="BT153" s="586"/>
      <c r="BU153" s="540"/>
      <c r="BV153" s="540"/>
      <c r="BW153" s="540"/>
      <c r="BX153" s="538"/>
      <c r="BY153" s="538"/>
      <c r="BZ153" s="592"/>
      <c r="CA153" s="633"/>
      <c r="CB153" s="592" t="s">
        <v>365</v>
      </c>
      <c r="CC153" s="592">
        <v>0.0</v>
      </c>
      <c r="CD153" s="592" t="s">
        <v>365</v>
      </c>
      <c r="CE153" s="592">
        <v>0.0</v>
      </c>
      <c r="CF153" s="592"/>
      <c r="CG153" s="592">
        <v>0.0</v>
      </c>
      <c r="CH153" s="592"/>
      <c r="CI153" s="633"/>
      <c r="CJ153" s="592">
        <v>0.0</v>
      </c>
      <c r="CK153" s="479" t="s">
        <v>365</v>
      </c>
      <c r="CL153" s="592"/>
      <c r="CM153" s="593"/>
      <c r="CN153" s="538"/>
      <c r="CO153" s="538"/>
      <c r="CP153" s="538"/>
      <c r="CQ153" s="538"/>
      <c r="CR153" s="538"/>
      <c r="CS153" s="538"/>
      <c r="CT153" s="538"/>
      <c r="CU153" s="538"/>
      <c r="CV153" s="538"/>
      <c r="CW153" s="538"/>
      <c r="CX153" s="538"/>
      <c r="CY153" s="538"/>
      <c r="CZ153" s="538"/>
      <c r="DA153" s="538"/>
      <c r="DB153" s="538"/>
      <c r="DC153" s="538"/>
      <c r="DD153" s="538"/>
      <c r="DE153" s="538"/>
      <c r="DF153" s="538"/>
      <c r="DG153" s="538"/>
      <c r="DH153" s="538"/>
      <c r="DI153" s="538"/>
      <c r="DJ153" s="538"/>
      <c r="DK153" s="538"/>
      <c r="DL153" s="538"/>
      <c r="DM153" s="538"/>
      <c r="DN153" s="538"/>
      <c r="DO153" s="538"/>
      <c r="DP153" s="538"/>
      <c r="DQ153" s="538"/>
      <c r="DR153" s="538"/>
      <c r="DS153" s="538"/>
      <c r="DT153" s="538"/>
      <c r="DU153" s="538"/>
      <c r="DV153" s="538"/>
      <c r="DW153" s="538"/>
      <c r="DX153" s="538"/>
      <c r="DY153" s="538"/>
      <c r="DZ153" s="538"/>
      <c r="EA153" s="538"/>
      <c r="EB153" s="538"/>
      <c r="EC153" s="538"/>
      <c r="ED153" s="538"/>
      <c r="EE153" s="538"/>
      <c r="EF153" s="538"/>
      <c r="EG153" s="538"/>
      <c r="EH153" s="538"/>
      <c r="EI153" s="538"/>
      <c r="EJ153" s="538"/>
      <c r="EK153" s="538"/>
      <c r="EL153" s="538"/>
      <c r="EM153" s="538"/>
      <c r="EN153" s="538"/>
      <c r="EO153" s="538"/>
      <c r="EP153" s="538"/>
      <c r="EQ153" s="538"/>
      <c r="ER153" s="538"/>
      <c r="ES153" s="538"/>
      <c r="ET153" s="538"/>
      <c r="EU153" s="538"/>
      <c r="EV153" s="538"/>
      <c r="EW153" s="538"/>
      <c r="EX153" s="559"/>
      <c r="EY153" s="559"/>
      <c r="EZ153" s="559"/>
      <c r="FA153" s="559"/>
      <c r="FB153" s="559"/>
      <c r="FC153" s="559"/>
      <c r="FD153" s="559"/>
      <c r="FE153" s="559"/>
      <c r="FF153" s="559"/>
      <c r="FG153" s="559"/>
      <c r="FH153" s="559"/>
      <c r="FI153" s="559"/>
      <c r="FJ153" s="559"/>
      <c r="FK153" s="559"/>
      <c r="FL153" s="559"/>
      <c r="FM153" s="559"/>
      <c r="FN153" s="559"/>
      <c r="FO153" s="559"/>
      <c r="FP153" s="559"/>
      <c r="FQ153" s="559"/>
      <c r="FR153" s="559"/>
      <c r="FS153" s="559"/>
      <c r="FT153" s="559"/>
      <c r="FU153" s="559"/>
      <c r="FV153" s="559"/>
      <c r="FW153" s="559"/>
      <c r="FX153" s="559"/>
      <c r="FY153" s="559"/>
      <c r="FZ153" s="559"/>
      <c r="GA153" s="559"/>
      <c r="GB153" s="559"/>
      <c r="GC153" s="559"/>
      <c r="GD153" s="559"/>
      <c r="GE153" s="559"/>
      <c r="GF153" s="559"/>
      <c r="GG153" s="559"/>
      <c r="GH153" s="559"/>
    </row>
    <row r="154">
      <c r="A154" s="538"/>
      <c r="B154" s="156"/>
      <c r="C154" s="444"/>
      <c r="D154" s="614"/>
      <c r="E154" s="68"/>
      <c r="F154" s="644"/>
      <c r="G154" s="644"/>
      <c r="H154" s="627"/>
      <c r="I154" s="622" t="s">
        <v>365</v>
      </c>
      <c r="J154" s="607"/>
      <c r="K154" s="641"/>
      <c r="L154" s="628"/>
      <c r="M154" s="626"/>
      <c r="N154" s="619"/>
      <c r="O154" s="560"/>
      <c r="P154" s="47"/>
      <c r="Q154" s="47"/>
      <c r="S154" s="572"/>
      <c r="U154" s="573"/>
      <c r="V154" s="574"/>
      <c r="W154" s="618"/>
      <c r="X154" s="576">
        <v>0.0</v>
      </c>
      <c r="Y154" s="630">
        <v>0.0</v>
      </c>
      <c r="Z154" s="630" t="s">
        <v>365</v>
      </c>
      <c r="AA154" s="631" t="b">
        <v>0</v>
      </c>
      <c r="AB154" s="631"/>
      <c r="AC154" s="576"/>
      <c r="AD154" s="479">
        <v>0.0</v>
      </c>
      <c r="AE154" s="632"/>
      <c r="AF154" s="582" t="s">
        <v>365</v>
      </c>
      <c r="AG154" s="583"/>
      <c r="AH154" s="584"/>
      <c r="AI154" s="583"/>
      <c r="AJ154" s="585"/>
      <c r="AK154" s="583"/>
      <c r="AL154" s="584"/>
      <c r="AM154" s="583"/>
      <c r="AN154" s="585"/>
      <c r="AO154" s="583"/>
      <c r="AP154" s="584"/>
      <c r="AQ154" s="583"/>
      <c r="AR154" s="585"/>
      <c r="AS154" s="583"/>
      <c r="AT154" s="584"/>
      <c r="AU154" s="583"/>
      <c r="AV154" s="585"/>
      <c r="AW154" s="583"/>
      <c r="AX154" s="584"/>
      <c r="AY154" s="583"/>
      <c r="AZ154" s="585"/>
      <c r="BA154" s="583"/>
      <c r="BB154" s="584"/>
      <c r="BC154" s="583"/>
      <c r="BD154" s="585"/>
      <c r="BE154" s="583"/>
      <c r="BF154" s="584"/>
      <c r="BG154" s="583"/>
      <c r="BH154" s="585"/>
      <c r="BI154" s="583"/>
      <c r="BJ154" s="584"/>
      <c r="BK154" s="583"/>
      <c r="BL154" s="585"/>
      <c r="BM154" s="583"/>
      <c r="BN154" s="584"/>
      <c r="BO154" s="583"/>
      <c r="BP154" s="585"/>
      <c r="BQ154" s="583"/>
      <c r="BR154" s="584"/>
      <c r="BS154" s="583"/>
      <c r="BT154" s="586"/>
      <c r="BU154" s="540"/>
      <c r="BV154" s="540"/>
      <c r="BW154" s="540"/>
      <c r="BX154" s="538"/>
      <c r="BY154" s="538"/>
      <c r="BZ154" s="592"/>
      <c r="CA154" s="633"/>
      <c r="CB154" s="592" t="s">
        <v>365</v>
      </c>
      <c r="CC154" s="592">
        <v>0.0</v>
      </c>
      <c r="CD154" s="592" t="s">
        <v>365</v>
      </c>
      <c r="CE154" s="592">
        <v>0.0</v>
      </c>
      <c r="CF154" s="592"/>
      <c r="CG154" s="592">
        <v>0.0</v>
      </c>
      <c r="CH154" s="592"/>
      <c r="CI154" s="633"/>
      <c r="CJ154" s="592">
        <v>0.0</v>
      </c>
      <c r="CK154" s="479" t="s">
        <v>365</v>
      </c>
      <c r="CL154" s="592"/>
      <c r="CM154" s="593"/>
      <c r="CN154" s="538"/>
      <c r="CO154" s="538"/>
      <c r="CP154" s="538"/>
      <c r="CQ154" s="538"/>
      <c r="CR154" s="538"/>
      <c r="CS154" s="538"/>
      <c r="CT154" s="538"/>
      <c r="CU154" s="538"/>
      <c r="CV154" s="538"/>
      <c r="CW154" s="538"/>
      <c r="CX154" s="538"/>
      <c r="CY154" s="538"/>
      <c r="CZ154" s="538"/>
      <c r="DA154" s="538"/>
      <c r="DB154" s="538"/>
      <c r="DC154" s="538"/>
      <c r="DD154" s="538"/>
      <c r="DE154" s="538"/>
      <c r="DF154" s="538"/>
      <c r="DG154" s="538"/>
      <c r="DH154" s="538"/>
      <c r="DI154" s="538"/>
      <c r="DJ154" s="538"/>
      <c r="DK154" s="538"/>
      <c r="DL154" s="538"/>
      <c r="DM154" s="538"/>
      <c r="DN154" s="538"/>
      <c r="DO154" s="538"/>
      <c r="DP154" s="538"/>
      <c r="DQ154" s="538"/>
      <c r="DR154" s="538"/>
      <c r="DS154" s="538"/>
      <c r="DT154" s="538"/>
      <c r="DU154" s="538"/>
      <c r="DV154" s="538"/>
      <c r="DW154" s="538"/>
      <c r="DX154" s="538"/>
      <c r="DY154" s="538"/>
      <c r="DZ154" s="538"/>
      <c r="EA154" s="538"/>
      <c r="EB154" s="538"/>
      <c r="EC154" s="538"/>
      <c r="ED154" s="538"/>
      <c r="EE154" s="538"/>
      <c r="EF154" s="538"/>
      <c r="EG154" s="538"/>
      <c r="EH154" s="538"/>
      <c r="EI154" s="538"/>
      <c r="EJ154" s="538"/>
      <c r="EK154" s="538"/>
      <c r="EL154" s="538"/>
      <c r="EM154" s="538"/>
      <c r="EN154" s="538"/>
      <c r="EO154" s="538"/>
      <c r="EP154" s="538"/>
      <c r="EQ154" s="538"/>
      <c r="ER154" s="538"/>
      <c r="ES154" s="538"/>
      <c r="ET154" s="538"/>
      <c r="EU154" s="538"/>
      <c r="EV154" s="538"/>
      <c r="EW154" s="538"/>
      <c r="EX154" s="559"/>
      <c r="EY154" s="559"/>
      <c r="EZ154" s="559"/>
      <c r="FA154" s="559"/>
      <c r="FB154" s="559"/>
      <c r="FC154" s="559"/>
      <c r="FD154" s="559"/>
      <c r="FE154" s="559"/>
      <c r="FF154" s="559"/>
      <c r="FG154" s="559"/>
      <c r="FH154" s="559"/>
      <c r="FI154" s="559"/>
      <c r="FJ154" s="559"/>
      <c r="FK154" s="559"/>
      <c r="FL154" s="559"/>
      <c r="FM154" s="559"/>
      <c r="FN154" s="559"/>
      <c r="FO154" s="559"/>
      <c r="FP154" s="559"/>
      <c r="FQ154" s="559"/>
      <c r="FR154" s="559"/>
      <c r="FS154" s="559"/>
      <c r="FT154" s="559"/>
      <c r="FU154" s="559"/>
      <c r="FV154" s="559"/>
      <c r="FW154" s="559"/>
      <c r="FX154" s="559"/>
      <c r="FY154" s="559"/>
      <c r="FZ154" s="559"/>
      <c r="GA154" s="559"/>
      <c r="GB154" s="559"/>
      <c r="GC154" s="559"/>
      <c r="GD154" s="559"/>
      <c r="GE154" s="559"/>
      <c r="GF154" s="559"/>
      <c r="GG154" s="559"/>
      <c r="GH154" s="559"/>
    </row>
    <row r="155">
      <c r="A155" s="538"/>
      <c r="B155" s="156"/>
      <c r="C155" s="444"/>
      <c r="D155" s="614"/>
      <c r="E155" s="66"/>
      <c r="F155" s="642"/>
      <c r="G155" s="642"/>
      <c r="H155" s="615"/>
      <c r="I155" s="616" t="s">
        <v>365</v>
      </c>
      <c r="J155" s="624"/>
      <c r="K155" s="643"/>
      <c r="L155" s="640"/>
      <c r="M155" s="625"/>
      <c r="N155" s="617"/>
      <c r="O155" s="134"/>
      <c r="P155" s="57"/>
      <c r="Q155" s="57"/>
      <c r="S155" s="605"/>
      <c r="U155" s="573"/>
      <c r="V155" s="574"/>
      <c r="W155" s="618"/>
      <c r="X155" s="576">
        <v>0.0</v>
      </c>
      <c r="Y155" s="630">
        <v>0.0</v>
      </c>
      <c r="Z155" s="630" t="s">
        <v>365</v>
      </c>
      <c r="AA155" s="631" t="b">
        <v>0</v>
      </c>
      <c r="AB155" s="631"/>
      <c r="AC155" s="576"/>
      <c r="AD155" s="479">
        <v>0.0</v>
      </c>
      <c r="AE155" s="632"/>
      <c r="AF155" s="582" t="s">
        <v>365</v>
      </c>
      <c r="AG155" s="583"/>
      <c r="AH155" s="584"/>
      <c r="AI155" s="583"/>
      <c r="AJ155" s="585"/>
      <c r="AK155" s="583"/>
      <c r="AL155" s="584"/>
      <c r="AM155" s="583"/>
      <c r="AN155" s="585"/>
      <c r="AO155" s="583"/>
      <c r="AP155" s="584"/>
      <c r="AQ155" s="583"/>
      <c r="AR155" s="585"/>
      <c r="AS155" s="583"/>
      <c r="AT155" s="584"/>
      <c r="AU155" s="583"/>
      <c r="AV155" s="585"/>
      <c r="AW155" s="583"/>
      <c r="AX155" s="584"/>
      <c r="AY155" s="583"/>
      <c r="AZ155" s="585"/>
      <c r="BA155" s="583"/>
      <c r="BB155" s="584"/>
      <c r="BC155" s="583"/>
      <c r="BD155" s="585"/>
      <c r="BE155" s="583"/>
      <c r="BF155" s="584"/>
      <c r="BG155" s="583"/>
      <c r="BH155" s="585"/>
      <c r="BI155" s="583"/>
      <c r="BJ155" s="584"/>
      <c r="BK155" s="583"/>
      <c r="BL155" s="585"/>
      <c r="BM155" s="583"/>
      <c r="BN155" s="584"/>
      <c r="BO155" s="583"/>
      <c r="BP155" s="585"/>
      <c r="BQ155" s="583"/>
      <c r="BR155" s="584"/>
      <c r="BS155" s="583"/>
      <c r="BT155" s="586"/>
      <c r="BU155" s="540"/>
      <c r="BV155" s="540"/>
      <c r="BW155" s="540"/>
      <c r="BX155" s="538"/>
      <c r="BY155" s="538"/>
      <c r="BZ155" s="592"/>
      <c r="CA155" s="633"/>
      <c r="CB155" s="592" t="s">
        <v>365</v>
      </c>
      <c r="CC155" s="592">
        <v>0.0</v>
      </c>
      <c r="CD155" s="592" t="s">
        <v>365</v>
      </c>
      <c r="CE155" s="592">
        <v>0.0</v>
      </c>
      <c r="CF155" s="592"/>
      <c r="CG155" s="592">
        <v>0.0</v>
      </c>
      <c r="CH155" s="592"/>
      <c r="CI155" s="633"/>
      <c r="CJ155" s="592">
        <v>0.0</v>
      </c>
      <c r="CK155" s="479" t="s">
        <v>365</v>
      </c>
      <c r="CL155" s="592"/>
      <c r="CM155" s="593"/>
      <c r="CN155" s="538"/>
      <c r="CO155" s="538"/>
      <c r="CP155" s="538"/>
      <c r="CQ155" s="538"/>
      <c r="CR155" s="538"/>
      <c r="CS155" s="538"/>
      <c r="CT155" s="538"/>
      <c r="CU155" s="538"/>
      <c r="CV155" s="538"/>
      <c r="CW155" s="538"/>
      <c r="CX155" s="538"/>
      <c r="CY155" s="538"/>
      <c r="CZ155" s="538"/>
      <c r="DA155" s="538"/>
      <c r="DB155" s="538"/>
      <c r="DC155" s="538"/>
      <c r="DD155" s="538"/>
      <c r="DE155" s="538"/>
      <c r="DF155" s="538"/>
      <c r="DG155" s="538"/>
      <c r="DH155" s="538"/>
      <c r="DI155" s="538"/>
      <c r="DJ155" s="538"/>
      <c r="DK155" s="538"/>
      <c r="DL155" s="538"/>
      <c r="DM155" s="538"/>
      <c r="DN155" s="538"/>
      <c r="DO155" s="538"/>
      <c r="DP155" s="538"/>
      <c r="DQ155" s="538"/>
      <c r="DR155" s="538"/>
      <c r="DS155" s="538"/>
      <c r="DT155" s="538"/>
      <c r="DU155" s="538"/>
      <c r="DV155" s="538"/>
      <c r="DW155" s="538"/>
      <c r="DX155" s="538"/>
      <c r="DY155" s="538"/>
      <c r="DZ155" s="538"/>
      <c r="EA155" s="538"/>
      <c r="EB155" s="538"/>
      <c r="EC155" s="538"/>
      <c r="ED155" s="538"/>
      <c r="EE155" s="538"/>
      <c r="EF155" s="538"/>
      <c r="EG155" s="538"/>
      <c r="EH155" s="538"/>
      <c r="EI155" s="538"/>
      <c r="EJ155" s="538"/>
      <c r="EK155" s="538"/>
      <c r="EL155" s="538"/>
      <c r="EM155" s="538"/>
      <c r="EN155" s="538"/>
      <c r="EO155" s="538"/>
      <c r="EP155" s="538"/>
      <c r="EQ155" s="538"/>
      <c r="ER155" s="538"/>
      <c r="ES155" s="538"/>
      <c r="ET155" s="538"/>
      <c r="EU155" s="538"/>
      <c r="EV155" s="538"/>
      <c r="EW155" s="538"/>
      <c r="EX155" s="559"/>
      <c r="EY155" s="559"/>
      <c r="EZ155" s="559"/>
      <c r="FA155" s="559"/>
      <c r="FB155" s="559"/>
      <c r="FC155" s="559"/>
      <c r="FD155" s="559"/>
      <c r="FE155" s="559"/>
      <c r="FF155" s="559"/>
      <c r="FG155" s="559"/>
      <c r="FH155" s="559"/>
      <c r="FI155" s="559"/>
      <c r="FJ155" s="559"/>
      <c r="FK155" s="559"/>
      <c r="FL155" s="559"/>
      <c r="FM155" s="559"/>
      <c r="FN155" s="559"/>
      <c r="FO155" s="559"/>
      <c r="FP155" s="559"/>
      <c r="FQ155" s="559"/>
      <c r="FR155" s="559"/>
      <c r="FS155" s="559"/>
      <c r="FT155" s="559"/>
      <c r="FU155" s="559"/>
      <c r="FV155" s="559"/>
      <c r="FW155" s="559"/>
      <c r="FX155" s="559"/>
      <c r="FY155" s="559"/>
      <c r="FZ155" s="559"/>
      <c r="GA155" s="559"/>
      <c r="GB155" s="559"/>
      <c r="GC155" s="559"/>
      <c r="GD155" s="559"/>
      <c r="GE155" s="559"/>
      <c r="GF155" s="559"/>
      <c r="GG155" s="559"/>
      <c r="GH155" s="559"/>
    </row>
    <row r="156">
      <c r="A156" s="538"/>
      <c r="B156" s="156"/>
      <c r="C156" s="444"/>
      <c r="D156" s="614"/>
      <c r="E156" s="68"/>
      <c r="F156" s="644"/>
      <c r="G156" s="644"/>
      <c r="H156" s="627"/>
      <c r="I156" s="622" t="s">
        <v>365</v>
      </c>
      <c r="J156" s="607"/>
      <c r="K156" s="641"/>
      <c r="L156" s="628"/>
      <c r="M156" s="626"/>
      <c r="N156" s="619"/>
      <c r="O156" s="560"/>
      <c r="P156" s="47"/>
      <c r="Q156" s="47"/>
      <c r="S156" s="572"/>
      <c r="U156" s="573"/>
      <c r="V156" s="574"/>
      <c r="W156" s="618"/>
      <c r="X156" s="576">
        <v>0.0</v>
      </c>
      <c r="Y156" s="630">
        <v>0.0</v>
      </c>
      <c r="Z156" s="630" t="s">
        <v>365</v>
      </c>
      <c r="AA156" s="631" t="b">
        <v>0</v>
      </c>
      <c r="AB156" s="631"/>
      <c r="AC156" s="576"/>
      <c r="AD156" s="479">
        <v>0.0</v>
      </c>
      <c r="AE156" s="632"/>
      <c r="AF156" s="582" t="s">
        <v>365</v>
      </c>
      <c r="AG156" s="583"/>
      <c r="AH156" s="584"/>
      <c r="AI156" s="583"/>
      <c r="AJ156" s="585"/>
      <c r="AK156" s="583"/>
      <c r="AL156" s="584"/>
      <c r="AM156" s="583"/>
      <c r="AN156" s="585"/>
      <c r="AO156" s="583"/>
      <c r="AP156" s="584"/>
      <c r="AQ156" s="583"/>
      <c r="AR156" s="585"/>
      <c r="AS156" s="583"/>
      <c r="AT156" s="584"/>
      <c r="AU156" s="583"/>
      <c r="AV156" s="585"/>
      <c r="AW156" s="583"/>
      <c r="AX156" s="584"/>
      <c r="AY156" s="583"/>
      <c r="AZ156" s="585"/>
      <c r="BA156" s="583"/>
      <c r="BB156" s="584"/>
      <c r="BC156" s="583"/>
      <c r="BD156" s="585"/>
      <c r="BE156" s="583"/>
      <c r="BF156" s="584"/>
      <c r="BG156" s="583"/>
      <c r="BH156" s="585"/>
      <c r="BI156" s="583"/>
      <c r="BJ156" s="584"/>
      <c r="BK156" s="583"/>
      <c r="BL156" s="585"/>
      <c r="BM156" s="583"/>
      <c r="BN156" s="584"/>
      <c r="BO156" s="583"/>
      <c r="BP156" s="585"/>
      <c r="BQ156" s="583"/>
      <c r="BR156" s="584"/>
      <c r="BS156" s="583"/>
      <c r="BT156" s="586"/>
      <c r="BU156" s="540"/>
      <c r="BV156" s="540"/>
      <c r="BW156" s="540"/>
      <c r="BX156" s="538"/>
      <c r="BY156" s="538"/>
      <c r="BZ156" s="592"/>
      <c r="CA156" s="633"/>
      <c r="CB156" s="592" t="s">
        <v>365</v>
      </c>
      <c r="CC156" s="592">
        <v>0.0</v>
      </c>
      <c r="CD156" s="592" t="s">
        <v>365</v>
      </c>
      <c r="CE156" s="592">
        <v>0.0</v>
      </c>
      <c r="CF156" s="592"/>
      <c r="CG156" s="592">
        <v>0.0</v>
      </c>
      <c r="CH156" s="592"/>
      <c r="CI156" s="633"/>
      <c r="CJ156" s="592">
        <v>0.0</v>
      </c>
      <c r="CK156" s="479" t="s">
        <v>365</v>
      </c>
      <c r="CL156" s="592"/>
      <c r="CM156" s="593"/>
      <c r="CN156" s="538"/>
      <c r="CO156" s="538"/>
      <c r="CP156" s="538"/>
      <c r="CQ156" s="538"/>
      <c r="CR156" s="538"/>
      <c r="CS156" s="538"/>
      <c r="CT156" s="538"/>
      <c r="CU156" s="538"/>
      <c r="CV156" s="538"/>
      <c r="CW156" s="538"/>
      <c r="CX156" s="538"/>
      <c r="CY156" s="538"/>
      <c r="CZ156" s="538"/>
      <c r="DA156" s="538"/>
      <c r="DB156" s="538"/>
      <c r="DC156" s="538"/>
      <c r="DD156" s="538"/>
      <c r="DE156" s="538"/>
      <c r="DF156" s="538"/>
      <c r="DG156" s="538"/>
      <c r="DH156" s="538"/>
      <c r="DI156" s="538"/>
      <c r="DJ156" s="538"/>
      <c r="DK156" s="538"/>
      <c r="DL156" s="538"/>
      <c r="DM156" s="538"/>
      <c r="DN156" s="538"/>
      <c r="DO156" s="538"/>
      <c r="DP156" s="538"/>
      <c r="DQ156" s="538"/>
      <c r="DR156" s="538"/>
      <c r="DS156" s="538"/>
      <c r="DT156" s="538"/>
      <c r="DU156" s="538"/>
      <c r="DV156" s="538"/>
      <c r="DW156" s="538"/>
      <c r="DX156" s="538"/>
      <c r="DY156" s="538"/>
      <c r="DZ156" s="538"/>
      <c r="EA156" s="538"/>
      <c r="EB156" s="538"/>
      <c r="EC156" s="538"/>
      <c r="ED156" s="538"/>
      <c r="EE156" s="538"/>
      <c r="EF156" s="538"/>
      <c r="EG156" s="538"/>
      <c r="EH156" s="538"/>
      <c r="EI156" s="538"/>
      <c r="EJ156" s="538"/>
      <c r="EK156" s="538"/>
      <c r="EL156" s="538"/>
      <c r="EM156" s="538"/>
      <c r="EN156" s="538"/>
      <c r="EO156" s="538"/>
      <c r="EP156" s="538"/>
      <c r="EQ156" s="538"/>
      <c r="ER156" s="538"/>
      <c r="ES156" s="538"/>
      <c r="ET156" s="538"/>
      <c r="EU156" s="538"/>
      <c r="EV156" s="538"/>
      <c r="EW156" s="538"/>
      <c r="EX156" s="559"/>
      <c r="EY156" s="559"/>
      <c r="EZ156" s="559"/>
      <c r="FA156" s="559"/>
      <c r="FB156" s="559"/>
      <c r="FC156" s="559"/>
      <c r="FD156" s="559"/>
      <c r="FE156" s="559"/>
      <c r="FF156" s="559"/>
      <c r="FG156" s="559"/>
      <c r="FH156" s="559"/>
      <c r="FI156" s="559"/>
      <c r="FJ156" s="559"/>
      <c r="FK156" s="559"/>
      <c r="FL156" s="559"/>
      <c r="FM156" s="559"/>
      <c r="FN156" s="559"/>
      <c r="FO156" s="559"/>
      <c r="FP156" s="559"/>
      <c r="FQ156" s="559"/>
      <c r="FR156" s="559"/>
      <c r="FS156" s="559"/>
      <c r="FT156" s="559"/>
      <c r="FU156" s="559"/>
      <c r="FV156" s="559"/>
      <c r="FW156" s="559"/>
      <c r="FX156" s="559"/>
      <c r="FY156" s="559"/>
      <c r="FZ156" s="559"/>
      <c r="GA156" s="559"/>
      <c r="GB156" s="559"/>
      <c r="GC156" s="559"/>
      <c r="GD156" s="559"/>
      <c r="GE156" s="559"/>
      <c r="GF156" s="559"/>
      <c r="GG156" s="559"/>
      <c r="GH156" s="559"/>
    </row>
    <row r="157">
      <c r="A157" s="538"/>
      <c r="B157" s="156"/>
      <c r="C157" s="444"/>
      <c r="D157" s="614"/>
      <c r="E157" s="66"/>
      <c r="F157" s="642"/>
      <c r="G157" s="642"/>
      <c r="H157" s="615"/>
      <c r="I157" s="616" t="s">
        <v>365</v>
      </c>
      <c r="J157" s="624"/>
      <c r="K157" s="643"/>
      <c r="L157" s="640"/>
      <c r="M157" s="625"/>
      <c r="N157" s="617"/>
      <c r="O157" s="134"/>
      <c r="P157" s="57"/>
      <c r="Q157" s="57"/>
      <c r="S157" s="605"/>
      <c r="U157" s="573"/>
      <c r="V157" s="574"/>
      <c r="W157" s="618"/>
      <c r="X157" s="576">
        <v>0.0</v>
      </c>
      <c r="Y157" s="630">
        <v>0.0</v>
      </c>
      <c r="Z157" s="630" t="s">
        <v>365</v>
      </c>
      <c r="AA157" s="631" t="b">
        <v>0</v>
      </c>
      <c r="AB157" s="631"/>
      <c r="AC157" s="576"/>
      <c r="AD157" s="479">
        <v>0.0</v>
      </c>
      <c r="AE157" s="632"/>
      <c r="AF157" s="582" t="s">
        <v>365</v>
      </c>
      <c r="AG157" s="583"/>
      <c r="AH157" s="584"/>
      <c r="AI157" s="583"/>
      <c r="AJ157" s="585"/>
      <c r="AK157" s="583"/>
      <c r="AL157" s="584"/>
      <c r="AM157" s="583"/>
      <c r="AN157" s="585"/>
      <c r="AO157" s="583"/>
      <c r="AP157" s="584"/>
      <c r="AQ157" s="583"/>
      <c r="AR157" s="585"/>
      <c r="AS157" s="583"/>
      <c r="AT157" s="584"/>
      <c r="AU157" s="583"/>
      <c r="AV157" s="585"/>
      <c r="AW157" s="583"/>
      <c r="AX157" s="584"/>
      <c r="AY157" s="583"/>
      <c r="AZ157" s="585"/>
      <c r="BA157" s="583"/>
      <c r="BB157" s="584"/>
      <c r="BC157" s="583"/>
      <c r="BD157" s="585"/>
      <c r="BE157" s="583"/>
      <c r="BF157" s="584"/>
      <c r="BG157" s="583"/>
      <c r="BH157" s="585"/>
      <c r="BI157" s="583"/>
      <c r="BJ157" s="584"/>
      <c r="BK157" s="583"/>
      <c r="BL157" s="585"/>
      <c r="BM157" s="583"/>
      <c r="BN157" s="584"/>
      <c r="BO157" s="583"/>
      <c r="BP157" s="585"/>
      <c r="BQ157" s="583"/>
      <c r="BR157" s="584"/>
      <c r="BS157" s="583"/>
      <c r="BT157" s="586"/>
      <c r="BU157" s="540"/>
      <c r="BV157" s="540"/>
      <c r="BW157" s="540"/>
      <c r="BX157" s="538"/>
      <c r="BY157" s="538"/>
      <c r="BZ157" s="592"/>
      <c r="CA157" s="633"/>
      <c r="CB157" s="592" t="s">
        <v>365</v>
      </c>
      <c r="CC157" s="592">
        <v>0.0</v>
      </c>
      <c r="CD157" s="592" t="s">
        <v>365</v>
      </c>
      <c r="CE157" s="592">
        <v>0.0</v>
      </c>
      <c r="CF157" s="592"/>
      <c r="CG157" s="592">
        <v>0.0</v>
      </c>
      <c r="CH157" s="592"/>
      <c r="CI157" s="633"/>
      <c r="CJ157" s="592">
        <v>0.0</v>
      </c>
      <c r="CK157" s="479" t="s">
        <v>365</v>
      </c>
      <c r="CL157" s="592"/>
      <c r="CM157" s="593"/>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c r="DI157" s="538"/>
      <c r="DJ157" s="538"/>
      <c r="DK157" s="538"/>
      <c r="DL157" s="538"/>
      <c r="DM157" s="538"/>
      <c r="DN157" s="538"/>
      <c r="DO157" s="538"/>
      <c r="DP157" s="538"/>
      <c r="DQ157" s="538"/>
      <c r="DR157" s="538"/>
      <c r="DS157" s="538"/>
      <c r="DT157" s="538"/>
      <c r="DU157" s="538"/>
      <c r="DV157" s="538"/>
      <c r="DW157" s="538"/>
      <c r="DX157" s="538"/>
      <c r="DY157" s="538"/>
      <c r="DZ157" s="538"/>
      <c r="EA157" s="538"/>
      <c r="EB157" s="538"/>
      <c r="EC157" s="538"/>
      <c r="ED157" s="538"/>
      <c r="EE157" s="538"/>
      <c r="EF157" s="538"/>
      <c r="EG157" s="538"/>
      <c r="EH157" s="538"/>
      <c r="EI157" s="538"/>
      <c r="EJ157" s="538"/>
      <c r="EK157" s="538"/>
      <c r="EL157" s="538"/>
      <c r="EM157" s="538"/>
      <c r="EN157" s="538"/>
      <c r="EO157" s="538"/>
      <c r="EP157" s="538"/>
      <c r="EQ157" s="538"/>
      <c r="ER157" s="538"/>
      <c r="ES157" s="538"/>
      <c r="ET157" s="538"/>
      <c r="EU157" s="538"/>
      <c r="EV157" s="538"/>
      <c r="EW157" s="538"/>
      <c r="EX157" s="559"/>
      <c r="EY157" s="559"/>
      <c r="EZ157" s="559"/>
      <c r="FA157" s="559"/>
      <c r="FB157" s="559"/>
      <c r="FC157" s="559"/>
      <c r="FD157" s="559"/>
      <c r="FE157" s="559"/>
      <c r="FF157" s="559"/>
      <c r="FG157" s="559"/>
      <c r="FH157" s="559"/>
      <c r="FI157" s="559"/>
      <c r="FJ157" s="559"/>
      <c r="FK157" s="559"/>
      <c r="FL157" s="559"/>
      <c r="FM157" s="559"/>
      <c r="FN157" s="559"/>
      <c r="FO157" s="559"/>
      <c r="FP157" s="559"/>
      <c r="FQ157" s="559"/>
      <c r="FR157" s="559"/>
      <c r="FS157" s="559"/>
      <c r="FT157" s="559"/>
      <c r="FU157" s="559"/>
      <c r="FV157" s="559"/>
      <c r="FW157" s="559"/>
      <c r="FX157" s="559"/>
      <c r="FY157" s="559"/>
      <c r="FZ157" s="559"/>
      <c r="GA157" s="559"/>
      <c r="GB157" s="559"/>
      <c r="GC157" s="559"/>
      <c r="GD157" s="559"/>
      <c r="GE157" s="559"/>
      <c r="GF157" s="559"/>
      <c r="GG157" s="559"/>
      <c r="GH157" s="559"/>
    </row>
    <row r="158">
      <c r="A158" s="538"/>
      <c r="B158" s="156"/>
      <c r="C158" s="444"/>
      <c r="D158" s="614"/>
      <c r="E158" s="68"/>
      <c r="F158" s="644"/>
      <c r="G158" s="644"/>
      <c r="H158" s="627"/>
      <c r="I158" s="622" t="s">
        <v>365</v>
      </c>
      <c r="J158" s="607"/>
      <c r="K158" s="641"/>
      <c r="L158" s="628"/>
      <c r="M158" s="626"/>
      <c r="N158" s="619"/>
      <c r="O158" s="560"/>
      <c r="P158" s="47"/>
      <c r="Q158" s="47"/>
      <c r="S158" s="572"/>
      <c r="U158" s="573"/>
      <c r="V158" s="574"/>
      <c r="W158" s="618"/>
      <c r="X158" s="576">
        <v>0.0</v>
      </c>
      <c r="Y158" s="630">
        <v>0.0</v>
      </c>
      <c r="Z158" s="630" t="s">
        <v>365</v>
      </c>
      <c r="AA158" s="631" t="b">
        <v>0</v>
      </c>
      <c r="AB158" s="631"/>
      <c r="AC158" s="576"/>
      <c r="AD158" s="479">
        <v>0.0</v>
      </c>
      <c r="AE158" s="632"/>
      <c r="AF158" s="582" t="s">
        <v>365</v>
      </c>
      <c r="AG158" s="583"/>
      <c r="AH158" s="584"/>
      <c r="AI158" s="583"/>
      <c r="AJ158" s="585"/>
      <c r="AK158" s="583"/>
      <c r="AL158" s="584"/>
      <c r="AM158" s="583"/>
      <c r="AN158" s="585"/>
      <c r="AO158" s="583"/>
      <c r="AP158" s="584"/>
      <c r="AQ158" s="583"/>
      <c r="AR158" s="585"/>
      <c r="AS158" s="583"/>
      <c r="AT158" s="584"/>
      <c r="AU158" s="583"/>
      <c r="AV158" s="585"/>
      <c r="AW158" s="583"/>
      <c r="AX158" s="584"/>
      <c r="AY158" s="583"/>
      <c r="AZ158" s="585"/>
      <c r="BA158" s="583"/>
      <c r="BB158" s="584"/>
      <c r="BC158" s="583"/>
      <c r="BD158" s="585"/>
      <c r="BE158" s="583"/>
      <c r="BF158" s="584"/>
      <c r="BG158" s="583"/>
      <c r="BH158" s="585"/>
      <c r="BI158" s="583"/>
      <c r="BJ158" s="584"/>
      <c r="BK158" s="583"/>
      <c r="BL158" s="585"/>
      <c r="BM158" s="583"/>
      <c r="BN158" s="584"/>
      <c r="BO158" s="583"/>
      <c r="BP158" s="585"/>
      <c r="BQ158" s="583"/>
      <c r="BR158" s="584"/>
      <c r="BS158" s="583"/>
      <c r="BT158" s="586"/>
      <c r="BU158" s="540"/>
      <c r="BV158" s="540"/>
      <c r="BW158" s="540"/>
      <c r="BX158" s="538"/>
      <c r="BY158" s="538"/>
      <c r="BZ158" s="592"/>
      <c r="CA158" s="633"/>
      <c r="CB158" s="592" t="s">
        <v>365</v>
      </c>
      <c r="CC158" s="592">
        <v>0.0</v>
      </c>
      <c r="CD158" s="592" t="s">
        <v>365</v>
      </c>
      <c r="CE158" s="592">
        <v>0.0</v>
      </c>
      <c r="CF158" s="592"/>
      <c r="CG158" s="592">
        <v>0.0</v>
      </c>
      <c r="CH158" s="592"/>
      <c r="CI158" s="633"/>
      <c r="CJ158" s="592">
        <v>0.0</v>
      </c>
      <c r="CK158" s="479" t="s">
        <v>365</v>
      </c>
      <c r="CL158" s="592"/>
      <c r="CM158" s="593"/>
      <c r="CN158" s="538"/>
      <c r="CO158" s="538"/>
      <c r="CP158" s="538"/>
      <c r="CQ158" s="538"/>
      <c r="CR158" s="538"/>
      <c r="CS158" s="538"/>
      <c r="CT158" s="538"/>
      <c r="CU158" s="538"/>
      <c r="CV158" s="538"/>
      <c r="CW158" s="538"/>
      <c r="CX158" s="538"/>
      <c r="CY158" s="538"/>
      <c r="CZ158" s="538"/>
      <c r="DA158" s="538"/>
      <c r="DB158" s="538"/>
      <c r="DC158" s="538"/>
      <c r="DD158" s="538"/>
      <c r="DE158" s="538"/>
      <c r="DF158" s="538"/>
      <c r="DG158" s="538"/>
      <c r="DH158" s="538"/>
      <c r="DI158" s="538"/>
      <c r="DJ158" s="538"/>
      <c r="DK158" s="538"/>
      <c r="DL158" s="538"/>
      <c r="DM158" s="538"/>
      <c r="DN158" s="538"/>
      <c r="DO158" s="538"/>
      <c r="DP158" s="538"/>
      <c r="DQ158" s="538"/>
      <c r="DR158" s="538"/>
      <c r="DS158" s="538"/>
      <c r="DT158" s="538"/>
      <c r="DU158" s="538"/>
      <c r="DV158" s="538"/>
      <c r="DW158" s="538"/>
      <c r="DX158" s="538"/>
      <c r="DY158" s="538"/>
      <c r="DZ158" s="538"/>
      <c r="EA158" s="538"/>
      <c r="EB158" s="538"/>
      <c r="EC158" s="538"/>
      <c r="ED158" s="538"/>
      <c r="EE158" s="538"/>
      <c r="EF158" s="538"/>
      <c r="EG158" s="538"/>
      <c r="EH158" s="538"/>
      <c r="EI158" s="538"/>
      <c r="EJ158" s="538"/>
      <c r="EK158" s="538"/>
      <c r="EL158" s="538"/>
      <c r="EM158" s="538"/>
      <c r="EN158" s="538"/>
      <c r="EO158" s="538"/>
      <c r="EP158" s="538"/>
      <c r="EQ158" s="538"/>
      <c r="ER158" s="538"/>
      <c r="ES158" s="538"/>
      <c r="ET158" s="538"/>
      <c r="EU158" s="538"/>
      <c r="EV158" s="538"/>
      <c r="EW158" s="538"/>
      <c r="EX158" s="559"/>
      <c r="EY158" s="559"/>
      <c r="EZ158" s="559"/>
      <c r="FA158" s="559"/>
      <c r="FB158" s="559"/>
      <c r="FC158" s="559"/>
      <c r="FD158" s="559"/>
      <c r="FE158" s="559"/>
      <c r="FF158" s="559"/>
      <c r="FG158" s="559"/>
      <c r="FH158" s="559"/>
      <c r="FI158" s="559"/>
      <c r="FJ158" s="559"/>
      <c r="FK158" s="559"/>
      <c r="FL158" s="559"/>
      <c r="FM158" s="559"/>
      <c r="FN158" s="559"/>
      <c r="FO158" s="559"/>
      <c r="FP158" s="559"/>
      <c r="FQ158" s="559"/>
      <c r="FR158" s="559"/>
      <c r="FS158" s="559"/>
      <c r="FT158" s="559"/>
      <c r="FU158" s="559"/>
      <c r="FV158" s="559"/>
      <c r="FW158" s="559"/>
      <c r="FX158" s="559"/>
      <c r="FY158" s="559"/>
      <c r="FZ158" s="559"/>
      <c r="GA158" s="559"/>
      <c r="GB158" s="559"/>
      <c r="GC158" s="559"/>
      <c r="GD158" s="559"/>
      <c r="GE158" s="559"/>
      <c r="GF158" s="559"/>
      <c r="GG158" s="559"/>
      <c r="GH158" s="559"/>
    </row>
    <row r="159">
      <c r="A159" s="538"/>
      <c r="B159" s="156"/>
      <c r="C159" s="444"/>
      <c r="D159" s="614"/>
      <c r="E159" s="66"/>
      <c r="F159" s="642"/>
      <c r="G159" s="642"/>
      <c r="H159" s="615"/>
      <c r="I159" s="616" t="s">
        <v>365</v>
      </c>
      <c r="J159" s="624"/>
      <c r="K159" s="643"/>
      <c r="L159" s="640"/>
      <c r="M159" s="625"/>
      <c r="N159" s="617"/>
      <c r="O159" s="134"/>
      <c r="P159" s="57"/>
      <c r="Q159" s="57"/>
      <c r="S159" s="605"/>
      <c r="U159" s="573"/>
      <c r="V159" s="574"/>
      <c r="W159" s="618"/>
      <c r="X159" s="576">
        <v>0.0</v>
      </c>
      <c r="Y159" s="630">
        <v>0.0</v>
      </c>
      <c r="Z159" s="630" t="s">
        <v>365</v>
      </c>
      <c r="AA159" s="631" t="b">
        <v>0</v>
      </c>
      <c r="AB159" s="631"/>
      <c r="AC159" s="576"/>
      <c r="AD159" s="479">
        <v>0.0</v>
      </c>
      <c r="AE159" s="632"/>
      <c r="AF159" s="582" t="s">
        <v>365</v>
      </c>
      <c r="AG159" s="583"/>
      <c r="AH159" s="584"/>
      <c r="AI159" s="583"/>
      <c r="AJ159" s="585"/>
      <c r="AK159" s="583"/>
      <c r="AL159" s="584"/>
      <c r="AM159" s="583"/>
      <c r="AN159" s="585"/>
      <c r="AO159" s="583"/>
      <c r="AP159" s="584"/>
      <c r="AQ159" s="583"/>
      <c r="AR159" s="585"/>
      <c r="AS159" s="583"/>
      <c r="AT159" s="584"/>
      <c r="AU159" s="583"/>
      <c r="AV159" s="585"/>
      <c r="AW159" s="583"/>
      <c r="AX159" s="584"/>
      <c r="AY159" s="583"/>
      <c r="AZ159" s="585"/>
      <c r="BA159" s="583"/>
      <c r="BB159" s="584"/>
      <c r="BC159" s="583"/>
      <c r="BD159" s="585"/>
      <c r="BE159" s="583"/>
      <c r="BF159" s="584"/>
      <c r="BG159" s="583"/>
      <c r="BH159" s="585"/>
      <c r="BI159" s="583"/>
      <c r="BJ159" s="584"/>
      <c r="BK159" s="583"/>
      <c r="BL159" s="585"/>
      <c r="BM159" s="583"/>
      <c r="BN159" s="584"/>
      <c r="BO159" s="583"/>
      <c r="BP159" s="585"/>
      <c r="BQ159" s="583"/>
      <c r="BR159" s="584"/>
      <c r="BS159" s="583"/>
      <c r="BT159" s="586"/>
      <c r="BU159" s="540"/>
      <c r="BV159" s="540"/>
      <c r="BW159" s="540"/>
      <c r="BX159" s="538"/>
      <c r="BY159" s="538"/>
      <c r="BZ159" s="592"/>
      <c r="CA159" s="633"/>
      <c r="CB159" s="592" t="s">
        <v>365</v>
      </c>
      <c r="CC159" s="592">
        <v>0.0</v>
      </c>
      <c r="CD159" s="592" t="s">
        <v>365</v>
      </c>
      <c r="CE159" s="592">
        <v>0.0</v>
      </c>
      <c r="CF159" s="592"/>
      <c r="CG159" s="592">
        <v>0.0</v>
      </c>
      <c r="CH159" s="592"/>
      <c r="CI159" s="633"/>
      <c r="CJ159" s="592">
        <v>0.0</v>
      </c>
      <c r="CK159" s="479" t="s">
        <v>365</v>
      </c>
      <c r="CL159" s="592"/>
      <c r="CM159" s="593"/>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c r="DI159" s="538"/>
      <c r="DJ159" s="538"/>
      <c r="DK159" s="538"/>
      <c r="DL159" s="538"/>
      <c r="DM159" s="538"/>
      <c r="DN159" s="538"/>
      <c r="DO159" s="538"/>
      <c r="DP159" s="538"/>
      <c r="DQ159" s="538"/>
      <c r="DR159" s="538"/>
      <c r="DS159" s="538"/>
      <c r="DT159" s="538"/>
      <c r="DU159" s="538"/>
      <c r="DV159" s="538"/>
      <c r="DW159" s="538"/>
      <c r="DX159" s="538"/>
      <c r="DY159" s="538"/>
      <c r="DZ159" s="538"/>
      <c r="EA159" s="538"/>
      <c r="EB159" s="538"/>
      <c r="EC159" s="538"/>
      <c r="ED159" s="538"/>
      <c r="EE159" s="538"/>
      <c r="EF159" s="538"/>
      <c r="EG159" s="538"/>
      <c r="EH159" s="538"/>
      <c r="EI159" s="538"/>
      <c r="EJ159" s="538"/>
      <c r="EK159" s="538"/>
      <c r="EL159" s="538"/>
      <c r="EM159" s="538"/>
      <c r="EN159" s="538"/>
      <c r="EO159" s="538"/>
      <c r="EP159" s="538"/>
      <c r="EQ159" s="538"/>
      <c r="ER159" s="538"/>
      <c r="ES159" s="538"/>
      <c r="ET159" s="538"/>
      <c r="EU159" s="538"/>
      <c r="EV159" s="538"/>
      <c r="EW159" s="538"/>
      <c r="EX159" s="559"/>
      <c r="EY159" s="559"/>
      <c r="EZ159" s="559"/>
      <c r="FA159" s="559"/>
      <c r="FB159" s="559"/>
      <c r="FC159" s="559"/>
      <c r="FD159" s="559"/>
      <c r="FE159" s="559"/>
      <c r="FF159" s="559"/>
      <c r="FG159" s="559"/>
      <c r="FH159" s="559"/>
      <c r="FI159" s="559"/>
      <c r="FJ159" s="559"/>
      <c r="FK159" s="559"/>
      <c r="FL159" s="559"/>
      <c r="FM159" s="559"/>
      <c r="FN159" s="559"/>
      <c r="FO159" s="559"/>
      <c r="FP159" s="559"/>
      <c r="FQ159" s="559"/>
      <c r="FR159" s="559"/>
      <c r="FS159" s="559"/>
      <c r="FT159" s="559"/>
      <c r="FU159" s="559"/>
      <c r="FV159" s="559"/>
      <c r="FW159" s="559"/>
      <c r="FX159" s="559"/>
      <c r="FY159" s="559"/>
      <c r="FZ159" s="559"/>
      <c r="GA159" s="559"/>
      <c r="GB159" s="559"/>
      <c r="GC159" s="559"/>
      <c r="GD159" s="559"/>
      <c r="GE159" s="559"/>
      <c r="GF159" s="559"/>
      <c r="GG159" s="559"/>
      <c r="GH159" s="559"/>
    </row>
    <row r="160">
      <c r="A160" s="538"/>
      <c r="B160" s="156"/>
      <c r="C160" s="444"/>
      <c r="D160" s="614"/>
      <c r="E160" s="68"/>
      <c r="F160" s="644"/>
      <c r="G160" s="644"/>
      <c r="H160" s="627"/>
      <c r="I160" s="622" t="s">
        <v>365</v>
      </c>
      <c r="J160" s="607"/>
      <c r="K160" s="641"/>
      <c r="L160" s="628"/>
      <c r="M160" s="626"/>
      <c r="N160" s="619"/>
      <c r="O160" s="560"/>
      <c r="P160" s="47"/>
      <c r="Q160" s="47"/>
      <c r="S160" s="572"/>
      <c r="U160" s="573"/>
      <c r="V160" s="574"/>
      <c r="W160" s="618"/>
      <c r="X160" s="576">
        <v>0.0</v>
      </c>
      <c r="Y160" s="630">
        <v>0.0</v>
      </c>
      <c r="Z160" s="630" t="s">
        <v>365</v>
      </c>
      <c r="AA160" s="631" t="b">
        <v>0</v>
      </c>
      <c r="AB160" s="631"/>
      <c r="AC160" s="576"/>
      <c r="AD160" s="479">
        <v>0.0</v>
      </c>
      <c r="AE160" s="632"/>
      <c r="AF160" s="582" t="s">
        <v>365</v>
      </c>
      <c r="AG160" s="583"/>
      <c r="AH160" s="584"/>
      <c r="AI160" s="583"/>
      <c r="AJ160" s="585"/>
      <c r="AK160" s="583"/>
      <c r="AL160" s="584"/>
      <c r="AM160" s="583"/>
      <c r="AN160" s="585"/>
      <c r="AO160" s="583"/>
      <c r="AP160" s="584"/>
      <c r="AQ160" s="583"/>
      <c r="AR160" s="585"/>
      <c r="AS160" s="583"/>
      <c r="AT160" s="584"/>
      <c r="AU160" s="583"/>
      <c r="AV160" s="585"/>
      <c r="AW160" s="583"/>
      <c r="AX160" s="584"/>
      <c r="AY160" s="583"/>
      <c r="AZ160" s="585"/>
      <c r="BA160" s="583"/>
      <c r="BB160" s="584"/>
      <c r="BC160" s="583"/>
      <c r="BD160" s="585"/>
      <c r="BE160" s="583"/>
      <c r="BF160" s="584"/>
      <c r="BG160" s="583"/>
      <c r="BH160" s="585"/>
      <c r="BI160" s="583"/>
      <c r="BJ160" s="584"/>
      <c r="BK160" s="583"/>
      <c r="BL160" s="585"/>
      <c r="BM160" s="583"/>
      <c r="BN160" s="584"/>
      <c r="BO160" s="583"/>
      <c r="BP160" s="585"/>
      <c r="BQ160" s="583"/>
      <c r="BR160" s="584"/>
      <c r="BS160" s="583"/>
      <c r="BT160" s="586"/>
      <c r="BU160" s="540"/>
      <c r="BV160" s="540"/>
      <c r="BW160" s="540"/>
      <c r="BX160" s="538"/>
      <c r="BY160" s="538"/>
      <c r="BZ160" s="592"/>
      <c r="CA160" s="633"/>
      <c r="CB160" s="592" t="s">
        <v>365</v>
      </c>
      <c r="CC160" s="592">
        <v>0.0</v>
      </c>
      <c r="CD160" s="592" t="s">
        <v>365</v>
      </c>
      <c r="CE160" s="592">
        <v>0.0</v>
      </c>
      <c r="CF160" s="592"/>
      <c r="CG160" s="592">
        <v>0.0</v>
      </c>
      <c r="CH160" s="592"/>
      <c r="CI160" s="633"/>
      <c r="CJ160" s="592">
        <v>0.0</v>
      </c>
      <c r="CK160" s="479" t="s">
        <v>365</v>
      </c>
      <c r="CL160" s="592"/>
      <c r="CM160" s="593"/>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c r="DI160" s="538"/>
      <c r="DJ160" s="538"/>
      <c r="DK160" s="538"/>
      <c r="DL160" s="538"/>
      <c r="DM160" s="538"/>
      <c r="DN160" s="538"/>
      <c r="DO160" s="538"/>
      <c r="DP160" s="538"/>
      <c r="DQ160" s="538"/>
      <c r="DR160" s="538"/>
      <c r="DS160" s="538"/>
      <c r="DT160" s="538"/>
      <c r="DU160" s="538"/>
      <c r="DV160" s="538"/>
      <c r="DW160" s="538"/>
      <c r="DX160" s="538"/>
      <c r="DY160" s="538"/>
      <c r="DZ160" s="538"/>
      <c r="EA160" s="538"/>
      <c r="EB160" s="538"/>
      <c r="EC160" s="538"/>
      <c r="ED160" s="538"/>
      <c r="EE160" s="538"/>
      <c r="EF160" s="538"/>
      <c r="EG160" s="538"/>
      <c r="EH160" s="538"/>
      <c r="EI160" s="538"/>
      <c r="EJ160" s="538"/>
      <c r="EK160" s="538"/>
      <c r="EL160" s="538"/>
      <c r="EM160" s="538"/>
      <c r="EN160" s="538"/>
      <c r="EO160" s="538"/>
      <c r="EP160" s="538"/>
      <c r="EQ160" s="538"/>
      <c r="ER160" s="538"/>
      <c r="ES160" s="538"/>
      <c r="ET160" s="538"/>
      <c r="EU160" s="538"/>
      <c r="EV160" s="538"/>
      <c r="EW160" s="538"/>
      <c r="EX160" s="559"/>
      <c r="EY160" s="559"/>
      <c r="EZ160" s="559"/>
      <c r="FA160" s="559"/>
      <c r="FB160" s="559"/>
      <c r="FC160" s="559"/>
      <c r="FD160" s="559"/>
      <c r="FE160" s="559"/>
      <c r="FF160" s="559"/>
      <c r="FG160" s="559"/>
      <c r="FH160" s="559"/>
      <c r="FI160" s="559"/>
      <c r="FJ160" s="559"/>
      <c r="FK160" s="559"/>
      <c r="FL160" s="559"/>
      <c r="FM160" s="559"/>
      <c r="FN160" s="559"/>
      <c r="FO160" s="559"/>
      <c r="FP160" s="559"/>
      <c r="FQ160" s="559"/>
      <c r="FR160" s="559"/>
      <c r="FS160" s="559"/>
      <c r="FT160" s="559"/>
      <c r="FU160" s="559"/>
      <c r="FV160" s="559"/>
      <c r="FW160" s="559"/>
      <c r="FX160" s="559"/>
      <c r="FY160" s="559"/>
      <c r="FZ160" s="559"/>
      <c r="GA160" s="559"/>
      <c r="GB160" s="559"/>
      <c r="GC160" s="559"/>
      <c r="GD160" s="559"/>
      <c r="GE160" s="559"/>
      <c r="GF160" s="559"/>
      <c r="GG160" s="559"/>
      <c r="GH160" s="559"/>
    </row>
    <row r="161">
      <c r="A161" s="538"/>
      <c r="B161" s="156"/>
      <c r="C161" s="444"/>
      <c r="D161" s="614"/>
      <c r="E161" s="66"/>
      <c r="F161" s="642"/>
      <c r="G161" s="642"/>
      <c r="H161" s="615"/>
      <c r="I161" s="616" t="s">
        <v>365</v>
      </c>
      <c r="J161" s="624"/>
      <c r="K161" s="643"/>
      <c r="L161" s="640"/>
      <c r="M161" s="625"/>
      <c r="N161" s="617"/>
      <c r="O161" s="134"/>
      <c r="P161" s="57"/>
      <c r="Q161" s="57"/>
      <c r="S161" s="605"/>
      <c r="U161" s="573"/>
      <c r="V161" s="574"/>
      <c r="W161" s="618"/>
      <c r="X161" s="576">
        <v>0.0</v>
      </c>
      <c r="Y161" s="630">
        <v>0.0</v>
      </c>
      <c r="Z161" s="630" t="s">
        <v>365</v>
      </c>
      <c r="AA161" s="631" t="b">
        <v>0</v>
      </c>
      <c r="AB161" s="631"/>
      <c r="AC161" s="576"/>
      <c r="AD161" s="479">
        <v>0.0</v>
      </c>
      <c r="AE161" s="632"/>
      <c r="AF161" s="582" t="s">
        <v>365</v>
      </c>
      <c r="AG161" s="583"/>
      <c r="AH161" s="584"/>
      <c r="AI161" s="583"/>
      <c r="AJ161" s="585"/>
      <c r="AK161" s="583"/>
      <c r="AL161" s="584"/>
      <c r="AM161" s="583"/>
      <c r="AN161" s="585"/>
      <c r="AO161" s="583"/>
      <c r="AP161" s="584"/>
      <c r="AQ161" s="583"/>
      <c r="AR161" s="585"/>
      <c r="AS161" s="583"/>
      <c r="AT161" s="584"/>
      <c r="AU161" s="583"/>
      <c r="AV161" s="585"/>
      <c r="AW161" s="583"/>
      <c r="AX161" s="584"/>
      <c r="AY161" s="583"/>
      <c r="AZ161" s="585"/>
      <c r="BA161" s="583"/>
      <c r="BB161" s="584"/>
      <c r="BC161" s="583"/>
      <c r="BD161" s="585"/>
      <c r="BE161" s="583"/>
      <c r="BF161" s="584"/>
      <c r="BG161" s="583"/>
      <c r="BH161" s="585"/>
      <c r="BI161" s="583"/>
      <c r="BJ161" s="584"/>
      <c r="BK161" s="583"/>
      <c r="BL161" s="585"/>
      <c r="BM161" s="583"/>
      <c r="BN161" s="584"/>
      <c r="BO161" s="583"/>
      <c r="BP161" s="585"/>
      <c r="BQ161" s="583"/>
      <c r="BR161" s="584"/>
      <c r="BS161" s="583"/>
      <c r="BT161" s="586"/>
      <c r="BU161" s="540"/>
      <c r="BV161" s="540"/>
      <c r="BW161" s="540"/>
      <c r="BX161" s="538"/>
      <c r="BY161" s="538"/>
      <c r="BZ161" s="592"/>
      <c r="CA161" s="633"/>
      <c r="CB161" s="592" t="s">
        <v>365</v>
      </c>
      <c r="CC161" s="592">
        <v>0.0</v>
      </c>
      <c r="CD161" s="592" t="s">
        <v>365</v>
      </c>
      <c r="CE161" s="592">
        <v>0.0</v>
      </c>
      <c r="CF161" s="592"/>
      <c r="CG161" s="592">
        <v>0.0</v>
      </c>
      <c r="CH161" s="592"/>
      <c r="CI161" s="633"/>
      <c r="CJ161" s="592">
        <v>0.0</v>
      </c>
      <c r="CK161" s="479" t="s">
        <v>365</v>
      </c>
      <c r="CL161" s="592"/>
      <c r="CM161" s="593"/>
      <c r="CN161" s="538"/>
      <c r="CO161" s="538"/>
      <c r="CP161" s="538"/>
      <c r="CQ161" s="538"/>
      <c r="CR161" s="538"/>
      <c r="CS161" s="538"/>
      <c r="CT161" s="538"/>
      <c r="CU161" s="538"/>
      <c r="CV161" s="538"/>
      <c r="CW161" s="538"/>
      <c r="CX161" s="538"/>
      <c r="CY161" s="538"/>
      <c r="CZ161" s="538"/>
      <c r="DA161" s="538"/>
      <c r="DB161" s="538"/>
      <c r="DC161" s="538"/>
      <c r="DD161" s="538"/>
      <c r="DE161" s="538"/>
      <c r="DF161" s="538"/>
      <c r="DG161" s="538"/>
      <c r="DH161" s="538"/>
      <c r="DI161" s="538"/>
      <c r="DJ161" s="538"/>
      <c r="DK161" s="538"/>
      <c r="DL161" s="538"/>
      <c r="DM161" s="538"/>
      <c r="DN161" s="538"/>
      <c r="DO161" s="538"/>
      <c r="DP161" s="538"/>
      <c r="DQ161" s="538"/>
      <c r="DR161" s="538"/>
      <c r="DS161" s="538"/>
      <c r="DT161" s="538"/>
      <c r="DU161" s="538"/>
      <c r="DV161" s="538"/>
      <c r="DW161" s="538"/>
      <c r="DX161" s="538"/>
      <c r="DY161" s="538"/>
      <c r="DZ161" s="538"/>
      <c r="EA161" s="538"/>
      <c r="EB161" s="538"/>
      <c r="EC161" s="538"/>
      <c r="ED161" s="538"/>
      <c r="EE161" s="538"/>
      <c r="EF161" s="538"/>
      <c r="EG161" s="538"/>
      <c r="EH161" s="538"/>
      <c r="EI161" s="538"/>
      <c r="EJ161" s="538"/>
      <c r="EK161" s="538"/>
      <c r="EL161" s="538"/>
      <c r="EM161" s="538"/>
      <c r="EN161" s="538"/>
      <c r="EO161" s="538"/>
      <c r="EP161" s="538"/>
      <c r="EQ161" s="538"/>
      <c r="ER161" s="538"/>
      <c r="ES161" s="538"/>
      <c r="ET161" s="538"/>
      <c r="EU161" s="538"/>
      <c r="EV161" s="538"/>
      <c r="EW161" s="538"/>
      <c r="EX161" s="559"/>
      <c r="EY161" s="559"/>
      <c r="EZ161" s="559"/>
      <c r="FA161" s="559"/>
      <c r="FB161" s="559"/>
      <c r="FC161" s="559"/>
      <c r="FD161" s="559"/>
      <c r="FE161" s="559"/>
      <c r="FF161" s="559"/>
      <c r="FG161" s="559"/>
      <c r="FH161" s="559"/>
      <c r="FI161" s="559"/>
      <c r="FJ161" s="559"/>
      <c r="FK161" s="559"/>
      <c r="FL161" s="559"/>
      <c r="FM161" s="559"/>
      <c r="FN161" s="559"/>
      <c r="FO161" s="559"/>
      <c r="FP161" s="559"/>
      <c r="FQ161" s="559"/>
      <c r="FR161" s="559"/>
      <c r="FS161" s="559"/>
      <c r="FT161" s="559"/>
      <c r="FU161" s="559"/>
      <c r="FV161" s="559"/>
      <c r="FW161" s="559"/>
      <c r="FX161" s="559"/>
      <c r="FY161" s="559"/>
      <c r="FZ161" s="559"/>
      <c r="GA161" s="559"/>
      <c r="GB161" s="559"/>
      <c r="GC161" s="559"/>
      <c r="GD161" s="559"/>
      <c r="GE161" s="559"/>
      <c r="GF161" s="559"/>
      <c r="GG161" s="559"/>
      <c r="GH161" s="559"/>
    </row>
    <row r="162">
      <c r="A162" s="538"/>
      <c r="B162" s="156"/>
      <c r="C162" s="444"/>
      <c r="D162" s="614"/>
      <c r="E162" s="68"/>
      <c r="F162" s="644"/>
      <c r="G162" s="644"/>
      <c r="H162" s="627"/>
      <c r="I162" s="622" t="s">
        <v>365</v>
      </c>
      <c r="J162" s="607"/>
      <c r="K162" s="641"/>
      <c r="L162" s="628"/>
      <c r="M162" s="626"/>
      <c r="N162" s="619"/>
      <c r="O162" s="560"/>
      <c r="P162" s="47"/>
      <c r="Q162" s="47"/>
      <c r="S162" s="572"/>
      <c r="U162" s="573"/>
      <c r="V162" s="574"/>
      <c r="W162" s="618"/>
      <c r="X162" s="576">
        <v>0.0</v>
      </c>
      <c r="Y162" s="630">
        <v>0.0</v>
      </c>
      <c r="Z162" s="630" t="s">
        <v>365</v>
      </c>
      <c r="AA162" s="631" t="b">
        <v>0</v>
      </c>
      <c r="AB162" s="631"/>
      <c r="AC162" s="576"/>
      <c r="AD162" s="479">
        <v>0.0</v>
      </c>
      <c r="AE162" s="632"/>
      <c r="AF162" s="582" t="s">
        <v>365</v>
      </c>
      <c r="AG162" s="583"/>
      <c r="AH162" s="584"/>
      <c r="AI162" s="583"/>
      <c r="AJ162" s="585"/>
      <c r="AK162" s="583"/>
      <c r="AL162" s="584"/>
      <c r="AM162" s="583"/>
      <c r="AN162" s="585"/>
      <c r="AO162" s="583"/>
      <c r="AP162" s="584"/>
      <c r="AQ162" s="583"/>
      <c r="AR162" s="585"/>
      <c r="AS162" s="583"/>
      <c r="AT162" s="584"/>
      <c r="AU162" s="583"/>
      <c r="AV162" s="585"/>
      <c r="AW162" s="583"/>
      <c r="AX162" s="584"/>
      <c r="AY162" s="583"/>
      <c r="AZ162" s="585"/>
      <c r="BA162" s="583"/>
      <c r="BB162" s="584"/>
      <c r="BC162" s="583"/>
      <c r="BD162" s="585"/>
      <c r="BE162" s="583"/>
      <c r="BF162" s="584"/>
      <c r="BG162" s="583"/>
      <c r="BH162" s="585"/>
      <c r="BI162" s="583"/>
      <c r="BJ162" s="584"/>
      <c r="BK162" s="583"/>
      <c r="BL162" s="585"/>
      <c r="BM162" s="583"/>
      <c r="BN162" s="584"/>
      <c r="BO162" s="583"/>
      <c r="BP162" s="585"/>
      <c r="BQ162" s="583"/>
      <c r="BR162" s="584"/>
      <c r="BS162" s="583"/>
      <c r="BT162" s="586"/>
      <c r="BU162" s="540"/>
      <c r="BV162" s="540"/>
      <c r="BW162" s="540"/>
      <c r="BX162" s="538"/>
      <c r="BY162" s="538"/>
      <c r="BZ162" s="592"/>
      <c r="CA162" s="633"/>
      <c r="CB162" s="592" t="s">
        <v>365</v>
      </c>
      <c r="CC162" s="592">
        <v>0.0</v>
      </c>
      <c r="CD162" s="592" t="s">
        <v>365</v>
      </c>
      <c r="CE162" s="592">
        <v>0.0</v>
      </c>
      <c r="CF162" s="592"/>
      <c r="CG162" s="592">
        <v>0.0</v>
      </c>
      <c r="CH162" s="592"/>
      <c r="CI162" s="633"/>
      <c r="CJ162" s="592">
        <v>0.0</v>
      </c>
      <c r="CK162" s="479" t="s">
        <v>365</v>
      </c>
      <c r="CL162" s="592"/>
      <c r="CM162" s="593"/>
      <c r="CN162" s="538"/>
      <c r="CO162" s="538"/>
      <c r="CP162" s="538"/>
      <c r="CQ162" s="538"/>
      <c r="CR162" s="538"/>
      <c r="CS162" s="538"/>
      <c r="CT162" s="538"/>
      <c r="CU162" s="538"/>
      <c r="CV162" s="538"/>
      <c r="CW162" s="538"/>
      <c r="CX162" s="538"/>
      <c r="CY162" s="538"/>
      <c r="CZ162" s="538"/>
      <c r="DA162" s="538"/>
      <c r="DB162" s="538"/>
      <c r="DC162" s="538"/>
      <c r="DD162" s="538"/>
      <c r="DE162" s="538"/>
      <c r="DF162" s="538"/>
      <c r="DG162" s="538"/>
      <c r="DH162" s="538"/>
      <c r="DI162" s="538"/>
      <c r="DJ162" s="538"/>
      <c r="DK162" s="538"/>
      <c r="DL162" s="538"/>
      <c r="DM162" s="538"/>
      <c r="DN162" s="538"/>
      <c r="DO162" s="538"/>
      <c r="DP162" s="538"/>
      <c r="DQ162" s="538"/>
      <c r="DR162" s="538"/>
      <c r="DS162" s="538"/>
      <c r="DT162" s="538"/>
      <c r="DU162" s="538"/>
      <c r="DV162" s="538"/>
      <c r="DW162" s="538"/>
      <c r="DX162" s="538"/>
      <c r="DY162" s="538"/>
      <c r="DZ162" s="538"/>
      <c r="EA162" s="538"/>
      <c r="EB162" s="538"/>
      <c r="EC162" s="538"/>
      <c r="ED162" s="538"/>
      <c r="EE162" s="538"/>
      <c r="EF162" s="538"/>
      <c r="EG162" s="538"/>
      <c r="EH162" s="538"/>
      <c r="EI162" s="538"/>
      <c r="EJ162" s="538"/>
      <c r="EK162" s="538"/>
      <c r="EL162" s="538"/>
      <c r="EM162" s="538"/>
      <c r="EN162" s="538"/>
      <c r="EO162" s="538"/>
      <c r="EP162" s="538"/>
      <c r="EQ162" s="538"/>
      <c r="ER162" s="538"/>
      <c r="ES162" s="538"/>
      <c r="ET162" s="538"/>
      <c r="EU162" s="538"/>
      <c r="EV162" s="538"/>
      <c r="EW162" s="538"/>
      <c r="EX162" s="559"/>
      <c r="EY162" s="559"/>
      <c r="EZ162" s="559"/>
      <c r="FA162" s="559"/>
      <c r="FB162" s="559"/>
      <c r="FC162" s="559"/>
      <c r="FD162" s="559"/>
      <c r="FE162" s="559"/>
      <c r="FF162" s="559"/>
      <c r="FG162" s="559"/>
      <c r="FH162" s="559"/>
      <c r="FI162" s="559"/>
      <c r="FJ162" s="559"/>
      <c r="FK162" s="559"/>
      <c r="FL162" s="559"/>
      <c r="FM162" s="559"/>
      <c r="FN162" s="559"/>
      <c r="FO162" s="559"/>
      <c r="FP162" s="559"/>
      <c r="FQ162" s="559"/>
      <c r="FR162" s="559"/>
      <c r="FS162" s="559"/>
      <c r="FT162" s="559"/>
      <c r="FU162" s="559"/>
      <c r="FV162" s="559"/>
      <c r="FW162" s="559"/>
      <c r="FX162" s="559"/>
      <c r="FY162" s="559"/>
      <c r="FZ162" s="559"/>
      <c r="GA162" s="559"/>
      <c r="GB162" s="559"/>
      <c r="GC162" s="559"/>
      <c r="GD162" s="559"/>
      <c r="GE162" s="559"/>
      <c r="GF162" s="559"/>
      <c r="GG162" s="559"/>
      <c r="GH162" s="559"/>
    </row>
    <row r="163">
      <c r="A163" s="538"/>
      <c r="B163" s="156"/>
      <c r="C163" s="444"/>
      <c r="D163" s="614"/>
      <c r="E163" s="66"/>
      <c r="F163" s="642"/>
      <c r="G163" s="642"/>
      <c r="H163" s="615"/>
      <c r="I163" s="616" t="s">
        <v>365</v>
      </c>
      <c r="J163" s="624"/>
      <c r="K163" s="643"/>
      <c r="L163" s="640"/>
      <c r="M163" s="625"/>
      <c r="N163" s="617"/>
      <c r="O163" s="134"/>
      <c r="P163" s="57"/>
      <c r="Q163" s="57"/>
      <c r="S163" s="605"/>
      <c r="U163" s="573"/>
      <c r="V163" s="574"/>
      <c r="W163" s="618"/>
      <c r="X163" s="576">
        <v>0.0</v>
      </c>
      <c r="Y163" s="630">
        <v>0.0</v>
      </c>
      <c r="Z163" s="630" t="s">
        <v>365</v>
      </c>
      <c r="AA163" s="631" t="b">
        <v>0</v>
      </c>
      <c r="AB163" s="631"/>
      <c r="AC163" s="576"/>
      <c r="AD163" s="479">
        <v>0.0</v>
      </c>
      <c r="AE163" s="632"/>
      <c r="AF163" s="582" t="s">
        <v>365</v>
      </c>
      <c r="AG163" s="583"/>
      <c r="AH163" s="584"/>
      <c r="AI163" s="583"/>
      <c r="AJ163" s="585"/>
      <c r="AK163" s="583"/>
      <c r="AL163" s="584"/>
      <c r="AM163" s="583"/>
      <c r="AN163" s="585"/>
      <c r="AO163" s="583"/>
      <c r="AP163" s="584"/>
      <c r="AQ163" s="583"/>
      <c r="AR163" s="585"/>
      <c r="AS163" s="583"/>
      <c r="AT163" s="584"/>
      <c r="AU163" s="583"/>
      <c r="AV163" s="585"/>
      <c r="AW163" s="583"/>
      <c r="AX163" s="584"/>
      <c r="AY163" s="583"/>
      <c r="AZ163" s="585"/>
      <c r="BA163" s="583"/>
      <c r="BB163" s="584"/>
      <c r="BC163" s="583"/>
      <c r="BD163" s="585"/>
      <c r="BE163" s="583"/>
      <c r="BF163" s="584"/>
      <c r="BG163" s="583"/>
      <c r="BH163" s="585"/>
      <c r="BI163" s="583"/>
      <c r="BJ163" s="584"/>
      <c r="BK163" s="583"/>
      <c r="BL163" s="585"/>
      <c r="BM163" s="583"/>
      <c r="BN163" s="584"/>
      <c r="BO163" s="583"/>
      <c r="BP163" s="585"/>
      <c r="BQ163" s="583"/>
      <c r="BR163" s="584"/>
      <c r="BS163" s="583"/>
      <c r="BT163" s="586"/>
      <c r="BU163" s="540"/>
      <c r="BV163" s="540"/>
      <c r="BW163" s="540"/>
      <c r="BX163" s="538"/>
      <c r="BY163" s="538"/>
      <c r="BZ163" s="592"/>
      <c r="CA163" s="633"/>
      <c r="CB163" s="592" t="s">
        <v>365</v>
      </c>
      <c r="CC163" s="592">
        <v>0.0</v>
      </c>
      <c r="CD163" s="592" t="s">
        <v>365</v>
      </c>
      <c r="CE163" s="592">
        <v>0.0</v>
      </c>
      <c r="CF163" s="592"/>
      <c r="CG163" s="592">
        <v>0.0</v>
      </c>
      <c r="CH163" s="592"/>
      <c r="CI163" s="633"/>
      <c r="CJ163" s="592">
        <v>0.0</v>
      </c>
      <c r="CK163" s="479" t="s">
        <v>365</v>
      </c>
      <c r="CL163" s="592"/>
      <c r="CM163" s="593"/>
      <c r="CN163" s="538"/>
      <c r="CO163" s="538"/>
      <c r="CP163" s="538"/>
      <c r="CQ163" s="538"/>
      <c r="CR163" s="538"/>
      <c r="CS163" s="538"/>
      <c r="CT163" s="538"/>
      <c r="CU163" s="538"/>
      <c r="CV163" s="538"/>
      <c r="CW163" s="538"/>
      <c r="CX163" s="538"/>
      <c r="CY163" s="538"/>
      <c r="CZ163" s="538"/>
      <c r="DA163" s="538"/>
      <c r="DB163" s="538"/>
      <c r="DC163" s="538"/>
      <c r="DD163" s="538"/>
      <c r="DE163" s="538"/>
      <c r="DF163" s="538"/>
      <c r="DG163" s="538"/>
      <c r="DH163" s="538"/>
      <c r="DI163" s="538"/>
      <c r="DJ163" s="538"/>
      <c r="DK163" s="538"/>
      <c r="DL163" s="538"/>
      <c r="DM163" s="538"/>
      <c r="DN163" s="538"/>
      <c r="DO163" s="538"/>
      <c r="DP163" s="538"/>
      <c r="DQ163" s="538"/>
      <c r="DR163" s="538"/>
      <c r="DS163" s="538"/>
      <c r="DT163" s="538"/>
      <c r="DU163" s="538"/>
      <c r="DV163" s="538"/>
      <c r="DW163" s="538"/>
      <c r="DX163" s="538"/>
      <c r="DY163" s="538"/>
      <c r="DZ163" s="538"/>
      <c r="EA163" s="538"/>
      <c r="EB163" s="538"/>
      <c r="EC163" s="538"/>
      <c r="ED163" s="538"/>
      <c r="EE163" s="538"/>
      <c r="EF163" s="538"/>
      <c r="EG163" s="538"/>
      <c r="EH163" s="538"/>
      <c r="EI163" s="538"/>
      <c r="EJ163" s="538"/>
      <c r="EK163" s="538"/>
      <c r="EL163" s="538"/>
      <c r="EM163" s="538"/>
      <c r="EN163" s="538"/>
      <c r="EO163" s="538"/>
      <c r="EP163" s="538"/>
      <c r="EQ163" s="538"/>
      <c r="ER163" s="538"/>
      <c r="ES163" s="538"/>
      <c r="ET163" s="538"/>
      <c r="EU163" s="538"/>
      <c r="EV163" s="538"/>
      <c r="EW163" s="538"/>
      <c r="EX163" s="559"/>
      <c r="EY163" s="559"/>
      <c r="EZ163" s="559"/>
      <c r="FA163" s="559"/>
      <c r="FB163" s="559"/>
      <c r="FC163" s="559"/>
      <c r="FD163" s="559"/>
      <c r="FE163" s="559"/>
      <c r="FF163" s="559"/>
      <c r="FG163" s="559"/>
      <c r="FH163" s="559"/>
      <c r="FI163" s="559"/>
      <c r="FJ163" s="559"/>
      <c r="FK163" s="559"/>
      <c r="FL163" s="559"/>
      <c r="FM163" s="559"/>
      <c r="FN163" s="559"/>
      <c r="FO163" s="559"/>
      <c r="FP163" s="559"/>
      <c r="FQ163" s="559"/>
      <c r="FR163" s="559"/>
      <c r="FS163" s="559"/>
      <c r="FT163" s="559"/>
      <c r="FU163" s="559"/>
      <c r="FV163" s="559"/>
      <c r="FW163" s="559"/>
      <c r="FX163" s="559"/>
      <c r="FY163" s="559"/>
      <c r="FZ163" s="559"/>
      <c r="GA163" s="559"/>
      <c r="GB163" s="559"/>
      <c r="GC163" s="559"/>
      <c r="GD163" s="559"/>
      <c r="GE163" s="559"/>
      <c r="GF163" s="559"/>
      <c r="GG163" s="559"/>
      <c r="GH163" s="559"/>
    </row>
    <row r="164">
      <c r="A164" s="538"/>
      <c r="B164" s="156"/>
      <c r="C164" s="444"/>
      <c r="D164" s="614"/>
      <c r="E164" s="68"/>
      <c r="F164" s="644"/>
      <c r="G164" s="644"/>
      <c r="H164" s="627"/>
      <c r="I164" s="622" t="s">
        <v>365</v>
      </c>
      <c r="J164" s="607"/>
      <c r="K164" s="641"/>
      <c r="L164" s="628"/>
      <c r="M164" s="626"/>
      <c r="N164" s="619"/>
      <c r="O164" s="560"/>
      <c r="P164" s="47"/>
      <c r="Q164" s="47"/>
      <c r="S164" s="572"/>
      <c r="U164" s="573"/>
      <c r="V164" s="574"/>
      <c r="W164" s="618"/>
      <c r="X164" s="576">
        <v>0.0</v>
      </c>
      <c r="Y164" s="630">
        <v>0.0</v>
      </c>
      <c r="Z164" s="630" t="s">
        <v>365</v>
      </c>
      <c r="AA164" s="631" t="b">
        <v>0</v>
      </c>
      <c r="AB164" s="631"/>
      <c r="AC164" s="576"/>
      <c r="AD164" s="479">
        <v>0.0</v>
      </c>
      <c r="AE164" s="632"/>
      <c r="AF164" s="582" t="s">
        <v>365</v>
      </c>
      <c r="AG164" s="583"/>
      <c r="AH164" s="584"/>
      <c r="AI164" s="583"/>
      <c r="AJ164" s="585"/>
      <c r="AK164" s="583"/>
      <c r="AL164" s="584"/>
      <c r="AM164" s="583"/>
      <c r="AN164" s="585"/>
      <c r="AO164" s="583"/>
      <c r="AP164" s="584"/>
      <c r="AQ164" s="583"/>
      <c r="AR164" s="585"/>
      <c r="AS164" s="583"/>
      <c r="AT164" s="584"/>
      <c r="AU164" s="583"/>
      <c r="AV164" s="585"/>
      <c r="AW164" s="583"/>
      <c r="AX164" s="584"/>
      <c r="AY164" s="583"/>
      <c r="AZ164" s="585"/>
      <c r="BA164" s="583"/>
      <c r="BB164" s="584"/>
      <c r="BC164" s="583"/>
      <c r="BD164" s="585"/>
      <c r="BE164" s="583"/>
      <c r="BF164" s="584"/>
      <c r="BG164" s="583"/>
      <c r="BH164" s="585"/>
      <c r="BI164" s="583"/>
      <c r="BJ164" s="584"/>
      <c r="BK164" s="583"/>
      <c r="BL164" s="585"/>
      <c r="BM164" s="583"/>
      <c r="BN164" s="584"/>
      <c r="BO164" s="583"/>
      <c r="BP164" s="585"/>
      <c r="BQ164" s="583"/>
      <c r="BR164" s="584"/>
      <c r="BS164" s="583"/>
      <c r="BT164" s="586"/>
      <c r="BU164" s="540"/>
      <c r="BV164" s="540"/>
      <c r="BW164" s="540"/>
      <c r="BX164" s="538"/>
      <c r="BY164" s="538"/>
      <c r="BZ164" s="592"/>
      <c r="CA164" s="633"/>
      <c r="CB164" s="592" t="s">
        <v>365</v>
      </c>
      <c r="CC164" s="592">
        <v>0.0</v>
      </c>
      <c r="CD164" s="592" t="s">
        <v>365</v>
      </c>
      <c r="CE164" s="592">
        <v>0.0</v>
      </c>
      <c r="CF164" s="592"/>
      <c r="CG164" s="592">
        <v>0.0</v>
      </c>
      <c r="CH164" s="592"/>
      <c r="CI164" s="633"/>
      <c r="CJ164" s="592">
        <v>0.0</v>
      </c>
      <c r="CK164" s="479" t="s">
        <v>365</v>
      </c>
      <c r="CL164" s="592"/>
      <c r="CM164" s="593"/>
      <c r="CN164" s="538"/>
      <c r="CO164" s="538"/>
      <c r="CP164" s="538"/>
      <c r="CQ164" s="538"/>
      <c r="CR164" s="538"/>
      <c r="CS164" s="538"/>
      <c r="CT164" s="538"/>
      <c r="CU164" s="538"/>
      <c r="CV164" s="538"/>
      <c r="CW164" s="538"/>
      <c r="CX164" s="538"/>
      <c r="CY164" s="538"/>
      <c r="CZ164" s="538"/>
      <c r="DA164" s="538"/>
      <c r="DB164" s="538"/>
      <c r="DC164" s="538"/>
      <c r="DD164" s="538"/>
      <c r="DE164" s="538"/>
      <c r="DF164" s="538"/>
      <c r="DG164" s="538"/>
      <c r="DH164" s="538"/>
      <c r="DI164" s="538"/>
      <c r="DJ164" s="538"/>
      <c r="DK164" s="538"/>
      <c r="DL164" s="538"/>
      <c r="DM164" s="538"/>
      <c r="DN164" s="538"/>
      <c r="DO164" s="538"/>
      <c r="DP164" s="538"/>
      <c r="DQ164" s="538"/>
      <c r="DR164" s="538"/>
      <c r="DS164" s="538"/>
      <c r="DT164" s="538"/>
      <c r="DU164" s="538"/>
      <c r="DV164" s="538"/>
      <c r="DW164" s="538"/>
      <c r="DX164" s="538"/>
      <c r="DY164" s="538"/>
      <c r="DZ164" s="538"/>
      <c r="EA164" s="538"/>
      <c r="EB164" s="538"/>
      <c r="EC164" s="538"/>
      <c r="ED164" s="538"/>
      <c r="EE164" s="538"/>
      <c r="EF164" s="538"/>
      <c r="EG164" s="538"/>
      <c r="EH164" s="538"/>
      <c r="EI164" s="538"/>
      <c r="EJ164" s="538"/>
      <c r="EK164" s="538"/>
      <c r="EL164" s="538"/>
      <c r="EM164" s="538"/>
      <c r="EN164" s="538"/>
      <c r="EO164" s="538"/>
      <c r="EP164" s="538"/>
      <c r="EQ164" s="538"/>
      <c r="ER164" s="538"/>
      <c r="ES164" s="538"/>
      <c r="ET164" s="538"/>
      <c r="EU164" s="538"/>
      <c r="EV164" s="538"/>
      <c r="EW164" s="538"/>
      <c r="EX164" s="559"/>
      <c r="EY164" s="559"/>
      <c r="EZ164" s="559"/>
      <c r="FA164" s="559"/>
      <c r="FB164" s="559"/>
      <c r="FC164" s="559"/>
      <c r="FD164" s="559"/>
      <c r="FE164" s="559"/>
      <c r="FF164" s="559"/>
      <c r="FG164" s="559"/>
      <c r="FH164" s="559"/>
      <c r="FI164" s="559"/>
      <c r="FJ164" s="559"/>
      <c r="FK164" s="559"/>
      <c r="FL164" s="559"/>
      <c r="FM164" s="559"/>
      <c r="FN164" s="559"/>
      <c r="FO164" s="559"/>
      <c r="FP164" s="559"/>
      <c r="FQ164" s="559"/>
      <c r="FR164" s="559"/>
      <c r="FS164" s="559"/>
      <c r="FT164" s="559"/>
      <c r="FU164" s="559"/>
      <c r="FV164" s="559"/>
      <c r="FW164" s="559"/>
      <c r="FX164" s="559"/>
      <c r="FY164" s="559"/>
      <c r="FZ164" s="559"/>
      <c r="GA164" s="559"/>
      <c r="GB164" s="559"/>
      <c r="GC164" s="559"/>
      <c r="GD164" s="559"/>
      <c r="GE164" s="559"/>
      <c r="GF164" s="559"/>
      <c r="GG164" s="559"/>
      <c r="GH164" s="559"/>
    </row>
    <row r="165">
      <c r="A165" s="538"/>
      <c r="B165" s="156"/>
      <c r="C165" s="444"/>
      <c r="D165" s="614"/>
      <c r="E165" s="66"/>
      <c r="F165" s="642"/>
      <c r="G165" s="642"/>
      <c r="H165" s="615"/>
      <c r="I165" s="616" t="s">
        <v>365</v>
      </c>
      <c r="J165" s="624"/>
      <c r="K165" s="643"/>
      <c r="L165" s="640"/>
      <c r="M165" s="625"/>
      <c r="N165" s="617"/>
      <c r="O165" s="134"/>
      <c r="P165" s="57"/>
      <c r="Q165" s="57"/>
      <c r="S165" s="605"/>
      <c r="U165" s="573"/>
      <c r="V165" s="574"/>
      <c r="W165" s="618"/>
      <c r="X165" s="576">
        <v>0.0</v>
      </c>
      <c r="Y165" s="630">
        <v>0.0</v>
      </c>
      <c r="Z165" s="630" t="s">
        <v>365</v>
      </c>
      <c r="AA165" s="631" t="b">
        <v>0</v>
      </c>
      <c r="AB165" s="631"/>
      <c r="AC165" s="576"/>
      <c r="AD165" s="479">
        <v>0.0</v>
      </c>
      <c r="AE165" s="632"/>
      <c r="AF165" s="582" t="s">
        <v>365</v>
      </c>
      <c r="AG165" s="583"/>
      <c r="AH165" s="584"/>
      <c r="AI165" s="583"/>
      <c r="AJ165" s="585"/>
      <c r="AK165" s="583"/>
      <c r="AL165" s="584"/>
      <c r="AM165" s="583"/>
      <c r="AN165" s="585"/>
      <c r="AO165" s="583"/>
      <c r="AP165" s="584"/>
      <c r="AQ165" s="583"/>
      <c r="AR165" s="585"/>
      <c r="AS165" s="583"/>
      <c r="AT165" s="584"/>
      <c r="AU165" s="583"/>
      <c r="AV165" s="585"/>
      <c r="AW165" s="583"/>
      <c r="AX165" s="584"/>
      <c r="AY165" s="583"/>
      <c r="AZ165" s="585"/>
      <c r="BA165" s="583"/>
      <c r="BB165" s="584"/>
      <c r="BC165" s="583"/>
      <c r="BD165" s="585"/>
      <c r="BE165" s="583"/>
      <c r="BF165" s="584"/>
      <c r="BG165" s="583"/>
      <c r="BH165" s="585"/>
      <c r="BI165" s="583"/>
      <c r="BJ165" s="584"/>
      <c r="BK165" s="583"/>
      <c r="BL165" s="585"/>
      <c r="BM165" s="583"/>
      <c r="BN165" s="584"/>
      <c r="BO165" s="583"/>
      <c r="BP165" s="585"/>
      <c r="BQ165" s="583"/>
      <c r="BR165" s="584"/>
      <c r="BS165" s="583"/>
      <c r="BT165" s="586"/>
      <c r="BU165" s="540"/>
      <c r="BV165" s="540"/>
      <c r="BW165" s="540"/>
      <c r="BX165" s="538"/>
      <c r="BY165" s="538"/>
      <c r="BZ165" s="592"/>
      <c r="CA165" s="633"/>
      <c r="CB165" s="592" t="s">
        <v>365</v>
      </c>
      <c r="CC165" s="592">
        <v>0.0</v>
      </c>
      <c r="CD165" s="592" t="s">
        <v>365</v>
      </c>
      <c r="CE165" s="592">
        <v>0.0</v>
      </c>
      <c r="CF165" s="592"/>
      <c r="CG165" s="592">
        <v>0.0</v>
      </c>
      <c r="CH165" s="592"/>
      <c r="CI165" s="633"/>
      <c r="CJ165" s="592">
        <v>0.0</v>
      </c>
      <c r="CK165" s="479" t="s">
        <v>365</v>
      </c>
      <c r="CL165" s="592"/>
      <c r="CM165" s="593"/>
      <c r="CN165" s="538"/>
      <c r="CO165" s="538"/>
      <c r="CP165" s="538"/>
      <c r="CQ165" s="538"/>
      <c r="CR165" s="538"/>
      <c r="CS165" s="538"/>
      <c r="CT165" s="538"/>
      <c r="CU165" s="538"/>
      <c r="CV165" s="538"/>
      <c r="CW165" s="538"/>
      <c r="CX165" s="538"/>
      <c r="CY165" s="538"/>
      <c r="CZ165" s="538"/>
      <c r="DA165" s="538"/>
      <c r="DB165" s="538"/>
      <c r="DC165" s="538"/>
      <c r="DD165" s="538"/>
      <c r="DE165" s="538"/>
      <c r="DF165" s="538"/>
      <c r="DG165" s="538"/>
      <c r="DH165" s="538"/>
      <c r="DI165" s="538"/>
      <c r="DJ165" s="538"/>
      <c r="DK165" s="538"/>
      <c r="DL165" s="538"/>
      <c r="DM165" s="538"/>
      <c r="DN165" s="538"/>
      <c r="DO165" s="538"/>
      <c r="DP165" s="538"/>
      <c r="DQ165" s="538"/>
      <c r="DR165" s="538"/>
      <c r="DS165" s="538"/>
      <c r="DT165" s="538"/>
      <c r="DU165" s="538"/>
      <c r="DV165" s="538"/>
      <c r="DW165" s="538"/>
      <c r="DX165" s="538"/>
      <c r="DY165" s="538"/>
      <c r="DZ165" s="538"/>
      <c r="EA165" s="538"/>
      <c r="EB165" s="538"/>
      <c r="EC165" s="538"/>
      <c r="ED165" s="538"/>
      <c r="EE165" s="538"/>
      <c r="EF165" s="538"/>
      <c r="EG165" s="538"/>
      <c r="EH165" s="538"/>
      <c r="EI165" s="538"/>
      <c r="EJ165" s="538"/>
      <c r="EK165" s="538"/>
      <c r="EL165" s="538"/>
      <c r="EM165" s="538"/>
      <c r="EN165" s="538"/>
      <c r="EO165" s="538"/>
      <c r="EP165" s="538"/>
      <c r="EQ165" s="538"/>
      <c r="ER165" s="538"/>
      <c r="ES165" s="538"/>
      <c r="ET165" s="538"/>
      <c r="EU165" s="538"/>
      <c r="EV165" s="538"/>
      <c r="EW165" s="538"/>
      <c r="EX165" s="559"/>
      <c r="EY165" s="559"/>
      <c r="EZ165" s="559"/>
      <c r="FA165" s="559"/>
      <c r="FB165" s="559"/>
      <c r="FC165" s="559"/>
      <c r="FD165" s="559"/>
      <c r="FE165" s="559"/>
      <c r="FF165" s="559"/>
      <c r="FG165" s="559"/>
      <c r="FH165" s="559"/>
      <c r="FI165" s="559"/>
      <c r="FJ165" s="559"/>
      <c r="FK165" s="559"/>
      <c r="FL165" s="559"/>
      <c r="FM165" s="559"/>
      <c r="FN165" s="559"/>
      <c r="FO165" s="559"/>
      <c r="FP165" s="559"/>
      <c r="FQ165" s="559"/>
      <c r="FR165" s="559"/>
      <c r="FS165" s="559"/>
      <c r="FT165" s="559"/>
      <c r="FU165" s="559"/>
      <c r="FV165" s="559"/>
      <c r="FW165" s="559"/>
      <c r="FX165" s="559"/>
      <c r="FY165" s="559"/>
      <c r="FZ165" s="559"/>
      <c r="GA165" s="559"/>
      <c r="GB165" s="559"/>
      <c r="GC165" s="559"/>
      <c r="GD165" s="559"/>
      <c r="GE165" s="559"/>
      <c r="GF165" s="559"/>
      <c r="GG165" s="559"/>
      <c r="GH165" s="559"/>
    </row>
    <row r="166">
      <c r="A166" s="538"/>
      <c r="B166" s="156"/>
      <c r="C166" s="444"/>
      <c r="D166" s="614"/>
      <c r="E166" s="68"/>
      <c r="F166" s="644"/>
      <c r="G166" s="644"/>
      <c r="H166" s="627"/>
      <c r="I166" s="622" t="s">
        <v>365</v>
      </c>
      <c r="J166" s="607"/>
      <c r="K166" s="641"/>
      <c r="L166" s="628"/>
      <c r="M166" s="626"/>
      <c r="N166" s="619"/>
      <c r="O166" s="560"/>
      <c r="P166" s="47"/>
      <c r="Q166" s="47"/>
      <c r="S166" s="572"/>
      <c r="U166" s="573"/>
      <c r="V166" s="574"/>
      <c r="W166" s="618"/>
      <c r="X166" s="576">
        <v>0.0</v>
      </c>
      <c r="Y166" s="630">
        <v>0.0</v>
      </c>
      <c r="Z166" s="630" t="s">
        <v>365</v>
      </c>
      <c r="AA166" s="631" t="b">
        <v>0</v>
      </c>
      <c r="AB166" s="631"/>
      <c r="AC166" s="576"/>
      <c r="AD166" s="479">
        <v>0.0</v>
      </c>
      <c r="AE166" s="632"/>
      <c r="AF166" s="582" t="s">
        <v>365</v>
      </c>
      <c r="AG166" s="583"/>
      <c r="AH166" s="584"/>
      <c r="AI166" s="583"/>
      <c r="AJ166" s="585"/>
      <c r="AK166" s="583"/>
      <c r="AL166" s="584"/>
      <c r="AM166" s="583"/>
      <c r="AN166" s="585"/>
      <c r="AO166" s="583"/>
      <c r="AP166" s="584"/>
      <c r="AQ166" s="583"/>
      <c r="AR166" s="585"/>
      <c r="AS166" s="583"/>
      <c r="AT166" s="584"/>
      <c r="AU166" s="583"/>
      <c r="AV166" s="585"/>
      <c r="AW166" s="583"/>
      <c r="AX166" s="584"/>
      <c r="AY166" s="583"/>
      <c r="AZ166" s="585"/>
      <c r="BA166" s="583"/>
      <c r="BB166" s="584"/>
      <c r="BC166" s="583"/>
      <c r="BD166" s="585"/>
      <c r="BE166" s="583"/>
      <c r="BF166" s="584"/>
      <c r="BG166" s="583"/>
      <c r="BH166" s="585"/>
      <c r="BI166" s="583"/>
      <c r="BJ166" s="584"/>
      <c r="BK166" s="583"/>
      <c r="BL166" s="585"/>
      <c r="BM166" s="583"/>
      <c r="BN166" s="584"/>
      <c r="BO166" s="583"/>
      <c r="BP166" s="585"/>
      <c r="BQ166" s="583"/>
      <c r="BR166" s="584"/>
      <c r="BS166" s="583"/>
      <c r="BT166" s="586"/>
      <c r="BU166" s="540"/>
      <c r="BV166" s="540"/>
      <c r="BW166" s="540"/>
      <c r="BX166" s="538"/>
      <c r="BY166" s="538"/>
      <c r="BZ166" s="592"/>
      <c r="CA166" s="633"/>
      <c r="CB166" s="592" t="s">
        <v>365</v>
      </c>
      <c r="CC166" s="592">
        <v>0.0</v>
      </c>
      <c r="CD166" s="592" t="s">
        <v>365</v>
      </c>
      <c r="CE166" s="592">
        <v>0.0</v>
      </c>
      <c r="CF166" s="592"/>
      <c r="CG166" s="592">
        <v>0.0</v>
      </c>
      <c r="CH166" s="592"/>
      <c r="CI166" s="633"/>
      <c r="CJ166" s="592">
        <v>0.0</v>
      </c>
      <c r="CK166" s="479" t="s">
        <v>365</v>
      </c>
      <c r="CL166" s="592"/>
      <c r="CM166" s="593"/>
      <c r="CN166" s="538"/>
      <c r="CO166" s="538"/>
      <c r="CP166" s="538"/>
      <c r="CQ166" s="538"/>
      <c r="CR166" s="538"/>
      <c r="CS166" s="538"/>
      <c r="CT166" s="538"/>
      <c r="CU166" s="538"/>
      <c r="CV166" s="538"/>
      <c r="CW166" s="538"/>
      <c r="CX166" s="538"/>
      <c r="CY166" s="538"/>
      <c r="CZ166" s="538"/>
      <c r="DA166" s="538"/>
      <c r="DB166" s="538"/>
      <c r="DC166" s="538"/>
      <c r="DD166" s="538"/>
      <c r="DE166" s="538"/>
      <c r="DF166" s="538"/>
      <c r="DG166" s="538"/>
      <c r="DH166" s="538"/>
      <c r="DI166" s="538"/>
      <c r="DJ166" s="538"/>
      <c r="DK166" s="538"/>
      <c r="DL166" s="538"/>
      <c r="DM166" s="538"/>
      <c r="DN166" s="538"/>
      <c r="DO166" s="538"/>
      <c r="DP166" s="538"/>
      <c r="DQ166" s="538"/>
      <c r="DR166" s="538"/>
      <c r="DS166" s="538"/>
      <c r="DT166" s="538"/>
      <c r="DU166" s="538"/>
      <c r="DV166" s="538"/>
      <c r="DW166" s="538"/>
      <c r="DX166" s="538"/>
      <c r="DY166" s="538"/>
      <c r="DZ166" s="538"/>
      <c r="EA166" s="538"/>
      <c r="EB166" s="538"/>
      <c r="EC166" s="538"/>
      <c r="ED166" s="538"/>
      <c r="EE166" s="538"/>
      <c r="EF166" s="538"/>
      <c r="EG166" s="538"/>
      <c r="EH166" s="538"/>
      <c r="EI166" s="538"/>
      <c r="EJ166" s="538"/>
      <c r="EK166" s="538"/>
      <c r="EL166" s="538"/>
      <c r="EM166" s="538"/>
      <c r="EN166" s="538"/>
      <c r="EO166" s="538"/>
      <c r="EP166" s="538"/>
      <c r="EQ166" s="538"/>
      <c r="ER166" s="538"/>
      <c r="ES166" s="538"/>
      <c r="ET166" s="538"/>
      <c r="EU166" s="538"/>
      <c r="EV166" s="538"/>
      <c r="EW166" s="538"/>
      <c r="EX166" s="559"/>
      <c r="EY166" s="559"/>
      <c r="EZ166" s="559"/>
      <c r="FA166" s="559"/>
      <c r="FB166" s="559"/>
      <c r="FC166" s="559"/>
      <c r="FD166" s="559"/>
      <c r="FE166" s="559"/>
      <c r="FF166" s="559"/>
      <c r="FG166" s="559"/>
      <c r="FH166" s="559"/>
      <c r="FI166" s="559"/>
      <c r="FJ166" s="559"/>
      <c r="FK166" s="559"/>
      <c r="FL166" s="559"/>
      <c r="FM166" s="559"/>
      <c r="FN166" s="559"/>
      <c r="FO166" s="559"/>
      <c r="FP166" s="559"/>
      <c r="FQ166" s="559"/>
      <c r="FR166" s="559"/>
      <c r="FS166" s="559"/>
      <c r="FT166" s="559"/>
      <c r="FU166" s="559"/>
      <c r="FV166" s="559"/>
      <c r="FW166" s="559"/>
      <c r="FX166" s="559"/>
      <c r="FY166" s="559"/>
      <c r="FZ166" s="559"/>
      <c r="GA166" s="559"/>
      <c r="GB166" s="559"/>
      <c r="GC166" s="559"/>
      <c r="GD166" s="559"/>
      <c r="GE166" s="559"/>
      <c r="GF166" s="559"/>
      <c r="GG166" s="559"/>
      <c r="GH166" s="559"/>
    </row>
    <row r="167">
      <c r="A167" s="538"/>
      <c r="B167" s="156"/>
      <c r="C167" s="444"/>
      <c r="D167" s="614"/>
      <c r="E167" s="66"/>
      <c r="F167" s="642"/>
      <c r="G167" s="642"/>
      <c r="H167" s="615"/>
      <c r="I167" s="616" t="s">
        <v>365</v>
      </c>
      <c r="J167" s="624"/>
      <c r="K167" s="643"/>
      <c r="L167" s="640"/>
      <c r="M167" s="625"/>
      <c r="N167" s="617"/>
      <c r="O167" s="134"/>
      <c r="P167" s="57"/>
      <c r="Q167" s="57"/>
      <c r="S167" s="605"/>
      <c r="U167" s="573"/>
      <c r="V167" s="574"/>
      <c r="W167" s="618"/>
      <c r="X167" s="576">
        <v>0.0</v>
      </c>
      <c r="Y167" s="630">
        <v>0.0</v>
      </c>
      <c r="Z167" s="630" t="s">
        <v>365</v>
      </c>
      <c r="AA167" s="631" t="b">
        <v>0</v>
      </c>
      <c r="AB167" s="631"/>
      <c r="AC167" s="576"/>
      <c r="AD167" s="479">
        <v>0.0</v>
      </c>
      <c r="AE167" s="632"/>
      <c r="AF167" s="582" t="s">
        <v>365</v>
      </c>
      <c r="AG167" s="583"/>
      <c r="AH167" s="584"/>
      <c r="AI167" s="583"/>
      <c r="AJ167" s="585"/>
      <c r="AK167" s="583"/>
      <c r="AL167" s="584"/>
      <c r="AM167" s="583"/>
      <c r="AN167" s="585"/>
      <c r="AO167" s="583"/>
      <c r="AP167" s="584"/>
      <c r="AQ167" s="583"/>
      <c r="AR167" s="585"/>
      <c r="AS167" s="583"/>
      <c r="AT167" s="584"/>
      <c r="AU167" s="583"/>
      <c r="AV167" s="585"/>
      <c r="AW167" s="583"/>
      <c r="AX167" s="584"/>
      <c r="AY167" s="583"/>
      <c r="AZ167" s="585"/>
      <c r="BA167" s="583"/>
      <c r="BB167" s="584"/>
      <c r="BC167" s="583"/>
      <c r="BD167" s="585"/>
      <c r="BE167" s="583"/>
      <c r="BF167" s="584"/>
      <c r="BG167" s="583"/>
      <c r="BH167" s="585"/>
      <c r="BI167" s="583"/>
      <c r="BJ167" s="584"/>
      <c r="BK167" s="583"/>
      <c r="BL167" s="585"/>
      <c r="BM167" s="583"/>
      <c r="BN167" s="584"/>
      <c r="BO167" s="583"/>
      <c r="BP167" s="585"/>
      <c r="BQ167" s="583"/>
      <c r="BR167" s="584"/>
      <c r="BS167" s="583"/>
      <c r="BT167" s="586"/>
      <c r="BU167" s="540"/>
      <c r="BV167" s="540"/>
      <c r="BW167" s="540"/>
      <c r="BX167" s="538"/>
      <c r="BY167" s="538"/>
      <c r="BZ167" s="592"/>
      <c r="CA167" s="633"/>
      <c r="CB167" s="592" t="s">
        <v>365</v>
      </c>
      <c r="CC167" s="592">
        <v>0.0</v>
      </c>
      <c r="CD167" s="592" t="s">
        <v>365</v>
      </c>
      <c r="CE167" s="592">
        <v>0.0</v>
      </c>
      <c r="CF167" s="592"/>
      <c r="CG167" s="592">
        <v>0.0</v>
      </c>
      <c r="CH167" s="592"/>
      <c r="CI167" s="633"/>
      <c r="CJ167" s="592">
        <v>0.0</v>
      </c>
      <c r="CK167" s="479" t="s">
        <v>365</v>
      </c>
      <c r="CL167" s="592"/>
      <c r="CM167" s="593"/>
      <c r="CN167" s="538"/>
      <c r="CO167" s="538"/>
      <c r="CP167" s="538"/>
      <c r="CQ167" s="538"/>
      <c r="CR167" s="538"/>
      <c r="CS167" s="538"/>
      <c r="CT167" s="538"/>
      <c r="CU167" s="538"/>
      <c r="CV167" s="538"/>
      <c r="CW167" s="538"/>
      <c r="CX167" s="538"/>
      <c r="CY167" s="538"/>
      <c r="CZ167" s="538"/>
      <c r="DA167" s="538"/>
      <c r="DB167" s="538"/>
      <c r="DC167" s="538"/>
      <c r="DD167" s="538"/>
      <c r="DE167" s="538"/>
      <c r="DF167" s="538"/>
      <c r="DG167" s="538"/>
      <c r="DH167" s="538"/>
      <c r="DI167" s="538"/>
      <c r="DJ167" s="538"/>
      <c r="DK167" s="538"/>
      <c r="DL167" s="538"/>
      <c r="DM167" s="538"/>
      <c r="DN167" s="538"/>
      <c r="DO167" s="538"/>
      <c r="DP167" s="538"/>
      <c r="DQ167" s="538"/>
      <c r="DR167" s="538"/>
      <c r="DS167" s="538"/>
      <c r="DT167" s="538"/>
      <c r="DU167" s="538"/>
      <c r="DV167" s="538"/>
      <c r="DW167" s="538"/>
      <c r="DX167" s="538"/>
      <c r="DY167" s="538"/>
      <c r="DZ167" s="538"/>
      <c r="EA167" s="538"/>
      <c r="EB167" s="538"/>
      <c r="EC167" s="538"/>
      <c r="ED167" s="538"/>
      <c r="EE167" s="538"/>
      <c r="EF167" s="538"/>
      <c r="EG167" s="538"/>
      <c r="EH167" s="538"/>
      <c r="EI167" s="538"/>
      <c r="EJ167" s="538"/>
      <c r="EK167" s="538"/>
      <c r="EL167" s="538"/>
      <c r="EM167" s="538"/>
      <c r="EN167" s="538"/>
      <c r="EO167" s="538"/>
      <c r="EP167" s="538"/>
      <c r="EQ167" s="538"/>
      <c r="ER167" s="538"/>
      <c r="ES167" s="538"/>
      <c r="ET167" s="538"/>
      <c r="EU167" s="538"/>
      <c r="EV167" s="538"/>
      <c r="EW167" s="538"/>
      <c r="EX167" s="559"/>
      <c r="EY167" s="559"/>
      <c r="EZ167" s="559"/>
      <c r="FA167" s="559"/>
      <c r="FB167" s="559"/>
      <c r="FC167" s="559"/>
      <c r="FD167" s="559"/>
      <c r="FE167" s="559"/>
      <c r="FF167" s="559"/>
      <c r="FG167" s="559"/>
      <c r="FH167" s="559"/>
      <c r="FI167" s="559"/>
      <c r="FJ167" s="559"/>
      <c r="FK167" s="559"/>
      <c r="FL167" s="559"/>
      <c r="FM167" s="559"/>
      <c r="FN167" s="559"/>
      <c r="FO167" s="559"/>
      <c r="FP167" s="559"/>
      <c r="FQ167" s="559"/>
      <c r="FR167" s="559"/>
      <c r="FS167" s="559"/>
      <c r="FT167" s="559"/>
      <c r="FU167" s="559"/>
      <c r="FV167" s="559"/>
      <c r="FW167" s="559"/>
      <c r="FX167" s="559"/>
      <c r="FY167" s="559"/>
      <c r="FZ167" s="559"/>
      <c r="GA167" s="559"/>
      <c r="GB167" s="559"/>
      <c r="GC167" s="559"/>
      <c r="GD167" s="559"/>
      <c r="GE167" s="559"/>
      <c r="GF167" s="559"/>
      <c r="GG167" s="559"/>
      <c r="GH167" s="559"/>
    </row>
    <row r="168">
      <c r="A168" s="538"/>
      <c r="B168" s="156"/>
      <c r="C168" s="444"/>
      <c r="D168" s="614"/>
      <c r="E168" s="68"/>
      <c r="F168" s="644"/>
      <c r="G168" s="644"/>
      <c r="H168" s="627"/>
      <c r="I168" s="622" t="s">
        <v>365</v>
      </c>
      <c r="J168" s="607"/>
      <c r="K168" s="641"/>
      <c r="L168" s="628"/>
      <c r="M168" s="626"/>
      <c r="N168" s="619"/>
      <c r="O168" s="560"/>
      <c r="P168" s="47"/>
      <c r="Q168" s="47"/>
      <c r="S168" s="572"/>
      <c r="U168" s="573"/>
      <c r="V168" s="574"/>
      <c r="W168" s="618"/>
      <c r="X168" s="576">
        <v>0.0</v>
      </c>
      <c r="Y168" s="630">
        <v>0.0</v>
      </c>
      <c r="Z168" s="630" t="s">
        <v>365</v>
      </c>
      <c r="AA168" s="631" t="b">
        <v>0</v>
      </c>
      <c r="AB168" s="631"/>
      <c r="AC168" s="576"/>
      <c r="AD168" s="479">
        <v>0.0</v>
      </c>
      <c r="AE168" s="632"/>
      <c r="AF168" s="582" t="s">
        <v>365</v>
      </c>
      <c r="AG168" s="583"/>
      <c r="AH168" s="584"/>
      <c r="AI168" s="583"/>
      <c r="AJ168" s="585"/>
      <c r="AK168" s="583"/>
      <c r="AL168" s="584"/>
      <c r="AM168" s="583"/>
      <c r="AN168" s="585"/>
      <c r="AO168" s="583"/>
      <c r="AP168" s="584"/>
      <c r="AQ168" s="583"/>
      <c r="AR168" s="585"/>
      <c r="AS168" s="583"/>
      <c r="AT168" s="584"/>
      <c r="AU168" s="583"/>
      <c r="AV168" s="585"/>
      <c r="AW168" s="583"/>
      <c r="AX168" s="584"/>
      <c r="AY168" s="583"/>
      <c r="AZ168" s="585"/>
      <c r="BA168" s="583"/>
      <c r="BB168" s="584"/>
      <c r="BC168" s="583"/>
      <c r="BD168" s="585"/>
      <c r="BE168" s="583"/>
      <c r="BF168" s="584"/>
      <c r="BG168" s="583"/>
      <c r="BH168" s="585"/>
      <c r="BI168" s="583"/>
      <c r="BJ168" s="584"/>
      <c r="BK168" s="583"/>
      <c r="BL168" s="585"/>
      <c r="BM168" s="583"/>
      <c r="BN168" s="584"/>
      <c r="BO168" s="583"/>
      <c r="BP168" s="585"/>
      <c r="BQ168" s="583"/>
      <c r="BR168" s="584"/>
      <c r="BS168" s="583"/>
      <c r="BT168" s="586"/>
      <c r="BU168" s="540"/>
      <c r="BV168" s="540"/>
      <c r="BW168" s="540"/>
      <c r="BX168" s="538"/>
      <c r="BY168" s="538"/>
      <c r="BZ168" s="592"/>
      <c r="CA168" s="633"/>
      <c r="CB168" s="592" t="s">
        <v>365</v>
      </c>
      <c r="CC168" s="592">
        <v>0.0</v>
      </c>
      <c r="CD168" s="592" t="s">
        <v>365</v>
      </c>
      <c r="CE168" s="592">
        <v>0.0</v>
      </c>
      <c r="CF168" s="592"/>
      <c r="CG168" s="592">
        <v>0.0</v>
      </c>
      <c r="CH168" s="592"/>
      <c r="CI168" s="633"/>
      <c r="CJ168" s="592">
        <v>0.0</v>
      </c>
      <c r="CK168" s="479" t="s">
        <v>365</v>
      </c>
      <c r="CL168" s="592"/>
      <c r="CM168" s="593"/>
      <c r="CN168" s="538"/>
      <c r="CO168" s="538"/>
      <c r="CP168" s="538"/>
      <c r="CQ168" s="538"/>
      <c r="CR168" s="538"/>
      <c r="CS168" s="538"/>
      <c r="CT168" s="538"/>
      <c r="CU168" s="538"/>
      <c r="CV168" s="538"/>
      <c r="CW168" s="538"/>
      <c r="CX168" s="538"/>
      <c r="CY168" s="538"/>
      <c r="CZ168" s="538"/>
      <c r="DA168" s="538"/>
      <c r="DB168" s="538"/>
      <c r="DC168" s="538"/>
      <c r="DD168" s="538"/>
      <c r="DE168" s="538"/>
      <c r="DF168" s="538"/>
      <c r="DG168" s="538"/>
      <c r="DH168" s="538"/>
      <c r="DI168" s="538"/>
      <c r="DJ168" s="538"/>
      <c r="DK168" s="538"/>
      <c r="DL168" s="538"/>
      <c r="DM168" s="538"/>
      <c r="DN168" s="538"/>
      <c r="DO168" s="538"/>
      <c r="DP168" s="538"/>
      <c r="DQ168" s="538"/>
      <c r="DR168" s="538"/>
      <c r="DS168" s="538"/>
      <c r="DT168" s="538"/>
      <c r="DU168" s="538"/>
      <c r="DV168" s="538"/>
      <c r="DW168" s="538"/>
      <c r="DX168" s="538"/>
      <c r="DY168" s="538"/>
      <c r="DZ168" s="538"/>
      <c r="EA168" s="538"/>
      <c r="EB168" s="538"/>
      <c r="EC168" s="538"/>
      <c r="ED168" s="538"/>
      <c r="EE168" s="538"/>
      <c r="EF168" s="538"/>
      <c r="EG168" s="538"/>
      <c r="EH168" s="538"/>
      <c r="EI168" s="538"/>
      <c r="EJ168" s="538"/>
      <c r="EK168" s="538"/>
      <c r="EL168" s="538"/>
      <c r="EM168" s="538"/>
      <c r="EN168" s="538"/>
      <c r="EO168" s="538"/>
      <c r="EP168" s="538"/>
      <c r="EQ168" s="538"/>
      <c r="ER168" s="538"/>
      <c r="ES168" s="538"/>
      <c r="ET168" s="538"/>
      <c r="EU168" s="538"/>
      <c r="EV168" s="538"/>
      <c r="EW168" s="538"/>
      <c r="EX168" s="559"/>
      <c r="EY168" s="559"/>
      <c r="EZ168" s="559"/>
      <c r="FA168" s="559"/>
      <c r="FB168" s="559"/>
      <c r="FC168" s="559"/>
      <c r="FD168" s="559"/>
      <c r="FE168" s="559"/>
      <c r="FF168" s="559"/>
      <c r="FG168" s="559"/>
      <c r="FH168" s="559"/>
      <c r="FI168" s="559"/>
      <c r="FJ168" s="559"/>
      <c r="FK168" s="559"/>
      <c r="FL168" s="559"/>
      <c r="FM168" s="559"/>
      <c r="FN168" s="559"/>
      <c r="FO168" s="559"/>
      <c r="FP168" s="559"/>
      <c r="FQ168" s="559"/>
      <c r="FR168" s="559"/>
      <c r="FS168" s="559"/>
      <c r="FT168" s="559"/>
      <c r="FU168" s="559"/>
      <c r="FV168" s="559"/>
      <c r="FW168" s="559"/>
      <c r="FX168" s="559"/>
      <c r="FY168" s="559"/>
      <c r="FZ168" s="559"/>
      <c r="GA168" s="559"/>
      <c r="GB168" s="559"/>
      <c r="GC168" s="559"/>
      <c r="GD168" s="559"/>
      <c r="GE168" s="559"/>
      <c r="GF168" s="559"/>
      <c r="GG168" s="559"/>
      <c r="GH168" s="559"/>
    </row>
    <row r="169">
      <c r="A169" s="538"/>
      <c r="B169" s="156"/>
      <c r="C169" s="444"/>
      <c r="D169" s="614"/>
      <c r="E169" s="66"/>
      <c r="F169" s="642"/>
      <c r="G169" s="642"/>
      <c r="H169" s="615"/>
      <c r="I169" s="616" t="s">
        <v>365</v>
      </c>
      <c r="J169" s="624"/>
      <c r="K169" s="643"/>
      <c r="L169" s="640"/>
      <c r="M169" s="625"/>
      <c r="N169" s="617"/>
      <c r="O169" s="134"/>
      <c r="P169" s="57"/>
      <c r="Q169" s="57"/>
      <c r="S169" s="605"/>
      <c r="U169" s="573"/>
      <c r="V169" s="574"/>
      <c r="W169" s="618"/>
      <c r="X169" s="576">
        <v>0.0</v>
      </c>
      <c r="Y169" s="630">
        <v>0.0</v>
      </c>
      <c r="Z169" s="630" t="s">
        <v>365</v>
      </c>
      <c r="AA169" s="631" t="b">
        <v>0</v>
      </c>
      <c r="AB169" s="631"/>
      <c r="AC169" s="576"/>
      <c r="AD169" s="479">
        <v>0.0</v>
      </c>
      <c r="AE169" s="632"/>
      <c r="AF169" s="582" t="s">
        <v>365</v>
      </c>
      <c r="AG169" s="583"/>
      <c r="AH169" s="584"/>
      <c r="AI169" s="583"/>
      <c r="AJ169" s="585"/>
      <c r="AK169" s="583"/>
      <c r="AL169" s="584"/>
      <c r="AM169" s="583"/>
      <c r="AN169" s="585"/>
      <c r="AO169" s="583"/>
      <c r="AP169" s="584"/>
      <c r="AQ169" s="583"/>
      <c r="AR169" s="585"/>
      <c r="AS169" s="583"/>
      <c r="AT169" s="584"/>
      <c r="AU169" s="583"/>
      <c r="AV169" s="585"/>
      <c r="AW169" s="583"/>
      <c r="AX169" s="584"/>
      <c r="AY169" s="583"/>
      <c r="AZ169" s="585"/>
      <c r="BA169" s="583"/>
      <c r="BB169" s="584"/>
      <c r="BC169" s="583"/>
      <c r="BD169" s="585"/>
      <c r="BE169" s="583"/>
      <c r="BF169" s="584"/>
      <c r="BG169" s="583"/>
      <c r="BH169" s="585"/>
      <c r="BI169" s="583"/>
      <c r="BJ169" s="584"/>
      <c r="BK169" s="583"/>
      <c r="BL169" s="585"/>
      <c r="BM169" s="583"/>
      <c r="BN169" s="584"/>
      <c r="BO169" s="583"/>
      <c r="BP169" s="585"/>
      <c r="BQ169" s="583"/>
      <c r="BR169" s="584"/>
      <c r="BS169" s="583"/>
      <c r="BT169" s="586"/>
      <c r="BU169" s="540"/>
      <c r="BV169" s="540"/>
      <c r="BW169" s="540"/>
      <c r="BX169" s="538"/>
      <c r="BY169" s="538"/>
      <c r="BZ169" s="592"/>
      <c r="CA169" s="633"/>
      <c r="CB169" s="592" t="s">
        <v>365</v>
      </c>
      <c r="CC169" s="592">
        <v>0.0</v>
      </c>
      <c r="CD169" s="592" t="s">
        <v>365</v>
      </c>
      <c r="CE169" s="592">
        <v>0.0</v>
      </c>
      <c r="CF169" s="592"/>
      <c r="CG169" s="592">
        <v>0.0</v>
      </c>
      <c r="CH169" s="592"/>
      <c r="CI169" s="633"/>
      <c r="CJ169" s="592">
        <v>0.0</v>
      </c>
      <c r="CK169" s="479" t="s">
        <v>365</v>
      </c>
      <c r="CL169" s="592"/>
      <c r="CM169" s="593"/>
      <c r="CN169" s="538"/>
      <c r="CO169" s="538"/>
      <c r="CP169" s="538"/>
      <c r="CQ169" s="538"/>
      <c r="CR169" s="538"/>
      <c r="CS169" s="538"/>
      <c r="CT169" s="538"/>
      <c r="CU169" s="538"/>
      <c r="CV169" s="538"/>
      <c r="CW169" s="538"/>
      <c r="CX169" s="538"/>
      <c r="CY169" s="538"/>
      <c r="CZ169" s="538"/>
      <c r="DA169" s="538"/>
      <c r="DB169" s="538"/>
      <c r="DC169" s="538"/>
      <c r="DD169" s="538"/>
      <c r="DE169" s="538"/>
      <c r="DF169" s="538"/>
      <c r="DG169" s="538"/>
      <c r="DH169" s="538"/>
      <c r="DI169" s="538"/>
      <c r="DJ169" s="538"/>
      <c r="DK169" s="538"/>
      <c r="DL169" s="538"/>
      <c r="DM169" s="538"/>
      <c r="DN169" s="538"/>
      <c r="DO169" s="538"/>
      <c r="DP169" s="538"/>
      <c r="DQ169" s="538"/>
      <c r="DR169" s="538"/>
      <c r="DS169" s="538"/>
      <c r="DT169" s="538"/>
      <c r="DU169" s="538"/>
      <c r="DV169" s="538"/>
      <c r="DW169" s="538"/>
      <c r="DX169" s="538"/>
      <c r="DY169" s="538"/>
      <c r="DZ169" s="538"/>
      <c r="EA169" s="538"/>
      <c r="EB169" s="538"/>
      <c r="EC169" s="538"/>
      <c r="ED169" s="538"/>
      <c r="EE169" s="538"/>
      <c r="EF169" s="538"/>
      <c r="EG169" s="538"/>
      <c r="EH169" s="538"/>
      <c r="EI169" s="538"/>
      <c r="EJ169" s="538"/>
      <c r="EK169" s="538"/>
      <c r="EL169" s="538"/>
      <c r="EM169" s="538"/>
      <c r="EN169" s="538"/>
      <c r="EO169" s="538"/>
      <c r="EP169" s="538"/>
      <c r="EQ169" s="538"/>
      <c r="ER169" s="538"/>
      <c r="ES169" s="538"/>
      <c r="ET169" s="538"/>
      <c r="EU169" s="538"/>
      <c r="EV169" s="538"/>
      <c r="EW169" s="538"/>
      <c r="EX169" s="559"/>
      <c r="EY169" s="559"/>
      <c r="EZ169" s="559"/>
      <c r="FA169" s="559"/>
      <c r="FB169" s="559"/>
      <c r="FC169" s="559"/>
      <c r="FD169" s="559"/>
      <c r="FE169" s="559"/>
      <c r="FF169" s="559"/>
      <c r="FG169" s="559"/>
      <c r="FH169" s="559"/>
      <c r="FI169" s="559"/>
      <c r="FJ169" s="559"/>
      <c r="FK169" s="559"/>
      <c r="FL169" s="559"/>
      <c r="FM169" s="559"/>
      <c r="FN169" s="559"/>
      <c r="FO169" s="559"/>
      <c r="FP169" s="559"/>
      <c r="FQ169" s="559"/>
      <c r="FR169" s="559"/>
      <c r="FS169" s="559"/>
      <c r="FT169" s="559"/>
      <c r="FU169" s="559"/>
      <c r="FV169" s="559"/>
      <c r="FW169" s="559"/>
      <c r="FX169" s="559"/>
      <c r="FY169" s="559"/>
      <c r="FZ169" s="559"/>
      <c r="GA169" s="559"/>
      <c r="GB169" s="559"/>
      <c r="GC169" s="559"/>
      <c r="GD169" s="559"/>
      <c r="GE169" s="559"/>
      <c r="GF169" s="559"/>
      <c r="GG169" s="559"/>
      <c r="GH169" s="559"/>
    </row>
    <row r="170">
      <c r="A170" s="538"/>
      <c r="B170" s="156"/>
      <c r="C170" s="444"/>
      <c r="D170" s="614"/>
      <c r="E170" s="68"/>
      <c r="F170" s="644"/>
      <c r="G170" s="644"/>
      <c r="H170" s="627"/>
      <c r="I170" s="622" t="s">
        <v>365</v>
      </c>
      <c r="J170" s="607"/>
      <c r="K170" s="641"/>
      <c r="L170" s="628"/>
      <c r="M170" s="626"/>
      <c r="N170" s="619"/>
      <c r="O170" s="560"/>
      <c r="P170" s="47"/>
      <c r="Q170" s="47"/>
      <c r="S170" s="572"/>
      <c r="U170" s="573"/>
      <c r="V170" s="574"/>
      <c r="W170" s="618"/>
      <c r="X170" s="576">
        <v>0.0</v>
      </c>
      <c r="Y170" s="630">
        <v>0.0</v>
      </c>
      <c r="Z170" s="630" t="s">
        <v>365</v>
      </c>
      <c r="AA170" s="631" t="b">
        <v>0</v>
      </c>
      <c r="AB170" s="631"/>
      <c r="AC170" s="576"/>
      <c r="AD170" s="479">
        <v>0.0</v>
      </c>
      <c r="AE170" s="632"/>
      <c r="AF170" s="582" t="s">
        <v>365</v>
      </c>
      <c r="AG170" s="583"/>
      <c r="AH170" s="584"/>
      <c r="AI170" s="583"/>
      <c r="AJ170" s="585"/>
      <c r="AK170" s="583"/>
      <c r="AL170" s="584"/>
      <c r="AM170" s="583"/>
      <c r="AN170" s="585"/>
      <c r="AO170" s="583"/>
      <c r="AP170" s="584"/>
      <c r="AQ170" s="583"/>
      <c r="AR170" s="585"/>
      <c r="AS170" s="583"/>
      <c r="AT170" s="584"/>
      <c r="AU170" s="583"/>
      <c r="AV170" s="585"/>
      <c r="AW170" s="583"/>
      <c r="AX170" s="584"/>
      <c r="AY170" s="583"/>
      <c r="AZ170" s="585"/>
      <c r="BA170" s="583"/>
      <c r="BB170" s="584"/>
      <c r="BC170" s="583"/>
      <c r="BD170" s="585"/>
      <c r="BE170" s="583"/>
      <c r="BF170" s="584"/>
      <c r="BG170" s="583"/>
      <c r="BH170" s="585"/>
      <c r="BI170" s="583"/>
      <c r="BJ170" s="584"/>
      <c r="BK170" s="583"/>
      <c r="BL170" s="585"/>
      <c r="BM170" s="583"/>
      <c r="BN170" s="584"/>
      <c r="BO170" s="583"/>
      <c r="BP170" s="585"/>
      <c r="BQ170" s="583"/>
      <c r="BR170" s="584"/>
      <c r="BS170" s="583"/>
      <c r="BT170" s="586"/>
      <c r="BU170" s="540"/>
      <c r="BV170" s="540"/>
      <c r="BW170" s="540"/>
      <c r="BX170" s="538"/>
      <c r="BY170" s="538"/>
      <c r="BZ170" s="592"/>
      <c r="CA170" s="633"/>
      <c r="CB170" s="592" t="s">
        <v>365</v>
      </c>
      <c r="CC170" s="592">
        <v>0.0</v>
      </c>
      <c r="CD170" s="592" t="s">
        <v>365</v>
      </c>
      <c r="CE170" s="592">
        <v>0.0</v>
      </c>
      <c r="CF170" s="592"/>
      <c r="CG170" s="592">
        <v>0.0</v>
      </c>
      <c r="CH170" s="592"/>
      <c r="CI170" s="633"/>
      <c r="CJ170" s="592">
        <v>0.0</v>
      </c>
      <c r="CK170" s="479" t="s">
        <v>365</v>
      </c>
      <c r="CL170" s="592"/>
      <c r="CM170" s="593"/>
      <c r="CN170" s="538"/>
      <c r="CO170" s="538"/>
      <c r="CP170" s="538"/>
      <c r="CQ170" s="538"/>
      <c r="CR170" s="538"/>
      <c r="CS170" s="538"/>
      <c r="CT170" s="538"/>
      <c r="CU170" s="538"/>
      <c r="CV170" s="538"/>
      <c r="CW170" s="538"/>
      <c r="CX170" s="538"/>
      <c r="CY170" s="538"/>
      <c r="CZ170" s="538"/>
      <c r="DA170" s="538"/>
      <c r="DB170" s="538"/>
      <c r="DC170" s="538"/>
      <c r="DD170" s="538"/>
      <c r="DE170" s="538"/>
      <c r="DF170" s="538"/>
      <c r="DG170" s="538"/>
      <c r="DH170" s="538"/>
      <c r="DI170" s="538"/>
      <c r="DJ170" s="538"/>
      <c r="DK170" s="538"/>
      <c r="DL170" s="538"/>
      <c r="DM170" s="538"/>
      <c r="DN170" s="538"/>
      <c r="DO170" s="538"/>
      <c r="DP170" s="538"/>
      <c r="DQ170" s="538"/>
      <c r="DR170" s="538"/>
      <c r="DS170" s="538"/>
      <c r="DT170" s="538"/>
      <c r="DU170" s="538"/>
      <c r="DV170" s="538"/>
      <c r="DW170" s="538"/>
      <c r="DX170" s="538"/>
      <c r="DY170" s="538"/>
      <c r="DZ170" s="538"/>
      <c r="EA170" s="538"/>
      <c r="EB170" s="538"/>
      <c r="EC170" s="538"/>
      <c r="ED170" s="538"/>
      <c r="EE170" s="538"/>
      <c r="EF170" s="538"/>
      <c r="EG170" s="538"/>
      <c r="EH170" s="538"/>
      <c r="EI170" s="538"/>
      <c r="EJ170" s="538"/>
      <c r="EK170" s="538"/>
      <c r="EL170" s="538"/>
      <c r="EM170" s="538"/>
      <c r="EN170" s="538"/>
      <c r="EO170" s="538"/>
      <c r="EP170" s="538"/>
      <c r="EQ170" s="538"/>
      <c r="ER170" s="538"/>
      <c r="ES170" s="538"/>
      <c r="ET170" s="538"/>
      <c r="EU170" s="538"/>
      <c r="EV170" s="538"/>
      <c r="EW170" s="538"/>
      <c r="EX170" s="559"/>
      <c r="EY170" s="559"/>
      <c r="EZ170" s="559"/>
      <c r="FA170" s="559"/>
      <c r="FB170" s="559"/>
      <c r="FC170" s="559"/>
      <c r="FD170" s="559"/>
      <c r="FE170" s="559"/>
      <c r="FF170" s="559"/>
      <c r="FG170" s="559"/>
      <c r="FH170" s="559"/>
      <c r="FI170" s="559"/>
      <c r="FJ170" s="559"/>
      <c r="FK170" s="559"/>
      <c r="FL170" s="559"/>
      <c r="FM170" s="559"/>
      <c r="FN170" s="559"/>
      <c r="FO170" s="559"/>
      <c r="FP170" s="559"/>
      <c r="FQ170" s="559"/>
      <c r="FR170" s="559"/>
      <c r="FS170" s="559"/>
      <c r="FT170" s="559"/>
      <c r="FU170" s="559"/>
      <c r="FV170" s="559"/>
      <c r="FW170" s="559"/>
      <c r="FX170" s="559"/>
      <c r="FY170" s="559"/>
      <c r="FZ170" s="559"/>
      <c r="GA170" s="559"/>
      <c r="GB170" s="559"/>
      <c r="GC170" s="559"/>
      <c r="GD170" s="559"/>
      <c r="GE170" s="559"/>
      <c r="GF170" s="559"/>
      <c r="GG170" s="559"/>
      <c r="GH170" s="559"/>
    </row>
    <row r="171">
      <c r="A171" s="538"/>
      <c r="B171" s="156"/>
      <c r="C171" s="444"/>
      <c r="D171" s="614"/>
      <c r="E171" s="66"/>
      <c r="F171" s="642"/>
      <c r="G171" s="642"/>
      <c r="H171" s="615"/>
      <c r="I171" s="616" t="s">
        <v>365</v>
      </c>
      <c r="J171" s="624"/>
      <c r="K171" s="643"/>
      <c r="L171" s="640"/>
      <c r="M171" s="625"/>
      <c r="N171" s="617"/>
      <c r="O171" s="134"/>
      <c r="P171" s="57"/>
      <c r="Q171" s="57"/>
      <c r="S171" s="605"/>
      <c r="U171" s="573"/>
      <c r="V171" s="574"/>
      <c r="W171" s="618"/>
      <c r="X171" s="576">
        <v>0.0</v>
      </c>
      <c r="Y171" s="630">
        <v>0.0</v>
      </c>
      <c r="Z171" s="630" t="s">
        <v>365</v>
      </c>
      <c r="AA171" s="631" t="b">
        <v>0</v>
      </c>
      <c r="AB171" s="631"/>
      <c r="AC171" s="576"/>
      <c r="AD171" s="479">
        <v>0.0</v>
      </c>
      <c r="AE171" s="632"/>
      <c r="AF171" s="582" t="s">
        <v>365</v>
      </c>
      <c r="AG171" s="583"/>
      <c r="AH171" s="584"/>
      <c r="AI171" s="583"/>
      <c r="AJ171" s="585"/>
      <c r="AK171" s="583"/>
      <c r="AL171" s="584"/>
      <c r="AM171" s="583"/>
      <c r="AN171" s="585"/>
      <c r="AO171" s="583"/>
      <c r="AP171" s="584"/>
      <c r="AQ171" s="583"/>
      <c r="AR171" s="585"/>
      <c r="AS171" s="583"/>
      <c r="AT171" s="584"/>
      <c r="AU171" s="583"/>
      <c r="AV171" s="585"/>
      <c r="AW171" s="583"/>
      <c r="AX171" s="584"/>
      <c r="AY171" s="583"/>
      <c r="AZ171" s="585"/>
      <c r="BA171" s="583"/>
      <c r="BB171" s="584"/>
      <c r="BC171" s="583"/>
      <c r="BD171" s="585"/>
      <c r="BE171" s="583"/>
      <c r="BF171" s="584"/>
      <c r="BG171" s="583"/>
      <c r="BH171" s="585"/>
      <c r="BI171" s="583"/>
      <c r="BJ171" s="584"/>
      <c r="BK171" s="583"/>
      <c r="BL171" s="585"/>
      <c r="BM171" s="583"/>
      <c r="BN171" s="584"/>
      <c r="BO171" s="583"/>
      <c r="BP171" s="585"/>
      <c r="BQ171" s="583"/>
      <c r="BR171" s="584"/>
      <c r="BS171" s="583"/>
      <c r="BT171" s="586"/>
      <c r="BU171" s="540"/>
      <c r="BV171" s="540"/>
      <c r="BW171" s="540"/>
      <c r="BX171" s="538"/>
      <c r="BY171" s="538"/>
      <c r="BZ171" s="592"/>
      <c r="CA171" s="633"/>
      <c r="CB171" s="592" t="s">
        <v>365</v>
      </c>
      <c r="CC171" s="592">
        <v>0.0</v>
      </c>
      <c r="CD171" s="592" t="s">
        <v>365</v>
      </c>
      <c r="CE171" s="592">
        <v>0.0</v>
      </c>
      <c r="CF171" s="592"/>
      <c r="CG171" s="592">
        <v>0.0</v>
      </c>
      <c r="CH171" s="592"/>
      <c r="CI171" s="633"/>
      <c r="CJ171" s="592">
        <v>0.0</v>
      </c>
      <c r="CK171" s="479" t="s">
        <v>365</v>
      </c>
      <c r="CL171" s="592"/>
      <c r="CM171" s="593"/>
      <c r="CN171" s="538"/>
      <c r="CO171" s="538"/>
      <c r="CP171" s="538"/>
      <c r="CQ171" s="538"/>
      <c r="CR171" s="538"/>
      <c r="CS171" s="538"/>
      <c r="CT171" s="538"/>
      <c r="CU171" s="538"/>
      <c r="CV171" s="538"/>
      <c r="CW171" s="538"/>
      <c r="CX171" s="538"/>
      <c r="CY171" s="538"/>
      <c r="CZ171" s="538"/>
      <c r="DA171" s="538"/>
      <c r="DB171" s="538"/>
      <c r="DC171" s="538"/>
      <c r="DD171" s="538"/>
      <c r="DE171" s="538"/>
      <c r="DF171" s="538"/>
      <c r="DG171" s="538"/>
      <c r="DH171" s="538"/>
      <c r="DI171" s="538"/>
      <c r="DJ171" s="538"/>
      <c r="DK171" s="538"/>
      <c r="DL171" s="538"/>
      <c r="DM171" s="538"/>
      <c r="DN171" s="538"/>
      <c r="DO171" s="538"/>
      <c r="DP171" s="538"/>
      <c r="DQ171" s="538"/>
      <c r="DR171" s="538"/>
      <c r="DS171" s="538"/>
      <c r="DT171" s="538"/>
      <c r="DU171" s="538"/>
      <c r="DV171" s="538"/>
      <c r="DW171" s="538"/>
      <c r="DX171" s="538"/>
      <c r="DY171" s="538"/>
      <c r="DZ171" s="538"/>
      <c r="EA171" s="538"/>
      <c r="EB171" s="538"/>
      <c r="EC171" s="538"/>
      <c r="ED171" s="538"/>
      <c r="EE171" s="538"/>
      <c r="EF171" s="538"/>
      <c r="EG171" s="538"/>
      <c r="EH171" s="538"/>
      <c r="EI171" s="538"/>
      <c r="EJ171" s="538"/>
      <c r="EK171" s="538"/>
      <c r="EL171" s="538"/>
      <c r="EM171" s="538"/>
      <c r="EN171" s="538"/>
      <c r="EO171" s="538"/>
      <c r="EP171" s="538"/>
      <c r="EQ171" s="538"/>
      <c r="ER171" s="538"/>
      <c r="ES171" s="538"/>
      <c r="ET171" s="538"/>
      <c r="EU171" s="538"/>
      <c r="EV171" s="538"/>
      <c r="EW171" s="538"/>
      <c r="EX171" s="559"/>
      <c r="EY171" s="559"/>
      <c r="EZ171" s="559"/>
      <c r="FA171" s="559"/>
      <c r="FB171" s="559"/>
      <c r="FC171" s="559"/>
      <c r="FD171" s="559"/>
      <c r="FE171" s="559"/>
      <c r="FF171" s="559"/>
      <c r="FG171" s="559"/>
      <c r="FH171" s="559"/>
      <c r="FI171" s="559"/>
      <c r="FJ171" s="559"/>
      <c r="FK171" s="559"/>
      <c r="FL171" s="559"/>
      <c r="FM171" s="559"/>
      <c r="FN171" s="559"/>
      <c r="FO171" s="559"/>
      <c r="FP171" s="559"/>
      <c r="FQ171" s="559"/>
      <c r="FR171" s="559"/>
      <c r="FS171" s="559"/>
      <c r="FT171" s="559"/>
      <c r="FU171" s="559"/>
      <c r="FV171" s="559"/>
      <c r="FW171" s="559"/>
      <c r="FX171" s="559"/>
      <c r="FY171" s="559"/>
      <c r="FZ171" s="559"/>
      <c r="GA171" s="559"/>
      <c r="GB171" s="559"/>
      <c r="GC171" s="559"/>
      <c r="GD171" s="559"/>
      <c r="GE171" s="559"/>
      <c r="GF171" s="559"/>
      <c r="GG171" s="559"/>
      <c r="GH171" s="559"/>
    </row>
    <row r="172">
      <c r="A172" s="538"/>
      <c r="B172" s="156"/>
      <c r="C172" s="444"/>
      <c r="D172" s="614"/>
      <c r="E172" s="68"/>
      <c r="F172" s="644"/>
      <c r="G172" s="644"/>
      <c r="H172" s="627"/>
      <c r="I172" s="622" t="s">
        <v>365</v>
      </c>
      <c r="J172" s="607"/>
      <c r="K172" s="641"/>
      <c r="L172" s="628"/>
      <c r="M172" s="626"/>
      <c r="N172" s="619"/>
      <c r="O172" s="560"/>
      <c r="P172" s="47"/>
      <c r="Q172" s="47"/>
      <c r="S172" s="572"/>
      <c r="U172" s="573"/>
      <c r="V172" s="574"/>
      <c r="W172" s="618"/>
      <c r="X172" s="576">
        <v>0.0</v>
      </c>
      <c r="Y172" s="630">
        <v>0.0</v>
      </c>
      <c r="Z172" s="630" t="s">
        <v>365</v>
      </c>
      <c r="AA172" s="631" t="b">
        <v>0</v>
      </c>
      <c r="AB172" s="631"/>
      <c r="AC172" s="576"/>
      <c r="AD172" s="479">
        <v>0.0</v>
      </c>
      <c r="AE172" s="632"/>
      <c r="AF172" s="582" t="s">
        <v>365</v>
      </c>
      <c r="AG172" s="583"/>
      <c r="AH172" s="584"/>
      <c r="AI172" s="583"/>
      <c r="AJ172" s="585"/>
      <c r="AK172" s="583"/>
      <c r="AL172" s="584"/>
      <c r="AM172" s="583"/>
      <c r="AN172" s="585"/>
      <c r="AO172" s="583"/>
      <c r="AP172" s="584"/>
      <c r="AQ172" s="583"/>
      <c r="AR172" s="585"/>
      <c r="AS172" s="583"/>
      <c r="AT172" s="584"/>
      <c r="AU172" s="583"/>
      <c r="AV172" s="585"/>
      <c r="AW172" s="583"/>
      <c r="AX172" s="584"/>
      <c r="AY172" s="583"/>
      <c r="AZ172" s="585"/>
      <c r="BA172" s="583"/>
      <c r="BB172" s="584"/>
      <c r="BC172" s="583"/>
      <c r="BD172" s="585"/>
      <c r="BE172" s="583"/>
      <c r="BF172" s="584"/>
      <c r="BG172" s="583"/>
      <c r="BH172" s="585"/>
      <c r="BI172" s="583"/>
      <c r="BJ172" s="584"/>
      <c r="BK172" s="583"/>
      <c r="BL172" s="585"/>
      <c r="BM172" s="583"/>
      <c r="BN172" s="584"/>
      <c r="BO172" s="583"/>
      <c r="BP172" s="585"/>
      <c r="BQ172" s="583"/>
      <c r="BR172" s="584"/>
      <c r="BS172" s="583"/>
      <c r="BT172" s="586"/>
      <c r="BU172" s="540"/>
      <c r="BV172" s="540"/>
      <c r="BW172" s="540"/>
      <c r="BX172" s="538"/>
      <c r="BY172" s="538"/>
      <c r="BZ172" s="592"/>
      <c r="CA172" s="633"/>
      <c r="CB172" s="592" t="s">
        <v>365</v>
      </c>
      <c r="CC172" s="592">
        <v>0.0</v>
      </c>
      <c r="CD172" s="592" t="s">
        <v>365</v>
      </c>
      <c r="CE172" s="592">
        <v>0.0</v>
      </c>
      <c r="CF172" s="592"/>
      <c r="CG172" s="592">
        <v>0.0</v>
      </c>
      <c r="CH172" s="592"/>
      <c r="CI172" s="633"/>
      <c r="CJ172" s="592">
        <v>0.0</v>
      </c>
      <c r="CK172" s="479" t="s">
        <v>365</v>
      </c>
      <c r="CL172" s="592"/>
      <c r="CM172" s="593"/>
      <c r="CN172" s="538"/>
      <c r="CO172" s="538"/>
      <c r="CP172" s="538"/>
      <c r="CQ172" s="538"/>
      <c r="CR172" s="538"/>
      <c r="CS172" s="538"/>
      <c r="CT172" s="538"/>
      <c r="CU172" s="538"/>
      <c r="CV172" s="538"/>
      <c r="CW172" s="538"/>
      <c r="CX172" s="538"/>
      <c r="CY172" s="538"/>
      <c r="CZ172" s="538"/>
      <c r="DA172" s="538"/>
      <c r="DB172" s="538"/>
      <c r="DC172" s="538"/>
      <c r="DD172" s="538"/>
      <c r="DE172" s="538"/>
      <c r="DF172" s="538"/>
      <c r="DG172" s="538"/>
      <c r="DH172" s="538"/>
      <c r="DI172" s="538"/>
      <c r="DJ172" s="538"/>
      <c r="DK172" s="538"/>
      <c r="DL172" s="538"/>
      <c r="DM172" s="538"/>
      <c r="DN172" s="538"/>
      <c r="DO172" s="538"/>
      <c r="DP172" s="538"/>
      <c r="DQ172" s="538"/>
      <c r="DR172" s="538"/>
      <c r="DS172" s="538"/>
      <c r="DT172" s="538"/>
      <c r="DU172" s="538"/>
      <c r="DV172" s="538"/>
      <c r="DW172" s="538"/>
      <c r="DX172" s="538"/>
      <c r="DY172" s="538"/>
      <c r="DZ172" s="538"/>
      <c r="EA172" s="538"/>
      <c r="EB172" s="538"/>
      <c r="EC172" s="538"/>
      <c r="ED172" s="538"/>
      <c r="EE172" s="538"/>
      <c r="EF172" s="538"/>
      <c r="EG172" s="538"/>
      <c r="EH172" s="538"/>
      <c r="EI172" s="538"/>
      <c r="EJ172" s="538"/>
      <c r="EK172" s="538"/>
      <c r="EL172" s="538"/>
      <c r="EM172" s="538"/>
      <c r="EN172" s="538"/>
      <c r="EO172" s="538"/>
      <c r="EP172" s="538"/>
      <c r="EQ172" s="538"/>
      <c r="ER172" s="538"/>
      <c r="ES172" s="538"/>
      <c r="ET172" s="538"/>
      <c r="EU172" s="538"/>
      <c r="EV172" s="538"/>
      <c r="EW172" s="538"/>
      <c r="EX172" s="559"/>
      <c r="EY172" s="559"/>
      <c r="EZ172" s="559"/>
      <c r="FA172" s="559"/>
      <c r="FB172" s="559"/>
      <c r="FC172" s="559"/>
      <c r="FD172" s="559"/>
      <c r="FE172" s="559"/>
      <c r="FF172" s="559"/>
      <c r="FG172" s="559"/>
      <c r="FH172" s="559"/>
      <c r="FI172" s="559"/>
      <c r="FJ172" s="559"/>
      <c r="FK172" s="559"/>
      <c r="FL172" s="559"/>
      <c r="FM172" s="559"/>
      <c r="FN172" s="559"/>
      <c r="FO172" s="559"/>
      <c r="FP172" s="559"/>
      <c r="FQ172" s="559"/>
      <c r="FR172" s="559"/>
      <c r="FS172" s="559"/>
      <c r="FT172" s="559"/>
      <c r="FU172" s="559"/>
      <c r="FV172" s="559"/>
      <c r="FW172" s="559"/>
      <c r="FX172" s="559"/>
      <c r="FY172" s="559"/>
      <c r="FZ172" s="559"/>
      <c r="GA172" s="559"/>
      <c r="GB172" s="559"/>
      <c r="GC172" s="559"/>
      <c r="GD172" s="559"/>
      <c r="GE172" s="559"/>
      <c r="GF172" s="559"/>
      <c r="GG172" s="559"/>
      <c r="GH172" s="559"/>
    </row>
    <row r="173">
      <c r="A173" s="538"/>
      <c r="B173" s="156"/>
      <c r="C173" s="444"/>
      <c r="D173" s="614"/>
      <c r="E173" s="66"/>
      <c r="F173" s="642"/>
      <c r="G173" s="642"/>
      <c r="H173" s="615"/>
      <c r="I173" s="616" t="s">
        <v>365</v>
      </c>
      <c r="J173" s="624"/>
      <c r="K173" s="643"/>
      <c r="L173" s="640"/>
      <c r="M173" s="625"/>
      <c r="N173" s="617"/>
      <c r="O173" s="134"/>
      <c r="P173" s="57"/>
      <c r="Q173" s="57"/>
      <c r="S173" s="605"/>
      <c r="U173" s="573"/>
      <c r="V173" s="574"/>
      <c r="W173" s="618"/>
      <c r="X173" s="576">
        <v>0.0</v>
      </c>
      <c r="Y173" s="630">
        <v>0.0</v>
      </c>
      <c r="Z173" s="630" t="s">
        <v>365</v>
      </c>
      <c r="AA173" s="631" t="b">
        <v>0</v>
      </c>
      <c r="AB173" s="631"/>
      <c r="AC173" s="576"/>
      <c r="AD173" s="479">
        <v>0.0</v>
      </c>
      <c r="AE173" s="632"/>
      <c r="AF173" s="582" t="s">
        <v>365</v>
      </c>
      <c r="AG173" s="583"/>
      <c r="AH173" s="584"/>
      <c r="AI173" s="583"/>
      <c r="AJ173" s="585"/>
      <c r="AK173" s="583"/>
      <c r="AL173" s="584"/>
      <c r="AM173" s="583"/>
      <c r="AN173" s="585"/>
      <c r="AO173" s="583"/>
      <c r="AP173" s="584"/>
      <c r="AQ173" s="583"/>
      <c r="AR173" s="585"/>
      <c r="AS173" s="583"/>
      <c r="AT173" s="584"/>
      <c r="AU173" s="583"/>
      <c r="AV173" s="585"/>
      <c r="AW173" s="583"/>
      <c r="AX173" s="584"/>
      <c r="AY173" s="583"/>
      <c r="AZ173" s="585"/>
      <c r="BA173" s="583"/>
      <c r="BB173" s="584"/>
      <c r="BC173" s="583"/>
      <c r="BD173" s="585"/>
      <c r="BE173" s="583"/>
      <c r="BF173" s="584"/>
      <c r="BG173" s="583"/>
      <c r="BH173" s="585"/>
      <c r="BI173" s="583"/>
      <c r="BJ173" s="584"/>
      <c r="BK173" s="583"/>
      <c r="BL173" s="585"/>
      <c r="BM173" s="583"/>
      <c r="BN173" s="584"/>
      <c r="BO173" s="583"/>
      <c r="BP173" s="585"/>
      <c r="BQ173" s="583"/>
      <c r="BR173" s="584"/>
      <c r="BS173" s="583"/>
      <c r="BT173" s="586"/>
      <c r="BU173" s="540"/>
      <c r="BV173" s="540"/>
      <c r="BW173" s="540"/>
      <c r="BX173" s="538"/>
      <c r="BY173" s="538"/>
      <c r="BZ173" s="592"/>
      <c r="CA173" s="633"/>
      <c r="CB173" s="592" t="s">
        <v>365</v>
      </c>
      <c r="CC173" s="592">
        <v>0.0</v>
      </c>
      <c r="CD173" s="592" t="s">
        <v>365</v>
      </c>
      <c r="CE173" s="592">
        <v>0.0</v>
      </c>
      <c r="CF173" s="592"/>
      <c r="CG173" s="592">
        <v>0.0</v>
      </c>
      <c r="CH173" s="592"/>
      <c r="CI173" s="633"/>
      <c r="CJ173" s="592">
        <v>0.0</v>
      </c>
      <c r="CK173" s="479" t="s">
        <v>365</v>
      </c>
      <c r="CL173" s="592"/>
      <c r="CM173" s="593"/>
      <c r="CN173" s="538"/>
      <c r="CO173" s="538"/>
      <c r="CP173" s="538"/>
      <c r="CQ173" s="538"/>
      <c r="CR173" s="538"/>
      <c r="CS173" s="538"/>
      <c r="CT173" s="538"/>
      <c r="CU173" s="538"/>
      <c r="CV173" s="538"/>
      <c r="CW173" s="538"/>
      <c r="CX173" s="538"/>
      <c r="CY173" s="538"/>
      <c r="CZ173" s="538"/>
      <c r="DA173" s="538"/>
      <c r="DB173" s="538"/>
      <c r="DC173" s="538"/>
      <c r="DD173" s="538"/>
      <c r="DE173" s="538"/>
      <c r="DF173" s="538"/>
      <c r="DG173" s="538"/>
      <c r="DH173" s="538"/>
      <c r="DI173" s="538"/>
      <c r="DJ173" s="538"/>
      <c r="DK173" s="538"/>
      <c r="DL173" s="538"/>
      <c r="DM173" s="538"/>
      <c r="DN173" s="538"/>
      <c r="DO173" s="538"/>
      <c r="DP173" s="538"/>
      <c r="DQ173" s="538"/>
      <c r="DR173" s="538"/>
      <c r="DS173" s="538"/>
      <c r="DT173" s="538"/>
      <c r="DU173" s="538"/>
      <c r="DV173" s="538"/>
      <c r="DW173" s="538"/>
      <c r="DX173" s="538"/>
      <c r="DY173" s="538"/>
      <c r="DZ173" s="538"/>
      <c r="EA173" s="538"/>
      <c r="EB173" s="538"/>
      <c r="EC173" s="538"/>
      <c r="ED173" s="538"/>
      <c r="EE173" s="538"/>
      <c r="EF173" s="538"/>
      <c r="EG173" s="538"/>
      <c r="EH173" s="538"/>
      <c r="EI173" s="538"/>
      <c r="EJ173" s="538"/>
      <c r="EK173" s="538"/>
      <c r="EL173" s="538"/>
      <c r="EM173" s="538"/>
      <c r="EN173" s="538"/>
      <c r="EO173" s="538"/>
      <c r="EP173" s="538"/>
      <c r="EQ173" s="538"/>
      <c r="ER173" s="538"/>
      <c r="ES173" s="538"/>
      <c r="ET173" s="538"/>
      <c r="EU173" s="538"/>
      <c r="EV173" s="538"/>
      <c r="EW173" s="538"/>
      <c r="EX173" s="559"/>
      <c r="EY173" s="559"/>
      <c r="EZ173" s="559"/>
      <c r="FA173" s="559"/>
      <c r="FB173" s="559"/>
      <c r="FC173" s="559"/>
      <c r="FD173" s="559"/>
      <c r="FE173" s="559"/>
      <c r="FF173" s="559"/>
      <c r="FG173" s="559"/>
      <c r="FH173" s="559"/>
      <c r="FI173" s="559"/>
      <c r="FJ173" s="559"/>
      <c r="FK173" s="559"/>
      <c r="FL173" s="559"/>
      <c r="FM173" s="559"/>
      <c r="FN173" s="559"/>
      <c r="FO173" s="559"/>
      <c r="FP173" s="559"/>
      <c r="FQ173" s="559"/>
      <c r="FR173" s="559"/>
      <c r="FS173" s="559"/>
      <c r="FT173" s="559"/>
      <c r="FU173" s="559"/>
      <c r="FV173" s="559"/>
      <c r="FW173" s="559"/>
      <c r="FX173" s="559"/>
      <c r="FY173" s="559"/>
      <c r="FZ173" s="559"/>
      <c r="GA173" s="559"/>
      <c r="GB173" s="559"/>
      <c r="GC173" s="559"/>
      <c r="GD173" s="559"/>
      <c r="GE173" s="559"/>
      <c r="GF173" s="559"/>
      <c r="GG173" s="559"/>
      <c r="GH173" s="559"/>
    </row>
    <row r="174">
      <c r="A174" s="538"/>
      <c r="B174" s="156"/>
      <c r="C174" s="444"/>
      <c r="D174" s="614"/>
      <c r="E174" s="68"/>
      <c r="F174" s="644"/>
      <c r="G174" s="644"/>
      <c r="H174" s="627"/>
      <c r="I174" s="622" t="s">
        <v>365</v>
      </c>
      <c r="J174" s="607"/>
      <c r="K174" s="641"/>
      <c r="L174" s="628"/>
      <c r="M174" s="626"/>
      <c r="N174" s="619"/>
      <c r="O174" s="560"/>
      <c r="P174" s="47"/>
      <c r="Q174" s="47"/>
      <c r="S174" s="572"/>
      <c r="U174" s="573"/>
      <c r="V174" s="574"/>
      <c r="W174" s="618"/>
      <c r="X174" s="576">
        <v>0.0</v>
      </c>
      <c r="Y174" s="630">
        <v>0.0</v>
      </c>
      <c r="Z174" s="630" t="s">
        <v>365</v>
      </c>
      <c r="AA174" s="631" t="b">
        <v>0</v>
      </c>
      <c r="AB174" s="631"/>
      <c r="AC174" s="576"/>
      <c r="AD174" s="479">
        <v>0.0</v>
      </c>
      <c r="AE174" s="632"/>
      <c r="AF174" s="582" t="s">
        <v>365</v>
      </c>
      <c r="AG174" s="583"/>
      <c r="AH174" s="584"/>
      <c r="AI174" s="583"/>
      <c r="AJ174" s="585"/>
      <c r="AK174" s="583"/>
      <c r="AL174" s="584"/>
      <c r="AM174" s="583"/>
      <c r="AN174" s="585"/>
      <c r="AO174" s="583"/>
      <c r="AP174" s="584"/>
      <c r="AQ174" s="583"/>
      <c r="AR174" s="585"/>
      <c r="AS174" s="583"/>
      <c r="AT174" s="584"/>
      <c r="AU174" s="583"/>
      <c r="AV174" s="585"/>
      <c r="AW174" s="583"/>
      <c r="AX174" s="584"/>
      <c r="AY174" s="583"/>
      <c r="AZ174" s="585"/>
      <c r="BA174" s="583"/>
      <c r="BB174" s="584"/>
      <c r="BC174" s="583"/>
      <c r="BD174" s="585"/>
      <c r="BE174" s="583"/>
      <c r="BF174" s="584"/>
      <c r="BG174" s="583"/>
      <c r="BH174" s="585"/>
      <c r="BI174" s="583"/>
      <c r="BJ174" s="584"/>
      <c r="BK174" s="583"/>
      <c r="BL174" s="585"/>
      <c r="BM174" s="583"/>
      <c r="BN174" s="584"/>
      <c r="BO174" s="583"/>
      <c r="BP174" s="585"/>
      <c r="BQ174" s="583"/>
      <c r="BR174" s="584"/>
      <c r="BS174" s="583"/>
      <c r="BT174" s="586"/>
      <c r="BU174" s="540"/>
      <c r="BV174" s="540"/>
      <c r="BW174" s="540"/>
      <c r="BX174" s="538"/>
      <c r="BY174" s="538"/>
      <c r="BZ174" s="592"/>
      <c r="CA174" s="633"/>
      <c r="CB174" s="592" t="s">
        <v>365</v>
      </c>
      <c r="CC174" s="592">
        <v>0.0</v>
      </c>
      <c r="CD174" s="592" t="s">
        <v>365</v>
      </c>
      <c r="CE174" s="592">
        <v>0.0</v>
      </c>
      <c r="CF174" s="592"/>
      <c r="CG174" s="592">
        <v>0.0</v>
      </c>
      <c r="CH174" s="592"/>
      <c r="CI174" s="633"/>
      <c r="CJ174" s="592">
        <v>0.0</v>
      </c>
      <c r="CK174" s="479" t="s">
        <v>365</v>
      </c>
      <c r="CL174" s="592"/>
      <c r="CM174" s="593"/>
      <c r="CN174" s="538"/>
      <c r="CO174" s="538"/>
      <c r="CP174" s="538"/>
      <c r="CQ174" s="538"/>
      <c r="CR174" s="538"/>
      <c r="CS174" s="538"/>
      <c r="CT174" s="538"/>
      <c r="CU174" s="538"/>
      <c r="CV174" s="538"/>
      <c r="CW174" s="538"/>
      <c r="CX174" s="538"/>
      <c r="CY174" s="538"/>
      <c r="CZ174" s="538"/>
      <c r="DA174" s="538"/>
      <c r="DB174" s="538"/>
      <c r="DC174" s="538"/>
      <c r="DD174" s="538"/>
      <c r="DE174" s="538"/>
      <c r="DF174" s="538"/>
      <c r="DG174" s="538"/>
      <c r="DH174" s="538"/>
      <c r="DI174" s="538"/>
      <c r="DJ174" s="538"/>
      <c r="DK174" s="538"/>
      <c r="DL174" s="538"/>
      <c r="DM174" s="538"/>
      <c r="DN174" s="538"/>
      <c r="DO174" s="538"/>
      <c r="DP174" s="538"/>
      <c r="DQ174" s="538"/>
      <c r="DR174" s="538"/>
      <c r="DS174" s="538"/>
      <c r="DT174" s="538"/>
      <c r="DU174" s="538"/>
      <c r="DV174" s="538"/>
      <c r="DW174" s="538"/>
      <c r="DX174" s="538"/>
      <c r="DY174" s="538"/>
      <c r="DZ174" s="538"/>
      <c r="EA174" s="538"/>
      <c r="EB174" s="538"/>
      <c r="EC174" s="538"/>
      <c r="ED174" s="538"/>
      <c r="EE174" s="538"/>
      <c r="EF174" s="538"/>
      <c r="EG174" s="538"/>
      <c r="EH174" s="538"/>
      <c r="EI174" s="538"/>
      <c r="EJ174" s="538"/>
      <c r="EK174" s="538"/>
      <c r="EL174" s="538"/>
      <c r="EM174" s="538"/>
      <c r="EN174" s="538"/>
      <c r="EO174" s="538"/>
      <c r="EP174" s="538"/>
      <c r="EQ174" s="538"/>
      <c r="ER174" s="538"/>
      <c r="ES174" s="538"/>
      <c r="ET174" s="538"/>
      <c r="EU174" s="538"/>
      <c r="EV174" s="538"/>
      <c r="EW174" s="538"/>
      <c r="EX174" s="559"/>
      <c r="EY174" s="559"/>
      <c r="EZ174" s="559"/>
      <c r="FA174" s="559"/>
      <c r="FB174" s="559"/>
      <c r="FC174" s="559"/>
      <c r="FD174" s="559"/>
      <c r="FE174" s="559"/>
      <c r="FF174" s="559"/>
      <c r="FG174" s="559"/>
      <c r="FH174" s="559"/>
      <c r="FI174" s="559"/>
      <c r="FJ174" s="559"/>
      <c r="FK174" s="559"/>
      <c r="FL174" s="559"/>
      <c r="FM174" s="559"/>
      <c r="FN174" s="559"/>
      <c r="FO174" s="559"/>
      <c r="FP174" s="559"/>
      <c r="FQ174" s="559"/>
      <c r="FR174" s="559"/>
      <c r="FS174" s="559"/>
      <c r="FT174" s="559"/>
      <c r="FU174" s="559"/>
      <c r="FV174" s="559"/>
      <c r="FW174" s="559"/>
      <c r="FX174" s="559"/>
      <c r="FY174" s="559"/>
      <c r="FZ174" s="559"/>
      <c r="GA174" s="559"/>
      <c r="GB174" s="559"/>
      <c r="GC174" s="559"/>
      <c r="GD174" s="559"/>
      <c r="GE174" s="559"/>
      <c r="GF174" s="559"/>
      <c r="GG174" s="559"/>
      <c r="GH174" s="559"/>
    </row>
    <row r="175">
      <c r="A175" s="538"/>
      <c r="B175" s="156"/>
      <c r="C175" s="444"/>
      <c r="D175" s="614"/>
      <c r="E175" s="66"/>
      <c r="F175" s="642"/>
      <c r="G175" s="642"/>
      <c r="H175" s="615"/>
      <c r="I175" s="616" t="s">
        <v>365</v>
      </c>
      <c r="J175" s="624"/>
      <c r="K175" s="643"/>
      <c r="L175" s="640"/>
      <c r="M175" s="625"/>
      <c r="N175" s="617"/>
      <c r="O175" s="134"/>
      <c r="P175" s="57"/>
      <c r="Q175" s="57"/>
      <c r="S175" s="605"/>
      <c r="U175" s="573"/>
      <c r="V175" s="574"/>
      <c r="W175" s="618"/>
      <c r="X175" s="576">
        <v>0.0</v>
      </c>
      <c r="Y175" s="630">
        <v>0.0</v>
      </c>
      <c r="Z175" s="630" t="s">
        <v>365</v>
      </c>
      <c r="AA175" s="631" t="b">
        <v>0</v>
      </c>
      <c r="AB175" s="631"/>
      <c r="AC175" s="576"/>
      <c r="AD175" s="479">
        <v>0.0</v>
      </c>
      <c r="AE175" s="632"/>
      <c r="AF175" s="582" t="s">
        <v>365</v>
      </c>
      <c r="AG175" s="583"/>
      <c r="AH175" s="584"/>
      <c r="AI175" s="583"/>
      <c r="AJ175" s="585"/>
      <c r="AK175" s="583"/>
      <c r="AL175" s="584"/>
      <c r="AM175" s="583"/>
      <c r="AN175" s="585"/>
      <c r="AO175" s="583"/>
      <c r="AP175" s="584"/>
      <c r="AQ175" s="583"/>
      <c r="AR175" s="585"/>
      <c r="AS175" s="583"/>
      <c r="AT175" s="584"/>
      <c r="AU175" s="583"/>
      <c r="AV175" s="585"/>
      <c r="AW175" s="583"/>
      <c r="AX175" s="584"/>
      <c r="AY175" s="583"/>
      <c r="AZ175" s="585"/>
      <c r="BA175" s="583"/>
      <c r="BB175" s="584"/>
      <c r="BC175" s="583"/>
      <c r="BD175" s="585"/>
      <c r="BE175" s="583"/>
      <c r="BF175" s="584"/>
      <c r="BG175" s="583"/>
      <c r="BH175" s="585"/>
      <c r="BI175" s="583"/>
      <c r="BJ175" s="584"/>
      <c r="BK175" s="583"/>
      <c r="BL175" s="585"/>
      <c r="BM175" s="583"/>
      <c r="BN175" s="584"/>
      <c r="BO175" s="583"/>
      <c r="BP175" s="585"/>
      <c r="BQ175" s="583"/>
      <c r="BR175" s="584"/>
      <c r="BS175" s="583"/>
      <c r="BT175" s="586"/>
      <c r="BU175" s="540"/>
      <c r="BV175" s="540"/>
      <c r="BW175" s="540"/>
      <c r="BX175" s="538"/>
      <c r="BY175" s="538"/>
      <c r="BZ175" s="592"/>
      <c r="CA175" s="633"/>
      <c r="CB175" s="592" t="s">
        <v>365</v>
      </c>
      <c r="CC175" s="592">
        <v>0.0</v>
      </c>
      <c r="CD175" s="592" t="s">
        <v>365</v>
      </c>
      <c r="CE175" s="592">
        <v>0.0</v>
      </c>
      <c r="CF175" s="592"/>
      <c r="CG175" s="592">
        <v>0.0</v>
      </c>
      <c r="CH175" s="592"/>
      <c r="CI175" s="633"/>
      <c r="CJ175" s="592">
        <v>0.0</v>
      </c>
      <c r="CK175" s="479" t="s">
        <v>365</v>
      </c>
      <c r="CL175" s="592"/>
      <c r="CM175" s="593"/>
      <c r="CN175" s="538"/>
      <c r="CO175" s="538"/>
      <c r="CP175" s="538"/>
      <c r="CQ175" s="538"/>
      <c r="CR175" s="538"/>
      <c r="CS175" s="538"/>
      <c r="CT175" s="538"/>
      <c r="CU175" s="538"/>
      <c r="CV175" s="538"/>
      <c r="CW175" s="538"/>
      <c r="CX175" s="538"/>
      <c r="CY175" s="538"/>
      <c r="CZ175" s="538"/>
      <c r="DA175" s="538"/>
      <c r="DB175" s="538"/>
      <c r="DC175" s="538"/>
      <c r="DD175" s="538"/>
      <c r="DE175" s="538"/>
      <c r="DF175" s="538"/>
      <c r="DG175" s="538"/>
      <c r="DH175" s="538"/>
      <c r="DI175" s="538"/>
      <c r="DJ175" s="538"/>
      <c r="DK175" s="538"/>
      <c r="DL175" s="538"/>
      <c r="DM175" s="538"/>
      <c r="DN175" s="538"/>
      <c r="DO175" s="538"/>
      <c r="DP175" s="538"/>
      <c r="DQ175" s="538"/>
      <c r="DR175" s="538"/>
      <c r="DS175" s="538"/>
      <c r="DT175" s="538"/>
      <c r="DU175" s="538"/>
      <c r="DV175" s="538"/>
      <c r="DW175" s="538"/>
      <c r="DX175" s="538"/>
      <c r="DY175" s="538"/>
      <c r="DZ175" s="538"/>
      <c r="EA175" s="538"/>
      <c r="EB175" s="538"/>
      <c r="EC175" s="538"/>
      <c r="ED175" s="538"/>
      <c r="EE175" s="538"/>
      <c r="EF175" s="538"/>
      <c r="EG175" s="538"/>
      <c r="EH175" s="538"/>
      <c r="EI175" s="538"/>
      <c r="EJ175" s="538"/>
      <c r="EK175" s="538"/>
      <c r="EL175" s="538"/>
      <c r="EM175" s="538"/>
      <c r="EN175" s="538"/>
      <c r="EO175" s="538"/>
      <c r="EP175" s="538"/>
      <c r="EQ175" s="538"/>
      <c r="ER175" s="538"/>
      <c r="ES175" s="538"/>
      <c r="ET175" s="538"/>
      <c r="EU175" s="538"/>
      <c r="EV175" s="538"/>
      <c r="EW175" s="538"/>
      <c r="EX175" s="559"/>
      <c r="EY175" s="559"/>
      <c r="EZ175" s="559"/>
      <c r="FA175" s="559"/>
      <c r="FB175" s="559"/>
      <c r="FC175" s="559"/>
      <c r="FD175" s="559"/>
      <c r="FE175" s="559"/>
      <c r="FF175" s="559"/>
      <c r="FG175" s="559"/>
      <c r="FH175" s="559"/>
      <c r="FI175" s="559"/>
      <c r="FJ175" s="559"/>
      <c r="FK175" s="559"/>
      <c r="FL175" s="559"/>
      <c r="FM175" s="559"/>
      <c r="FN175" s="559"/>
      <c r="FO175" s="559"/>
      <c r="FP175" s="559"/>
      <c r="FQ175" s="559"/>
      <c r="FR175" s="559"/>
      <c r="FS175" s="559"/>
      <c r="FT175" s="559"/>
      <c r="FU175" s="559"/>
      <c r="FV175" s="559"/>
      <c r="FW175" s="559"/>
      <c r="FX175" s="559"/>
      <c r="FY175" s="559"/>
      <c r="FZ175" s="559"/>
      <c r="GA175" s="559"/>
      <c r="GB175" s="559"/>
      <c r="GC175" s="559"/>
      <c r="GD175" s="559"/>
      <c r="GE175" s="559"/>
      <c r="GF175" s="559"/>
      <c r="GG175" s="559"/>
      <c r="GH175" s="559"/>
    </row>
    <row r="176">
      <c r="A176" s="538"/>
      <c r="B176" s="156"/>
      <c r="C176" s="444"/>
      <c r="D176" s="614"/>
      <c r="E176" s="68"/>
      <c r="F176" s="644"/>
      <c r="G176" s="644"/>
      <c r="H176" s="627"/>
      <c r="I176" s="622" t="s">
        <v>365</v>
      </c>
      <c r="J176" s="607"/>
      <c r="K176" s="641"/>
      <c r="L176" s="628"/>
      <c r="M176" s="626"/>
      <c r="N176" s="619"/>
      <c r="O176" s="560"/>
      <c r="P176" s="47"/>
      <c r="Q176" s="47"/>
      <c r="S176" s="572"/>
      <c r="U176" s="573"/>
      <c r="V176" s="574"/>
      <c r="W176" s="618"/>
      <c r="X176" s="576">
        <v>0.0</v>
      </c>
      <c r="Y176" s="630">
        <v>0.0</v>
      </c>
      <c r="Z176" s="630" t="s">
        <v>365</v>
      </c>
      <c r="AA176" s="631" t="b">
        <v>0</v>
      </c>
      <c r="AB176" s="631"/>
      <c r="AC176" s="576"/>
      <c r="AD176" s="479">
        <v>0.0</v>
      </c>
      <c r="AE176" s="632"/>
      <c r="AF176" s="582" t="s">
        <v>365</v>
      </c>
      <c r="AG176" s="583"/>
      <c r="AH176" s="584"/>
      <c r="AI176" s="583"/>
      <c r="AJ176" s="585"/>
      <c r="AK176" s="583"/>
      <c r="AL176" s="584"/>
      <c r="AM176" s="583"/>
      <c r="AN176" s="585"/>
      <c r="AO176" s="583"/>
      <c r="AP176" s="584"/>
      <c r="AQ176" s="583"/>
      <c r="AR176" s="585"/>
      <c r="AS176" s="583"/>
      <c r="AT176" s="584"/>
      <c r="AU176" s="583"/>
      <c r="AV176" s="585"/>
      <c r="AW176" s="583"/>
      <c r="AX176" s="584"/>
      <c r="AY176" s="583"/>
      <c r="AZ176" s="585"/>
      <c r="BA176" s="583"/>
      <c r="BB176" s="584"/>
      <c r="BC176" s="583"/>
      <c r="BD176" s="585"/>
      <c r="BE176" s="583"/>
      <c r="BF176" s="584"/>
      <c r="BG176" s="583"/>
      <c r="BH176" s="585"/>
      <c r="BI176" s="583"/>
      <c r="BJ176" s="584"/>
      <c r="BK176" s="583"/>
      <c r="BL176" s="585"/>
      <c r="BM176" s="583"/>
      <c r="BN176" s="584"/>
      <c r="BO176" s="583"/>
      <c r="BP176" s="585"/>
      <c r="BQ176" s="583"/>
      <c r="BR176" s="584"/>
      <c r="BS176" s="583"/>
      <c r="BT176" s="586"/>
      <c r="BU176" s="540"/>
      <c r="BV176" s="540"/>
      <c r="BW176" s="540"/>
      <c r="BX176" s="538"/>
      <c r="BY176" s="538"/>
      <c r="BZ176" s="592"/>
      <c r="CA176" s="633"/>
      <c r="CB176" s="592" t="s">
        <v>365</v>
      </c>
      <c r="CC176" s="592">
        <v>0.0</v>
      </c>
      <c r="CD176" s="592" t="s">
        <v>365</v>
      </c>
      <c r="CE176" s="592">
        <v>0.0</v>
      </c>
      <c r="CF176" s="592"/>
      <c r="CG176" s="592">
        <v>0.0</v>
      </c>
      <c r="CH176" s="592"/>
      <c r="CI176" s="633"/>
      <c r="CJ176" s="592">
        <v>0.0</v>
      </c>
      <c r="CK176" s="479" t="s">
        <v>365</v>
      </c>
      <c r="CL176" s="592"/>
      <c r="CM176" s="593"/>
      <c r="CN176" s="538"/>
      <c r="CO176" s="538"/>
      <c r="CP176" s="538"/>
      <c r="CQ176" s="538"/>
      <c r="CR176" s="538"/>
      <c r="CS176" s="538"/>
      <c r="CT176" s="538"/>
      <c r="CU176" s="538"/>
      <c r="CV176" s="538"/>
      <c r="CW176" s="538"/>
      <c r="CX176" s="538"/>
      <c r="CY176" s="538"/>
      <c r="CZ176" s="538"/>
      <c r="DA176" s="538"/>
      <c r="DB176" s="538"/>
      <c r="DC176" s="538"/>
      <c r="DD176" s="538"/>
      <c r="DE176" s="538"/>
      <c r="DF176" s="538"/>
      <c r="DG176" s="538"/>
      <c r="DH176" s="538"/>
      <c r="DI176" s="538"/>
      <c r="DJ176" s="538"/>
      <c r="DK176" s="538"/>
      <c r="DL176" s="538"/>
      <c r="DM176" s="538"/>
      <c r="DN176" s="538"/>
      <c r="DO176" s="538"/>
      <c r="DP176" s="538"/>
      <c r="DQ176" s="538"/>
      <c r="DR176" s="538"/>
      <c r="DS176" s="538"/>
      <c r="DT176" s="538"/>
      <c r="DU176" s="538"/>
      <c r="DV176" s="538"/>
      <c r="DW176" s="538"/>
      <c r="DX176" s="538"/>
      <c r="DY176" s="538"/>
      <c r="DZ176" s="538"/>
      <c r="EA176" s="538"/>
      <c r="EB176" s="538"/>
      <c r="EC176" s="538"/>
      <c r="ED176" s="538"/>
      <c r="EE176" s="538"/>
      <c r="EF176" s="538"/>
      <c r="EG176" s="538"/>
      <c r="EH176" s="538"/>
      <c r="EI176" s="538"/>
      <c r="EJ176" s="538"/>
      <c r="EK176" s="538"/>
      <c r="EL176" s="538"/>
      <c r="EM176" s="538"/>
      <c r="EN176" s="538"/>
      <c r="EO176" s="538"/>
      <c r="EP176" s="538"/>
      <c r="EQ176" s="538"/>
      <c r="ER176" s="538"/>
      <c r="ES176" s="538"/>
      <c r="ET176" s="538"/>
      <c r="EU176" s="538"/>
      <c r="EV176" s="538"/>
      <c r="EW176" s="538"/>
      <c r="EX176" s="559"/>
      <c r="EY176" s="559"/>
      <c r="EZ176" s="559"/>
      <c r="FA176" s="559"/>
      <c r="FB176" s="559"/>
      <c r="FC176" s="559"/>
      <c r="FD176" s="559"/>
      <c r="FE176" s="559"/>
      <c r="FF176" s="559"/>
      <c r="FG176" s="559"/>
      <c r="FH176" s="559"/>
      <c r="FI176" s="559"/>
      <c r="FJ176" s="559"/>
      <c r="FK176" s="559"/>
      <c r="FL176" s="559"/>
      <c r="FM176" s="559"/>
      <c r="FN176" s="559"/>
      <c r="FO176" s="559"/>
      <c r="FP176" s="559"/>
      <c r="FQ176" s="559"/>
      <c r="FR176" s="559"/>
      <c r="FS176" s="559"/>
      <c r="FT176" s="559"/>
      <c r="FU176" s="559"/>
      <c r="FV176" s="559"/>
      <c r="FW176" s="559"/>
      <c r="FX176" s="559"/>
      <c r="FY176" s="559"/>
      <c r="FZ176" s="559"/>
      <c r="GA176" s="559"/>
      <c r="GB176" s="559"/>
      <c r="GC176" s="559"/>
      <c r="GD176" s="559"/>
      <c r="GE176" s="559"/>
      <c r="GF176" s="559"/>
      <c r="GG176" s="559"/>
      <c r="GH176" s="559"/>
    </row>
    <row r="177">
      <c r="A177" s="538"/>
      <c r="B177" s="156"/>
      <c r="C177" s="444"/>
      <c r="D177" s="614"/>
      <c r="E177" s="66"/>
      <c r="F177" s="642"/>
      <c r="G177" s="642"/>
      <c r="H177" s="615"/>
      <c r="I177" s="616" t="s">
        <v>365</v>
      </c>
      <c r="J177" s="624"/>
      <c r="K177" s="643"/>
      <c r="L177" s="640"/>
      <c r="M177" s="625"/>
      <c r="N177" s="617"/>
      <c r="O177" s="134"/>
      <c r="P177" s="57"/>
      <c r="Q177" s="57"/>
      <c r="S177" s="605"/>
      <c r="U177" s="573"/>
      <c r="V177" s="574"/>
      <c r="W177" s="618"/>
      <c r="X177" s="576">
        <v>0.0</v>
      </c>
      <c r="Y177" s="630">
        <v>0.0</v>
      </c>
      <c r="Z177" s="630" t="s">
        <v>365</v>
      </c>
      <c r="AA177" s="631" t="b">
        <v>0</v>
      </c>
      <c r="AB177" s="631"/>
      <c r="AC177" s="576"/>
      <c r="AD177" s="479">
        <v>0.0</v>
      </c>
      <c r="AE177" s="632"/>
      <c r="AF177" s="582" t="s">
        <v>365</v>
      </c>
      <c r="AG177" s="583"/>
      <c r="AH177" s="584"/>
      <c r="AI177" s="583"/>
      <c r="AJ177" s="585"/>
      <c r="AK177" s="583"/>
      <c r="AL177" s="584"/>
      <c r="AM177" s="583"/>
      <c r="AN177" s="585"/>
      <c r="AO177" s="583"/>
      <c r="AP177" s="584"/>
      <c r="AQ177" s="583"/>
      <c r="AR177" s="585"/>
      <c r="AS177" s="583"/>
      <c r="AT177" s="584"/>
      <c r="AU177" s="583"/>
      <c r="AV177" s="585"/>
      <c r="AW177" s="583"/>
      <c r="AX177" s="584"/>
      <c r="AY177" s="583"/>
      <c r="AZ177" s="585"/>
      <c r="BA177" s="583"/>
      <c r="BB177" s="584"/>
      <c r="BC177" s="583"/>
      <c r="BD177" s="585"/>
      <c r="BE177" s="583"/>
      <c r="BF177" s="584"/>
      <c r="BG177" s="583"/>
      <c r="BH177" s="585"/>
      <c r="BI177" s="583"/>
      <c r="BJ177" s="584"/>
      <c r="BK177" s="583"/>
      <c r="BL177" s="585"/>
      <c r="BM177" s="583"/>
      <c r="BN177" s="584"/>
      <c r="BO177" s="583"/>
      <c r="BP177" s="585"/>
      <c r="BQ177" s="583"/>
      <c r="BR177" s="584"/>
      <c r="BS177" s="583"/>
      <c r="BT177" s="586"/>
      <c r="BU177" s="540"/>
      <c r="BV177" s="540"/>
      <c r="BW177" s="540"/>
      <c r="BX177" s="538"/>
      <c r="BY177" s="538"/>
      <c r="BZ177" s="592"/>
      <c r="CA177" s="633"/>
      <c r="CB177" s="592" t="s">
        <v>365</v>
      </c>
      <c r="CC177" s="592">
        <v>0.0</v>
      </c>
      <c r="CD177" s="592" t="s">
        <v>365</v>
      </c>
      <c r="CE177" s="592">
        <v>0.0</v>
      </c>
      <c r="CF177" s="592"/>
      <c r="CG177" s="592">
        <v>0.0</v>
      </c>
      <c r="CH177" s="592"/>
      <c r="CI177" s="633"/>
      <c r="CJ177" s="592">
        <v>0.0</v>
      </c>
      <c r="CK177" s="479" t="s">
        <v>365</v>
      </c>
      <c r="CL177" s="592"/>
      <c r="CM177" s="593"/>
      <c r="CN177" s="538"/>
      <c r="CO177" s="538"/>
      <c r="CP177" s="538"/>
      <c r="CQ177" s="538"/>
      <c r="CR177" s="538"/>
      <c r="CS177" s="538"/>
      <c r="CT177" s="538"/>
      <c r="CU177" s="538"/>
      <c r="CV177" s="538"/>
      <c r="CW177" s="538"/>
      <c r="CX177" s="538"/>
      <c r="CY177" s="538"/>
      <c r="CZ177" s="538"/>
      <c r="DA177" s="538"/>
      <c r="DB177" s="538"/>
      <c r="DC177" s="538"/>
      <c r="DD177" s="538"/>
      <c r="DE177" s="538"/>
      <c r="DF177" s="538"/>
      <c r="DG177" s="538"/>
      <c r="DH177" s="538"/>
      <c r="DI177" s="538"/>
      <c r="DJ177" s="538"/>
      <c r="DK177" s="538"/>
      <c r="DL177" s="538"/>
      <c r="DM177" s="538"/>
      <c r="DN177" s="538"/>
      <c r="DO177" s="538"/>
      <c r="DP177" s="538"/>
      <c r="DQ177" s="538"/>
      <c r="DR177" s="538"/>
      <c r="DS177" s="538"/>
      <c r="DT177" s="538"/>
      <c r="DU177" s="538"/>
      <c r="DV177" s="538"/>
      <c r="DW177" s="538"/>
      <c r="DX177" s="538"/>
      <c r="DY177" s="538"/>
      <c r="DZ177" s="538"/>
      <c r="EA177" s="538"/>
      <c r="EB177" s="538"/>
      <c r="EC177" s="538"/>
      <c r="ED177" s="538"/>
      <c r="EE177" s="538"/>
      <c r="EF177" s="538"/>
      <c r="EG177" s="538"/>
      <c r="EH177" s="538"/>
      <c r="EI177" s="538"/>
      <c r="EJ177" s="538"/>
      <c r="EK177" s="538"/>
      <c r="EL177" s="538"/>
      <c r="EM177" s="538"/>
      <c r="EN177" s="538"/>
      <c r="EO177" s="538"/>
      <c r="EP177" s="538"/>
      <c r="EQ177" s="538"/>
      <c r="ER177" s="538"/>
      <c r="ES177" s="538"/>
      <c r="ET177" s="538"/>
      <c r="EU177" s="538"/>
      <c r="EV177" s="538"/>
      <c r="EW177" s="538"/>
      <c r="EX177" s="559"/>
      <c r="EY177" s="559"/>
      <c r="EZ177" s="559"/>
      <c r="FA177" s="559"/>
      <c r="FB177" s="559"/>
      <c r="FC177" s="559"/>
      <c r="FD177" s="559"/>
      <c r="FE177" s="559"/>
      <c r="FF177" s="559"/>
      <c r="FG177" s="559"/>
      <c r="FH177" s="559"/>
      <c r="FI177" s="559"/>
      <c r="FJ177" s="559"/>
      <c r="FK177" s="559"/>
      <c r="FL177" s="559"/>
      <c r="FM177" s="559"/>
      <c r="FN177" s="559"/>
      <c r="FO177" s="559"/>
      <c r="FP177" s="559"/>
      <c r="FQ177" s="559"/>
      <c r="FR177" s="559"/>
      <c r="FS177" s="559"/>
      <c r="FT177" s="559"/>
      <c r="FU177" s="559"/>
      <c r="FV177" s="559"/>
      <c r="FW177" s="559"/>
      <c r="FX177" s="559"/>
      <c r="FY177" s="559"/>
      <c r="FZ177" s="559"/>
      <c r="GA177" s="559"/>
      <c r="GB177" s="559"/>
      <c r="GC177" s="559"/>
      <c r="GD177" s="559"/>
      <c r="GE177" s="559"/>
      <c r="GF177" s="559"/>
      <c r="GG177" s="559"/>
      <c r="GH177" s="559"/>
    </row>
    <row r="178">
      <c r="A178" s="538"/>
      <c r="B178" s="156"/>
      <c r="C178" s="444"/>
      <c r="D178" s="614"/>
      <c r="E178" s="68"/>
      <c r="F178" s="644"/>
      <c r="G178" s="644"/>
      <c r="H178" s="627"/>
      <c r="I178" s="622" t="s">
        <v>365</v>
      </c>
      <c r="J178" s="607"/>
      <c r="K178" s="641"/>
      <c r="L178" s="628"/>
      <c r="M178" s="626"/>
      <c r="N178" s="619"/>
      <c r="O178" s="560"/>
      <c r="P178" s="47"/>
      <c r="Q178" s="47"/>
      <c r="S178" s="572"/>
      <c r="U178" s="573"/>
      <c r="V178" s="574"/>
      <c r="W178" s="618"/>
      <c r="X178" s="576">
        <v>0.0</v>
      </c>
      <c r="Y178" s="630">
        <v>0.0</v>
      </c>
      <c r="Z178" s="630" t="s">
        <v>365</v>
      </c>
      <c r="AA178" s="631" t="b">
        <v>0</v>
      </c>
      <c r="AB178" s="631"/>
      <c r="AC178" s="576"/>
      <c r="AD178" s="479">
        <v>0.0</v>
      </c>
      <c r="AE178" s="632"/>
      <c r="AF178" s="582" t="s">
        <v>365</v>
      </c>
      <c r="AG178" s="583"/>
      <c r="AH178" s="584"/>
      <c r="AI178" s="583"/>
      <c r="AJ178" s="585"/>
      <c r="AK178" s="583"/>
      <c r="AL178" s="584"/>
      <c r="AM178" s="583"/>
      <c r="AN178" s="585"/>
      <c r="AO178" s="583"/>
      <c r="AP178" s="584"/>
      <c r="AQ178" s="583"/>
      <c r="AR178" s="585"/>
      <c r="AS178" s="583"/>
      <c r="AT178" s="584"/>
      <c r="AU178" s="583"/>
      <c r="AV178" s="585"/>
      <c r="AW178" s="583"/>
      <c r="AX178" s="584"/>
      <c r="AY178" s="583"/>
      <c r="AZ178" s="585"/>
      <c r="BA178" s="583"/>
      <c r="BB178" s="584"/>
      <c r="BC178" s="583"/>
      <c r="BD178" s="585"/>
      <c r="BE178" s="583"/>
      <c r="BF178" s="584"/>
      <c r="BG178" s="583"/>
      <c r="BH178" s="585"/>
      <c r="BI178" s="583"/>
      <c r="BJ178" s="584"/>
      <c r="BK178" s="583"/>
      <c r="BL178" s="585"/>
      <c r="BM178" s="583"/>
      <c r="BN178" s="584"/>
      <c r="BO178" s="583"/>
      <c r="BP178" s="585"/>
      <c r="BQ178" s="583"/>
      <c r="BR178" s="584"/>
      <c r="BS178" s="583"/>
      <c r="BT178" s="586"/>
      <c r="BU178" s="540"/>
      <c r="BV178" s="540"/>
      <c r="BW178" s="540"/>
      <c r="BX178" s="538"/>
      <c r="BY178" s="538"/>
      <c r="BZ178" s="592"/>
      <c r="CA178" s="633"/>
      <c r="CB178" s="592" t="s">
        <v>365</v>
      </c>
      <c r="CC178" s="592">
        <v>0.0</v>
      </c>
      <c r="CD178" s="592" t="s">
        <v>365</v>
      </c>
      <c r="CE178" s="592">
        <v>0.0</v>
      </c>
      <c r="CF178" s="592"/>
      <c r="CG178" s="592">
        <v>0.0</v>
      </c>
      <c r="CH178" s="592"/>
      <c r="CI178" s="633"/>
      <c r="CJ178" s="592">
        <v>0.0</v>
      </c>
      <c r="CK178" s="479" t="s">
        <v>365</v>
      </c>
      <c r="CL178" s="592"/>
      <c r="CM178" s="593"/>
      <c r="CN178" s="538"/>
      <c r="CO178" s="538"/>
      <c r="CP178" s="538"/>
      <c r="CQ178" s="538"/>
      <c r="CR178" s="538"/>
      <c r="CS178" s="538"/>
      <c r="CT178" s="538"/>
      <c r="CU178" s="538"/>
      <c r="CV178" s="538"/>
      <c r="CW178" s="538"/>
      <c r="CX178" s="538"/>
      <c r="CY178" s="538"/>
      <c r="CZ178" s="538"/>
      <c r="DA178" s="538"/>
      <c r="DB178" s="538"/>
      <c r="DC178" s="538"/>
      <c r="DD178" s="538"/>
      <c r="DE178" s="538"/>
      <c r="DF178" s="538"/>
      <c r="DG178" s="538"/>
      <c r="DH178" s="538"/>
      <c r="DI178" s="538"/>
      <c r="DJ178" s="538"/>
      <c r="DK178" s="538"/>
      <c r="DL178" s="538"/>
      <c r="DM178" s="538"/>
      <c r="DN178" s="538"/>
      <c r="DO178" s="538"/>
      <c r="DP178" s="538"/>
      <c r="DQ178" s="538"/>
      <c r="DR178" s="538"/>
      <c r="DS178" s="538"/>
      <c r="DT178" s="538"/>
      <c r="DU178" s="538"/>
      <c r="DV178" s="538"/>
      <c r="DW178" s="538"/>
      <c r="DX178" s="538"/>
      <c r="DY178" s="538"/>
      <c r="DZ178" s="538"/>
      <c r="EA178" s="538"/>
      <c r="EB178" s="538"/>
      <c r="EC178" s="538"/>
      <c r="ED178" s="538"/>
      <c r="EE178" s="538"/>
      <c r="EF178" s="538"/>
      <c r="EG178" s="538"/>
      <c r="EH178" s="538"/>
      <c r="EI178" s="538"/>
      <c r="EJ178" s="538"/>
      <c r="EK178" s="538"/>
      <c r="EL178" s="538"/>
      <c r="EM178" s="538"/>
      <c r="EN178" s="538"/>
      <c r="EO178" s="538"/>
      <c r="EP178" s="538"/>
      <c r="EQ178" s="538"/>
      <c r="ER178" s="538"/>
      <c r="ES178" s="538"/>
      <c r="ET178" s="538"/>
      <c r="EU178" s="538"/>
      <c r="EV178" s="538"/>
      <c r="EW178" s="538"/>
      <c r="EX178" s="559"/>
      <c r="EY178" s="559"/>
      <c r="EZ178" s="559"/>
      <c r="FA178" s="559"/>
      <c r="FB178" s="559"/>
      <c r="FC178" s="559"/>
      <c r="FD178" s="559"/>
      <c r="FE178" s="559"/>
      <c r="FF178" s="559"/>
      <c r="FG178" s="559"/>
      <c r="FH178" s="559"/>
      <c r="FI178" s="559"/>
      <c r="FJ178" s="559"/>
      <c r="FK178" s="559"/>
      <c r="FL178" s="559"/>
      <c r="FM178" s="559"/>
      <c r="FN178" s="559"/>
      <c r="FO178" s="559"/>
      <c r="FP178" s="559"/>
      <c r="FQ178" s="559"/>
      <c r="FR178" s="559"/>
      <c r="FS178" s="559"/>
      <c r="FT178" s="559"/>
      <c r="FU178" s="559"/>
      <c r="FV178" s="559"/>
      <c r="FW178" s="559"/>
      <c r="FX178" s="559"/>
      <c r="FY178" s="559"/>
      <c r="FZ178" s="559"/>
      <c r="GA178" s="559"/>
      <c r="GB178" s="559"/>
      <c r="GC178" s="559"/>
      <c r="GD178" s="559"/>
      <c r="GE178" s="559"/>
      <c r="GF178" s="559"/>
      <c r="GG178" s="559"/>
      <c r="GH178" s="559"/>
    </row>
    <row r="179">
      <c r="A179" s="538"/>
      <c r="B179" s="156"/>
      <c r="C179" s="444"/>
      <c r="D179" s="614"/>
      <c r="E179" s="66"/>
      <c r="F179" s="642"/>
      <c r="G179" s="642"/>
      <c r="H179" s="615"/>
      <c r="I179" s="616" t="s">
        <v>365</v>
      </c>
      <c r="J179" s="624"/>
      <c r="K179" s="643"/>
      <c r="L179" s="640"/>
      <c r="M179" s="625"/>
      <c r="N179" s="617"/>
      <c r="O179" s="134"/>
      <c r="P179" s="57"/>
      <c r="Q179" s="57"/>
      <c r="S179" s="605"/>
      <c r="U179" s="573"/>
      <c r="V179" s="574"/>
      <c r="W179" s="618"/>
      <c r="X179" s="576">
        <v>0.0</v>
      </c>
      <c r="Y179" s="630">
        <v>0.0</v>
      </c>
      <c r="Z179" s="630" t="s">
        <v>365</v>
      </c>
      <c r="AA179" s="631" t="b">
        <v>0</v>
      </c>
      <c r="AB179" s="631"/>
      <c r="AC179" s="576"/>
      <c r="AD179" s="479">
        <v>0.0</v>
      </c>
      <c r="AE179" s="632"/>
      <c r="AF179" s="582" t="s">
        <v>365</v>
      </c>
      <c r="AG179" s="583"/>
      <c r="AH179" s="584"/>
      <c r="AI179" s="583"/>
      <c r="AJ179" s="585"/>
      <c r="AK179" s="583"/>
      <c r="AL179" s="584"/>
      <c r="AM179" s="583"/>
      <c r="AN179" s="585"/>
      <c r="AO179" s="583"/>
      <c r="AP179" s="584"/>
      <c r="AQ179" s="583"/>
      <c r="AR179" s="585"/>
      <c r="AS179" s="583"/>
      <c r="AT179" s="584"/>
      <c r="AU179" s="583"/>
      <c r="AV179" s="585"/>
      <c r="AW179" s="583"/>
      <c r="AX179" s="584"/>
      <c r="AY179" s="583"/>
      <c r="AZ179" s="585"/>
      <c r="BA179" s="583"/>
      <c r="BB179" s="584"/>
      <c r="BC179" s="583"/>
      <c r="BD179" s="585"/>
      <c r="BE179" s="583"/>
      <c r="BF179" s="584"/>
      <c r="BG179" s="583"/>
      <c r="BH179" s="585"/>
      <c r="BI179" s="583"/>
      <c r="BJ179" s="584"/>
      <c r="BK179" s="583"/>
      <c r="BL179" s="585"/>
      <c r="BM179" s="583"/>
      <c r="BN179" s="584"/>
      <c r="BO179" s="583"/>
      <c r="BP179" s="585"/>
      <c r="BQ179" s="583"/>
      <c r="BR179" s="584"/>
      <c r="BS179" s="583"/>
      <c r="BT179" s="586"/>
      <c r="BU179" s="540"/>
      <c r="BV179" s="540"/>
      <c r="BW179" s="540"/>
      <c r="BX179" s="538"/>
      <c r="BY179" s="538"/>
      <c r="BZ179" s="592"/>
      <c r="CA179" s="633"/>
      <c r="CB179" s="592" t="s">
        <v>365</v>
      </c>
      <c r="CC179" s="592">
        <v>0.0</v>
      </c>
      <c r="CD179" s="592" t="s">
        <v>365</v>
      </c>
      <c r="CE179" s="592">
        <v>0.0</v>
      </c>
      <c r="CF179" s="592"/>
      <c r="CG179" s="592">
        <v>0.0</v>
      </c>
      <c r="CH179" s="592"/>
      <c r="CI179" s="633"/>
      <c r="CJ179" s="592">
        <v>0.0</v>
      </c>
      <c r="CK179" s="479" t="s">
        <v>365</v>
      </c>
      <c r="CL179" s="592"/>
      <c r="CM179" s="593"/>
      <c r="CN179" s="538"/>
      <c r="CO179" s="538"/>
      <c r="CP179" s="538"/>
      <c r="CQ179" s="538"/>
      <c r="CR179" s="538"/>
      <c r="CS179" s="538"/>
      <c r="CT179" s="538"/>
      <c r="CU179" s="538"/>
      <c r="CV179" s="538"/>
      <c r="CW179" s="538"/>
      <c r="CX179" s="538"/>
      <c r="CY179" s="538"/>
      <c r="CZ179" s="538"/>
      <c r="DA179" s="538"/>
      <c r="DB179" s="538"/>
      <c r="DC179" s="538"/>
      <c r="DD179" s="538"/>
      <c r="DE179" s="538"/>
      <c r="DF179" s="538"/>
      <c r="DG179" s="538"/>
      <c r="DH179" s="538"/>
      <c r="DI179" s="538"/>
      <c r="DJ179" s="538"/>
      <c r="DK179" s="538"/>
      <c r="DL179" s="538"/>
      <c r="DM179" s="538"/>
      <c r="DN179" s="538"/>
      <c r="DO179" s="538"/>
      <c r="DP179" s="538"/>
      <c r="DQ179" s="538"/>
      <c r="DR179" s="538"/>
      <c r="DS179" s="538"/>
      <c r="DT179" s="538"/>
      <c r="DU179" s="538"/>
      <c r="DV179" s="538"/>
      <c r="DW179" s="538"/>
      <c r="DX179" s="538"/>
      <c r="DY179" s="538"/>
      <c r="DZ179" s="538"/>
      <c r="EA179" s="538"/>
      <c r="EB179" s="538"/>
      <c r="EC179" s="538"/>
      <c r="ED179" s="538"/>
      <c r="EE179" s="538"/>
      <c r="EF179" s="538"/>
      <c r="EG179" s="538"/>
      <c r="EH179" s="538"/>
      <c r="EI179" s="538"/>
      <c r="EJ179" s="538"/>
      <c r="EK179" s="538"/>
      <c r="EL179" s="538"/>
      <c r="EM179" s="538"/>
      <c r="EN179" s="538"/>
      <c r="EO179" s="538"/>
      <c r="EP179" s="538"/>
      <c r="EQ179" s="538"/>
      <c r="ER179" s="538"/>
      <c r="ES179" s="538"/>
      <c r="ET179" s="538"/>
      <c r="EU179" s="538"/>
      <c r="EV179" s="538"/>
      <c r="EW179" s="538"/>
      <c r="EX179" s="559"/>
      <c r="EY179" s="559"/>
      <c r="EZ179" s="559"/>
      <c r="FA179" s="559"/>
      <c r="FB179" s="559"/>
      <c r="FC179" s="559"/>
      <c r="FD179" s="559"/>
      <c r="FE179" s="559"/>
      <c r="FF179" s="559"/>
      <c r="FG179" s="559"/>
      <c r="FH179" s="559"/>
      <c r="FI179" s="559"/>
      <c r="FJ179" s="559"/>
      <c r="FK179" s="559"/>
      <c r="FL179" s="559"/>
      <c r="FM179" s="559"/>
      <c r="FN179" s="559"/>
      <c r="FO179" s="559"/>
      <c r="FP179" s="559"/>
      <c r="FQ179" s="559"/>
      <c r="FR179" s="559"/>
      <c r="FS179" s="559"/>
      <c r="FT179" s="559"/>
      <c r="FU179" s="559"/>
      <c r="FV179" s="559"/>
      <c r="FW179" s="559"/>
      <c r="FX179" s="559"/>
      <c r="FY179" s="559"/>
      <c r="FZ179" s="559"/>
      <c r="GA179" s="559"/>
      <c r="GB179" s="559"/>
      <c r="GC179" s="559"/>
      <c r="GD179" s="559"/>
      <c r="GE179" s="559"/>
      <c r="GF179" s="559"/>
      <c r="GG179" s="559"/>
      <c r="GH179" s="559"/>
    </row>
    <row r="180">
      <c r="A180" s="538"/>
      <c r="B180" s="156"/>
      <c r="C180" s="444"/>
      <c r="D180" s="614"/>
      <c r="E180" s="68"/>
      <c r="F180" s="644"/>
      <c r="G180" s="644"/>
      <c r="H180" s="627"/>
      <c r="I180" s="622" t="s">
        <v>365</v>
      </c>
      <c r="J180" s="607"/>
      <c r="K180" s="641"/>
      <c r="L180" s="628"/>
      <c r="M180" s="626"/>
      <c r="N180" s="619"/>
      <c r="O180" s="560"/>
      <c r="P180" s="47"/>
      <c r="Q180" s="47"/>
      <c r="S180" s="572"/>
      <c r="U180" s="573"/>
      <c r="V180" s="574"/>
      <c r="W180" s="618"/>
      <c r="X180" s="576">
        <v>0.0</v>
      </c>
      <c r="Y180" s="630">
        <v>0.0</v>
      </c>
      <c r="Z180" s="630" t="s">
        <v>365</v>
      </c>
      <c r="AA180" s="631" t="b">
        <v>0</v>
      </c>
      <c r="AB180" s="631"/>
      <c r="AC180" s="576"/>
      <c r="AD180" s="479">
        <v>0.0</v>
      </c>
      <c r="AE180" s="632"/>
      <c r="AF180" s="582" t="s">
        <v>365</v>
      </c>
      <c r="AG180" s="583"/>
      <c r="AH180" s="584"/>
      <c r="AI180" s="583"/>
      <c r="AJ180" s="585"/>
      <c r="AK180" s="583"/>
      <c r="AL180" s="584"/>
      <c r="AM180" s="583"/>
      <c r="AN180" s="585"/>
      <c r="AO180" s="583"/>
      <c r="AP180" s="584"/>
      <c r="AQ180" s="583"/>
      <c r="AR180" s="585"/>
      <c r="AS180" s="583"/>
      <c r="AT180" s="584"/>
      <c r="AU180" s="583"/>
      <c r="AV180" s="585"/>
      <c r="AW180" s="583"/>
      <c r="AX180" s="584"/>
      <c r="AY180" s="583"/>
      <c r="AZ180" s="585"/>
      <c r="BA180" s="583"/>
      <c r="BB180" s="584"/>
      <c r="BC180" s="583"/>
      <c r="BD180" s="585"/>
      <c r="BE180" s="583"/>
      <c r="BF180" s="584"/>
      <c r="BG180" s="583"/>
      <c r="BH180" s="585"/>
      <c r="BI180" s="583"/>
      <c r="BJ180" s="584"/>
      <c r="BK180" s="583"/>
      <c r="BL180" s="585"/>
      <c r="BM180" s="583"/>
      <c r="BN180" s="584"/>
      <c r="BO180" s="583"/>
      <c r="BP180" s="585"/>
      <c r="BQ180" s="583"/>
      <c r="BR180" s="584"/>
      <c r="BS180" s="583"/>
      <c r="BT180" s="586"/>
      <c r="BU180" s="540"/>
      <c r="BV180" s="540"/>
      <c r="BW180" s="540"/>
      <c r="BX180" s="538"/>
      <c r="BY180" s="538"/>
      <c r="BZ180" s="592"/>
      <c r="CA180" s="633"/>
      <c r="CB180" s="592" t="s">
        <v>365</v>
      </c>
      <c r="CC180" s="592">
        <v>0.0</v>
      </c>
      <c r="CD180" s="592" t="s">
        <v>365</v>
      </c>
      <c r="CE180" s="592">
        <v>0.0</v>
      </c>
      <c r="CF180" s="592"/>
      <c r="CG180" s="592">
        <v>0.0</v>
      </c>
      <c r="CH180" s="592"/>
      <c r="CI180" s="633"/>
      <c r="CJ180" s="592">
        <v>0.0</v>
      </c>
      <c r="CK180" s="479" t="s">
        <v>365</v>
      </c>
      <c r="CL180" s="592"/>
      <c r="CM180" s="593"/>
      <c r="CN180" s="538"/>
      <c r="CO180" s="538"/>
      <c r="CP180" s="538"/>
      <c r="CQ180" s="538"/>
      <c r="CR180" s="538"/>
      <c r="CS180" s="538"/>
      <c r="CT180" s="538"/>
      <c r="CU180" s="538"/>
      <c r="CV180" s="538"/>
      <c r="CW180" s="538"/>
      <c r="CX180" s="538"/>
      <c r="CY180" s="538"/>
      <c r="CZ180" s="538"/>
      <c r="DA180" s="538"/>
      <c r="DB180" s="538"/>
      <c r="DC180" s="538"/>
      <c r="DD180" s="538"/>
      <c r="DE180" s="538"/>
      <c r="DF180" s="538"/>
      <c r="DG180" s="538"/>
      <c r="DH180" s="538"/>
      <c r="DI180" s="538"/>
      <c r="DJ180" s="538"/>
      <c r="DK180" s="538"/>
      <c r="DL180" s="538"/>
      <c r="DM180" s="538"/>
      <c r="DN180" s="538"/>
      <c r="DO180" s="538"/>
      <c r="DP180" s="538"/>
      <c r="DQ180" s="538"/>
      <c r="DR180" s="538"/>
      <c r="DS180" s="538"/>
      <c r="DT180" s="538"/>
      <c r="DU180" s="538"/>
      <c r="DV180" s="538"/>
      <c r="DW180" s="538"/>
      <c r="DX180" s="538"/>
      <c r="DY180" s="538"/>
      <c r="DZ180" s="538"/>
      <c r="EA180" s="538"/>
      <c r="EB180" s="538"/>
      <c r="EC180" s="538"/>
      <c r="ED180" s="538"/>
      <c r="EE180" s="538"/>
      <c r="EF180" s="538"/>
      <c r="EG180" s="538"/>
      <c r="EH180" s="538"/>
      <c r="EI180" s="538"/>
      <c r="EJ180" s="538"/>
      <c r="EK180" s="538"/>
      <c r="EL180" s="538"/>
      <c r="EM180" s="538"/>
      <c r="EN180" s="538"/>
      <c r="EO180" s="538"/>
      <c r="EP180" s="538"/>
      <c r="EQ180" s="538"/>
      <c r="ER180" s="538"/>
      <c r="ES180" s="538"/>
      <c r="ET180" s="538"/>
      <c r="EU180" s="538"/>
      <c r="EV180" s="538"/>
      <c r="EW180" s="538"/>
      <c r="EX180" s="559"/>
      <c r="EY180" s="559"/>
      <c r="EZ180" s="559"/>
      <c r="FA180" s="559"/>
      <c r="FB180" s="559"/>
      <c r="FC180" s="559"/>
      <c r="FD180" s="559"/>
      <c r="FE180" s="559"/>
      <c r="FF180" s="559"/>
      <c r="FG180" s="559"/>
      <c r="FH180" s="559"/>
      <c r="FI180" s="559"/>
      <c r="FJ180" s="559"/>
      <c r="FK180" s="559"/>
      <c r="FL180" s="559"/>
      <c r="FM180" s="559"/>
      <c r="FN180" s="559"/>
      <c r="FO180" s="559"/>
      <c r="FP180" s="559"/>
      <c r="FQ180" s="559"/>
      <c r="FR180" s="559"/>
      <c r="FS180" s="559"/>
      <c r="FT180" s="559"/>
      <c r="FU180" s="559"/>
      <c r="FV180" s="559"/>
      <c r="FW180" s="559"/>
      <c r="FX180" s="559"/>
      <c r="FY180" s="559"/>
      <c r="FZ180" s="559"/>
      <c r="GA180" s="559"/>
      <c r="GB180" s="559"/>
      <c r="GC180" s="559"/>
      <c r="GD180" s="559"/>
      <c r="GE180" s="559"/>
      <c r="GF180" s="559"/>
      <c r="GG180" s="559"/>
      <c r="GH180" s="559"/>
    </row>
    <row r="181">
      <c r="A181" s="538"/>
      <c r="B181" s="156"/>
      <c r="C181" s="444"/>
      <c r="D181" s="614"/>
      <c r="E181" s="66"/>
      <c r="F181" s="642"/>
      <c r="G181" s="642"/>
      <c r="H181" s="615"/>
      <c r="I181" s="616" t="s">
        <v>365</v>
      </c>
      <c r="J181" s="624"/>
      <c r="K181" s="643"/>
      <c r="L181" s="640"/>
      <c r="M181" s="625"/>
      <c r="N181" s="617"/>
      <c r="O181" s="134"/>
      <c r="P181" s="57"/>
      <c r="Q181" s="57"/>
      <c r="S181" s="605"/>
      <c r="U181" s="573"/>
      <c r="V181" s="574"/>
      <c r="W181" s="618"/>
      <c r="X181" s="576">
        <v>0.0</v>
      </c>
      <c r="Y181" s="630">
        <v>0.0</v>
      </c>
      <c r="Z181" s="630" t="s">
        <v>365</v>
      </c>
      <c r="AA181" s="631" t="b">
        <v>0</v>
      </c>
      <c r="AB181" s="631"/>
      <c r="AC181" s="576"/>
      <c r="AD181" s="479">
        <v>0.0</v>
      </c>
      <c r="AE181" s="632"/>
      <c r="AF181" s="582" t="s">
        <v>365</v>
      </c>
      <c r="AG181" s="583"/>
      <c r="AH181" s="584"/>
      <c r="AI181" s="583"/>
      <c r="AJ181" s="585"/>
      <c r="AK181" s="583"/>
      <c r="AL181" s="584"/>
      <c r="AM181" s="583"/>
      <c r="AN181" s="585"/>
      <c r="AO181" s="583"/>
      <c r="AP181" s="584"/>
      <c r="AQ181" s="583"/>
      <c r="AR181" s="585"/>
      <c r="AS181" s="583"/>
      <c r="AT181" s="584"/>
      <c r="AU181" s="583"/>
      <c r="AV181" s="585"/>
      <c r="AW181" s="583"/>
      <c r="AX181" s="584"/>
      <c r="AY181" s="583"/>
      <c r="AZ181" s="585"/>
      <c r="BA181" s="583"/>
      <c r="BB181" s="584"/>
      <c r="BC181" s="583"/>
      <c r="BD181" s="585"/>
      <c r="BE181" s="583"/>
      <c r="BF181" s="584"/>
      <c r="BG181" s="583"/>
      <c r="BH181" s="585"/>
      <c r="BI181" s="583"/>
      <c r="BJ181" s="584"/>
      <c r="BK181" s="583"/>
      <c r="BL181" s="585"/>
      <c r="BM181" s="583"/>
      <c r="BN181" s="584"/>
      <c r="BO181" s="583"/>
      <c r="BP181" s="585"/>
      <c r="BQ181" s="583"/>
      <c r="BR181" s="584"/>
      <c r="BS181" s="583"/>
      <c r="BT181" s="586"/>
      <c r="BU181" s="540"/>
      <c r="BV181" s="540"/>
      <c r="BW181" s="540"/>
      <c r="BX181" s="538"/>
      <c r="BY181" s="538"/>
      <c r="BZ181" s="592"/>
      <c r="CA181" s="633"/>
      <c r="CB181" s="592" t="s">
        <v>365</v>
      </c>
      <c r="CC181" s="592">
        <v>0.0</v>
      </c>
      <c r="CD181" s="592" t="s">
        <v>365</v>
      </c>
      <c r="CE181" s="592">
        <v>0.0</v>
      </c>
      <c r="CF181" s="592"/>
      <c r="CG181" s="592">
        <v>0.0</v>
      </c>
      <c r="CH181" s="592"/>
      <c r="CI181" s="633"/>
      <c r="CJ181" s="592">
        <v>0.0</v>
      </c>
      <c r="CK181" s="479" t="s">
        <v>365</v>
      </c>
      <c r="CL181" s="592"/>
      <c r="CM181" s="593"/>
      <c r="CN181" s="538"/>
      <c r="CO181" s="538"/>
      <c r="CP181" s="538"/>
      <c r="CQ181" s="538"/>
      <c r="CR181" s="538"/>
      <c r="CS181" s="538"/>
      <c r="CT181" s="538"/>
      <c r="CU181" s="538"/>
      <c r="CV181" s="538"/>
      <c r="CW181" s="538"/>
      <c r="CX181" s="538"/>
      <c r="CY181" s="538"/>
      <c r="CZ181" s="538"/>
      <c r="DA181" s="538"/>
      <c r="DB181" s="538"/>
      <c r="DC181" s="538"/>
      <c r="DD181" s="538"/>
      <c r="DE181" s="538"/>
      <c r="DF181" s="538"/>
      <c r="DG181" s="538"/>
      <c r="DH181" s="538"/>
      <c r="DI181" s="538"/>
      <c r="DJ181" s="538"/>
      <c r="DK181" s="538"/>
      <c r="DL181" s="538"/>
      <c r="DM181" s="538"/>
      <c r="DN181" s="538"/>
      <c r="DO181" s="538"/>
      <c r="DP181" s="538"/>
      <c r="DQ181" s="538"/>
      <c r="DR181" s="538"/>
      <c r="DS181" s="538"/>
      <c r="DT181" s="538"/>
      <c r="DU181" s="538"/>
      <c r="DV181" s="538"/>
      <c r="DW181" s="538"/>
      <c r="DX181" s="538"/>
      <c r="DY181" s="538"/>
      <c r="DZ181" s="538"/>
      <c r="EA181" s="538"/>
      <c r="EB181" s="538"/>
      <c r="EC181" s="538"/>
      <c r="ED181" s="538"/>
      <c r="EE181" s="538"/>
      <c r="EF181" s="538"/>
      <c r="EG181" s="538"/>
      <c r="EH181" s="538"/>
      <c r="EI181" s="538"/>
      <c r="EJ181" s="538"/>
      <c r="EK181" s="538"/>
      <c r="EL181" s="538"/>
      <c r="EM181" s="538"/>
      <c r="EN181" s="538"/>
      <c r="EO181" s="538"/>
      <c r="EP181" s="538"/>
      <c r="EQ181" s="538"/>
      <c r="ER181" s="538"/>
      <c r="ES181" s="538"/>
      <c r="ET181" s="538"/>
      <c r="EU181" s="538"/>
      <c r="EV181" s="538"/>
      <c r="EW181" s="538"/>
      <c r="EX181" s="559"/>
      <c r="EY181" s="559"/>
      <c r="EZ181" s="559"/>
      <c r="FA181" s="559"/>
      <c r="FB181" s="559"/>
      <c r="FC181" s="559"/>
      <c r="FD181" s="559"/>
      <c r="FE181" s="559"/>
      <c r="FF181" s="559"/>
      <c r="FG181" s="559"/>
      <c r="FH181" s="559"/>
      <c r="FI181" s="559"/>
      <c r="FJ181" s="559"/>
      <c r="FK181" s="559"/>
      <c r="FL181" s="559"/>
      <c r="FM181" s="559"/>
      <c r="FN181" s="559"/>
      <c r="FO181" s="559"/>
      <c r="FP181" s="559"/>
      <c r="FQ181" s="559"/>
      <c r="FR181" s="559"/>
      <c r="FS181" s="559"/>
      <c r="FT181" s="559"/>
      <c r="FU181" s="559"/>
      <c r="FV181" s="559"/>
      <c r="FW181" s="559"/>
      <c r="FX181" s="559"/>
      <c r="FY181" s="559"/>
      <c r="FZ181" s="559"/>
      <c r="GA181" s="559"/>
      <c r="GB181" s="559"/>
      <c r="GC181" s="559"/>
      <c r="GD181" s="559"/>
      <c r="GE181" s="559"/>
      <c r="GF181" s="559"/>
      <c r="GG181" s="559"/>
      <c r="GH181" s="559"/>
    </row>
    <row r="182">
      <c r="A182" s="538"/>
      <c r="B182" s="156"/>
      <c r="C182" s="444"/>
      <c r="D182" s="614"/>
      <c r="E182" s="68"/>
      <c r="F182" s="644"/>
      <c r="G182" s="644"/>
      <c r="H182" s="627"/>
      <c r="I182" s="622" t="s">
        <v>365</v>
      </c>
      <c r="J182" s="607"/>
      <c r="K182" s="641"/>
      <c r="L182" s="628"/>
      <c r="M182" s="626"/>
      <c r="N182" s="619"/>
      <c r="O182" s="560"/>
      <c r="P182" s="47"/>
      <c r="Q182" s="47"/>
      <c r="S182" s="572"/>
      <c r="U182" s="573"/>
      <c r="V182" s="574"/>
      <c r="W182" s="618"/>
      <c r="X182" s="576">
        <v>0.0</v>
      </c>
      <c r="Y182" s="630">
        <v>0.0</v>
      </c>
      <c r="Z182" s="630" t="s">
        <v>365</v>
      </c>
      <c r="AA182" s="631" t="b">
        <v>0</v>
      </c>
      <c r="AB182" s="631"/>
      <c r="AC182" s="576"/>
      <c r="AD182" s="479">
        <v>0.0</v>
      </c>
      <c r="AE182" s="632"/>
      <c r="AF182" s="582" t="s">
        <v>365</v>
      </c>
      <c r="AG182" s="583"/>
      <c r="AH182" s="584"/>
      <c r="AI182" s="583"/>
      <c r="AJ182" s="585"/>
      <c r="AK182" s="583"/>
      <c r="AL182" s="584"/>
      <c r="AM182" s="583"/>
      <c r="AN182" s="585"/>
      <c r="AO182" s="583"/>
      <c r="AP182" s="584"/>
      <c r="AQ182" s="583"/>
      <c r="AR182" s="585"/>
      <c r="AS182" s="583"/>
      <c r="AT182" s="584"/>
      <c r="AU182" s="583"/>
      <c r="AV182" s="585"/>
      <c r="AW182" s="583"/>
      <c r="AX182" s="584"/>
      <c r="AY182" s="583"/>
      <c r="AZ182" s="585"/>
      <c r="BA182" s="583"/>
      <c r="BB182" s="584"/>
      <c r="BC182" s="583"/>
      <c r="BD182" s="585"/>
      <c r="BE182" s="583"/>
      <c r="BF182" s="584"/>
      <c r="BG182" s="583"/>
      <c r="BH182" s="585"/>
      <c r="BI182" s="583"/>
      <c r="BJ182" s="584"/>
      <c r="BK182" s="583"/>
      <c r="BL182" s="585"/>
      <c r="BM182" s="583"/>
      <c r="BN182" s="584"/>
      <c r="BO182" s="583"/>
      <c r="BP182" s="585"/>
      <c r="BQ182" s="583"/>
      <c r="BR182" s="584"/>
      <c r="BS182" s="583"/>
      <c r="BT182" s="586"/>
      <c r="BU182" s="540"/>
      <c r="BV182" s="540"/>
      <c r="BW182" s="540"/>
      <c r="BX182" s="538"/>
      <c r="BY182" s="538"/>
      <c r="BZ182" s="592"/>
      <c r="CA182" s="633"/>
      <c r="CB182" s="592" t="s">
        <v>365</v>
      </c>
      <c r="CC182" s="592">
        <v>0.0</v>
      </c>
      <c r="CD182" s="592" t="s">
        <v>365</v>
      </c>
      <c r="CE182" s="592">
        <v>0.0</v>
      </c>
      <c r="CF182" s="592"/>
      <c r="CG182" s="592">
        <v>0.0</v>
      </c>
      <c r="CH182" s="592"/>
      <c r="CI182" s="633"/>
      <c r="CJ182" s="592">
        <v>0.0</v>
      </c>
      <c r="CK182" s="479" t="s">
        <v>365</v>
      </c>
      <c r="CL182" s="592"/>
      <c r="CM182" s="593"/>
      <c r="CN182" s="538"/>
      <c r="CO182" s="538"/>
      <c r="CP182" s="538"/>
      <c r="CQ182" s="538"/>
      <c r="CR182" s="538"/>
      <c r="CS182" s="538"/>
      <c r="CT182" s="538"/>
      <c r="CU182" s="538"/>
      <c r="CV182" s="538"/>
      <c r="CW182" s="538"/>
      <c r="CX182" s="538"/>
      <c r="CY182" s="538"/>
      <c r="CZ182" s="538"/>
      <c r="DA182" s="538"/>
      <c r="DB182" s="538"/>
      <c r="DC182" s="538"/>
      <c r="DD182" s="538"/>
      <c r="DE182" s="538"/>
      <c r="DF182" s="538"/>
      <c r="DG182" s="538"/>
      <c r="DH182" s="538"/>
      <c r="DI182" s="538"/>
      <c r="DJ182" s="538"/>
      <c r="DK182" s="538"/>
      <c r="DL182" s="538"/>
      <c r="DM182" s="538"/>
      <c r="DN182" s="538"/>
      <c r="DO182" s="538"/>
      <c r="DP182" s="538"/>
      <c r="DQ182" s="538"/>
      <c r="DR182" s="538"/>
      <c r="DS182" s="538"/>
      <c r="DT182" s="538"/>
      <c r="DU182" s="538"/>
      <c r="DV182" s="538"/>
      <c r="DW182" s="538"/>
      <c r="DX182" s="538"/>
      <c r="DY182" s="538"/>
      <c r="DZ182" s="538"/>
      <c r="EA182" s="538"/>
      <c r="EB182" s="538"/>
      <c r="EC182" s="538"/>
      <c r="ED182" s="538"/>
      <c r="EE182" s="538"/>
      <c r="EF182" s="538"/>
      <c r="EG182" s="538"/>
      <c r="EH182" s="538"/>
      <c r="EI182" s="538"/>
      <c r="EJ182" s="538"/>
      <c r="EK182" s="538"/>
      <c r="EL182" s="538"/>
      <c r="EM182" s="538"/>
      <c r="EN182" s="538"/>
      <c r="EO182" s="538"/>
      <c r="EP182" s="538"/>
      <c r="EQ182" s="538"/>
      <c r="ER182" s="538"/>
      <c r="ES182" s="538"/>
      <c r="ET182" s="538"/>
      <c r="EU182" s="538"/>
      <c r="EV182" s="538"/>
      <c r="EW182" s="538"/>
      <c r="EX182" s="559"/>
      <c r="EY182" s="559"/>
      <c r="EZ182" s="559"/>
      <c r="FA182" s="559"/>
      <c r="FB182" s="559"/>
      <c r="FC182" s="559"/>
      <c r="FD182" s="559"/>
      <c r="FE182" s="559"/>
      <c r="FF182" s="559"/>
      <c r="FG182" s="559"/>
      <c r="FH182" s="559"/>
      <c r="FI182" s="559"/>
      <c r="FJ182" s="559"/>
      <c r="FK182" s="559"/>
      <c r="FL182" s="559"/>
      <c r="FM182" s="559"/>
      <c r="FN182" s="559"/>
      <c r="FO182" s="559"/>
      <c r="FP182" s="559"/>
      <c r="FQ182" s="559"/>
      <c r="FR182" s="559"/>
      <c r="FS182" s="559"/>
      <c r="FT182" s="559"/>
      <c r="FU182" s="559"/>
      <c r="FV182" s="559"/>
      <c r="FW182" s="559"/>
      <c r="FX182" s="559"/>
      <c r="FY182" s="559"/>
      <c r="FZ182" s="559"/>
      <c r="GA182" s="559"/>
      <c r="GB182" s="559"/>
      <c r="GC182" s="559"/>
      <c r="GD182" s="559"/>
      <c r="GE182" s="559"/>
      <c r="GF182" s="559"/>
      <c r="GG182" s="559"/>
      <c r="GH182" s="559"/>
    </row>
    <row r="183">
      <c r="A183" s="538"/>
      <c r="B183" s="156"/>
      <c r="C183" s="444"/>
      <c r="D183" s="614"/>
      <c r="E183" s="66"/>
      <c r="F183" s="642"/>
      <c r="G183" s="642"/>
      <c r="H183" s="615"/>
      <c r="I183" s="616" t="s">
        <v>365</v>
      </c>
      <c r="J183" s="624"/>
      <c r="K183" s="643"/>
      <c r="L183" s="640"/>
      <c r="M183" s="625"/>
      <c r="N183" s="617"/>
      <c r="O183" s="134"/>
      <c r="P183" s="57"/>
      <c r="Q183" s="57"/>
      <c r="S183" s="605"/>
      <c r="U183" s="573"/>
      <c r="V183" s="574"/>
      <c r="W183" s="618"/>
      <c r="X183" s="576">
        <v>0.0</v>
      </c>
      <c r="Y183" s="630">
        <v>0.0</v>
      </c>
      <c r="Z183" s="630" t="s">
        <v>365</v>
      </c>
      <c r="AA183" s="631" t="b">
        <v>0</v>
      </c>
      <c r="AB183" s="631"/>
      <c r="AC183" s="576"/>
      <c r="AD183" s="479">
        <v>0.0</v>
      </c>
      <c r="AE183" s="632"/>
      <c r="AF183" s="582" t="s">
        <v>365</v>
      </c>
      <c r="AG183" s="583"/>
      <c r="AH183" s="584"/>
      <c r="AI183" s="583"/>
      <c r="AJ183" s="585"/>
      <c r="AK183" s="583"/>
      <c r="AL183" s="584"/>
      <c r="AM183" s="583"/>
      <c r="AN183" s="585"/>
      <c r="AO183" s="583"/>
      <c r="AP183" s="584"/>
      <c r="AQ183" s="583"/>
      <c r="AR183" s="585"/>
      <c r="AS183" s="583"/>
      <c r="AT183" s="584"/>
      <c r="AU183" s="583"/>
      <c r="AV183" s="585"/>
      <c r="AW183" s="583"/>
      <c r="AX183" s="584"/>
      <c r="AY183" s="583"/>
      <c r="AZ183" s="585"/>
      <c r="BA183" s="583"/>
      <c r="BB183" s="584"/>
      <c r="BC183" s="583"/>
      <c r="BD183" s="585"/>
      <c r="BE183" s="583"/>
      <c r="BF183" s="584"/>
      <c r="BG183" s="583"/>
      <c r="BH183" s="585"/>
      <c r="BI183" s="583"/>
      <c r="BJ183" s="584"/>
      <c r="BK183" s="583"/>
      <c r="BL183" s="585"/>
      <c r="BM183" s="583"/>
      <c r="BN183" s="584"/>
      <c r="BO183" s="583"/>
      <c r="BP183" s="585"/>
      <c r="BQ183" s="583"/>
      <c r="BR183" s="584"/>
      <c r="BS183" s="583"/>
      <c r="BT183" s="586"/>
      <c r="BU183" s="540"/>
      <c r="BV183" s="540"/>
      <c r="BW183" s="540"/>
      <c r="BX183" s="538"/>
      <c r="BY183" s="538"/>
      <c r="BZ183" s="592"/>
      <c r="CA183" s="633"/>
      <c r="CB183" s="592" t="s">
        <v>365</v>
      </c>
      <c r="CC183" s="592">
        <v>0.0</v>
      </c>
      <c r="CD183" s="592" t="s">
        <v>365</v>
      </c>
      <c r="CE183" s="592">
        <v>0.0</v>
      </c>
      <c r="CF183" s="592"/>
      <c r="CG183" s="592">
        <v>0.0</v>
      </c>
      <c r="CH183" s="592"/>
      <c r="CI183" s="633"/>
      <c r="CJ183" s="592">
        <v>0.0</v>
      </c>
      <c r="CK183" s="479" t="s">
        <v>365</v>
      </c>
      <c r="CL183" s="592"/>
      <c r="CM183" s="593"/>
      <c r="CN183" s="538"/>
      <c r="CO183" s="538"/>
      <c r="CP183" s="538"/>
      <c r="CQ183" s="538"/>
      <c r="CR183" s="538"/>
      <c r="CS183" s="538"/>
      <c r="CT183" s="538"/>
      <c r="CU183" s="538"/>
      <c r="CV183" s="538"/>
      <c r="CW183" s="538"/>
      <c r="CX183" s="538"/>
      <c r="CY183" s="538"/>
      <c r="CZ183" s="538"/>
      <c r="DA183" s="538"/>
      <c r="DB183" s="538"/>
      <c r="DC183" s="538"/>
      <c r="DD183" s="538"/>
      <c r="DE183" s="538"/>
      <c r="DF183" s="538"/>
      <c r="DG183" s="538"/>
      <c r="DH183" s="538"/>
      <c r="DI183" s="538"/>
      <c r="DJ183" s="538"/>
      <c r="DK183" s="538"/>
      <c r="DL183" s="538"/>
      <c r="DM183" s="538"/>
      <c r="DN183" s="538"/>
      <c r="DO183" s="538"/>
      <c r="DP183" s="538"/>
      <c r="DQ183" s="538"/>
      <c r="DR183" s="538"/>
      <c r="DS183" s="538"/>
      <c r="DT183" s="538"/>
      <c r="DU183" s="538"/>
      <c r="DV183" s="538"/>
      <c r="DW183" s="538"/>
      <c r="DX183" s="538"/>
      <c r="DY183" s="538"/>
      <c r="DZ183" s="538"/>
      <c r="EA183" s="538"/>
      <c r="EB183" s="538"/>
      <c r="EC183" s="538"/>
      <c r="ED183" s="538"/>
      <c r="EE183" s="538"/>
      <c r="EF183" s="538"/>
      <c r="EG183" s="538"/>
      <c r="EH183" s="538"/>
      <c r="EI183" s="538"/>
      <c r="EJ183" s="538"/>
      <c r="EK183" s="538"/>
      <c r="EL183" s="538"/>
      <c r="EM183" s="538"/>
      <c r="EN183" s="538"/>
      <c r="EO183" s="538"/>
      <c r="EP183" s="538"/>
      <c r="EQ183" s="538"/>
      <c r="ER183" s="538"/>
      <c r="ES183" s="538"/>
      <c r="ET183" s="538"/>
      <c r="EU183" s="538"/>
      <c r="EV183" s="538"/>
      <c r="EW183" s="538"/>
      <c r="EX183" s="559"/>
      <c r="EY183" s="559"/>
      <c r="EZ183" s="559"/>
      <c r="FA183" s="559"/>
      <c r="FB183" s="559"/>
      <c r="FC183" s="559"/>
      <c r="FD183" s="559"/>
      <c r="FE183" s="559"/>
      <c r="FF183" s="559"/>
      <c r="FG183" s="559"/>
      <c r="FH183" s="559"/>
      <c r="FI183" s="559"/>
      <c r="FJ183" s="559"/>
      <c r="FK183" s="559"/>
      <c r="FL183" s="559"/>
      <c r="FM183" s="559"/>
      <c r="FN183" s="559"/>
      <c r="FO183" s="559"/>
      <c r="FP183" s="559"/>
      <c r="FQ183" s="559"/>
      <c r="FR183" s="559"/>
      <c r="FS183" s="559"/>
      <c r="FT183" s="559"/>
      <c r="FU183" s="559"/>
      <c r="FV183" s="559"/>
      <c r="FW183" s="559"/>
      <c r="FX183" s="559"/>
      <c r="FY183" s="559"/>
      <c r="FZ183" s="559"/>
      <c r="GA183" s="559"/>
      <c r="GB183" s="559"/>
      <c r="GC183" s="559"/>
      <c r="GD183" s="559"/>
      <c r="GE183" s="559"/>
      <c r="GF183" s="559"/>
      <c r="GG183" s="559"/>
      <c r="GH183" s="559"/>
    </row>
    <row r="184">
      <c r="A184" s="538"/>
      <c r="B184" s="156"/>
      <c r="C184" s="444"/>
      <c r="D184" s="614"/>
      <c r="E184" s="68"/>
      <c r="F184" s="644"/>
      <c r="G184" s="644"/>
      <c r="H184" s="627"/>
      <c r="I184" s="622" t="s">
        <v>365</v>
      </c>
      <c r="J184" s="607"/>
      <c r="K184" s="641"/>
      <c r="L184" s="628"/>
      <c r="M184" s="626"/>
      <c r="N184" s="619"/>
      <c r="O184" s="560"/>
      <c r="P184" s="47"/>
      <c r="Q184" s="47"/>
      <c r="S184" s="572"/>
      <c r="U184" s="573"/>
      <c r="V184" s="574"/>
      <c r="W184" s="618"/>
      <c r="X184" s="576">
        <v>0.0</v>
      </c>
      <c r="Y184" s="630">
        <v>0.0</v>
      </c>
      <c r="Z184" s="630" t="s">
        <v>365</v>
      </c>
      <c r="AA184" s="631" t="b">
        <v>0</v>
      </c>
      <c r="AB184" s="631"/>
      <c r="AC184" s="576"/>
      <c r="AD184" s="479">
        <v>0.0</v>
      </c>
      <c r="AE184" s="632"/>
      <c r="AF184" s="582" t="s">
        <v>365</v>
      </c>
      <c r="AG184" s="583"/>
      <c r="AH184" s="584"/>
      <c r="AI184" s="583"/>
      <c r="AJ184" s="585"/>
      <c r="AK184" s="583"/>
      <c r="AL184" s="584"/>
      <c r="AM184" s="583"/>
      <c r="AN184" s="585"/>
      <c r="AO184" s="583"/>
      <c r="AP184" s="584"/>
      <c r="AQ184" s="583"/>
      <c r="AR184" s="585"/>
      <c r="AS184" s="583"/>
      <c r="AT184" s="584"/>
      <c r="AU184" s="583"/>
      <c r="AV184" s="585"/>
      <c r="AW184" s="583"/>
      <c r="AX184" s="584"/>
      <c r="AY184" s="583"/>
      <c r="AZ184" s="585"/>
      <c r="BA184" s="583"/>
      <c r="BB184" s="584"/>
      <c r="BC184" s="583"/>
      <c r="BD184" s="585"/>
      <c r="BE184" s="583"/>
      <c r="BF184" s="584"/>
      <c r="BG184" s="583"/>
      <c r="BH184" s="585"/>
      <c r="BI184" s="583"/>
      <c r="BJ184" s="584"/>
      <c r="BK184" s="583"/>
      <c r="BL184" s="585"/>
      <c r="BM184" s="583"/>
      <c r="BN184" s="584"/>
      <c r="BO184" s="583"/>
      <c r="BP184" s="585"/>
      <c r="BQ184" s="583"/>
      <c r="BR184" s="584"/>
      <c r="BS184" s="583"/>
      <c r="BT184" s="586"/>
      <c r="BU184" s="540"/>
      <c r="BV184" s="540"/>
      <c r="BW184" s="540"/>
      <c r="BX184" s="538"/>
      <c r="BY184" s="538"/>
      <c r="BZ184" s="592"/>
      <c r="CA184" s="633"/>
      <c r="CB184" s="592" t="s">
        <v>365</v>
      </c>
      <c r="CC184" s="592">
        <v>0.0</v>
      </c>
      <c r="CD184" s="592" t="s">
        <v>365</v>
      </c>
      <c r="CE184" s="592">
        <v>0.0</v>
      </c>
      <c r="CF184" s="592"/>
      <c r="CG184" s="592">
        <v>0.0</v>
      </c>
      <c r="CH184" s="592"/>
      <c r="CI184" s="633"/>
      <c r="CJ184" s="592">
        <v>0.0</v>
      </c>
      <c r="CK184" s="479" t="s">
        <v>365</v>
      </c>
      <c r="CL184" s="592"/>
      <c r="CM184" s="593"/>
      <c r="CN184" s="538"/>
      <c r="CO184" s="538"/>
      <c r="CP184" s="538"/>
      <c r="CQ184" s="538"/>
      <c r="CR184" s="538"/>
      <c r="CS184" s="538"/>
      <c r="CT184" s="538"/>
      <c r="CU184" s="538"/>
      <c r="CV184" s="538"/>
      <c r="CW184" s="538"/>
      <c r="CX184" s="538"/>
      <c r="CY184" s="538"/>
      <c r="CZ184" s="538"/>
      <c r="DA184" s="538"/>
      <c r="DB184" s="538"/>
      <c r="DC184" s="538"/>
      <c r="DD184" s="538"/>
      <c r="DE184" s="538"/>
      <c r="DF184" s="538"/>
      <c r="DG184" s="538"/>
      <c r="DH184" s="538"/>
      <c r="DI184" s="538"/>
      <c r="DJ184" s="538"/>
      <c r="DK184" s="538"/>
      <c r="DL184" s="538"/>
      <c r="DM184" s="538"/>
      <c r="DN184" s="538"/>
      <c r="DO184" s="538"/>
      <c r="DP184" s="538"/>
      <c r="DQ184" s="538"/>
      <c r="DR184" s="538"/>
      <c r="DS184" s="538"/>
      <c r="DT184" s="538"/>
      <c r="DU184" s="538"/>
      <c r="DV184" s="538"/>
      <c r="DW184" s="538"/>
      <c r="DX184" s="538"/>
      <c r="DY184" s="538"/>
      <c r="DZ184" s="538"/>
      <c r="EA184" s="538"/>
      <c r="EB184" s="538"/>
      <c r="EC184" s="538"/>
      <c r="ED184" s="538"/>
      <c r="EE184" s="538"/>
      <c r="EF184" s="538"/>
      <c r="EG184" s="538"/>
      <c r="EH184" s="538"/>
      <c r="EI184" s="538"/>
      <c r="EJ184" s="538"/>
      <c r="EK184" s="538"/>
      <c r="EL184" s="538"/>
      <c r="EM184" s="538"/>
      <c r="EN184" s="538"/>
      <c r="EO184" s="538"/>
      <c r="EP184" s="538"/>
      <c r="EQ184" s="538"/>
      <c r="ER184" s="538"/>
      <c r="ES184" s="538"/>
      <c r="ET184" s="538"/>
      <c r="EU184" s="538"/>
      <c r="EV184" s="538"/>
      <c r="EW184" s="538"/>
      <c r="EX184" s="559"/>
      <c r="EY184" s="559"/>
      <c r="EZ184" s="559"/>
      <c r="FA184" s="559"/>
      <c r="FB184" s="559"/>
      <c r="FC184" s="559"/>
      <c r="FD184" s="559"/>
      <c r="FE184" s="559"/>
      <c r="FF184" s="559"/>
      <c r="FG184" s="559"/>
      <c r="FH184" s="559"/>
      <c r="FI184" s="559"/>
      <c r="FJ184" s="559"/>
      <c r="FK184" s="559"/>
      <c r="FL184" s="559"/>
      <c r="FM184" s="559"/>
      <c r="FN184" s="559"/>
      <c r="FO184" s="559"/>
      <c r="FP184" s="559"/>
      <c r="FQ184" s="559"/>
      <c r="FR184" s="559"/>
      <c r="FS184" s="559"/>
      <c r="FT184" s="559"/>
      <c r="FU184" s="559"/>
      <c r="FV184" s="559"/>
      <c r="FW184" s="559"/>
      <c r="FX184" s="559"/>
      <c r="FY184" s="559"/>
      <c r="FZ184" s="559"/>
      <c r="GA184" s="559"/>
      <c r="GB184" s="559"/>
      <c r="GC184" s="559"/>
      <c r="GD184" s="559"/>
      <c r="GE184" s="559"/>
      <c r="GF184" s="559"/>
      <c r="GG184" s="559"/>
      <c r="GH184" s="559"/>
    </row>
    <row r="185">
      <c r="A185" s="538"/>
      <c r="B185" s="156"/>
      <c r="C185" s="444"/>
      <c r="D185" s="614"/>
      <c r="E185" s="66"/>
      <c r="F185" s="642"/>
      <c r="G185" s="642"/>
      <c r="H185" s="615"/>
      <c r="I185" s="616" t="s">
        <v>365</v>
      </c>
      <c r="J185" s="624"/>
      <c r="K185" s="643"/>
      <c r="L185" s="640"/>
      <c r="M185" s="625"/>
      <c r="N185" s="617"/>
      <c r="O185" s="134"/>
      <c r="P185" s="57"/>
      <c r="Q185" s="57"/>
      <c r="S185" s="605"/>
      <c r="U185" s="573"/>
      <c r="V185" s="574"/>
      <c r="W185" s="618"/>
      <c r="X185" s="576">
        <v>0.0</v>
      </c>
      <c r="Y185" s="630">
        <v>0.0</v>
      </c>
      <c r="Z185" s="630" t="s">
        <v>365</v>
      </c>
      <c r="AA185" s="631" t="b">
        <v>0</v>
      </c>
      <c r="AB185" s="631"/>
      <c r="AC185" s="576"/>
      <c r="AD185" s="479">
        <v>0.0</v>
      </c>
      <c r="AE185" s="632"/>
      <c r="AF185" s="582" t="s">
        <v>365</v>
      </c>
      <c r="AG185" s="583"/>
      <c r="AH185" s="584"/>
      <c r="AI185" s="583"/>
      <c r="AJ185" s="585"/>
      <c r="AK185" s="583"/>
      <c r="AL185" s="584"/>
      <c r="AM185" s="583"/>
      <c r="AN185" s="585"/>
      <c r="AO185" s="583"/>
      <c r="AP185" s="584"/>
      <c r="AQ185" s="583"/>
      <c r="AR185" s="585"/>
      <c r="AS185" s="583"/>
      <c r="AT185" s="584"/>
      <c r="AU185" s="583"/>
      <c r="AV185" s="585"/>
      <c r="AW185" s="583"/>
      <c r="AX185" s="584"/>
      <c r="AY185" s="583"/>
      <c r="AZ185" s="585"/>
      <c r="BA185" s="583"/>
      <c r="BB185" s="584"/>
      <c r="BC185" s="583"/>
      <c r="BD185" s="585"/>
      <c r="BE185" s="583"/>
      <c r="BF185" s="584"/>
      <c r="BG185" s="583"/>
      <c r="BH185" s="585"/>
      <c r="BI185" s="583"/>
      <c r="BJ185" s="584"/>
      <c r="BK185" s="583"/>
      <c r="BL185" s="585"/>
      <c r="BM185" s="583"/>
      <c r="BN185" s="584"/>
      <c r="BO185" s="583"/>
      <c r="BP185" s="585"/>
      <c r="BQ185" s="583"/>
      <c r="BR185" s="584"/>
      <c r="BS185" s="583"/>
      <c r="BT185" s="586"/>
      <c r="BU185" s="540"/>
      <c r="BV185" s="540"/>
      <c r="BW185" s="540"/>
      <c r="BX185" s="538"/>
      <c r="BY185" s="538"/>
      <c r="BZ185" s="592"/>
      <c r="CA185" s="633"/>
      <c r="CB185" s="592" t="s">
        <v>365</v>
      </c>
      <c r="CC185" s="592">
        <v>0.0</v>
      </c>
      <c r="CD185" s="592" t="s">
        <v>365</v>
      </c>
      <c r="CE185" s="592">
        <v>0.0</v>
      </c>
      <c r="CF185" s="592"/>
      <c r="CG185" s="592">
        <v>0.0</v>
      </c>
      <c r="CH185" s="592"/>
      <c r="CI185" s="633"/>
      <c r="CJ185" s="592">
        <v>0.0</v>
      </c>
      <c r="CK185" s="479" t="s">
        <v>365</v>
      </c>
      <c r="CL185" s="592"/>
      <c r="CM185" s="593"/>
      <c r="CN185" s="538"/>
      <c r="CO185" s="538"/>
      <c r="CP185" s="538"/>
      <c r="CQ185" s="538"/>
      <c r="CR185" s="538"/>
      <c r="CS185" s="538"/>
      <c r="CT185" s="538"/>
      <c r="CU185" s="538"/>
      <c r="CV185" s="538"/>
      <c r="CW185" s="538"/>
      <c r="CX185" s="538"/>
      <c r="CY185" s="538"/>
      <c r="CZ185" s="538"/>
      <c r="DA185" s="538"/>
      <c r="DB185" s="538"/>
      <c r="DC185" s="538"/>
      <c r="DD185" s="538"/>
      <c r="DE185" s="538"/>
      <c r="DF185" s="538"/>
      <c r="DG185" s="538"/>
      <c r="DH185" s="538"/>
      <c r="DI185" s="538"/>
      <c r="DJ185" s="538"/>
      <c r="DK185" s="538"/>
      <c r="DL185" s="538"/>
      <c r="DM185" s="538"/>
      <c r="DN185" s="538"/>
      <c r="DO185" s="538"/>
      <c r="DP185" s="538"/>
      <c r="DQ185" s="538"/>
      <c r="DR185" s="538"/>
      <c r="DS185" s="538"/>
      <c r="DT185" s="538"/>
      <c r="DU185" s="538"/>
      <c r="DV185" s="538"/>
      <c r="DW185" s="538"/>
      <c r="DX185" s="538"/>
      <c r="DY185" s="538"/>
      <c r="DZ185" s="538"/>
      <c r="EA185" s="538"/>
      <c r="EB185" s="538"/>
      <c r="EC185" s="538"/>
      <c r="ED185" s="538"/>
      <c r="EE185" s="538"/>
      <c r="EF185" s="538"/>
      <c r="EG185" s="538"/>
      <c r="EH185" s="538"/>
      <c r="EI185" s="538"/>
      <c r="EJ185" s="538"/>
      <c r="EK185" s="538"/>
      <c r="EL185" s="538"/>
      <c r="EM185" s="538"/>
      <c r="EN185" s="538"/>
      <c r="EO185" s="538"/>
      <c r="EP185" s="538"/>
      <c r="EQ185" s="538"/>
      <c r="ER185" s="538"/>
      <c r="ES185" s="538"/>
      <c r="ET185" s="538"/>
      <c r="EU185" s="538"/>
      <c r="EV185" s="538"/>
      <c r="EW185" s="538"/>
      <c r="EX185" s="559"/>
      <c r="EY185" s="559"/>
      <c r="EZ185" s="559"/>
      <c r="FA185" s="559"/>
      <c r="FB185" s="559"/>
      <c r="FC185" s="559"/>
      <c r="FD185" s="559"/>
      <c r="FE185" s="559"/>
      <c r="FF185" s="559"/>
      <c r="FG185" s="559"/>
      <c r="FH185" s="559"/>
      <c r="FI185" s="559"/>
      <c r="FJ185" s="559"/>
      <c r="FK185" s="559"/>
      <c r="FL185" s="559"/>
      <c r="FM185" s="559"/>
      <c r="FN185" s="559"/>
      <c r="FO185" s="559"/>
      <c r="FP185" s="559"/>
      <c r="FQ185" s="559"/>
      <c r="FR185" s="559"/>
      <c r="FS185" s="559"/>
      <c r="FT185" s="559"/>
      <c r="FU185" s="559"/>
      <c r="FV185" s="559"/>
      <c r="FW185" s="559"/>
      <c r="FX185" s="559"/>
      <c r="FY185" s="559"/>
      <c r="FZ185" s="559"/>
      <c r="GA185" s="559"/>
      <c r="GB185" s="559"/>
      <c r="GC185" s="559"/>
      <c r="GD185" s="559"/>
      <c r="GE185" s="559"/>
      <c r="GF185" s="559"/>
      <c r="GG185" s="559"/>
      <c r="GH185" s="559"/>
    </row>
    <row r="186">
      <c r="A186" s="538"/>
      <c r="B186" s="156"/>
      <c r="C186" s="444"/>
      <c r="D186" s="614"/>
      <c r="E186" s="645"/>
      <c r="F186" s="646"/>
      <c r="G186" s="646"/>
      <c r="H186" s="647"/>
      <c r="I186" s="648" t="s">
        <v>365</v>
      </c>
      <c r="J186" s="649"/>
      <c r="K186" s="650"/>
      <c r="L186" s="651"/>
      <c r="M186" s="652"/>
      <c r="N186" s="653"/>
      <c r="O186" s="654"/>
      <c r="P186" s="655"/>
      <c r="Q186" s="655"/>
      <c r="S186" s="572"/>
      <c r="U186" s="573"/>
      <c r="V186" s="574"/>
      <c r="W186" s="618"/>
      <c r="X186" s="576">
        <v>0.0</v>
      </c>
      <c r="Y186" s="630">
        <v>0.0</v>
      </c>
      <c r="Z186" s="630" t="s">
        <v>365</v>
      </c>
      <c r="AA186" s="631" t="b">
        <v>0</v>
      </c>
      <c r="AB186" s="631"/>
      <c r="AC186" s="576"/>
      <c r="AD186" s="479">
        <v>0.0</v>
      </c>
      <c r="AE186" s="632"/>
      <c r="AF186" s="656" t="s">
        <v>365</v>
      </c>
      <c r="AG186" s="583"/>
      <c r="AH186" s="584"/>
      <c r="AI186" s="583"/>
      <c r="AJ186" s="585"/>
      <c r="AK186" s="583"/>
      <c r="AL186" s="584"/>
      <c r="AM186" s="583"/>
      <c r="AN186" s="585"/>
      <c r="AO186" s="583"/>
      <c r="AP186" s="584"/>
      <c r="AQ186" s="583"/>
      <c r="AR186" s="585"/>
      <c r="AS186" s="583"/>
      <c r="AT186" s="584"/>
      <c r="AU186" s="583"/>
      <c r="AV186" s="585"/>
      <c r="AW186" s="583"/>
      <c r="AX186" s="584"/>
      <c r="AY186" s="583"/>
      <c r="AZ186" s="585"/>
      <c r="BA186" s="583"/>
      <c r="BB186" s="584"/>
      <c r="BC186" s="583"/>
      <c r="BD186" s="585"/>
      <c r="BE186" s="583"/>
      <c r="BF186" s="584"/>
      <c r="BG186" s="583"/>
      <c r="BH186" s="585"/>
      <c r="BI186" s="583"/>
      <c r="BJ186" s="584"/>
      <c r="BK186" s="583"/>
      <c r="BL186" s="585"/>
      <c r="BM186" s="583"/>
      <c r="BN186" s="584"/>
      <c r="BO186" s="583"/>
      <c r="BP186" s="585"/>
      <c r="BQ186" s="583"/>
      <c r="BR186" s="584"/>
      <c r="BS186" s="583"/>
      <c r="BT186" s="586"/>
      <c r="BU186" s="540"/>
      <c r="BV186" s="540"/>
      <c r="BW186" s="540"/>
      <c r="BX186" s="538"/>
      <c r="BY186" s="538"/>
      <c r="BZ186" s="592"/>
      <c r="CA186" s="633"/>
      <c r="CB186" s="592" t="s">
        <v>365</v>
      </c>
      <c r="CC186" s="592">
        <v>0.0</v>
      </c>
      <c r="CD186" s="592" t="s">
        <v>365</v>
      </c>
      <c r="CE186" s="592">
        <v>0.0</v>
      </c>
      <c r="CF186" s="592"/>
      <c r="CG186" s="592">
        <v>0.0</v>
      </c>
      <c r="CH186" s="592"/>
      <c r="CI186" s="633"/>
      <c r="CJ186" s="592">
        <v>0.0</v>
      </c>
      <c r="CK186" s="479" t="s">
        <v>365</v>
      </c>
      <c r="CL186" s="657"/>
      <c r="CM186" s="658"/>
      <c r="CN186" s="538"/>
      <c r="CO186" s="538"/>
      <c r="CP186" s="538"/>
      <c r="CQ186" s="538"/>
      <c r="CR186" s="538"/>
      <c r="CS186" s="538"/>
      <c r="CT186" s="538"/>
      <c r="CU186" s="538"/>
      <c r="CV186" s="538"/>
      <c r="CW186" s="538"/>
      <c r="CX186" s="538"/>
      <c r="CY186" s="538"/>
      <c r="CZ186" s="538"/>
      <c r="DA186" s="538"/>
      <c r="DB186" s="538"/>
      <c r="DC186" s="538"/>
      <c r="DD186" s="538"/>
      <c r="DE186" s="538"/>
      <c r="DF186" s="538"/>
      <c r="DG186" s="538"/>
      <c r="DH186" s="538"/>
      <c r="DI186" s="538"/>
      <c r="DJ186" s="538"/>
      <c r="DK186" s="538"/>
      <c r="DL186" s="538"/>
      <c r="DM186" s="538"/>
      <c r="DN186" s="538"/>
      <c r="DO186" s="538"/>
      <c r="DP186" s="538"/>
      <c r="DQ186" s="538"/>
      <c r="DR186" s="538"/>
      <c r="DS186" s="538"/>
      <c r="DT186" s="538"/>
      <c r="DU186" s="538"/>
      <c r="DV186" s="538"/>
      <c r="DW186" s="538"/>
      <c r="DX186" s="538"/>
      <c r="DY186" s="538"/>
      <c r="DZ186" s="538"/>
      <c r="EA186" s="538"/>
      <c r="EB186" s="538"/>
      <c r="EC186" s="538"/>
      <c r="ED186" s="538"/>
      <c r="EE186" s="538"/>
      <c r="EF186" s="538"/>
      <c r="EG186" s="538"/>
      <c r="EH186" s="538"/>
      <c r="EI186" s="538"/>
      <c r="EJ186" s="538"/>
      <c r="EK186" s="538"/>
      <c r="EL186" s="538"/>
      <c r="EM186" s="538"/>
      <c r="EN186" s="538"/>
      <c r="EO186" s="538"/>
      <c r="EP186" s="538"/>
      <c r="EQ186" s="538"/>
      <c r="ER186" s="538"/>
      <c r="ES186" s="538"/>
      <c r="ET186" s="538"/>
      <c r="EU186" s="538"/>
      <c r="EV186" s="538"/>
      <c r="EW186" s="538"/>
      <c r="EX186" s="559"/>
      <c r="EY186" s="559"/>
      <c r="EZ186" s="559"/>
      <c r="FA186" s="559"/>
      <c r="FB186" s="559"/>
      <c r="FC186" s="559"/>
      <c r="FD186" s="559"/>
      <c r="FE186" s="559"/>
      <c r="FF186" s="559"/>
      <c r="FG186" s="559"/>
      <c r="FH186" s="559"/>
      <c r="FI186" s="559"/>
      <c r="FJ186" s="559"/>
      <c r="FK186" s="559"/>
      <c r="FL186" s="559"/>
      <c r="FM186" s="559"/>
      <c r="FN186" s="559"/>
      <c r="FO186" s="559"/>
      <c r="FP186" s="559"/>
      <c r="FQ186" s="559"/>
      <c r="FR186" s="559"/>
      <c r="FS186" s="559"/>
      <c r="FT186" s="559"/>
      <c r="FU186" s="559"/>
      <c r="FV186" s="559"/>
      <c r="FW186" s="559"/>
      <c r="FX186" s="559"/>
      <c r="FY186" s="559"/>
      <c r="FZ186" s="559"/>
      <c r="GA186" s="559"/>
      <c r="GB186" s="559"/>
      <c r="GC186" s="559"/>
      <c r="GD186" s="559"/>
      <c r="GE186" s="559"/>
      <c r="GF186" s="559"/>
      <c r="GG186" s="559"/>
      <c r="GH186" s="559"/>
    </row>
  </sheetData>
  <mergeCells count="479">
    <mergeCell ref="AW8:AZ8"/>
    <mergeCell ref="BA8:BD8"/>
    <mergeCell ref="BE8:BH8"/>
    <mergeCell ref="BI8:BL8"/>
    <mergeCell ref="BM8:BQ8"/>
    <mergeCell ref="BR8:BT8"/>
    <mergeCell ref="BE9:BH9"/>
    <mergeCell ref="BI9:BL9"/>
    <mergeCell ref="BU8:BV8"/>
    <mergeCell ref="AG9:AJ9"/>
    <mergeCell ref="AK9:AN9"/>
    <mergeCell ref="AO9:AR9"/>
    <mergeCell ref="AS9:AV9"/>
    <mergeCell ref="AW9:AZ9"/>
    <mergeCell ref="BA9:BD9"/>
    <mergeCell ref="BM9:BQ9"/>
    <mergeCell ref="BS9:BT9"/>
    <mergeCell ref="AG10:AJ10"/>
    <mergeCell ref="AK10:AN10"/>
    <mergeCell ref="AO8:AR8"/>
    <mergeCell ref="AS8:AV8"/>
    <mergeCell ref="AO10:AR10"/>
    <mergeCell ref="AS10:AV10"/>
    <mergeCell ref="AW10:AZ10"/>
    <mergeCell ref="BA10:BD10"/>
    <mergeCell ref="BE10:BH10"/>
    <mergeCell ref="AG8:AJ8"/>
    <mergeCell ref="AK8:AN8"/>
    <mergeCell ref="AG11:AJ11"/>
    <mergeCell ref="AK11:AN11"/>
    <mergeCell ref="AO11:AR11"/>
    <mergeCell ref="AS11:AV11"/>
    <mergeCell ref="AW11:AZ11"/>
    <mergeCell ref="AG3:BW4"/>
    <mergeCell ref="AG5:BW5"/>
    <mergeCell ref="BE15:BH15"/>
    <mergeCell ref="BI15:BL15"/>
    <mergeCell ref="BS14:BT14"/>
    <mergeCell ref="AG15:AJ15"/>
    <mergeCell ref="AK15:AN15"/>
    <mergeCell ref="AO15:AR15"/>
    <mergeCell ref="AS15:AV15"/>
    <mergeCell ref="AW15:AZ15"/>
    <mergeCell ref="BA15:BD15"/>
    <mergeCell ref="BM15:BQ15"/>
    <mergeCell ref="BS15:BT15"/>
    <mergeCell ref="X1:AD15"/>
    <mergeCell ref="BZ1:CT5"/>
    <mergeCell ref="FZ1:GB1"/>
    <mergeCell ref="GC1:GE1"/>
    <mergeCell ref="GF1:GH1"/>
    <mergeCell ref="E2:F11"/>
    <mergeCell ref="GF2:GH2"/>
    <mergeCell ref="BI11:BL11"/>
    <mergeCell ref="BM11:BQ11"/>
    <mergeCell ref="BE12:BH12"/>
    <mergeCell ref="BI12:BL12"/>
    <mergeCell ref="BS11:BT11"/>
    <mergeCell ref="AG12:AJ12"/>
    <mergeCell ref="AK12:AN12"/>
    <mergeCell ref="AO12:AR12"/>
    <mergeCell ref="AS12:AV12"/>
    <mergeCell ref="AW12:AZ12"/>
    <mergeCell ref="BA12:BD12"/>
    <mergeCell ref="BM12:BQ12"/>
    <mergeCell ref="BS12:BT12"/>
    <mergeCell ref="AG13:AJ13"/>
    <mergeCell ref="AK13:AN13"/>
    <mergeCell ref="AO13:AR13"/>
    <mergeCell ref="AS13:AV13"/>
    <mergeCell ref="AW13:AZ13"/>
    <mergeCell ref="BA13:BD13"/>
    <mergeCell ref="AG1:BW1"/>
    <mergeCell ref="AG2:BW2"/>
    <mergeCell ref="FZ2:GB2"/>
    <mergeCell ref="GC2:GE2"/>
    <mergeCell ref="AG6:BQ7"/>
    <mergeCell ref="BR6:BW7"/>
    <mergeCell ref="CO6:CT6"/>
    <mergeCell ref="BZ7:CF7"/>
    <mergeCell ref="BI10:BL10"/>
    <mergeCell ref="BM10:BQ10"/>
    <mergeCell ref="BS10:BT10"/>
    <mergeCell ref="BA11:BD11"/>
    <mergeCell ref="BE11:BH11"/>
    <mergeCell ref="BE13:BH13"/>
    <mergeCell ref="BI13:BL13"/>
    <mergeCell ref="BM13:BQ13"/>
    <mergeCell ref="BS13:BT13"/>
    <mergeCell ref="BZ13:CB13"/>
    <mergeCell ref="AW16:AX16"/>
    <mergeCell ref="BA16:BB16"/>
    <mergeCell ref="BE16:BF16"/>
    <mergeCell ref="BI16:BJ16"/>
    <mergeCell ref="BM16:BO16"/>
    <mergeCell ref="J2:T2"/>
    <mergeCell ref="J3:T16"/>
    <mergeCell ref="X16:AC16"/>
    <mergeCell ref="AG16:AI16"/>
    <mergeCell ref="AK16:AL16"/>
    <mergeCell ref="AO16:AP16"/>
    <mergeCell ref="AS16:AT16"/>
    <mergeCell ref="BI14:BL14"/>
    <mergeCell ref="BM14:BQ14"/>
    <mergeCell ref="AG14:AJ14"/>
    <mergeCell ref="AK14:AN14"/>
    <mergeCell ref="AO14:AR14"/>
    <mergeCell ref="AS14:AV14"/>
    <mergeCell ref="AW14:AZ14"/>
    <mergeCell ref="BA14:BD14"/>
    <mergeCell ref="BE14:BH14"/>
    <mergeCell ref="AG17:AI17"/>
    <mergeCell ref="AK17:AL17"/>
    <mergeCell ref="E18:T18"/>
    <mergeCell ref="AG18:BW18"/>
    <mergeCell ref="E19:T20"/>
    <mergeCell ref="AG19:BW19"/>
    <mergeCell ref="BZ19:CF19"/>
    <mergeCell ref="AG20:BW20"/>
    <mergeCell ref="BZ20:CB20"/>
    <mergeCell ref="AM21:AP21"/>
    <mergeCell ref="AQ21:AT21"/>
    <mergeCell ref="AU21:AX21"/>
    <mergeCell ref="AY21:BB21"/>
    <mergeCell ref="BF21:BI21"/>
    <mergeCell ref="BZ21:CB21"/>
    <mergeCell ref="AU22:AX22"/>
    <mergeCell ref="AY22:BB22"/>
    <mergeCell ref="BC22:BE22"/>
    <mergeCell ref="BF22:BI22"/>
    <mergeCell ref="BJ22:BM22"/>
    <mergeCell ref="BN22:BQ22"/>
    <mergeCell ref="BZ22:CB22"/>
    <mergeCell ref="E28:E35"/>
    <mergeCell ref="F28:I35"/>
    <mergeCell ref="J28:M35"/>
    <mergeCell ref="N28:Q35"/>
    <mergeCell ref="R28:R35"/>
    <mergeCell ref="S28:S35"/>
    <mergeCell ref="T28:T35"/>
    <mergeCell ref="AS38:AV38"/>
    <mergeCell ref="AW38:AZ38"/>
    <mergeCell ref="BA38:BD38"/>
    <mergeCell ref="BE38:BH38"/>
    <mergeCell ref="BI38:BL38"/>
    <mergeCell ref="BM38:BP38"/>
    <mergeCell ref="BQ38:BT38"/>
    <mergeCell ref="CJ38:CM38"/>
    <mergeCell ref="E37:V37"/>
    <mergeCell ref="F38:P38"/>
    <mergeCell ref="U38:V38"/>
    <mergeCell ref="X38:AD38"/>
    <mergeCell ref="AG38:AJ38"/>
    <mergeCell ref="AK38:AN38"/>
    <mergeCell ref="AO38:AR38"/>
    <mergeCell ref="S184:T184"/>
    <mergeCell ref="S185:T185"/>
    <mergeCell ref="S177:T177"/>
    <mergeCell ref="S178:T178"/>
    <mergeCell ref="S179:T179"/>
    <mergeCell ref="S180:T180"/>
    <mergeCell ref="S181:T181"/>
    <mergeCell ref="S182:T182"/>
    <mergeCell ref="S183:T183"/>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BZ30:CB30"/>
    <mergeCell ref="BZ31:CB31"/>
    <mergeCell ref="BF27:BT27"/>
    <mergeCell ref="BF28:BT28"/>
    <mergeCell ref="BZ28:CB28"/>
    <mergeCell ref="BF29:BT29"/>
    <mergeCell ref="BZ29:CB29"/>
    <mergeCell ref="BF30:BT30"/>
    <mergeCell ref="BF31:BT31"/>
    <mergeCell ref="AM23:AP23"/>
    <mergeCell ref="AQ23:AT23"/>
    <mergeCell ref="AU23:AX23"/>
    <mergeCell ref="AY23:BB23"/>
    <mergeCell ref="BZ23:CB23"/>
    <mergeCell ref="BJ21:BM21"/>
    <mergeCell ref="BN21:BQ21"/>
    <mergeCell ref="E22:T24"/>
    <mergeCell ref="AG22:AH22"/>
    <mergeCell ref="AJ22:AL22"/>
    <mergeCell ref="AM22:AP22"/>
    <mergeCell ref="AQ22:AT22"/>
    <mergeCell ref="BC24:BE24"/>
    <mergeCell ref="AG24:AH24"/>
    <mergeCell ref="AJ24:AL24"/>
    <mergeCell ref="E25:T25"/>
    <mergeCell ref="E26:T26"/>
    <mergeCell ref="F27:I27"/>
    <mergeCell ref="K27:M27"/>
    <mergeCell ref="N27:Q27"/>
    <mergeCell ref="AU24:AX24"/>
    <mergeCell ref="AY24:BB24"/>
    <mergeCell ref="BZ24:CB24"/>
    <mergeCell ref="BZ25:CB25"/>
    <mergeCell ref="BF26:BT26"/>
    <mergeCell ref="BZ26:CB26"/>
    <mergeCell ref="BZ27:CB27"/>
    <mergeCell ref="AM24:AP24"/>
    <mergeCell ref="AQ24:AT24"/>
    <mergeCell ref="AM26:BB26"/>
    <mergeCell ref="AM27:BB27"/>
    <mergeCell ref="AM28:BB28"/>
    <mergeCell ref="AM29:BB29"/>
    <mergeCell ref="AM30:BB30"/>
    <mergeCell ref="AM31:BB31"/>
    <mergeCell ref="AM32:BT32"/>
    <mergeCell ref="BZ32:CB32"/>
    <mergeCell ref="AM33:BT34"/>
    <mergeCell ref="BZ33:CB33"/>
    <mergeCell ref="AF37:BS37"/>
    <mergeCell ref="BZ37:CM37"/>
    <mergeCell ref="K39:L39"/>
    <mergeCell ref="M39:N39"/>
    <mergeCell ref="Q39:R39"/>
    <mergeCell ref="S39:T39"/>
    <mergeCell ref="Q43:R43"/>
    <mergeCell ref="S43:T43"/>
    <mergeCell ref="S44:T44"/>
    <mergeCell ref="Q44:R44"/>
    <mergeCell ref="Q45:R45"/>
    <mergeCell ref="S45:T45"/>
    <mergeCell ref="Q46:R46"/>
    <mergeCell ref="S46:T46"/>
    <mergeCell ref="Q48:R48"/>
    <mergeCell ref="S48:T48"/>
    <mergeCell ref="Q49:R49"/>
    <mergeCell ref="S49:T49"/>
    <mergeCell ref="Q50:R50"/>
    <mergeCell ref="S50:T50"/>
    <mergeCell ref="Q51:R51"/>
    <mergeCell ref="S51:T51"/>
    <mergeCell ref="S52:T52"/>
    <mergeCell ref="S53:T53"/>
    <mergeCell ref="Q52:R52"/>
    <mergeCell ref="Q53:R53"/>
    <mergeCell ref="Q59:R59"/>
    <mergeCell ref="S59:T59"/>
    <mergeCell ref="Q61:R61"/>
    <mergeCell ref="S61:T61"/>
    <mergeCell ref="S62:T62"/>
    <mergeCell ref="Q62:R62"/>
    <mergeCell ref="Q63:R63"/>
    <mergeCell ref="Q64:R64"/>
    <mergeCell ref="Q66:R66"/>
    <mergeCell ref="Q68:R68"/>
    <mergeCell ref="Q69:R69"/>
    <mergeCell ref="Q70:R70"/>
    <mergeCell ref="S63:T63"/>
    <mergeCell ref="S64:T64"/>
    <mergeCell ref="S66:T66"/>
    <mergeCell ref="S68:T68"/>
    <mergeCell ref="S69:T69"/>
    <mergeCell ref="S70:T70"/>
    <mergeCell ref="S71:T71"/>
    <mergeCell ref="S72:T72"/>
    <mergeCell ref="S73:T73"/>
    <mergeCell ref="S74:T74"/>
    <mergeCell ref="S75:T75"/>
    <mergeCell ref="S76:T76"/>
    <mergeCell ref="S77:T77"/>
    <mergeCell ref="S78:T78"/>
    <mergeCell ref="Q71:R71"/>
    <mergeCell ref="Q72:R72"/>
    <mergeCell ref="Q73:R73"/>
    <mergeCell ref="Q74:R74"/>
    <mergeCell ref="Q75:R75"/>
    <mergeCell ref="Q76:R76"/>
    <mergeCell ref="Q77:R77"/>
    <mergeCell ref="Q78:R78"/>
    <mergeCell ref="Q79:R79"/>
    <mergeCell ref="Q80:R80"/>
    <mergeCell ref="Q81:R81"/>
    <mergeCell ref="Q82:R8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Q105:R105"/>
    <mergeCell ref="Q106:R106"/>
    <mergeCell ref="Q107:R107"/>
    <mergeCell ref="Q108:R108"/>
    <mergeCell ref="Q109:R109"/>
    <mergeCell ref="Q110:R110"/>
    <mergeCell ref="Q111:R111"/>
    <mergeCell ref="Q112:R112"/>
    <mergeCell ref="Q113:R113"/>
    <mergeCell ref="Q114:R114"/>
    <mergeCell ref="Q115:R115"/>
    <mergeCell ref="Q116:R116"/>
    <mergeCell ref="Q117:R117"/>
    <mergeCell ref="Q118:R118"/>
    <mergeCell ref="Q119:R119"/>
    <mergeCell ref="S79:T79"/>
    <mergeCell ref="S80:T80"/>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Q169:R169"/>
    <mergeCell ref="Q170:R170"/>
    <mergeCell ref="Q171:R171"/>
    <mergeCell ref="Q172:R172"/>
    <mergeCell ref="Q173:R173"/>
    <mergeCell ref="Q174:R174"/>
    <mergeCell ref="Q175:R175"/>
    <mergeCell ref="Q183:R183"/>
    <mergeCell ref="Q184:R184"/>
    <mergeCell ref="Q185:R185"/>
    <mergeCell ref="Q186:R186"/>
    <mergeCell ref="S186:T186"/>
    <mergeCell ref="Q176:R176"/>
    <mergeCell ref="Q177:R177"/>
    <mergeCell ref="Q178:R178"/>
    <mergeCell ref="Q179:R179"/>
    <mergeCell ref="Q180:R180"/>
    <mergeCell ref="Q181:R181"/>
    <mergeCell ref="Q182:R182"/>
    <mergeCell ref="Q120:R120"/>
    <mergeCell ref="Q121:R121"/>
    <mergeCell ref="Q122:R122"/>
    <mergeCell ref="Q123:R123"/>
    <mergeCell ref="Q124:R124"/>
    <mergeCell ref="Q125:R125"/>
    <mergeCell ref="Q126:R126"/>
    <mergeCell ref="Q127:R127"/>
    <mergeCell ref="Q128:R128"/>
    <mergeCell ref="Q129:R129"/>
    <mergeCell ref="Q130:R130"/>
    <mergeCell ref="Q131:R131"/>
    <mergeCell ref="Q132:R132"/>
    <mergeCell ref="Q133:R133"/>
    <mergeCell ref="Q134:R134"/>
    <mergeCell ref="Q135:R135"/>
    <mergeCell ref="Q136:R136"/>
    <mergeCell ref="Q137:R137"/>
    <mergeCell ref="Q138:R138"/>
    <mergeCell ref="Q139:R139"/>
    <mergeCell ref="Q140:R140"/>
    <mergeCell ref="Q141:R141"/>
    <mergeCell ref="Q142:R142"/>
    <mergeCell ref="Q143:R143"/>
    <mergeCell ref="Q144:R144"/>
    <mergeCell ref="Q145:R145"/>
    <mergeCell ref="Q146:R146"/>
    <mergeCell ref="Q147:R147"/>
    <mergeCell ref="Q148:R148"/>
    <mergeCell ref="Q149:R149"/>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s>
  <conditionalFormatting sqref="BI16:BJ16">
    <cfRule type="colorScale" priority="1">
      <colorScale>
        <cfvo type="formula" val="1"/>
        <cfvo type="formula" val="5"/>
        <cfvo type="formula" val="10"/>
        <color rgb="FFEA4335"/>
        <color rgb="FFFBBC04"/>
        <color rgb="FF34A853"/>
      </colorScale>
    </cfRule>
  </conditionalFormatting>
  <conditionalFormatting sqref="AG9:AG18 AI9:BH18 BI16:BJ18">
    <cfRule type="colorScale" priority="2">
      <colorScale>
        <cfvo type="formula" val="1"/>
        <cfvo type="formula" val="4"/>
        <cfvo type="formula" val="7"/>
        <color rgb="FF34A853"/>
        <color rgb="FFFBBC04"/>
        <color rgb="FFFF0000"/>
      </colorScale>
    </cfRule>
  </conditionalFormatting>
  <conditionalFormatting sqref="AG9:AG18 AI9:BH18 BI16:BJ18">
    <cfRule type="colorScale" priority="3">
      <colorScale>
        <cfvo type="formula" val="1"/>
        <cfvo type="formula" val="4"/>
        <cfvo type="formula" val="7"/>
        <color rgb="FF34A853"/>
        <color rgb="FFFBBC04"/>
        <color rgb="FFEA4335"/>
      </colorScale>
    </cfRule>
  </conditionalFormatting>
  <conditionalFormatting sqref="BM9:BR15 BI16 BK16:BL16 BM17:BR17">
    <cfRule type="colorScale" priority="4">
      <colorScale>
        <cfvo type="formula" val="1"/>
        <cfvo type="formula" val="5"/>
        <cfvo type="formula" val="10"/>
        <color rgb="FFEA4335"/>
        <color rgb="FFFBBC04"/>
        <color rgb="FF34A853"/>
      </colorScale>
    </cfRule>
  </conditionalFormatting>
  <conditionalFormatting sqref="AK16:BE16">
    <cfRule type="colorScale" priority="5">
      <colorScale>
        <cfvo type="formula" val="1"/>
        <cfvo type="formula" val="4"/>
        <cfvo type="formula" val="7"/>
        <color rgb="FF34A853"/>
        <color rgb="FFFBBC04"/>
        <color rgb="FFFF0000"/>
      </colorScale>
    </cfRule>
  </conditionalFormatting>
  <conditionalFormatting sqref="B39:B186">
    <cfRule type="notContainsBlanks" dxfId="9" priority="6">
      <formula>LEN(TRIM(B39))&gt;0</formula>
    </cfRule>
  </conditionalFormatting>
  <conditionalFormatting sqref="AG40:AG186 AK40:AK186 AO40:AO186 AS40:AS186 AW40:AW43 BA40:BA186 BE40:BE186 BI40:BI186 BM40:BM186 BQ40:BQ186 AW45:AW186 AP51 AT51">
    <cfRule type="notContainsBlanks" dxfId="17" priority="7">
      <formula>LEN(TRIM(AG40))&gt;0</formula>
    </cfRule>
  </conditionalFormatting>
  <conditionalFormatting sqref="AH40:AH186 AL40:AL186 AP40:AP186 AT40:AT186 AX40:AX186 BB40:BB186 BF40:BF186 BJ40:BJ186 BN40:BN186 BR40:BR186 AQ51 AU51">
    <cfRule type="notContainsBlanks" dxfId="16" priority="8">
      <formula>LEN(TRIM(AH40))&gt;0</formula>
    </cfRule>
  </conditionalFormatting>
  <conditionalFormatting sqref="I40:I186">
    <cfRule type="cellIs" dxfId="41" priority="9" operator="equal">
      <formula>0</formula>
    </cfRule>
  </conditionalFormatting>
  <conditionalFormatting sqref="B39:B186 C40:V186 AF40:BT186">
    <cfRule type="expression" dxfId="9" priority="10">
      <formula>ArrayFormula(NOT(ISBLANK(B39:$B186)))</formula>
    </cfRule>
  </conditionalFormatting>
  <conditionalFormatting sqref="BZ40:CM186">
    <cfRule type="containsBlanks" dxfId="42" priority="11">
      <formula>LEN(TRIM(BZ40))=0</formula>
    </cfRule>
  </conditionalFormatting>
  <conditionalFormatting sqref="BZ40:CM186">
    <cfRule type="cellIs" dxfId="42" priority="12" operator="equal">
      <formula>0</formula>
    </cfRule>
  </conditionalFormatting>
  <conditionalFormatting sqref="X40:AF186">
    <cfRule type="cellIs" dxfId="42" priority="13" operator="equal">
      <formula>0</formula>
    </cfRule>
  </conditionalFormatting>
  <conditionalFormatting sqref="CC21:CE33 CF21:CG32 CH30:CH32">
    <cfRule type="cellIs" dxfId="19" priority="14" operator="equal">
      <formula>0</formula>
    </cfRule>
  </conditionalFormatting>
  <conditionalFormatting sqref="BI9:BN15">
    <cfRule type="colorScale" priority="15">
      <colorScale>
        <cfvo type="formula" val="1"/>
        <cfvo type="formula" val="5"/>
        <cfvo type="formula" val="10"/>
        <color rgb="FFEA4335"/>
        <color rgb="FFFBBC04"/>
        <color rgb="FF34A853"/>
      </colorScale>
    </cfRule>
  </conditionalFormatting>
  <conditionalFormatting sqref="BM16:BR16">
    <cfRule type="colorScale" priority="16">
      <colorScale>
        <cfvo type="formula" val="0"/>
        <cfvo type="formula" val="5"/>
        <cfvo type="formula" val="10"/>
        <color rgb="FF57BB8A"/>
        <color rgb="FFFBBC04"/>
        <color rgb="FFCC4125"/>
      </colorScale>
    </cfRule>
  </conditionalFormatting>
  <conditionalFormatting sqref="AE38:AF38">
    <cfRule type="notContainsBlanks" dxfId="43" priority="17">
      <formula>LEN(TRIM(AE38))&gt;0</formula>
    </cfRule>
  </conditionalFormatting>
  <conditionalFormatting sqref="X40:AD186">
    <cfRule type="containsBlanks" dxfId="42" priority="18">
      <formula>LEN(TRIM(X40))=0</formula>
    </cfRule>
  </conditionalFormatting>
  <conditionalFormatting sqref="AE1:AF1">
    <cfRule type="notContainsBlanks" dxfId="43" priority="19">
      <formula>LEN(TRIM(AE1))&gt;0</formula>
    </cfRule>
  </conditionalFormatting>
  <conditionalFormatting sqref="AJ39:AJ186 AN39:AN186 AR40:AR186 AV40:AV186 AZ40:AZ186 BD40:BD186 BH40:BH186 BL40:BL186 AS51 AW51">
    <cfRule type="notContainsBlanks" dxfId="44" priority="20">
      <formula>LEN(TRIM(AJ39))&gt;0</formula>
    </cfRule>
  </conditionalFormatting>
  <conditionalFormatting sqref="AI40:AJ186 AM40:AN186 AQ40:AR186 AU40:AV186 AY40:AZ186 BC40:BD186 BG40:BH186 BK40:BL186 BO40:BP186 BS40:BT186 AP44 AS44:AT44 AW44 AS51 AW51">
    <cfRule type="notContainsBlanks" dxfId="15" priority="21">
      <formula>LEN(TRIM(AI40))&gt;0</formula>
    </cfRule>
  </conditionalFormatting>
  <conditionalFormatting sqref="X40:AF186">
    <cfRule type="cellIs" dxfId="42" priority="22" operator="equal">
      <formula>0</formula>
    </cfRule>
  </conditionalFormatting>
  <conditionalFormatting sqref="AA40:AB186">
    <cfRule type="expression" dxfId="45" priority="23" operator="containsText">
      <formula>NOT(ISERROR(SEARCH((FALSE),(AA40))))</formula>
    </cfRule>
  </conditionalFormatting>
  <conditionalFormatting sqref="Y19:AC21 Y24:AD36">
    <cfRule type="cellIs" dxfId="46" priority="24" operator="equal">
      <formula>0</formula>
    </cfRule>
  </conditionalFormatting>
  <dataValidations>
    <dataValidation type="list" allowBlank="1" showErrorMessage="1" sqref="BZ10">
      <formula1>"BP1,BP2,BP3,BP4,BP5"</formula1>
    </dataValidation>
    <dataValidation type="list" allowBlank="1" showInputMessage="1" showErrorMessage="1" prompt="Haz clic e introduce un valor de la lista de elementos" sqref="AK9:AK15 AO9:AO15 AS9:AS15 AW9:AW15 BA9:BA15">
      <formula1>"1 .- Muy, muy bien,2 .- Muy bien,3 .- Bien,4 .- Regular,5 .- Mal,6 .- Muy mal,7 .- Muy, muy mal"</formula1>
    </dataValidation>
    <dataValidation type="list" allowBlank="1" showErrorMessage="1" sqref="BZ9">
      <formula1>"SQ1,SQ2,SQ3,SQ4,SQ5"</formula1>
    </dataValidation>
    <dataValidation type="list" allowBlank="1" showInputMessage="1" showErrorMessage="1" prompt="Haz clic e introduce un valor de la lista de elementos" sqref="B39:B186">
      <formula1>"Día 1,Día 2,Día 3,Día 4,Día 5,Día 6,Día 7,Día 8"</formula1>
    </dataValidation>
    <dataValidation type="list" allowBlank="1" showErrorMessage="1" sqref="AI40:AI186 AM40:AM186 AQ40:AQ186 AU40:AU186 AY40:AY186 BC40:BC186 BG40:BG186 BK40:BK186 BO40:BO186 BS40:BS186">
      <formula1>"0,1,2,3,4,5,6,7,8,9,10"</formula1>
    </dataValidation>
    <dataValidation type="list" allowBlank="1" showErrorMessage="1" sqref="CE8 CE14">
      <formula1>"e1RM Bryzcki,e1RM Steve Denovi F1,e1RM Steve Denovi F2"</formula1>
    </dataValidation>
    <dataValidation type="list" allowBlank="1" showErrorMessage="1" sqref="E25">
      <formula1>"HIPERTROFIA,FUERZA BASE,VOLUMEN,PEAKING,TAPERING,COMPETICIÓN,BLOQUE DE VOLUMEN  (HIPERTROFIA),BLOQUE DE FUERZA  (HIPERTROFIA),BLOQUE DE INTENSIFICACIÓN  (HIPERTROFIA),PIVOT"</formula1>
    </dataValidation>
    <dataValidation type="list" allowBlank="1" showErrorMessage="1" sqref="P40:P186">
      <formula1>"Bajo,Medio,Alta"</formula1>
    </dataValidation>
    <dataValidation type="list" allowBlank="1" showErrorMessage="1" sqref="CH7">
      <formula1>"SQ1 Top Set,SQ2 Top Set,SQ3 Top Set,SQ4 Top Set,SQ5 Top Set,BP1 Top Set,BP2 Top Set,BP3 Top Set,BP4 Top Set,BP5 Top Set,DL1 Top Set,DL2 Top Set,DL3 Top Set,DL4 Top Set,DL5 Top Set"</formula1>
    </dataValidation>
    <dataValidation type="list" allowBlank="1" showErrorMessage="1" sqref="AJ40:AJ186 AN40:AN186 AR40:AR186 AV40:AV186 AZ40:AZ186 BD40:BD186 BH40:BH186 BL40:BL186 BP40:BP186 BT40:BT186">
      <formula1>"1,1,5,2,2,5,3,3,5,4,4,5,5,5,5,6,6,5,7,7,5,8,8,5,9,9,5,10"</formula1>
    </dataValidation>
    <dataValidation type="list" allowBlank="1" sqref="AW40:AW43 AG40:AG186 AK40:AK186 AO40:AO186 AS40:AS186 AW45:AW186 BA40:BA186 BE40:BE186 BI40:BI186 BM40:BM186 BQ40:BQ186">
      <formula1>"1,2,3,4,5,6,7,8,9,10,11,12,13,14,15,16,17,18,19,20,21,22,23,24,25,26,27,28,29,30,31,32,33,34,35,36,37,38,39,40,41,42,43,44,45,46,47,48,49,50"</formula1>
    </dataValidation>
    <dataValidation type="list" allowBlank="1" showInputMessage="1" showErrorMessage="1" prompt="Selecciona una opción." sqref="AM22 AQ22 AU22 AY22 BF22 BJ22 BN22 AM24 AQ24 AU24 AY24">
      <formula1>"1.- Nada de agujetas/tensión,2.- Pocas agujetas casi imperceptibles.,3.- Algo de agujetas/tensión.,4.- Agujetas/tensión muscular no incapacitantes,5.- Aumento del dolor muscular por agujetas molesto.,6.- Bastante dolor/agujetas y me incapacitan un poco mi"&amp;" día a día,7.- Zona muy dolorida por agujetas"</formula1>
    </dataValidation>
    <dataValidation type="list" allowBlank="1" showErrorMessage="1" sqref="CQ8">
      <formula1>"1RM PROYECTADA MEJOR A REPS,1RM PROYECTADA MEJOR A 1 REP"</formula1>
    </dataValidation>
    <dataValidation type="list" allowBlank="1" showErrorMessage="1" sqref="BM9:BM15">
      <formula1>"0 .- Descanso,1 .- Sesión muy fácil,2 .- Sesión fácil,3 .- Sesión moderada,4 .- Algo dificil,5 .- Sesión complicada,6 .- Sesión dificil,7 .- Sesión muy dificil,8 .- Sesión muy, muy dificil,9 .- Sesión extremadamente dificil,10 .- Sesión de máxima dificult"&amp;"ad"</formula1>
    </dataValidation>
    <dataValidation type="list" allowBlank="1" showErrorMessage="1" sqref="BZ11">
      <formula1>"DL1,DL2,DL3,DL4,DL5"</formula1>
    </dataValidation>
    <dataValidation type="list" allowBlank="1" showErrorMessage="1" sqref="BI9:BI15">
      <formula1>"1 .- Muy, muy poco recuperado,2 .- Muy poco recuperado,3 .- Poco recuperado,4 .- Algo recuperado,5 .- Recuperado moderadamente,6 .- Bien recuperado,7 .- Bastante recuperado,8 .- Muy bien recuperado,9 .- Muy, muy bien recuperado,10 .- Excepcionalmente recu"&amp;"perado"</formula1>
    </dataValidation>
    <dataValidation type="list" allowBlank="1" showErrorMessage="1" sqref="D40:D51 D54:D72 D185:D186">
      <formula1>"SQ1,SQ2,SQ3,SQ4,SQ5,BP1,BP2,BP3,BP4,BP5,DL1,DL2,DL3,DL4,DL5,Dominante de Rodilla,Bisagra de Cadera,Empuje Horizontal,Empuje Vertical,Tracción Horizontal,Tracción Vertical,Bíceps,Tríceps,Deltoides Lateral,Gémelo/Sóleo,Trasladar/Trineo,CORE,Aductor de cader"&amp;"a,SQ1 Top Set,SQ2 Top Set,SQ3 Top Set,SQ4 Top Set,SQ5 Top Set,BP1 Top Set,BP2 Top Set,BP3 Top Set,BP4 Top Set,BP5 Top Set,DL1 Top Set,DL2 Top Set,DL3 Top Set,DL4 Top Set,DL5 Top Set"</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4.63"/>
    <col collapsed="1" customWidth="1" min="2" max="2" width="10.13"/>
    <col customWidth="1" hidden="1" min="3" max="3" width="10.0" outlineLevel="1"/>
    <col customWidth="1" hidden="1" min="4" max="4" width="14.88" outlineLevel="1"/>
    <col customWidth="1" min="5" max="5" width="35.25"/>
    <col customWidth="1" min="6" max="6" width="8.5"/>
    <col collapsed="1" customWidth="1" min="7" max="7" width="9.88"/>
    <col customWidth="1" hidden="1" min="8" max="8" width="8.13" outlineLevel="1"/>
    <col customWidth="1" min="9" max="9" width="11.88"/>
    <col customWidth="1" min="10" max="10" width="9.63" outlineLevel="1"/>
    <col customWidth="1" min="11" max="11" width="8.88"/>
    <col customWidth="1" min="12" max="12" width="6.13"/>
    <col customWidth="1" min="13" max="13" width="10.13"/>
    <col customWidth="1" min="14" max="14" width="6.25"/>
    <col customWidth="1" min="15" max="15" width="12.0"/>
    <col customWidth="1" min="16" max="16" width="10.13"/>
    <col customWidth="1" min="17" max="17" width="13.38"/>
    <col customWidth="1" min="18" max="18" width="30.25"/>
    <col customWidth="1" min="19" max="19" width="31.63"/>
    <col customWidth="1" min="20" max="20" width="29.25"/>
    <col collapsed="1" customWidth="1" min="21" max="21" width="37.25"/>
    <col customWidth="1" hidden="1" min="22" max="22" width="41.75" outlineLevel="1"/>
    <col collapsed="1" customWidth="1" min="23" max="23" width="2.25"/>
    <col customWidth="1" hidden="1" min="24" max="24" width="20.0" outlineLevel="1"/>
    <col customWidth="1" hidden="1" min="25" max="25" width="19.63" outlineLevel="1"/>
    <col customWidth="1" hidden="1" min="26" max="26" width="15.25" outlineLevel="1"/>
    <col customWidth="1" hidden="1" min="27" max="27" width="9.88" outlineLevel="1"/>
    <col customWidth="1" hidden="1" min="28" max="28" width="9.25" outlineLevel="1"/>
    <col customWidth="1" hidden="1" min="29" max="29" width="8.0" outlineLevel="1"/>
    <col customWidth="1" hidden="1" min="30" max="30" width="15.13" outlineLevel="1"/>
    <col customWidth="1" min="31" max="31" width="2.13"/>
    <col customWidth="1" min="32" max="32" width="30.63" outlineLevel="1"/>
    <col customWidth="1" min="33" max="33" width="4.5" outlineLevel="1"/>
    <col customWidth="1" min="34" max="34" width="8.0" outlineLevel="1"/>
    <col customWidth="1" min="35" max="35" width="4.5" outlineLevel="1"/>
    <col customWidth="1" min="36" max="36" width="5.38" outlineLevel="1"/>
    <col customWidth="1" min="37" max="37" width="4.5" outlineLevel="1"/>
    <col customWidth="1" min="38" max="38" width="6.88" outlineLevel="1"/>
    <col customWidth="1" min="39" max="41" width="4.5" outlineLevel="1"/>
    <col customWidth="1" min="42" max="42" width="7.0" outlineLevel="1"/>
    <col customWidth="1" min="43" max="45" width="4.5" outlineLevel="1"/>
    <col customWidth="1" min="46" max="46" width="7.0" outlineLevel="1"/>
    <col customWidth="1" min="47" max="49" width="4.5" outlineLevel="1"/>
    <col customWidth="1" min="50" max="50" width="6.75" outlineLevel="1"/>
    <col customWidth="1" min="51" max="51" width="5.88" outlineLevel="1"/>
    <col customWidth="1" min="52" max="53" width="4.5" outlineLevel="1"/>
    <col customWidth="1" min="54" max="54" width="6.75" outlineLevel="1"/>
    <col customWidth="1" min="55" max="56" width="5.5" outlineLevel="1"/>
    <col customWidth="1" min="57" max="57" width="4.5" outlineLevel="1"/>
    <col customWidth="1" min="58" max="58" width="7.0" outlineLevel="1"/>
    <col customWidth="1" min="59" max="59" width="5.63" outlineLevel="1"/>
    <col customWidth="1" min="60" max="60" width="4.88" outlineLevel="1"/>
    <col customWidth="1" min="61" max="61" width="4.5" outlineLevel="1"/>
    <col customWidth="1" min="62" max="62" width="7.25" outlineLevel="1"/>
    <col customWidth="1" min="63" max="65" width="4.5" outlineLevel="1"/>
    <col customWidth="1" min="66" max="66" width="7.63" outlineLevel="1"/>
    <col customWidth="1" min="67" max="69" width="4.5" outlineLevel="1"/>
    <col customWidth="1" min="70" max="70" width="6.88" outlineLevel="1"/>
    <col customWidth="1" min="71" max="71" width="5.88" outlineLevel="1"/>
    <col customWidth="1" min="72" max="72" width="6.63" outlineLevel="1"/>
    <col customWidth="1" min="73" max="73" width="5.38" outlineLevel="1"/>
    <col customWidth="1" min="74" max="74" width="10.88" outlineLevel="1"/>
    <col customWidth="1" min="75" max="75" width="13.75" outlineLevel="1"/>
    <col customWidth="1" min="76" max="76" width="8.0"/>
    <col collapsed="1" customWidth="1" min="77" max="77" width="9.5"/>
    <col customWidth="1" hidden="1" min="78" max="78" width="8.0" outlineLevel="1"/>
    <col customWidth="1" hidden="1" min="79" max="79" width="7.5" outlineLevel="1"/>
    <col customWidth="1" hidden="1" min="80" max="80" width="7.75" outlineLevel="1"/>
    <col customWidth="1" hidden="1" min="81" max="81" width="7.88" outlineLevel="1"/>
    <col customWidth="1" hidden="1" min="82" max="82" width="8.88" outlineLevel="1"/>
    <col customWidth="1" hidden="1" min="83" max="83" width="15.38" outlineLevel="1"/>
    <col customWidth="1" hidden="1" min="84" max="84" width="9.0" outlineLevel="1"/>
    <col customWidth="1" hidden="1" min="85" max="85" width="6.63" outlineLevel="1"/>
    <col customWidth="1" hidden="1" min="86" max="86" width="16.63" outlineLevel="1"/>
    <col customWidth="1" hidden="1" min="87" max="87" width="22.13" outlineLevel="1"/>
    <col customWidth="1" hidden="1" min="88" max="88" width="14.63" outlineLevel="1"/>
    <col customWidth="1" hidden="1" min="89" max="89" width="10.63" outlineLevel="1"/>
    <col customWidth="1" hidden="1" min="90" max="90" width="13.38" outlineLevel="1"/>
    <col customWidth="1" hidden="1" min="91" max="91" width="12.63" outlineLevel="1"/>
    <col customWidth="1" hidden="1" min="92" max="93" width="13.63" outlineLevel="1"/>
    <col customWidth="1" hidden="1" min="94" max="94" width="13.38" outlineLevel="1"/>
    <col customWidth="1" hidden="1" min="95" max="95" width="17.88" outlineLevel="1"/>
    <col customWidth="1" hidden="1" min="96" max="96" width="13.25" outlineLevel="1"/>
    <col customWidth="1" hidden="1" min="97" max="97" width="17.13" outlineLevel="1"/>
    <col customWidth="1" hidden="1" min="98" max="98" width="9.88" outlineLevel="1"/>
    <col customWidth="1" min="99" max="112" width="9.88"/>
    <col collapsed="1" customWidth="1" min="113" max="113" width="9.88"/>
    <col customWidth="1" hidden="1" min="114" max="153" width="9.88" outlineLevel="1"/>
    <col customWidth="1" hidden="1" min="154" max="154" width="23.0" outlineLevel="1"/>
    <col customWidth="1" hidden="1" min="155" max="190" width="9.88" outlineLevel="1"/>
  </cols>
  <sheetData>
    <row r="1">
      <c r="B1" s="199"/>
      <c r="K1" s="200"/>
      <c r="L1" s="200"/>
      <c r="M1" s="200"/>
      <c r="N1" s="200"/>
      <c r="W1" s="201"/>
      <c r="X1" s="202" t="s">
        <v>210</v>
      </c>
      <c r="AE1" s="203"/>
      <c r="AF1" s="204"/>
      <c r="AG1" s="205" t="str">
        <f>"SEGUIMIENTO DE BIENESTAR DE "&amp;'Introducción'!B19&amp;" "&amp;'Introducción'!B20 </f>
        <v>#REF!</v>
      </c>
      <c r="BZ1" s="206" t="s">
        <v>211</v>
      </c>
      <c r="DK1" s="207" t="s">
        <v>51</v>
      </c>
      <c r="DL1" s="207" t="s">
        <v>52</v>
      </c>
      <c r="DM1" s="207" t="s">
        <v>53</v>
      </c>
      <c r="DN1" s="207" t="s">
        <v>54</v>
      </c>
      <c r="DO1" s="207" t="s">
        <v>55</v>
      </c>
      <c r="DP1" s="207" t="s">
        <v>56</v>
      </c>
      <c r="DQ1" s="207" t="s">
        <v>57</v>
      </c>
      <c r="DR1" s="207" t="s">
        <v>58</v>
      </c>
      <c r="DS1" s="207" t="s">
        <v>59</v>
      </c>
      <c r="DT1" s="207" t="s">
        <v>60</v>
      </c>
      <c r="DU1" s="207" t="s">
        <v>61</v>
      </c>
      <c r="DV1" s="207" t="s">
        <v>62</v>
      </c>
      <c r="DW1" s="207" t="s">
        <v>63</v>
      </c>
      <c r="DX1" s="207" t="s">
        <v>64</v>
      </c>
      <c r="DY1" s="207" t="s">
        <v>65</v>
      </c>
      <c r="DZ1" s="207" t="s">
        <v>66</v>
      </c>
      <c r="EA1" s="207" t="s">
        <v>67</v>
      </c>
      <c r="EB1" s="207" t="s">
        <v>68</v>
      </c>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9" t="s">
        <v>21</v>
      </c>
      <c r="GA1" s="210"/>
      <c r="GB1" s="210"/>
      <c r="GC1" s="209" t="s">
        <v>36</v>
      </c>
      <c r="GD1" s="210"/>
      <c r="GE1" s="210"/>
      <c r="GF1" s="209" t="s">
        <v>42</v>
      </c>
      <c r="GG1" s="210"/>
      <c r="GH1" s="210"/>
    </row>
    <row r="2">
      <c r="B2" s="211"/>
      <c r="E2" s="212"/>
      <c r="I2" s="106"/>
      <c r="J2" s="213" t="s">
        <v>212</v>
      </c>
      <c r="K2" s="214"/>
      <c r="L2" s="214"/>
      <c r="M2" s="214"/>
      <c r="N2" s="214"/>
      <c r="O2" s="214"/>
      <c r="P2" s="214"/>
      <c r="Q2" s="214"/>
      <c r="R2" s="214"/>
      <c r="S2" s="214"/>
      <c r="T2" s="215"/>
      <c r="W2" s="201"/>
      <c r="AE2" s="203"/>
      <c r="AF2" s="204"/>
      <c r="AG2" s="216" t="s">
        <v>213</v>
      </c>
      <c r="BZ2" s="217"/>
      <c r="DJ2" s="144" t="s">
        <v>214</v>
      </c>
      <c r="DK2" s="108"/>
      <c r="DL2" s="108"/>
      <c r="DM2" s="108"/>
      <c r="DN2" s="108"/>
      <c r="DO2" s="108"/>
      <c r="DP2" s="108"/>
      <c r="DQ2" s="108"/>
      <c r="DR2" s="108"/>
      <c r="DS2" s="108"/>
      <c r="DT2" s="108"/>
      <c r="DU2" s="108"/>
      <c r="DV2" s="108"/>
      <c r="DW2" s="108"/>
      <c r="DX2" s="108"/>
      <c r="DY2" s="108"/>
      <c r="DZ2" s="108"/>
      <c r="EA2" s="108"/>
      <c r="EB2" s="108"/>
      <c r="EX2" s="218" t="s">
        <v>215</v>
      </c>
      <c r="EY2" s="218"/>
      <c r="EZ2" s="218" t="s">
        <v>216</v>
      </c>
      <c r="FA2" s="218"/>
      <c r="FB2" s="218"/>
      <c r="FC2" s="218"/>
      <c r="FD2" s="218"/>
      <c r="FE2" s="218"/>
      <c r="FF2" s="218"/>
      <c r="FG2" s="218"/>
      <c r="FH2" s="218"/>
      <c r="FI2" s="218"/>
      <c r="FJ2" s="218"/>
      <c r="FK2" s="208"/>
      <c r="FL2" s="218" t="s">
        <v>215</v>
      </c>
      <c r="FM2" s="208"/>
      <c r="FN2" s="208" t="s">
        <v>217</v>
      </c>
      <c r="FO2" s="208"/>
      <c r="FP2" s="208"/>
      <c r="FQ2" s="208"/>
      <c r="FR2" s="208"/>
      <c r="FS2" s="208"/>
      <c r="FT2" s="208"/>
      <c r="FU2" s="208"/>
      <c r="FV2" s="208"/>
      <c r="FW2" s="208"/>
      <c r="FX2" s="208"/>
      <c r="FY2" s="208"/>
      <c r="FZ2" s="219" t="s">
        <v>218</v>
      </c>
      <c r="GC2" s="219" t="s">
        <v>218</v>
      </c>
      <c r="GF2" s="219" t="s">
        <v>218</v>
      </c>
    </row>
    <row r="3">
      <c r="B3" s="199"/>
      <c r="I3" s="106"/>
      <c r="J3" s="220" t="s">
        <v>219</v>
      </c>
      <c r="K3" s="221"/>
      <c r="L3" s="221"/>
      <c r="M3" s="221"/>
      <c r="N3" s="221"/>
      <c r="O3" s="221"/>
      <c r="P3" s="221"/>
      <c r="Q3" s="221"/>
      <c r="R3" s="221"/>
      <c r="S3" s="221"/>
      <c r="T3" s="222"/>
      <c r="W3" s="201"/>
      <c r="AE3" s="203"/>
      <c r="AF3" s="204"/>
      <c r="AG3" s="223" t="s">
        <v>220</v>
      </c>
      <c r="BZ3" s="217"/>
      <c r="DJ3" s="83"/>
      <c r="DK3" s="207" t="str">
        <f t="array" ref="DK3">IF(NOT($D$37=1),IFERROR(INDIRECT("'Bloque "&amp;$D$38&amp;" Semana "&amp;"1"&amp;"'"&amp;"!"&amp;"E37"),""),"S1")</f>
        <v/>
      </c>
      <c r="DL3" s="207" t="str">
        <f t="array" ref="DL3">IF(NOT($D$37=2),IFERROR(INDIRECT("'Bloque "&amp;$D$38&amp;" Semana "&amp;"2"&amp;"'"&amp;"!"&amp;"E37"),""),"S2")</f>
        <v/>
      </c>
      <c r="DM3" s="207" t="str">
        <f t="array" ref="DM3">IF(NOT($D$37=3),IFERROR(INDIRECT("'Bloque "&amp;$D$38&amp;" Semana "&amp;"3"&amp;"'"&amp;"!"&amp;"E37"),""),"S3")</f>
        <v>S3</v>
      </c>
      <c r="DN3" s="207" t="str">
        <f t="array" ref="DN3">IF(NOT($D$37=4),IFERROR(INDIRECT("'Bloque "&amp;$D$38&amp;" Semana "&amp;"4"&amp;"'"&amp;"!"&amp;"E37"),""),"S4")</f>
        <v/>
      </c>
      <c r="DO3" s="207" t="str">
        <f t="array" ref="DO3">IF(NOT($D$37=5),IFERROR(INDIRECT("'Bloque "&amp;$D$38&amp;" Semana "&amp;"5"&amp;"'"&amp;"!"&amp;"E37"),""),"S5")</f>
        <v/>
      </c>
      <c r="DP3" s="207" t="str">
        <f t="array" ref="DP3">IF(NOT($D$37=6),IFERROR(INDIRECT("'Bloque "&amp;$D$38&amp;" Semana "&amp;"6"&amp;"'"&amp;"!"&amp;"E37"),""),"S6")</f>
        <v/>
      </c>
      <c r="DQ3" s="207" t="str">
        <f t="array" ref="DQ3">IF(NOT($D$37=7),IFERROR(INDIRECT("'Bloque "&amp;$D$38&amp;" Semana "&amp;"7"&amp;"'"&amp;"!"&amp;"E37"),""),"S7")</f>
        <v/>
      </c>
      <c r="DR3" s="207" t="str">
        <f t="array" ref="DR3">IF(NOT($D$37=8),IFERROR(INDIRECT("'Bloque "&amp;$D$38&amp;" Semana "&amp;"8"&amp;"'"&amp;"!"&amp;"E37"),""),"S8")</f>
        <v/>
      </c>
      <c r="DS3" s="207" t="str">
        <f t="array" ref="DS3">IF(NOT($D$37=9),IFERROR(INDIRECT("'Bloque "&amp;$D$38&amp;" Semana "&amp;"9"&amp;"'"&amp;"!"&amp;"E37"),""),"S9")</f>
        <v/>
      </c>
      <c r="DT3" s="207" t="str">
        <f t="array" ref="DT3">IF(NOT($D$37=10),IFERROR(INDIRECT("'Bloque "&amp;$D$38&amp;" Semana "&amp;"10"&amp;"'"&amp;"!"&amp;"E37"),""),"S10")</f>
        <v/>
      </c>
      <c r="DU3" s="207" t="str">
        <f t="array" ref="DU3">IF(NOT($D$37=11),IFERROR(INDIRECT("'Bloque "&amp;$D$38&amp;" Semana "&amp;"11"&amp;"'"&amp;"!"&amp;"E37"),""),"S11")</f>
        <v/>
      </c>
      <c r="DV3" s="207" t="str">
        <f t="array" ref="DV3">IF(NOT($D$37=12),IFERROR(INDIRECT("'Bloque "&amp;$D$38&amp;" Semana "&amp;"12"&amp;"'"&amp;"!"&amp;"E37"),""),"S12")</f>
        <v/>
      </c>
      <c r="DW3" s="207" t="str">
        <f t="array" ref="DW3">IF(NOT($D$37=13),IFERROR(INDIRECT("'Bloque "&amp;$D$38&amp;" Semana "&amp;"13"&amp;"'"&amp;"!"&amp;"E37"),""),"S13")</f>
        <v/>
      </c>
      <c r="DX3" s="207" t="str">
        <f t="array" ref="DX3">IF(NOT($D$37=14),IFERROR(INDIRECT("'Bloque "&amp;$D$38&amp;" Semana "&amp;"14"&amp;"'"&amp;"!"&amp;"E37"),""),"S14")</f>
        <v/>
      </c>
      <c r="DY3" s="207" t="str">
        <f t="array" ref="DY3">IF(NOT($D$37=15),IFERROR(INDIRECT("'Bloque "&amp;$D$38&amp;" Semana "&amp;"15"&amp;"'"&amp;"!"&amp;"E37"),""),"S15")</f>
        <v/>
      </c>
      <c r="DZ3" s="207" t="str">
        <f t="array" ref="DZ3">IF(NOT($D$37=16),IFERROR(INDIRECT("'Bloque "&amp;$D$38&amp;" Semana "&amp;"16"&amp;"'"&amp;"!"&amp;"E37"),""),"S16")</f>
        <v/>
      </c>
      <c r="EA3" s="207" t="str">
        <f t="array" ref="EA3">IF(NOT($D$37=17),IFERROR(INDIRECT("'Bloque "&amp;$D$38&amp;" Semana "&amp;"17"&amp;"'"&amp;"!"&amp;"E37"),""),"S17")</f>
        <v/>
      </c>
      <c r="EB3" s="207" t="str">
        <f t="array" ref="EB3">IF(NOT($D$37=18),IFERROR(INDIRECT("'Bloque "&amp;$D$38&amp;" Semana "&amp;"18"&amp;"'"&amp;"!"&amp;"E37"),""),"S18")</f>
        <v/>
      </c>
      <c r="ED3" s="144" t="s">
        <v>221</v>
      </c>
      <c r="EE3" s="108"/>
      <c r="EF3" s="108"/>
      <c r="EG3" s="108"/>
      <c r="EH3" s="108"/>
      <c r="EI3" s="108"/>
      <c r="EJ3" s="108"/>
      <c r="EK3" s="108"/>
      <c r="EL3" s="108"/>
      <c r="EM3" s="108"/>
      <c r="EN3" s="108"/>
      <c r="EO3" s="108"/>
      <c r="EP3" s="108"/>
      <c r="EQ3" s="108"/>
      <c r="ER3" s="108"/>
      <c r="ES3" s="108"/>
      <c r="ET3" s="108"/>
      <c r="EU3" s="108"/>
      <c r="EV3" s="108"/>
      <c r="EX3" s="218" t="s">
        <v>222</v>
      </c>
      <c r="EY3" s="218">
        <v>1.0</v>
      </c>
      <c r="EZ3" s="218">
        <v>2.0</v>
      </c>
      <c r="FA3" s="218">
        <v>3.0</v>
      </c>
      <c r="FB3" s="218">
        <v>4.0</v>
      </c>
      <c r="FC3" s="218">
        <v>5.0</v>
      </c>
      <c r="FD3" s="218">
        <v>6.0</v>
      </c>
      <c r="FE3" s="218">
        <v>7.0</v>
      </c>
      <c r="FF3" s="218">
        <v>8.0</v>
      </c>
      <c r="FG3" s="218">
        <v>9.0</v>
      </c>
      <c r="FH3" s="218">
        <v>10.0</v>
      </c>
      <c r="FI3" s="218">
        <v>11.0</v>
      </c>
      <c r="FJ3" s="218">
        <v>12.0</v>
      </c>
      <c r="FK3" s="208"/>
      <c r="FL3" s="218" t="s">
        <v>222</v>
      </c>
      <c r="FM3" s="218">
        <v>1.0</v>
      </c>
      <c r="FN3" s="218">
        <v>2.0</v>
      </c>
      <c r="FO3" s="218">
        <v>3.0</v>
      </c>
      <c r="FP3" s="218">
        <v>4.0</v>
      </c>
      <c r="FQ3" s="218">
        <v>5.0</v>
      </c>
      <c r="FR3" s="218">
        <v>6.0</v>
      </c>
      <c r="FS3" s="218">
        <v>7.0</v>
      </c>
      <c r="FT3" s="218">
        <v>8.0</v>
      </c>
      <c r="FU3" s="218">
        <v>9.0</v>
      </c>
      <c r="FV3" s="218">
        <v>10.0</v>
      </c>
      <c r="FW3" s="218">
        <v>11.0</v>
      </c>
      <c r="FX3" s="218">
        <v>12.0</v>
      </c>
      <c r="FY3" s="218"/>
      <c r="FZ3" s="212"/>
      <c r="GA3" s="224" t="s">
        <v>223</v>
      </c>
      <c r="GB3" s="224" t="s">
        <v>224</v>
      </c>
      <c r="GC3" s="212"/>
      <c r="GD3" s="224" t="s">
        <v>223</v>
      </c>
      <c r="GE3" s="224" t="s">
        <v>224</v>
      </c>
      <c r="GF3" s="212"/>
      <c r="GG3" s="224" t="s">
        <v>223</v>
      </c>
      <c r="GH3" s="224" t="s">
        <v>224</v>
      </c>
    </row>
    <row r="4" ht="27.0" customHeight="1">
      <c r="B4" s="199"/>
      <c r="I4" s="106"/>
      <c r="J4" s="225"/>
      <c r="T4" s="226"/>
      <c r="W4" s="201"/>
      <c r="AE4" s="203"/>
      <c r="AF4" s="204"/>
      <c r="BZ4" s="217"/>
      <c r="DJ4" s="120" t="s">
        <v>21</v>
      </c>
      <c r="DK4" s="172" t="str">
        <f t="shared" ref="DK4:EB4" si="1">IFERROR(INDIRECT("'Bloque "&amp;$D$38&amp;" Semana "&amp;MID(DK3,2,2)&amp;"'"&amp;"!"&amp;"CC15"),"")</f>
        <v/>
      </c>
      <c r="DL4" s="172" t="str">
        <f t="shared" si="1"/>
        <v/>
      </c>
      <c r="DM4" s="172" t="str">
        <f t="shared" si="1"/>
        <v/>
      </c>
      <c r="DN4" s="172" t="str">
        <f t="shared" si="1"/>
        <v/>
      </c>
      <c r="DO4" s="172" t="str">
        <f t="shared" si="1"/>
        <v/>
      </c>
      <c r="DP4" s="172" t="str">
        <f t="shared" si="1"/>
        <v/>
      </c>
      <c r="DQ4" s="172" t="str">
        <f t="shared" si="1"/>
        <v/>
      </c>
      <c r="DR4" s="172" t="str">
        <f t="shared" si="1"/>
        <v/>
      </c>
      <c r="DS4" s="172" t="str">
        <f t="shared" si="1"/>
        <v/>
      </c>
      <c r="DT4" s="172" t="str">
        <f t="shared" si="1"/>
        <v/>
      </c>
      <c r="DU4" s="172" t="str">
        <f t="shared" si="1"/>
        <v/>
      </c>
      <c r="DV4" s="172" t="str">
        <f t="shared" si="1"/>
        <v/>
      </c>
      <c r="DW4" s="172" t="str">
        <f t="shared" si="1"/>
        <v/>
      </c>
      <c r="DX4" s="172" t="str">
        <f t="shared" si="1"/>
        <v/>
      </c>
      <c r="DY4" s="172" t="str">
        <f t="shared" si="1"/>
        <v/>
      </c>
      <c r="DZ4" s="172" t="str">
        <f t="shared" si="1"/>
        <v/>
      </c>
      <c r="EA4" s="172" t="str">
        <f t="shared" si="1"/>
        <v/>
      </c>
      <c r="EB4" s="172" t="str">
        <f t="shared" si="1"/>
        <v/>
      </c>
      <c r="ED4" s="83"/>
      <c r="EE4" s="227" t="str">
        <f t="array" ref="EE4">IF(NOT($D$37=1),IFERROR(INDIRECT("'Bloque "&amp;$D$38&amp;" Semana "&amp;"1"&amp;"'"&amp;"!"&amp;"E37"),""),"S1")</f>
        <v/>
      </c>
      <c r="EF4" s="227" t="str">
        <f t="array" ref="EF4">IF(NOT($D$37=2),IFERROR(INDIRECT("'Bloque "&amp;$D$38&amp;" Semana "&amp;"2"&amp;"'"&amp;"!"&amp;"E37"),""),"S2")</f>
        <v/>
      </c>
      <c r="EG4" s="227" t="str">
        <f t="array" ref="EG4">IF(NOT($D$37=3),IFERROR(INDIRECT("'Bloque "&amp;$D$38&amp;" Semana "&amp;"3"&amp;"'"&amp;"!"&amp;"E37"),""),"S3")</f>
        <v>S3</v>
      </c>
      <c r="EH4" s="227" t="str">
        <f t="array" ref="EH4">IF(NOT($D$37=4),IFERROR(INDIRECT("'Bloque "&amp;$D$38&amp;" Semana "&amp;"4"&amp;"'"&amp;"!"&amp;"E37"),""),"S4")</f>
        <v/>
      </c>
      <c r="EI4" s="227" t="str">
        <f t="array" ref="EI4">IF(NOT($D$37=5),IFERROR(INDIRECT("'Bloque "&amp;$D$38&amp;" Semana "&amp;"5"&amp;"'"&amp;"!"&amp;"E37"),""),"S5")</f>
        <v/>
      </c>
      <c r="EJ4" s="227" t="str">
        <f t="array" ref="EJ4">IF(NOT($D$37=6),IFERROR(INDIRECT("'Bloque "&amp;$D$38&amp;" Semana "&amp;"6"&amp;"'"&amp;"!"&amp;"E37"),""),"S6")</f>
        <v/>
      </c>
      <c r="EK4" s="227" t="str">
        <f t="array" ref="EK4">IF(NOT($D$37=7),IFERROR(INDIRECT("'Bloque "&amp;$D$38&amp;" Semana "&amp;"7"&amp;"'"&amp;"!"&amp;"E37"),""),"S7")</f>
        <v/>
      </c>
      <c r="EL4" s="227" t="str">
        <f t="array" ref="EL4">IF(NOT($D$37=8),IFERROR(INDIRECT("'Bloque "&amp;$D$38&amp;" Semana "&amp;"8"&amp;"'"&amp;"!"&amp;"E37"),""),"S8")</f>
        <v/>
      </c>
      <c r="EM4" s="227" t="str">
        <f t="array" ref="EM4">IF(NOT($D$37=9),IFERROR(INDIRECT("'Bloque "&amp;$D$38&amp;" Semana "&amp;"9"&amp;"'"&amp;"!"&amp;"E37"),""),"S9")</f>
        <v/>
      </c>
      <c r="EN4" s="227" t="str">
        <f t="array" ref="EN4">IF(NOT($D$37=10),IFERROR(INDIRECT("'Bloque "&amp;$D$38&amp;" Semana "&amp;"10"&amp;"'"&amp;"!"&amp;"E37"),""),"S10")</f>
        <v/>
      </c>
      <c r="EO4" s="227" t="str">
        <f t="array" ref="EO4">IF(NOT($D$37=11),IFERROR(INDIRECT("'Bloque "&amp;$D$38&amp;" Semana "&amp;"11"&amp;"'"&amp;"!"&amp;"E37"),""),"S11")</f>
        <v/>
      </c>
      <c r="EP4" s="227" t="str">
        <f t="array" ref="EP4">IF(NOT($D$37=12),IFERROR(INDIRECT("'Bloque "&amp;$D$38&amp;" Semana "&amp;"12"&amp;"'"&amp;"!"&amp;"E37"),""),"S12")</f>
        <v/>
      </c>
      <c r="EQ4" s="227" t="str">
        <f t="array" ref="EQ4">IF(NOT($D$37=13),IFERROR(INDIRECT("'Bloque "&amp;$D$38&amp;" Semana "&amp;"13"&amp;"'"&amp;"!"&amp;"E37"),""),"S13")</f>
        <v/>
      </c>
      <c r="ER4" s="227" t="str">
        <f t="array" ref="ER4">IF(NOT($D$37=14),IFERROR(INDIRECT("'Bloque "&amp;$D$38&amp;" Semana "&amp;"14"&amp;"'"&amp;"!"&amp;"E37"),""),"S14")</f>
        <v/>
      </c>
      <c r="ES4" s="227" t="str">
        <f t="array" ref="ES4">IF(NOT($D$37=15),IFERROR(INDIRECT("'Bloque "&amp;$D$38&amp;" Semana "&amp;"15"&amp;"'"&amp;"!"&amp;"E37"),""),"S15")</f>
        <v/>
      </c>
      <c r="ET4" s="227" t="str">
        <f t="array" ref="ET4">IF(NOT($D$37=16),IFERROR(INDIRECT("'Bloque "&amp;$D$38&amp;" Semana "&amp;"16"&amp;"'"&amp;"!"&amp;"E37"),""),"S16")</f>
        <v/>
      </c>
      <c r="EU4" s="227" t="str">
        <f t="array" ref="EU4">IF(NOT($D$37=17),IFERROR(INDIRECT("'Bloque "&amp;$D$38&amp;" Semana "&amp;"17"&amp;"'"&amp;"!"&amp;"E37"),""),"S17")</f>
        <v/>
      </c>
      <c r="EV4" s="227" t="str">
        <f t="array" ref="EV4">IF(NOT($D$37=18),IFERROR(INDIRECT("'Bloque "&amp;$D$38&amp;" Semana "&amp;"18"&amp;"'"&amp;"!"&amp;"E37"),""),"S18")</f>
        <v/>
      </c>
      <c r="EX4" s="218">
        <v>10.0</v>
      </c>
      <c r="EY4" s="228">
        <v>1.0</v>
      </c>
      <c r="EZ4" s="228">
        <v>0.955</v>
      </c>
      <c r="FA4" s="228">
        <v>0.922</v>
      </c>
      <c r="FB4" s="228">
        <v>0.892</v>
      </c>
      <c r="FC4" s="228">
        <v>0.863</v>
      </c>
      <c r="FD4" s="228">
        <v>0.837</v>
      </c>
      <c r="FE4" s="228">
        <v>0.811</v>
      </c>
      <c r="FF4" s="228">
        <v>0.786</v>
      </c>
      <c r="FG4" s="228">
        <v>0.762</v>
      </c>
      <c r="FH4" s="228">
        <v>0.739</v>
      </c>
      <c r="FI4" s="228">
        <v>0.707</v>
      </c>
      <c r="FJ4" s="228">
        <v>0.68</v>
      </c>
      <c r="FK4" s="208"/>
      <c r="FL4" s="218">
        <v>10.0</v>
      </c>
      <c r="FM4" s="228">
        <v>1.0</v>
      </c>
      <c r="FN4" s="228">
        <v>0.965</v>
      </c>
      <c r="FO4" s="228">
        <v>0.942</v>
      </c>
      <c r="FP4" s="228">
        <v>0.919</v>
      </c>
      <c r="FQ4" s="228">
        <v>0.897</v>
      </c>
      <c r="FR4" s="228">
        <v>0.875</v>
      </c>
      <c r="FS4" s="228">
        <v>0.854</v>
      </c>
      <c r="FT4" s="228">
        <v>0.834</v>
      </c>
      <c r="FU4" s="228">
        <v>0.814</v>
      </c>
      <c r="FV4" s="228">
        <v>0.794</v>
      </c>
      <c r="FW4" s="228">
        <v>0.775</v>
      </c>
      <c r="FX4" s="228">
        <v>0.756</v>
      </c>
      <c r="FY4" s="228"/>
      <c r="FZ4" s="84" t="str">
        <f t="array" ref="FZ4">IF(NOT($D$37=1),IFERROR(INDIRECT("'Bloque "&amp;$D$38&amp;" Semana "&amp;"1"&amp;"'"&amp;"!"&amp;"E37"),""),"S1")</f>
        <v/>
      </c>
      <c r="GA4" s="229" t="str">
        <f t="shared" ref="GA4:GA21" si="4">IFERROR(INDIRECT("'Bloque "&amp;$D$38&amp;" Semana "&amp;MID(FZ4,2,2)&amp;"'"&amp;"!"&amp;"CD15"),"")</f>
        <v/>
      </c>
      <c r="GB4" s="212" t="str">
        <f t="shared" ref="GB4:GB21" si="5">IFERROR(INDIRECT("'Bloque "&amp;$D$38&amp;" Semana "&amp;MID(FZ4,2,2)&amp;"'"&amp;"!"&amp;"CC15"),"")</f>
        <v/>
      </c>
      <c r="GC4" s="84" t="str">
        <f t="array" ref="GC4">IF(NOT($D$37=1),IFERROR(INDIRECT("'Bloque "&amp;$D$38&amp;" Semana "&amp;"1"&amp;"'"&amp;"!"&amp;"E37"),""),"S1")</f>
        <v/>
      </c>
      <c r="GD4" s="229" t="str">
        <f t="shared" ref="GD4:GD21" si="6">IFERROR(INDIRECT("'Bloque "&amp;$D$38&amp;" Semana "&amp;MID(GC4,2,2)&amp;"'"&amp;"!"&amp;"CD16"),"")</f>
        <v/>
      </c>
      <c r="GE4" s="212" t="str">
        <f t="shared" ref="GE4:GE21" si="7">IFERROR(INDIRECT("'Bloque "&amp;$D$38&amp;" Semana "&amp;MID(GC4,2,2)&amp;"'"&amp;"!"&amp;"CC16"),"")</f>
        <v/>
      </c>
      <c r="GF4" s="84" t="str">
        <f t="array" ref="GF4">IF(NOT($D$37=1),IFERROR(INDIRECT("'Bloque "&amp;$D$38&amp;" Semana "&amp;"1"&amp;"'"&amp;"!"&amp;"E37"),""),"S1")</f>
        <v/>
      </c>
      <c r="GG4" s="229" t="str">
        <f t="shared" ref="GG4:GG21" si="8">IFERROR(INDIRECT("'Bloque "&amp;$D$38&amp;" Semana "&amp;MID(GF4,2,2)&amp;"'"&amp;"!"&amp;"CD17"),"")</f>
        <v/>
      </c>
      <c r="GH4" s="212" t="str">
        <f t="shared" ref="GH4:GH21" si="9">IFERROR(INDIRECT("'Bloque "&amp;$D$38&amp;" Semana "&amp;MID(GF4,2,2)&amp;"'"&amp;"!"&amp;"CC17"),"")</f>
        <v/>
      </c>
    </row>
    <row r="5">
      <c r="B5" s="199"/>
      <c r="I5" s="106"/>
      <c r="J5" s="225"/>
      <c r="T5" s="226"/>
      <c r="W5" s="201"/>
      <c r="AE5" s="203"/>
      <c r="AF5" s="204"/>
      <c r="AG5" s="230" t="s">
        <v>225</v>
      </c>
      <c r="BZ5" s="217"/>
      <c r="CU5" s="4"/>
      <c r="DJ5" s="120" t="s">
        <v>36</v>
      </c>
      <c r="DK5" s="172" t="str">
        <f t="shared" ref="DK5:EB5" si="2">IFERROR(INDIRECT("'Bloque "&amp;$D$38&amp;" Semana "&amp;MID(DK3,2,2)&amp;"'"&amp;"!"&amp;"CC16"),"")</f>
        <v/>
      </c>
      <c r="DL5" s="172" t="str">
        <f t="shared" si="2"/>
        <v/>
      </c>
      <c r="DM5" s="172" t="str">
        <f t="shared" si="2"/>
        <v/>
      </c>
      <c r="DN5" s="172" t="str">
        <f t="shared" si="2"/>
        <v/>
      </c>
      <c r="DO5" s="172" t="str">
        <f t="shared" si="2"/>
        <v/>
      </c>
      <c r="DP5" s="172" t="str">
        <f t="shared" si="2"/>
        <v/>
      </c>
      <c r="DQ5" s="172" t="str">
        <f t="shared" si="2"/>
        <v/>
      </c>
      <c r="DR5" s="172" t="str">
        <f t="shared" si="2"/>
        <v/>
      </c>
      <c r="DS5" s="172" t="str">
        <f t="shared" si="2"/>
        <v/>
      </c>
      <c r="DT5" s="172" t="str">
        <f t="shared" si="2"/>
        <v/>
      </c>
      <c r="DU5" s="172" t="str">
        <f t="shared" si="2"/>
        <v/>
      </c>
      <c r="DV5" s="172" t="str">
        <f t="shared" si="2"/>
        <v/>
      </c>
      <c r="DW5" s="172" t="str">
        <f t="shared" si="2"/>
        <v/>
      </c>
      <c r="DX5" s="172" t="str">
        <f t="shared" si="2"/>
        <v/>
      </c>
      <c r="DY5" s="172" t="str">
        <f t="shared" si="2"/>
        <v/>
      </c>
      <c r="DZ5" s="172" t="str">
        <f t="shared" si="2"/>
        <v/>
      </c>
      <c r="EA5" s="172" t="str">
        <f t="shared" si="2"/>
        <v/>
      </c>
      <c r="EB5" s="172" t="str">
        <f t="shared" si="2"/>
        <v/>
      </c>
      <c r="ED5" s="120" t="str">
        <f t="shared" ref="ED5:ED10" si="11">BZ21</f>
        <v>Dominante de Rodilla</v>
      </c>
      <c r="EE5" s="231" t="str">
        <f t="shared" ref="EE5:EV5" si="3">IFERROR(INDIRECT("'Bloque "&amp;$D$38&amp;" Semana "&amp;MID(EE4,2,2)&amp;"'"&amp;"!"&amp;"CC21"),"")</f>
        <v/>
      </c>
      <c r="EF5" s="231" t="str">
        <f t="shared" si="3"/>
        <v/>
      </c>
      <c r="EG5" s="231" t="str">
        <f t="shared" si="3"/>
        <v/>
      </c>
      <c r="EH5" s="231" t="str">
        <f t="shared" si="3"/>
        <v/>
      </c>
      <c r="EI5" s="231" t="str">
        <f t="shared" si="3"/>
        <v/>
      </c>
      <c r="EJ5" s="231" t="str">
        <f t="shared" si="3"/>
        <v/>
      </c>
      <c r="EK5" s="231" t="str">
        <f t="shared" si="3"/>
        <v/>
      </c>
      <c r="EL5" s="231" t="str">
        <f t="shared" si="3"/>
        <v/>
      </c>
      <c r="EM5" s="231" t="str">
        <f t="shared" si="3"/>
        <v/>
      </c>
      <c r="EN5" s="231" t="str">
        <f t="shared" si="3"/>
        <v/>
      </c>
      <c r="EO5" s="231" t="str">
        <f t="shared" si="3"/>
        <v/>
      </c>
      <c r="EP5" s="231" t="str">
        <f t="shared" si="3"/>
        <v/>
      </c>
      <c r="EQ5" s="231" t="str">
        <f t="shared" si="3"/>
        <v/>
      </c>
      <c r="ER5" s="231" t="str">
        <f t="shared" si="3"/>
        <v/>
      </c>
      <c r="ES5" s="231" t="str">
        <f t="shared" si="3"/>
        <v/>
      </c>
      <c r="ET5" s="231" t="str">
        <f t="shared" si="3"/>
        <v/>
      </c>
      <c r="EU5" s="231" t="str">
        <f t="shared" si="3"/>
        <v/>
      </c>
      <c r="EV5" s="231" t="str">
        <f t="shared" si="3"/>
        <v/>
      </c>
      <c r="EX5" s="218">
        <v>9.5</v>
      </c>
      <c r="EY5" s="228">
        <v>0.978</v>
      </c>
      <c r="EZ5" s="228">
        <v>0.939</v>
      </c>
      <c r="FA5" s="228">
        <v>0.907</v>
      </c>
      <c r="FB5" s="228">
        <v>0.878</v>
      </c>
      <c r="FC5" s="228">
        <v>0.85</v>
      </c>
      <c r="FD5" s="228">
        <v>0.824</v>
      </c>
      <c r="FE5" s="228">
        <v>0.799</v>
      </c>
      <c r="FF5" s="228">
        <v>0.774</v>
      </c>
      <c r="FG5" s="228">
        <v>0.751</v>
      </c>
      <c r="FH5" s="228">
        <v>0.723</v>
      </c>
      <c r="FI5" s="228">
        <v>0.694</v>
      </c>
      <c r="FJ5" s="228">
        <v>0.667</v>
      </c>
      <c r="FK5" s="208"/>
      <c r="FL5" s="218">
        <v>9.5</v>
      </c>
      <c r="FM5" s="228">
        <v>0.989</v>
      </c>
      <c r="FN5" s="228">
        <v>0.955</v>
      </c>
      <c r="FO5" s="228">
        <v>0.932</v>
      </c>
      <c r="FP5" s="228">
        <v>0.909</v>
      </c>
      <c r="FQ5" s="228">
        <v>0.887</v>
      </c>
      <c r="FR5" s="228">
        <v>0.866</v>
      </c>
      <c r="FS5" s="228">
        <v>0.845</v>
      </c>
      <c r="FT5" s="228">
        <v>0.825</v>
      </c>
      <c r="FU5" s="228">
        <v>0.805</v>
      </c>
      <c r="FV5" s="228">
        <v>0.756</v>
      </c>
      <c r="FW5" s="228">
        <v>0.767</v>
      </c>
      <c r="FX5" s="228">
        <v>0.748</v>
      </c>
      <c r="FY5" s="228"/>
      <c r="FZ5" s="84" t="str">
        <f t="array" ref="FZ5">IF(NOT($D$37=2),IFERROR(INDIRECT("'Bloque "&amp;$D$38&amp;" Semana "&amp;"2"&amp;"'"&amp;"!"&amp;"E37"),""),"S2")</f>
        <v/>
      </c>
      <c r="GA5" s="229" t="str">
        <f t="shared" si="4"/>
        <v/>
      </c>
      <c r="GB5" s="212" t="str">
        <f t="shared" si="5"/>
        <v/>
      </c>
      <c r="GC5" s="84" t="str">
        <f t="array" ref="GC5">IF(NOT($D$37=2),IFERROR(INDIRECT("'Bloque "&amp;$D$38&amp;" Semana "&amp;"2"&amp;"'"&amp;"!"&amp;"E37"),""),"S2")</f>
        <v/>
      </c>
      <c r="GD5" s="229" t="str">
        <f t="shared" si="6"/>
        <v/>
      </c>
      <c r="GE5" s="212" t="str">
        <f t="shared" si="7"/>
        <v/>
      </c>
      <c r="GF5" s="84" t="str">
        <f t="array" ref="GF5">IF(NOT($D$37=2),IFERROR(INDIRECT("'Bloque "&amp;$D$38&amp;" Semana "&amp;"2"&amp;"'"&amp;"!"&amp;"E37"),""),"S2")</f>
        <v/>
      </c>
      <c r="GG5" s="229" t="str">
        <f t="shared" si="8"/>
        <v/>
      </c>
      <c r="GH5" s="212" t="str">
        <f t="shared" si="9"/>
        <v/>
      </c>
    </row>
    <row r="6" ht="30.75" customHeight="1">
      <c r="B6" s="199"/>
      <c r="I6" s="106"/>
      <c r="J6" s="225"/>
      <c r="T6" s="226"/>
      <c r="W6" s="201"/>
      <c r="AE6" s="203"/>
      <c r="AF6" s="204"/>
      <c r="AG6" s="232" t="s">
        <v>226</v>
      </c>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33" t="s">
        <v>227</v>
      </c>
      <c r="BS6" s="221"/>
      <c r="BT6" s="221"/>
      <c r="BU6" s="221"/>
      <c r="BV6" s="221"/>
      <c r="BW6" s="221"/>
      <c r="BX6" s="106"/>
      <c r="BY6" s="106"/>
      <c r="BZ6" s="234" t="s">
        <v>228</v>
      </c>
      <c r="CA6" s="235"/>
      <c r="CB6" s="235"/>
      <c r="CC6" s="235"/>
      <c r="CD6" s="235"/>
      <c r="CE6" s="235"/>
      <c r="CF6" s="236"/>
      <c r="CG6" s="236"/>
      <c r="CH6" s="237" t="s">
        <v>229</v>
      </c>
      <c r="CI6" s="238"/>
      <c r="CJ6" s="239"/>
      <c r="CK6" s="237"/>
      <c r="CL6" s="239"/>
      <c r="CM6" s="239"/>
      <c r="CN6" s="239"/>
      <c r="CO6" s="240" t="s">
        <v>230</v>
      </c>
      <c r="CP6" s="210"/>
      <c r="CQ6" s="210"/>
      <c r="CR6" s="210"/>
      <c r="CS6" s="210"/>
      <c r="CT6" s="241"/>
      <c r="DJ6" s="120" t="s">
        <v>42</v>
      </c>
      <c r="DK6" s="172" t="str">
        <f t="shared" ref="DK6:EB6" si="10">IFERROR(INDIRECT("'Bloque "&amp;$D$38&amp;" Semana "&amp;MID(DK3,2,2)&amp;"'"&amp;"!"&amp;"CC17"),"")</f>
        <v/>
      </c>
      <c r="DL6" s="172" t="str">
        <f t="shared" si="10"/>
        <v/>
      </c>
      <c r="DM6" s="172" t="str">
        <f t="shared" si="10"/>
        <v/>
      </c>
      <c r="DN6" s="172" t="str">
        <f t="shared" si="10"/>
        <v/>
      </c>
      <c r="DO6" s="172" t="str">
        <f t="shared" si="10"/>
        <v/>
      </c>
      <c r="DP6" s="172" t="str">
        <f t="shared" si="10"/>
        <v/>
      </c>
      <c r="DQ6" s="172" t="str">
        <f t="shared" si="10"/>
        <v/>
      </c>
      <c r="DR6" s="172" t="str">
        <f t="shared" si="10"/>
        <v/>
      </c>
      <c r="DS6" s="172" t="str">
        <f t="shared" si="10"/>
        <v/>
      </c>
      <c r="DT6" s="172" t="str">
        <f t="shared" si="10"/>
        <v/>
      </c>
      <c r="DU6" s="172" t="str">
        <f t="shared" si="10"/>
        <v/>
      </c>
      <c r="DV6" s="172" t="str">
        <f t="shared" si="10"/>
        <v/>
      </c>
      <c r="DW6" s="172" t="str">
        <f t="shared" si="10"/>
        <v/>
      </c>
      <c r="DX6" s="172" t="str">
        <f t="shared" si="10"/>
        <v/>
      </c>
      <c r="DY6" s="172" t="str">
        <f t="shared" si="10"/>
        <v/>
      </c>
      <c r="DZ6" s="172" t="str">
        <f t="shared" si="10"/>
        <v/>
      </c>
      <c r="EA6" s="172" t="str">
        <f t="shared" si="10"/>
        <v/>
      </c>
      <c r="EB6" s="172" t="str">
        <f t="shared" si="10"/>
        <v/>
      </c>
      <c r="ED6" s="120" t="str">
        <f t="shared" si="11"/>
        <v>Bisagra de Cadera</v>
      </c>
      <c r="EE6" s="231" t="str">
        <f t="shared" ref="EE6:EV6" si="12">IFERROR(INDIRECT("'Bloque "&amp;$D$38&amp;" Semana "&amp;MID(EE4,2,2)&amp;"'"&amp;"!"&amp;"CC22"),"")</f>
        <v/>
      </c>
      <c r="EF6" s="231" t="str">
        <f t="shared" si="12"/>
        <v/>
      </c>
      <c r="EG6" s="231" t="str">
        <f t="shared" si="12"/>
        <v/>
      </c>
      <c r="EH6" s="231" t="str">
        <f t="shared" si="12"/>
        <v/>
      </c>
      <c r="EI6" s="231" t="str">
        <f t="shared" si="12"/>
        <v/>
      </c>
      <c r="EJ6" s="231" t="str">
        <f t="shared" si="12"/>
        <v/>
      </c>
      <c r="EK6" s="231" t="str">
        <f t="shared" si="12"/>
        <v/>
      </c>
      <c r="EL6" s="231" t="str">
        <f t="shared" si="12"/>
        <v/>
      </c>
      <c r="EM6" s="231" t="str">
        <f t="shared" si="12"/>
        <v/>
      </c>
      <c r="EN6" s="231" t="str">
        <f t="shared" si="12"/>
        <v/>
      </c>
      <c r="EO6" s="231" t="str">
        <f t="shared" si="12"/>
        <v/>
      </c>
      <c r="EP6" s="231" t="str">
        <f t="shared" si="12"/>
        <v/>
      </c>
      <c r="EQ6" s="231" t="str">
        <f t="shared" si="12"/>
        <v/>
      </c>
      <c r="ER6" s="231" t="str">
        <f t="shared" si="12"/>
        <v/>
      </c>
      <c r="ES6" s="231" t="str">
        <f t="shared" si="12"/>
        <v/>
      </c>
      <c r="ET6" s="231" t="str">
        <f t="shared" si="12"/>
        <v/>
      </c>
      <c r="EU6" s="231" t="str">
        <f t="shared" si="12"/>
        <v/>
      </c>
      <c r="EV6" s="231" t="str">
        <f t="shared" si="12"/>
        <v/>
      </c>
      <c r="EX6" s="218">
        <v>9.0</v>
      </c>
      <c r="EY6" s="228">
        <v>0.955</v>
      </c>
      <c r="EZ6" s="228">
        <v>0.922</v>
      </c>
      <c r="FA6" s="228">
        <v>0.892</v>
      </c>
      <c r="FB6" s="228">
        <v>0.863</v>
      </c>
      <c r="FC6" s="228">
        <v>0.837</v>
      </c>
      <c r="FD6" s="228">
        <v>0.811</v>
      </c>
      <c r="FE6" s="228">
        <v>0.786</v>
      </c>
      <c r="FF6" s="228">
        <v>0.762</v>
      </c>
      <c r="FG6" s="228">
        <v>0.739</v>
      </c>
      <c r="FH6" s="228">
        <v>0.707</v>
      </c>
      <c r="FI6" s="228">
        <v>0.68</v>
      </c>
      <c r="FJ6" s="228">
        <v>0.653</v>
      </c>
      <c r="FK6" s="208"/>
      <c r="FL6" s="218">
        <v>9.0</v>
      </c>
      <c r="FM6" s="228">
        <v>0.979</v>
      </c>
      <c r="FN6" s="228">
        <v>0.944</v>
      </c>
      <c r="FO6" s="228">
        <v>0.922</v>
      </c>
      <c r="FP6" s="228">
        <v>0.9</v>
      </c>
      <c r="FQ6" s="228">
        <v>0.878</v>
      </c>
      <c r="FR6" s="228">
        <v>0.857</v>
      </c>
      <c r="FS6" s="228">
        <v>0.836</v>
      </c>
      <c r="FT6" s="228">
        <v>0.816</v>
      </c>
      <c r="FU6" s="228">
        <v>0.796</v>
      </c>
      <c r="FV6" s="228">
        <v>0.777</v>
      </c>
      <c r="FW6" s="228">
        <v>0.758</v>
      </c>
      <c r="FX6" s="228">
        <v>0.74</v>
      </c>
      <c r="FY6" s="228"/>
      <c r="FZ6" s="84" t="str">
        <f t="array" ref="FZ6">IF(NOT($D$37=3),IFERROR(INDIRECT("'Bloque "&amp;$D$38&amp;" Semana "&amp;"3"&amp;"'"&amp;"!"&amp;"E37"),""),"S3")</f>
        <v>S3</v>
      </c>
      <c r="GA6" s="229" t="str">
        <f t="shared" si="4"/>
        <v/>
      </c>
      <c r="GB6" s="212" t="str">
        <f t="shared" si="5"/>
        <v/>
      </c>
      <c r="GC6" s="84" t="str">
        <f t="array" ref="GC6">IF(NOT($D$37=3),IFERROR(INDIRECT("'Bloque "&amp;$D$38&amp;" Semana "&amp;"3"&amp;"'"&amp;"!"&amp;"E37"),""),"S3")</f>
        <v>S3</v>
      </c>
      <c r="GD6" s="229" t="str">
        <f t="shared" si="6"/>
        <v/>
      </c>
      <c r="GE6" s="212" t="str">
        <f t="shared" si="7"/>
        <v/>
      </c>
      <c r="GF6" s="84" t="str">
        <f t="array" ref="GF6">IF(NOT($D$37=3),IFERROR(INDIRECT("'Bloque "&amp;$D$38&amp;" Semana "&amp;"3"&amp;"'"&amp;"!"&amp;"E37"),""),"S3")</f>
        <v>S3</v>
      </c>
      <c r="GG6" s="229" t="str">
        <f t="shared" si="8"/>
        <v/>
      </c>
      <c r="GH6" s="212" t="str">
        <f t="shared" si="9"/>
        <v/>
      </c>
    </row>
    <row r="7" ht="41.25" customHeight="1">
      <c r="B7" s="199"/>
      <c r="I7" s="106"/>
      <c r="J7" s="225"/>
      <c r="T7" s="226"/>
      <c r="W7" s="201"/>
      <c r="AE7" s="203"/>
      <c r="AF7" s="204"/>
      <c r="AG7" s="225"/>
      <c r="BX7" s="106"/>
      <c r="BY7" s="106"/>
      <c r="BZ7" s="242" t="s">
        <v>231</v>
      </c>
      <c r="CA7" s="243"/>
      <c r="CB7" s="243"/>
      <c r="CC7" s="243"/>
      <c r="CD7" s="243"/>
      <c r="CE7" s="243"/>
      <c r="CF7" s="244"/>
      <c r="CG7" s="245"/>
      <c r="CH7" s="246" t="s">
        <v>232</v>
      </c>
      <c r="CI7" s="247" t="s">
        <v>233</v>
      </c>
      <c r="CJ7" s="248"/>
      <c r="CK7" s="248"/>
      <c r="CL7" s="249"/>
      <c r="CM7" s="249"/>
      <c r="CN7" s="250"/>
      <c r="CO7" s="251"/>
      <c r="CP7" s="251"/>
      <c r="CQ7" s="251"/>
      <c r="CR7" s="251"/>
      <c r="CS7" s="251"/>
      <c r="CT7" s="252"/>
      <c r="ED7" s="120" t="str">
        <f t="shared" si="11"/>
        <v>Empuje Horizontal</v>
      </c>
      <c r="EE7" s="231" t="str">
        <f t="shared" ref="EE7:EV7" si="13">IFERROR(INDIRECT("'Bloque "&amp;$D$38&amp;" Semana "&amp;MID(EE4,2,2)&amp;"'"&amp;"!"&amp;"CC23"),"")</f>
        <v/>
      </c>
      <c r="EF7" s="231" t="str">
        <f t="shared" si="13"/>
        <v/>
      </c>
      <c r="EG7" s="231" t="str">
        <f t="shared" si="13"/>
        <v/>
      </c>
      <c r="EH7" s="231" t="str">
        <f t="shared" si="13"/>
        <v/>
      </c>
      <c r="EI7" s="231" t="str">
        <f t="shared" si="13"/>
        <v/>
      </c>
      <c r="EJ7" s="231" t="str">
        <f t="shared" si="13"/>
        <v/>
      </c>
      <c r="EK7" s="231" t="str">
        <f t="shared" si="13"/>
        <v/>
      </c>
      <c r="EL7" s="231" t="str">
        <f t="shared" si="13"/>
        <v/>
      </c>
      <c r="EM7" s="231" t="str">
        <f t="shared" si="13"/>
        <v/>
      </c>
      <c r="EN7" s="231" t="str">
        <f t="shared" si="13"/>
        <v/>
      </c>
      <c r="EO7" s="231" t="str">
        <f t="shared" si="13"/>
        <v/>
      </c>
      <c r="EP7" s="231" t="str">
        <f t="shared" si="13"/>
        <v/>
      </c>
      <c r="EQ7" s="231" t="str">
        <f t="shared" si="13"/>
        <v/>
      </c>
      <c r="ER7" s="231" t="str">
        <f t="shared" si="13"/>
        <v/>
      </c>
      <c r="ES7" s="231" t="str">
        <f t="shared" si="13"/>
        <v/>
      </c>
      <c r="ET7" s="231" t="str">
        <f t="shared" si="13"/>
        <v/>
      </c>
      <c r="EU7" s="231" t="str">
        <f t="shared" si="13"/>
        <v/>
      </c>
      <c r="EV7" s="231" t="str">
        <f t="shared" si="13"/>
        <v/>
      </c>
      <c r="EX7" s="218">
        <v>8.5</v>
      </c>
      <c r="EY7" s="228">
        <v>0.939</v>
      </c>
      <c r="EZ7" s="228">
        <v>0.907</v>
      </c>
      <c r="FA7" s="228">
        <v>0.878</v>
      </c>
      <c r="FB7" s="228">
        <v>0.85</v>
      </c>
      <c r="FC7" s="228">
        <v>0.824</v>
      </c>
      <c r="FD7" s="228">
        <v>0.799</v>
      </c>
      <c r="FE7" s="228">
        <v>0.774</v>
      </c>
      <c r="FF7" s="228">
        <v>0.751</v>
      </c>
      <c r="FG7" s="228">
        <v>0.723</v>
      </c>
      <c r="FH7" s="228">
        <v>0.694</v>
      </c>
      <c r="FI7" s="228">
        <v>0.667</v>
      </c>
      <c r="FJ7" s="228">
        <v>0.64</v>
      </c>
      <c r="FK7" s="208"/>
      <c r="FL7" s="218">
        <v>8.5</v>
      </c>
      <c r="FM7" s="228">
        <v>0.968</v>
      </c>
      <c r="FN7" s="228">
        <v>0.934</v>
      </c>
      <c r="FO7" s="228">
        <v>0.912</v>
      </c>
      <c r="FP7" s="228">
        <v>0.89</v>
      </c>
      <c r="FQ7" s="228">
        <v>0.868</v>
      </c>
      <c r="FR7" s="228">
        <v>0.848</v>
      </c>
      <c r="FS7" s="228">
        <v>0.827</v>
      </c>
      <c r="FT7" s="228">
        <v>0.807</v>
      </c>
      <c r="FU7" s="228">
        <v>0.788</v>
      </c>
      <c r="FV7" s="228">
        <v>0.769</v>
      </c>
      <c r="FW7" s="228">
        <v>0.75</v>
      </c>
      <c r="FX7" s="228">
        <v>0.732</v>
      </c>
      <c r="FY7" s="228"/>
      <c r="FZ7" s="84" t="str">
        <f t="array" ref="FZ7">IF(NOT($D$37=4),IFERROR(INDIRECT("'Bloque "&amp;$D$38&amp;" Semana "&amp;"4"&amp;"'"&amp;"!"&amp;"E37"),""),"S4")</f>
        <v/>
      </c>
      <c r="GA7" s="229" t="str">
        <f t="shared" si="4"/>
        <v/>
      </c>
      <c r="GB7" s="212" t="str">
        <f t="shared" si="5"/>
        <v/>
      </c>
      <c r="GC7" s="84" t="str">
        <f t="array" ref="GC7">IF(NOT($D$37=4),IFERROR(INDIRECT("'Bloque "&amp;$D$38&amp;" Semana "&amp;"4"&amp;"'"&amp;"!"&amp;"E37"),""),"S4")</f>
        <v/>
      </c>
      <c r="GD7" s="229" t="str">
        <f t="shared" si="6"/>
        <v/>
      </c>
      <c r="GE7" s="212" t="str">
        <f t="shared" si="7"/>
        <v/>
      </c>
      <c r="GF7" s="84" t="str">
        <f t="array" ref="GF7">IF(NOT($D$37=4),IFERROR(INDIRECT("'Bloque "&amp;$D$38&amp;" Semana "&amp;"4"&amp;"'"&amp;"!"&amp;"E37"),""),"S4")</f>
        <v/>
      </c>
      <c r="GG7" s="229" t="str">
        <f t="shared" si="8"/>
        <v/>
      </c>
      <c r="GH7" s="212" t="str">
        <f t="shared" si="9"/>
        <v/>
      </c>
    </row>
    <row r="8" ht="49.5" customHeight="1">
      <c r="B8" s="211"/>
      <c r="I8" s="253"/>
      <c r="J8" s="225"/>
      <c r="T8" s="226"/>
      <c r="W8" s="201"/>
      <c r="AE8" s="203"/>
      <c r="AF8" s="204"/>
      <c r="AG8" s="254" t="s">
        <v>234</v>
      </c>
      <c r="AH8" s="210"/>
      <c r="AI8" s="210"/>
      <c r="AJ8" s="210"/>
      <c r="AK8" s="255" t="s">
        <v>235</v>
      </c>
      <c r="AL8" s="210"/>
      <c r="AM8" s="210"/>
      <c r="AN8" s="210"/>
      <c r="AO8" s="255" t="s">
        <v>236</v>
      </c>
      <c r="AP8" s="210"/>
      <c r="AQ8" s="210"/>
      <c r="AR8" s="210"/>
      <c r="AS8" s="255" t="s">
        <v>237</v>
      </c>
      <c r="AT8" s="210"/>
      <c r="AU8" s="210"/>
      <c r="AV8" s="210"/>
      <c r="AW8" s="255" t="s">
        <v>238</v>
      </c>
      <c r="AX8" s="210"/>
      <c r="AY8" s="210"/>
      <c r="AZ8" s="210"/>
      <c r="BA8" s="255" t="s">
        <v>239</v>
      </c>
      <c r="BB8" s="210"/>
      <c r="BC8" s="210"/>
      <c r="BD8" s="210"/>
      <c r="BE8" s="256" t="s">
        <v>240</v>
      </c>
      <c r="BF8" s="210"/>
      <c r="BG8" s="210"/>
      <c r="BH8" s="257"/>
      <c r="BI8" s="255" t="s">
        <v>241</v>
      </c>
      <c r="BJ8" s="210"/>
      <c r="BK8" s="210"/>
      <c r="BL8" s="257"/>
      <c r="BM8" s="256" t="s">
        <v>242</v>
      </c>
      <c r="BN8" s="210"/>
      <c r="BO8" s="210"/>
      <c r="BP8" s="210"/>
      <c r="BQ8" s="258"/>
      <c r="BR8" s="259" t="s">
        <v>243</v>
      </c>
      <c r="BS8" s="210"/>
      <c r="BT8" s="210"/>
      <c r="BU8" s="259" t="s">
        <v>244</v>
      </c>
      <c r="BV8" s="210"/>
      <c r="BW8" s="260" t="s">
        <v>245</v>
      </c>
      <c r="BX8" s="106"/>
      <c r="BY8" s="106"/>
      <c r="BZ8" s="261" t="s">
        <v>246</v>
      </c>
      <c r="CA8" s="83" t="s">
        <v>247</v>
      </c>
      <c r="CB8" s="83" t="s">
        <v>248</v>
      </c>
      <c r="CC8" s="83" t="s">
        <v>224</v>
      </c>
      <c r="CD8" s="83" t="s">
        <v>249</v>
      </c>
      <c r="CE8" s="83" t="s">
        <v>250</v>
      </c>
      <c r="CF8" s="262" t="s">
        <v>251</v>
      </c>
      <c r="CH8" s="263" t="s">
        <v>252</v>
      </c>
      <c r="CI8" s="264" t="s">
        <v>253</v>
      </c>
      <c r="CJ8" s="264" t="s">
        <v>254</v>
      </c>
      <c r="CK8" s="264" t="s">
        <v>255</v>
      </c>
      <c r="CL8" s="264" t="s">
        <v>256</v>
      </c>
      <c r="CM8" s="264" t="s">
        <v>257</v>
      </c>
      <c r="CN8" s="264" t="s">
        <v>258</v>
      </c>
      <c r="CO8" s="265" t="s">
        <v>255</v>
      </c>
      <c r="CP8" s="266" t="s">
        <v>259</v>
      </c>
      <c r="CQ8" s="267" t="s">
        <v>260</v>
      </c>
      <c r="CR8" s="265" t="s">
        <v>261</v>
      </c>
      <c r="CS8" s="266" t="s">
        <v>262</v>
      </c>
      <c r="CT8" s="268" t="s">
        <v>263</v>
      </c>
      <c r="DJ8" s="107" t="s">
        <v>264</v>
      </c>
      <c r="DK8" s="108"/>
      <c r="DL8" s="108"/>
      <c r="DM8" s="108"/>
      <c r="DN8" s="108"/>
      <c r="DO8" s="108"/>
      <c r="DP8" s="108"/>
      <c r="DQ8" s="108"/>
      <c r="DR8" s="108"/>
      <c r="DS8" s="108"/>
      <c r="DT8" s="108"/>
      <c r="DU8" s="108"/>
      <c r="DV8" s="108"/>
      <c r="DW8" s="108"/>
      <c r="DX8" s="108"/>
      <c r="DY8" s="108"/>
      <c r="DZ8" s="108"/>
      <c r="EA8" s="108"/>
      <c r="EB8" s="108"/>
      <c r="ED8" s="120" t="str">
        <f t="shared" si="11"/>
        <v>Empuje Vertical</v>
      </c>
      <c r="EE8" s="269" t="str">
        <f t="shared" ref="EE8:EV8" si="14">IFERROR(INDIRECT("'Bloque "&amp;$D$38&amp;" Semana "&amp;MID(EE4,2,2)&amp;"'"&amp;"!"&amp;"CC24"),"")</f>
        <v/>
      </c>
      <c r="EF8" s="269" t="str">
        <f t="shared" si="14"/>
        <v/>
      </c>
      <c r="EG8" s="269" t="str">
        <f t="shared" si="14"/>
        <v/>
      </c>
      <c r="EH8" s="269" t="str">
        <f t="shared" si="14"/>
        <v/>
      </c>
      <c r="EI8" s="269" t="str">
        <f t="shared" si="14"/>
        <v/>
      </c>
      <c r="EJ8" s="269" t="str">
        <f t="shared" si="14"/>
        <v/>
      </c>
      <c r="EK8" s="269" t="str">
        <f t="shared" si="14"/>
        <v/>
      </c>
      <c r="EL8" s="269" t="str">
        <f t="shared" si="14"/>
        <v/>
      </c>
      <c r="EM8" s="269" t="str">
        <f t="shared" si="14"/>
        <v/>
      </c>
      <c r="EN8" s="269" t="str">
        <f t="shared" si="14"/>
        <v/>
      </c>
      <c r="EO8" s="269" t="str">
        <f t="shared" si="14"/>
        <v/>
      </c>
      <c r="EP8" s="269" t="str">
        <f t="shared" si="14"/>
        <v/>
      </c>
      <c r="EQ8" s="269" t="str">
        <f t="shared" si="14"/>
        <v/>
      </c>
      <c r="ER8" s="269" t="str">
        <f t="shared" si="14"/>
        <v/>
      </c>
      <c r="ES8" s="269" t="str">
        <f t="shared" si="14"/>
        <v/>
      </c>
      <c r="ET8" s="269" t="str">
        <f t="shared" si="14"/>
        <v/>
      </c>
      <c r="EU8" s="269" t="str">
        <f t="shared" si="14"/>
        <v/>
      </c>
      <c r="EV8" s="269" t="str">
        <f t="shared" si="14"/>
        <v/>
      </c>
      <c r="EX8" s="218">
        <v>8.0</v>
      </c>
      <c r="EY8" s="228">
        <v>0.922</v>
      </c>
      <c r="EZ8" s="228">
        <v>0.892</v>
      </c>
      <c r="FA8" s="228">
        <v>0.863</v>
      </c>
      <c r="FB8" s="228">
        <v>0.837</v>
      </c>
      <c r="FC8" s="228">
        <v>0.811</v>
      </c>
      <c r="FD8" s="228">
        <v>0.786</v>
      </c>
      <c r="FE8" s="228">
        <v>0.762</v>
      </c>
      <c r="FF8" s="228">
        <v>0.739</v>
      </c>
      <c r="FG8" s="228">
        <v>0.707</v>
      </c>
      <c r="FH8" s="228">
        <v>0.68</v>
      </c>
      <c r="FI8" s="228">
        <v>0.653</v>
      </c>
      <c r="FJ8" s="228">
        <v>0.626</v>
      </c>
      <c r="FK8" s="208"/>
      <c r="FL8" s="218">
        <v>8.0</v>
      </c>
      <c r="FM8" s="228">
        <v>0.958</v>
      </c>
      <c r="FN8" s="228">
        <v>0.924</v>
      </c>
      <c r="FO8" s="228">
        <v>0.902</v>
      </c>
      <c r="FP8" s="228">
        <v>0.88</v>
      </c>
      <c r="FQ8" s="228">
        <v>0.859</v>
      </c>
      <c r="FR8" s="228">
        <v>0.838</v>
      </c>
      <c r="FS8" s="228">
        <v>0.818</v>
      </c>
      <c r="FT8" s="228">
        <v>0.799</v>
      </c>
      <c r="FU8" s="228">
        <v>0.779</v>
      </c>
      <c r="FV8" s="228">
        <v>0.761</v>
      </c>
      <c r="FW8" s="228">
        <v>0.742</v>
      </c>
      <c r="FX8" s="228">
        <v>0.724</v>
      </c>
      <c r="FY8" s="228"/>
      <c r="FZ8" s="84" t="str">
        <f t="array" ref="FZ8">IF(NOT($D$37=5),IFERROR(INDIRECT("'Bloque "&amp;$D$38&amp;" Semana "&amp;"5"&amp;"'"&amp;"!"&amp;"E37"),""),"S5")</f>
        <v/>
      </c>
      <c r="GA8" s="229" t="str">
        <f t="shared" si="4"/>
        <v/>
      </c>
      <c r="GB8" s="212" t="str">
        <f t="shared" si="5"/>
        <v/>
      </c>
      <c r="GC8" s="84" t="str">
        <f t="array" ref="GC8">IF(NOT($D$37=5),IFERROR(INDIRECT("'Bloque "&amp;$D$38&amp;" Semana "&amp;"5"&amp;"'"&amp;"!"&amp;"E37"),""),"S5")</f>
        <v/>
      </c>
      <c r="GD8" s="229" t="str">
        <f t="shared" si="6"/>
        <v/>
      </c>
      <c r="GE8" s="212" t="str">
        <f t="shared" si="7"/>
        <v/>
      </c>
      <c r="GF8" s="84" t="str">
        <f t="array" ref="GF8">IF(NOT($D$37=5),IFERROR(INDIRECT("'Bloque "&amp;$D$38&amp;" Semana "&amp;"5"&amp;"'"&amp;"!"&amp;"E37"),""),"S5")</f>
        <v/>
      </c>
      <c r="GG8" s="229" t="str">
        <f t="shared" si="8"/>
        <v/>
      </c>
      <c r="GH8" s="212" t="str">
        <f t="shared" si="9"/>
        <v/>
      </c>
    </row>
    <row r="9" ht="30.0" customHeight="1">
      <c r="B9" s="199"/>
      <c r="I9" s="106"/>
      <c r="J9" s="225"/>
      <c r="T9" s="226"/>
      <c r="W9" s="201"/>
      <c r="AE9" s="203"/>
      <c r="AF9" s="204"/>
      <c r="AG9" s="270" t="s">
        <v>265</v>
      </c>
      <c r="AJ9" s="271"/>
      <c r="AK9" s="272"/>
      <c r="AN9" s="273"/>
      <c r="AO9" s="272"/>
      <c r="AR9" s="273"/>
      <c r="AS9" s="272"/>
      <c r="AV9" s="273"/>
      <c r="AW9" s="272"/>
      <c r="AZ9" s="273"/>
      <c r="BA9" s="272"/>
      <c r="BD9" s="273"/>
      <c r="BE9" s="274" t="str">
        <f t="shared" ref="BE9:BE15" si="17">IFERROR( IFERROR(IF(NOT(ISBLANK(AK9)),MID(AK9,1,2),"")+IF(NOT(ISBLANK(AO9)),MID(AO9,1,2),"")+IF(NOT(ISBLANK(AS9)),MID(AS9,1,2),"")+IF(NOT(ISBLANK(AW9)),MID(AW9,1,2),"")+IF(NOT(ISBLANK(BA9)),MID(BA9,1,2),""),"")/COUNTA(AK9:BC9)*10/7,"")</f>
        <v/>
      </c>
      <c r="BH9" s="275"/>
      <c r="BI9" s="276"/>
      <c r="BL9" s="275"/>
      <c r="BM9" s="277"/>
      <c r="BQ9" s="278"/>
      <c r="BR9" s="279" t="b">
        <v>0</v>
      </c>
      <c r="BS9" s="280" t="str">
        <f t="shared" ref="BS9:BS15" si="18">IFS(BR9=FALSE,"",BS9&lt;&gt;"",BS9,TRUE,NOW())</f>
        <v/>
      </c>
      <c r="BT9" s="273"/>
      <c r="BU9" s="281" t="b">
        <v>0</v>
      </c>
      <c r="BV9" s="280" t="str">
        <f t="shared" ref="BV9:BV15" si="19">IFS(BU9=FALSE,"",BV9&lt;&gt;"",BV9,TRUE,NOW())</f>
        <v/>
      </c>
      <c r="BW9" s="282" t="str">
        <f t="shared" ref="BW9:BW15" si="20">IF(OR(BS9="",BV9=""),"",BV9-BS9)</f>
        <v/>
      </c>
      <c r="BZ9" s="283" t="s">
        <v>266</v>
      </c>
      <c r="CA9" s="284">
        <f>IFERROR(IFS(BZ9="SQ1", SUMIF($D$40:$D186,"SQ1*",AD40:AD186),BZ9="SQ2",SUMIF($D$40:$D186,"SQ2*",AD40:AD186),$BZ$9="SQ3",SUMIF($D$40:$D186,"SQ3*",AD40:AD186),BZ9="SQ4",SUMIF($D$40:$D186,"SQ4*",AD40:AD186),BZ9="SQ5",SUMIF($D$40:$D186,"SQ5*",AD40:AD186)),"")</f>
        <v>4</v>
      </c>
      <c r="CB9" s="284">
        <f>IFERROR(IFS(BZ9="SQ1", SUMIF($D$40:$D186,"SQ1*",CC40:CC186),BZ9="SQ2",SUMIF($D$40:$D186,"SQ2*",CC40:CC186),$BZ$9="SQ3",SUMIF($D$40:$D186,"SQ3*",CC40:CC186),BZ9="SQ4",SUMIF($D$40:$D186,"SQ4*",CC40:CC186),BZ9="SQ5",SUMIF($D$40:$D186,"SQ5*",CC40:CC186)),"")</f>
        <v>21</v>
      </c>
      <c r="CC9" s="285">
        <f>IFERROR(IFS($BZ$9="SQ1", SUMIF($D$40:$D186,"SQ1*",CE40:CE186),$BZ$9="SQ2",SUMIF($D$40:$D186,"SQ2*",CE40:CE186),$BZ$9="SQ3",SUMIF($D$40:$D186,"SQ3*",CE40:CE186),$BZ$9="SQ4",SUMIF($D$40:$D186,"SQ4*",CE40:CE186),$BZ$9="SQ5",SUMIF($D$40:$D186,"SQ5*",CE40:CE186)),"")</f>
        <v>2610</v>
      </c>
      <c r="CD9" s="286">
        <f>IFERROR(IFS(BZ9="SQ1",AVERAGEIF(D40:D186,"SQ1*",CA40:CA186),BZ9="SQ2",AVERAGEIF(D40:D186,"SQ2*",CA40:CA186),BZ9="SQ3",AVERAGEIF(D40:D186,"SQ3*",CA40:CA186),BZ9="SQ4",AVERAGEIF(D40:D186,"SQ4*",CA40:CA186),BZ9="SQ5",AVERAGEIF(D40:D186,"SQ5*",CA40:CA186)),"")</f>
        <v>0.4027777778</v>
      </c>
      <c r="CE9" s="287">
        <f>IFERROR( IFS($CE$8="e1RM Bryzcki", IFS(BZ9="SQ1",AVERAGEIF(D40:D186,"SQ1*",CH40:CH186),BZ9="SQ2",AVERAGEIF(D40:D186,"SQ2*",CH40:CH186),BZ9="SQ3",AVERAGEIF(D40:D186,"SQ3*",CH40:CH186),BZ9="SQ4*",AVERAGEIF(D40:D186,"SQ4*",CH40:CH186),BZ9="SQ5",AVERAGEIF(D40:D186,"SQ5*",CH40:CH186)),$CE$8="e1RM Steve Denovi F1", IFS(BZ9="SQ1",AVERAGEIF(D40:D186,"SQ1*",CL40:CL186),BZ9="SQ2",AVERAGEIF(D40:D186,"SQ2*",CL40:CL186),BZ9="SQ3",AVERAGEIF(D40:D186,"SQ3*",CL40:CL186),BZ9="SQ4*",AVERAGEIF(D40:D186,"SQ4*",CL40:CL186),BZ9="SQ5",AVERAGEIF(D40:D186,"SQ5*",CL40:CL186)),$CE$8="e1RM Steve Denovi F2", IFS(BZ9="SQ1",AVERAGEIF(D40:D186,"SQ1*",CM40:CM186),BZ9="SQ2",AVERAGEIF(D40:D186,"SQ2*",CM40:CM186),BZ9="SQ3",AVERAGEIF(D40:D186,"SQ3*",CM40:CM186),BZ9="SQ4*",AVERAGEIF(D40:D186,"SQ4*",CM40:CM186),BZ9="SQ5",AVERAGEIF(D40:D186,"SQ5*",CM40:CM186))),"")</f>
        <v>184.4783715</v>
      </c>
      <c r="CF9" s="288">
        <f>IFERROR(IFS($BZ$9="SQ1",AVERAGEIF($D$40:$D186,"SQ1*",$CK$40:$CK186),$BZ$9="SQ2",AVERAGEIF($D$40:$D186,"SQ2*",$CK$40:$CK186),$BZ$9="SQ3",AVERAGEIF($D$40:$D186,"SQ3*",$CK$40:$CK186),$BZ$9="SQ4",AVERAGEIF($D$40:$D186,"SQ4*",$CK$40:$CK186),$BZ$9="SQ5",AVERAGEIF($D$40:$D186,"SQ5*",$CK$40:$CK186)),"")</f>
        <v>4</v>
      </c>
      <c r="CH9" s="289" t="str">
        <f t="array" ref="CH9">IF(NOT($D$37=1),IFERROR(INDIRECT("'Bloque "&amp;$D$38&amp;" Semana "&amp;"1"&amp;"'"&amp;"!"&amp;"E37"),""),"S1")</f>
        <v/>
      </c>
      <c r="CI9" s="290" t="str">
        <f t="shared" ref="CI9:CI26" si="21">IFERROR(INDIRECT("'Bloque "&amp;$D$38&amp;" Semana "&amp;MID(CH9,2,2)&amp;"'"&amp;"!"&amp;"AF"&amp;MATCH($CH$7,$D:$D,0)),"")</f>
        <v/>
      </c>
      <c r="CJ9" s="224" t="str">
        <f t="shared" ref="CJ9:CJ26" si="22">IFERROR(INDIRECT("'Bloque "&amp;$D$38&amp;" Semana "&amp;MID(CH9,2,2)&amp;"'"&amp;"!"&amp;"AG"&amp;MATCH($CH$7,$D:$D,0)),"")</f>
        <v/>
      </c>
      <c r="CK9" s="85" t="str">
        <f t="shared" ref="CK9:CK26" si="23">IFERROR(INDIRECT("'Bloque "&amp;$D$38&amp;" Semana "&amp;MID(CH9,2,2)&amp;"'"&amp;"!"&amp;"CB"&amp;MATCH($CH$7,$D:$D,0)),"")</f>
        <v/>
      </c>
      <c r="CL9" s="291">
        <v>0.0</v>
      </c>
      <c r="CM9" s="168" t="str">
        <f t="shared" ref="CM9:CM26" si="24">IFERROR(INDIRECT("'Bloque "&amp;$D$38&amp;" Semana "&amp;MID(CH9,2,2)&amp;"'"&amp;"!"&amp;"CK"&amp;MATCH($CH$7,$D:$D,0)),"")</f>
        <v/>
      </c>
      <c r="CN9" s="292">
        <v>0.0</v>
      </c>
      <c r="CO9" s="168" t="str">
        <f t="shared" ref="CO9:CO26" si="25">IFERROR(INDIRECT("'Bloque "&amp;$D$38&amp;" Semana "&amp;MID(CH9,2,2)&amp;"'"&amp;"!"&amp;"CB"&amp;MATCH($CH$7,$D:$D,0)),"")</f>
        <v/>
      </c>
      <c r="CP9" s="293" t="str">
        <f t="shared" ref="CP9:CP26" si="26">IFERROR( IF(CH9=0,"",CO9/CQ9),"")</f>
        <v/>
      </c>
      <c r="CQ9" s="294" t="str">
        <f t="shared" ref="CQ9:CQ26" si="27">IFERROR( IF(NOT( $CQ$8="1RM PROYECTADA MEJOR A REPS"),VLOOKUP(CM9,$EX$3:$FJ$16,CJ9+1,0),VLOOKUP(CM9,$FL$3:$FX$16,CJ9+1,0)),"")</f>
        <v/>
      </c>
      <c r="CR9" s="295">
        <v>0.0</v>
      </c>
      <c r="CS9" s="296">
        <f t="shared" ref="CS9:CT9" si="15">MAX(CP9:CP26)-MIN(CP9:CP26)</f>
        <v>0</v>
      </c>
      <c r="CT9" s="297">
        <f t="shared" si="15"/>
        <v>0</v>
      </c>
      <c r="DJ9" s="83"/>
      <c r="DK9" s="207" t="str">
        <f t="array" ref="DK9">IF(NOT($D$37=1),IFERROR(INDIRECT("'Bloque "&amp;$D$38&amp;" Semana "&amp;"1"&amp;"'"&amp;"!"&amp;"E37"),""),"S1")</f>
        <v/>
      </c>
      <c r="DL9" s="207" t="str">
        <f t="array" ref="DL9">IF(NOT($D$37=2),IFERROR(INDIRECT("'Bloque "&amp;$D$38&amp;" Semana "&amp;"2"&amp;"'"&amp;"!"&amp;"E37"),""),"S2")</f>
        <v/>
      </c>
      <c r="DM9" s="207" t="str">
        <f t="array" ref="DM9">IF(NOT($D$37=3),IFERROR(INDIRECT("'Bloque "&amp;$D$38&amp;" Semana "&amp;"3"&amp;"'"&amp;"!"&amp;"E37"),""),"S3")</f>
        <v>S3</v>
      </c>
      <c r="DN9" s="207" t="str">
        <f t="array" ref="DN9">IF(NOT($D$37=4),IFERROR(INDIRECT("'Bloque "&amp;$D$38&amp;" Semana "&amp;"4"&amp;"'"&amp;"!"&amp;"E37"),""),"S4")</f>
        <v/>
      </c>
      <c r="DO9" s="207" t="str">
        <f t="array" ref="DO9">IF(NOT($D$37=5),IFERROR(INDIRECT("'Bloque "&amp;$D$38&amp;" Semana "&amp;"5"&amp;"'"&amp;"!"&amp;"E37"),""),"S5")</f>
        <v/>
      </c>
      <c r="DP9" s="207" t="str">
        <f t="array" ref="DP9">IF(NOT($D$37=6),IFERROR(INDIRECT("'Bloque "&amp;$D$38&amp;" Semana "&amp;"6"&amp;"'"&amp;"!"&amp;"E37"),""),"S6")</f>
        <v/>
      </c>
      <c r="DQ9" s="207" t="str">
        <f t="array" ref="DQ9">IF(NOT($D$37=7),IFERROR(INDIRECT("'Bloque "&amp;$D$38&amp;" Semana "&amp;"7"&amp;"'"&amp;"!"&amp;"E37"),""),"S7")</f>
        <v/>
      </c>
      <c r="DR9" s="207" t="str">
        <f t="array" ref="DR9">IF(NOT($D$37=8),IFERROR(INDIRECT("'Bloque "&amp;$D$38&amp;" Semana "&amp;"8"&amp;"'"&amp;"!"&amp;"E37"),""),"S8")</f>
        <v/>
      </c>
      <c r="DS9" s="207" t="str">
        <f t="array" ref="DS9">IF(NOT($D$37=9),IFERROR(INDIRECT("'Bloque "&amp;$D$38&amp;" Semana "&amp;"9"&amp;"'"&amp;"!"&amp;"E37"),""),"S9")</f>
        <v/>
      </c>
      <c r="DT9" s="207" t="str">
        <f t="array" ref="DT9">IF(NOT($D$37=10),IFERROR(INDIRECT("'Bloque "&amp;$D$38&amp;" Semana "&amp;"10"&amp;"'"&amp;"!"&amp;"E37"),""),"S10")</f>
        <v/>
      </c>
      <c r="DU9" s="207" t="str">
        <f t="array" ref="DU9">IF(NOT($D$37=11),IFERROR(INDIRECT("'Bloque "&amp;$D$38&amp;" Semana "&amp;"11"&amp;"'"&amp;"!"&amp;"E37"),""),"S11")</f>
        <v/>
      </c>
      <c r="DV9" s="207" t="str">
        <f t="array" ref="DV9">IF(NOT($D$37=12),IFERROR(INDIRECT("'Bloque "&amp;$D$38&amp;" Semana "&amp;"12"&amp;"'"&amp;"!"&amp;"E37"),""),"S12")</f>
        <v/>
      </c>
      <c r="DW9" s="207" t="str">
        <f t="array" ref="DW9">IF(NOT($D$37=13),IFERROR(INDIRECT("'Bloque "&amp;$D$38&amp;" Semana "&amp;"13"&amp;"'"&amp;"!"&amp;"E37"),""),"S13")</f>
        <v/>
      </c>
      <c r="DX9" s="207" t="str">
        <f t="array" ref="DX9">IF(NOT($D$37=14),IFERROR(INDIRECT("'Bloque "&amp;$D$38&amp;" Semana "&amp;"14"&amp;"'"&amp;"!"&amp;"E37"),""),"S14")</f>
        <v/>
      </c>
      <c r="DY9" s="207" t="str">
        <f t="array" ref="DY9">IF(NOT($D$37=15),IFERROR(INDIRECT("'Bloque "&amp;$D$38&amp;" Semana "&amp;"15"&amp;"'"&amp;"!"&amp;"E37"),""),"S15")</f>
        <v/>
      </c>
      <c r="DZ9" s="207" t="str">
        <f t="array" ref="DZ9">IF(NOT($D$37=16),IFERROR(INDIRECT("'Bloque "&amp;$D$38&amp;" Semana "&amp;"16"&amp;"'"&amp;"!"&amp;"E37"),""),"S16")</f>
        <v/>
      </c>
      <c r="EA9" s="207" t="str">
        <f t="array" ref="EA9">IF(NOT($D$37=17),IFERROR(INDIRECT("'Bloque "&amp;$D$38&amp;" Semana "&amp;"17"&amp;"'"&amp;"!"&amp;"E37"),""),"S17")</f>
        <v/>
      </c>
      <c r="EB9" s="207" t="str">
        <f t="array" ref="EB9">IF(NOT($D$37=18),IFERROR(INDIRECT("'Bloque "&amp;$D$38&amp;" Semana "&amp;"18"&amp;"'"&amp;"!"&amp;"E37"),""),"S18")</f>
        <v/>
      </c>
      <c r="ED9" s="120" t="str">
        <f t="shared" si="11"/>
        <v>Tracción Horizontal</v>
      </c>
      <c r="EE9" s="269" t="str">
        <f t="shared" ref="EE9:EV9" si="16">IFERROR(INDIRECT("'Bloque "&amp;$D$38&amp;" Semana "&amp;MID(EE4,2,2)&amp;"'"&amp;"!"&amp;"CC25"),"")</f>
        <v/>
      </c>
      <c r="EF9" s="269" t="str">
        <f t="shared" si="16"/>
        <v/>
      </c>
      <c r="EG9" s="269" t="str">
        <f t="shared" si="16"/>
        <v/>
      </c>
      <c r="EH9" s="269" t="str">
        <f t="shared" si="16"/>
        <v/>
      </c>
      <c r="EI9" s="269" t="str">
        <f t="shared" si="16"/>
        <v/>
      </c>
      <c r="EJ9" s="269" t="str">
        <f t="shared" si="16"/>
        <v/>
      </c>
      <c r="EK9" s="269" t="str">
        <f t="shared" si="16"/>
        <v/>
      </c>
      <c r="EL9" s="269" t="str">
        <f t="shared" si="16"/>
        <v/>
      </c>
      <c r="EM9" s="269" t="str">
        <f t="shared" si="16"/>
        <v/>
      </c>
      <c r="EN9" s="269" t="str">
        <f t="shared" si="16"/>
        <v/>
      </c>
      <c r="EO9" s="269" t="str">
        <f t="shared" si="16"/>
        <v/>
      </c>
      <c r="EP9" s="269" t="str">
        <f t="shared" si="16"/>
        <v/>
      </c>
      <c r="EQ9" s="269" t="str">
        <f t="shared" si="16"/>
        <v/>
      </c>
      <c r="ER9" s="269" t="str">
        <f t="shared" si="16"/>
        <v/>
      </c>
      <c r="ES9" s="269" t="str">
        <f t="shared" si="16"/>
        <v/>
      </c>
      <c r="ET9" s="269" t="str">
        <f t="shared" si="16"/>
        <v/>
      </c>
      <c r="EU9" s="269" t="str">
        <f t="shared" si="16"/>
        <v/>
      </c>
      <c r="EV9" s="269" t="str">
        <f t="shared" si="16"/>
        <v/>
      </c>
      <c r="EX9" s="218">
        <v>7.5</v>
      </c>
      <c r="EY9" s="228">
        <v>0.907</v>
      </c>
      <c r="EZ9" s="228">
        <v>0.878</v>
      </c>
      <c r="FA9" s="228">
        <v>0.85</v>
      </c>
      <c r="FB9" s="228">
        <v>0.824</v>
      </c>
      <c r="FC9" s="228">
        <v>0.799</v>
      </c>
      <c r="FD9" s="228">
        <v>0.774</v>
      </c>
      <c r="FE9" s="228">
        <v>0.751</v>
      </c>
      <c r="FF9" s="228">
        <v>0.723</v>
      </c>
      <c r="FG9" s="228">
        <v>0.694</v>
      </c>
      <c r="FH9" s="228">
        <v>0.667</v>
      </c>
      <c r="FI9" s="228">
        <v>0.64</v>
      </c>
      <c r="FJ9" s="228">
        <v>0.613</v>
      </c>
      <c r="FK9" s="208"/>
      <c r="FL9" s="218">
        <v>7.5</v>
      </c>
      <c r="FM9" s="228">
        <v>0.948</v>
      </c>
      <c r="FN9" s="228">
        <v>0.914</v>
      </c>
      <c r="FO9" s="228">
        <v>0.892</v>
      </c>
      <c r="FP9" s="228">
        <v>0.871</v>
      </c>
      <c r="FQ9" s="228">
        <v>0.85</v>
      </c>
      <c r="FR9" s="228">
        <v>0.83</v>
      </c>
      <c r="FS9" s="228">
        <v>0.81</v>
      </c>
      <c r="FT9" s="228">
        <v>0.79</v>
      </c>
      <c r="FU9" s="228">
        <v>0.771</v>
      </c>
      <c r="FV9" s="228">
        <v>0.752</v>
      </c>
      <c r="FW9" s="228">
        <v>0.734</v>
      </c>
      <c r="FX9" s="228">
        <v>0.717</v>
      </c>
      <c r="FY9" s="228"/>
      <c r="FZ9" s="84" t="str">
        <f t="array" ref="FZ9">IF(NOT($D$37=6),IFERROR(INDIRECT("'Bloque "&amp;$D$38&amp;" Semana "&amp;"6"&amp;"'"&amp;"!"&amp;"E37"),""),"S6")</f>
        <v/>
      </c>
      <c r="GA9" s="229" t="str">
        <f t="shared" si="4"/>
        <v/>
      </c>
      <c r="GB9" s="212" t="str">
        <f t="shared" si="5"/>
        <v/>
      </c>
      <c r="GC9" s="84" t="str">
        <f t="array" ref="GC9">IF(NOT($D$37=6),IFERROR(INDIRECT("'Bloque "&amp;$D$38&amp;" Semana "&amp;"6"&amp;"'"&amp;"!"&amp;"E37"),""),"S6")</f>
        <v/>
      </c>
      <c r="GD9" s="229" t="str">
        <f t="shared" si="6"/>
        <v/>
      </c>
      <c r="GE9" s="212" t="str">
        <f t="shared" si="7"/>
        <v/>
      </c>
      <c r="GF9" s="84" t="str">
        <f t="array" ref="GF9">IF(NOT($D$37=6),IFERROR(INDIRECT("'Bloque "&amp;$D$38&amp;" Semana "&amp;"6"&amp;"'"&amp;"!"&amp;"E37"),""),"S6")</f>
        <v/>
      </c>
      <c r="GG9" s="229" t="str">
        <f t="shared" si="8"/>
        <v/>
      </c>
      <c r="GH9" s="212" t="str">
        <f t="shared" si="9"/>
        <v/>
      </c>
    </row>
    <row r="10" ht="15.0" customHeight="1">
      <c r="B10" s="199"/>
      <c r="I10" s="106"/>
      <c r="J10" s="225"/>
      <c r="T10" s="226"/>
      <c r="W10" s="201"/>
      <c r="AE10" s="203"/>
      <c r="AF10" s="204"/>
      <c r="AG10" s="298" t="s">
        <v>267</v>
      </c>
      <c r="AJ10" s="299"/>
      <c r="AK10" s="300" t="s">
        <v>445</v>
      </c>
      <c r="AN10" s="301"/>
      <c r="AO10" s="300"/>
      <c r="AR10" s="301"/>
      <c r="AS10" s="300"/>
      <c r="AV10" s="301"/>
      <c r="AW10" s="300"/>
      <c r="AZ10" s="301"/>
      <c r="BA10" s="300"/>
      <c r="BD10" s="301"/>
      <c r="BE10" s="302">
        <f t="shared" si="17"/>
        <v>8.571428571</v>
      </c>
      <c r="BH10" s="303"/>
      <c r="BI10" s="304"/>
      <c r="BL10" s="303"/>
      <c r="BM10" s="305"/>
      <c r="BQ10" s="306"/>
      <c r="BR10" s="307" t="b">
        <v>0</v>
      </c>
      <c r="BS10" s="308" t="str">
        <f t="shared" si="18"/>
        <v/>
      </c>
      <c r="BT10" s="301"/>
      <c r="BU10" s="309" t="b">
        <v>0</v>
      </c>
      <c r="BV10" s="308" t="str">
        <f t="shared" si="19"/>
        <v/>
      </c>
      <c r="BW10" s="310" t="str">
        <f t="shared" si="20"/>
        <v/>
      </c>
      <c r="BZ10" s="283" t="s">
        <v>268</v>
      </c>
      <c r="CA10" s="311">
        <f>IFERROR(IFS(BZ10="BP1", SUMIF($D$40:$D186,"BP1*",AD40:AD186),BZ10="BP2",SUMIF($D$40:$D186,"BP2*",AD40:AD186),$BZ$10="BP3",SUMIF($D$40:$D186,"BP3*",AD40:AD186),BZ10="BP4",SUMIF($D$40:$D186,"BP4*",AD40:AD186),BZ10="BP5",SUMIF($D$40:$D186,"BP5*",AD40:AD186)),"")</f>
        <v>0</v>
      </c>
      <c r="CB10" s="311">
        <f>IFERROR(IFS(BZ10="BP1", SUMIF($D$40:$D186,"BP1*",CC40:CC186),BZ10="BP2",SUMIF($D$40:$D186,"BP2*",CC40:CC186),$BZ$10="BP3",SUMIF($D$40:$D186,"BP3*",CC40:CC186),BZ10="BP4",SUMIF($D$40:$D186,"BP4*",CC40:CC186),BZ10="BP5",SUMIF($D$40:$D186,"BP5*",CC40:CC186)),"")</f>
        <v>0</v>
      </c>
      <c r="CC10" s="312">
        <f>IFERROR(IFS(BZ10="BP1", SUMIF($D$40:$D186,"BP1*",CE40:CE186),BZ10="BP2",SUMIF($D$40:$D186,"BP2*",CE40:CE186),$BZ$10="BP3",SUMIF($D$40:$D186,"BP3*",CE40:CE186),BZ10="BP4",SUMIF($D$40:$D186,"BP4*",CE40:CE186),BZ10="BP5",SUMIF($D$40:$D186,"BP5*",CE40:CE186)),"")</f>
        <v>0</v>
      </c>
      <c r="CD10" s="313" t="str">
        <f>IFERROR(IFS(BZ10="BP1",AVERAGEIF(D40:D186,BZ10,CA40:CH186),BZ10="BP2",AVERAGEIF(D40:D186,BZ10,CA40:CH186),BZ10="BP3",AVERAGEIF(D40:D186,BZ10,CA40:CH186),BZ10="BP4",AVERAGEIF(D40:D186,BZ10,CA40:CH186),BZ10="BP5",AVERAGEIF(D40:D186,BZ10,CA40:CH186)),"")</f>
        <v/>
      </c>
      <c r="CE10" s="314" t="str">
        <f>IFERROR( IFS($CE$8="e1RM Bryzcki", IFS(BZ10="BP1",AVERAGEIF(D40:D186,"SQ1*",CH40:CH186),BZ10="BP2",AVERAGEIF(D40:D186,"BP2*",CH40:CH186),BZ10="BP3",AVERAGEIF(D40:D186,"BP3*",CH40:CH186),BZ10="BP4*",AVERAGEIF(D40:D186,"BP4*",CH40:CH186),BZ10="BP5",AVERAGEIF(D40:D186,"BP5*",CH40:CH186)),$CE$8="e1RM Steve Denovi F1", IFS(BZ10="BP1",AVERAGEIF(D40:D186,"BP1*",CL40:CL186),BZ10="BP2",AVERAGEIF(D40:D186,"BP2*",CL40:CL186),BZ10="BP3",AVERAGEIF(D40:D186,"BP3*",CL40:CL186),BZ10="BP4*",AVERAGEIF(D40:D186,"BP4*",CL40:CL186),BZ10="BP5",AVERAGEIF(D40:D186,"BP5*",CL40:CL186)),$CE$8="e1RM Steve Denovi F2", IFS(BZ10="BP1",AVERAGEIF(D40:D186,"BP1*",CM40:CM186),BZ10="BP2",AVERAGEIF(D40:D186,"BP2*",CM40:CM186),BZ10="BP3",AVERAGEIF(D40:D186,"BP3*",CM40:CM186),BZ10="BP4*",AVERAGEIF(D40:D186,"BP4*",CM40:CM186),BZ10="BP5",AVERAGEIF(D40:D186,"BP5*",CM40:CM186))),"")</f>
        <v/>
      </c>
      <c r="CF10" s="315" t="str">
        <f>IFERROR(IFS($BZ$10="SQ1",AVERAGEIF($D$40:$D186,"BP1*",$CK$40:$CK186),$BZ$10="BP2",AVERAGEIF($D$40:$D186,"BP2*",$CK$40:$CK186),$BZ$10="BP3",AVERAGEIF($D$40:$D186,"BP3*",$CK$40:$CK186),$BZ$10="BP4",AVERAGEIF($D$40:$D186,"BP4*",$CK$40:$CK186),$BZ$10="BP5",AVERAGEIF($D$40:$D186,"BP5*",$CK$40:$CK186)),"")</f>
        <v/>
      </c>
      <c r="CH10" s="289" t="str">
        <f t="array" ref="CH10">IF(NOT($D$37=2),IFERROR(INDIRECT("'Bloque "&amp;$D$38&amp;" Semana "&amp;"2"&amp;"'"&amp;"!"&amp;"E37"),""),"S2")</f>
        <v/>
      </c>
      <c r="CI10" s="316" t="str">
        <f t="shared" si="21"/>
        <v/>
      </c>
      <c r="CJ10" s="224" t="str">
        <f t="shared" si="22"/>
        <v/>
      </c>
      <c r="CK10" s="85" t="str">
        <f t="shared" si="23"/>
        <v/>
      </c>
      <c r="CL10" s="85" t="str">
        <f t="shared" ref="CL10:CL26" si="30">IF(CH10="","", CK10-CK9)</f>
        <v/>
      </c>
      <c r="CM10" s="168" t="str">
        <f t="shared" si="24"/>
        <v/>
      </c>
      <c r="CN10" s="327" t="str">
        <f t="shared" ref="CN10:CN26" si="31">IF(CH10="","", CM10-CM9)</f>
        <v/>
      </c>
      <c r="CO10" s="168" t="str">
        <f t="shared" si="25"/>
        <v/>
      </c>
      <c r="CP10" s="168" t="str">
        <f t="shared" si="26"/>
        <v/>
      </c>
      <c r="CQ10" s="294" t="str">
        <f t="shared" si="27"/>
        <v/>
      </c>
      <c r="CR10" s="328" t="str">
        <f t="shared" ref="CR10:CR26" si="32">IF(CH10="","", CQ10-CQ9)</f>
        <v/>
      </c>
      <c r="CS10" s="212"/>
      <c r="CT10" s="319"/>
      <c r="DJ10" s="120" t="s">
        <v>21</v>
      </c>
      <c r="DK10" s="320" t="str">
        <f t="shared" ref="DK10:EB10" si="28">IFERROR(INDIRECT("'Bloque "&amp;$D$38&amp;" Semana "&amp;MID(DK9,2,2)&amp;"'"&amp;"!"&amp;"CD15"),"")</f>
        <v/>
      </c>
      <c r="DL10" s="320" t="str">
        <f t="shared" si="28"/>
        <v/>
      </c>
      <c r="DM10" s="320" t="str">
        <f t="shared" si="28"/>
        <v/>
      </c>
      <c r="DN10" s="320" t="str">
        <f t="shared" si="28"/>
        <v/>
      </c>
      <c r="DO10" s="320" t="str">
        <f t="shared" si="28"/>
        <v/>
      </c>
      <c r="DP10" s="320" t="str">
        <f t="shared" si="28"/>
        <v/>
      </c>
      <c r="DQ10" s="320" t="str">
        <f t="shared" si="28"/>
        <v/>
      </c>
      <c r="DR10" s="320" t="str">
        <f t="shared" si="28"/>
        <v/>
      </c>
      <c r="DS10" s="320" t="str">
        <f t="shared" si="28"/>
        <v/>
      </c>
      <c r="DT10" s="320" t="str">
        <f t="shared" si="28"/>
        <v/>
      </c>
      <c r="DU10" s="320" t="str">
        <f t="shared" si="28"/>
        <v/>
      </c>
      <c r="DV10" s="320" t="str">
        <f t="shared" si="28"/>
        <v/>
      </c>
      <c r="DW10" s="320" t="str">
        <f t="shared" si="28"/>
        <v/>
      </c>
      <c r="DX10" s="320" t="str">
        <f t="shared" si="28"/>
        <v/>
      </c>
      <c r="DY10" s="320" t="str">
        <f t="shared" si="28"/>
        <v/>
      </c>
      <c r="DZ10" s="320" t="str">
        <f t="shared" si="28"/>
        <v/>
      </c>
      <c r="EA10" s="320" t="str">
        <f t="shared" si="28"/>
        <v/>
      </c>
      <c r="EB10" s="320" t="str">
        <f t="shared" si="28"/>
        <v/>
      </c>
      <c r="ED10" s="120" t="str">
        <f t="shared" si="11"/>
        <v>Tracción Vertical</v>
      </c>
      <c r="EE10" s="269" t="str">
        <f t="shared" ref="EE10:EV10" si="29">IFERROR(INDIRECT("'Bloque "&amp;$D$38&amp;" Semana "&amp;MID(EE4,2,2)&amp;"'"&amp;"!"&amp;"CC26"),"")</f>
        <v/>
      </c>
      <c r="EF10" s="269" t="str">
        <f t="shared" si="29"/>
        <v/>
      </c>
      <c r="EG10" s="269" t="str">
        <f t="shared" si="29"/>
        <v/>
      </c>
      <c r="EH10" s="269" t="str">
        <f t="shared" si="29"/>
        <v/>
      </c>
      <c r="EI10" s="269" t="str">
        <f t="shared" si="29"/>
        <v/>
      </c>
      <c r="EJ10" s="269" t="str">
        <f t="shared" si="29"/>
        <v/>
      </c>
      <c r="EK10" s="269" t="str">
        <f t="shared" si="29"/>
        <v/>
      </c>
      <c r="EL10" s="269" t="str">
        <f t="shared" si="29"/>
        <v/>
      </c>
      <c r="EM10" s="269" t="str">
        <f t="shared" si="29"/>
        <v/>
      </c>
      <c r="EN10" s="269" t="str">
        <f t="shared" si="29"/>
        <v/>
      </c>
      <c r="EO10" s="269" t="str">
        <f t="shared" si="29"/>
        <v/>
      </c>
      <c r="EP10" s="269" t="str">
        <f t="shared" si="29"/>
        <v/>
      </c>
      <c r="EQ10" s="269" t="str">
        <f t="shared" si="29"/>
        <v/>
      </c>
      <c r="ER10" s="269" t="str">
        <f t="shared" si="29"/>
        <v/>
      </c>
      <c r="ES10" s="269" t="str">
        <f t="shared" si="29"/>
        <v/>
      </c>
      <c r="ET10" s="269" t="str">
        <f t="shared" si="29"/>
        <v/>
      </c>
      <c r="EU10" s="269" t="str">
        <f t="shared" si="29"/>
        <v/>
      </c>
      <c r="EV10" s="269" t="str">
        <f t="shared" si="29"/>
        <v/>
      </c>
      <c r="EX10" s="218">
        <v>7.0</v>
      </c>
      <c r="EY10" s="228">
        <v>0.892</v>
      </c>
      <c r="EZ10" s="228">
        <v>0.863</v>
      </c>
      <c r="FA10" s="228">
        <v>0.837</v>
      </c>
      <c r="FB10" s="228">
        <v>0.811</v>
      </c>
      <c r="FC10" s="228">
        <v>0.786</v>
      </c>
      <c r="FD10" s="228">
        <v>0.762</v>
      </c>
      <c r="FE10" s="228">
        <v>0.739</v>
      </c>
      <c r="FF10" s="228">
        <v>0.707</v>
      </c>
      <c r="FG10" s="228">
        <v>0.68</v>
      </c>
      <c r="FH10" s="228">
        <v>0.653</v>
      </c>
      <c r="FI10" s="228">
        <v>0.626</v>
      </c>
      <c r="FJ10" s="228">
        <v>0.599</v>
      </c>
      <c r="FK10" s="208"/>
      <c r="FL10" s="218">
        <v>7.0</v>
      </c>
      <c r="FM10" s="228">
        <v>0.937</v>
      </c>
      <c r="FN10" s="228">
        <v>0.905</v>
      </c>
      <c r="FO10" s="228">
        <v>0.883</v>
      </c>
      <c r="FP10" s="228">
        <v>0.862</v>
      </c>
      <c r="FQ10" s="228">
        <v>0.841</v>
      </c>
      <c r="FR10" s="228">
        <v>0.821</v>
      </c>
      <c r="FS10" s="228">
        <v>0.801</v>
      </c>
      <c r="FT10" s="228">
        <v>0.782</v>
      </c>
      <c r="FU10" s="228">
        <v>0.763</v>
      </c>
      <c r="FV10" s="228">
        <v>0.744</v>
      </c>
      <c r="FW10" s="228">
        <v>0.726</v>
      </c>
      <c r="FX10" s="228">
        <v>0.709</v>
      </c>
      <c r="FY10" s="228"/>
      <c r="FZ10" s="84" t="str">
        <f t="array" ref="FZ10">IF(NOT($D$37=7),IFERROR(INDIRECT("'Bloque "&amp;$D$38&amp;" Semana "&amp;"7"&amp;"'"&amp;"!"&amp;"E37"),""),"S7")</f>
        <v/>
      </c>
      <c r="GA10" s="229" t="str">
        <f t="shared" si="4"/>
        <v/>
      </c>
      <c r="GB10" s="212" t="str">
        <f t="shared" si="5"/>
        <v/>
      </c>
      <c r="GC10" s="84" t="str">
        <f t="array" ref="GC10">IF(NOT($D$37=7),IFERROR(INDIRECT("'Bloque "&amp;$D$38&amp;" Semana "&amp;"7"&amp;"'"&amp;"!"&amp;"E37"),""),"S7")</f>
        <v/>
      </c>
      <c r="GD10" s="229" t="str">
        <f t="shared" si="6"/>
        <v/>
      </c>
      <c r="GE10" s="212" t="str">
        <f t="shared" si="7"/>
        <v/>
      </c>
      <c r="GF10" s="84" t="str">
        <f t="array" ref="GF10">IF(NOT($D$37=7),IFERROR(INDIRECT("'Bloque "&amp;$D$38&amp;" Semana "&amp;"7"&amp;"'"&amp;"!"&amp;"E37"),""),"S7")</f>
        <v/>
      </c>
      <c r="GG10" s="229" t="str">
        <f t="shared" si="8"/>
        <v/>
      </c>
      <c r="GH10" s="212" t="str">
        <f t="shared" si="9"/>
        <v/>
      </c>
    </row>
    <row r="11" ht="21.75" customHeight="1">
      <c r="B11" s="199"/>
      <c r="I11" s="106"/>
      <c r="J11" s="225"/>
      <c r="T11" s="226"/>
      <c r="W11" s="201"/>
      <c r="AE11" s="203"/>
      <c r="AF11" s="204"/>
      <c r="AG11" s="270" t="s">
        <v>269</v>
      </c>
      <c r="AJ11" s="271"/>
      <c r="AK11" s="272"/>
      <c r="AN11" s="273"/>
      <c r="AO11" s="272"/>
      <c r="AR11" s="273"/>
      <c r="AS11" s="272"/>
      <c r="AV11" s="273"/>
      <c r="AW11" s="272"/>
      <c r="AZ11" s="273"/>
      <c r="BA11" s="272"/>
      <c r="BD11" s="273"/>
      <c r="BE11" s="274" t="str">
        <f t="shared" si="17"/>
        <v/>
      </c>
      <c r="BH11" s="275"/>
      <c r="BI11" s="321"/>
      <c r="BL11" s="275"/>
      <c r="BM11" s="277"/>
      <c r="BQ11" s="278"/>
      <c r="BR11" s="279" t="b">
        <v>0</v>
      </c>
      <c r="BS11" s="280" t="str">
        <f t="shared" si="18"/>
        <v/>
      </c>
      <c r="BT11" s="273"/>
      <c r="BU11" s="281" t="b">
        <v>0</v>
      </c>
      <c r="BV11" s="280" t="str">
        <f t="shared" si="19"/>
        <v/>
      </c>
      <c r="BW11" s="282" t="str">
        <f t="shared" si="20"/>
        <v/>
      </c>
      <c r="BZ11" s="283" t="s">
        <v>270</v>
      </c>
      <c r="CA11" s="322">
        <f>IFERROR(IFS(BZ11="DL1", SUMIF($D$40:$D186,"DL1*",AD40:AD186),BZ11="DL2",SUMIF($D$40:$D186,"DL2*",AD40:AD186),$BZ$11="DL3",SUMIF($D$40:$D186,"DL3*",AD40:AD186),BZ11="DL4",SUMIF($D$40:$D186,"DL4*",AD40:AD186),BZ11="DL5",SUMIF($D$40:$D186,"DL5*",AD40:AD186)),"")</f>
        <v>3</v>
      </c>
      <c r="CB11" s="322">
        <f>IFERROR(IFS(BZ11="DL1", SUMIF($D$40:$D186,"DL1*",CC40:CC186),BZ11="DL2",SUMIF($D$40:$D186,"DL2*",CC40:CC186),$BZ$11="DL3",SUMIF($D$40:$D186,"DL3*",CC40:CC186),BZ11="DL4",SUMIF($D$40:$D186,"DL4*",CC40:CC186),BZ11="DL5",SUMIF($D$40:$D186,"DL5*",CC40:CC186)),"")</f>
        <v>18</v>
      </c>
      <c r="CC11" s="323" t="str">
        <f>IFERROR(IFS(BZ11="DL1", SUMIF($D$40:$D186,"DL1*",CE40:CE186),BZ11="DL2",SUMIF($D$40:$D186,"DL2*",CE40:CE186),$BZ$11="DL3",SUMIF($D$40:$D186,"DL3*",CE40:CE186),BZ11="DL4",SUMIF($D$40:$D186,"DL4*",CE40:CE186),BZ11="DL5",SUMIF($D$40:$D186,"DL5*",CE40:CE186)),"")</f>
        <v/>
      </c>
      <c r="CD11" s="324" t="str">
        <f>IFERROR(IFS(BZ11="DL1",AVERAGEIF(D40:D186,"DL1*",CA40:CH186),BZ11="DL2",AVERAGEIF(D40:D186,"DL2*",CA40:CH186),BZ11="DL3",AVERAGEIF(D40:D186,"DL3*",CA40:CH186),BZ11="DL4",AVERAGEIF(D40:D186,"DL4*",CA40:CH186),BZ11="DL5",AVERAGEIF(D40:D186,"DL5*",CA40:CH186)),"")</f>
        <v/>
      </c>
      <c r="CE11" s="325" t="str">
        <f>IFERROR( IFS($CE$8="e1RM Bryzcki", IFS(BZ11="DL1",AVERAGEIF(D40:D186,"DL1*",CH40:CH186),BZ11="DL2",AVERAGEIF(D40:D186,"DL2*",CH40:CH186),BZ11="DL3",AVERAGEIF(D40:D186,"DL3*",CH40:CH186),BZ11="DL4*",AVERAGEIF(D40:D186,"DL4*",CH40:CH186),BZ11="DL5",AVERAGEIF(D40:D186,"DL5*",CH40:CH186)),$CE$8="e1RM Steve Denovi F1", IFS(BZ11="DL1",AVERAGEIF(D40:D186,"DL1*",CL40:CL186),BZ11="DL2",AVERAGEIF(D40:D186,"DL2*",CL40:CL186),BZ11="DL3",AVERAGEIF(D40:D186,"DL3*",CL40:CL186),BZ11="DL4*",AVERAGEIF(D40:D186,"DL4*",CL40:CL186),BZ11="DL5",AVERAGEIF(D40:D186,"DL5*",CL40:CL186)),$CE$8="e1RM Steve Denovi F2", IFS(BZ11="DL1",AVERAGEIF(D40:D186,"DL1*",CM40:CM186),BZ11="DL2",AVERAGEIF(D40:D186,"DL2*",CM40:CM186),BZ11="DL3",AVERAGEIF(D40:D186,"DL3*",CM40:CM186),BZ11="DL4*",AVERAGEIF(D40:D186,"DL4*",CM40:CM186),BZ11="DL5",AVERAGEIF(D40:D186,"DL5*",CM40:CM186))),"")</f>
        <v/>
      </c>
      <c r="CF11" s="326">
        <f>IFERROR(IFS($BZ$11="DL1",AVERAGEIF($D$40:$D186,"DL1*",$CK$40:$CK186),$BZ$11="DL2",AVERAGEIF($D$40:$D186,"DL2*",$CK$40:$CK186),$BZ$11="DL3",AVERAGEIF($D$40:$D186,"DL3*",$CK$40:$CK186),$BZ$11="DL4",AVERAGEIF($D$40:$D186,"DL4*",$CK$40:$CK186),$BZ$11="DL5",AVERAGEIF($D$40:$D186,"DL5*",$CK$40:$CK186)),"")</f>
        <v>7.166666667</v>
      </c>
      <c r="CH11" s="289" t="str">
        <f t="array" ref="CH11">IF(NOT($D$37=3),IFERROR(INDIRECT("'Bloque "&amp;$D$38&amp;" Semana "&amp;"3"&amp;"'"&amp;"!"&amp;"E37"),""),"S3")</f>
        <v>S3</v>
      </c>
      <c r="CI11" s="316" t="str">
        <f t="shared" si="21"/>
        <v/>
      </c>
      <c r="CJ11" s="224" t="str">
        <f t="shared" si="22"/>
        <v/>
      </c>
      <c r="CK11" s="85" t="str">
        <f t="shared" si="23"/>
        <v/>
      </c>
      <c r="CL11" s="85">
        <f t="shared" si="30"/>
        <v>0</v>
      </c>
      <c r="CM11" s="168" t="str">
        <f t="shared" si="24"/>
        <v/>
      </c>
      <c r="CN11" s="317">
        <f t="shared" si="31"/>
        <v>0</v>
      </c>
      <c r="CO11" s="168" t="str">
        <f t="shared" si="25"/>
        <v/>
      </c>
      <c r="CP11" s="168" t="str">
        <f t="shared" si="26"/>
        <v/>
      </c>
      <c r="CQ11" s="294" t="str">
        <f t="shared" si="27"/>
        <v/>
      </c>
      <c r="CR11" s="318">
        <f t="shared" si="32"/>
        <v>0</v>
      </c>
      <c r="CS11" s="212"/>
      <c r="CT11" s="319"/>
      <c r="DJ11" s="120" t="s">
        <v>36</v>
      </c>
      <c r="DK11" s="320" t="str">
        <f t="shared" ref="DK11:EB11" si="33">IFERROR(INDIRECT("'Bloque "&amp;$D$38&amp;" Semana "&amp;MID(DK9,2,2)&amp;"'"&amp;"!"&amp;"CD16"),"")</f>
        <v/>
      </c>
      <c r="DL11" s="320" t="str">
        <f t="shared" si="33"/>
        <v/>
      </c>
      <c r="DM11" s="320" t="str">
        <f t="shared" si="33"/>
        <v/>
      </c>
      <c r="DN11" s="320" t="str">
        <f t="shared" si="33"/>
        <v/>
      </c>
      <c r="DO11" s="320" t="str">
        <f t="shared" si="33"/>
        <v/>
      </c>
      <c r="DP11" s="320" t="str">
        <f t="shared" si="33"/>
        <v/>
      </c>
      <c r="DQ11" s="320" t="str">
        <f t="shared" si="33"/>
        <v/>
      </c>
      <c r="DR11" s="320" t="str">
        <f t="shared" si="33"/>
        <v/>
      </c>
      <c r="DS11" s="320" t="str">
        <f t="shared" si="33"/>
        <v/>
      </c>
      <c r="DT11" s="320" t="str">
        <f t="shared" si="33"/>
        <v/>
      </c>
      <c r="DU11" s="320" t="str">
        <f t="shared" si="33"/>
        <v/>
      </c>
      <c r="DV11" s="320" t="str">
        <f t="shared" si="33"/>
        <v/>
      </c>
      <c r="DW11" s="320" t="str">
        <f t="shared" si="33"/>
        <v/>
      </c>
      <c r="DX11" s="320" t="str">
        <f t="shared" si="33"/>
        <v/>
      </c>
      <c r="DY11" s="320" t="str">
        <f t="shared" si="33"/>
        <v/>
      </c>
      <c r="DZ11" s="320" t="str">
        <f t="shared" si="33"/>
        <v/>
      </c>
      <c r="EA11" s="320" t="str">
        <f t="shared" si="33"/>
        <v/>
      </c>
      <c r="EB11" s="320" t="str">
        <f t="shared" si="33"/>
        <v/>
      </c>
      <c r="ED11" s="120"/>
      <c r="EE11" s="269"/>
      <c r="EF11" s="269"/>
      <c r="EG11" s="269"/>
      <c r="EH11" s="269"/>
      <c r="EI11" s="269"/>
      <c r="EJ11" s="269"/>
      <c r="EK11" s="269"/>
      <c r="EL11" s="269"/>
      <c r="EM11" s="269"/>
      <c r="EN11" s="269"/>
      <c r="EO11" s="269"/>
      <c r="EP11" s="269"/>
      <c r="EQ11" s="269"/>
      <c r="ER11" s="269"/>
      <c r="ES11" s="269"/>
      <c r="ET11" s="269"/>
      <c r="EU11" s="269"/>
      <c r="EV11" s="269"/>
      <c r="EX11" s="218">
        <v>6.5</v>
      </c>
      <c r="EY11" s="228">
        <v>0.878</v>
      </c>
      <c r="EZ11" s="228">
        <v>0.85</v>
      </c>
      <c r="FA11" s="228">
        <v>0.824</v>
      </c>
      <c r="FB11" s="228">
        <v>0.799</v>
      </c>
      <c r="FC11" s="228">
        <v>0.774</v>
      </c>
      <c r="FD11" s="228">
        <v>0.751</v>
      </c>
      <c r="FE11" s="228">
        <v>0.723</v>
      </c>
      <c r="FF11" s="228">
        <v>0.694</v>
      </c>
      <c r="FG11" s="228">
        <v>0.667</v>
      </c>
      <c r="FH11" s="228">
        <v>0.64</v>
      </c>
      <c r="FI11" s="228">
        <v>0.613</v>
      </c>
      <c r="FJ11" s="228">
        <v>0.586</v>
      </c>
      <c r="FK11" s="208"/>
      <c r="FL11" s="218">
        <v>6.5</v>
      </c>
      <c r="FM11" s="228">
        <v>0.927</v>
      </c>
      <c r="FN11" s="228">
        <v>0.895</v>
      </c>
      <c r="FO11" s="228">
        <v>0.873</v>
      </c>
      <c r="FP11" s="228">
        <v>0.852</v>
      </c>
      <c r="FQ11" s="228">
        <v>0.832</v>
      </c>
      <c r="FR11" s="228">
        <v>0.812</v>
      </c>
      <c r="FS11" s="228">
        <v>0.792</v>
      </c>
      <c r="FT11" s="228">
        <v>0.773</v>
      </c>
      <c r="FU11" s="228">
        <v>0.755</v>
      </c>
      <c r="FV11" s="228">
        <v>0.736</v>
      </c>
      <c r="FW11" s="228">
        <v>0.719</v>
      </c>
      <c r="FX11" s="228">
        <v>0.701</v>
      </c>
      <c r="FY11" s="228"/>
      <c r="FZ11" s="84" t="str">
        <f t="array" ref="FZ11">IF(NOT($D$37=8),IFERROR(INDIRECT("'Bloque "&amp;$D$38&amp;" Semana "&amp;"8"&amp;"'"&amp;"!"&amp;"E37"),""),"S8")</f>
        <v/>
      </c>
      <c r="GA11" s="229" t="str">
        <f t="shared" si="4"/>
        <v/>
      </c>
      <c r="GB11" s="212" t="str">
        <f t="shared" si="5"/>
        <v/>
      </c>
      <c r="GC11" s="84" t="str">
        <f t="array" ref="GC11">IF(NOT($D$37=8),IFERROR(INDIRECT("'Bloque "&amp;$D$38&amp;" Semana "&amp;"8"&amp;"'"&amp;"!"&amp;"E37"),""),"S8")</f>
        <v/>
      </c>
      <c r="GD11" s="229" t="str">
        <f t="shared" si="6"/>
        <v/>
      </c>
      <c r="GE11" s="212" t="str">
        <f t="shared" si="7"/>
        <v/>
      </c>
      <c r="GF11" s="84" t="str">
        <f t="array" ref="GF11">IF(NOT($D$37=8),IFERROR(INDIRECT("'Bloque "&amp;$D$38&amp;" Semana "&amp;"8"&amp;"'"&amp;"!"&amp;"E37"),""),"S8")</f>
        <v/>
      </c>
      <c r="GG11" s="229" t="str">
        <f t="shared" si="8"/>
        <v/>
      </c>
      <c r="GH11" s="212" t="str">
        <f t="shared" si="9"/>
        <v/>
      </c>
    </row>
    <row r="12" ht="15.0" customHeight="1">
      <c r="B12" s="199"/>
      <c r="H12" s="106"/>
      <c r="I12" s="106"/>
      <c r="J12" s="225"/>
      <c r="T12" s="226"/>
      <c r="W12" s="201"/>
      <c r="AE12" s="203"/>
      <c r="AF12" s="204"/>
      <c r="AG12" s="298" t="s">
        <v>271</v>
      </c>
      <c r="AJ12" s="299"/>
      <c r="AK12" s="300"/>
      <c r="AN12" s="301"/>
      <c r="AO12" s="300"/>
      <c r="AR12" s="301"/>
      <c r="AS12" s="300"/>
      <c r="AV12" s="301"/>
      <c r="AW12" s="300"/>
      <c r="AZ12" s="301"/>
      <c r="BA12" s="300"/>
      <c r="BD12" s="301"/>
      <c r="BE12" s="302" t="str">
        <f t="shared" si="17"/>
        <v/>
      </c>
      <c r="BH12" s="303"/>
      <c r="BI12" s="304"/>
      <c r="BL12" s="303"/>
      <c r="BM12" s="305"/>
      <c r="BQ12" s="306"/>
      <c r="BR12" s="307" t="b">
        <v>0</v>
      </c>
      <c r="BS12" s="308" t="str">
        <f t="shared" si="18"/>
        <v/>
      </c>
      <c r="BT12" s="301"/>
      <c r="BU12" s="309" t="b">
        <v>0</v>
      </c>
      <c r="BV12" s="308" t="str">
        <f t="shared" si="19"/>
        <v/>
      </c>
      <c r="BW12" s="310" t="str">
        <f t="shared" si="20"/>
        <v/>
      </c>
      <c r="BZ12" s="329"/>
      <c r="CF12" s="330"/>
      <c r="CH12" s="289" t="str">
        <f t="array" ref="CH12">IF(NOT($D$37=4),IFERROR(INDIRECT("'Bloque "&amp;$D$38&amp;" Semana "&amp;"4"&amp;"'"&amp;"!"&amp;"E37"),""),"S4")</f>
        <v/>
      </c>
      <c r="CI12" s="316" t="str">
        <f t="shared" si="21"/>
        <v/>
      </c>
      <c r="CJ12" s="224" t="str">
        <f t="shared" si="22"/>
        <v/>
      </c>
      <c r="CK12" s="85" t="str">
        <f t="shared" si="23"/>
        <v/>
      </c>
      <c r="CL12" s="85" t="str">
        <f t="shared" si="30"/>
        <v/>
      </c>
      <c r="CM12" s="168" t="str">
        <f t="shared" si="24"/>
        <v/>
      </c>
      <c r="CN12" s="327" t="str">
        <f t="shared" si="31"/>
        <v/>
      </c>
      <c r="CO12" s="168" t="str">
        <f t="shared" si="25"/>
        <v/>
      </c>
      <c r="CP12" s="168" t="str">
        <f t="shared" si="26"/>
        <v/>
      </c>
      <c r="CQ12" s="294" t="str">
        <f t="shared" si="27"/>
        <v/>
      </c>
      <c r="CR12" s="328" t="str">
        <f t="shared" si="32"/>
        <v/>
      </c>
      <c r="CS12" s="212"/>
      <c r="CT12" s="319"/>
      <c r="DJ12" s="120" t="s">
        <v>42</v>
      </c>
      <c r="DK12" s="320" t="str">
        <f t="shared" ref="DK12:EB12" si="34">IFERROR(INDIRECT("'Bloque "&amp;$D$38&amp;" Semana "&amp;MID(DK9,2,2)&amp;"'"&amp;"!"&amp;"CD17"),"")</f>
        <v/>
      </c>
      <c r="DL12" s="320" t="str">
        <f t="shared" si="34"/>
        <v/>
      </c>
      <c r="DM12" s="320" t="str">
        <f t="shared" si="34"/>
        <v/>
      </c>
      <c r="DN12" s="320" t="str">
        <f t="shared" si="34"/>
        <v/>
      </c>
      <c r="DO12" s="320" t="str">
        <f t="shared" si="34"/>
        <v/>
      </c>
      <c r="DP12" s="320" t="str">
        <f t="shared" si="34"/>
        <v/>
      </c>
      <c r="DQ12" s="320" t="str">
        <f t="shared" si="34"/>
        <v/>
      </c>
      <c r="DR12" s="320" t="str">
        <f t="shared" si="34"/>
        <v/>
      </c>
      <c r="DS12" s="320" t="str">
        <f t="shared" si="34"/>
        <v/>
      </c>
      <c r="DT12" s="320" t="str">
        <f t="shared" si="34"/>
        <v/>
      </c>
      <c r="DU12" s="320" t="str">
        <f t="shared" si="34"/>
        <v/>
      </c>
      <c r="DV12" s="320" t="str">
        <f t="shared" si="34"/>
        <v/>
      </c>
      <c r="DW12" s="320" t="str">
        <f t="shared" si="34"/>
        <v/>
      </c>
      <c r="DX12" s="320" t="str">
        <f t="shared" si="34"/>
        <v/>
      </c>
      <c r="DY12" s="320" t="str">
        <f t="shared" si="34"/>
        <v/>
      </c>
      <c r="DZ12" s="320" t="str">
        <f t="shared" si="34"/>
        <v/>
      </c>
      <c r="EA12" s="320" t="str">
        <f t="shared" si="34"/>
        <v/>
      </c>
      <c r="EB12" s="320" t="str">
        <f t="shared" si="34"/>
        <v/>
      </c>
      <c r="ED12" s="120"/>
      <c r="EE12" s="269"/>
      <c r="EF12" s="269"/>
      <c r="EG12" s="269"/>
      <c r="EH12" s="269"/>
      <c r="EI12" s="269"/>
      <c r="EJ12" s="269"/>
      <c r="EK12" s="269"/>
      <c r="EL12" s="269"/>
      <c r="EM12" s="269"/>
      <c r="EN12" s="269"/>
      <c r="EO12" s="269"/>
      <c r="EP12" s="269"/>
      <c r="EQ12" s="269"/>
      <c r="ER12" s="269"/>
      <c r="ES12" s="269"/>
      <c r="ET12" s="269"/>
      <c r="EU12" s="269"/>
      <c r="EV12" s="269"/>
      <c r="EX12" s="218">
        <v>6.0</v>
      </c>
      <c r="EY12" s="228">
        <v>0.863</v>
      </c>
      <c r="EZ12" s="228">
        <v>0.837</v>
      </c>
      <c r="FA12" s="228">
        <v>0.811</v>
      </c>
      <c r="FB12" s="228">
        <v>0.786</v>
      </c>
      <c r="FC12" s="228">
        <v>0.762</v>
      </c>
      <c r="FD12" s="228">
        <v>0.739</v>
      </c>
      <c r="FE12" s="228">
        <v>0.707</v>
      </c>
      <c r="FF12" s="228">
        <v>0.68</v>
      </c>
      <c r="FG12" s="228">
        <v>0.653</v>
      </c>
      <c r="FH12" s="228">
        <v>0.626</v>
      </c>
      <c r="FI12" s="228">
        <v>0.599</v>
      </c>
      <c r="FJ12" s="228">
        <v>0.572</v>
      </c>
      <c r="FK12" s="208"/>
      <c r="FL12" s="218">
        <v>6.0</v>
      </c>
      <c r="FM12" s="228">
        <v>0.918</v>
      </c>
      <c r="FN12" s="228">
        <v>0.885</v>
      </c>
      <c r="FO12" s="228">
        <v>0.864</v>
      </c>
      <c r="FP12" s="228">
        <v>0.843</v>
      </c>
      <c r="FQ12" s="228">
        <v>0.823</v>
      </c>
      <c r="FR12" s="228">
        <v>0.803</v>
      </c>
      <c r="FS12" s="228">
        <v>0.784</v>
      </c>
      <c r="FT12" s="228">
        <v>0.765</v>
      </c>
      <c r="FU12" s="228">
        <v>0.747</v>
      </c>
      <c r="FV12" s="228">
        <v>0.729</v>
      </c>
      <c r="FW12" s="228">
        <v>0.711</v>
      </c>
      <c r="FX12" s="228">
        <v>0.694</v>
      </c>
      <c r="FY12" s="228"/>
      <c r="FZ12" s="84" t="str">
        <f t="array" ref="FZ12">IF(NOT($D$37=9),IFERROR(INDIRECT("'Bloque "&amp;$D$38&amp;" Semana "&amp;"9"&amp;"'"&amp;"!"&amp;"E37"),""),"S9")</f>
        <v/>
      </c>
      <c r="GA12" s="229" t="str">
        <f t="shared" si="4"/>
        <v/>
      </c>
      <c r="GB12" s="212" t="str">
        <f t="shared" si="5"/>
        <v/>
      </c>
      <c r="GC12" s="84" t="str">
        <f t="array" ref="GC12">IF(NOT($D$37=9),IFERROR(INDIRECT("'Bloque "&amp;$D$38&amp;" Semana "&amp;"9"&amp;"'"&amp;"!"&amp;"E37"),""),"S9")</f>
        <v/>
      </c>
      <c r="GD12" s="229" t="str">
        <f t="shared" si="6"/>
        <v/>
      </c>
      <c r="GE12" s="212" t="str">
        <f t="shared" si="7"/>
        <v/>
      </c>
      <c r="GF12" s="84" t="str">
        <f t="array" ref="GF12">IF(NOT($D$37=9),IFERROR(INDIRECT("'Bloque "&amp;$D$38&amp;" Semana "&amp;"9"&amp;"'"&amp;"!"&amp;"E37"),""),"S9")</f>
        <v/>
      </c>
      <c r="GG12" s="229" t="str">
        <f t="shared" si="8"/>
        <v/>
      </c>
      <c r="GH12" s="212" t="str">
        <f t="shared" si="9"/>
        <v/>
      </c>
    </row>
    <row r="13" ht="25.5" customHeight="1">
      <c r="B13" s="199"/>
      <c r="E13" s="331" t="s">
        <v>272</v>
      </c>
      <c r="F13" s="332" t="s">
        <v>3</v>
      </c>
      <c r="H13" s="106"/>
      <c r="I13" s="106"/>
      <c r="J13" s="225"/>
      <c r="T13" s="226"/>
      <c r="W13" s="201"/>
      <c r="AE13" s="203"/>
      <c r="AF13" s="204"/>
      <c r="AG13" s="270" t="s">
        <v>273</v>
      </c>
      <c r="AJ13" s="271"/>
      <c r="AK13" s="272"/>
      <c r="AN13" s="273"/>
      <c r="AO13" s="272"/>
      <c r="AR13" s="273"/>
      <c r="AS13" s="272"/>
      <c r="AV13" s="273"/>
      <c r="AW13" s="272"/>
      <c r="AZ13" s="273"/>
      <c r="BA13" s="272"/>
      <c r="BD13" s="273"/>
      <c r="BE13" s="274" t="str">
        <f t="shared" si="17"/>
        <v/>
      </c>
      <c r="BH13" s="275"/>
      <c r="BI13" s="321"/>
      <c r="BL13" s="275"/>
      <c r="BM13" s="277"/>
      <c r="BQ13" s="278"/>
      <c r="BR13" s="279" t="b">
        <v>0</v>
      </c>
      <c r="BS13" s="280" t="str">
        <f t="shared" si="18"/>
        <v/>
      </c>
      <c r="BT13" s="273"/>
      <c r="BU13" s="281" t="b">
        <v>0</v>
      </c>
      <c r="BV13" s="280" t="str">
        <f t="shared" si="19"/>
        <v/>
      </c>
      <c r="BW13" s="282" t="str">
        <f t="shared" si="20"/>
        <v/>
      </c>
      <c r="BZ13" s="333" t="s">
        <v>274</v>
      </c>
      <c r="CA13" s="210"/>
      <c r="CB13" s="210"/>
      <c r="CC13" s="334"/>
      <c r="CD13" s="334"/>
      <c r="CE13" s="334"/>
      <c r="CF13" s="335"/>
      <c r="CG13" s="245"/>
      <c r="CH13" s="289" t="str">
        <f t="array" ref="CH13">IF(NOT($D$37=5),IFERROR(INDIRECT("'Bloque "&amp;$D$38&amp;" Semana "&amp;"5"&amp;"'"&amp;"!"&amp;"E37"),""),"S5")</f>
        <v/>
      </c>
      <c r="CI13" s="316" t="str">
        <f t="shared" si="21"/>
        <v/>
      </c>
      <c r="CJ13" s="224" t="str">
        <f t="shared" si="22"/>
        <v/>
      </c>
      <c r="CK13" s="85" t="str">
        <f t="shared" si="23"/>
        <v/>
      </c>
      <c r="CL13" s="85" t="str">
        <f t="shared" si="30"/>
        <v/>
      </c>
      <c r="CM13" s="168" t="str">
        <f t="shared" si="24"/>
        <v/>
      </c>
      <c r="CN13" s="327" t="str">
        <f t="shared" si="31"/>
        <v/>
      </c>
      <c r="CO13" s="168" t="str">
        <f t="shared" si="25"/>
        <v/>
      </c>
      <c r="CP13" s="168" t="str">
        <f t="shared" si="26"/>
        <v/>
      </c>
      <c r="CQ13" s="294" t="str">
        <f t="shared" si="27"/>
        <v/>
      </c>
      <c r="CR13" s="328" t="str">
        <f t="shared" si="32"/>
        <v/>
      </c>
      <c r="CS13" s="212"/>
      <c r="CT13" s="319"/>
      <c r="ED13" s="120"/>
      <c r="EE13" s="269"/>
      <c r="EF13" s="269"/>
      <c r="EG13" s="269"/>
      <c r="EH13" s="269"/>
      <c r="EI13" s="269"/>
      <c r="EJ13" s="269"/>
      <c r="EK13" s="269"/>
      <c r="EL13" s="269"/>
      <c r="EM13" s="269"/>
      <c r="EN13" s="269"/>
      <c r="EO13" s="269"/>
      <c r="EP13" s="269"/>
      <c r="EQ13" s="269"/>
      <c r="ER13" s="269"/>
      <c r="ES13" s="269"/>
      <c r="ET13" s="269"/>
      <c r="EU13" s="269"/>
      <c r="EV13" s="269"/>
      <c r="EX13" s="218">
        <v>5.5</v>
      </c>
      <c r="EY13" s="228">
        <v>0.85</v>
      </c>
      <c r="EZ13" s="228">
        <v>0.824</v>
      </c>
      <c r="FA13" s="228">
        <v>0.799</v>
      </c>
      <c r="FB13" s="228">
        <v>0.774</v>
      </c>
      <c r="FC13" s="228">
        <v>0.751</v>
      </c>
      <c r="FD13" s="228">
        <v>0.723</v>
      </c>
      <c r="FE13" s="228">
        <v>0.694</v>
      </c>
      <c r="FF13" s="228">
        <v>0.667</v>
      </c>
      <c r="FG13" s="228">
        <v>0.64</v>
      </c>
      <c r="FH13" s="228">
        <v>0.613</v>
      </c>
      <c r="FI13" s="228">
        <v>0.586</v>
      </c>
      <c r="FJ13" s="228">
        <v>0.558</v>
      </c>
      <c r="FK13" s="208"/>
      <c r="FL13" s="218">
        <v>5.5</v>
      </c>
      <c r="FM13" s="228">
        <v>0.908</v>
      </c>
      <c r="FN13" s="228">
        <v>0.876</v>
      </c>
      <c r="FO13" s="228">
        <v>0.855</v>
      </c>
      <c r="FP13" s="228">
        <v>0.834</v>
      </c>
      <c r="FQ13" s="228">
        <v>0.814</v>
      </c>
      <c r="FR13" s="228">
        <v>0.795</v>
      </c>
      <c r="FS13" s="228">
        <v>0.775</v>
      </c>
      <c r="FT13" s="228">
        <v>0.757</v>
      </c>
      <c r="FU13" s="228">
        <v>0.739</v>
      </c>
      <c r="FV13" s="228">
        <v>0.721</v>
      </c>
      <c r="FW13" s="228">
        <v>0.703</v>
      </c>
      <c r="FX13" s="228">
        <v>0.686</v>
      </c>
      <c r="FY13" s="228"/>
      <c r="FZ13" s="84" t="str">
        <f t="array" ref="FZ13">IF(NOT($D$37=10),IFERROR(INDIRECT("'Bloque "&amp;$D$38&amp;" Semana "&amp;"10"&amp;"'"&amp;"!"&amp;"E37"),""),"S10")</f>
        <v/>
      </c>
      <c r="GA13" s="229" t="str">
        <f t="shared" si="4"/>
        <v/>
      </c>
      <c r="GB13" s="212" t="str">
        <f t="shared" si="5"/>
        <v/>
      </c>
      <c r="GC13" s="84" t="str">
        <f t="array" ref="GC13">IF(NOT($D$37=10),IFERROR(INDIRECT("'Bloque "&amp;$D$38&amp;" Semana "&amp;"10"&amp;"'"&amp;"!"&amp;"E37"),""),"S10")</f>
        <v/>
      </c>
      <c r="GD13" s="229" t="str">
        <f t="shared" si="6"/>
        <v/>
      </c>
      <c r="GE13" s="212" t="str">
        <f t="shared" si="7"/>
        <v/>
      </c>
      <c r="GF13" s="84" t="str">
        <f t="array" ref="GF13">IF(NOT($D$37=10),IFERROR(INDIRECT("'Bloque "&amp;$D$38&amp;" Semana "&amp;"10"&amp;"'"&amp;"!"&amp;"E37"),""),"S10")</f>
        <v/>
      </c>
      <c r="GG13" s="229" t="str">
        <f t="shared" si="8"/>
        <v/>
      </c>
      <c r="GH13" s="212" t="str">
        <f t="shared" si="9"/>
        <v/>
      </c>
    </row>
    <row r="14" ht="27.75" customHeight="1">
      <c r="B14" s="199"/>
      <c r="E14" s="336" t="s">
        <v>21</v>
      </c>
      <c r="F14" s="337">
        <v>180.0</v>
      </c>
      <c r="H14" s="106"/>
      <c r="I14" s="106"/>
      <c r="J14" s="225"/>
      <c r="T14" s="226"/>
      <c r="W14" s="338"/>
      <c r="AE14" s="203"/>
      <c r="AF14" s="204"/>
      <c r="AG14" s="298" t="s">
        <v>275</v>
      </c>
      <c r="AJ14" s="299"/>
      <c r="AK14" s="300" t="s">
        <v>446</v>
      </c>
      <c r="AN14" s="301"/>
      <c r="AO14" s="300"/>
      <c r="AR14" s="301"/>
      <c r="AS14" s="300"/>
      <c r="AV14" s="301"/>
      <c r="AW14" s="300"/>
      <c r="AZ14" s="301"/>
      <c r="BA14" s="300"/>
      <c r="BD14" s="301"/>
      <c r="BE14" s="302">
        <f t="shared" si="17"/>
        <v>10</v>
      </c>
      <c r="BH14" s="303"/>
      <c r="BI14" s="304"/>
      <c r="BL14" s="303"/>
      <c r="BM14" s="305"/>
      <c r="BQ14" s="306"/>
      <c r="BR14" s="307" t="b">
        <v>0</v>
      </c>
      <c r="BS14" s="308" t="str">
        <f t="shared" si="18"/>
        <v/>
      </c>
      <c r="BT14" s="301"/>
      <c r="BU14" s="309" t="b">
        <v>0</v>
      </c>
      <c r="BV14" s="308" t="str">
        <f t="shared" si="19"/>
        <v/>
      </c>
      <c r="BW14" s="310" t="str">
        <f t="shared" si="20"/>
        <v/>
      </c>
      <c r="BZ14" s="261" t="s">
        <v>246</v>
      </c>
      <c r="CA14" s="83" t="s">
        <v>247</v>
      </c>
      <c r="CB14" s="83" t="s">
        <v>248</v>
      </c>
      <c r="CC14" s="83" t="s">
        <v>224</v>
      </c>
      <c r="CD14" s="83" t="s">
        <v>249</v>
      </c>
      <c r="CE14" s="83" t="s">
        <v>276</v>
      </c>
      <c r="CF14" s="339" t="s">
        <v>251</v>
      </c>
      <c r="CH14" s="289" t="str">
        <f t="array" ref="CH14">IF(NOT($D$37=6),IFERROR(INDIRECT("'Bloque "&amp;$D$38&amp;" Semana "&amp;"6"&amp;"'"&amp;"!"&amp;"E37"),""),"S6")</f>
        <v/>
      </c>
      <c r="CI14" s="316" t="str">
        <f t="shared" si="21"/>
        <v/>
      </c>
      <c r="CJ14" s="224" t="str">
        <f t="shared" si="22"/>
        <v/>
      </c>
      <c r="CK14" s="85" t="str">
        <f t="shared" si="23"/>
        <v/>
      </c>
      <c r="CL14" s="85" t="str">
        <f t="shared" si="30"/>
        <v/>
      </c>
      <c r="CM14" s="168" t="str">
        <f t="shared" si="24"/>
        <v/>
      </c>
      <c r="CN14" s="327" t="str">
        <f t="shared" si="31"/>
        <v/>
      </c>
      <c r="CO14" s="168" t="str">
        <f t="shared" si="25"/>
        <v/>
      </c>
      <c r="CP14" s="168" t="str">
        <f t="shared" si="26"/>
        <v/>
      </c>
      <c r="CQ14" s="294" t="str">
        <f t="shared" si="27"/>
        <v/>
      </c>
      <c r="CR14" s="328" t="str">
        <f t="shared" si="32"/>
        <v/>
      </c>
      <c r="CS14" s="212"/>
      <c r="CT14" s="319"/>
      <c r="DJ14" s="107" t="s">
        <v>111</v>
      </c>
      <c r="DK14" s="108"/>
      <c r="DL14" s="108"/>
      <c r="DM14" s="108"/>
      <c r="DN14" s="108"/>
      <c r="DO14" s="108"/>
      <c r="DP14" s="108"/>
      <c r="DQ14" s="108"/>
      <c r="DR14" s="108"/>
      <c r="DS14" s="108"/>
      <c r="DT14" s="108"/>
      <c r="DU14" s="108"/>
      <c r="DV14" s="108"/>
      <c r="DW14" s="108"/>
      <c r="DX14" s="108"/>
      <c r="DY14" s="108"/>
      <c r="DZ14" s="108"/>
      <c r="EA14" s="108"/>
      <c r="EB14" s="108"/>
      <c r="ED14" s="120"/>
      <c r="EE14" s="269"/>
      <c r="EF14" s="269"/>
      <c r="EG14" s="269"/>
      <c r="EH14" s="269"/>
      <c r="EI14" s="269"/>
      <c r="EJ14" s="269"/>
      <c r="EK14" s="269"/>
      <c r="EL14" s="269"/>
      <c r="EM14" s="269"/>
      <c r="EN14" s="269"/>
      <c r="EO14" s="269"/>
      <c r="EP14" s="269"/>
      <c r="EQ14" s="269"/>
      <c r="ER14" s="269"/>
      <c r="ES14" s="269"/>
      <c r="ET14" s="269"/>
      <c r="EU14" s="269"/>
      <c r="EV14" s="269"/>
      <c r="EX14" s="218">
        <v>5.0</v>
      </c>
      <c r="EY14" s="228">
        <v>0.837</v>
      </c>
      <c r="EZ14" s="228">
        <v>0.511</v>
      </c>
      <c r="FA14" s="228">
        <v>0.786</v>
      </c>
      <c r="FB14" s="228">
        <v>0.762</v>
      </c>
      <c r="FC14" s="228">
        <v>0.739</v>
      </c>
      <c r="FD14" s="228">
        <v>0.707</v>
      </c>
      <c r="FE14" s="228">
        <v>0.68</v>
      </c>
      <c r="FF14" s="228">
        <v>0.653</v>
      </c>
      <c r="FG14" s="228">
        <v>0.626</v>
      </c>
      <c r="FH14" s="228">
        <v>0.599</v>
      </c>
      <c r="FI14" s="228">
        <v>0.572</v>
      </c>
      <c r="FJ14" s="228">
        <v>0.544</v>
      </c>
      <c r="FK14" s="208"/>
      <c r="FL14" s="218">
        <v>5.0</v>
      </c>
      <c r="FM14" s="228">
        <v>0.898</v>
      </c>
      <c r="FN14" s="228">
        <v>0.867</v>
      </c>
      <c r="FO14" s="228">
        <v>0.846</v>
      </c>
      <c r="FP14" s="228">
        <v>0.825</v>
      </c>
      <c r="FQ14" s="228">
        <v>0.805</v>
      </c>
      <c r="FR14" s="228">
        <v>0.786</v>
      </c>
      <c r="FS14" s="228">
        <v>0.767</v>
      </c>
      <c r="FT14" s="228">
        <v>0.749</v>
      </c>
      <c r="FU14" s="228">
        <v>0.731</v>
      </c>
      <c r="FV14" s="228">
        <v>0.713</v>
      </c>
      <c r="FW14" s="228">
        <v>0.696</v>
      </c>
      <c r="FX14" s="228">
        <v>0.679</v>
      </c>
      <c r="FY14" s="228"/>
      <c r="FZ14" s="84" t="str">
        <f t="array" ref="FZ14">IF(NOT($D$37=11),IFERROR(INDIRECT("'Bloque "&amp;$D$38&amp;" Semana "&amp;"11"&amp;"'"&amp;"!"&amp;"E37"),""),"S11")</f>
        <v/>
      </c>
      <c r="GA14" s="229" t="str">
        <f t="shared" si="4"/>
        <v/>
      </c>
      <c r="GB14" s="212" t="str">
        <f t="shared" si="5"/>
        <v/>
      </c>
      <c r="GC14" s="84" t="str">
        <f t="array" ref="GC14">IF(NOT($D$37=11),IFERROR(INDIRECT("'Bloque "&amp;$D$38&amp;" Semana "&amp;"11"&amp;"'"&amp;"!"&amp;"E37"),""),"S11")</f>
        <v/>
      </c>
      <c r="GD14" s="229" t="str">
        <f t="shared" si="6"/>
        <v/>
      </c>
      <c r="GE14" s="212" t="str">
        <f t="shared" si="7"/>
        <v/>
      </c>
      <c r="GF14" s="84" t="str">
        <f t="array" ref="GF14">IF(NOT($D$37=11),IFERROR(INDIRECT("'Bloque "&amp;$D$38&amp;" Semana "&amp;"11"&amp;"'"&amp;"!"&amp;"E37"),""),"S11")</f>
        <v/>
      </c>
      <c r="GG14" s="229" t="str">
        <f t="shared" si="8"/>
        <v/>
      </c>
      <c r="GH14" s="212" t="str">
        <f t="shared" si="9"/>
        <v/>
      </c>
    </row>
    <row r="15" ht="32.25" customHeight="1">
      <c r="B15" s="199"/>
      <c r="E15" s="336" t="s">
        <v>36</v>
      </c>
      <c r="F15" s="337">
        <v>115.0</v>
      </c>
      <c r="H15" s="106"/>
      <c r="I15" s="106"/>
      <c r="J15" s="225"/>
      <c r="T15" s="226"/>
      <c r="W15" s="201"/>
      <c r="AE15" s="203"/>
      <c r="AF15" s="204"/>
      <c r="AG15" s="270" t="s">
        <v>277</v>
      </c>
      <c r="AJ15" s="271"/>
      <c r="AK15" s="272" t="s">
        <v>447</v>
      </c>
      <c r="AN15" s="273"/>
      <c r="AO15" s="272"/>
      <c r="AR15" s="273"/>
      <c r="AS15" s="272"/>
      <c r="AV15" s="273"/>
      <c r="AW15" s="272"/>
      <c r="AZ15" s="273"/>
      <c r="BA15" s="272"/>
      <c r="BD15" s="273"/>
      <c r="BE15" s="274">
        <f t="shared" si="17"/>
        <v>5.714285714</v>
      </c>
      <c r="BH15" s="275"/>
      <c r="BI15" s="321"/>
      <c r="BL15" s="275"/>
      <c r="BM15" s="277"/>
      <c r="BQ15" s="278"/>
      <c r="BR15" s="340" t="b">
        <v>0</v>
      </c>
      <c r="BS15" s="341" t="str">
        <f t="shared" si="18"/>
        <v/>
      </c>
      <c r="BT15" s="342"/>
      <c r="BU15" s="343" t="b">
        <v>0</v>
      </c>
      <c r="BV15" s="341" t="str">
        <f t="shared" si="19"/>
        <v/>
      </c>
      <c r="BW15" s="344" t="str">
        <f t="shared" si="20"/>
        <v/>
      </c>
      <c r="BZ15" s="345" t="s">
        <v>21</v>
      </c>
      <c r="CA15" s="284">
        <f>SUMIF(D40:D186,"SQ*",AD40:AD186)</f>
        <v>4</v>
      </c>
      <c r="CB15" s="284">
        <f>SUMIF(D40:D186,"SQ*",CC40:CC186)</f>
        <v>21</v>
      </c>
      <c r="CC15" s="285">
        <f>SUMIF(D40:D186,"SQ*",CE40:CE186)</f>
        <v>2610</v>
      </c>
      <c r="CD15" s="286">
        <f>IFERROR( AVERAGEIF(D40:D186,"SQ*",CA40:CA186),"")</f>
        <v>0.4027777778</v>
      </c>
      <c r="CE15" s="287">
        <f>IFERROR( IFS($CE$14="e1RM Bryzcki",MAXIFS(CH40:CH186,D40:D186,"SQ*"),$CE$14="e1RM Steve Denovi F1",MAXIFS(CL40:CL186,D40:D186,"SQ*"),$CE$14="e1RM Steve Denovi F2",MAXIFS(CM40:CM186,D40:D186,"SQ*")),"")</f>
        <v>173.0310263</v>
      </c>
      <c r="CF15" s="346">
        <f>IFERROR( AVERAGEIF($D$40:$D186,"SQ*",$CK$40:$CK186),"")</f>
        <v>4</v>
      </c>
      <c r="CH15" s="289" t="str">
        <f t="array" ref="CH15">IF(NOT($D$37=7),IFERROR(INDIRECT("'Bloque "&amp;$D$38&amp;" Semana "&amp;"7"&amp;"'"&amp;"!"&amp;"E37"),""),"S7")</f>
        <v/>
      </c>
      <c r="CI15" s="316" t="str">
        <f t="shared" si="21"/>
        <v/>
      </c>
      <c r="CJ15" s="224" t="str">
        <f t="shared" si="22"/>
        <v/>
      </c>
      <c r="CK15" s="85" t="str">
        <f t="shared" si="23"/>
        <v/>
      </c>
      <c r="CL15" s="85" t="str">
        <f t="shared" si="30"/>
        <v/>
      </c>
      <c r="CM15" s="168" t="str">
        <f t="shared" si="24"/>
        <v/>
      </c>
      <c r="CN15" s="327" t="str">
        <f t="shared" si="31"/>
        <v/>
      </c>
      <c r="CO15" s="168" t="str">
        <f t="shared" si="25"/>
        <v/>
      </c>
      <c r="CP15" s="168" t="str">
        <f t="shared" si="26"/>
        <v/>
      </c>
      <c r="CQ15" s="294" t="str">
        <f t="shared" si="27"/>
        <v/>
      </c>
      <c r="CR15" s="328" t="str">
        <f t="shared" si="32"/>
        <v/>
      </c>
      <c r="CS15" s="212"/>
      <c r="CT15" s="319"/>
      <c r="DJ15" s="83"/>
      <c r="DK15" s="227" t="str">
        <f t="array" ref="DK15">IF(NOT($D$37=1),IFERROR(INDIRECT("'Bloque "&amp;$D$38&amp;" Semana "&amp;"1"&amp;"'"&amp;"!"&amp;"E37"),""),"S1")</f>
        <v/>
      </c>
      <c r="DL15" s="227" t="str">
        <f t="array" ref="DL15">IF(NOT($D$37=2),IFERROR(INDIRECT("'Bloque "&amp;$D$38&amp;" Semana "&amp;"2"&amp;"'"&amp;"!"&amp;"E37"),""),"S2")</f>
        <v/>
      </c>
      <c r="DM15" s="227" t="str">
        <f t="array" ref="DM15">IF(NOT($D$37=3),IFERROR(INDIRECT("'Bloque "&amp;$D$38&amp;" Semana "&amp;"3"&amp;"'"&amp;"!"&amp;"E37"),""),"S3")</f>
        <v>S3</v>
      </c>
      <c r="DN15" s="227" t="str">
        <f t="array" ref="DN15">IF(NOT($D$37=4),IFERROR(INDIRECT("'Bloque "&amp;$D$38&amp;" Semana "&amp;"4"&amp;"'"&amp;"!"&amp;"E37"),""),"S4")</f>
        <v/>
      </c>
      <c r="DO15" s="227" t="str">
        <f t="array" ref="DO15">IF(NOT($D$37=5),IFERROR(INDIRECT("'Bloque "&amp;$D$38&amp;" Semana "&amp;"5"&amp;"'"&amp;"!"&amp;"E37"),""),"S5")</f>
        <v/>
      </c>
      <c r="DP15" s="227" t="str">
        <f t="array" ref="DP15">IF(NOT($D$37=6),IFERROR(INDIRECT("'Bloque "&amp;$D$38&amp;" Semana "&amp;"6"&amp;"'"&amp;"!"&amp;"E37"),""),"S6")</f>
        <v/>
      </c>
      <c r="DQ15" s="227" t="str">
        <f t="array" ref="DQ15">IF(NOT($D$37=7),IFERROR(INDIRECT("'Bloque "&amp;$D$38&amp;" Semana "&amp;"7"&amp;"'"&amp;"!"&amp;"E37"),""),"S7")</f>
        <v/>
      </c>
      <c r="DR15" s="227" t="str">
        <f t="array" ref="DR15">IF(NOT($D$37=8),IFERROR(INDIRECT("'Bloque "&amp;$D$38&amp;" Semana "&amp;"8"&amp;"'"&amp;"!"&amp;"E37"),""),"S8")</f>
        <v/>
      </c>
      <c r="DS15" s="227" t="str">
        <f t="array" ref="DS15">IF(NOT($D$37=9),IFERROR(INDIRECT("'Bloque "&amp;$D$38&amp;" Semana "&amp;"9"&amp;"'"&amp;"!"&amp;"E37"),""),"S9")</f>
        <v/>
      </c>
      <c r="DT15" s="227" t="str">
        <f t="array" ref="DT15">IF(NOT($D$37=10),IFERROR(INDIRECT("'Bloque "&amp;$D$38&amp;" Semana "&amp;"10"&amp;"'"&amp;"!"&amp;"E37"),""),"S10")</f>
        <v/>
      </c>
      <c r="DU15" s="227" t="str">
        <f t="array" ref="DU15">IF(NOT($D$37=11),IFERROR(INDIRECT("'Bloque "&amp;$D$38&amp;" Semana "&amp;"11"&amp;"'"&amp;"!"&amp;"E37"),""),"S11")</f>
        <v/>
      </c>
      <c r="DV15" s="227" t="str">
        <f t="array" ref="DV15">IF(NOT($D$37=12),IFERROR(INDIRECT("'Bloque "&amp;$D$38&amp;" Semana "&amp;"12"&amp;"'"&amp;"!"&amp;"E37"),""),"S12")</f>
        <v/>
      </c>
      <c r="DW15" s="227" t="str">
        <f t="array" ref="DW15">IF(NOT($D$37=13),IFERROR(INDIRECT("'Bloque "&amp;$D$38&amp;" Semana "&amp;"13"&amp;"'"&amp;"!"&amp;"E37"),""),"S13")</f>
        <v/>
      </c>
      <c r="DX15" s="227" t="str">
        <f t="array" ref="DX15">IF(NOT($D$37=14),IFERROR(INDIRECT("'Bloque "&amp;$D$38&amp;" Semana "&amp;"14"&amp;"'"&amp;"!"&amp;"E37"),""),"S14")</f>
        <v/>
      </c>
      <c r="DY15" s="227" t="str">
        <f t="array" ref="DY15">IF(NOT($D$37=15),IFERROR(INDIRECT("'Bloque "&amp;$D$38&amp;" Semana "&amp;"15"&amp;"'"&amp;"!"&amp;"E37"),""),"S15")</f>
        <v/>
      </c>
      <c r="DZ15" s="227" t="str">
        <f t="array" ref="DZ15">IF(NOT($D$37=16),IFERROR(INDIRECT("'Bloque "&amp;$D$38&amp;" Semana "&amp;"16"&amp;"'"&amp;"!"&amp;"E37"),""),"S16")</f>
        <v/>
      </c>
      <c r="EA15" s="227" t="str">
        <f t="array" ref="EA15">IF(NOT($D$37=17),IFERROR(INDIRECT("'Bloque "&amp;$D$38&amp;" Semana "&amp;"17"&amp;"'"&amp;"!"&amp;"E37"),""),"S17")</f>
        <v/>
      </c>
      <c r="EB15" s="227" t="str">
        <f t="array" ref="EB15">IF(NOT($D$37=18),IFERROR(INDIRECT("'Bloque "&amp;$D$38&amp;" Semana "&amp;"18"&amp;"'"&amp;"!"&amp;"E37"),""),"S18")</f>
        <v/>
      </c>
      <c r="ED15" s="120"/>
      <c r="EE15" s="269"/>
      <c r="EF15" s="269"/>
      <c r="EG15" s="269"/>
      <c r="EH15" s="269"/>
      <c r="EI15" s="269"/>
      <c r="EJ15" s="269"/>
      <c r="EK15" s="269"/>
      <c r="EL15" s="269"/>
      <c r="EM15" s="269"/>
      <c r="EN15" s="269"/>
      <c r="EO15" s="269"/>
      <c r="EP15" s="269"/>
      <c r="EQ15" s="269"/>
      <c r="ER15" s="269"/>
      <c r="ES15" s="269"/>
      <c r="ET15" s="269"/>
      <c r="EU15" s="269"/>
      <c r="EV15" s="269"/>
      <c r="EX15" s="218">
        <v>4.5</v>
      </c>
      <c r="EY15" s="228">
        <v>0.824</v>
      </c>
      <c r="EZ15" s="228">
        <v>0.799</v>
      </c>
      <c r="FA15" s="228">
        <v>0.774</v>
      </c>
      <c r="FB15" s="228">
        <v>0.751</v>
      </c>
      <c r="FC15" s="228">
        <v>0.723</v>
      </c>
      <c r="FD15" s="228">
        <v>0.694</v>
      </c>
      <c r="FE15" s="228">
        <v>0.667</v>
      </c>
      <c r="FF15" s="228">
        <v>0.64</v>
      </c>
      <c r="FG15" s="228">
        <v>0.613</v>
      </c>
      <c r="FH15" s="228">
        <v>0.586</v>
      </c>
      <c r="FI15" s="228">
        <v>0.558</v>
      </c>
      <c r="FJ15" s="228">
        <v>0.53</v>
      </c>
      <c r="FK15" s="208"/>
      <c r="FL15" s="218">
        <v>4.5</v>
      </c>
      <c r="FM15" s="228">
        <v>0.888</v>
      </c>
      <c r="FN15" s="228">
        <v>0.857</v>
      </c>
      <c r="FO15" s="228">
        <v>0.837</v>
      </c>
      <c r="FP15" s="228">
        <v>0.816</v>
      </c>
      <c r="FQ15" s="228">
        <v>0.797</v>
      </c>
      <c r="FR15" s="228">
        <v>0.778</v>
      </c>
      <c r="FS15" s="228">
        <v>0.759</v>
      </c>
      <c r="FT15" s="228">
        <v>0.741</v>
      </c>
      <c r="FU15" s="228">
        <v>0.723</v>
      </c>
      <c r="FV15" s="228">
        <v>0.705</v>
      </c>
      <c r="FW15" s="228">
        <v>0.688</v>
      </c>
      <c r="FX15" s="228">
        <v>0.672</v>
      </c>
      <c r="FY15" s="228"/>
      <c r="FZ15" s="84" t="str">
        <f t="array" ref="FZ15">IF(NOT($D$37=12),IFERROR(INDIRECT("'Bloque "&amp;$D$38&amp;" Semana "&amp;"12"&amp;"'"&amp;"!"&amp;"E37"),""),"S12")</f>
        <v/>
      </c>
      <c r="GA15" s="229" t="str">
        <f t="shared" si="4"/>
        <v/>
      </c>
      <c r="GB15" s="212" t="str">
        <f t="shared" si="5"/>
        <v/>
      </c>
      <c r="GC15" s="84" t="str">
        <f t="array" ref="GC15">IF(NOT($D$37=12),IFERROR(INDIRECT("'Bloque "&amp;$D$38&amp;" Semana "&amp;"12"&amp;"'"&amp;"!"&amp;"E37"),""),"S12")</f>
        <v/>
      </c>
      <c r="GD15" s="229" t="str">
        <f t="shared" si="6"/>
        <v/>
      </c>
      <c r="GE15" s="212" t="str">
        <f t="shared" si="7"/>
        <v/>
      </c>
      <c r="GF15" s="84" t="str">
        <f t="array" ref="GF15">IF(NOT($D$37=12),IFERROR(INDIRECT("'Bloque "&amp;$D$38&amp;" Semana "&amp;"12"&amp;"'"&amp;"!"&amp;"E37"),""),"S12")</f>
        <v/>
      </c>
      <c r="GG15" s="229" t="str">
        <f t="shared" si="8"/>
        <v/>
      </c>
      <c r="GH15" s="212" t="str">
        <f t="shared" si="9"/>
        <v/>
      </c>
    </row>
    <row r="16" ht="37.5" customHeight="1">
      <c r="B16" s="199"/>
      <c r="E16" s="336" t="s">
        <v>42</v>
      </c>
      <c r="F16" s="337">
        <v>240.0</v>
      </c>
      <c r="H16" s="106"/>
      <c r="I16" s="106"/>
      <c r="J16" s="347"/>
      <c r="K16" s="348"/>
      <c r="L16" s="348"/>
      <c r="M16" s="348"/>
      <c r="N16" s="348"/>
      <c r="O16" s="348"/>
      <c r="P16" s="348"/>
      <c r="Q16" s="348"/>
      <c r="R16" s="348"/>
      <c r="S16" s="348"/>
      <c r="T16" s="349"/>
      <c r="W16" s="201"/>
      <c r="X16" s="350" t="s">
        <v>278</v>
      </c>
      <c r="Y16" s="210"/>
      <c r="Z16" s="210"/>
      <c r="AA16" s="210"/>
      <c r="AB16" s="210"/>
      <c r="AC16" s="210"/>
      <c r="AD16" s="351"/>
      <c r="AE16" s="203"/>
      <c r="AF16" s="204"/>
      <c r="AG16" s="352" t="s">
        <v>279</v>
      </c>
      <c r="AJ16" s="353"/>
      <c r="AK16" s="354">
        <f>IFERROR( IFERROR(IF(NOT(ISBLANK(AK9)),MID(AK9,1,2),"")+IF(NOT(ISBLANK(AK10)),MID(AK10,1,2),"")+IF(NOT(ISBLANK(AK11)),MID(AK11,1,2),"")+IF(NOT(ISBLANK(AK12)),MID(AK12,1,2),"")+IF(NOT(ISBLANK(AK13)),MID(AK13,1,2),"")+IF(NOT(ISBLANK(AK14)),MID(AK14,1,2),"")+IF(NOT(ISBLANK(AK15)),MID(AK15,1,2),""),"")/COUNTA(AK9:AK15),"")</f>
        <v>5.666666667</v>
      </c>
      <c r="AM16" s="355" t="s">
        <v>280</v>
      </c>
      <c r="AN16" s="355"/>
      <c r="AO16" s="354" t="str">
        <f>IFERROR( IFERROR(IF(NOT(ISBLANK(AO9)),MID(AO9,1,2),"")+IF(NOT(ISBLANK(AO10)),MID(AO10,1,2),"")+IF(NOT(ISBLANK(AO11)),MID(AO11,1,2),"")+IF(NOT(ISBLANK(AO12)),MID(AO12,1,2),"")+IF(NOT(ISBLANK(AO13)),MID(AO13,1,2),"")+IF(NOT(ISBLANK(AO14)),MID(AO14,1,2),"")+IF(NOT(ISBLANK(AO15)),MID(AO15,1,2),""),"")/COUNTA(AO9:AO15),"")</f>
        <v/>
      </c>
      <c r="AQ16" s="355" t="s">
        <v>280</v>
      </c>
      <c r="AR16" s="355"/>
      <c r="AS16" s="354" t="str">
        <f>IFERROR( IFERROR(IF(NOT(ISBLANK(AS9)),MID(AS9,1,2),"")+IF(NOT(ISBLANK(AS10)),MID(AS10,1,2),"")+IF(NOT(ISBLANK(AS11)),MID(AS11,1,2),"")+IF(NOT(ISBLANK(AS12)),MID(AS12,1,2),"")+IF(NOT(ISBLANK(AS13)),MID(AS13,1,2),"")+IF(NOT(ISBLANK(AS14)),MID(AS14,1,2),"")+IF(NOT(ISBLANK(AS15)),MID(AS15,1,2),""),"")/COUNTA(AS9:AS15),"")</f>
        <v/>
      </c>
      <c r="AU16" s="355" t="s">
        <v>280</v>
      </c>
      <c r="AV16" s="355"/>
      <c r="AW16" s="354" t="str">
        <f>IFERROR( IFERROR(IF(NOT(ISBLANK(AW9)),MID(AW9,1,2),"")+IF(NOT(ISBLANK(AW10)),MID(AW10,1,2),"")+IF(NOT(ISBLANK(AW11)),MID(AW11,1,2),"")+IF(NOT(ISBLANK(AW12)),MID(AW12,1,2),"")+IF(NOT(ISBLANK(AW13)),MID(AW13,1,2),"")+IF(NOT(ISBLANK(AW14)),MID(AW14,1,2),"")+IF(NOT(ISBLANK(AW15)),MID(AW15,1,2),""),"")/COUNTA(AW9:AW15),"")</f>
        <v/>
      </c>
      <c r="AY16" s="355" t="s">
        <v>280</v>
      </c>
      <c r="AZ16" s="355"/>
      <c r="BA16" s="354" t="str">
        <f>IFERROR( IFERROR(IF(NOT(ISBLANK(BA9)),MID(BA9,1,2),"")+IF(NOT(ISBLANK(BA10)),MID(BA10,1,2),"")+IF(NOT(ISBLANK(BA11)),MID(BA11,1,2),"")+IF(NOT(ISBLANK(BA12)),MID(BA12,1,2),"")+IF(NOT(ISBLANK(BA13)),MID(BA13,1,2),"")+IF(NOT(ISBLANK(BA14)),MID(BA14,1,2),"")+IF(NOT(ISBLANK(BA15)),MID(BA15,1,2),""),"")/COUNTA(BA9:BA15),"")</f>
        <v/>
      </c>
      <c r="BC16" s="355" t="s">
        <v>280</v>
      </c>
      <c r="BD16" s="355"/>
      <c r="BE16" s="128"/>
      <c r="BG16" s="356"/>
      <c r="BH16" s="356"/>
      <c r="BI16" s="357" t="str">
        <f>IFERROR( IFERROR(IF(NOT(ISBLANK(BI9)),MID(BI9,1,2),"")+IF(NOT(ISBLANK(BI10)),MID(BI10,1,2),"")+IF(NOT(ISBLANK(BI11)),MID(BI11,1,2),"")+IF(NOT(ISBLANK(BI12)),MID(BI12,1,2),"")+IF(NOT(ISBLANK(BI13)),MID(BI13,1,2),"")+IF(NOT(ISBLANK(BI14)),MID(BI14,1,2),"")+IF(NOT(ISBLANK(BI15)),MID(BI15,1,2),""),"")/COUNTA(BI9:BK15),"")</f>
        <v/>
      </c>
      <c r="BJ16" s="215"/>
      <c r="BK16" s="358" t="s">
        <v>281</v>
      </c>
      <c r="BL16" s="355"/>
      <c r="BM16" s="359" t="str">
        <f>IFERROR( IFERROR(IF(NOT(ISBLANK(BM9)),MID(BM9,1,2),"")+IF(NOT(ISBLANK(BM10)),MID(BM10,1,2),"")+IF(NOT(ISBLANK(BM11)),MID(BM11,1,2),"")+IF(NOT(ISBLANK(BM12)),MID(BM12,1,2),"")+IF(NOT(ISBLANK(BM13)),MID(BM13,1,2),"")+IF(NOT(ISBLANK(BM14)),MID(BM14,1,2),"")+IF(NOT(ISBLANK(BM15)),MID(BM15,1,2),""),"")/COUNTA(BM9:BQ15),"")</f>
        <v/>
      </c>
      <c r="BP16" s="359"/>
      <c r="BQ16" s="358" t="s">
        <v>281</v>
      </c>
      <c r="BR16" s="128"/>
      <c r="BS16" s="128"/>
      <c r="BT16" s="128"/>
      <c r="BU16" s="128"/>
      <c r="BV16" s="360" t="s">
        <v>282</v>
      </c>
      <c r="BW16" s="361" t="str">
        <f>IFERROR( AVERAGE(BW9:BW15),"")</f>
        <v/>
      </c>
      <c r="BZ16" s="362" t="s">
        <v>36</v>
      </c>
      <c r="CA16" s="311">
        <f>SUMIF(D40:D186,"BP*",AD40:AD186)</f>
        <v>7</v>
      </c>
      <c r="CB16" s="311">
        <f>SUMIF(D40:D186,"BP*",CC40:CC186)</f>
        <v>34</v>
      </c>
      <c r="CC16" s="312" t="str">
        <f>SUMIF(D40:D186,"BP*",CE40:CE186)</f>
        <v>#VALUE!</v>
      </c>
      <c r="CD16" s="313">
        <f>IFERROR( AVERAGEIF(D40:D186,"BP*",CA40:CA186),"")</f>
        <v>0.2608695652</v>
      </c>
      <c r="CE16" s="363">
        <f>IFERROR( IFS($CE$14="e1RM Bryzcki",MAXIFS(CH40:CH186,D40:D186,"BP*"),$CE$14="e1RM Steve Denovi F1",MAXIFS(CL40:CL186,D40:D186,"BP*"),$CE$14="e1RM Steve Denovi F2",MAXIFS(CM40:CM186,D40:D186,"BP*")),"")</f>
        <v>70.5052879</v>
      </c>
      <c r="CF16" s="364">
        <f>IFERROR( AVERAGEIF($D$40:$D186,"BP*",$CK$40:$CK186),"")</f>
        <v>5.833333333</v>
      </c>
      <c r="CH16" s="289" t="str">
        <f t="array" ref="CH16">IF(NOT($D$37=8),IFERROR(INDIRECT("'Bloque "&amp;$D$38&amp;" Semana "&amp;"8"&amp;"'"&amp;"!"&amp;"E37"),""),"S8")</f>
        <v/>
      </c>
      <c r="CI16" s="316" t="str">
        <f t="shared" si="21"/>
        <v/>
      </c>
      <c r="CJ16" s="224" t="str">
        <f t="shared" si="22"/>
        <v/>
      </c>
      <c r="CK16" s="85" t="str">
        <f t="shared" si="23"/>
        <v/>
      </c>
      <c r="CL16" s="85" t="str">
        <f t="shared" si="30"/>
        <v/>
      </c>
      <c r="CM16" s="168" t="str">
        <f t="shared" si="24"/>
        <v/>
      </c>
      <c r="CN16" s="327" t="str">
        <f t="shared" si="31"/>
        <v/>
      </c>
      <c r="CO16" s="168" t="str">
        <f t="shared" si="25"/>
        <v/>
      </c>
      <c r="CP16" s="168" t="str">
        <f t="shared" si="26"/>
        <v/>
      </c>
      <c r="CQ16" s="294" t="str">
        <f t="shared" si="27"/>
        <v/>
      </c>
      <c r="CR16" s="328" t="str">
        <f t="shared" si="32"/>
        <v/>
      </c>
      <c r="CS16" s="212"/>
      <c r="CT16" s="319"/>
      <c r="DJ16" s="120" t="s">
        <v>21</v>
      </c>
      <c r="DK16" s="172" t="str">
        <f t="shared" ref="DK16:EB16" si="35">IFERROR(INDIRECT("'Bloque "&amp;$D$38&amp;" Semana "&amp;MID(DK15,2,2)&amp;"'"&amp;"!"&amp;"CB15"),"")</f>
        <v/>
      </c>
      <c r="DL16" s="172" t="str">
        <f t="shared" si="35"/>
        <v/>
      </c>
      <c r="DM16" s="172" t="str">
        <f t="shared" si="35"/>
        <v/>
      </c>
      <c r="DN16" s="172" t="str">
        <f t="shared" si="35"/>
        <v/>
      </c>
      <c r="DO16" s="172" t="str">
        <f t="shared" si="35"/>
        <v/>
      </c>
      <c r="DP16" s="172" t="str">
        <f t="shared" si="35"/>
        <v/>
      </c>
      <c r="DQ16" s="172" t="str">
        <f t="shared" si="35"/>
        <v/>
      </c>
      <c r="DR16" s="172" t="str">
        <f t="shared" si="35"/>
        <v/>
      </c>
      <c r="DS16" s="172" t="str">
        <f t="shared" si="35"/>
        <v/>
      </c>
      <c r="DT16" s="172" t="str">
        <f t="shared" si="35"/>
        <v/>
      </c>
      <c r="DU16" s="172" t="str">
        <f t="shared" si="35"/>
        <v/>
      </c>
      <c r="DV16" s="172" t="str">
        <f t="shared" si="35"/>
        <v/>
      </c>
      <c r="DW16" s="172" t="str">
        <f t="shared" si="35"/>
        <v/>
      </c>
      <c r="DX16" s="172" t="str">
        <f t="shared" si="35"/>
        <v/>
      </c>
      <c r="DY16" s="172" t="str">
        <f t="shared" si="35"/>
        <v/>
      </c>
      <c r="DZ16" s="172" t="str">
        <f t="shared" si="35"/>
        <v/>
      </c>
      <c r="EA16" s="172" t="str">
        <f t="shared" si="35"/>
        <v/>
      </c>
      <c r="EB16" s="172" t="str">
        <f t="shared" si="35"/>
        <v/>
      </c>
      <c r="ED16" s="120"/>
      <c r="EE16" s="269"/>
      <c r="EF16" s="269"/>
      <c r="EG16" s="269"/>
      <c r="EH16" s="269"/>
      <c r="EI16" s="269"/>
      <c r="EJ16" s="269"/>
      <c r="EK16" s="269"/>
      <c r="EL16" s="269"/>
      <c r="EM16" s="269"/>
      <c r="EN16" s="269"/>
      <c r="EO16" s="269"/>
      <c r="EP16" s="269"/>
      <c r="EQ16" s="269"/>
      <c r="ER16" s="269"/>
      <c r="ES16" s="269"/>
      <c r="ET16" s="269"/>
      <c r="EU16" s="269"/>
      <c r="EV16" s="269"/>
      <c r="EX16" s="218">
        <v>4.0</v>
      </c>
      <c r="EY16" s="228">
        <v>0.811</v>
      </c>
      <c r="EZ16" s="228">
        <v>0.786</v>
      </c>
      <c r="FA16" s="228">
        <v>0.762</v>
      </c>
      <c r="FB16" s="228">
        <v>0.739</v>
      </c>
      <c r="FC16" s="228">
        <v>0.707</v>
      </c>
      <c r="FD16" s="228">
        <v>0.68</v>
      </c>
      <c r="FE16" s="228">
        <v>0.653</v>
      </c>
      <c r="FF16" s="228">
        <v>0.626</v>
      </c>
      <c r="FG16" s="228">
        <v>0.599</v>
      </c>
      <c r="FH16" s="228">
        <v>0.572</v>
      </c>
      <c r="FI16" s="228">
        <v>0.544</v>
      </c>
      <c r="FJ16" s="228">
        <v>0.516</v>
      </c>
      <c r="FK16" s="208"/>
      <c r="FL16" s="218">
        <v>4.0</v>
      </c>
      <c r="FM16" s="228">
        <v>0.879</v>
      </c>
      <c r="FN16" s="228">
        <v>0.848</v>
      </c>
      <c r="FO16" s="228">
        <v>0.828</v>
      </c>
      <c r="FP16" s="228">
        <v>0.808</v>
      </c>
      <c r="FQ16" s="228">
        <v>0.788</v>
      </c>
      <c r="FR16" s="228">
        <v>0.769</v>
      </c>
      <c r="FS16" s="228">
        <v>0.751</v>
      </c>
      <c r="FT16" s="228">
        <v>0.733</v>
      </c>
      <c r="FU16" s="228">
        <v>0.715</v>
      </c>
      <c r="FV16" s="228">
        <v>0.698</v>
      </c>
      <c r="FW16" s="228">
        <v>0.681</v>
      </c>
      <c r="FX16" s="228">
        <v>0.665</v>
      </c>
      <c r="FY16" s="228"/>
      <c r="FZ16" s="84" t="str">
        <f t="array" ref="FZ16">IF(NOT($D$37=13),IFERROR(INDIRECT("'Bloque "&amp;$D$38&amp;" Semana "&amp;"13"&amp;"'"&amp;"!"&amp;"E37"),""),"S13")</f>
        <v/>
      </c>
      <c r="GA16" s="229" t="str">
        <f t="shared" si="4"/>
        <v/>
      </c>
      <c r="GB16" s="212" t="str">
        <f t="shared" si="5"/>
        <v/>
      </c>
      <c r="GC16" s="84" t="str">
        <f t="array" ref="GC16">IF(NOT($D$37=13),IFERROR(INDIRECT("'Bloque "&amp;$D$38&amp;" Semana "&amp;"13"&amp;"'"&amp;"!"&amp;"E37"),""),"S13")</f>
        <v/>
      </c>
      <c r="GD16" s="229" t="str">
        <f t="shared" si="6"/>
        <v/>
      </c>
      <c r="GE16" s="212" t="str">
        <f t="shared" si="7"/>
        <v/>
      </c>
      <c r="GF16" s="84" t="str">
        <f t="array" ref="GF16">IF(NOT($D$37=13),IFERROR(INDIRECT("'Bloque "&amp;$D$38&amp;" Semana "&amp;"13"&amp;"'"&amp;"!"&amp;"E37"),""),"S13")</f>
        <v/>
      </c>
      <c r="GG16" s="229" t="str">
        <f t="shared" si="8"/>
        <v/>
      </c>
      <c r="GH16" s="212" t="str">
        <f t="shared" si="9"/>
        <v/>
      </c>
    </row>
    <row r="17" ht="36.0" customHeight="1">
      <c r="B17" s="199"/>
      <c r="D17" s="365"/>
      <c r="E17" s="366" t="str">
        <f>"BIENVENIDO A RV STRENGTH "&amp;'Introducción'!B19&amp;" "&amp;'Introducción'!B20</f>
        <v>#REF!</v>
      </c>
      <c r="F17" s="367"/>
      <c r="K17" s="200"/>
      <c r="L17" s="200"/>
      <c r="T17" s="368">
        <f>NOW()</f>
        <v>46052.88071</v>
      </c>
      <c r="W17" s="201"/>
      <c r="X17" s="369" t="s">
        <v>274</v>
      </c>
      <c r="Y17" s="334"/>
      <c r="Z17" s="334"/>
      <c r="AA17" s="334"/>
      <c r="AB17" s="334"/>
      <c r="AC17" s="334"/>
      <c r="AD17" s="370"/>
      <c r="AE17" s="203"/>
      <c r="AF17" s="204"/>
      <c r="AG17" s="371" t="s">
        <v>283</v>
      </c>
      <c r="AH17" s="348"/>
      <c r="AI17" s="348"/>
      <c r="AJ17" s="372"/>
      <c r="AK17" s="373">
        <f>IFERROR(AVERAGE(AK16,AO16,AS16,AW16,BA16)*10/7,"")</f>
        <v>8.095238095</v>
      </c>
      <c r="AL17" s="348"/>
      <c r="AM17" s="374" t="s">
        <v>281</v>
      </c>
      <c r="AN17" s="374"/>
      <c r="AO17" s="375"/>
      <c r="AP17" s="375"/>
      <c r="AQ17" s="375"/>
      <c r="AR17" s="375"/>
      <c r="AS17" s="375"/>
      <c r="AT17" s="375"/>
      <c r="AU17" s="375"/>
      <c r="AV17" s="375"/>
      <c r="AW17" s="375"/>
      <c r="AX17" s="375"/>
      <c r="AY17" s="375"/>
      <c r="AZ17" s="375"/>
      <c r="BA17" s="375"/>
      <c r="BB17" s="375"/>
      <c r="BC17" s="375"/>
      <c r="BD17" s="375"/>
      <c r="BE17" s="375"/>
      <c r="BF17" s="375"/>
      <c r="BG17" s="376"/>
      <c r="BH17" s="375"/>
      <c r="BI17" s="377"/>
      <c r="BJ17" s="377"/>
      <c r="BK17" s="378"/>
      <c r="BL17" s="378"/>
      <c r="BM17" s="378"/>
      <c r="BN17" s="378"/>
      <c r="BO17" s="378"/>
      <c r="BP17" s="378"/>
      <c r="BQ17" s="378"/>
      <c r="BR17" s="128"/>
      <c r="BS17" s="128"/>
      <c r="BT17" s="128"/>
      <c r="BU17" s="128"/>
      <c r="BV17" s="128"/>
      <c r="BW17" s="128"/>
      <c r="BZ17" s="379" t="s">
        <v>42</v>
      </c>
      <c r="CA17" s="322">
        <f>SUMIF(D40:D186,"DL*",AD40:AD186)</f>
        <v>3</v>
      </c>
      <c r="CB17" s="322">
        <f>SUMIF(D40:D186,"DL*",CC40:CC186)</f>
        <v>18</v>
      </c>
      <c r="CC17" s="323" t="str">
        <f>SUMIF(D40:D186,"DL*",CE40:CE186)</f>
        <v>#VALUE!</v>
      </c>
      <c r="CD17" s="324" t="str">
        <f>IFERROR( AVERAGEIF(D40:D186,"DL*",CA40:CA186),"")</f>
        <v/>
      </c>
      <c r="CE17" s="325">
        <f>IFERROR( IFS($CE$14="e1RM Bryzcki",MAXIFS(CH40:CH186,D40:D186,"DL*"),$CE$14="e1RM Steve Denovi F1",MAXIFS(CL40:CL186,D40:D186,"DL*"),$CE$14="e1RM Steve Denovi F2",MAXIFS(CM40:CM186,D40:D186,"DL*")),"")</f>
        <v>0</v>
      </c>
      <c r="CF17" s="380">
        <f>IFERROR( AVERAGEIF($D$40:$D186,"DL*",$CK$40:$CK186),"")</f>
        <v>7.166666667</v>
      </c>
      <c r="CH17" s="289" t="str">
        <f t="array" ref="CH17">IF(NOT($D$37=9),IFERROR(INDIRECT("'Bloque "&amp;$D$38&amp;" Semana "&amp;"9"&amp;"'"&amp;"!"&amp;"E37"),""),"S9")</f>
        <v/>
      </c>
      <c r="CI17" s="316" t="str">
        <f t="shared" si="21"/>
        <v/>
      </c>
      <c r="CJ17" s="224" t="str">
        <f t="shared" si="22"/>
        <v/>
      </c>
      <c r="CK17" s="85" t="str">
        <f t="shared" si="23"/>
        <v/>
      </c>
      <c r="CL17" s="85" t="str">
        <f t="shared" si="30"/>
        <v/>
      </c>
      <c r="CM17" s="168" t="str">
        <f t="shared" si="24"/>
        <v/>
      </c>
      <c r="CN17" s="327" t="str">
        <f t="shared" si="31"/>
        <v/>
      </c>
      <c r="CO17" s="168" t="str">
        <f t="shared" si="25"/>
        <v/>
      </c>
      <c r="CP17" s="168" t="str">
        <f t="shared" si="26"/>
        <v/>
      </c>
      <c r="CQ17" s="294" t="str">
        <f t="shared" si="27"/>
        <v/>
      </c>
      <c r="CR17" s="328" t="str">
        <f t="shared" si="32"/>
        <v/>
      </c>
      <c r="CS17" s="212"/>
      <c r="CT17" s="319"/>
      <c r="DJ17" s="120" t="s">
        <v>36</v>
      </c>
      <c r="DK17" s="172" t="str">
        <f t="shared" ref="DK17:EB17" si="36">IFERROR(INDIRECT("'Bloque "&amp;$D$38&amp;" Semana "&amp;MID(DK15,2,2)&amp;"'"&amp;"!"&amp;"CB16"),"")</f>
        <v/>
      </c>
      <c r="DL17" s="172" t="str">
        <f t="shared" si="36"/>
        <v/>
      </c>
      <c r="DM17" s="172" t="str">
        <f t="shared" si="36"/>
        <v/>
      </c>
      <c r="DN17" s="172" t="str">
        <f t="shared" si="36"/>
        <v/>
      </c>
      <c r="DO17" s="172" t="str">
        <f t="shared" si="36"/>
        <v/>
      </c>
      <c r="DP17" s="172" t="str">
        <f t="shared" si="36"/>
        <v/>
      </c>
      <c r="DQ17" s="172" t="str">
        <f t="shared" si="36"/>
        <v/>
      </c>
      <c r="DR17" s="172" t="str">
        <f t="shared" si="36"/>
        <v/>
      </c>
      <c r="DS17" s="172" t="str">
        <f t="shared" si="36"/>
        <v/>
      </c>
      <c r="DT17" s="172" t="str">
        <f t="shared" si="36"/>
        <v/>
      </c>
      <c r="DU17" s="172" t="str">
        <f t="shared" si="36"/>
        <v/>
      </c>
      <c r="DV17" s="172" t="str">
        <f t="shared" si="36"/>
        <v/>
      </c>
      <c r="DW17" s="172" t="str">
        <f t="shared" si="36"/>
        <v/>
      </c>
      <c r="DX17" s="172" t="str">
        <f t="shared" si="36"/>
        <v/>
      </c>
      <c r="DY17" s="172" t="str">
        <f t="shared" si="36"/>
        <v/>
      </c>
      <c r="DZ17" s="172" t="str">
        <f t="shared" si="36"/>
        <v/>
      </c>
      <c r="EA17" s="172" t="str">
        <f t="shared" si="36"/>
        <v/>
      </c>
      <c r="EB17" s="172" t="str">
        <f t="shared" si="36"/>
        <v/>
      </c>
      <c r="ED17" s="144" t="s">
        <v>284</v>
      </c>
      <c r="EE17" s="108"/>
      <c r="EF17" s="108"/>
      <c r="EG17" s="108"/>
      <c r="EH17" s="108"/>
      <c r="EI17" s="108"/>
      <c r="EJ17" s="108"/>
      <c r="EK17" s="108"/>
      <c r="EL17" s="108"/>
      <c r="EM17" s="108"/>
      <c r="EN17" s="108"/>
      <c r="EO17" s="108"/>
      <c r="EP17" s="108"/>
      <c r="EQ17" s="108"/>
      <c r="ER17" s="108"/>
      <c r="ES17" s="108"/>
      <c r="ET17" s="108"/>
      <c r="EU17" s="108"/>
      <c r="EV17" s="108"/>
      <c r="EX17" s="208"/>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84" t="str">
        <f t="array" ref="FZ17">IF(NOT($D$37=14),IFERROR(INDIRECT("'Bloque "&amp;$D$38&amp;" Semana "&amp;"14"&amp;"'"&amp;"!"&amp;"E37"),""),"S14")</f>
        <v/>
      </c>
      <c r="GA17" s="229" t="str">
        <f t="shared" si="4"/>
        <v/>
      </c>
      <c r="GB17" s="212" t="str">
        <f t="shared" si="5"/>
        <v/>
      </c>
      <c r="GC17" s="84" t="str">
        <f t="array" ref="GC17">IF(NOT($D$37=14),IFERROR(INDIRECT("'Bloque "&amp;$D$38&amp;" Semana "&amp;"14"&amp;"'"&amp;"!"&amp;"E37"),""),"S14")</f>
        <v/>
      </c>
      <c r="GD17" s="229" t="str">
        <f t="shared" si="6"/>
        <v/>
      </c>
      <c r="GE17" s="212" t="str">
        <f t="shared" si="7"/>
        <v/>
      </c>
      <c r="GF17" s="84" t="str">
        <f t="array" ref="GF17">IF(NOT($D$37=14),IFERROR(INDIRECT("'Bloque "&amp;$D$38&amp;" Semana "&amp;"14"&amp;"'"&amp;"!"&amp;"E37"),""),"S14")</f>
        <v/>
      </c>
      <c r="GG17" s="229" t="str">
        <f t="shared" si="8"/>
        <v/>
      </c>
      <c r="GH17" s="212" t="str">
        <f t="shared" si="9"/>
        <v/>
      </c>
    </row>
    <row r="18" ht="48.0" customHeight="1">
      <c r="B18" s="199"/>
      <c r="E18" s="381" t="s">
        <v>285</v>
      </c>
      <c r="F18" s="382"/>
      <c r="G18" s="383"/>
      <c r="H18" s="383"/>
      <c r="I18" s="383"/>
      <c r="J18" s="383"/>
      <c r="K18" s="383"/>
      <c r="L18" s="383"/>
      <c r="M18" s="383"/>
      <c r="N18" s="383"/>
      <c r="O18" s="383"/>
      <c r="P18" s="383"/>
      <c r="Q18" s="383"/>
      <c r="R18" s="383"/>
      <c r="S18" s="383"/>
      <c r="T18" s="384"/>
      <c r="U18" s="385"/>
      <c r="W18" s="201"/>
      <c r="X18" s="197" t="s">
        <v>246</v>
      </c>
      <c r="Y18" s="197" t="s">
        <v>286</v>
      </c>
      <c r="Z18" s="197" t="s">
        <v>224</v>
      </c>
      <c r="AA18" s="197" t="s">
        <v>200</v>
      </c>
      <c r="AB18" s="197" t="s">
        <v>248</v>
      </c>
      <c r="AC18" s="197" t="s">
        <v>251</v>
      </c>
      <c r="AD18" s="386"/>
      <c r="AE18" s="203"/>
      <c r="AF18" s="204"/>
      <c r="AG18" s="387" t="s">
        <v>287</v>
      </c>
      <c r="BZ18" s="388" t="s">
        <v>105</v>
      </c>
      <c r="CA18" s="389">
        <f t="shared" ref="CA18:CB18" si="37">SUM(CA15:CA17)</f>
        <v>14</v>
      </c>
      <c r="CB18" s="389">
        <f t="shared" si="37"/>
        <v>73</v>
      </c>
      <c r="CC18" s="390"/>
      <c r="CD18" s="391"/>
      <c r="CE18" s="392">
        <f>SUM(CE15:CE17)</f>
        <v>243.5363141</v>
      </c>
      <c r="CF18" s="393"/>
      <c r="CH18" s="289" t="str">
        <f t="array" ref="CH18">IF(NOT($D$37=10),IFERROR(INDIRECT("'Bloque "&amp;$D$38&amp;" Semana "&amp;"10"&amp;"'"&amp;"!"&amp;"E37"),""),"S10")</f>
        <v/>
      </c>
      <c r="CI18" s="316" t="str">
        <f t="shared" si="21"/>
        <v/>
      </c>
      <c r="CJ18" s="224" t="str">
        <f t="shared" si="22"/>
        <v/>
      </c>
      <c r="CK18" s="85" t="str">
        <f t="shared" si="23"/>
        <v/>
      </c>
      <c r="CL18" s="85" t="str">
        <f t="shared" si="30"/>
        <v/>
      </c>
      <c r="CM18" s="168" t="str">
        <f t="shared" si="24"/>
        <v/>
      </c>
      <c r="CN18" s="327" t="str">
        <f t="shared" si="31"/>
        <v/>
      </c>
      <c r="CO18" s="168" t="str">
        <f t="shared" si="25"/>
        <v/>
      </c>
      <c r="CP18" s="168" t="str">
        <f t="shared" si="26"/>
        <v/>
      </c>
      <c r="CQ18" s="294" t="str">
        <f t="shared" si="27"/>
        <v/>
      </c>
      <c r="CR18" s="328" t="str">
        <f t="shared" si="32"/>
        <v/>
      </c>
      <c r="CS18" s="212"/>
      <c r="CT18" s="319"/>
      <c r="DJ18" s="120" t="s">
        <v>42</v>
      </c>
      <c r="DK18" s="172" t="str">
        <f t="shared" ref="DK18:EB18" si="38">IFERROR(INDIRECT("'Bloque "&amp;$D$38&amp;" Semana "&amp;MID(DK15,2,2)&amp;"'"&amp;"!"&amp;"CB17"),"")</f>
        <v/>
      </c>
      <c r="DL18" s="172" t="str">
        <f t="shared" si="38"/>
        <v/>
      </c>
      <c r="DM18" s="172" t="str">
        <f t="shared" si="38"/>
        <v/>
      </c>
      <c r="DN18" s="172" t="str">
        <f t="shared" si="38"/>
        <v/>
      </c>
      <c r="DO18" s="172" t="str">
        <f t="shared" si="38"/>
        <v/>
      </c>
      <c r="DP18" s="172" t="str">
        <f t="shared" si="38"/>
        <v/>
      </c>
      <c r="DQ18" s="172" t="str">
        <f t="shared" si="38"/>
        <v/>
      </c>
      <c r="DR18" s="172" t="str">
        <f t="shared" si="38"/>
        <v/>
      </c>
      <c r="DS18" s="172" t="str">
        <f t="shared" si="38"/>
        <v/>
      </c>
      <c r="DT18" s="172" t="str">
        <f t="shared" si="38"/>
        <v/>
      </c>
      <c r="DU18" s="172" t="str">
        <f t="shared" si="38"/>
        <v/>
      </c>
      <c r="DV18" s="172" t="str">
        <f t="shared" si="38"/>
        <v/>
      </c>
      <c r="DW18" s="172" t="str">
        <f t="shared" si="38"/>
        <v/>
      </c>
      <c r="DX18" s="172" t="str">
        <f t="shared" si="38"/>
        <v/>
      </c>
      <c r="DY18" s="172" t="str">
        <f t="shared" si="38"/>
        <v/>
      </c>
      <c r="DZ18" s="172" t="str">
        <f t="shared" si="38"/>
        <v/>
      </c>
      <c r="EA18" s="172" t="str">
        <f t="shared" si="38"/>
        <v/>
      </c>
      <c r="EB18" s="172" t="str">
        <f t="shared" si="38"/>
        <v/>
      </c>
      <c r="ED18" s="83"/>
      <c r="EE18" s="227" t="str">
        <f t="array" ref="EE18">IF(NOT($D$37=1),IFERROR(INDIRECT("'Bloque "&amp;$D$38&amp;" Semana "&amp;"1"&amp;"'"&amp;"!"&amp;"E37"),""),"S1")</f>
        <v/>
      </c>
      <c r="EF18" s="227" t="str">
        <f t="array" ref="EF18">IF(NOT($D$37=2),IFERROR(INDIRECT("'Bloque "&amp;$D$38&amp;" Semana "&amp;"2"&amp;"'"&amp;"!"&amp;"E37"),""),"S2")</f>
        <v/>
      </c>
      <c r="EG18" s="227" t="str">
        <f t="array" ref="EG18">IF(NOT($D$37=3),IFERROR(INDIRECT("'Bloque "&amp;$D$38&amp;" Semana "&amp;"3"&amp;"'"&amp;"!"&amp;"E37"),""),"S3")</f>
        <v>S3</v>
      </c>
      <c r="EH18" s="227" t="str">
        <f t="array" ref="EH18">IF(NOT($D$37=4),IFERROR(INDIRECT("'Bloque "&amp;$D$38&amp;" Semana "&amp;"4"&amp;"'"&amp;"!"&amp;"E37"),""),"S4")</f>
        <v/>
      </c>
      <c r="EI18" s="227" t="str">
        <f t="array" ref="EI18">IF(NOT($D$37=5),IFERROR(INDIRECT("'Bloque "&amp;$D$38&amp;" Semana "&amp;"5"&amp;"'"&amp;"!"&amp;"E37"),""),"S5")</f>
        <v/>
      </c>
      <c r="EJ18" s="227" t="str">
        <f t="array" ref="EJ18">IF(NOT($D$37=6),IFERROR(INDIRECT("'Bloque "&amp;$D$38&amp;" Semana "&amp;"6"&amp;"'"&amp;"!"&amp;"E37"),""),"S6")</f>
        <v/>
      </c>
      <c r="EK18" s="227" t="str">
        <f t="array" ref="EK18">IF(NOT($D$37=7),IFERROR(INDIRECT("'Bloque "&amp;$D$38&amp;" Semana "&amp;"7"&amp;"'"&amp;"!"&amp;"E37"),""),"S7")</f>
        <v/>
      </c>
      <c r="EL18" s="227" t="str">
        <f t="array" ref="EL18">IF(NOT($D$37=8),IFERROR(INDIRECT("'Bloque "&amp;$D$38&amp;" Semana "&amp;"8"&amp;"'"&amp;"!"&amp;"E37"),""),"S8")</f>
        <v/>
      </c>
      <c r="EM18" s="227" t="str">
        <f t="array" ref="EM18">IF(NOT($D$37=9),IFERROR(INDIRECT("'Bloque "&amp;$D$38&amp;" Semana "&amp;"9"&amp;"'"&amp;"!"&amp;"E37"),""),"S9")</f>
        <v/>
      </c>
      <c r="EN18" s="227" t="str">
        <f t="array" ref="EN18">IF(NOT($D$37=10),IFERROR(INDIRECT("'Bloque "&amp;$D$38&amp;" Semana "&amp;"10"&amp;"'"&amp;"!"&amp;"E37"),""),"S10")</f>
        <v/>
      </c>
      <c r="EO18" s="227" t="str">
        <f t="array" ref="EO18">IF(NOT($D$37=11),IFERROR(INDIRECT("'Bloque "&amp;$D$38&amp;" Semana "&amp;"11"&amp;"'"&amp;"!"&amp;"E37"),""),"S11")</f>
        <v/>
      </c>
      <c r="EP18" s="227" t="str">
        <f t="array" ref="EP18">IF(NOT($D$37=12),IFERROR(INDIRECT("'Bloque "&amp;$D$38&amp;" Semana "&amp;"12"&amp;"'"&amp;"!"&amp;"E37"),""),"S12")</f>
        <v/>
      </c>
      <c r="EQ18" s="227" t="str">
        <f t="array" ref="EQ18">IF(NOT($D$37=13),IFERROR(INDIRECT("'Bloque "&amp;$D$38&amp;" Semana "&amp;"13"&amp;"'"&amp;"!"&amp;"E37"),""),"S13")</f>
        <v/>
      </c>
      <c r="ER18" s="227" t="str">
        <f t="array" ref="ER18">IF(NOT($D$37=14),IFERROR(INDIRECT("'Bloque "&amp;$D$38&amp;" Semana "&amp;"14"&amp;"'"&amp;"!"&amp;"E37"),""),"S14")</f>
        <v/>
      </c>
      <c r="ES18" s="227" t="str">
        <f t="array" ref="ES18">IF(NOT($D$37=15),IFERROR(INDIRECT("'Bloque "&amp;$D$38&amp;" Semana "&amp;"15"&amp;"'"&amp;"!"&amp;"E37"),""),"S15")</f>
        <v/>
      </c>
      <c r="ET18" s="227" t="str">
        <f t="array" ref="ET18">IF(NOT($D$37=16),IFERROR(INDIRECT("'Bloque "&amp;$D$38&amp;" Semana "&amp;"16"&amp;"'"&amp;"!"&amp;"E37"),""),"S16")</f>
        <v/>
      </c>
      <c r="EU18" s="227" t="str">
        <f t="array" ref="EU18">IF(NOT($D$37=17),IFERROR(INDIRECT("'Bloque "&amp;$D$38&amp;" Semana "&amp;"17"&amp;"'"&amp;"!"&amp;"E37"),""),"S17")</f>
        <v/>
      </c>
      <c r="EV18" s="227" t="str">
        <f t="array" ref="EV18">IF(NOT($D$37=18),IFERROR(INDIRECT("'Bloque "&amp;$D$38&amp;" Semana "&amp;"18"&amp;"'"&amp;"!"&amp;"E37"),""),"S18")</f>
        <v/>
      </c>
      <c r="EX18" s="144" t="s">
        <v>288</v>
      </c>
      <c r="EY18" s="108"/>
      <c r="EZ18" s="108"/>
      <c r="FA18" s="108"/>
      <c r="FB18" s="108"/>
      <c r="FC18" s="108"/>
      <c r="FD18" s="108"/>
      <c r="FE18" s="108"/>
      <c r="FF18" s="108"/>
      <c r="FG18" s="108"/>
      <c r="FH18" s="108"/>
      <c r="FI18" s="108"/>
      <c r="FJ18" s="108"/>
      <c r="FK18" s="108"/>
      <c r="FL18" s="108"/>
      <c r="FM18" s="108"/>
      <c r="FN18" s="108"/>
      <c r="FO18" s="108"/>
      <c r="FP18" s="108"/>
      <c r="FQ18" s="208"/>
      <c r="FR18" s="208"/>
      <c r="FS18" s="208"/>
      <c r="FT18" s="208"/>
      <c r="FU18" s="208"/>
      <c r="FV18" s="208"/>
      <c r="FW18" s="208"/>
      <c r="FX18" s="208"/>
      <c r="FY18" s="208"/>
      <c r="FZ18" s="84" t="str">
        <f t="array" ref="FZ18">IF(NOT($D$37=15),IFERROR(INDIRECT("'Bloque "&amp;$D$38&amp;" Semana "&amp;"15"&amp;"'"&amp;"!"&amp;"E37"),""),"S15")</f>
        <v/>
      </c>
      <c r="GA18" s="229" t="str">
        <f t="shared" si="4"/>
        <v/>
      </c>
      <c r="GB18" s="212" t="str">
        <f t="shared" si="5"/>
        <v/>
      </c>
      <c r="GC18" s="84" t="str">
        <f t="array" ref="GC18">IF(NOT($D$37=15),IFERROR(INDIRECT("'Bloque "&amp;$D$38&amp;" Semana "&amp;"15"&amp;"'"&amp;"!"&amp;"E37"),""),"S15")</f>
        <v/>
      </c>
      <c r="GD18" s="229" t="str">
        <f t="shared" si="6"/>
        <v/>
      </c>
      <c r="GE18" s="212" t="str">
        <f t="shared" si="7"/>
        <v/>
      </c>
      <c r="GF18" s="84" t="str">
        <f t="array" ref="GF18">IF(NOT($D$37=15),IFERROR(INDIRECT("'Bloque "&amp;$D$38&amp;" Semana "&amp;"15"&amp;"'"&amp;"!"&amp;"E37"),""),"S15")</f>
        <v/>
      </c>
      <c r="GG18" s="229" t="str">
        <f t="shared" si="8"/>
        <v/>
      </c>
      <c r="GH18" s="212" t="str">
        <f t="shared" si="9"/>
        <v/>
      </c>
    </row>
    <row r="19" ht="27.75" customHeight="1">
      <c r="B19" s="199"/>
      <c r="D19" s="106"/>
      <c r="E19" s="394"/>
      <c r="T19" s="34"/>
      <c r="W19" s="201"/>
      <c r="X19" s="395" t="s">
        <v>21</v>
      </c>
      <c r="Y19" s="396">
        <f>SUMIF(D40:D186,"SQ*",F40:F186)</f>
        <v>6</v>
      </c>
      <c r="Z19" s="396">
        <f>SUMIF(D40:D186,"SQ*",X40:X186)</f>
        <v>4522.5</v>
      </c>
      <c r="AA19" s="397" t="str">
        <f>IFERROR( AVERAGEIF($D$40:$D186,"SQ*",$AB$40:$AB186),"")</f>
        <v/>
      </c>
      <c r="AB19" s="398">
        <f>SUMIF(D40:D186,"SQ*",Z40:Z186)</f>
        <v>33</v>
      </c>
      <c r="AC19" s="399" t="str">
        <f>IFERROR( AVERAGEIF($D$40:$D186,"SQ*",$M$40:$M186),"")</f>
        <v/>
      </c>
      <c r="AE19" s="203"/>
      <c r="AF19" s="204"/>
      <c r="AG19" s="400" t="s">
        <v>289</v>
      </c>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4"/>
      <c r="BZ19" s="333" t="s">
        <v>290</v>
      </c>
      <c r="CA19" s="210"/>
      <c r="CB19" s="210"/>
      <c r="CC19" s="210"/>
      <c r="CD19" s="210"/>
      <c r="CE19" s="210"/>
      <c r="CF19" s="241"/>
      <c r="CG19" s="245"/>
      <c r="CH19" s="289" t="str">
        <f t="array" ref="CH19">IF(NOT($D$37=11),IFERROR(INDIRECT("'Bloque "&amp;$D$38&amp;" Semana "&amp;"11"&amp;"'"&amp;"!"&amp;"E37"),""),"S11")</f>
        <v/>
      </c>
      <c r="CI19" s="316" t="str">
        <f t="shared" si="21"/>
        <v/>
      </c>
      <c r="CJ19" s="224" t="str">
        <f t="shared" si="22"/>
        <v/>
      </c>
      <c r="CK19" s="85" t="str">
        <f t="shared" si="23"/>
        <v/>
      </c>
      <c r="CL19" s="85" t="str">
        <f t="shared" si="30"/>
        <v/>
      </c>
      <c r="CM19" s="168" t="str">
        <f t="shared" si="24"/>
        <v/>
      </c>
      <c r="CN19" s="327" t="str">
        <f t="shared" si="31"/>
        <v/>
      </c>
      <c r="CO19" s="168" t="str">
        <f t="shared" si="25"/>
        <v/>
      </c>
      <c r="CP19" s="168" t="str">
        <f t="shared" si="26"/>
        <v/>
      </c>
      <c r="CQ19" s="294" t="str">
        <f t="shared" si="27"/>
        <v/>
      </c>
      <c r="CR19" s="328" t="str">
        <f t="shared" si="32"/>
        <v/>
      </c>
      <c r="CS19" s="212"/>
      <c r="CT19" s="319"/>
      <c r="DJ19" s="4"/>
      <c r="DK19" s="4"/>
      <c r="DL19" s="4"/>
      <c r="DM19" s="4"/>
      <c r="DN19" s="4"/>
      <c r="DO19" s="4"/>
      <c r="DP19" s="4"/>
      <c r="DQ19" s="4"/>
      <c r="DR19" s="4"/>
      <c r="DS19" s="4"/>
      <c r="DT19" s="4"/>
      <c r="DU19" s="4"/>
      <c r="DV19" s="4"/>
      <c r="DW19" s="4"/>
      <c r="DX19" s="4"/>
      <c r="DY19" s="4"/>
      <c r="DZ19" s="4"/>
      <c r="EA19" s="4"/>
      <c r="EB19" s="4"/>
      <c r="ED19" s="120" t="str">
        <f t="shared" ref="ED19:ED24" si="40">BZ21</f>
        <v>Dominante de Rodilla</v>
      </c>
      <c r="EE19" s="231" t="str">
        <f t="shared" ref="EE19:EV19" si="39">IFERROR(INDIRECT("'Bloque "&amp;$D$38&amp;" Semana "&amp;MID(EE18,2,2)&amp;"'"&amp;"!"&amp;"CE21"),"")</f>
        <v/>
      </c>
      <c r="EF19" s="231" t="str">
        <f t="shared" si="39"/>
        <v/>
      </c>
      <c r="EG19" s="231" t="str">
        <f t="shared" si="39"/>
        <v/>
      </c>
      <c r="EH19" s="231" t="str">
        <f t="shared" si="39"/>
        <v/>
      </c>
      <c r="EI19" s="231" t="str">
        <f t="shared" si="39"/>
        <v/>
      </c>
      <c r="EJ19" s="231" t="str">
        <f t="shared" si="39"/>
        <v/>
      </c>
      <c r="EK19" s="231" t="str">
        <f t="shared" si="39"/>
        <v/>
      </c>
      <c r="EL19" s="231" t="str">
        <f t="shared" si="39"/>
        <v/>
      </c>
      <c r="EM19" s="231" t="str">
        <f t="shared" si="39"/>
        <v/>
      </c>
      <c r="EN19" s="231" t="str">
        <f t="shared" si="39"/>
        <v/>
      </c>
      <c r="EO19" s="231" t="str">
        <f t="shared" si="39"/>
        <v/>
      </c>
      <c r="EP19" s="231" t="str">
        <f t="shared" si="39"/>
        <v/>
      </c>
      <c r="EQ19" s="231" t="str">
        <f t="shared" si="39"/>
        <v/>
      </c>
      <c r="ER19" s="231" t="str">
        <f t="shared" si="39"/>
        <v/>
      </c>
      <c r="ES19" s="231" t="str">
        <f t="shared" si="39"/>
        <v/>
      </c>
      <c r="ET19" s="231" t="str">
        <f t="shared" si="39"/>
        <v/>
      </c>
      <c r="EU19" s="231" t="str">
        <f t="shared" si="39"/>
        <v/>
      </c>
      <c r="EV19" s="231" t="str">
        <f t="shared" si="39"/>
        <v/>
      </c>
      <c r="EX19" s="83"/>
      <c r="EY19" s="227" t="str">
        <f t="array" ref="EY19">IF(NOT($D$37=1),IFERROR(INDIRECT("'Bloque "&amp;$D$38&amp;" Semana "&amp;"1"&amp;"'"&amp;"!"&amp;"E37"),""),"S1")</f>
        <v/>
      </c>
      <c r="EZ19" s="227" t="str">
        <f t="array" ref="EZ19">IF(NOT($D$37=2),IFERROR(INDIRECT("'Bloque "&amp;$D$38&amp;" Semana "&amp;"2"&amp;"'"&amp;"!"&amp;"E37"),""),"S2")</f>
        <v/>
      </c>
      <c r="FA19" s="227" t="str">
        <f t="array" ref="FA19">IF(NOT($D$37=3),IFERROR(INDIRECT("'Bloque "&amp;$D$38&amp;" Semana "&amp;"3"&amp;"'"&amp;"!"&amp;"E37"),""),"S3")</f>
        <v>S3</v>
      </c>
      <c r="FB19" s="227" t="str">
        <f t="array" ref="FB19">IF(NOT($D$37=4),IFERROR(INDIRECT("'Bloque "&amp;$D$38&amp;" Semana "&amp;"4"&amp;"'"&amp;"!"&amp;"E37"),""),"S4")</f>
        <v/>
      </c>
      <c r="FC19" s="227" t="str">
        <f t="array" ref="FC19">IF(NOT($D$37=5),IFERROR(INDIRECT("'Bloque "&amp;$D$38&amp;" Semana "&amp;"5"&amp;"'"&amp;"!"&amp;"E37"),""),"S5")</f>
        <v/>
      </c>
      <c r="FD19" s="227" t="str">
        <f t="array" ref="FD19">IF(NOT($D$37=6),IFERROR(INDIRECT("'Bloque "&amp;$D$38&amp;" Semana "&amp;"6"&amp;"'"&amp;"!"&amp;"E37"),""),"S6")</f>
        <v/>
      </c>
      <c r="FE19" s="227" t="str">
        <f t="array" ref="FE19">IF(NOT($D$37=7),IFERROR(INDIRECT("'Bloque "&amp;$D$38&amp;" Semana "&amp;"7"&amp;"'"&amp;"!"&amp;"E37"),""),"S7")</f>
        <v/>
      </c>
      <c r="FF19" s="227" t="str">
        <f t="array" ref="FF19">IF(NOT($D$37=8),IFERROR(INDIRECT("'Bloque "&amp;$D$38&amp;" Semana "&amp;"8"&amp;"'"&amp;"!"&amp;"E37"),""),"S8")</f>
        <v/>
      </c>
      <c r="FG19" s="227" t="str">
        <f t="array" ref="FG19">IF(NOT($D$37=9),IFERROR(INDIRECT("'Bloque "&amp;$D$38&amp;" Semana "&amp;"9"&amp;"'"&amp;"!"&amp;"E37"),""),"S9")</f>
        <v/>
      </c>
      <c r="FH19" s="227" t="str">
        <f t="array" ref="FH19">IF(NOT($D$37=10),IFERROR(INDIRECT("'Bloque "&amp;$D$38&amp;" Semana "&amp;"10"&amp;"'"&amp;"!"&amp;"E37"),""),"S10")</f>
        <v/>
      </c>
      <c r="FI19" s="227" t="str">
        <f t="array" ref="FI19">IF(NOT($D$37=11),IFERROR(INDIRECT("'Bloque "&amp;$D$38&amp;" Semana "&amp;"11"&amp;"'"&amp;"!"&amp;"E37"),""),"S11")</f>
        <v/>
      </c>
      <c r="FJ19" s="227" t="str">
        <f t="array" ref="FJ19">IF(NOT($D$37=12),IFERROR(INDIRECT("'Bloque "&amp;$D$38&amp;" Semana "&amp;"12"&amp;"'"&amp;"!"&amp;"E37"),""),"S12")</f>
        <v/>
      </c>
      <c r="FK19" s="227" t="str">
        <f t="array" ref="FK19">IF(NOT($D$37=13),IFERROR(INDIRECT("'Bloque "&amp;$D$38&amp;" Semana "&amp;"13"&amp;"'"&amp;"!"&amp;"E37"),""),"S13")</f>
        <v/>
      </c>
      <c r="FL19" s="227" t="str">
        <f t="array" ref="FL19">IF(NOT($D$37=14),IFERROR(INDIRECT("'Bloque "&amp;$D$38&amp;" Semana "&amp;"14"&amp;"'"&amp;"!"&amp;"E37"),""),"S14")</f>
        <v/>
      </c>
      <c r="FM19" s="227" t="str">
        <f t="array" ref="FM19">IF(NOT($D$37=15),IFERROR(INDIRECT("'Bloque "&amp;$D$38&amp;" Semana "&amp;"15"&amp;"'"&amp;"!"&amp;"E37"),""),"S15")</f>
        <v/>
      </c>
      <c r="FN19" s="227" t="str">
        <f t="array" ref="FN19">IF(NOT($D$37=16),IFERROR(INDIRECT("'Bloque "&amp;$D$38&amp;" Semana "&amp;"16"&amp;"'"&amp;"!"&amp;"E37"),""),"S16")</f>
        <v/>
      </c>
      <c r="FO19" s="227" t="str">
        <f t="array" ref="FO19">IF(NOT($D$37=17),IFERROR(INDIRECT("'Bloque "&amp;$D$38&amp;" Semana "&amp;"17"&amp;"'"&amp;"!"&amp;"E37"),""),"S17")</f>
        <v/>
      </c>
      <c r="FP19" s="227" t="str">
        <f t="array" ref="FP19">IF(NOT($D$37=18),IFERROR(INDIRECT("'Bloque "&amp;$D$38&amp;" Semana "&amp;"18"&amp;"'"&amp;"!"&amp;"E37"),""),"S18")</f>
        <v/>
      </c>
      <c r="FQ19" s="208"/>
      <c r="FR19" s="208"/>
      <c r="FS19" s="208"/>
      <c r="FT19" s="208"/>
      <c r="FU19" s="208"/>
      <c r="FV19" s="208"/>
      <c r="FW19" s="208"/>
      <c r="FX19" s="208"/>
      <c r="FY19" s="208"/>
      <c r="FZ19" s="84" t="str">
        <f t="array" ref="FZ19">IF(NOT($D$37=16),IFERROR(INDIRECT("'Bloque "&amp;$D$38&amp;" Semana "&amp;"16"&amp;"'"&amp;"!"&amp;"E37"),""),"S16")</f>
        <v/>
      </c>
      <c r="GA19" s="229" t="str">
        <f t="shared" si="4"/>
        <v/>
      </c>
      <c r="GB19" s="212" t="str">
        <f t="shared" si="5"/>
        <v/>
      </c>
      <c r="GC19" s="84" t="str">
        <f t="array" ref="GC19">IF(NOT($D$37=16),IFERROR(INDIRECT("'Bloque "&amp;$D$38&amp;" Semana "&amp;"16"&amp;"'"&amp;"!"&amp;"E37"),""),"S16")</f>
        <v/>
      </c>
      <c r="GD19" s="229" t="str">
        <f t="shared" si="6"/>
        <v/>
      </c>
      <c r="GE19" s="212" t="str">
        <f t="shared" si="7"/>
        <v/>
      </c>
      <c r="GF19" s="84" t="str">
        <f t="array" ref="GF19">IF(NOT($D$37=16),IFERROR(INDIRECT("'Bloque "&amp;$D$38&amp;" Semana "&amp;"16"&amp;"'"&amp;"!"&amp;"E37"),""),"S16")</f>
        <v/>
      </c>
      <c r="GG19" s="229" t="str">
        <f t="shared" si="8"/>
        <v/>
      </c>
      <c r="GH19" s="212" t="str">
        <f t="shared" si="9"/>
        <v/>
      </c>
    </row>
    <row r="20" ht="27.75" customHeight="1">
      <c r="B20" s="199"/>
      <c r="D20" s="106"/>
      <c r="E20" s="401"/>
      <c r="F20" s="402"/>
      <c r="G20" s="403"/>
      <c r="H20" s="403"/>
      <c r="I20" s="403"/>
      <c r="J20" s="403"/>
      <c r="K20" s="403"/>
      <c r="L20" s="403"/>
      <c r="M20" s="403"/>
      <c r="N20" s="403"/>
      <c r="O20" s="403"/>
      <c r="P20" s="403"/>
      <c r="Q20" s="403"/>
      <c r="R20" s="403"/>
      <c r="S20" s="403"/>
      <c r="T20" s="404"/>
      <c r="W20" s="201"/>
      <c r="X20" s="405" t="s">
        <v>36</v>
      </c>
      <c r="Y20" s="396">
        <f>SUMIF(D40:D186,"BP*",F40:F186)</f>
        <v>12</v>
      </c>
      <c r="Z20" s="396">
        <f>SUMIF(D40:D186,"BP*",X40:X186)</f>
        <v>4170</v>
      </c>
      <c r="AA20" s="397" t="str">
        <f>IFERROR( AVERAGEIF($D$40:$D186,"BP*",$AB$40:$AB186),"")</f>
        <v/>
      </c>
      <c r="AB20" s="396">
        <f>SUMIF(D40:D186,"BP*",Z40:Z186)</f>
        <v>48</v>
      </c>
      <c r="AC20" s="399" t="str">
        <f>IFERROR( AVERAGEIF($D$40:$D186,"BP*",$M$40:$M186),"")</f>
        <v/>
      </c>
      <c r="AE20" s="203"/>
      <c r="AF20" s="204"/>
      <c r="AG20" s="406" t="s">
        <v>291</v>
      </c>
      <c r="BW20" s="34"/>
      <c r="BZ20" s="261" t="s">
        <v>292</v>
      </c>
      <c r="CC20" s="83" t="s">
        <v>293</v>
      </c>
      <c r="CD20" s="83" t="s">
        <v>248</v>
      </c>
      <c r="CE20" s="83" t="s">
        <v>294</v>
      </c>
      <c r="CF20" s="262"/>
      <c r="CG20" s="83"/>
      <c r="CH20" s="289" t="str">
        <f t="array" ref="CH20">IF(NOT($D$37=12),IFERROR(INDIRECT("'Bloque "&amp;$D$38&amp;" Semana "&amp;"12"&amp;"'"&amp;"!"&amp;"E37"),""),"S12")</f>
        <v/>
      </c>
      <c r="CI20" s="316" t="str">
        <f t="shared" si="21"/>
        <v/>
      </c>
      <c r="CJ20" s="224" t="str">
        <f t="shared" si="22"/>
        <v/>
      </c>
      <c r="CK20" s="85" t="str">
        <f t="shared" si="23"/>
        <v/>
      </c>
      <c r="CL20" s="85" t="str">
        <f t="shared" si="30"/>
        <v/>
      </c>
      <c r="CM20" s="168" t="str">
        <f t="shared" si="24"/>
        <v/>
      </c>
      <c r="CN20" s="327" t="str">
        <f t="shared" si="31"/>
        <v/>
      </c>
      <c r="CO20" s="168" t="str">
        <f t="shared" si="25"/>
        <v/>
      </c>
      <c r="CP20" s="168" t="str">
        <f t="shared" si="26"/>
        <v/>
      </c>
      <c r="CQ20" s="294" t="str">
        <f t="shared" si="27"/>
        <v/>
      </c>
      <c r="CR20" s="328" t="str">
        <f t="shared" si="32"/>
        <v/>
      </c>
      <c r="CS20" s="212"/>
      <c r="CT20" s="319"/>
      <c r="DE20" s="407"/>
      <c r="DF20" s="407"/>
      <c r="DG20" s="407"/>
      <c r="DH20" s="407"/>
      <c r="DI20" s="407"/>
      <c r="DJ20" s="144" t="s">
        <v>156</v>
      </c>
      <c r="DK20" s="108"/>
      <c r="DL20" s="108"/>
      <c r="DM20" s="108"/>
      <c r="DN20" s="108"/>
      <c r="DO20" s="108"/>
      <c r="DP20" s="108"/>
      <c r="DQ20" s="108"/>
      <c r="DR20" s="108"/>
      <c r="DS20" s="108"/>
      <c r="DT20" s="108"/>
      <c r="DU20" s="108"/>
      <c r="DV20" s="108"/>
      <c r="DW20" s="108"/>
      <c r="DX20" s="108"/>
      <c r="DY20" s="108"/>
      <c r="DZ20" s="108"/>
      <c r="EA20" s="108"/>
      <c r="EB20" s="108"/>
      <c r="EC20" s="407"/>
      <c r="ED20" s="120" t="str">
        <f t="shared" si="40"/>
        <v>Bisagra de Cadera</v>
      </c>
      <c r="EE20" s="231" t="str">
        <f t="shared" ref="EE20:EV20" si="41">IFERROR(INDIRECT("'Bloque "&amp;$D$38&amp;" Semana "&amp;MID(EE18,2,2)&amp;"'"&amp;"!"&amp;"CE22"),"")</f>
        <v/>
      </c>
      <c r="EF20" s="231" t="str">
        <f t="shared" si="41"/>
        <v/>
      </c>
      <c r="EG20" s="231" t="str">
        <f t="shared" si="41"/>
        <v/>
      </c>
      <c r="EH20" s="231" t="str">
        <f t="shared" si="41"/>
        <v/>
      </c>
      <c r="EI20" s="231" t="str">
        <f t="shared" si="41"/>
        <v/>
      </c>
      <c r="EJ20" s="231" t="str">
        <f t="shared" si="41"/>
        <v/>
      </c>
      <c r="EK20" s="231" t="str">
        <f t="shared" si="41"/>
        <v/>
      </c>
      <c r="EL20" s="231" t="str">
        <f t="shared" si="41"/>
        <v/>
      </c>
      <c r="EM20" s="231" t="str">
        <f t="shared" si="41"/>
        <v/>
      </c>
      <c r="EN20" s="231" t="str">
        <f t="shared" si="41"/>
        <v/>
      </c>
      <c r="EO20" s="231" t="str">
        <f t="shared" si="41"/>
        <v/>
      </c>
      <c r="EP20" s="231" t="str">
        <f t="shared" si="41"/>
        <v/>
      </c>
      <c r="EQ20" s="231" t="str">
        <f t="shared" si="41"/>
        <v/>
      </c>
      <c r="ER20" s="231" t="str">
        <f t="shared" si="41"/>
        <v/>
      </c>
      <c r="ES20" s="231" t="str">
        <f t="shared" si="41"/>
        <v/>
      </c>
      <c r="ET20" s="231" t="str">
        <f t="shared" si="41"/>
        <v/>
      </c>
      <c r="EU20" s="231" t="str">
        <f t="shared" si="41"/>
        <v/>
      </c>
      <c r="EV20" s="231" t="str">
        <f t="shared" si="41"/>
        <v/>
      </c>
      <c r="EX20" s="208" t="s">
        <v>4</v>
      </c>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208"/>
      <c r="FU20" s="208"/>
      <c r="FV20" s="208"/>
      <c r="FW20" s="208"/>
      <c r="FX20" s="208"/>
      <c r="FY20" s="208"/>
      <c r="FZ20" s="84" t="str">
        <f t="array" ref="FZ20">IF(NOT($D$37=17),IFERROR(INDIRECT("'Bloque "&amp;$D$38&amp;" Semana "&amp;"17"&amp;"'"&amp;"!"&amp;"E37"),""),"S17")</f>
        <v/>
      </c>
      <c r="GA20" s="229" t="str">
        <f t="shared" si="4"/>
        <v/>
      </c>
      <c r="GB20" s="212" t="str">
        <f t="shared" si="5"/>
        <v/>
      </c>
      <c r="GC20" s="84" t="str">
        <f t="array" ref="GC20">IF(NOT($D$37=17),IFERROR(INDIRECT("'Bloque "&amp;$D$38&amp;" Semana "&amp;"17"&amp;"'"&amp;"!"&amp;"E37"),""),"S17")</f>
        <v/>
      </c>
      <c r="GD20" s="229" t="str">
        <f t="shared" si="6"/>
        <v/>
      </c>
      <c r="GE20" s="212" t="str">
        <f t="shared" si="7"/>
        <v/>
      </c>
      <c r="GF20" s="84" t="str">
        <f t="array" ref="GF20">IF(NOT($D$37=17),IFERROR(INDIRECT("'Bloque "&amp;$D$38&amp;" Semana "&amp;"17"&amp;"'"&amp;"!"&amp;"E37"),""),"S17")</f>
        <v/>
      </c>
      <c r="GG20" s="229" t="str">
        <f t="shared" si="8"/>
        <v/>
      </c>
      <c r="GH20" s="212" t="str">
        <f t="shared" si="9"/>
        <v/>
      </c>
    </row>
    <row r="21" ht="21.75" customHeight="1">
      <c r="B21" s="199"/>
      <c r="D21" s="106"/>
      <c r="E21" s="4"/>
      <c r="F21" s="193"/>
      <c r="U21" s="408"/>
      <c r="V21" s="408"/>
      <c r="W21" s="201"/>
      <c r="X21" s="409" t="s">
        <v>42</v>
      </c>
      <c r="Y21" s="396">
        <f>SUMIF(D40:D186,"DL*",F40:F186)</f>
        <v>3</v>
      </c>
      <c r="Z21" s="396">
        <f>SUMIF(D40:D186,"DL*",X40:X186)</f>
        <v>3240</v>
      </c>
      <c r="AA21" s="397" t="str">
        <f>IFERROR( AVERAGEIF($D$40:$D186,"DL*",$AB$40:$AB186),"")</f>
        <v/>
      </c>
      <c r="AB21" s="396">
        <f>SUMIF(D40:D186,"DL*",Z40:Z186)</f>
        <v>18</v>
      </c>
      <c r="AC21" s="399" t="str">
        <f>IFERROR( AVERAGEIF($D$40:$D186,"DL*",$M$40:$M186),"")</f>
        <v/>
      </c>
      <c r="AE21" s="203"/>
      <c r="AF21" s="204"/>
      <c r="AG21" s="410"/>
      <c r="AH21" s="411"/>
      <c r="AI21" s="391"/>
      <c r="AJ21" s="391"/>
      <c r="AK21" s="391"/>
      <c r="AL21" s="391"/>
      <c r="AM21" s="412" t="s">
        <v>295</v>
      </c>
      <c r="AQ21" s="412" t="s">
        <v>296</v>
      </c>
      <c r="AU21" s="412" t="s">
        <v>297</v>
      </c>
      <c r="AY21" s="412" t="s">
        <v>298</v>
      </c>
      <c r="BC21" s="391"/>
      <c r="BD21" s="391"/>
      <c r="BE21" s="391"/>
      <c r="BF21" s="412" t="s">
        <v>299</v>
      </c>
      <c r="BJ21" s="412" t="s">
        <v>300</v>
      </c>
      <c r="BN21" s="412" t="s">
        <v>301</v>
      </c>
      <c r="BR21" s="391"/>
      <c r="BS21" s="391"/>
      <c r="BT21" s="391"/>
      <c r="BU21" s="413"/>
      <c r="BV21" s="414"/>
      <c r="BW21" s="415"/>
      <c r="BZ21" s="416" t="s">
        <v>302</v>
      </c>
      <c r="CC21" s="417">
        <f t="shared" ref="CC21:CC33" si="44">SUMIF($D$40:$D186,BZ21,$AD$40:$AD186)</f>
        <v>4</v>
      </c>
      <c r="CD21" s="417">
        <f t="shared" ref="CD21:CD33" si="45">SUMIF($D$40:$D186,BZ21,$CC$40:$CC186)</f>
        <v>31</v>
      </c>
      <c r="CE21" s="418">
        <f t="shared" ref="CE21:CE33" si="46">IFERROR( AVERAGEIF($D$40:$D186,BZ21,$CD$40:$CD186),"")</f>
        <v>0</v>
      </c>
      <c r="CF21" s="419"/>
      <c r="CG21" s="418"/>
      <c r="CH21" s="289" t="str">
        <f t="array" ref="CH21">IF(NOT($D$37=13),IFERROR(INDIRECT("'Bloque "&amp;$D$38&amp;" Semana "&amp;"13"&amp;"'"&amp;"!"&amp;"E37"),""),"S13")</f>
        <v/>
      </c>
      <c r="CI21" s="316" t="str">
        <f t="shared" si="21"/>
        <v/>
      </c>
      <c r="CJ21" s="224" t="str">
        <f t="shared" si="22"/>
        <v/>
      </c>
      <c r="CK21" s="85" t="str">
        <f t="shared" si="23"/>
        <v/>
      </c>
      <c r="CL21" s="85" t="str">
        <f t="shared" si="30"/>
        <v/>
      </c>
      <c r="CM21" s="168" t="str">
        <f t="shared" si="24"/>
        <v/>
      </c>
      <c r="CN21" s="327" t="str">
        <f t="shared" si="31"/>
        <v/>
      </c>
      <c r="CO21" s="168" t="str">
        <f t="shared" si="25"/>
        <v/>
      </c>
      <c r="CP21" s="168" t="str">
        <f t="shared" si="26"/>
        <v/>
      </c>
      <c r="CQ21" s="294" t="str">
        <f t="shared" si="27"/>
        <v/>
      </c>
      <c r="CR21" s="328" t="str">
        <f t="shared" si="32"/>
        <v/>
      </c>
      <c r="CS21" s="212"/>
      <c r="CT21" s="319"/>
      <c r="DE21" s="4"/>
      <c r="DJ21" s="83"/>
      <c r="DK21" s="227" t="str">
        <f t="array" ref="DK21">IF(NOT($D$37=1),IFERROR(INDIRECT("'Bloque "&amp;$D$38&amp;" Semana "&amp;"1"&amp;"'"&amp;"!"&amp;"E37"),""),"S1")</f>
        <v/>
      </c>
      <c r="DL21" s="227" t="str">
        <f t="array" ref="DL21">IF(NOT($D$37=2),IFERROR(INDIRECT("'Bloque "&amp;$D$38&amp;" Semana "&amp;"2"&amp;"'"&amp;"!"&amp;"E37"),""),"S2")</f>
        <v/>
      </c>
      <c r="DM21" s="227" t="str">
        <f t="array" ref="DM21">IF(NOT($D$37=3),IFERROR(INDIRECT("'Bloque "&amp;$D$38&amp;" Semana "&amp;"3"&amp;"'"&amp;"!"&amp;"E37"),""),"S3")</f>
        <v>S3</v>
      </c>
      <c r="DN21" s="227" t="str">
        <f t="array" ref="DN21">IF(NOT($D$37=4),IFERROR(INDIRECT("'Bloque "&amp;$D$38&amp;" Semana "&amp;"4"&amp;"'"&amp;"!"&amp;"E37"),""),"S4")</f>
        <v/>
      </c>
      <c r="DO21" s="227" t="str">
        <f t="array" ref="DO21">IF(NOT($D$37=5),IFERROR(INDIRECT("'Bloque "&amp;$D$38&amp;" Semana "&amp;"5"&amp;"'"&amp;"!"&amp;"E37"),""),"S5")</f>
        <v/>
      </c>
      <c r="DP21" s="227" t="str">
        <f t="array" ref="DP21">IF(NOT($D$37=6),IFERROR(INDIRECT("'Bloque "&amp;$D$38&amp;" Semana "&amp;"6"&amp;"'"&amp;"!"&amp;"E37"),""),"S6")</f>
        <v/>
      </c>
      <c r="DQ21" s="227" t="str">
        <f t="array" ref="DQ21">IF(NOT($D$37=7),IFERROR(INDIRECT("'Bloque "&amp;$D$38&amp;" Semana "&amp;"7"&amp;"'"&amp;"!"&amp;"E37"),""),"S7")</f>
        <v/>
      </c>
      <c r="DR21" s="227" t="str">
        <f t="array" ref="DR21">IF(NOT($D$37=8),IFERROR(INDIRECT("'Bloque "&amp;$D$38&amp;" Semana "&amp;"8"&amp;"'"&amp;"!"&amp;"E37"),""),"S8")</f>
        <v/>
      </c>
      <c r="DS21" s="227" t="str">
        <f t="array" ref="DS21">IF(NOT($D$37=9),IFERROR(INDIRECT("'Bloque "&amp;$D$38&amp;" Semana "&amp;"9"&amp;"'"&amp;"!"&amp;"E37"),""),"S9")</f>
        <v/>
      </c>
      <c r="DT21" s="227" t="str">
        <f t="array" ref="DT21">IF(NOT($D$37=10),IFERROR(INDIRECT("'Bloque "&amp;$D$38&amp;" Semana "&amp;"10"&amp;"'"&amp;"!"&amp;"E37"),""),"S10")</f>
        <v/>
      </c>
      <c r="DU21" s="227" t="str">
        <f t="array" ref="DU21">IF(NOT($D$37=11),IFERROR(INDIRECT("'Bloque "&amp;$D$38&amp;" Semana "&amp;"11"&amp;"'"&amp;"!"&amp;"E37"),""),"S11")</f>
        <v/>
      </c>
      <c r="DV21" s="227" t="str">
        <f t="array" ref="DV21">IF(NOT($D$37=12),IFERROR(INDIRECT("'Bloque "&amp;$D$38&amp;" Semana "&amp;"12"&amp;"'"&amp;"!"&amp;"E37"),""),"S12")</f>
        <v/>
      </c>
      <c r="DW21" s="227" t="str">
        <f t="array" ref="DW21">IF(NOT($D$37=13),IFERROR(INDIRECT("'Bloque "&amp;$D$38&amp;" Semana "&amp;"13"&amp;"'"&amp;"!"&amp;"E37"),""),"S13")</f>
        <v/>
      </c>
      <c r="DX21" s="227" t="str">
        <f t="array" ref="DX21">IF(NOT($D$37=14),IFERROR(INDIRECT("'Bloque "&amp;$D$38&amp;" Semana "&amp;"14"&amp;"'"&amp;"!"&amp;"E37"),""),"S14")</f>
        <v/>
      </c>
      <c r="DY21" s="227" t="str">
        <f t="array" ref="DY21">IF(NOT($D$37=15),IFERROR(INDIRECT("'Bloque "&amp;$D$38&amp;" Semana "&amp;"15"&amp;"'"&amp;"!"&amp;"E37"),""),"S15")</f>
        <v/>
      </c>
      <c r="DZ21" s="227" t="str">
        <f t="array" ref="DZ21">IF(NOT($D$37=16),IFERROR(INDIRECT("'Bloque "&amp;$D$38&amp;" Semana "&amp;"16"&amp;"'"&amp;"!"&amp;"E37"),""),"S16")</f>
        <v/>
      </c>
      <c r="EA21" s="227" t="str">
        <f t="array" ref="EA21">IF(NOT($D$37=17),IFERROR(INDIRECT("'Bloque "&amp;$D$38&amp;" Semana "&amp;"17"&amp;"'"&amp;"!"&amp;"E37"),""),"S17")</f>
        <v/>
      </c>
      <c r="EB21" s="227" t="str">
        <f t="array" ref="EB21">IF(NOT($D$37=18),IFERROR(INDIRECT("'Bloque "&amp;$D$38&amp;" Semana "&amp;"18"&amp;"'"&amp;"!"&amp;"E37"),""),"S18")</f>
        <v/>
      </c>
      <c r="ED21" s="120" t="str">
        <f t="shared" si="40"/>
        <v>Empuje Horizontal</v>
      </c>
      <c r="EE21" s="231" t="str">
        <f t="shared" ref="EE21:EV21" si="42">IFERROR(INDIRECT("'Bloque "&amp;$D$38&amp;" Semana "&amp;MID(EE18,2,2)&amp;"'"&amp;"!"&amp;"CE23"),"")</f>
        <v/>
      </c>
      <c r="EF21" s="231" t="str">
        <f t="shared" si="42"/>
        <v/>
      </c>
      <c r="EG21" s="231" t="str">
        <f t="shared" si="42"/>
        <v/>
      </c>
      <c r="EH21" s="231" t="str">
        <f t="shared" si="42"/>
        <v/>
      </c>
      <c r="EI21" s="231" t="str">
        <f t="shared" si="42"/>
        <v/>
      </c>
      <c r="EJ21" s="231" t="str">
        <f t="shared" si="42"/>
        <v/>
      </c>
      <c r="EK21" s="231" t="str">
        <f t="shared" si="42"/>
        <v/>
      </c>
      <c r="EL21" s="231" t="str">
        <f t="shared" si="42"/>
        <v/>
      </c>
      <c r="EM21" s="231" t="str">
        <f t="shared" si="42"/>
        <v/>
      </c>
      <c r="EN21" s="231" t="str">
        <f t="shared" si="42"/>
        <v/>
      </c>
      <c r="EO21" s="231" t="str">
        <f t="shared" si="42"/>
        <v/>
      </c>
      <c r="EP21" s="231" t="str">
        <f t="shared" si="42"/>
        <v/>
      </c>
      <c r="EQ21" s="231" t="str">
        <f t="shared" si="42"/>
        <v/>
      </c>
      <c r="ER21" s="231" t="str">
        <f t="shared" si="42"/>
        <v/>
      </c>
      <c r="ES21" s="231" t="str">
        <f t="shared" si="42"/>
        <v/>
      </c>
      <c r="ET21" s="231" t="str">
        <f t="shared" si="42"/>
        <v/>
      </c>
      <c r="EU21" s="231" t="str">
        <f t="shared" si="42"/>
        <v/>
      </c>
      <c r="EV21" s="231" t="str">
        <f t="shared" si="42"/>
        <v/>
      </c>
      <c r="EX21" s="208" t="s">
        <v>303</v>
      </c>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420" t="str">
        <f t="array" ref="FZ21">IF(NOT($D$37=18),IFERROR(INDIRECT("'Bloque "&amp;$D$38&amp;" Semana "&amp;"18"&amp;"'"&amp;"!"&amp;"E37"),""),"S18")</f>
        <v/>
      </c>
      <c r="GA21" s="229" t="str">
        <f t="shared" si="4"/>
        <v/>
      </c>
      <c r="GB21" s="212" t="str">
        <f t="shared" si="5"/>
        <v/>
      </c>
      <c r="GC21" s="420" t="str">
        <f t="array" ref="GC21">IF(NOT($D$37=18),IFERROR(INDIRECT("'Bloque "&amp;$D$38&amp;" Semana "&amp;"18"&amp;"'"&amp;"!"&amp;"E37"),""),"S18")</f>
        <v/>
      </c>
      <c r="GD21" s="229" t="str">
        <f t="shared" si="6"/>
        <v/>
      </c>
      <c r="GE21" s="212" t="str">
        <f t="shared" si="7"/>
        <v/>
      </c>
      <c r="GF21" s="420" t="str">
        <f t="array" ref="GF21">IF(NOT($D$37=18),IFERROR(INDIRECT("'Bloque "&amp;$D$38&amp;" Semana "&amp;"18"&amp;"'"&amp;"!"&amp;"E37"),""),"S18")</f>
        <v/>
      </c>
      <c r="GG21" s="229" t="str">
        <f t="shared" si="8"/>
        <v/>
      </c>
      <c r="GH21" s="212" t="str">
        <f t="shared" si="9"/>
        <v/>
      </c>
    </row>
    <row r="22">
      <c r="B22" s="199"/>
      <c r="D22" s="106"/>
      <c r="E22" s="421" t="s">
        <v>304</v>
      </c>
      <c r="U22" s="408"/>
      <c r="V22" s="408"/>
      <c r="W22" s="201"/>
      <c r="X22" s="422" t="s">
        <v>105</v>
      </c>
      <c r="Y22" s="423">
        <f t="shared" ref="Y22:Z22" si="43">SUM(Y19:Y21)</f>
        <v>21</v>
      </c>
      <c r="Z22" s="423">
        <f t="shared" si="43"/>
        <v>11932.5</v>
      </c>
      <c r="AA22" s="424" t="str">
        <f>IFERROR( AVERAGE(AA19:AA21),"")</f>
        <v/>
      </c>
      <c r="AB22" s="425">
        <f>SUM(AB19:AB21)</f>
        <v>99</v>
      </c>
      <c r="AC22" s="426" t="str">
        <f>IFERROR( AVERAGE(AC19:AC21),"")</f>
        <v/>
      </c>
      <c r="AD22" s="427"/>
      <c r="AE22" s="203"/>
      <c r="AF22" s="204"/>
      <c r="AG22" s="428"/>
      <c r="AI22" s="391"/>
      <c r="AJ22" s="412" t="s">
        <v>305</v>
      </c>
      <c r="AM22" s="85"/>
      <c r="AQ22" s="429"/>
      <c r="AU22" s="429"/>
      <c r="AY22" s="429"/>
      <c r="BC22" s="412" t="s">
        <v>306</v>
      </c>
      <c r="BF22" s="429"/>
      <c r="BJ22" s="429"/>
      <c r="BN22" s="429"/>
      <c r="BR22" s="391"/>
      <c r="BS22" s="391"/>
      <c r="BT22" s="391"/>
      <c r="BU22" s="430"/>
      <c r="BV22" s="391"/>
      <c r="BW22" s="431"/>
      <c r="BZ22" s="432" t="s">
        <v>307</v>
      </c>
      <c r="CC22" s="417">
        <f t="shared" si="44"/>
        <v>0</v>
      </c>
      <c r="CD22" s="417">
        <f t="shared" si="45"/>
        <v>0</v>
      </c>
      <c r="CE22" s="418" t="str">
        <f t="shared" si="46"/>
        <v/>
      </c>
      <c r="CF22" s="419"/>
      <c r="CG22" s="418"/>
      <c r="CH22" s="289" t="str">
        <f t="array" ref="CH22">IF(NOT($D$37=14),IFERROR(INDIRECT("'Bloque "&amp;$D$38&amp;" Semana "&amp;"14"&amp;"'"&amp;"!"&amp;"E37"),""),"S14")</f>
        <v/>
      </c>
      <c r="CI22" s="316" t="str">
        <f t="shared" si="21"/>
        <v/>
      </c>
      <c r="CJ22" s="224" t="str">
        <f t="shared" si="22"/>
        <v/>
      </c>
      <c r="CK22" s="85" t="str">
        <f t="shared" si="23"/>
        <v/>
      </c>
      <c r="CL22" s="85" t="str">
        <f t="shared" si="30"/>
        <v/>
      </c>
      <c r="CM22" s="168" t="str">
        <f t="shared" si="24"/>
        <v/>
      </c>
      <c r="CN22" s="327" t="str">
        <f t="shared" si="31"/>
        <v/>
      </c>
      <c r="CO22" s="168" t="str">
        <f t="shared" si="25"/>
        <v/>
      </c>
      <c r="CP22" s="168" t="str">
        <f t="shared" si="26"/>
        <v/>
      </c>
      <c r="CQ22" s="294" t="str">
        <f t="shared" si="27"/>
        <v/>
      </c>
      <c r="CR22" s="328" t="str">
        <f t="shared" si="32"/>
        <v/>
      </c>
      <c r="CS22" s="212"/>
      <c r="CT22" s="319"/>
      <c r="DE22" s="4"/>
      <c r="DJ22" s="120" t="s">
        <v>21</v>
      </c>
      <c r="DK22" s="93" t="str">
        <f t="shared" ref="DK22:EB22" si="47">IFERROR(INDIRECT("'Bloque "&amp;$D$38&amp;" Semana "&amp;MID(DK15,2,2)&amp;"'"&amp;"!"&amp;"CE15"),"")</f>
        <v/>
      </c>
      <c r="DL22" s="93" t="str">
        <f t="shared" si="47"/>
        <v/>
      </c>
      <c r="DM22" s="93" t="str">
        <f t="shared" si="47"/>
        <v/>
      </c>
      <c r="DN22" s="93" t="str">
        <f t="shared" si="47"/>
        <v/>
      </c>
      <c r="DO22" s="93" t="str">
        <f t="shared" si="47"/>
        <v/>
      </c>
      <c r="DP22" s="93" t="str">
        <f t="shared" si="47"/>
        <v/>
      </c>
      <c r="DQ22" s="93" t="str">
        <f t="shared" si="47"/>
        <v/>
      </c>
      <c r="DR22" s="93" t="str">
        <f t="shared" si="47"/>
        <v/>
      </c>
      <c r="DS22" s="93" t="str">
        <f t="shared" si="47"/>
        <v/>
      </c>
      <c r="DT22" s="93" t="str">
        <f t="shared" si="47"/>
        <v/>
      </c>
      <c r="DU22" s="93" t="str">
        <f t="shared" si="47"/>
        <v/>
      </c>
      <c r="DV22" s="93" t="str">
        <f t="shared" si="47"/>
        <v/>
      </c>
      <c r="DW22" s="93" t="str">
        <f t="shared" si="47"/>
        <v/>
      </c>
      <c r="DX22" s="93" t="str">
        <f t="shared" si="47"/>
        <v/>
      </c>
      <c r="DY22" s="93" t="str">
        <f t="shared" si="47"/>
        <v/>
      </c>
      <c r="DZ22" s="93" t="str">
        <f t="shared" si="47"/>
        <v/>
      </c>
      <c r="EA22" s="93" t="str">
        <f t="shared" si="47"/>
        <v/>
      </c>
      <c r="EB22" s="93" t="str">
        <f t="shared" si="47"/>
        <v/>
      </c>
      <c r="ED22" s="120" t="str">
        <f t="shared" si="40"/>
        <v>Empuje Vertical</v>
      </c>
      <c r="EE22" s="269" t="str">
        <f t="shared" ref="EE22:EV22" si="48">IFERROR(INDIRECT("'Bloque "&amp;$D$38&amp;" Semana "&amp;MID(EE18,2,2)&amp;"'"&amp;"!"&amp;"CE24"),"")</f>
        <v/>
      </c>
      <c r="EF22" s="269" t="str">
        <f t="shared" si="48"/>
        <v/>
      </c>
      <c r="EG22" s="269" t="str">
        <f t="shared" si="48"/>
        <v/>
      </c>
      <c r="EH22" s="269" t="str">
        <f t="shared" si="48"/>
        <v/>
      </c>
      <c r="EI22" s="269" t="str">
        <f t="shared" si="48"/>
        <v/>
      </c>
      <c r="EJ22" s="269" t="str">
        <f t="shared" si="48"/>
        <v/>
      </c>
      <c r="EK22" s="269" t="str">
        <f t="shared" si="48"/>
        <v/>
      </c>
      <c r="EL22" s="269" t="str">
        <f t="shared" si="48"/>
        <v/>
      </c>
      <c r="EM22" s="269" t="str">
        <f t="shared" si="48"/>
        <v/>
      </c>
      <c r="EN22" s="269" t="str">
        <f t="shared" si="48"/>
        <v/>
      </c>
      <c r="EO22" s="269" t="str">
        <f t="shared" si="48"/>
        <v/>
      </c>
      <c r="EP22" s="269" t="str">
        <f t="shared" si="48"/>
        <v/>
      </c>
      <c r="EQ22" s="269" t="str">
        <f t="shared" si="48"/>
        <v/>
      </c>
      <c r="ER22" s="269" t="str">
        <f t="shared" si="48"/>
        <v/>
      </c>
      <c r="ES22" s="269" t="str">
        <f t="shared" si="48"/>
        <v/>
      </c>
      <c r="ET22" s="269" t="str">
        <f t="shared" si="48"/>
        <v/>
      </c>
      <c r="EU22" s="269" t="str">
        <f t="shared" si="48"/>
        <v/>
      </c>
      <c r="EV22" s="269" t="str">
        <f t="shared" si="48"/>
        <v/>
      </c>
      <c r="EX22" s="208" t="s">
        <v>308</v>
      </c>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row>
    <row r="23">
      <c r="B23" s="199"/>
      <c r="D23" s="106"/>
      <c r="U23" s="408"/>
      <c r="V23" s="408"/>
      <c r="W23" s="201"/>
      <c r="X23" s="433" t="s">
        <v>290</v>
      </c>
      <c r="Y23" s="434" t="s">
        <v>286</v>
      </c>
      <c r="Z23" s="435" t="s">
        <v>294</v>
      </c>
      <c r="AA23" s="436" t="s">
        <v>248</v>
      </c>
      <c r="AB23" s="437"/>
      <c r="AC23" s="438"/>
      <c r="AD23" s="439"/>
      <c r="AE23" s="203"/>
      <c r="AF23" s="204"/>
      <c r="AG23" s="440"/>
      <c r="AH23" s="413"/>
      <c r="AI23" s="391"/>
      <c r="AJ23" s="391"/>
      <c r="AK23" s="441"/>
      <c r="AL23" s="441"/>
      <c r="AM23" s="412" t="s">
        <v>309</v>
      </c>
      <c r="AQ23" s="412" t="s">
        <v>310</v>
      </c>
      <c r="AU23" s="412" t="s">
        <v>311</v>
      </c>
      <c r="AY23" s="412" t="s">
        <v>312</v>
      </c>
      <c r="BC23" s="411"/>
      <c r="BD23" s="411"/>
      <c r="BE23" s="411"/>
      <c r="BF23" s="411"/>
      <c r="BG23" s="411"/>
      <c r="BH23" s="411"/>
      <c r="BI23" s="411"/>
      <c r="BJ23" s="411"/>
      <c r="BK23" s="411"/>
      <c r="BL23" s="411"/>
      <c r="BM23" s="411"/>
      <c r="BN23" s="391"/>
      <c r="BO23" s="391"/>
      <c r="BP23" s="391"/>
      <c r="BQ23" s="391"/>
      <c r="BR23" s="391"/>
      <c r="BS23" s="391"/>
      <c r="BT23" s="391"/>
      <c r="BU23" s="430"/>
      <c r="BV23" s="391"/>
      <c r="BW23" s="431"/>
      <c r="BZ23" s="442" t="s">
        <v>313</v>
      </c>
      <c r="CC23" s="417">
        <f t="shared" si="44"/>
        <v>6</v>
      </c>
      <c r="CD23" s="417">
        <f t="shared" si="45"/>
        <v>49</v>
      </c>
      <c r="CE23" s="418">
        <f t="shared" si="46"/>
        <v>2.333333333</v>
      </c>
      <c r="CF23" s="419"/>
      <c r="CG23" s="418"/>
      <c r="CH23" s="289" t="str">
        <f t="array" ref="CH23">IF(NOT($D$37=15),IFERROR(INDIRECT("'Bloque "&amp;$D$38&amp;" Semana "&amp;"15"&amp;"'"&amp;"!"&amp;"E37"),""),"S15")</f>
        <v/>
      </c>
      <c r="CI23" s="316" t="str">
        <f t="shared" si="21"/>
        <v/>
      </c>
      <c r="CJ23" s="224" t="str">
        <f t="shared" si="22"/>
        <v/>
      </c>
      <c r="CK23" s="85" t="str">
        <f t="shared" si="23"/>
        <v/>
      </c>
      <c r="CL23" s="85" t="str">
        <f t="shared" si="30"/>
        <v/>
      </c>
      <c r="CM23" s="168" t="str">
        <f t="shared" si="24"/>
        <v/>
      </c>
      <c r="CN23" s="327" t="str">
        <f t="shared" si="31"/>
        <v/>
      </c>
      <c r="CO23" s="168" t="str">
        <f t="shared" si="25"/>
        <v/>
      </c>
      <c r="CP23" s="168" t="str">
        <f t="shared" si="26"/>
        <v/>
      </c>
      <c r="CQ23" s="294" t="str">
        <f t="shared" si="27"/>
        <v/>
      </c>
      <c r="CR23" s="328" t="str">
        <f t="shared" si="32"/>
        <v/>
      </c>
      <c r="CS23" s="212"/>
      <c r="CT23" s="319"/>
      <c r="DE23" s="4"/>
      <c r="DJ23" s="120" t="s">
        <v>36</v>
      </c>
      <c r="DK23" s="93" t="str">
        <f t="shared" ref="DK23:EB23" si="49">IFERROR(INDIRECT("'Bloque "&amp;$D$38&amp;" Semana "&amp;MID(DK15,2,2)&amp;"'"&amp;"!"&amp;"CE16"),"")</f>
        <v/>
      </c>
      <c r="DL23" s="93" t="str">
        <f t="shared" si="49"/>
        <v/>
      </c>
      <c r="DM23" s="93" t="str">
        <f t="shared" si="49"/>
        <v/>
      </c>
      <c r="DN23" s="93" t="str">
        <f t="shared" si="49"/>
        <v/>
      </c>
      <c r="DO23" s="93" t="str">
        <f t="shared" si="49"/>
        <v/>
      </c>
      <c r="DP23" s="93" t="str">
        <f t="shared" si="49"/>
        <v/>
      </c>
      <c r="DQ23" s="93" t="str">
        <f t="shared" si="49"/>
        <v/>
      </c>
      <c r="DR23" s="93" t="str">
        <f t="shared" si="49"/>
        <v/>
      </c>
      <c r="DS23" s="93" t="str">
        <f t="shared" si="49"/>
        <v/>
      </c>
      <c r="DT23" s="93" t="str">
        <f t="shared" si="49"/>
        <v/>
      </c>
      <c r="DU23" s="93" t="str">
        <f t="shared" si="49"/>
        <v/>
      </c>
      <c r="DV23" s="93" t="str">
        <f t="shared" si="49"/>
        <v/>
      </c>
      <c r="DW23" s="93" t="str">
        <f t="shared" si="49"/>
        <v/>
      </c>
      <c r="DX23" s="93" t="str">
        <f t="shared" si="49"/>
        <v/>
      </c>
      <c r="DY23" s="93" t="str">
        <f t="shared" si="49"/>
        <v/>
      </c>
      <c r="DZ23" s="93" t="str">
        <f t="shared" si="49"/>
        <v/>
      </c>
      <c r="EA23" s="93" t="str">
        <f t="shared" si="49"/>
        <v/>
      </c>
      <c r="EB23" s="93" t="str">
        <f t="shared" si="49"/>
        <v/>
      </c>
      <c r="ED23" s="120" t="str">
        <f t="shared" si="40"/>
        <v>Tracción Horizontal</v>
      </c>
      <c r="EE23" s="269" t="str">
        <f t="shared" ref="EE23:EV23" si="50">IFERROR(INDIRECT("'Bloque "&amp;$D$38&amp;" Semana "&amp;MID(EE18,2,2)&amp;"'"&amp;"!"&amp;"CE25"),"")</f>
        <v/>
      </c>
      <c r="EF23" s="269" t="str">
        <f t="shared" si="50"/>
        <v/>
      </c>
      <c r="EG23" s="269" t="str">
        <f t="shared" si="50"/>
        <v/>
      </c>
      <c r="EH23" s="269" t="str">
        <f t="shared" si="50"/>
        <v/>
      </c>
      <c r="EI23" s="269" t="str">
        <f t="shared" si="50"/>
        <v/>
      </c>
      <c r="EJ23" s="269" t="str">
        <f t="shared" si="50"/>
        <v/>
      </c>
      <c r="EK23" s="269" t="str">
        <f t="shared" si="50"/>
        <v/>
      </c>
      <c r="EL23" s="269" t="str">
        <f t="shared" si="50"/>
        <v/>
      </c>
      <c r="EM23" s="269" t="str">
        <f t="shared" si="50"/>
        <v/>
      </c>
      <c r="EN23" s="269" t="str">
        <f t="shared" si="50"/>
        <v/>
      </c>
      <c r="EO23" s="269" t="str">
        <f t="shared" si="50"/>
        <v/>
      </c>
      <c r="EP23" s="269" t="str">
        <f t="shared" si="50"/>
        <v/>
      </c>
      <c r="EQ23" s="269" t="str">
        <f t="shared" si="50"/>
        <v/>
      </c>
      <c r="ER23" s="269" t="str">
        <f t="shared" si="50"/>
        <v/>
      </c>
      <c r="ES23" s="269" t="str">
        <f t="shared" si="50"/>
        <v/>
      </c>
      <c r="ET23" s="269" t="str">
        <f t="shared" si="50"/>
        <v/>
      </c>
      <c r="EU23" s="269" t="str">
        <f t="shared" si="50"/>
        <v/>
      </c>
      <c r="EV23" s="269" t="str">
        <f t="shared" si="50"/>
        <v/>
      </c>
      <c r="EX23" s="208" t="s">
        <v>314</v>
      </c>
      <c r="EY23" s="208"/>
      <c r="EZ23" s="208"/>
      <c r="FA23" s="208"/>
      <c r="FB23" s="208"/>
      <c r="FC23" s="208"/>
      <c r="FD23" s="208"/>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row>
    <row r="24">
      <c r="B24" s="199"/>
      <c r="D24" s="106"/>
      <c r="U24" s="408"/>
      <c r="V24" s="408"/>
      <c r="W24" s="201"/>
      <c r="X24" s="443" t="s">
        <v>302</v>
      </c>
      <c r="Y24" s="444">
        <f t="shared" ref="Y24:Y36" si="53">SUMIF($D$40:$D186,X24,$F$40:$F186)</f>
        <v>13</v>
      </c>
      <c r="Z24" s="398">
        <f t="shared" ref="Z24:Z36" si="54">IFERROR( AVERAGEIF($D$40:$D186,X24,$K$40:$K186),"")</f>
        <v>1.75</v>
      </c>
      <c r="AA24" s="445">
        <f t="shared" ref="AA24:AA36" si="55">SUMIF($D$40:$D186,X24,$Z$40:$Z186)</f>
        <v>134</v>
      </c>
      <c r="AB24" s="446"/>
      <c r="AC24" s="212"/>
      <c r="AE24" s="203"/>
      <c r="AF24" s="204"/>
      <c r="AG24" s="428"/>
      <c r="AI24" s="391"/>
      <c r="AJ24" s="412" t="s">
        <v>315</v>
      </c>
      <c r="AM24" s="85"/>
      <c r="AQ24" s="85"/>
      <c r="AU24" s="429"/>
      <c r="AY24" s="429"/>
      <c r="BC24" s="412"/>
      <c r="BF24" s="411"/>
      <c r="BG24" s="411"/>
      <c r="BH24" s="411"/>
      <c r="BI24" s="411"/>
      <c r="BJ24" s="411"/>
      <c r="BK24" s="411"/>
      <c r="BL24" s="411"/>
      <c r="BM24" s="411"/>
      <c r="BN24" s="391"/>
      <c r="BO24" s="391"/>
      <c r="BP24" s="391"/>
      <c r="BQ24" s="391"/>
      <c r="BR24" s="391"/>
      <c r="BS24" s="391"/>
      <c r="BT24" s="391"/>
      <c r="BU24" s="430"/>
      <c r="BV24" s="391"/>
      <c r="BW24" s="431"/>
      <c r="BZ24" s="447" t="s">
        <v>316</v>
      </c>
      <c r="CC24" s="417">
        <f t="shared" si="44"/>
        <v>4</v>
      </c>
      <c r="CD24" s="417">
        <f t="shared" si="45"/>
        <v>34</v>
      </c>
      <c r="CE24" s="418">
        <f t="shared" si="46"/>
        <v>0.75</v>
      </c>
      <c r="CF24" s="419"/>
      <c r="CG24" s="418"/>
      <c r="CH24" s="289" t="str">
        <f t="array" ref="CH24">IF(NOT($D$37=16),IFERROR(INDIRECT("'Bloque "&amp;$D$38&amp;" Semana "&amp;"16"&amp;"'"&amp;"!"&amp;"E37"),""),"S16")</f>
        <v/>
      </c>
      <c r="CI24" s="316" t="str">
        <f t="shared" si="21"/>
        <v/>
      </c>
      <c r="CJ24" s="224" t="str">
        <f t="shared" si="22"/>
        <v/>
      </c>
      <c r="CK24" s="85" t="str">
        <f t="shared" si="23"/>
        <v/>
      </c>
      <c r="CL24" s="85" t="str">
        <f t="shared" si="30"/>
        <v/>
      </c>
      <c r="CM24" s="168" t="str">
        <f t="shared" si="24"/>
        <v/>
      </c>
      <c r="CN24" s="327" t="str">
        <f t="shared" si="31"/>
        <v/>
      </c>
      <c r="CO24" s="168" t="str">
        <f t="shared" si="25"/>
        <v/>
      </c>
      <c r="CP24" s="168" t="str">
        <f t="shared" si="26"/>
        <v/>
      </c>
      <c r="CQ24" s="294" t="str">
        <f t="shared" si="27"/>
        <v/>
      </c>
      <c r="CR24" s="328" t="str">
        <f t="shared" si="32"/>
        <v/>
      </c>
      <c r="CS24" s="212"/>
      <c r="CT24" s="319"/>
      <c r="DE24" s="4"/>
      <c r="DJ24" s="120" t="s">
        <v>42</v>
      </c>
      <c r="DK24" s="93" t="str">
        <f t="shared" ref="DK24:EB24" si="51">IFERROR(INDIRECT("'Bloque "&amp;$D$38&amp;" Semana "&amp;MID(DK15,2,2)&amp;"'"&amp;"!"&amp;"CE17"),"")</f>
        <v/>
      </c>
      <c r="DL24" s="93" t="str">
        <f t="shared" si="51"/>
        <v/>
      </c>
      <c r="DM24" s="93" t="str">
        <f t="shared" si="51"/>
        <v/>
      </c>
      <c r="DN24" s="93" t="str">
        <f t="shared" si="51"/>
        <v/>
      </c>
      <c r="DO24" s="93" t="str">
        <f t="shared" si="51"/>
        <v/>
      </c>
      <c r="DP24" s="93" t="str">
        <f t="shared" si="51"/>
        <v/>
      </c>
      <c r="DQ24" s="93" t="str">
        <f t="shared" si="51"/>
        <v/>
      </c>
      <c r="DR24" s="93" t="str">
        <f t="shared" si="51"/>
        <v/>
      </c>
      <c r="DS24" s="93" t="str">
        <f t="shared" si="51"/>
        <v/>
      </c>
      <c r="DT24" s="93" t="str">
        <f t="shared" si="51"/>
        <v/>
      </c>
      <c r="DU24" s="93" t="str">
        <f t="shared" si="51"/>
        <v/>
      </c>
      <c r="DV24" s="93" t="str">
        <f t="shared" si="51"/>
        <v/>
      </c>
      <c r="DW24" s="93" t="str">
        <f t="shared" si="51"/>
        <v/>
      </c>
      <c r="DX24" s="93" t="str">
        <f t="shared" si="51"/>
        <v/>
      </c>
      <c r="DY24" s="93" t="str">
        <f t="shared" si="51"/>
        <v/>
      </c>
      <c r="DZ24" s="93" t="str">
        <f t="shared" si="51"/>
        <v/>
      </c>
      <c r="EA24" s="93" t="str">
        <f t="shared" si="51"/>
        <v/>
      </c>
      <c r="EB24" s="93" t="str">
        <f t="shared" si="51"/>
        <v/>
      </c>
      <c r="ED24" s="120" t="str">
        <f t="shared" si="40"/>
        <v>Tracción Vertical</v>
      </c>
      <c r="EE24" s="269" t="str">
        <f t="shared" ref="EE24:EV24" si="52">IFERROR(INDIRECT("'Bloque "&amp;$D$38&amp;" Semana "&amp;MID(EE18,2,2)&amp;"'"&amp;"!"&amp;"CE26"),"")</f>
        <v/>
      </c>
      <c r="EF24" s="269" t="str">
        <f t="shared" si="52"/>
        <v/>
      </c>
      <c r="EG24" s="269" t="str">
        <f t="shared" si="52"/>
        <v/>
      </c>
      <c r="EH24" s="269" t="str">
        <f t="shared" si="52"/>
        <v/>
      </c>
      <c r="EI24" s="269" t="str">
        <f t="shared" si="52"/>
        <v/>
      </c>
      <c r="EJ24" s="269" t="str">
        <f t="shared" si="52"/>
        <v/>
      </c>
      <c r="EK24" s="269" t="str">
        <f t="shared" si="52"/>
        <v/>
      </c>
      <c r="EL24" s="269" t="str">
        <f t="shared" si="52"/>
        <v/>
      </c>
      <c r="EM24" s="269" t="str">
        <f t="shared" si="52"/>
        <v/>
      </c>
      <c r="EN24" s="269" t="str">
        <f t="shared" si="52"/>
        <v/>
      </c>
      <c r="EO24" s="269" t="str">
        <f t="shared" si="52"/>
        <v/>
      </c>
      <c r="EP24" s="269" t="str">
        <f t="shared" si="52"/>
        <v/>
      </c>
      <c r="EQ24" s="269" t="str">
        <f t="shared" si="52"/>
        <v/>
      </c>
      <c r="ER24" s="269" t="str">
        <f t="shared" si="52"/>
        <v/>
      </c>
      <c r="ES24" s="269" t="str">
        <f t="shared" si="52"/>
        <v/>
      </c>
      <c r="ET24" s="269" t="str">
        <f t="shared" si="52"/>
        <v/>
      </c>
      <c r="EU24" s="269" t="str">
        <f t="shared" si="52"/>
        <v/>
      </c>
      <c r="EV24" s="269" t="str">
        <f t="shared" si="52"/>
        <v/>
      </c>
      <c r="EX24" s="208"/>
      <c r="EY24" s="208"/>
      <c r="EZ24" s="208"/>
      <c r="FA24" s="208"/>
      <c r="FB24" s="208"/>
      <c r="FC24" s="208"/>
      <c r="FD24" s="208"/>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row>
    <row r="25">
      <c r="B25" s="199"/>
      <c r="D25" s="106"/>
      <c r="E25" s="448" t="s">
        <v>148</v>
      </c>
      <c r="U25" s="408"/>
      <c r="V25" s="408"/>
      <c r="W25" s="201"/>
      <c r="X25" s="449" t="s">
        <v>307</v>
      </c>
      <c r="Y25" s="444">
        <f t="shared" si="53"/>
        <v>3</v>
      </c>
      <c r="Z25" s="398">
        <f t="shared" si="54"/>
        <v>2</v>
      </c>
      <c r="AA25" s="445">
        <f t="shared" si="55"/>
        <v>18</v>
      </c>
      <c r="AB25" s="446"/>
      <c r="AC25" s="212"/>
      <c r="AE25" s="203"/>
      <c r="AF25" s="204"/>
      <c r="AG25" s="450"/>
      <c r="AH25" s="451"/>
      <c r="AI25" s="414"/>
      <c r="AJ25" s="414"/>
      <c r="AK25" s="414"/>
      <c r="AL25" s="414"/>
      <c r="AM25" s="414"/>
      <c r="AN25" s="414"/>
      <c r="AO25" s="414"/>
      <c r="AP25" s="414"/>
      <c r="AQ25" s="414"/>
      <c r="AR25" s="414"/>
      <c r="AS25" s="414"/>
      <c r="AT25" s="414"/>
      <c r="AU25" s="414"/>
      <c r="AV25" s="414"/>
      <c r="AW25" s="414"/>
      <c r="AX25" s="414"/>
      <c r="AY25" s="391"/>
      <c r="AZ25" s="391"/>
      <c r="BA25" s="391"/>
      <c r="BB25" s="391"/>
      <c r="BC25" s="391"/>
      <c r="BD25" s="391"/>
      <c r="BE25" s="391"/>
      <c r="BF25" s="391"/>
      <c r="BG25" s="391"/>
      <c r="BH25" s="391"/>
      <c r="BI25" s="391"/>
      <c r="BJ25" s="391"/>
      <c r="BK25" s="391"/>
      <c r="BL25" s="391"/>
      <c r="BM25" s="391"/>
      <c r="BN25" s="391"/>
      <c r="BO25" s="391"/>
      <c r="BP25" s="391"/>
      <c r="BQ25" s="391"/>
      <c r="BR25" s="391"/>
      <c r="BS25" s="391"/>
      <c r="BT25" s="391"/>
      <c r="BU25" s="391"/>
      <c r="BV25" s="391"/>
      <c r="BW25" s="431"/>
      <c r="BZ25" s="452" t="s">
        <v>317</v>
      </c>
      <c r="CC25" s="417">
        <f t="shared" si="44"/>
        <v>10</v>
      </c>
      <c r="CD25" s="417">
        <f t="shared" si="45"/>
        <v>135</v>
      </c>
      <c r="CE25" s="418">
        <f t="shared" si="46"/>
        <v>0.08333333333</v>
      </c>
      <c r="CF25" s="419"/>
      <c r="CG25" s="418"/>
      <c r="CH25" s="289" t="str">
        <f t="array" ref="CH25">IF(NOT($D$37=17),IFERROR(INDIRECT("'Bloque "&amp;$D$38&amp;" Semana "&amp;"17"&amp;"'"&amp;"!"&amp;"E37"),""),"S17")</f>
        <v/>
      </c>
      <c r="CI25" s="316" t="str">
        <f t="shared" si="21"/>
        <v/>
      </c>
      <c r="CJ25" s="224" t="str">
        <f t="shared" si="22"/>
        <v/>
      </c>
      <c r="CK25" s="85" t="str">
        <f t="shared" si="23"/>
        <v/>
      </c>
      <c r="CL25" s="85" t="str">
        <f t="shared" si="30"/>
        <v/>
      </c>
      <c r="CM25" s="168" t="str">
        <f t="shared" si="24"/>
        <v/>
      </c>
      <c r="CN25" s="327" t="str">
        <f t="shared" si="31"/>
        <v/>
      </c>
      <c r="CO25" s="168" t="str">
        <f t="shared" si="25"/>
        <v/>
      </c>
      <c r="CP25" s="168" t="str">
        <f t="shared" si="26"/>
        <v/>
      </c>
      <c r="CQ25" s="294" t="str">
        <f t="shared" si="27"/>
        <v/>
      </c>
      <c r="CR25" s="328" t="str">
        <f t="shared" si="32"/>
        <v/>
      </c>
      <c r="CS25" s="212"/>
      <c r="CT25" s="319"/>
      <c r="DE25" s="4"/>
      <c r="DJ25" s="453" t="s">
        <v>105</v>
      </c>
      <c r="DK25" s="454" t="str">
        <f t="shared" ref="DK25:EB25" si="56">IFERROR(INDIRECT("'Bloque "&amp;$D$38&amp;" Semana "&amp;MID(DK15,2,2)&amp;"'"&amp;"!"&amp;"CE18"),"")</f>
        <v/>
      </c>
      <c r="DL25" s="454" t="str">
        <f t="shared" si="56"/>
        <v/>
      </c>
      <c r="DM25" s="454" t="str">
        <f t="shared" si="56"/>
        <v/>
      </c>
      <c r="DN25" s="454" t="str">
        <f t="shared" si="56"/>
        <v/>
      </c>
      <c r="DO25" s="454" t="str">
        <f t="shared" si="56"/>
        <v/>
      </c>
      <c r="DP25" s="454" t="str">
        <f t="shared" si="56"/>
        <v/>
      </c>
      <c r="DQ25" s="454" t="str">
        <f t="shared" si="56"/>
        <v/>
      </c>
      <c r="DR25" s="454" t="str">
        <f t="shared" si="56"/>
        <v/>
      </c>
      <c r="DS25" s="454" t="str">
        <f t="shared" si="56"/>
        <v/>
      </c>
      <c r="DT25" s="454" t="str">
        <f t="shared" si="56"/>
        <v/>
      </c>
      <c r="DU25" s="454" t="str">
        <f t="shared" si="56"/>
        <v/>
      </c>
      <c r="DV25" s="454" t="str">
        <f t="shared" si="56"/>
        <v/>
      </c>
      <c r="DW25" s="454" t="str">
        <f t="shared" si="56"/>
        <v/>
      </c>
      <c r="DX25" s="454" t="str">
        <f t="shared" si="56"/>
        <v/>
      </c>
      <c r="DY25" s="454" t="str">
        <f t="shared" si="56"/>
        <v/>
      </c>
      <c r="DZ25" s="454" t="str">
        <f t="shared" si="56"/>
        <v/>
      </c>
      <c r="EA25" s="454" t="str">
        <f t="shared" si="56"/>
        <v/>
      </c>
      <c r="EB25" s="454" t="str">
        <f t="shared" si="56"/>
        <v/>
      </c>
      <c r="ED25" s="120"/>
      <c r="EE25" s="269"/>
      <c r="EF25" s="269"/>
      <c r="EG25" s="269"/>
      <c r="EH25" s="269"/>
      <c r="EI25" s="269"/>
      <c r="EJ25" s="269"/>
      <c r="EK25" s="269"/>
      <c r="EL25" s="269"/>
      <c r="EM25" s="269"/>
      <c r="EN25" s="269"/>
      <c r="EO25" s="269"/>
      <c r="EP25" s="269"/>
      <c r="EQ25" s="269"/>
      <c r="ER25" s="269"/>
      <c r="ES25" s="269"/>
      <c r="ET25" s="269"/>
      <c r="EU25" s="269"/>
      <c r="EV25" s="269"/>
      <c r="EX25" s="208"/>
      <c r="EY25" s="208"/>
      <c r="EZ25" s="208"/>
      <c r="FA25" s="208"/>
      <c r="FB25" s="208"/>
      <c r="FC25" s="208"/>
      <c r="FD25" s="208"/>
      <c r="FE25" s="208"/>
      <c r="FF25" s="208"/>
      <c r="FG25" s="208"/>
      <c r="FH25" s="208"/>
      <c r="FI25" s="208"/>
      <c r="FJ25" s="208"/>
      <c r="FK25" s="208"/>
      <c r="FL25" s="208"/>
      <c r="FM25" s="208"/>
      <c r="FN25" s="208"/>
      <c r="FO25" s="208"/>
      <c r="FP25" s="208"/>
      <c r="FQ25" s="208"/>
      <c r="FR25" s="208"/>
      <c r="FS25" s="208"/>
      <c r="FT25" s="208"/>
      <c r="FU25" s="208"/>
      <c r="FV25" s="208"/>
      <c r="FW25" s="208"/>
      <c r="FX25" s="208"/>
      <c r="FY25" s="208"/>
      <c r="FZ25" s="208"/>
      <c r="GA25" s="208"/>
      <c r="GB25" s="208"/>
      <c r="GC25" s="208"/>
      <c r="GD25" s="208"/>
      <c r="GE25" s="208"/>
      <c r="GF25" s="208"/>
      <c r="GG25" s="208"/>
      <c r="GH25" s="208"/>
    </row>
    <row r="26">
      <c r="B26" s="199"/>
      <c r="D26" s="106"/>
      <c r="E26" s="455" t="s">
        <v>318</v>
      </c>
      <c r="T26" s="34"/>
      <c r="U26" s="208"/>
      <c r="W26" s="201"/>
      <c r="X26" s="456" t="s">
        <v>313</v>
      </c>
      <c r="Y26" s="444">
        <f t="shared" si="53"/>
        <v>5</v>
      </c>
      <c r="Z26" s="398">
        <f t="shared" si="54"/>
        <v>2</v>
      </c>
      <c r="AA26" s="445">
        <f t="shared" si="55"/>
        <v>54</v>
      </c>
      <c r="AB26" s="446"/>
      <c r="AC26" s="212"/>
      <c r="AE26" s="203"/>
      <c r="AF26" s="204"/>
      <c r="AG26" s="457"/>
      <c r="AH26" s="391"/>
      <c r="AI26" s="391"/>
      <c r="AJ26" s="391"/>
      <c r="AK26" s="391"/>
      <c r="AL26" s="391"/>
      <c r="AM26" s="412" t="s">
        <v>319</v>
      </c>
      <c r="BC26" s="391"/>
      <c r="BD26" s="391"/>
      <c r="BE26" s="391"/>
      <c r="BF26" s="458" t="s">
        <v>320</v>
      </c>
      <c r="BU26" s="391"/>
      <c r="BV26" s="391"/>
      <c r="BW26" s="431"/>
      <c r="BX26" s="106"/>
      <c r="BY26" s="106"/>
      <c r="BZ26" s="459" t="s">
        <v>321</v>
      </c>
      <c r="CC26" s="417">
        <f t="shared" si="44"/>
        <v>0</v>
      </c>
      <c r="CD26" s="417">
        <f t="shared" si="45"/>
        <v>0</v>
      </c>
      <c r="CE26" s="418" t="str">
        <f t="shared" si="46"/>
        <v/>
      </c>
      <c r="CF26" s="419"/>
      <c r="CG26" s="418"/>
      <c r="CH26" s="460" t="str">
        <f t="array" ref="CH26">IF(NOT($D$37=18),IFERROR(INDIRECT("'Bloque "&amp;$D$38&amp;" Semana "&amp;"18"&amp;"'"&amp;"!"&amp;"E37"),""),"S18")</f>
        <v/>
      </c>
      <c r="CI26" s="461" t="str">
        <f t="shared" si="21"/>
        <v/>
      </c>
      <c r="CJ26" s="462" t="str">
        <f t="shared" si="22"/>
        <v/>
      </c>
      <c r="CK26" s="463" t="str">
        <f t="shared" si="23"/>
        <v/>
      </c>
      <c r="CL26" s="463" t="str">
        <f t="shared" si="30"/>
        <v/>
      </c>
      <c r="CM26" s="464" t="str">
        <f t="shared" si="24"/>
        <v/>
      </c>
      <c r="CN26" s="465" t="str">
        <f t="shared" si="31"/>
        <v/>
      </c>
      <c r="CO26" s="464" t="str">
        <f t="shared" si="25"/>
        <v/>
      </c>
      <c r="CP26" s="464" t="str">
        <f t="shared" si="26"/>
        <v/>
      </c>
      <c r="CQ26" s="466" t="str">
        <f t="shared" si="27"/>
        <v/>
      </c>
      <c r="CR26" s="467" t="str">
        <f t="shared" si="32"/>
        <v/>
      </c>
      <c r="CS26" s="468"/>
      <c r="CT26" s="469"/>
      <c r="DE26" s="4"/>
      <c r="DJ26" s="144" t="s">
        <v>166</v>
      </c>
      <c r="DK26" s="108"/>
      <c r="DL26" s="108"/>
      <c r="DM26" s="108"/>
      <c r="DN26" s="108"/>
      <c r="DO26" s="108"/>
      <c r="DP26" s="108"/>
      <c r="DQ26" s="108"/>
      <c r="DR26" s="108"/>
      <c r="DS26" s="108"/>
      <c r="DT26" s="108"/>
      <c r="DU26" s="108"/>
      <c r="DV26" s="108"/>
      <c r="DW26" s="108"/>
      <c r="DX26" s="108"/>
      <c r="DY26" s="108"/>
      <c r="DZ26" s="108"/>
      <c r="EA26" s="108"/>
      <c r="EB26" s="108"/>
      <c r="ED26" s="120"/>
      <c r="EE26" s="269"/>
      <c r="EF26" s="269"/>
      <c r="EG26" s="269"/>
      <c r="EH26" s="269"/>
      <c r="EI26" s="269"/>
      <c r="EJ26" s="269"/>
      <c r="EK26" s="269"/>
      <c r="EL26" s="269"/>
      <c r="EM26" s="269"/>
      <c r="EN26" s="269"/>
      <c r="EO26" s="269"/>
      <c r="EP26" s="269"/>
      <c r="EQ26" s="269"/>
      <c r="ER26" s="269"/>
      <c r="ES26" s="269"/>
      <c r="ET26" s="269"/>
      <c r="EU26" s="269"/>
      <c r="EV26" s="269"/>
      <c r="EX26" s="208"/>
      <c r="EY26" s="208"/>
      <c r="EZ26" s="208"/>
      <c r="FA26" s="208"/>
      <c r="FB26" s="208"/>
      <c r="FC26" s="208"/>
      <c r="FD26" s="208"/>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row>
    <row r="27">
      <c r="B27" s="199"/>
      <c r="E27" s="470" t="s">
        <v>265</v>
      </c>
      <c r="F27" s="471" t="s">
        <v>267</v>
      </c>
      <c r="G27" s="37"/>
      <c r="H27" s="37"/>
      <c r="I27" s="37"/>
      <c r="J27" s="471"/>
      <c r="K27" s="471" t="s">
        <v>269</v>
      </c>
      <c r="L27" s="37"/>
      <c r="M27" s="37"/>
      <c r="N27" s="471" t="s">
        <v>271</v>
      </c>
      <c r="O27" s="37"/>
      <c r="P27" s="37"/>
      <c r="Q27" s="37"/>
      <c r="R27" s="471" t="s">
        <v>273</v>
      </c>
      <c r="S27" s="471" t="s">
        <v>275</v>
      </c>
      <c r="T27" s="472" t="s">
        <v>277</v>
      </c>
      <c r="U27" s="208"/>
      <c r="V27" s="106"/>
      <c r="W27" s="201"/>
      <c r="X27" s="473" t="s">
        <v>316</v>
      </c>
      <c r="Y27" s="444">
        <f t="shared" si="53"/>
        <v>4</v>
      </c>
      <c r="Z27" s="398">
        <f t="shared" si="54"/>
        <v>2</v>
      </c>
      <c r="AA27" s="445">
        <f t="shared" si="55"/>
        <v>24</v>
      </c>
      <c r="AB27" s="446"/>
      <c r="AC27" s="212"/>
      <c r="AE27" s="203"/>
      <c r="AF27" s="204"/>
      <c r="AG27" s="474"/>
      <c r="AH27" s="391"/>
      <c r="AI27" s="391"/>
      <c r="AJ27" s="391"/>
      <c r="AK27" s="391"/>
      <c r="AL27" s="391"/>
      <c r="AM27" s="475"/>
      <c r="BC27" s="391"/>
      <c r="BD27" s="391"/>
      <c r="BE27" s="391"/>
      <c r="BF27" s="476"/>
      <c r="BU27" s="391"/>
      <c r="BV27" s="391"/>
      <c r="BW27" s="431"/>
      <c r="BZ27" s="477" t="s">
        <v>312</v>
      </c>
      <c r="CC27" s="417">
        <f t="shared" si="44"/>
        <v>0</v>
      </c>
      <c r="CD27" s="417">
        <f t="shared" si="45"/>
        <v>0</v>
      </c>
      <c r="CE27" s="418" t="str">
        <f t="shared" si="46"/>
        <v/>
      </c>
      <c r="CF27" s="419"/>
      <c r="CG27" s="418"/>
      <c r="CH27" s="83" t="s">
        <v>251</v>
      </c>
      <c r="CI27" s="290" t="s">
        <v>322</v>
      </c>
      <c r="CJ27" s="290" t="s">
        <v>323</v>
      </c>
      <c r="CK27" s="478"/>
      <c r="CL27" s="479"/>
      <c r="CM27" s="479"/>
      <c r="CN27" s="479"/>
      <c r="CO27" s="479"/>
      <c r="CP27" s="479"/>
      <c r="CT27" s="330"/>
      <c r="DE27" s="4"/>
      <c r="DJ27" s="83"/>
      <c r="DK27" s="227" t="str">
        <f t="array" ref="DK27">IF(NOT($D$37=1),IFERROR(INDIRECT("'Bloque "&amp;$D$38&amp;" Semana "&amp;"1"&amp;"'"&amp;"!"&amp;"E37"),""),"S1")</f>
        <v/>
      </c>
      <c r="DL27" s="227" t="str">
        <f t="array" ref="DL27">IF(NOT($D$37=2),IFERROR(INDIRECT("'Bloque "&amp;$D$38&amp;" Semana "&amp;"2"&amp;"'"&amp;"!"&amp;"E37"),""),"S2")</f>
        <v/>
      </c>
      <c r="DM27" s="227" t="str">
        <f t="array" ref="DM27">IF(NOT($D$37=3),IFERROR(INDIRECT("'Bloque "&amp;$D$38&amp;" Semana "&amp;"3"&amp;"'"&amp;"!"&amp;"E37"),""),"S3")</f>
        <v>S3</v>
      </c>
      <c r="DN27" s="227" t="str">
        <f t="array" ref="DN27">IF(NOT($D$37=4),IFERROR(INDIRECT("'Bloque "&amp;$D$38&amp;" Semana "&amp;"4"&amp;"'"&amp;"!"&amp;"E37"),""),"S4")</f>
        <v/>
      </c>
      <c r="DO27" s="227" t="str">
        <f t="array" ref="DO27">IF(NOT($D$37=5),IFERROR(INDIRECT("'Bloque "&amp;$D$38&amp;" Semana "&amp;"5"&amp;"'"&amp;"!"&amp;"E37"),""),"S5")</f>
        <v/>
      </c>
      <c r="DP27" s="227" t="str">
        <f t="array" ref="DP27">IF(NOT($D$37=6),IFERROR(INDIRECT("'Bloque "&amp;$D$38&amp;" Semana "&amp;"6"&amp;"'"&amp;"!"&amp;"E37"),""),"S6")</f>
        <v/>
      </c>
      <c r="DQ27" s="227" t="str">
        <f t="array" ref="DQ27">IF(NOT($D$37=7),IFERROR(INDIRECT("'Bloque "&amp;$D$38&amp;" Semana "&amp;"7"&amp;"'"&amp;"!"&amp;"E37"),""),"S7")</f>
        <v/>
      </c>
      <c r="DR27" s="227" t="str">
        <f t="array" ref="DR27">IF(NOT($D$37=8),IFERROR(INDIRECT("'Bloque "&amp;$D$38&amp;" Semana "&amp;"8"&amp;"'"&amp;"!"&amp;"E37"),""),"S8")</f>
        <v/>
      </c>
      <c r="DS27" s="227" t="str">
        <f t="array" ref="DS27">IF(NOT($D$37=9),IFERROR(INDIRECT("'Bloque "&amp;$D$38&amp;" Semana "&amp;"9"&amp;"'"&amp;"!"&amp;"E37"),""),"S9")</f>
        <v/>
      </c>
      <c r="DT27" s="227" t="str">
        <f t="array" ref="DT27">IF(NOT($D$37=10),IFERROR(INDIRECT("'Bloque "&amp;$D$38&amp;" Semana "&amp;"10"&amp;"'"&amp;"!"&amp;"E37"),""),"S10")</f>
        <v/>
      </c>
      <c r="DU27" s="227" t="str">
        <f t="array" ref="DU27">IF(NOT($D$37=11),IFERROR(INDIRECT("'Bloque "&amp;$D$38&amp;" Semana "&amp;"11"&amp;"'"&amp;"!"&amp;"E37"),""),"S11")</f>
        <v/>
      </c>
      <c r="DV27" s="227" t="str">
        <f t="array" ref="DV27">IF(NOT($D$37=12),IFERROR(INDIRECT("'Bloque "&amp;$D$38&amp;" Semana "&amp;"12"&amp;"'"&amp;"!"&amp;"E37"),""),"S12")</f>
        <v/>
      </c>
      <c r="DW27" s="227" t="str">
        <f t="array" ref="DW27">IF(NOT($D$37=13),IFERROR(INDIRECT("'Bloque "&amp;$D$38&amp;" Semana "&amp;"13"&amp;"'"&amp;"!"&amp;"E37"),""),"S13")</f>
        <v/>
      </c>
      <c r="DX27" s="227" t="str">
        <f t="array" ref="DX27">IF(NOT($D$37=14),IFERROR(INDIRECT("'Bloque "&amp;$D$38&amp;" Semana "&amp;"14"&amp;"'"&amp;"!"&amp;"E37"),""),"S14")</f>
        <v/>
      </c>
      <c r="DY27" s="227" t="str">
        <f t="array" ref="DY27">IF(NOT($D$37=15),IFERROR(INDIRECT("'Bloque "&amp;$D$38&amp;" Semana "&amp;"15"&amp;"'"&amp;"!"&amp;"E37"),""),"S15")</f>
        <v/>
      </c>
      <c r="DZ27" s="227" t="str">
        <f t="array" ref="DZ27">IF(NOT($D$37=16),IFERROR(INDIRECT("'Bloque "&amp;$D$38&amp;" Semana "&amp;"16"&amp;"'"&amp;"!"&amp;"E37"),""),"S16")</f>
        <v/>
      </c>
      <c r="EA27" s="227" t="str">
        <f t="array" ref="EA27">IF(NOT($D$37=17),IFERROR(INDIRECT("'Bloque "&amp;$D$38&amp;" Semana "&amp;"17"&amp;"'"&amp;"!"&amp;"E37"),""),"S17")</f>
        <v/>
      </c>
      <c r="EB27" s="227" t="str">
        <f t="array" ref="EB27">IF(NOT($D$37=18),IFERROR(INDIRECT("'Bloque "&amp;$D$38&amp;" Semana "&amp;"18"&amp;"'"&amp;"!"&amp;"E37"),""),"S18")</f>
        <v/>
      </c>
      <c r="ED27" s="120"/>
      <c r="EE27" s="269"/>
      <c r="EF27" s="269"/>
      <c r="EG27" s="269"/>
      <c r="EH27" s="269"/>
      <c r="EI27" s="269"/>
      <c r="EJ27" s="269"/>
      <c r="EK27" s="269"/>
      <c r="EL27" s="269"/>
      <c r="EM27" s="269"/>
      <c r="EN27" s="269"/>
      <c r="EO27" s="269"/>
      <c r="EP27" s="269"/>
      <c r="EQ27" s="269"/>
      <c r="ER27" s="269"/>
      <c r="ES27" s="269"/>
      <c r="ET27" s="269"/>
      <c r="EU27" s="269"/>
      <c r="EV27" s="269"/>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row>
    <row r="28">
      <c r="B28" s="199"/>
      <c r="D28" s="106"/>
      <c r="E28" s="480" t="str">
        <f t="array" ref="E28">SUBSTITUTE(TEXTJOIN(CHAR(10),TRUE,IFERROR(INDIRECT("AF"&amp;MATCH("Día 1",B:B,0)+1&amp;":AF"&amp;MATCH("Día 2",B:B,0)-1),"")),".",";") </f>
        <v>SQ pausa en la concentrica: 3 x 5 x 127,5 kg 
SLDL: 3 x 6 x  kg RIR 2-3 
Split sq : 4 x 8 x  kg RIR 2 
Patada gluteo : 3 x 12 x  kg RIR 2 
Abs Wheel: 3 x 20 x  kg RIR 2 </v>
      </c>
      <c r="F28" s="481" t="str">
        <f t="array" ref="F28">SUBSTITUTE(TEXTJOIN(CHAR(10),TRUE,IFERROR(INDIRECT("AF"&amp;MATCH("Día 2",B:B,0)+1&amp;":AF"&amp;MATCH("Día 3",B:B,0)-1),"")),".",";") </f>
        <v>BP pin ct2: 4 x 3 x 87,5 kg 
Bp mancuerna unilateral : 3 x 10 x  kg RIR 2-3 
Jalon al pecho supino pausa 3s: 3 x 8 x  kg RIR 2 
Remo polea baja abierto : 3 x 10 x  kg RIR 2 
Face pull: 3 x 15 x  kg RIR 3 
Biceps + Triceps : 3 x F x  kg </v>
      </c>
      <c r="I28" s="482"/>
      <c r="J28" s="481" t="str">
        <f t="array" ref="J28">SUBSTITUTE(TEXTJOIN(CHAR(10),TRUE,IFERROR(INDIRECT("AF"&amp;MATCH("Día 3",B:B,0)+1&amp;":AF"&amp;MATCH("Día 4",B:B,0)-1),"")),".",";") </f>
        <v/>
      </c>
      <c r="M28" s="482"/>
      <c r="N28" s="481" t="str">
        <f t="array" ref="N28">SUBSTITUTE(TEXTJOIN(CHAR(10),TRUE,IFERROR(INDIRECT("AF"&amp;MATCH("Día 4",B:B,0)+1&amp;":AF"&amp;MATCH("Día 5",B:B,0)-1),"")),".",";") </f>
        <v>BP : 4 x 6 x 90 kg 
Aperturas polea baja tumbado: 2 x 12 x  kg RIR 2-3 
Press militar de pie : 4 x 6 x  kg RIR 2-3 
Spanish sq : 3 x 12 x  kg RIR 2-3 
Elevaciones Frontales barra z: 3 x 10 x  kg RIR 1-2 </v>
      </c>
      <c r="Q28" s="482"/>
      <c r="R28" s="483" t="str">
        <f t="array" ref="R28">SUBSTITUTE(TEXTJOIN(CHAR(10),TRUE,IFERROR(INDIRECT("AF"&amp;MATCH("Día 5",B:B,0)+1&amp;":AF"&amp;MATCH("Día 6",B:B,0)-1),"")),".",";") </f>
        <v>SQ : 3 x 6 x 145 kg 
BP pausa ct3: 4 x 3 x 80 kg 
DL : 3 x 6 x 180 kg 
Curl femoral : 3 x 10 x  kg RIR 1-2 
Elevaciones de pìernas colgado : 3 x 10 x  kg RIR 1-2 </v>
      </c>
      <c r="S28" s="484" t="str">
        <f t="array" ref="S28">SUBSTITUTE(TEXTJOIN(CHAR(10),TRUE,IFERROR(INDIRECT("AF"&amp;MATCH("Día 6",B:B,0)+1&amp;":AF"&amp;MATCH("Día 7",B:B,0)-1),"")),".",";") </f>
        <v/>
      </c>
      <c r="T28" s="485" t="str">
        <f t="array" ref="T28">SUBSTITUTE(TEXTJOIN(CHAR(10),TRUE,IFERROR(INDIRECT("AF"&amp;MATCH("Día 7",B:B,0)+1&amp;":AF"&amp;MATCH("Día 8",B:B,0)-1),"")),".",";") </f>
        <v/>
      </c>
      <c r="V28" s="106"/>
      <c r="W28" s="338"/>
      <c r="X28" s="486" t="s">
        <v>317</v>
      </c>
      <c r="Y28" s="444">
        <f t="shared" si="53"/>
        <v>9</v>
      </c>
      <c r="Z28" s="398">
        <f t="shared" si="54"/>
        <v>2.333333333</v>
      </c>
      <c r="AA28" s="445">
        <f t="shared" si="55"/>
        <v>99</v>
      </c>
      <c r="AB28" s="446"/>
      <c r="AC28" s="224"/>
      <c r="AE28" s="487"/>
      <c r="AF28" s="291"/>
      <c r="AG28" s="474"/>
      <c r="AH28" s="391"/>
      <c r="AI28" s="391"/>
      <c r="AJ28" s="391"/>
      <c r="AK28" s="391"/>
      <c r="AL28" s="391"/>
      <c r="AM28" s="412" t="s">
        <v>324</v>
      </c>
      <c r="BC28" s="391"/>
      <c r="BD28" s="391"/>
      <c r="BE28" s="391"/>
      <c r="BF28" s="412" t="s">
        <v>325</v>
      </c>
      <c r="BU28" s="391"/>
      <c r="BV28" s="391"/>
      <c r="BW28" s="431"/>
      <c r="BZ28" s="477" t="s">
        <v>301</v>
      </c>
      <c r="CC28" s="417">
        <f t="shared" si="44"/>
        <v>0</v>
      </c>
      <c r="CD28" s="417">
        <f t="shared" si="45"/>
        <v>0</v>
      </c>
      <c r="CE28" s="418" t="str">
        <f t="shared" si="46"/>
        <v/>
      </c>
      <c r="CF28" s="419"/>
      <c r="CG28" s="418"/>
      <c r="CH28" s="488" t="str">
        <f>IFERROR( AVERAGE(CM9:CM26),"")</f>
        <v/>
      </c>
      <c r="CI28" s="489">
        <f>SUM(CL9:CL26)</f>
        <v>0</v>
      </c>
      <c r="CJ28" s="490">
        <f>SUM(CN9:CN26)</f>
        <v>0</v>
      </c>
      <c r="CK28" s="120"/>
      <c r="CT28" s="330"/>
      <c r="DE28" s="4"/>
      <c r="DJ28" s="120" t="s">
        <v>194</v>
      </c>
      <c r="DK28" s="231" t="str">
        <f t="shared" ref="DK28:EB28" si="57">IFERROR(INDIRECT("'Bloque "&amp;$D$38&amp;" Semana "&amp;MID(DK15,2,2)&amp;"'"&amp;"!"&amp;"AK17"),"")</f>
        <v/>
      </c>
      <c r="DL28" s="231" t="str">
        <f t="shared" si="57"/>
        <v/>
      </c>
      <c r="DM28" s="231" t="str">
        <f t="shared" si="57"/>
        <v/>
      </c>
      <c r="DN28" s="231" t="str">
        <f t="shared" si="57"/>
        <v/>
      </c>
      <c r="DO28" s="231" t="str">
        <f t="shared" si="57"/>
        <v/>
      </c>
      <c r="DP28" s="231" t="str">
        <f t="shared" si="57"/>
        <v/>
      </c>
      <c r="DQ28" s="231" t="str">
        <f t="shared" si="57"/>
        <v/>
      </c>
      <c r="DR28" s="231" t="str">
        <f t="shared" si="57"/>
        <v/>
      </c>
      <c r="DS28" s="231" t="str">
        <f t="shared" si="57"/>
        <v/>
      </c>
      <c r="DT28" s="231" t="str">
        <f t="shared" si="57"/>
        <v/>
      </c>
      <c r="DU28" s="231" t="str">
        <f t="shared" si="57"/>
        <v/>
      </c>
      <c r="DV28" s="231" t="str">
        <f t="shared" si="57"/>
        <v/>
      </c>
      <c r="DW28" s="231" t="str">
        <f t="shared" si="57"/>
        <v/>
      </c>
      <c r="DX28" s="231" t="str">
        <f t="shared" si="57"/>
        <v/>
      </c>
      <c r="DY28" s="231" t="str">
        <f t="shared" si="57"/>
        <v/>
      </c>
      <c r="DZ28" s="231" t="str">
        <f t="shared" si="57"/>
        <v/>
      </c>
      <c r="EA28" s="231" t="str">
        <f t="shared" si="57"/>
        <v/>
      </c>
      <c r="EB28" s="231" t="str">
        <f t="shared" si="57"/>
        <v/>
      </c>
      <c r="ED28" s="120"/>
      <c r="EE28" s="269"/>
      <c r="EF28" s="269"/>
      <c r="EG28" s="269"/>
      <c r="EH28" s="269"/>
      <c r="EI28" s="269"/>
      <c r="EJ28" s="269"/>
      <c r="EK28" s="269"/>
      <c r="EL28" s="269"/>
      <c r="EM28" s="269"/>
      <c r="EN28" s="269"/>
      <c r="EO28" s="269"/>
      <c r="EP28" s="269"/>
      <c r="EQ28" s="269"/>
      <c r="ER28" s="269"/>
      <c r="ES28" s="269"/>
      <c r="ET28" s="269"/>
      <c r="EU28" s="269"/>
      <c r="EV28" s="269"/>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row>
    <row r="29">
      <c r="B29" s="199"/>
      <c r="D29" s="106"/>
      <c r="E29" s="491"/>
      <c r="I29" s="482"/>
      <c r="M29" s="482"/>
      <c r="Q29" s="482"/>
      <c r="R29" s="482"/>
      <c r="S29" s="482"/>
      <c r="T29" s="492"/>
      <c r="U29" s="106"/>
      <c r="V29" s="106"/>
      <c r="W29" s="338"/>
      <c r="X29" s="493" t="s">
        <v>321</v>
      </c>
      <c r="Y29" s="444">
        <f t="shared" si="53"/>
        <v>0</v>
      </c>
      <c r="Z29" s="398" t="str">
        <f t="shared" si="54"/>
        <v/>
      </c>
      <c r="AA29" s="445">
        <f t="shared" si="55"/>
        <v>0</v>
      </c>
      <c r="AB29" s="446"/>
      <c r="AC29" s="224"/>
      <c r="AE29" s="487"/>
      <c r="AF29" s="291"/>
      <c r="AG29" s="474"/>
      <c r="AH29" s="391"/>
      <c r="AI29" s="391"/>
      <c r="AJ29" s="391"/>
      <c r="AK29" s="391"/>
      <c r="AL29" s="391"/>
      <c r="AM29" s="475"/>
      <c r="BC29" s="391"/>
      <c r="BD29" s="391"/>
      <c r="BE29" s="391"/>
      <c r="BF29" s="475"/>
      <c r="BU29" s="391"/>
      <c r="BV29" s="391"/>
      <c r="BW29" s="431"/>
      <c r="BZ29" s="477" t="s">
        <v>326</v>
      </c>
      <c r="CC29" s="417">
        <f t="shared" si="44"/>
        <v>1</v>
      </c>
      <c r="CD29" s="417">
        <f t="shared" si="45"/>
        <v>13</v>
      </c>
      <c r="CE29" s="418">
        <f t="shared" si="46"/>
        <v>0</v>
      </c>
      <c r="CF29" s="419"/>
      <c r="CG29" s="418"/>
      <c r="CK29" s="120"/>
      <c r="CT29" s="330"/>
      <c r="DE29" s="4"/>
      <c r="DJ29" s="120" t="s">
        <v>195</v>
      </c>
      <c r="DK29" s="494" t="str">
        <f t="shared" ref="DK29:EB29" si="58">IFERROR(INDIRECT("'Bloque "&amp;$D$38&amp;" Semana "&amp;MID(DK15,2,2)&amp;"'"&amp;"!"&amp;"BI16"),"")</f>
        <v/>
      </c>
      <c r="DL29" s="494" t="str">
        <f t="shared" si="58"/>
        <v/>
      </c>
      <c r="DM29" s="494" t="str">
        <f t="shared" si="58"/>
        <v/>
      </c>
      <c r="DN29" s="494" t="str">
        <f t="shared" si="58"/>
        <v/>
      </c>
      <c r="DO29" s="494" t="str">
        <f t="shared" si="58"/>
        <v/>
      </c>
      <c r="DP29" s="494" t="str">
        <f t="shared" si="58"/>
        <v/>
      </c>
      <c r="DQ29" s="494" t="str">
        <f t="shared" si="58"/>
        <v/>
      </c>
      <c r="DR29" s="494" t="str">
        <f t="shared" si="58"/>
        <v/>
      </c>
      <c r="DS29" s="494" t="str">
        <f t="shared" si="58"/>
        <v/>
      </c>
      <c r="DT29" s="494" t="str">
        <f t="shared" si="58"/>
        <v/>
      </c>
      <c r="DU29" s="494" t="str">
        <f t="shared" si="58"/>
        <v/>
      </c>
      <c r="DV29" s="494" t="str">
        <f t="shared" si="58"/>
        <v/>
      </c>
      <c r="DW29" s="494" t="str">
        <f t="shared" si="58"/>
        <v/>
      </c>
      <c r="DX29" s="494" t="str">
        <f t="shared" si="58"/>
        <v/>
      </c>
      <c r="DY29" s="494" t="str">
        <f t="shared" si="58"/>
        <v/>
      </c>
      <c r="DZ29" s="494" t="str">
        <f t="shared" si="58"/>
        <v/>
      </c>
      <c r="EA29" s="494" t="str">
        <f t="shared" si="58"/>
        <v/>
      </c>
      <c r="EB29" s="494" t="str">
        <f t="shared" si="58"/>
        <v/>
      </c>
      <c r="ED29" s="120"/>
      <c r="EE29" s="269"/>
      <c r="EF29" s="269"/>
      <c r="EG29" s="269"/>
      <c r="EH29" s="269"/>
      <c r="EI29" s="269"/>
      <c r="EJ29" s="269"/>
      <c r="EK29" s="269"/>
      <c r="EL29" s="269"/>
      <c r="EM29" s="269"/>
      <c r="EN29" s="269"/>
      <c r="EO29" s="269"/>
      <c r="EP29" s="269"/>
      <c r="EQ29" s="269"/>
      <c r="ER29" s="269"/>
      <c r="ES29" s="269"/>
      <c r="ET29" s="269"/>
      <c r="EU29" s="269"/>
      <c r="EV29" s="269"/>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row>
    <row r="30">
      <c r="B30" s="199"/>
      <c r="D30" s="106"/>
      <c r="E30" s="491"/>
      <c r="I30" s="482"/>
      <c r="M30" s="482"/>
      <c r="Q30" s="482"/>
      <c r="R30" s="482"/>
      <c r="S30" s="482"/>
      <c r="T30" s="492"/>
      <c r="U30" s="106"/>
      <c r="V30" s="106"/>
      <c r="W30" s="338"/>
      <c r="X30" s="156" t="s">
        <v>312</v>
      </c>
      <c r="Y30" s="444">
        <f t="shared" si="53"/>
        <v>0</v>
      </c>
      <c r="Z30" s="398" t="str">
        <f t="shared" si="54"/>
        <v/>
      </c>
      <c r="AA30" s="445">
        <f t="shared" si="55"/>
        <v>0</v>
      </c>
      <c r="AB30" s="446"/>
      <c r="AC30" s="224"/>
      <c r="AE30" s="487"/>
      <c r="AF30" s="291"/>
      <c r="AG30" s="474"/>
      <c r="AH30" s="391"/>
      <c r="AI30" s="391"/>
      <c r="AJ30" s="391"/>
      <c r="AK30" s="391"/>
      <c r="AL30" s="391"/>
      <c r="AM30" s="412" t="s">
        <v>327</v>
      </c>
      <c r="BC30" s="391"/>
      <c r="BD30" s="391"/>
      <c r="BE30" s="391"/>
      <c r="BF30" s="412" t="s">
        <v>328</v>
      </c>
      <c r="BU30" s="391"/>
      <c r="BV30" s="391"/>
      <c r="BW30" s="431"/>
      <c r="BZ30" s="477" t="s">
        <v>329</v>
      </c>
      <c r="CC30" s="417">
        <f t="shared" si="44"/>
        <v>0</v>
      </c>
      <c r="CD30" s="417">
        <f t="shared" si="45"/>
        <v>0</v>
      </c>
      <c r="CE30" s="418" t="str">
        <f t="shared" si="46"/>
        <v/>
      </c>
      <c r="CF30" s="419"/>
      <c r="CG30" s="418"/>
      <c r="CH30" s="418"/>
      <c r="CK30" s="495"/>
      <c r="CT30" s="330"/>
      <c r="DJ30" s="83" t="s">
        <v>196</v>
      </c>
      <c r="DK30" s="496" t="str">
        <f t="shared" ref="DK30:EB30" si="59">IFERROR(INDIRECT("'Bloque "&amp;$D$38&amp;" Semana "&amp;MID(DK15,2,2)&amp;"'"&amp;"!"&amp;"BM16"),"")</f>
        <v/>
      </c>
      <c r="DL30" s="496" t="str">
        <f t="shared" si="59"/>
        <v/>
      </c>
      <c r="DM30" s="496" t="str">
        <f t="shared" si="59"/>
        <v/>
      </c>
      <c r="DN30" s="496" t="str">
        <f t="shared" si="59"/>
        <v/>
      </c>
      <c r="DO30" s="496" t="str">
        <f t="shared" si="59"/>
        <v/>
      </c>
      <c r="DP30" s="496" t="str">
        <f t="shared" si="59"/>
        <v/>
      </c>
      <c r="DQ30" s="496" t="str">
        <f t="shared" si="59"/>
        <v/>
      </c>
      <c r="DR30" s="496" t="str">
        <f t="shared" si="59"/>
        <v/>
      </c>
      <c r="DS30" s="496" t="str">
        <f t="shared" si="59"/>
        <v/>
      </c>
      <c r="DT30" s="496" t="str">
        <f t="shared" si="59"/>
        <v/>
      </c>
      <c r="DU30" s="496" t="str">
        <f t="shared" si="59"/>
        <v/>
      </c>
      <c r="DV30" s="496" t="str">
        <f t="shared" si="59"/>
        <v/>
      </c>
      <c r="DW30" s="496" t="str">
        <f t="shared" si="59"/>
        <v/>
      </c>
      <c r="DX30" s="496" t="str">
        <f t="shared" si="59"/>
        <v/>
      </c>
      <c r="DY30" s="496" t="str">
        <f t="shared" si="59"/>
        <v/>
      </c>
      <c r="DZ30" s="496" t="str">
        <f t="shared" si="59"/>
        <v/>
      </c>
      <c r="EA30" s="496" t="str">
        <f t="shared" si="59"/>
        <v/>
      </c>
      <c r="EB30" s="496" t="str">
        <f t="shared" si="59"/>
        <v/>
      </c>
      <c r="ED30" s="120"/>
      <c r="EE30" s="269"/>
      <c r="EF30" s="269"/>
      <c r="EG30" s="269"/>
      <c r="EH30" s="269"/>
      <c r="EI30" s="269"/>
      <c r="EJ30" s="269"/>
      <c r="EK30" s="269"/>
      <c r="EL30" s="269"/>
      <c r="EM30" s="269"/>
      <c r="EN30" s="269"/>
      <c r="EO30" s="269"/>
      <c r="EP30" s="269"/>
      <c r="EQ30" s="269"/>
      <c r="ER30" s="269"/>
      <c r="ES30" s="269"/>
      <c r="ET30" s="269"/>
      <c r="EU30" s="269"/>
      <c r="EV30" s="269"/>
      <c r="EX30" s="208"/>
      <c r="EY30" s="208"/>
      <c r="EZ30" s="208"/>
      <c r="FA30" s="208"/>
      <c r="FB30" s="208"/>
      <c r="FC30" s="208"/>
      <c r="FD30" s="208"/>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row>
    <row r="31">
      <c r="B31" s="199"/>
      <c r="E31" s="491"/>
      <c r="I31" s="482"/>
      <c r="M31" s="482"/>
      <c r="Q31" s="482"/>
      <c r="R31" s="482"/>
      <c r="S31" s="482"/>
      <c r="T31" s="492"/>
      <c r="U31" s="106"/>
      <c r="V31" s="106"/>
      <c r="W31" s="338"/>
      <c r="X31" s="156" t="s">
        <v>301</v>
      </c>
      <c r="Y31" s="444">
        <f t="shared" si="53"/>
        <v>3</v>
      </c>
      <c r="Z31" s="398">
        <f t="shared" si="54"/>
        <v>1</v>
      </c>
      <c r="AA31" s="445">
        <f t="shared" si="55"/>
        <v>30</v>
      </c>
      <c r="AB31" s="446"/>
      <c r="AC31" s="224"/>
      <c r="AE31" s="487"/>
      <c r="AF31" s="291"/>
      <c r="AG31" s="474"/>
      <c r="AH31" s="391"/>
      <c r="AI31" s="391"/>
      <c r="AJ31" s="391"/>
      <c r="AK31" s="391"/>
      <c r="AL31" s="391"/>
      <c r="AM31" s="475"/>
      <c r="BC31" s="391"/>
      <c r="BD31" s="391"/>
      <c r="BE31" s="391"/>
      <c r="BF31" s="475"/>
      <c r="BU31" s="391"/>
      <c r="BV31" s="391"/>
      <c r="BW31" s="431"/>
      <c r="BZ31" s="477" t="s">
        <v>330</v>
      </c>
      <c r="CC31" s="417">
        <f t="shared" si="44"/>
        <v>0</v>
      </c>
      <c r="CD31" s="417">
        <f t="shared" si="45"/>
        <v>0</v>
      </c>
      <c r="CE31" s="418" t="str">
        <f t="shared" si="46"/>
        <v/>
      </c>
      <c r="CF31" s="419"/>
      <c r="CG31" s="418"/>
      <c r="CH31" s="418"/>
      <c r="CK31" s="83"/>
      <c r="CT31" s="330"/>
      <c r="EX31" s="208"/>
      <c r="EY31" s="208"/>
      <c r="EZ31" s="208"/>
      <c r="FA31" s="208"/>
      <c r="FB31" s="208"/>
      <c r="FC31" s="208"/>
      <c r="FD31" s="208"/>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row>
    <row r="32">
      <c r="B32" s="199"/>
      <c r="E32" s="491"/>
      <c r="I32" s="482"/>
      <c r="M32" s="482"/>
      <c r="Q32" s="482"/>
      <c r="R32" s="482"/>
      <c r="S32" s="482"/>
      <c r="T32" s="492"/>
      <c r="V32" s="106"/>
      <c r="W32" s="338"/>
      <c r="X32" s="156" t="s">
        <v>326</v>
      </c>
      <c r="Y32" s="444">
        <f t="shared" si="53"/>
        <v>3</v>
      </c>
      <c r="Z32" s="398" t="str">
        <f t="shared" si="54"/>
        <v/>
      </c>
      <c r="AA32" s="445">
        <f t="shared" si="55"/>
        <v>0</v>
      </c>
      <c r="AB32" s="446"/>
      <c r="AC32" s="224"/>
      <c r="AE32" s="487"/>
      <c r="AF32" s="291"/>
      <c r="AG32" s="497"/>
      <c r="AH32" s="391"/>
      <c r="AI32" s="391"/>
      <c r="AJ32" s="391"/>
      <c r="AK32" s="391"/>
      <c r="AL32" s="391"/>
      <c r="AM32" s="498" t="s">
        <v>331</v>
      </c>
      <c r="BU32" s="391"/>
      <c r="BV32" s="391"/>
      <c r="BW32" s="431"/>
      <c r="BZ32" s="477" t="s">
        <v>332</v>
      </c>
      <c r="CC32" s="417">
        <f t="shared" si="44"/>
        <v>6</v>
      </c>
      <c r="CD32" s="417">
        <f t="shared" si="45"/>
        <v>67</v>
      </c>
      <c r="CE32" s="418">
        <f t="shared" si="46"/>
        <v>0</v>
      </c>
      <c r="CF32" s="419"/>
      <c r="CG32" s="418"/>
      <c r="CH32" s="418"/>
      <c r="CK32" s="120"/>
      <c r="CT32" s="330"/>
      <c r="EX32" s="208"/>
      <c r="EY32" s="208"/>
      <c r="EZ32" s="208"/>
      <c r="FA32" s="208"/>
      <c r="FB32" s="208"/>
      <c r="FC32" s="208"/>
      <c r="FD32" s="208"/>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row>
    <row r="33">
      <c r="B33" s="199"/>
      <c r="E33" s="491"/>
      <c r="I33" s="482"/>
      <c r="M33" s="482"/>
      <c r="Q33" s="482"/>
      <c r="R33" s="482"/>
      <c r="S33" s="482"/>
      <c r="T33" s="492"/>
      <c r="U33" s="106"/>
      <c r="V33" s="106"/>
      <c r="W33" s="338"/>
      <c r="X33" s="156" t="s">
        <v>333</v>
      </c>
      <c r="Y33" s="444">
        <f t="shared" si="53"/>
        <v>0</v>
      </c>
      <c r="Z33" s="398" t="str">
        <f t="shared" si="54"/>
        <v/>
      </c>
      <c r="AA33" s="445">
        <f t="shared" si="55"/>
        <v>0</v>
      </c>
      <c r="AB33" s="446"/>
      <c r="AC33" s="224"/>
      <c r="AE33" s="487"/>
      <c r="AF33" s="291"/>
      <c r="AG33" s="428"/>
      <c r="AH33" s="499"/>
      <c r="AI33" s="499"/>
      <c r="AJ33" s="499"/>
      <c r="AK33" s="499"/>
      <c r="AL33" s="499"/>
      <c r="AM33" s="500"/>
      <c r="BU33" s="499"/>
      <c r="BV33" s="499"/>
      <c r="BW33" s="501"/>
      <c r="BZ33" s="502" t="s">
        <v>334</v>
      </c>
      <c r="CC33" s="417">
        <f t="shared" si="44"/>
        <v>0</v>
      </c>
      <c r="CD33" s="417">
        <f t="shared" si="45"/>
        <v>0</v>
      </c>
      <c r="CE33" s="418" t="str">
        <f t="shared" si="46"/>
        <v/>
      </c>
      <c r="CF33" s="330"/>
      <c r="CK33" s="120"/>
      <c r="CT33" s="330"/>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row>
    <row r="34">
      <c r="B34" s="199"/>
      <c r="E34" s="491"/>
      <c r="I34" s="482"/>
      <c r="M34" s="482"/>
      <c r="Q34" s="482"/>
      <c r="R34" s="482"/>
      <c r="S34" s="482"/>
      <c r="T34" s="492"/>
      <c r="U34" s="106"/>
      <c r="V34" s="106"/>
      <c r="W34" s="338"/>
      <c r="X34" s="156" t="s">
        <v>330</v>
      </c>
      <c r="Y34" s="444">
        <f t="shared" si="53"/>
        <v>0</v>
      </c>
      <c r="Z34" s="398" t="str">
        <f t="shared" si="54"/>
        <v/>
      </c>
      <c r="AA34" s="445">
        <f t="shared" si="55"/>
        <v>0</v>
      </c>
      <c r="AB34" s="446"/>
      <c r="AC34" s="224"/>
      <c r="AE34" s="487"/>
      <c r="AF34" s="291"/>
      <c r="AG34" s="497"/>
      <c r="AH34" s="503"/>
      <c r="AI34" s="503"/>
      <c r="AJ34" s="503"/>
      <c r="AK34" s="503"/>
      <c r="AL34" s="503"/>
      <c r="BU34" s="391"/>
      <c r="BV34" s="391"/>
      <c r="BW34" s="431"/>
      <c r="BZ34" s="504"/>
      <c r="CA34" s="505"/>
      <c r="CB34" s="505"/>
      <c r="CC34" s="505"/>
      <c r="CD34" s="505"/>
      <c r="CE34" s="505"/>
      <c r="CF34" s="506"/>
      <c r="CG34" s="505"/>
      <c r="CH34" s="505"/>
      <c r="CI34" s="505"/>
      <c r="CJ34" s="505"/>
      <c r="CK34" s="507"/>
      <c r="CL34" s="505"/>
      <c r="CM34" s="505"/>
      <c r="CN34" s="505"/>
      <c r="CO34" s="505"/>
      <c r="CP34" s="505"/>
      <c r="CQ34" s="505"/>
      <c r="CR34" s="505"/>
      <c r="CS34" s="505"/>
      <c r="CT34" s="506"/>
      <c r="EX34" s="208"/>
      <c r="EY34" s="208"/>
      <c r="EZ34" s="208"/>
      <c r="FA34" s="208"/>
      <c r="FB34" s="208"/>
      <c r="FC34" s="208"/>
      <c r="FD34" s="208"/>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row>
    <row r="35" ht="88.5" customHeight="1">
      <c r="B35" s="199"/>
      <c r="E35" s="508"/>
      <c r="F35" s="509"/>
      <c r="G35" s="509"/>
      <c r="H35" s="509"/>
      <c r="I35" s="510"/>
      <c r="J35" s="509"/>
      <c r="K35" s="509"/>
      <c r="L35" s="509"/>
      <c r="M35" s="510"/>
      <c r="N35" s="509"/>
      <c r="O35" s="509"/>
      <c r="P35" s="509"/>
      <c r="Q35" s="510"/>
      <c r="R35" s="510"/>
      <c r="S35" s="510"/>
      <c r="T35" s="511"/>
      <c r="V35" s="106"/>
      <c r="W35" s="338"/>
      <c r="X35" s="512" t="s">
        <v>332</v>
      </c>
      <c r="Y35" s="444">
        <f t="shared" si="53"/>
        <v>6</v>
      </c>
      <c r="Z35" s="398">
        <f t="shared" si="54"/>
        <v>1.5</v>
      </c>
      <c r="AA35" s="445">
        <f t="shared" si="55"/>
        <v>90</v>
      </c>
      <c r="AB35" s="446"/>
      <c r="AC35" s="224"/>
      <c r="AE35" s="487"/>
      <c r="AF35" s="291"/>
      <c r="AG35" s="513"/>
      <c r="AH35" s="514"/>
      <c r="AI35" s="514"/>
      <c r="AJ35" s="514"/>
      <c r="AK35" s="514"/>
      <c r="AL35" s="514"/>
      <c r="AM35" s="514"/>
      <c r="AN35" s="514"/>
      <c r="AO35" s="514"/>
      <c r="AP35" s="514"/>
      <c r="AQ35" s="514"/>
      <c r="AR35" s="514"/>
      <c r="AS35" s="514"/>
      <c r="AT35" s="514"/>
      <c r="AU35" s="514"/>
      <c r="AV35" s="514"/>
      <c r="AW35" s="514"/>
      <c r="AX35" s="514"/>
      <c r="AY35" s="514"/>
      <c r="AZ35" s="514"/>
      <c r="BA35" s="514"/>
      <c r="BB35" s="515"/>
      <c r="BC35" s="515"/>
      <c r="BD35" s="515"/>
      <c r="BE35" s="515"/>
      <c r="BF35" s="515"/>
      <c r="BG35" s="515"/>
      <c r="BH35" s="515"/>
      <c r="BI35" s="515"/>
      <c r="BJ35" s="515"/>
      <c r="BK35" s="515"/>
      <c r="BL35" s="515"/>
      <c r="BM35" s="515"/>
      <c r="BN35" s="515"/>
      <c r="BO35" s="515"/>
      <c r="BP35" s="515"/>
      <c r="BQ35" s="514"/>
      <c r="BR35" s="514"/>
      <c r="BS35" s="514"/>
      <c r="BT35" s="514"/>
      <c r="BU35" s="514"/>
      <c r="BV35" s="514"/>
      <c r="BW35" s="516"/>
      <c r="EX35" s="208"/>
      <c r="EY35" s="208"/>
      <c r="EZ35" s="208"/>
      <c r="FA35" s="208"/>
      <c r="FB35" s="208"/>
      <c r="FC35" s="208"/>
      <c r="FD35" s="208"/>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row>
    <row r="36">
      <c r="B36" s="199"/>
      <c r="K36" s="200"/>
      <c r="L36" s="200"/>
      <c r="U36" s="106"/>
      <c r="V36" s="106"/>
      <c r="W36" s="338"/>
      <c r="X36" s="517" t="s">
        <v>334</v>
      </c>
      <c r="Y36" s="444">
        <f t="shared" si="53"/>
        <v>0</v>
      </c>
      <c r="Z36" s="398" t="str">
        <f t="shared" si="54"/>
        <v/>
      </c>
      <c r="AA36" s="445">
        <f t="shared" si="55"/>
        <v>0</v>
      </c>
      <c r="AB36" s="518"/>
      <c r="AC36" s="224"/>
      <c r="AE36" s="487"/>
      <c r="AF36" s="291"/>
      <c r="BE36" s="519"/>
      <c r="BF36" s="519"/>
      <c r="BG36" s="519"/>
      <c r="BH36" s="519"/>
      <c r="BI36" s="519"/>
      <c r="BJ36" s="519"/>
      <c r="BK36" s="519"/>
      <c r="BL36" s="519"/>
      <c r="BM36" s="519"/>
      <c r="BN36" s="519"/>
      <c r="BO36" s="519"/>
      <c r="BP36" s="519"/>
      <c r="BQ36" s="519"/>
      <c r="BR36" s="519"/>
      <c r="EX36" s="208"/>
      <c r="EY36" s="208"/>
      <c r="EZ36" s="208"/>
      <c r="FA36" s="208"/>
      <c r="FB36" s="208"/>
      <c r="FC36" s="208"/>
      <c r="FD36" s="208"/>
      <c r="FE36" s="208"/>
      <c r="FF36" s="208"/>
      <c r="FG36" s="208"/>
      <c r="FH36" s="208"/>
      <c r="FI36" s="208"/>
      <c r="FJ36" s="208"/>
      <c r="FK36" s="208"/>
      <c r="FL36" s="208"/>
      <c r="FM36" s="208"/>
      <c r="FN36" s="208"/>
      <c r="FO36" s="208"/>
      <c r="FP36" s="208"/>
      <c r="FQ36" s="208"/>
      <c r="FR36" s="208"/>
      <c r="FS36" s="208"/>
      <c r="FT36" s="208"/>
      <c r="FU36" s="208"/>
      <c r="FV36" s="208"/>
      <c r="FW36" s="208"/>
      <c r="FX36" s="208"/>
      <c r="FY36" s="208"/>
      <c r="FZ36" s="208"/>
      <c r="GA36" s="208"/>
      <c r="GB36" s="208"/>
      <c r="GC36" s="208"/>
      <c r="GD36" s="208"/>
      <c r="GE36" s="208"/>
      <c r="GF36" s="208"/>
      <c r="GG36" s="208"/>
      <c r="GH36" s="208"/>
    </row>
    <row r="37">
      <c r="B37" s="199"/>
      <c r="C37" s="520" t="s">
        <v>335</v>
      </c>
      <c r="D37" s="360">
        <v>3.0</v>
      </c>
      <c r="E37" s="521" t="str">
        <f>"S"&amp;D37</f>
        <v>S3</v>
      </c>
      <c r="W37" s="201"/>
      <c r="X37" s="522"/>
      <c r="Y37" s="523"/>
      <c r="Z37" s="523"/>
      <c r="AA37" s="523"/>
      <c r="AB37" s="523"/>
      <c r="AC37" s="523"/>
      <c r="AD37" s="524"/>
      <c r="AE37" s="525"/>
      <c r="AF37" s="526" t="s">
        <v>336</v>
      </c>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527"/>
      <c r="BU37" s="528"/>
      <c r="BV37" s="528"/>
      <c r="BW37" s="528"/>
      <c r="BX37" s="106"/>
      <c r="BY37" s="106"/>
      <c r="BZ37" s="529" t="s">
        <v>337</v>
      </c>
      <c r="CA37" s="221"/>
      <c r="CB37" s="221"/>
      <c r="CC37" s="221"/>
      <c r="CD37" s="221"/>
      <c r="CE37" s="221"/>
      <c r="CF37" s="221"/>
      <c r="CG37" s="221"/>
      <c r="CH37" s="221"/>
      <c r="CI37" s="221"/>
      <c r="CJ37" s="221"/>
      <c r="CK37" s="221"/>
      <c r="CL37" s="221"/>
      <c r="CM37" s="222"/>
      <c r="DE37" s="106"/>
      <c r="DF37" s="106"/>
      <c r="DG37" s="106"/>
      <c r="DH37" s="106"/>
      <c r="DI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X37" s="208"/>
      <c r="EY37" s="208"/>
      <c r="EZ37" s="208"/>
      <c r="FA37" s="208"/>
      <c r="FB37" s="208"/>
      <c r="FC37" s="208"/>
      <c r="FD37" s="208"/>
      <c r="FE37" s="208"/>
      <c r="FF37" s="208"/>
      <c r="FG37" s="208"/>
      <c r="FH37" s="208"/>
      <c r="FI37" s="208"/>
      <c r="FJ37" s="208"/>
      <c r="FK37" s="208"/>
      <c r="FL37" s="208"/>
      <c r="FM37" s="208"/>
      <c r="FN37" s="208"/>
      <c r="FO37" s="208"/>
      <c r="FP37" s="208"/>
      <c r="FQ37" s="208"/>
      <c r="FR37" s="208"/>
      <c r="FS37" s="208"/>
      <c r="FT37" s="208"/>
      <c r="FU37" s="208"/>
      <c r="FV37" s="208"/>
      <c r="FW37" s="208"/>
      <c r="FX37" s="208"/>
      <c r="FY37" s="208"/>
      <c r="FZ37" s="208"/>
      <c r="GA37" s="208"/>
      <c r="GB37" s="208"/>
      <c r="GC37" s="208"/>
      <c r="GD37" s="208"/>
      <c r="GE37" s="208"/>
      <c r="GF37" s="208"/>
      <c r="GG37" s="208"/>
      <c r="GH37" s="208"/>
    </row>
    <row r="38">
      <c r="B38" s="199"/>
      <c r="C38" s="520" t="s">
        <v>338</v>
      </c>
      <c r="D38" s="360">
        <v>6.0</v>
      </c>
      <c r="E38" s="128"/>
      <c r="F38" s="530" t="s">
        <v>339</v>
      </c>
      <c r="Q38" s="531"/>
      <c r="R38" s="532"/>
      <c r="S38" s="532"/>
      <c r="T38" s="532"/>
      <c r="U38" s="128"/>
      <c r="W38" s="201"/>
      <c r="X38" s="360" t="s">
        <v>340</v>
      </c>
      <c r="AE38" s="533"/>
      <c r="AF38" s="360"/>
      <c r="AG38" s="534" t="s">
        <v>341</v>
      </c>
      <c r="AJ38" s="226"/>
      <c r="AK38" s="534" t="s">
        <v>342</v>
      </c>
      <c r="AO38" s="534" t="s">
        <v>343</v>
      </c>
      <c r="AS38" s="534" t="s">
        <v>344</v>
      </c>
      <c r="AW38" s="534" t="s">
        <v>345</v>
      </c>
      <c r="BA38" s="534" t="s">
        <v>346</v>
      </c>
      <c r="BE38" s="534" t="s">
        <v>347</v>
      </c>
      <c r="BI38" s="534" t="s">
        <v>348</v>
      </c>
      <c r="BM38" s="534" t="s">
        <v>349</v>
      </c>
      <c r="BQ38" s="534" t="s">
        <v>350</v>
      </c>
      <c r="BT38" s="492"/>
      <c r="BU38" s="535"/>
      <c r="BV38" s="535"/>
      <c r="BW38" s="535"/>
      <c r="BX38" s="106"/>
      <c r="BY38" s="106"/>
      <c r="BZ38" s="536"/>
      <c r="CA38" s="537"/>
      <c r="CB38" s="537"/>
      <c r="CC38" s="537"/>
      <c r="CD38" s="537"/>
      <c r="CE38" s="537"/>
      <c r="CF38" s="537"/>
      <c r="CG38" s="537"/>
      <c r="CH38" s="537"/>
      <c r="CI38" s="537"/>
      <c r="CJ38" s="537"/>
      <c r="CM38" s="226"/>
      <c r="DE38" s="106"/>
      <c r="DF38" s="106"/>
      <c r="DG38" s="106"/>
      <c r="DH38" s="106"/>
      <c r="DI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X38" s="208"/>
      <c r="EY38" s="208"/>
      <c r="EZ38" s="208"/>
      <c r="FA38" s="208"/>
      <c r="FB38" s="208"/>
      <c r="FC38" s="208"/>
      <c r="FD38" s="208"/>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row>
    <row r="39">
      <c r="A39" s="538"/>
      <c r="B39" s="539" t="s">
        <v>351</v>
      </c>
      <c r="C39" s="540"/>
      <c r="D39" s="537" t="s">
        <v>352</v>
      </c>
      <c r="E39" s="541" t="s">
        <v>353</v>
      </c>
      <c r="F39" s="537" t="s">
        <v>293</v>
      </c>
      <c r="G39" s="542" t="s">
        <v>254</v>
      </c>
      <c r="H39" s="537" t="s">
        <v>354</v>
      </c>
      <c r="I39" s="537" t="str">
        <f t="array" ref="I39:I186">{"KG (%)";IFERROR(MROUND(IFS(MID($D$40:$D186,1,2)=$E$14,$F$14*$H$40:$H186,MID($D$40:$D186,1,2)=$E$15,$F$15*$H$40:$H186,MID($D$40:$D186,1,2)=$E$16,$F$16*$H$40:$H186),2.5),"")}</f>
        <v>KG (%)</v>
      </c>
      <c r="J39" s="360" t="s">
        <v>355</v>
      </c>
      <c r="K39" s="537" t="s">
        <v>356</v>
      </c>
      <c r="M39" s="537" t="s">
        <v>257</v>
      </c>
      <c r="O39" s="537" t="s">
        <v>357</v>
      </c>
      <c r="P39" s="537" t="s">
        <v>358</v>
      </c>
      <c r="Q39" s="537" t="s">
        <v>359</v>
      </c>
      <c r="S39" s="542" t="s">
        <v>18</v>
      </c>
      <c r="U39" s="542" t="str">
        <f>"NOTAS DE "&amp;'Introducción'!B19&amp;" "&amp;'Introducción'!B20</f>
        <v>#REF!</v>
      </c>
      <c r="V39" s="542" t="s">
        <v>360</v>
      </c>
      <c r="W39" s="543"/>
      <c r="X39" s="360" t="str">
        <f t="array" ref="X39:X186">{"Tonelaje pre-establecido";IFERROR(F40:F186*G40:G186*I40:I186,"")+IFERROR(F40:F186*G40:G186*J40:J186,"")}</f>
        <v>Tonelaje pre-establecido</v>
      </c>
      <c r="Y39" s="360" t="str">
        <f t="array" ref="Y39:Y186">{"Tonelaje Realizado";CE40:CE186}</f>
        <v>Tonelaje Realizado</v>
      </c>
      <c r="Z39" s="360" t="str">
        <f t="array" ref="Z39:Z186">{"NL pre-establecido";IFERROR( IF(LEN(F40:F186),LEFT(G40:G186,2)*F40:F186,""),"")}</f>
        <v>NL pre-establecido</v>
      </c>
      <c r="AA39" s="360" t="str">
        <f t="array" ref="AA39:AA186">{"% (M)";IF(LEFT($D$40:$D186,2)="SQ",$J$40:$J186/$F$14,IF(LEFT($D$40:$D186,2)="BP",$J$40:$J186/$F$15,IF(LEFT($D$40:D186,2)="DL",$J$40:$J186/$F$16)))}</f>
        <v>% (M)</v>
      </c>
      <c r="AB39" s="360" t="s">
        <v>263</v>
      </c>
      <c r="AC39" s="360"/>
      <c r="AD39" s="360" t="str">
        <f t="array" ref="AD39:AD186">{"Series realizadas";IF(NOT(ISBLANK(AG40:AG186)),1,"")+IF(NOT(ISBLANK(AK40:AK186)),1,"")+IF(NOT(ISBLANK(AO40:AO186)),1,"")+IF(NOT(ISBLANK(AS40:AS186)),1,"")+IF(NOT(ISBLANK(AW40:AW186)),1,"")+IF(NOT(ISBLANK(BA40:BA186)),1,"")+IF(NOT(ISBLANK(BE40:BE186)),1,"")+IF(NOT(ISBLANK(BI40:BI186)),1,"")+IF(NOT(ISBLANK(BM40:BM186)),1,"")+IF(NOT(ISBLANK(BQ40:BQ186)),1,"")}</f>
        <v>Series realizadas</v>
      </c>
      <c r="AE39" s="533"/>
      <c r="AF39" s="360" t="str">
        <f t="array" ref="AF39:AF186">{"EJERCICIOS";IF(ISBLANK($D$40:$D186),"",$E$40:$E186&amp;": "&amp;$F$40:$F186&amp;" x "&amp;$G$40:$G186&amp;" x "&amp;IF(NOT(ISBLANK($H$40:$H186)),$I$40:$I186&amp;" kg",J40:J186&amp;" kg")&amp;IF(NOT(ISBLANK($K$40:$K186))," RIR "&amp;$K$40:$K186,"")&amp;IF(NOT(ISBLANK($L$40:$L186)),"-"&amp;$L$40:$L186,"")&amp;" "&amp;IF(NOT(ISBLANK($M$40:$M186)),"x RPE "&amp;$M$40:$M186,"")&amp;IF(NOT(ISBLANK($N$40:$N186)),"-"&amp;$N$40:$N186,""))}</f>
        <v>EJERCICIOS</v>
      </c>
      <c r="AG39" s="544" t="s">
        <v>254</v>
      </c>
      <c r="AH39" s="545" t="s">
        <v>262</v>
      </c>
      <c r="AI39" s="546" t="s">
        <v>356</v>
      </c>
      <c r="AJ39" s="547" t="s">
        <v>257</v>
      </c>
      <c r="AK39" s="548" t="s">
        <v>254</v>
      </c>
      <c r="AL39" s="545" t="s">
        <v>262</v>
      </c>
      <c r="AM39" s="546" t="s">
        <v>356</v>
      </c>
      <c r="AN39" s="547" t="s">
        <v>257</v>
      </c>
      <c r="AO39" s="548" t="s">
        <v>254</v>
      </c>
      <c r="AP39" s="549" t="s">
        <v>262</v>
      </c>
      <c r="AQ39" s="546" t="s">
        <v>356</v>
      </c>
      <c r="AR39" s="550" t="s">
        <v>257</v>
      </c>
      <c r="AS39" s="548" t="s">
        <v>254</v>
      </c>
      <c r="AT39" s="545" t="s">
        <v>262</v>
      </c>
      <c r="AU39" s="546" t="s">
        <v>356</v>
      </c>
      <c r="AV39" s="550" t="s">
        <v>257</v>
      </c>
      <c r="AW39" s="548" t="s">
        <v>254</v>
      </c>
      <c r="AX39" s="545" t="s">
        <v>262</v>
      </c>
      <c r="AY39" s="546" t="s">
        <v>356</v>
      </c>
      <c r="AZ39" s="550" t="s">
        <v>257</v>
      </c>
      <c r="BA39" s="548" t="s">
        <v>254</v>
      </c>
      <c r="BB39" s="545" t="s">
        <v>262</v>
      </c>
      <c r="BC39" s="546" t="s">
        <v>356</v>
      </c>
      <c r="BD39" s="550" t="s">
        <v>257</v>
      </c>
      <c r="BE39" s="548" t="s">
        <v>254</v>
      </c>
      <c r="BF39" s="545" t="s">
        <v>262</v>
      </c>
      <c r="BG39" s="546" t="s">
        <v>356</v>
      </c>
      <c r="BH39" s="550" t="s">
        <v>257</v>
      </c>
      <c r="BI39" s="548" t="s">
        <v>254</v>
      </c>
      <c r="BJ39" s="545" t="s">
        <v>262</v>
      </c>
      <c r="BK39" s="546" t="s">
        <v>356</v>
      </c>
      <c r="BL39" s="550" t="s">
        <v>257</v>
      </c>
      <c r="BM39" s="548" t="s">
        <v>254</v>
      </c>
      <c r="BN39" s="545" t="s">
        <v>262</v>
      </c>
      <c r="BO39" s="546" t="s">
        <v>356</v>
      </c>
      <c r="BP39" s="550" t="s">
        <v>257</v>
      </c>
      <c r="BQ39" s="548" t="s">
        <v>254</v>
      </c>
      <c r="BR39" s="545" t="s">
        <v>262</v>
      </c>
      <c r="BS39" s="546" t="s">
        <v>356</v>
      </c>
      <c r="BT39" s="551" t="s">
        <v>257</v>
      </c>
      <c r="BU39" s="552"/>
      <c r="BV39" s="540"/>
      <c r="BW39" s="552"/>
      <c r="BX39" s="553"/>
      <c r="BY39" s="553"/>
      <c r="BZ39" s="554" t="str">
        <f t="array" ref="BZ39:BZ186">{"1RM";IFERROR(IFS(MID(D40:D186,1,2)=$E$14,$F$14,MID(D40:D186,1,2)=$E$15,$F$15,MID(D40:D186,1,2)=$E$16,$F$16),)}</f>
        <v>1RM</v>
      </c>
      <c r="CA39" s="555" t="str">
        <f t="array" ref="CA39:CA186">{"aRI";IFERROR(IF(COUNTIF(D40:D186,E14)+COUNTIF(D40:D186,E15)+COUNTIF(D40:D186,E16)=0, IFS(MID(D40:D186,1,2)=E14, IF(MID(D40:D186,1,2)=E14, ((AH40:AH186)+(AL40:AL186)+(AP40:AP186)+(AT40:AT186)+(AX40:AX186)+(BB40:BB186)+(BF40:BF186)+(BJ40:BJ186)+(BN40:BN186)+(BR40:BR186))/AD40:AD186*100%/$F$14,((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15,IF(MID(D40:D186,1,2)=E15, ((AH40:AH186)+(AL40:AL186)+(AP40:AP186)+(AT40:AT186)+(AX40:AX186)+(BB40:BB186)+(BF40:BF186)+(BJ40:BJ186)+(BN40:BN186)+(BR40:BR186))/AD40:AD186*100%/$F$15,((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16,IF(MID(D40:D186,1,2)=E16, ((AH40:AH186)+(AL40:AL186)+(AP40:AP186)+(AT40:AT186)+(AX40:AX186)+(BB40:BB186)+(BF40:BF186)+(BJ40:BJ186)+(BN40:BN186)+(BR40:BR186))/AD40:AD186*100%/$F$16,((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f>
        <v>aRI</v>
      </c>
      <c r="CB39" s="555" t="str">
        <f t="array" ref="CB39:CB186">{"aI";IFERROR(((AH40:AH186)+(AL40:AL186)+(AP40:AP186)+(AT40:AT186)+(AX40:AX186)+(BB40:BB186)+(BF40:BF186)+(BJ40:BJ186)+(BN40:BN186)+(BR40:BR186))/(AD40:AD186),"")}</f>
        <v>aI</v>
      </c>
      <c r="CC39" s="556" t="str">
        <f t="array" ref="CC39:CC186">{"NL";AG40:AG186+AK40:AK186+AO40:AO186+AS40:AS186+AW40:AW186+BA40:BA186+BE40:BE186+BI40:BI186+BM40:BM186+BQ40:BQ186}</f>
        <v>NL</v>
      </c>
      <c r="CD39" s="555" t="str">
        <f t="array" ref="CD39:CD186">{"avg_RIR";IFERROR(((AI40:AI186)+(AM40:AM186)+(AQ40:AQ186)+(AU40:AU186)+(AY40:AY186)+(BC40:BC186)+(BG40:BG186)+(BK40:BK186)+(BO40:BO186)+(BS40:BS186))/(AD40:AD186),"")}</f>
        <v>avg_RIR</v>
      </c>
      <c r="CE39" s="555" t="str">
        <f t="array" ref="CE39:CE186">{"TONELAJE";(AG40:AG186*AH40:AH186)+(AK40:AK186*AL40:AL186)+(AO40:AO186*AP40:AP186)+(AS40:AS186*AT40:AT186)+(AW40:AW186*AX40:AX186)+(BA40:BA186*BB40:BB186)*(BE40:BE186*BF40:BF186)+(BI40:BI186*BJ40:BJ186)+(BM40:BM186*BN40:BN186)+(BQ40:BQ186*BR40:BR186)}</f>
        <v>TONELAJE</v>
      </c>
      <c r="CF39" s="556" t="str">
        <f t="array" ref="CF39:CF186">{"IMPULSO";IFERROR((CE40:CE186/BZ40:BZ186),"")}</f>
        <v>IMPULSO</v>
      </c>
      <c r="CG39" s="556" t="str">
        <f t="array" ref="CG39:CG186">{"INOL";(CC40:CC186)/(100-100*(CA40:CA186))}</f>
        <v>INOL</v>
      </c>
      <c r="CH39" s="555" t="str">
        <f t="array" ref="CH39:CH186">{"pred1RM";IFERROR(((AH40:AH186+AL40:AL186+AP40:AP186+AT40:AT186+AX40:AX186+BB40:BB186+BF40:BF186+BJ40:BJ186+BN40:BN186+BR40:BR186)/AD40:AD186*(((AG40:AG186+AK40:AK186+AO40:AO186+AS40:AS186+AW40:AW186+BA40:BA186+BC40:BC186+BE40:BE186+BI40:BI186+BM40:BM186+BQ40:BQ186)/AD40:AD186+(-(AJ40:AJ186+AN40:AN186+AR40:AR186+AV40:AV186+AZ40:AZ186+BD40:BD186+BH40:BH186+BL40:BL186+BP40:BP186+BT40:BT186)/#REF!)+10)*0.0333)+(AH40:AH186+AL40:AL186+AP40:AP186+AT40:AT186+AX40:AX186+BB40:BB186+BF40:BF186+BJ40:BJ186+BN40:BN186+BR40:BR186)/AD40:AD186),"")}</f>
        <v>pred1RM</v>
      </c>
      <c r="CI39" s="555" t="str">
        <f t="array" ref="CI39:CI186">{"prox1RM";IFERROR(((AH40:AH186+AL40:AL186+AP40:AP186+AT40:AT186+AX40:AX186+BB40:BB186+BF40:BF186+BJ40:BJ186+BN40:BN186+BR40:BR186)/AD40:AD186*(((AG40:AG186+AK40:AK186+AO40:AO186+AS40:AS186+AW40:AW186+BA40:BA186+BC40:BC186+BE40:BE186+BI40:BI186+BM40:BM186+BQ40:BQ186)/AD40:AD186)*0.0333)+(AH40:AH186+AL40:AL186+AP40:AP186+AT40:AT186+AX40:AX186+BB40:BB186+BF40:BF186+BJ40:BJ186+BN40:BN186+BR40:BR186)/AD40:AD186)/IFS(MID(D40:D186,1,2)=$E$14,$F$14,MID(D40:D186,1,2)=$E$15,$F$15,MID(D40:D186,1,2)=$E$16,$F$16),"")}</f>
        <v>prox1RM</v>
      </c>
      <c r="CJ39" s="557" t="str">
        <f t="array" ref="CJ39:CJ186">{"S.I.";IFERROR(IF(ISBLANK(AI40:AI186),"", IFS(AI40:AI186=0,1.6,AI40:AI186=1,1.2,AI40:AI186=2,1,AI40:AI186=3,0.8,AI40:AI186=4,0.6))+IF(ISBLANK(AM40:AM186),"", IFS(AM40:AM186=0,1.6,AM40:AM186=1,1.2,AM40:AM186=2,1,AM40:AM186=3,0.8,AM40:AM186=4,0.6))+IF(ISBLANK(AQ40:AQ186),"", IFS(AQ40:AQ186=0,1.6,AQ40:AQ186=1,1.2,AQ40:AQ186=2,1,AQ40:AQ186=3,0.8,AQ40:AQ186=4,0.6))+IF(ISBLANK(AU40:AU186),"", IFS(AU40:AU186=0,1.6,AU40:AU186=1,1.2,AU40:AU186=2,1,AU40:AU186=3,0.8,AU40:AU186=4,0.6))+IF(ISBLANK(AY40:AY186),"", IFS(AY40:AY186=0,1.6,AY40:AY186=1,1.2,AY40:AY186=2,1,AY40:AY186=3,0.8,AY40:AY186=4,0.6))+IF(ISBLANK(BC40:BC186),"", IFS(BC40:BC186=0,1.6,BC40:BC186=1,1.2,BC40:BC186=2,1,BC40:BC186=3,0.8,BC40:BC186=4,0.6))+IF(ISBLANK(BG40:BG186),"", IFS(BG40:BG186=0,1.6,BG40:BG186=1,1.2,BG40:BG186=2,1,BG40:BG186=3,0.8,BG40:BG186=4,0.6))+IF(ISBLANK(BK40:BK186),"", IFS(BK40:BK186=0,1.6,BK40:BK186=1,1.2,BK40:BK186=2,1,BK40:BK186=3,0.8,BK40:BK186=4,0.6))+IF(ISBLANK(BO40:BO186),"", IFS(BO40:BO186=0,1.6,BO40:BO186=1,1.2,BO40:BO186=2,1,BO40:BO186=3,0.8,BO40:BO186=4,0.6))+IF(ISBLANK(BS40:BS186),"", IFS(BS40:BS186=0,1.6,BS40:BS186=1,1.2,BS40:BS186=2,1,BS40:BS186=3,0.8,BS40:BS186=4,0.6)),"")}</f>
        <v>S.I.</v>
      </c>
      <c r="CK39" s="556" t="str">
        <f t="array" ref="CK39:CK186">{"avg_RPE";IFERROR(((AJ40:AJ186)+(AN40:AN186)+(AR40:AR186)+(AV40:AV186)+(AZ40:AZ186)+(BD40:BD186)+(BH40:BH186)+(BL40:BL186)+(BP40:BP186)+(BT40:BT186))/(AD40:AD186),"")}</f>
        <v>avg_RPE</v>
      </c>
      <c r="CL39" s="556" t="str">
        <f t="array" ref="CL39:CL186">{"e1RM Steve Denovi F1";IFERROR((AH40:AH186+AL40:AL186+AP40:AP186+AT40:AT186+AX40:AX186+BB40:BB186+BF40:BF186+BJ40:BJ186+BN40:BN186+BR40:BR186)/AD40:AD186/((VLOOKUP(AJ40:AJ186,$EX$3:$FJ$16,AG40:AG186+1,0))+IFERROR( VLOOKUP(AN40:AN186,$EX$3:$FJ$16,AK40:AK186+1,0),"")+IFERROR( VLOOKUP(AR40:AR186,$EX$3:$FJ$16,AO40:AO186+1,0),"")+IFERROR( VLOOKUP(AV40:AV186,$EX$3:$FJ$16,AS40:AS186+1,0),"")+IFERROR( VLOOKUP(AZ40:AZ186,$EX$3:$FJ$16,AW40:AW186+1,0),"")+IFERROR( VLOOKUP(BD40:BD186,$EX$3:$FJ$16,BA40:BA186+1,0),"")+IFERROR( VLOOKUP(BH40:BH186,$EX$3:$FJ$16,BE40:BE186+1,0),"")+IFERROR( VLOOKUP(BL40:BL186,$EX$3:$FJ$16,BI40:BI186+1,0),"")+IFERROR( VLOOKUP(BP40:BP186,$EX$3:$FJ$16,BM40:BM186+1,0),"")+IFERROR( VLOOKUP(BT40:BT186,$EX$3:$FJ$16,BQ40:BQ186+1,0),""))*AD40:AD186,"")}</f>
        <v>e1RM Steve Denovi F1</v>
      </c>
      <c r="CM39" s="558" t="str">
        <f t="array" ref="CM39:CM186">{"e1RM Steve Denovi F2";IFERROR((AH40:AH186+AL40:AL186+AP40:AP186+AT40:AT186+AX40:AX186+BB40:BB186+BF40:BF186+BJ40:BJ186+BN40:BN186+BR40:BR186)/AD40:AD186/((VLOOKUP(AJ40:AJ186,$FL$3:$FX$16,AG40:AG186+1,0))+IFERROR( VLOOKUP(AN40:AN186,$FL$3:$FX$16,AK40:AK186+1,0),"")+IFERROR( VLOOKUP(AR40:AR186,$FL$3:$FX$16,AO40:AO186+1,0),"")+IFERROR( VLOOKUP(AV40:AV186,$FL$3:$FX$16,AS40:AS186+1,0),"")+IFERROR( VLOOKUP(AZ40:AZ186,$FL$3:$FX$16,AW40:AW186+1,0),"")+IFERROR( VLOOKUP(BD40:BD186,$FL$3:$FX$16,BA40:BA186+1,0),"")+IFERROR( VLOOKUP(BH40:BH186,$FL$3:$FX$16,BE40:BE186+1,0),"")+IFERROR( VLOOKUP(BL40:BL186,$FL$3:$FX$16,BI40:BI186+1,0),"")+IFERROR( VLOOKUP(BP40:BP186,$FL$3:$FX$16,BM40:BM186+1,0),"")+IFERROR( VLOOKUP(BT40:BT186,$FL$3:$FX$16,BQ40:BQ186+1,0),""))*AD40:AD186,"")}</f>
        <v>e1RM Steve Denovi F2</v>
      </c>
      <c r="CN39" s="538"/>
      <c r="CO39" s="538"/>
      <c r="CP39" s="538"/>
      <c r="CQ39" s="538"/>
      <c r="CR39" s="538"/>
      <c r="CS39" s="538"/>
      <c r="CT39" s="538"/>
      <c r="CU39" s="538"/>
      <c r="CV39" s="538"/>
      <c r="CW39" s="538"/>
      <c r="CX39" s="538"/>
      <c r="CY39" s="538"/>
      <c r="CZ39" s="538"/>
      <c r="DA39" s="538"/>
      <c r="DB39" s="538"/>
      <c r="DC39" s="538"/>
      <c r="DD39" s="538"/>
      <c r="DE39" s="553"/>
      <c r="DF39" s="553"/>
      <c r="DG39" s="553"/>
      <c r="DH39" s="553"/>
      <c r="DI39" s="553"/>
      <c r="DJ39" s="538"/>
      <c r="DK39" s="538"/>
      <c r="DL39" s="538"/>
      <c r="DM39" s="538"/>
      <c r="DN39" s="538"/>
      <c r="DO39" s="538"/>
      <c r="DP39" s="538"/>
      <c r="DQ39" s="538"/>
      <c r="DR39" s="538"/>
      <c r="DS39" s="553"/>
      <c r="DT39" s="553"/>
      <c r="DU39" s="553"/>
      <c r="DV39" s="553"/>
      <c r="DW39" s="553"/>
      <c r="DX39" s="553"/>
      <c r="DY39" s="553"/>
      <c r="DZ39" s="553"/>
      <c r="EA39" s="553"/>
      <c r="EB39" s="553"/>
      <c r="EC39" s="553"/>
      <c r="ED39" s="553"/>
      <c r="EE39" s="553"/>
      <c r="EF39" s="553"/>
      <c r="EG39" s="553"/>
      <c r="EH39" s="553"/>
      <c r="EI39" s="553"/>
      <c r="EJ39" s="553"/>
      <c r="EK39" s="553"/>
      <c r="EL39" s="553"/>
      <c r="EM39" s="553"/>
      <c r="EN39" s="553"/>
      <c r="EO39" s="553"/>
      <c r="EP39" s="553"/>
      <c r="EQ39" s="553"/>
      <c r="ER39" s="553"/>
      <c r="ES39" s="553"/>
      <c r="ET39" s="553"/>
      <c r="EU39" s="553"/>
      <c r="EV39" s="553"/>
      <c r="EW39" s="538"/>
      <c r="EX39" s="559"/>
      <c r="EY39" s="559"/>
      <c r="EZ39" s="559"/>
      <c r="FA39" s="559"/>
      <c r="FB39" s="559"/>
      <c r="FC39" s="559"/>
      <c r="FD39" s="559"/>
      <c r="FE39" s="559"/>
      <c r="FF39" s="559"/>
      <c r="FG39" s="559"/>
      <c r="FH39" s="559"/>
      <c r="FI39" s="559"/>
      <c r="FJ39" s="559"/>
      <c r="FK39" s="559"/>
      <c r="FL39" s="559"/>
      <c r="FM39" s="559"/>
      <c r="FN39" s="559"/>
      <c r="FO39" s="559"/>
      <c r="FP39" s="559"/>
      <c r="FQ39" s="559"/>
      <c r="FR39" s="559"/>
      <c r="FS39" s="559"/>
      <c r="FT39" s="559"/>
      <c r="FU39" s="559"/>
      <c r="FV39" s="559"/>
      <c r="FW39" s="559"/>
      <c r="FX39" s="559"/>
      <c r="FY39" s="559"/>
      <c r="FZ39" s="559"/>
      <c r="GA39" s="559"/>
      <c r="GB39" s="559"/>
      <c r="GC39" s="559"/>
      <c r="GD39" s="559"/>
      <c r="GE39" s="559"/>
      <c r="GF39" s="559"/>
      <c r="GG39" s="559"/>
      <c r="GH39" s="559"/>
    </row>
    <row r="40">
      <c r="A40" s="538"/>
      <c r="B40" s="560"/>
      <c r="C40" s="47"/>
      <c r="D40" s="561" t="s">
        <v>266</v>
      </c>
      <c r="E40" s="562" t="s">
        <v>361</v>
      </c>
      <c r="F40" s="563">
        <v>3.0</v>
      </c>
      <c r="G40" s="560">
        <v>5.0</v>
      </c>
      <c r="H40" s="564">
        <v>0.71</v>
      </c>
      <c r="I40" s="565">
        <v>127.5</v>
      </c>
      <c r="J40" s="566"/>
      <c r="K40" s="567"/>
      <c r="L40" s="568"/>
      <c r="M40" s="569"/>
      <c r="N40" s="570"/>
      <c r="O40" s="571"/>
      <c r="P40" s="571"/>
      <c r="Q40" s="47"/>
      <c r="R40" s="47"/>
      <c r="S40" s="572"/>
      <c r="T40" s="572"/>
      <c r="U40" s="573"/>
      <c r="V40" s="574"/>
      <c r="W40" s="575"/>
      <c r="X40" s="576">
        <v>1912.5</v>
      </c>
      <c r="Y40" s="577">
        <v>0.0</v>
      </c>
      <c r="Z40" s="577">
        <v>15.0</v>
      </c>
      <c r="AA40" s="578">
        <v>0.0</v>
      </c>
      <c r="AB40" s="578"/>
      <c r="AC40" s="579"/>
      <c r="AD40" s="580">
        <v>1.0</v>
      </c>
      <c r="AE40" s="581"/>
      <c r="AF40" s="582" t="s">
        <v>448</v>
      </c>
      <c r="AG40" s="583">
        <v>3.0</v>
      </c>
      <c r="AH40" s="584"/>
      <c r="AI40" s="583"/>
      <c r="AJ40" s="585"/>
      <c r="AK40" s="583"/>
      <c r="AL40" s="584"/>
      <c r="AM40" s="583"/>
      <c r="AN40" s="585"/>
      <c r="AO40" s="583"/>
      <c r="AP40" s="584"/>
      <c r="AQ40" s="583"/>
      <c r="AR40" s="585"/>
      <c r="AS40" s="583"/>
      <c r="AT40" s="584"/>
      <c r="AU40" s="583"/>
      <c r="AV40" s="585"/>
      <c r="AW40" s="583"/>
      <c r="AX40" s="584"/>
      <c r="AY40" s="583"/>
      <c r="AZ40" s="585"/>
      <c r="BA40" s="583"/>
      <c r="BB40" s="584"/>
      <c r="BC40" s="583"/>
      <c r="BD40" s="585"/>
      <c r="BE40" s="583"/>
      <c r="BF40" s="584"/>
      <c r="BG40" s="583"/>
      <c r="BH40" s="585"/>
      <c r="BI40" s="583"/>
      <c r="BJ40" s="584"/>
      <c r="BK40" s="583"/>
      <c r="BL40" s="585"/>
      <c r="BM40" s="583"/>
      <c r="BN40" s="584"/>
      <c r="BO40" s="583"/>
      <c r="BP40" s="585"/>
      <c r="BQ40" s="583"/>
      <c r="BR40" s="584"/>
      <c r="BS40" s="583"/>
      <c r="BT40" s="586"/>
      <c r="BU40" s="540"/>
      <c r="BV40" s="540"/>
      <c r="BW40" s="540"/>
      <c r="BX40" s="538"/>
      <c r="BY40" s="538"/>
      <c r="BZ40" s="587">
        <v>180.0</v>
      </c>
      <c r="CA40" s="588">
        <v>0.0</v>
      </c>
      <c r="CB40" s="589">
        <v>0.0</v>
      </c>
      <c r="CC40" s="590">
        <v>3.0</v>
      </c>
      <c r="CD40" s="590">
        <v>0.0</v>
      </c>
      <c r="CE40" s="590">
        <v>0.0</v>
      </c>
      <c r="CF40" s="590">
        <v>0.0</v>
      </c>
      <c r="CG40" s="590">
        <v>0.03</v>
      </c>
      <c r="CH40" s="590"/>
      <c r="CI40" s="591">
        <v>0.0</v>
      </c>
      <c r="CJ40" s="590">
        <v>0.0</v>
      </c>
      <c r="CK40" s="478">
        <v>0.0</v>
      </c>
      <c r="CL40" s="592"/>
      <c r="CM40" s="593"/>
      <c r="CN40" s="538"/>
      <c r="CO40" s="538"/>
      <c r="CP40" s="538"/>
      <c r="CQ40" s="538"/>
      <c r="CR40" s="538"/>
      <c r="CS40" s="538"/>
      <c r="CT40" s="538"/>
      <c r="CU40" s="538"/>
      <c r="CV40" s="538"/>
      <c r="CW40" s="538"/>
      <c r="CX40" s="538"/>
      <c r="CY40" s="538"/>
      <c r="CZ40" s="538"/>
      <c r="DA40" s="538"/>
      <c r="DB40" s="538"/>
      <c r="DC40" s="538"/>
      <c r="DD40" s="538"/>
      <c r="DE40" s="538"/>
      <c r="DF40" s="538"/>
      <c r="DG40" s="538"/>
      <c r="DH40" s="538"/>
      <c r="DI40" s="538"/>
      <c r="DJ40" s="538"/>
      <c r="DK40" s="538"/>
      <c r="DL40" s="538"/>
      <c r="DM40" s="538"/>
      <c r="DN40" s="538"/>
      <c r="DO40" s="538"/>
      <c r="DP40" s="538"/>
      <c r="DQ40" s="538"/>
      <c r="DR40" s="538"/>
      <c r="DS40" s="538"/>
      <c r="DT40" s="538"/>
      <c r="DU40" s="538"/>
      <c r="DV40" s="538"/>
      <c r="DW40" s="538"/>
      <c r="DX40" s="538"/>
      <c r="DY40" s="538"/>
      <c r="DZ40" s="538"/>
      <c r="EA40" s="538"/>
      <c r="EB40" s="538"/>
      <c r="EC40" s="538"/>
      <c r="ED40" s="538"/>
      <c r="EE40" s="538"/>
      <c r="EF40" s="538"/>
      <c r="EG40" s="538"/>
      <c r="EH40" s="538"/>
      <c r="EI40" s="538"/>
      <c r="EJ40" s="538"/>
      <c r="EK40" s="538"/>
      <c r="EL40" s="538"/>
      <c r="EM40" s="538"/>
      <c r="EN40" s="538"/>
      <c r="EO40" s="538"/>
      <c r="EP40" s="538"/>
      <c r="EQ40" s="538"/>
      <c r="ER40" s="538"/>
      <c r="ES40" s="538"/>
      <c r="ET40" s="538"/>
      <c r="EU40" s="538"/>
      <c r="EV40" s="538"/>
      <c r="EW40" s="538"/>
      <c r="EX40" s="559"/>
      <c r="EY40" s="559"/>
      <c r="EZ40" s="559"/>
      <c r="FA40" s="559"/>
      <c r="FB40" s="559"/>
      <c r="FC40" s="559"/>
      <c r="FD40" s="559"/>
      <c r="FE40" s="559"/>
      <c r="FF40" s="559"/>
      <c r="FG40" s="559"/>
      <c r="FH40" s="559"/>
      <c r="FI40" s="559"/>
      <c r="FJ40" s="559"/>
      <c r="FK40" s="559"/>
      <c r="FL40" s="559"/>
      <c r="FM40" s="559"/>
      <c r="FN40" s="559"/>
      <c r="FO40" s="559"/>
      <c r="FP40" s="559"/>
      <c r="FQ40" s="559"/>
      <c r="FR40" s="559"/>
      <c r="FS40" s="559"/>
      <c r="FT40" s="559"/>
      <c r="FU40" s="559"/>
      <c r="FV40" s="559"/>
      <c r="FW40" s="559"/>
      <c r="FX40" s="559"/>
      <c r="FY40" s="559"/>
      <c r="FZ40" s="559"/>
      <c r="GA40" s="559"/>
      <c r="GB40" s="559"/>
      <c r="GC40" s="559"/>
      <c r="GD40" s="559"/>
      <c r="GE40" s="559"/>
      <c r="GF40" s="559"/>
      <c r="GG40" s="559"/>
      <c r="GH40" s="559"/>
    </row>
    <row r="41">
      <c r="A41" s="538"/>
      <c r="B41" s="134"/>
      <c r="C41" s="57"/>
      <c r="D41" s="594" t="s">
        <v>307</v>
      </c>
      <c r="E41" s="595" t="s">
        <v>366</v>
      </c>
      <c r="F41" s="596">
        <v>3.0</v>
      </c>
      <c r="G41" s="134">
        <v>6.0</v>
      </c>
      <c r="H41" s="597"/>
      <c r="I41" s="598" t="s">
        <v>365</v>
      </c>
      <c r="J41" s="599"/>
      <c r="K41" s="600">
        <v>2.0</v>
      </c>
      <c r="L41" s="601">
        <v>3.0</v>
      </c>
      <c r="M41" s="602"/>
      <c r="N41" s="603"/>
      <c r="O41" s="604"/>
      <c r="P41" s="604"/>
      <c r="Q41" s="57"/>
      <c r="R41" s="57"/>
      <c r="S41" s="605"/>
      <c r="T41" s="605"/>
      <c r="U41" s="573"/>
      <c r="V41" s="574"/>
      <c r="W41" s="575"/>
      <c r="X41" s="576">
        <v>0.0</v>
      </c>
      <c r="Y41" s="577">
        <v>0.0</v>
      </c>
      <c r="Z41" s="577">
        <v>18.0</v>
      </c>
      <c r="AA41" s="578" t="b">
        <v>0</v>
      </c>
      <c r="AB41" s="578"/>
      <c r="AC41" s="579"/>
      <c r="AD41" s="580">
        <v>0.0</v>
      </c>
      <c r="AE41" s="581"/>
      <c r="AF41" s="582" t="s">
        <v>367</v>
      </c>
      <c r="AG41" s="583"/>
      <c r="AH41" s="584"/>
      <c r="AI41" s="583"/>
      <c r="AJ41" s="585"/>
      <c r="AK41" s="583"/>
      <c r="AL41" s="584"/>
      <c r="AM41" s="583"/>
      <c r="AN41" s="585"/>
      <c r="AO41" s="583"/>
      <c r="AP41" s="584"/>
      <c r="AQ41" s="583"/>
      <c r="AR41" s="585"/>
      <c r="AS41" s="583"/>
      <c r="AT41" s="584"/>
      <c r="AU41" s="583"/>
      <c r="AV41" s="585"/>
      <c r="AW41" s="583"/>
      <c r="AX41" s="584"/>
      <c r="AY41" s="583"/>
      <c r="AZ41" s="585"/>
      <c r="BA41" s="583"/>
      <c r="BB41" s="584"/>
      <c r="BC41" s="583"/>
      <c r="BD41" s="585"/>
      <c r="BE41" s="583"/>
      <c r="BF41" s="584"/>
      <c r="BG41" s="583"/>
      <c r="BH41" s="585"/>
      <c r="BI41" s="583"/>
      <c r="BJ41" s="584"/>
      <c r="BK41" s="583"/>
      <c r="BL41" s="585"/>
      <c r="BM41" s="583"/>
      <c r="BN41" s="584"/>
      <c r="BO41" s="583"/>
      <c r="BP41" s="585"/>
      <c r="BQ41" s="583"/>
      <c r="BR41" s="584"/>
      <c r="BS41" s="583"/>
      <c r="BT41" s="586"/>
      <c r="BU41" s="540"/>
      <c r="BV41" s="540"/>
      <c r="BW41" s="540"/>
      <c r="BX41" s="538"/>
      <c r="BY41" s="538"/>
      <c r="BZ41" s="587"/>
      <c r="CA41" s="588"/>
      <c r="CB41" s="589" t="s">
        <v>365</v>
      </c>
      <c r="CC41" s="590">
        <v>0.0</v>
      </c>
      <c r="CD41" s="590" t="s">
        <v>365</v>
      </c>
      <c r="CE41" s="590">
        <v>0.0</v>
      </c>
      <c r="CF41" s="590"/>
      <c r="CG41" s="590">
        <v>0.0</v>
      </c>
      <c r="CH41" s="590"/>
      <c r="CI41" s="591"/>
      <c r="CJ41" s="590">
        <v>0.0</v>
      </c>
      <c r="CK41" s="478" t="s">
        <v>365</v>
      </c>
      <c r="CL41" s="592"/>
      <c r="CM41" s="593"/>
      <c r="CN41" s="538"/>
      <c r="CO41" s="538"/>
      <c r="CP41" s="538"/>
      <c r="CQ41" s="538"/>
      <c r="CR41" s="538"/>
      <c r="CS41" s="538"/>
      <c r="CT41" s="538"/>
      <c r="CU41" s="538"/>
      <c r="CV41" s="538"/>
      <c r="CW41" s="538"/>
      <c r="CX41" s="538"/>
      <c r="CY41" s="538"/>
      <c r="CZ41" s="538"/>
      <c r="DA41" s="538"/>
      <c r="DB41" s="538"/>
      <c r="DC41" s="538"/>
      <c r="DD41" s="538"/>
      <c r="DE41" s="538"/>
      <c r="DF41" s="538"/>
      <c r="DG41" s="538"/>
      <c r="DH41" s="538"/>
      <c r="DI41" s="538"/>
      <c r="DJ41" s="538"/>
      <c r="DK41" s="538"/>
      <c r="DL41" s="538"/>
      <c r="DM41" s="538"/>
      <c r="DN41" s="538"/>
      <c r="DO41" s="538"/>
      <c r="DP41" s="538"/>
      <c r="DQ41" s="538"/>
      <c r="DR41" s="538"/>
      <c r="DS41" s="538"/>
      <c r="DT41" s="538"/>
      <c r="DU41" s="538"/>
      <c r="DV41" s="538"/>
      <c r="DW41" s="538"/>
      <c r="DX41" s="538"/>
      <c r="DY41" s="538"/>
      <c r="DZ41" s="538"/>
      <c r="EA41" s="538"/>
      <c r="EB41" s="538"/>
      <c r="EC41" s="538"/>
      <c r="ED41" s="538"/>
      <c r="EE41" s="538"/>
      <c r="EF41" s="538"/>
      <c r="EG41" s="538"/>
      <c r="EH41" s="538"/>
      <c r="EI41" s="538"/>
      <c r="EJ41" s="538"/>
      <c r="EK41" s="538"/>
      <c r="EL41" s="538"/>
      <c r="EM41" s="538"/>
      <c r="EN41" s="538"/>
      <c r="EO41" s="538"/>
      <c r="EP41" s="538"/>
      <c r="EQ41" s="538"/>
      <c r="ER41" s="538"/>
      <c r="ES41" s="538"/>
      <c r="ET41" s="538"/>
      <c r="EU41" s="538"/>
      <c r="EV41" s="538"/>
      <c r="EW41" s="538"/>
      <c r="EX41" s="559"/>
      <c r="EY41" s="559"/>
      <c r="EZ41" s="559"/>
      <c r="FA41" s="559"/>
      <c r="FB41" s="559"/>
      <c r="FC41" s="559"/>
      <c r="FD41" s="559"/>
      <c r="FE41" s="559"/>
      <c r="FF41" s="559"/>
      <c r="FG41" s="559"/>
      <c r="FH41" s="559"/>
      <c r="FI41" s="559"/>
      <c r="FJ41" s="559"/>
      <c r="FK41" s="559"/>
      <c r="FL41" s="559"/>
      <c r="FM41" s="559"/>
      <c r="FN41" s="559"/>
      <c r="FO41" s="559"/>
      <c r="FP41" s="559"/>
      <c r="FQ41" s="559"/>
      <c r="FR41" s="559"/>
      <c r="FS41" s="559"/>
      <c r="FT41" s="559"/>
      <c r="FU41" s="559"/>
      <c r="FV41" s="559"/>
      <c r="FW41" s="559"/>
      <c r="FX41" s="559"/>
      <c r="FY41" s="559"/>
      <c r="FZ41" s="559"/>
      <c r="GA41" s="559"/>
      <c r="GB41" s="559"/>
      <c r="GC41" s="559"/>
      <c r="GD41" s="559"/>
      <c r="GE41" s="559"/>
      <c r="GF41" s="559"/>
      <c r="GG41" s="559"/>
      <c r="GH41" s="559"/>
    </row>
    <row r="42">
      <c r="A42" s="538"/>
      <c r="B42" s="560"/>
      <c r="C42" s="47"/>
      <c r="D42" s="561" t="s">
        <v>302</v>
      </c>
      <c r="E42" s="606" t="s">
        <v>370</v>
      </c>
      <c r="F42" s="563">
        <v>4.0</v>
      </c>
      <c r="G42" s="560">
        <v>8.0</v>
      </c>
      <c r="H42" s="564"/>
      <c r="I42" s="565" t="s">
        <v>365</v>
      </c>
      <c r="J42" s="566"/>
      <c r="K42" s="567">
        <v>2.0</v>
      </c>
      <c r="L42" s="568"/>
      <c r="M42" s="569"/>
      <c r="N42" s="570"/>
      <c r="O42" s="571"/>
      <c r="P42" s="571"/>
      <c r="Q42" s="47"/>
      <c r="R42" s="47"/>
      <c r="S42" s="572"/>
      <c r="T42" s="572"/>
      <c r="U42" s="573"/>
      <c r="V42" s="574"/>
      <c r="W42" s="575"/>
      <c r="X42" s="576">
        <v>0.0</v>
      </c>
      <c r="Y42" s="577">
        <v>0.0</v>
      </c>
      <c r="Z42" s="577">
        <v>32.0</v>
      </c>
      <c r="AA42" s="578" t="b">
        <v>0</v>
      </c>
      <c r="AB42" s="578"/>
      <c r="AC42" s="579"/>
      <c r="AD42" s="580">
        <v>0.0</v>
      </c>
      <c r="AE42" s="581"/>
      <c r="AF42" s="582" t="s">
        <v>371</v>
      </c>
      <c r="AG42" s="583"/>
      <c r="AH42" s="584"/>
      <c r="AI42" s="583"/>
      <c r="AJ42" s="585"/>
      <c r="AK42" s="583"/>
      <c r="AL42" s="584"/>
      <c r="AM42" s="583"/>
      <c r="AN42" s="585"/>
      <c r="AO42" s="583"/>
      <c r="AP42" s="584"/>
      <c r="AQ42" s="583"/>
      <c r="AR42" s="585"/>
      <c r="AS42" s="583"/>
      <c r="AT42" s="584"/>
      <c r="AU42" s="583"/>
      <c r="AV42" s="585"/>
      <c r="AW42" s="583"/>
      <c r="AX42" s="584"/>
      <c r="AY42" s="583"/>
      <c r="AZ42" s="585"/>
      <c r="BA42" s="583"/>
      <c r="BB42" s="584"/>
      <c r="BC42" s="583"/>
      <c r="BD42" s="585"/>
      <c r="BE42" s="583"/>
      <c r="BF42" s="584"/>
      <c r="BG42" s="583"/>
      <c r="BH42" s="585"/>
      <c r="BI42" s="583"/>
      <c r="BJ42" s="584"/>
      <c r="BK42" s="583"/>
      <c r="BL42" s="585"/>
      <c r="BM42" s="583"/>
      <c r="BN42" s="584"/>
      <c r="BO42" s="583"/>
      <c r="BP42" s="585"/>
      <c r="BQ42" s="583"/>
      <c r="BR42" s="584"/>
      <c r="BS42" s="583"/>
      <c r="BT42" s="586"/>
      <c r="BU42" s="540"/>
      <c r="BV42" s="540"/>
      <c r="BW42" s="540"/>
      <c r="BX42" s="538"/>
      <c r="BY42" s="538"/>
      <c r="BZ42" s="587"/>
      <c r="CA42" s="588"/>
      <c r="CB42" s="589" t="s">
        <v>365</v>
      </c>
      <c r="CC42" s="590">
        <v>0.0</v>
      </c>
      <c r="CD42" s="590" t="s">
        <v>365</v>
      </c>
      <c r="CE42" s="590">
        <v>0.0</v>
      </c>
      <c r="CF42" s="590"/>
      <c r="CG42" s="590">
        <v>0.0</v>
      </c>
      <c r="CH42" s="590"/>
      <c r="CI42" s="591"/>
      <c r="CJ42" s="590">
        <v>0.0</v>
      </c>
      <c r="CK42" s="478" t="s">
        <v>365</v>
      </c>
      <c r="CL42" s="592"/>
      <c r="CM42" s="593"/>
      <c r="CN42" s="538"/>
      <c r="CO42" s="538"/>
      <c r="CP42" s="538"/>
      <c r="CQ42" s="538"/>
      <c r="CR42" s="538"/>
      <c r="CS42" s="538"/>
      <c r="CT42" s="538"/>
      <c r="CU42" s="538"/>
      <c r="CV42" s="538"/>
      <c r="CW42" s="538"/>
      <c r="CX42" s="538"/>
      <c r="CY42" s="538"/>
      <c r="CZ42" s="538"/>
      <c r="DA42" s="538"/>
      <c r="DB42" s="538"/>
      <c r="DC42" s="538"/>
      <c r="DD42" s="538"/>
      <c r="DE42" s="538"/>
      <c r="DF42" s="538"/>
      <c r="DG42" s="538"/>
      <c r="DH42" s="538"/>
      <c r="DI42" s="538"/>
      <c r="DJ42" s="538"/>
      <c r="DK42" s="538"/>
      <c r="DL42" s="538"/>
      <c r="DM42" s="538"/>
      <c r="DN42" s="538"/>
      <c r="DO42" s="538"/>
      <c r="DP42" s="538"/>
      <c r="DQ42" s="538"/>
      <c r="DR42" s="538"/>
      <c r="DS42" s="538"/>
      <c r="DT42" s="538"/>
      <c r="DU42" s="538"/>
      <c r="DV42" s="538"/>
      <c r="DW42" s="538"/>
      <c r="DX42" s="538"/>
      <c r="DY42" s="538"/>
      <c r="DZ42" s="538"/>
      <c r="EA42" s="538"/>
      <c r="EB42" s="538"/>
      <c r="EC42" s="538"/>
      <c r="ED42" s="538"/>
      <c r="EE42" s="538"/>
      <c r="EF42" s="538"/>
      <c r="EG42" s="538"/>
      <c r="EH42" s="538"/>
      <c r="EI42" s="538"/>
      <c r="EJ42" s="538"/>
      <c r="EK42" s="538"/>
      <c r="EL42" s="538"/>
      <c r="EM42" s="538"/>
      <c r="EN42" s="538"/>
      <c r="EO42" s="538"/>
      <c r="EP42" s="538"/>
      <c r="EQ42" s="538"/>
      <c r="ER42" s="538"/>
      <c r="ES42" s="538"/>
      <c r="ET42" s="538"/>
      <c r="EU42" s="538"/>
      <c r="EV42" s="538"/>
      <c r="EW42" s="538"/>
      <c r="EX42" s="559"/>
      <c r="EY42" s="559"/>
      <c r="EZ42" s="559"/>
      <c r="FA42" s="559"/>
      <c r="FB42" s="559"/>
      <c r="FC42" s="559"/>
      <c r="FD42" s="559"/>
      <c r="FE42" s="559"/>
      <c r="FF42" s="559"/>
      <c r="FG42" s="559"/>
      <c r="FH42" s="559"/>
      <c r="FI42" s="559"/>
      <c r="FJ42" s="559"/>
      <c r="FK42" s="559"/>
      <c r="FL42" s="559"/>
      <c r="FM42" s="559"/>
      <c r="FN42" s="559"/>
      <c r="FO42" s="559"/>
      <c r="FP42" s="559"/>
      <c r="FQ42" s="559"/>
      <c r="FR42" s="559"/>
      <c r="FS42" s="559"/>
      <c r="FT42" s="559"/>
      <c r="FU42" s="559"/>
      <c r="FV42" s="559"/>
      <c r="FW42" s="559"/>
      <c r="FX42" s="559"/>
      <c r="FY42" s="559"/>
      <c r="FZ42" s="559"/>
      <c r="GA42" s="559"/>
      <c r="GB42" s="559"/>
      <c r="GC42" s="559"/>
      <c r="GD42" s="559"/>
      <c r="GE42" s="559"/>
      <c r="GF42" s="559"/>
      <c r="GG42" s="559"/>
      <c r="GH42" s="559"/>
    </row>
    <row r="43">
      <c r="A43" s="538"/>
      <c r="B43" s="134"/>
      <c r="C43" s="57"/>
      <c r="D43" s="594" t="s">
        <v>302</v>
      </c>
      <c r="E43" s="595" t="s">
        <v>375</v>
      </c>
      <c r="F43" s="596">
        <v>3.0</v>
      </c>
      <c r="G43" s="134">
        <v>12.0</v>
      </c>
      <c r="H43" s="597"/>
      <c r="I43" s="598" t="s">
        <v>365</v>
      </c>
      <c r="J43" s="599"/>
      <c r="K43" s="600">
        <v>2.0</v>
      </c>
      <c r="L43" s="601"/>
      <c r="M43" s="602"/>
      <c r="N43" s="603"/>
      <c r="O43" s="604"/>
      <c r="P43" s="604"/>
      <c r="Q43" s="57"/>
      <c r="S43" s="605"/>
      <c r="U43" s="573"/>
      <c r="V43" s="574"/>
      <c r="W43" s="575"/>
      <c r="X43" s="576">
        <v>0.0</v>
      </c>
      <c r="Y43" s="577">
        <v>0.0</v>
      </c>
      <c r="Z43" s="577">
        <v>36.0</v>
      </c>
      <c r="AA43" s="578" t="b">
        <v>0</v>
      </c>
      <c r="AB43" s="578"/>
      <c r="AC43" s="579"/>
      <c r="AD43" s="580">
        <v>0.0</v>
      </c>
      <c r="AE43" s="581"/>
      <c r="AF43" s="582" t="s">
        <v>376</v>
      </c>
      <c r="AG43" s="583"/>
      <c r="AH43" s="584"/>
      <c r="AI43" s="583"/>
      <c r="AJ43" s="585"/>
      <c r="AK43" s="583"/>
      <c r="AL43" s="584"/>
      <c r="AM43" s="583"/>
      <c r="AN43" s="585"/>
      <c r="AO43" s="583"/>
      <c r="AP43" s="584"/>
      <c r="AQ43" s="583"/>
      <c r="AR43" s="585"/>
      <c r="AS43" s="583"/>
      <c r="AT43" s="584"/>
      <c r="AU43" s="583"/>
      <c r="AV43" s="585"/>
      <c r="AW43" s="583"/>
      <c r="AX43" s="584"/>
      <c r="AY43" s="583"/>
      <c r="AZ43" s="585"/>
      <c r="BA43" s="583"/>
      <c r="BB43" s="584"/>
      <c r="BC43" s="583"/>
      <c r="BD43" s="585"/>
      <c r="BE43" s="583"/>
      <c r="BF43" s="584"/>
      <c r="BG43" s="583"/>
      <c r="BH43" s="585"/>
      <c r="BI43" s="583"/>
      <c r="BJ43" s="584"/>
      <c r="BK43" s="583"/>
      <c r="BL43" s="585"/>
      <c r="BM43" s="583"/>
      <c r="BN43" s="584"/>
      <c r="BO43" s="583"/>
      <c r="BP43" s="585"/>
      <c r="BQ43" s="583"/>
      <c r="BR43" s="584"/>
      <c r="BS43" s="583"/>
      <c r="BT43" s="586"/>
      <c r="BU43" s="540"/>
      <c r="BV43" s="540"/>
      <c r="BW43" s="540"/>
      <c r="BX43" s="538"/>
      <c r="BY43" s="538"/>
      <c r="BZ43" s="587"/>
      <c r="CA43" s="588"/>
      <c r="CB43" s="589" t="s">
        <v>365</v>
      </c>
      <c r="CC43" s="590">
        <v>0.0</v>
      </c>
      <c r="CD43" s="590" t="s">
        <v>365</v>
      </c>
      <c r="CE43" s="590">
        <v>0.0</v>
      </c>
      <c r="CF43" s="590"/>
      <c r="CG43" s="590">
        <v>0.0</v>
      </c>
      <c r="CH43" s="590"/>
      <c r="CI43" s="591"/>
      <c r="CJ43" s="590">
        <v>0.0</v>
      </c>
      <c r="CK43" s="478" t="s">
        <v>365</v>
      </c>
      <c r="CL43" s="592"/>
      <c r="CM43" s="593"/>
      <c r="CN43" s="538"/>
      <c r="CO43" s="538"/>
      <c r="CP43" s="538"/>
      <c r="CQ43" s="538"/>
      <c r="CR43" s="538"/>
      <c r="CS43" s="538"/>
      <c r="CT43" s="538"/>
      <c r="CU43" s="538"/>
      <c r="CV43" s="538"/>
      <c r="CW43" s="538"/>
      <c r="CX43" s="538"/>
      <c r="CY43" s="538"/>
      <c r="CZ43" s="538"/>
      <c r="DA43" s="538"/>
      <c r="DB43" s="538"/>
      <c r="DC43" s="538"/>
      <c r="DD43" s="538"/>
      <c r="DE43" s="538"/>
      <c r="DF43" s="538"/>
      <c r="DG43" s="538"/>
      <c r="DH43" s="538"/>
      <c r="DI43" s="538"/>
      <c r="DJ43" s="538"/>
      <c r="DK43" s="538"/>
      <c r="DL43" s="538"/>
      <c r="DM43" s="538"/>
      <c r="DN43" s="538"/>
      <c r="DO43" s="538"/>
      <c r="DP43" s="538"/>
      <c r="DQ43" s="538"/>
      <c r="DR43" s="538"/>
      <c r="DS43" s="538"/>
      <c r="DT43" s="538"/>
      <c r="DU43" s="538"/>
      <c r="DV43" s="538"/>
      <c r="DW43" s="538"/>
      <c r="DX43" s="538"/>
      <c r="DY43" s="538"/>
      <c r="DZ43" s="538"/>
      <c r="EA43" s="538"/>
      <c r="EB43" s="538"/>
      <c r="EC43" s="538"/>
      <c r="ED43" s="538"/>
      <c r="EE43" s="538"/>
      <c r="EF43" s="538"/>
      <c r="EG43" s="538"/>
      <c r="EH43" s="538"/>
      <c r="EI43" s="538"/>
      <c r="EJ43" s="538"/>
      <c r="EK43" s="538"/>
      <c r="EL43" s="538"/>
      <c r="EM43" s="538"/>
      <c r="EN43" s="538"/>
      <c r="EO43" s="538"/>
      <c r="EP43" s="538"/>
      <c r="EQ43" s="538"/>
      <c r="ER43" s="538"/>
      <c r="ES43" s="538"/>
      <c r="ET43" s="538"/>
      <c r="EU43" s="538"/>
      <c r="EV43" s="538"/>
      <c r="EW43" s="538"/>
      <c r="EX43" s="559"/>
      <c r="EY43" s="559"/>
      <c r="EZ43" s="559"/>
      <c r="FA43" s="559"/>
      <c r="FB43" s="559"/>
      <c r="FC43" s="559"/>
      <c r="FD43" s="559"/>
      <c r="FE43" s="559"/>
      <c r="FF43" s="559"/>
      <c r="FG43" s="559"/>
      <c r="FH43" s="559"/>
      <c r="FI43" s="559"/>
      <c r="FJ43" s="559"/>
      <c r="FK43" s="559"/>
      <c r="FL43" s="559"/>
      <c r="FM43" s="559"/>
      <c r="FN43" s="559"/>
      <c r="FO43" s="559"/>
      <c r="FP43" s="559"/>
      <c r="FQ43" s="559"/>
      <c r="FR43" s="559"/>
      <c r="FS43" s="559"/>
      <c r="FT43" s="559"/>
      <c r="FU43" s="559"/>
      <c r="FV43" s="559"/>
      <c r="FW43" s="559"/>
      <c r="FX43" s="559"/>
      <c r="FY43" s="559"/>
      <c r="FZ43" s="559"/>
      <c r="GA43" s="559"/>
      <c r="GB43" s="559"/>
      <c r="GC43" s="559"/>
      <c r="GD43" s="559"/>
      <c r="GE43" s="559"/>
      <c r="GF43" s="559"/>
      <c r="GG43" s="559"/>
      <c r="GH43" s="559"/>
    </row>
    <row r="44">
      <c r="A44" s="538"/>
      <c r="B44" s="560"/>
      <c r="C44" s="47"/>
      <c r="D44" s="561" t="s">
        <v>332</v>
      </c>
      <c r="E44" s="606" t="s">
        <v>377</v>
      </c>
      <c r="F44" s="563">
        <v>3.0</v>
      </c>
      <c r="G44" s="563">
        <v>20.0</v>
      </c>
      <c r="H44" s="564"/>
      <c r="I44" s="565" t="s">
        <v>365</v>
      </c>
      <c r="J44" s="607"/>
      <c r="K44" s="567">
        <v>2.0</v>
      </c>
      <c r="L44" s="568"/>
      <c r="M44" s="569"/>
      <c r="N44" s="570"/>
      <c r="O44" s="571"/>
      <c r="P44" s="571"/>
      <c r="Q44" s="47"/>
      <c r="S44" s="572"/>
      <c r="U44" s="573"/>
      <c r="V44" s="574"/>
      <c r="W44" s="575"/>
      <c r="X44" s="576">
        <v>0.0</v>
      </c>
      <c r="Y44" s="577">
        <v>0.0</v>
      </c>
      <c r="Z44" s="577">
        <v>60.0</v>
      </c>
      <c r="AA44" s="578" t="b">
        <v>0</v>
      </c>
      <c r="AB44" s="578"/>
      <c r="AC44" s="579"/>
      <c r="AD44" s="608">
        <v>0.0</v>
      </c>
      <c r="AE44" s="609"/>
      <c r="AF44" s="582" t="s">
        <v>378</v>
      </c>
      <c r="AG44" s="583"/>
      <c r="AH44" s="584"/>
      <c r="AI44" s="583"/>
      <c r="AJ44" s="585"/>
      <c r="AK44" s="610"/>
      <c r="AL44" s="611"/>
      <c r="AM44" s="612"/>
      <c r="AN44" s="613"/>
      <c r="AO44" s="610"/>
      <c r="AP44" s="611"/>
      <c r="AQ44" s="612"/>
      <c r="AR44" s="613"/>
      <c r="AS44" s="583"/>
      <c r="AT44" s="584"/>
      <c r="AU44" s="583"/>
      <c r="AV44" s="585"/>
      <c r="AX44" s="584"/>
      <c r="AY44" s="583"/>
      <c r="AZ44" s="585"/>
      <c r="BA44" s="583"/>
      <c r="BB44" s="584"/>
      <c r="BC44" s="583"/>
      <c r="BD44" s="585"/>
      <c r="BE44" s="583"/>
      <c r="BF44" s="584"/>
      <c r="BG44" s="583"/>
      <c r="BH44" s="585"/>
      <c r="BI44" s="583"/>
      <c r="BJ44" s="584"/>
      <c r="BK44" s="583"/>
      <c r="BL44" s="585"/>
      <c r="BM44" s="583"/>
      <c r="BN44" s="584"/>
      <c r="BO44" s="583"/>
      <c r="BP44" s="585"/>
      <c r="BQ44" s="583"/>
      <c r="BR44" s="584"/>
      <c r="BS44" s="583"/>
      <c r="BT44" s="586"/>
      <c r="BU44" s="540"/>
      <c r="BV44" s="540"/>
      <c r="BW44" s="540"/>
      <c r="BX44" s="538"/>
      <c r="BY44" s="538"/>
      <c r="BZ44" s="587"/>
      <c r="CA44" s="591"/>
      <c r="CB44" s="590" t="s">
        <v>365</v>
      </c>
      <c r="CC44" s="590">
        <v>0.0</v>
      </c>
      <c r="CD44" s="590" t="s">
        <v>365</v>
      </c>
      <c r="CE44" s="590">
        <v>0.0</v>
      </c>
      <c r="CF44" s="590"/>
      <c r="CG44" s="590">
        <v>0.0</v>
      </c>
      <c r="CH44" s="590"/>
      <c r="CI44" s="591"/>
      <c r="CJ44" s="590">
        <v>0.0</v>
      </c>
      <c r="CK44" s="478" t="s">
        <v>365</v>
      </c>
      <c r="CL44" s="592"/>
      <c r="CM44" s="593"/>
      <c r="CN44" s="538"/>
      <c r="CO44" s="538"/>
      <c r="CP44" s="538"/>
      <c r="CQ44" s="538"/>
      <c r="CR44" s="538"/>
      <c r="CS44" s="538"/>
      <c r="CT44" s="538"/>
      <c r="CU44" s="538"/>
      <c r="CV44" s="538"/>
      <c r="CW44" s="538"/>
      <c r="CX44" s="538"/>
      <c r="CY44" s="538"/>
      <c r="CZ44" s="538"/>
      <c r="DA44" s="538"/>
      <c r="DB44" s="538"/>
      <c r="DC44" s="538"/>
      <c r="DD44" s="538"/>
      <c r="DE44" s="538"/>
      <c r="DF44" s="538"/>
      <c r="DG44" s="538"/>
      <c r="DH44" s="538"/>
      <c r="DI44" s="538"/>
      <c r="DJ44" s="538"/>
      <c r="DK44" s="538"/>
      <c r="DL44" s="538"/>
      <c r="DM44" s="538"/>
      <c r="DN44" s="538"/>
      <c r="DO44" s="538"/>
      <c r="DP44" s="538"/>
      <c r="DQ44" s="538"/>
      <c r="DR44" s="538"/>
      <c r="DS44" s="538"/>
      <c r="DT44" s="538"/>
      <c r="DU44" s="538"/>
      <c r="DV44" s="538"/>
      <c r="DW44" s="538"/>
      <c r="DX44" s="538"/>
      <c r="DY44" s="538"/>
      <c r="DZ44" s="538"/>
      <c r="EA44" s="538"/>
      <c r="EB44" s="538"/>
      <c r="EC44" s="538"/>
      <c r="ED44" s="538"/>
      <c r="EE44" s="538"/>
      <c r="EF44" s="538"/>
      <c r="EG44" s="538"/>
      <c r="EH44" s="538"/>
      <c r="EI44" s="538"/>
      <c r="EJ44" s="538"/>
      <c r="EK44" s="538"/>
      <c r="EL44" s="538"/>
      <c r="EM44" s="538"/>
      <c r="EN44" s="538"/>
      <c r="EO44" s="538"/>
      <c r="EP44" s="538"/>
      <c r="EQ44" s="538"/>
      <c r="ER44" s="538"/>
      <c r="ES44" s="538"/>
      <c r="ET44" s="538"/>
      <c r="EU44" s="538"/>
      <c r="EV44" s="538"/>
      <c r="EW44" s="538"/>
      <c r="EX44" s="559"/>
      <c r="EY44" s="559"/>
      <c r="EZ44" s="559"/>
      <c r="FA44" s="559"/>
      <c r="FB44" s="559"/>
      <c r="FC44" s="559"/>
      <c r="FD44" s="559"/>
      <c r="FE44" s="559"/>
      <c r="FF44" s="559"/>
      <c r="FG44" s="559"/>
      <c r="FH44" s="559"/>
      <c r="FI44" s="559"/>
      <c r="FJ44" s="559"/>
      <c r="FK44" s="559"/>
      <c r="FL44" s="559"/>
      <c r="FM44" s="559"/>
      <c r="FN44" s="559"/>
      <c r="FO44" s="559"/>
      <c r="FP44" s="559"/>
      <c r="FQ44" s="559"/>
      <c r="FR44" s="559"/>
      <c r="FS44" s="559"/>
      <c r="FT44" s="559"/>
      <c r="FU44" s="559"/>
      <c r="FV44" s="559"/>
      <c r="FW44" s="559"/>
      <c r="FX44" s="559"/>
      <c r="FY44" s="559"/>
      <c r="FZ44" s="559"/>
      <c r="GA44" s="559"/>
      <c r="GB44" s="559"/>
      <c r="GC44" s="559"/>
      <c r="GD44" s="559"/>
      <c r="GE44" s="559"/>
      <c r="GF44" s="559"/>
      <c r="GG44" s="559"/>
      <c r="GH44" s="559"/>
    </row>
    <row r="45">
      <c r="A45" s="538"/>
      <c r="B45" s="156" t="s">
        <v>379</v>
      </c>
      <c r="C45" s="444"/>
      <c r="D45" s="614"/>
      <c r="E45" s="595"/>
      <c r="F45" s="596"/>
      <c r="G45" s="596"/>
      <c r="H45" s="615"/>
      <c r="I45" s="616" t="s">
        <v>365</v>
      </c>
      <c r="J45" s="599"/>
      <c r="K45" s="600"/>
      <c r="L45" s="601"/>
      <c r="M45" s="602"/>
      <c r="N45" s="617"/>
      <c r="O45" s="604"/>
      <c r="P45" s="57"/>
      <c r="Q45" s="57"/>
      <c r="S45" s="605"/>
      <c r="U45" s="573"/>
      <c r="V45" s="574"/>
      <c r="W45" s="618"/>
      <c r="X45" s="576">
        <v>0.0</v>
      </c>
      <c r="Y45" s="577">
        <v>0.0</v>
      </c>
      <c r="Z45" s="577" t="s">
        <v>365</v>
      </c>
      <c r="AA45" s="578" t="b">
        <v>0</v>
      </c>
      <c r="AB45" s="578"/>
      <c r="AC45" s="579"/>
      <c r="AD45" s="608">
        <v>0.0</v>
      </c>
      <c r="AE45" s="609"/>
      <c r="AF45" s="582" t="s">
        <v>365</v>
      </c>
      <c r="AG45" s="583"/>
      <c r="AH45" s="584"/>
      <c r="AI45" s="583"/>
      <c r="AJ45" s="585"/>
      <c r="AK45" s="583"/>
      <c r="AL45" s="584"/>
      <c r="AM45" s="583"/>
      <c r="AN45" s="585"/>
      <c r="AO45" s="583"/>
      <c r="AP45" s="584"/>
      <c r="AQ45" s="583"/>
      <c r="AR45" s="585"/>
      <c r="AS45" s="583"/>
      <c r="AT45" s="584"/>
      <c r="AU45" s="583"/>
      <c r="AV45" s="585"/>
      <c r="AW45" s="583"/>
      <c r="AX45" s="584"/>
      <c r="AY45" s="583"/>
      <c r="AZ45" s="585"/>
      <c r="BA45" s="583"/>
      <c r="BB45" s="584"/>
      <c r="BC45" s="583"/>
      <c r="BD45" s="585"/>
      <c r="BE45" s="583"/>
      <c r="BF45" s="584"/>
      <c r="BG45" s="583"/>
      <c r="BH45" s="585"/>
      <c r="BI45" s="583"/>
      <c r="BJ45" s="584"/>
      <c r="BK45" s="583"/>
      <c r="BL45" s="585"/>
      <c r="BM45" s="583"/>
      <c r="BN45" s="584"/>
      <c r="BO45" s="583"/>
      <c r="BP45" s="585"/>
      <c r="BQ45" s="583"/>
      <c r="BR45" s="584"/>
      <c r="BS45" s="583"/>
      <c r="BT45" s="586"/>
      <c r="BU45" s="540"/>
      <c r="BV45" s="540"/>
      <c r="BW45" s="540"/>
      <c r="BX45" s="538"/>
      <c r="BY45" s="538"/>
      <c r="BZ45" s="587"/>
      <c r="CA45" s="591"/>
      <c r="CB45" s="590" t="s">
        <v>365</v>
      </c>
      <c r="CC45" s="590">
        <v>0.0</v>
      </c>
      <c r="CD45" s="590" t="s">
        <v>365</v>
      </c>
      <c r="CE45" s="590">
        <v>0.0</v>
      </c>
      <c r="CF45" s="590"/>
      <c r="CG45" s="590">
        <v>0.0</v>
      </c>
      <c r="CH45" s="590"/>
      <c r="CI45" s="591"/>
      <c r="CJ45" s="590">
        <v>0.0</v>
      </c>
      <c r="CK45" s="479" t="s">
        <v>365</v>
      </c>
      <c r="CL45" s="592"/>
      <c r="CM45" s="593"/>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59"/>
      <c r="EY45" s="559"/>
      <c r="EZ45" s="559"/>
      <c r="FA45" s="559"/>
      <c r="FB45" s="559"/>
      <c r="FC45" s="559"/>
      <c r="FD45" s="559"/>
      <c r="FE45" s="559"/>
      <c r="FF45" s="559"/>
      <c r="FG45" s="559"/>
      <c r="FH45" s="559"/>
      <c r="FI45" s="559"/>
      <c r="FJ45" s="559"/>
      <c r="FK45" s="559"/>
      <c r="FL45" s="559"/>
      <c r="FM45" s="559"/>
      <c r="FN45" s="559"/>
      <c r="FO45" s="559"/>
      <c r="FP45" s="559"/>
      <c r="FQ45" s="559"/>
      <c r="FR45" s="559"/>
      <c r="FS45" s="559"/>
      <c r="FT45" s="559"/>
      <c r="FU45" s="559"/>
      <c r="FV45" s="559"/>
      <c r="FW45" s="559"/>
      <c r="FX45" s="559"/>
      <c r="FY45" s="559"/>
      <c r="FZ45" s="559"/>
      <c r="GA45" s="559"/>
      <c r="GB45" s="559"/>
      <c r="GC45" s="559"/>
      <c r="GD45" s="559"/>
      <c r="GE45" s="559"/>
      <c r="GF45" s="559"/>
      <c r="GG45" s="559"/>
      <c r="GH45" s="559"/>
    </row>
    <row r="46">
      <c r="A46" s="538"/>
      <c r="B46" s="156"/>
      <c r="C46" s="444"/>
      <c r="D46" s="614" t="s">
        <v>380</v>
      </c>
      <c r="E46" s="562" t="s">
        <v>381</v>
      </c>
      <c r="F46" s="563">
        <v>4.0</v>
      </c>
      <c r="G46" s="563">
        <v>3.0</v>
      </c>
      <c r="H46" s="564">
        <v>0.75</v>
      </c>
      <c r="I46" s="565">
        <v>87.5</v>
      </c>
      <c r="J46" s="566"/>
      <c r="K46" s="567"/>
      <c r="L46" s="568"/>
      <c r="M46" s="569"/>
      <c r="N46" s="619"/>
      <c r="O46" s="571"/>
      <c r="P46" s="560"/>
      <c r="Q46" s="47"/>
      <c r="S46" s="572"/>
      <c r="U46" s="573"/>
      <c r="V46" s="574"/>
      <c r="W46" s="618"/>
      <c r="X46" s="576">
        <v>1050.0</v>
      </c>
      <c r="Y46" s="577" t="e">
        <v>#VALUE!</v>
      </c>
      <c r="Z46" s="577">
        <v>12.0</v>
      </c>
      <c r="AA46" s="578">
        <v>0.0</v>
      </c>
      <c r="AB46" s="578"/>
      <c r="AC46" s="579"/>
      <c r="AD46" s="608">
        <v>3.0</v>
      </c>
      <c r="AE46" s="609"/>
      <c r="AF46" s="582" t="s">
        <v>449</v>
      </c>
      <c r="AG46" s="583">
        <v>3.0</v>
      </c>
      <c r="AH46" s="584" t="s">
        <v>450</v>
      </c>
      <c r="AI46" s="583">
        <v>7.0</v>
      </c>
      <c r="AJ46" s="585">
        <v>3.0</v>
      </c>
      <c r="AK46" s="583">
        <v>3.0</v>
      </c>
      <c r="AL46" s="584">
        <v>88.0</v>
      </c>
      <c r="AM46" s="583">
        <v>3.0</v>
      </c>
      <c r="AN46" s="585">
        <v>7.0</v>
      </c>
      <c r="AO46" s="583">
        <v>3.0</v>
      </c>
      <c r="AP46" s="584"/>
      <c r="AQ46" s="583">
        <v>2.0</v>
      </c>
      <c r="AR46" s="585">
        <v>8.0</v>
      </c>
      <c r="AS46" s="610"/>
      <c r="AT46" s="620"/>
      <c r="AU46" s="612">
        <v>1.0</v>
      </c>
      <c r="AV46" s="613">
        <v>8.5</v>
      </c>
      <c r="AW46" s="610"/>
      <c r="AX46" s="620"/>
      <c r="AY46" s="612"/>
      <c r="AZ46" s="613"/>
      <c r="BA46" s="583"/>
      <c r="BB46" s="584"/>
      <c r="BC46" s="583"/>
      <c r="BD46" s="585"/>
      <c r="BE46" s="583"/>
      <c r="BF46" s="584"/>
      <c r="BG46" s="583"/>
      <c r="BH46" s="585"/>
      <c r="BI46" s="583"/>
      <c r="BJ46" s="584"/>
      <c r="BK46" s="583"/>
      <c r="BL46" s="585"/>
      <c r="BM46" s="583"/>
      <c r="BN46" s="584"/>
      <c r="BO46" s="583"/>
      <c r="BP46" s="585"/>
      <c r="BQ46" s="583"/>
      <c r="BR46" s="584"/>
      <c r="BS46" s="583"/>
      <c r="BT46" s="586"/>
      <c r="BU46" s="540"/>
      <c r="BV46" s="540"/>
      <c r="BW46" s="540"/>
      <c r="BX46" s="538"/>
      <c r="BY46" s="538"/>
      <c r="BZ46" s="587">
        <v>115.0</v>
      </c>
      <c r="CA46" s="591"/>
      <c r="CB46" s="590" t="s">
        <v>365</v>
      </c>
      <c r="CC46" s="590">
        <v>9.0</v>
      </c>
      <c r="CD46" s="590">
        <v>4.333333333333333</v>
      </c>
      <c r="CE46" s="590" t="e">
        <v>#VALUE!</v>
      </c>
      <c r="CF46" s="590"/>
      <c r="CG46" s="590">
        <v>0.09</v>
      </c>
      <c r="CH46" s="590"/>
      <c r="CI46" s="591"/>
      <c r="CJ46" s="590"/>
      <c r="CK46" s="479">
        <v>8.833333333333334</v>
      </c>
      <c r="CL46" s="592"/>
      <c r="CM46" s="593"/>
      <c r="CN46" s="538"/>
      <c r="CO46" s="538"/>
      <c r="CP46" s="538"/>
      <c r="CQ46" s="538"/>
      <c r="CR46" s="538"/>
      <c r="CS46" s="538"/>
      <c r="CT46" s="538"/>
      <c r="CU46" s="538"/>
      <c r="CV46" s="538"/>
      <c r="CW46" s="538"/>
      <c r="CX46" s="538"/>
      <c r="CY46" s="538"/>
      <c r="CZ46" s="538"/>
      <c r="DA46" s="538"/>
      <c r="DB46" s="538"/>
      <c r="DC46" s="538"/>
      <c r="DD46" s="538"/>
      <c r="DE46" s="538"/>
      <c r="DF46" s="538"/>
      <c r="DG46" s="538"/>
      <c r="DH46" s="538"/>
      <c r="DI46" s="538"/>
      <c r="DJ46" s="538"/>
      <c r="DK46" s="538"/>
      <c r="DL46" s="538"/>
      <c r="DM46" s="538"/>
      <c r="DN46" s="538"/>
      <c r="DO46" s="538"/>
      <c r="DP46" s="538"/>
      <c r="DQ46" s="538"/>
      <c r="DR46" s="538"/>
      <c r="DS46" s="538"/>
      <c r="DT46" s="538"/>
      <c r="DU46" s="538"/>
      <c r="DV46" s="538"/>
      <c r="DW46" s="538"/>
      <c r="DX46" s="538"/>
      <c r="DY46" s="538"/>
      <c r="DZ46" s="538"/>
      <c r="EA46" s="538"/>
      <c r="EB46" s="538"/>
      <c r="EC46" s="538"/>
      <c r="ED46" s="538"/>
      <c r="EE46" s="538"/>
      <c r="EF46" s="538"/>
      <c r="EG46" s="538"/>
      <c r="EH46" s="538"/>
      <c r="EI46" s="538"/>
      <c r="EJ46" s="538"/>
      <c r="EK46" s="538"/>
      <c r="EL46" s="538"/>
      <c r="EM46" s="538"/>
      <c r="EN46" s="538"/>
      <c r="EO46" s="538"/>
      <c r="EP46" s="538"/>
      <c r="EQ46" s="538"/>
      <c r="ER46" s="538"/>
      <c r="ES46" s="538"/>
      <c r="ET46" s="538"/>
      <c r="EU46" s="538"/>
      <c r="EV46" s="538"/>
      <c r="EW46" s="538"/>
      <c r="EX46" s="559"/>
      <c r="EY46" s="559"/>
      <c r="EZ46" s="559"/>
      <c r="FA46" s="559"/>
      <c r="FB46" s="559"/>
      <c r="FC46" s="559"/>
      <c r="FD46" s="559"/>
      <c r="FE46" s="559"/>
      <c r="FF46" s="559"/>
      <c r="FG46" s="559"/>
      <c r="FH46" s="559"/>
      <c r="FI46" s="559"/>
      <c r="FJ46" s="559"/>
      <c r="FK46" s="559"/>
      <c r="FL46" s="559"/>
      <c r="FM46" s="559"/>
      <c r="FN46" s="559"/>
      <c r="FO46" s="559"/>
      <c r="FP46" s="559"/>
      <c r="FQ46" s="559"/>
      <c r="FR46" s="559"/>
      <c r="FS46" s="559"/>
      <c r="FT46" s="559"/>
      <c r="FU46" s="559"/>
      <c r="FV46" s="559"/>
      <c r="FW46" s="559"/>
      <c r="FX46" s="559"/>
      <c r="FY46" s="559"/>
      <c r="FZ46" s="559"/>
      <c r="GA46" s="559"/>
      <c r="GB46" s="559"/>
      <c r="GC46" s="559"/>
      <c r="GD46" s="559"/>
      <c r="GE46" s="559"/>
      <c r="GF46" s="559"/>
      <c r="GG46" s="559"/>
      <c r="GH46" s="559"/>
    </row>
    <row r="47">
      <c r="A47" s="538"/>
      <c r="B47" s="156"/>
      <c r="C47" s="444"/>
      <c r="D47" s="614" t="s">
        <v>313</v>
      </c>
      <c r="E47" s="595" t="s">
        <v>384</v>
      </c>
      <c r="F47" s="596">
        <v>3.0</v>
      </c>
      <c r="G47" s="596">
        <v>10.0</v>
      </c>
      <c r="H47" s="597"/>
      <c r="I47" s="616" t="s">
        <v>365</v>
      </c>
      <c r="J47" s="599"/>
      <c r="K47" s="600">
        <v>2.0</v>
      </c>
      <c r="L47" s="601">
        <v>3.0</v>
      </c>
      <c r="M47" s="602"/>
      <c r="N47" s="603"/>
      <c r="O47" s="621"/>
      <c r="P47" s="57"/>
      <c r="Q47" s="57"/>
      <c r="R47" s="57"/>
      <c r="S47" s="605"/>
      <c r="T47" s="605"/>
      <c r="U47" s="573"/>
      <c r="V47" s="574"/>
      <c r="W47" s="618"/>
      <c r="X47" s="576">
        <v>0.0</v>
      </c>
      <c r="Y47" s="577" t="e">
        <v>#VALUE!</v>
      </c>
      <c r="Z47" s="577">
        <v>30.0</v>
      </c>
      <c r="AA47" s="578" t="b">
        <v>0</v>
      </c>
      <c r="AB47" s="578"/>
      <c r="AC47" s="579"/>
      <c r="AD47" s="608">
        <v>3.0</v>
      </c>
      <c r="AE47" s="609"/>
      <c r="AF47" s="582" t="s">
        <v>385</v>
      </c>
      <c r="AG47" s="583">
        <v>7.0</v>
      </c>
      <c r="AH47" s="584" t="s">
        <v>451</v>
      </c>
      <c r="AI47" s="583"/>
      <c r="AJ47" s="585"/>
      <c r="AK47" s="583">
        <v>9.0</v>
      </c>
      <c r="AL47" s="584">
        <v>35.0</v>
      </c>
      <c r="AM47" s="583"/>
      <c r="AN47" s="585"/>
      <c r="AO47" s="583">
        <v>15.0</v>
      </c>
      <c r="AP47" s="584">
        <v>30.0</v>
      </c>
      <c r="AQ47" s="583"/>
      <c r="AR47" s="585"/>
      <c r="AS47" s="583"/>
      <c r="AT47" s="584"/>
      <c r="AU47" s="583"/>
      <c r="AV47" s="585"/>
      <c r="AW47" s="583"/>
      <c r="AX47" s="584"/>
      <c r="AY47" s="583"/>
      <c r="AZ47" s="585"/>
      <c r="BA47" s="583"/>
      <c r="BB47" s="584"/>
      <c r="BC47" s="583"/>
      <c r="BD47" s="585"/>
      <c r="BE47" s="583"/>
      <c r="BF47" s="584"/>
      <c r="BG47" s="583"/>
      <c r="BH47" s="585"/>
      <c r="BI47" s="583"/>
      <c r="BJ47" s="584"/>
      <c r="BK47" s="583"/>
      <c r="BL47" s="585"/>
      <c r="BM47" s="583"/>
      <c r="BN47" s="584"/>
      <c r="BO47" s="583"/>
      <c r="BP47" s="585"/>
      <c r="BQ47" s="583"/>
      <c r="BR47" s="584"/>
      <c r="BS47" s="583"/>
      <c r="BT47" s="586"/>
      <c r="BU47" s="540"/>
      <c r="BV47" s="540"/>
      <c r="BW47" s="540"/>
      <c r="BX47" s="538"/>
      <c r="BY47" s="538"/>
      <c r="BZ47" s="587"/>
      <c r="CA47" s="591"/>
      <c r="CB47" s="590" t="s">
        <v>365</v>
      </c>
      <c r="CC47" s="590">
        <v>31.0</v>
      </c>
      <c r="CD47" s="590">
        <v>0.0</v>
      </c>
      <c r="CE47" s="590" t="e">
        <v>#VALUE!</v>
      </c>
      <c r="CF47" s="590"/>
      <c r="CG47" s="590">
        <v>0.31</v>
      </c>
      <c r="CH47" s="590"/>
      <c r="CI47" s="591"/>
      <c r="CJ47" s="590">
        <v>0.0</v>
      </c>
      <c r="CK47" s="479">
        <v>0.0</v>
      </c>
      <c r="CL47" s="592"/>
      <c r="CM47" s="593"/>
      <c r="CN47" s="538"/>
      <c r="CO47" s="538"/>
      <c r="CP47" s="538"/>
      <c r="CQ47" s="538"/>
      <c r="CR47" s="538"/>
      <c r="CS47" s="538"/>
      <c r="CT47" s="538"/>
      <c r="CU47" s="538"/>
      <c r="CV47" s="538"/>
      <c r="CW47" s="538"/>
      <c r="CX47" s="538"/>
      <c r="CY47" s="538"/>
      <c r="CZ47" s="538"/>
      <c r="DA47" s="538"/>
      <c r="DB47" s="538"/>
      <c r="DC47" s="538"/>
      <c r="DD47" s="538"/>
      <c r="DE47" s="538"/>
      <c r="DF47" s="538"/>
      <c r="DG47" s="538"/>
      <c r="DH47" s="538"/>
      <c r="DI47" s="538"/>
      <c r="DJ47" s="538"/>
      <c r="DK47" s="538"/>
      <c r="DL47" s="538"/>
      <c r="DM47" s="538"/>
      <c r="DN47" s="538"/>
      <c r="DO47" s="538"/>
      <c r="DP47" s="538"/>
      <c r="DQ47" s="538"/>
      <c r="DR47" s="538"/>
      <c r="DS47" s="538"/>
      <c r="DT47" s="538"/>
      <c r="DU47" s="538"/>
      <c r="DV47" s="538"/>
      <c r="DW47" s="538"/>
      <c r="DX47" s="538"/>
      <c r="DY47" s="538"/>
      <c r="DZ47" s="538"/>
      <c r="EA47" s="538"/>
      <c r="EB47" s="538"/>
      <c r="EC47" s="538"/>
      <c r="ED47" s="538"/>
      <c r="EE47" s="538"/>
      <c r="EF47" s="538"/>
      <c r="EG47" s="538"/>
      <c r="EH47" s="538"/>
      <c r="EI47" s="538"/>
      <c r="EJ47" s="538"/>
      <c r="EK47" s="538"/>
      <c r="EL47" s="538"/>
      <c r="EM47" s="538"/>
      <c r="EN47" s="538"/>
      <c r="EO47" s="538"/>
      <c r="EP47" s="538"/>
      <c r="EQ47" s="538"/>
      <c r="ER47" s="538"/>
      <c r="ES47" s="538"/>
      <c r="ET47" s="538"/>
      <c r="EU47" s="538"/>
      <c r="EV47" s="538"/>
      <c r="EW47" s="538"/>
      <c r="EX47" s="559"/>
      <c r="EY47" s="559"/>
      <c r="EZ47" s="559"/>
      <c r="FA47" s="559"/>
      <c r="FB47" s="559"/>
      <c r="FC47" s="559"/>
      <c r="FD47" s="559"/>
      <c r="FE47" s="559"/>
      <c r="FF47" s="559"/>
      <c r="FG47" s="559"/>
      <c r="FH47" s="559"/>
      <c r="FI47" s="559"/>
      <c r="FJ47" s="559"/>
      <c r="FK47" s="559"/>
      <c r="FL47" s="559"/>
      <c r="FM47" s="559"/>
      <c r="FN47" s="559"/>
      <c r="FO47" s="559"/>
      <c r="FP47" s="559"/>
      <c r="FQ47" s="559"/>
      <c r="FR47" s="559"/>
      <c r="FS47" s="559"/>
      <c r="FT47" s="559"/>
      <c r="FU47" s="559"/>
      <c r="FV47" s="559"/>
      <c r="FW47" s="559"/>
      <c r="FX47" s="559"/>
      <c r="FY47" s="559"/>
      <c r="FZ47" s="559"/>
      <c r="GA47" s="559"/>
      <c r="GB47" s="559"/>
      <c r="GC47" s="559"/>
      <c r="GD47" s="559"/>
      <c r="GE47" s="559"/>
      <c r="GF47" s="559"/>
      <c r="GG47" s="559"/>
      <c r="GH47" s="559"/>
    </row>
    <row r="48">
      <c r="A48" s="538"/>
      <c r="B48" s="156"/>
      <c r="C48" s="444"/>
      <c r="D48" s="614" t="s">
        <v>317</v>
      </c>
      <c r="E48" s="606" t="s">
        <v>389</v>
      </c>
      <c r="F48" s="563">
        <v>3.0</v>
      </c>
      <c r="G48" s="560">
        <v>8.0</v>
      </c>
      <c r="H48" s="564"/>
      <c r="I48" s="622" t="s">
        <v>365</v>
      </c>
      <c r="J48" s="566"/>
      <c r="K48" s="567">
        <v>2.0</v>
      </c>
      <c r="L48" s="568"/>
      <c r="M48" s="569"/>
      <c r="N48" s="570"/>
      <c r="O48" s="623"/>
      <c r="P48" s="47"/>
      <c r="Q48" s="47"/>
      <c r="S48" s="572"/>
      <c r="U48" s="573"/>
      <c r="V48" s="574"/>
      <c r="W48" s="618"/>
      <c r="X48" s="576">
        <v>0.0</v>
      </c>
      <c r="Y48" s="577" t="e">
        <v>#VALUE!</v>
      </c>
      <c r="Z48" s="577">
        <v>24.0</v>
      </c>
      <c r="AA48" s="578" t="b">
        <v>0</v>
      </c>
      <c r="AB48" s="578"/>
      <c r="AC48" s="579"/>
      <c r="AD48" s="608">
        <v>3.0</v>
      </c>
      <c r="AE48" s="609"/>
      <c r="AF48" s="582" t="s">
        <v>390</v>
      </c>
      <c r="AG48" s="583">
        <v>15.0</v>
      </c>
      <c r="AH48" s="584" t="s">
        <v>452</v>
      </c>
      <c r="AI48" s="583"/>
      <c r="AJ48" s="585"/>
      <c r="AK48" s="583">
        <v>12.0</v>
      </c>
      <c r="AL48" s="584" t="s">
        <v>453</v>
      </c>
      <c r="AM48" s="583"/>
      <c r="AN48" s="585"/>
      <c r="AO48" s="583">
        <v>15.0</v>
      </c>
      <c r="AP48" s="584" t="s">
        <v>454</v>
      </c>
      <c r="AQ48" s="583"/>
      <c r="AR48" s="585"/>
      <c r="AS48" s="583"/>
      <c r="AT48" s="584"/>
      <c r="AU48" s="583"/>
      <c r="AV48" s="585"/>
      <c r="AW48" s="583"/>
      <c r="AX48" s="584"/>
      <c r="AY48" s="583"/>
      <c r="AZ48" s="585"/>
      <c r="BA48" s="583"/>
      <c r="BB48" s="584"/>
      <c r="BC48" s="583"/>
      <c r="BD48" s="585"/>
      <c r="BE48" s="583"/>
      <c r="BF48" s="584"/>
      <c r="BG48" s="583"/>
      <c r="BH48" s="585"/>
      <c r="BI48" s="583"/>
      <c r="BJ48" s="584"/>
      <c r="BK48" s="583"/>
      <c r="BL48" s="585"/>
      <c r="BM48" s="583"/>
      <c r="BN48" s="584"/>
      <c r="BO48" s="583"/>
      <c r="BP48" s="585"/>
      <c r="BQ48" s="583"/>
      <c r="BR48" s="584"/>
      <c r="BS48" s="583"/>
      <c r="BT48" s="586"/>
      <c r="BU48" s="540"/>
      <c r="BV48" s="540"/>
      <c r="BW48" s="540"/>
      <c r="BX48" s="538"/>
      <c r="BY48" s="538"/>
      <c r="BZ48" s="587"/>
      <c r="CA48" s="591"/>
      <c r="CB48" s="590" t="s">
        <v>365</v>
      </c>
      <c r="CC48" s="590">
        <v>42.0</v>
      </c>
      <c r="CD48" s="590">
        <v>0.0</v>
      </c>
      <c r="CE48" s="590" t="e">
        <v>#VALUE!</v>
      </c>
      <c r="CF48" s="590"/>
      <c r="CG48" s="590">
        <v>0.42</v>
      </c>
      <c r="CH48" s="590"/>
      <c r="CI48" s="591"/>
      <c r="CJ48" s="590">
        <v>0.0</v>
      </c>
      <c r="CK48" s="479">
        <v>0.0</v>
      </c>
      <c r="CL48" s="592"/>
      <c r="CM48" s="593"/>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59"/>
      <c r="EY48" s="559"/>
      <c r="EZ48" s="559"/>
      <c r="FA48" s="559"/>
      <c r="FB48" s="559"/>
      <c r="FC48" s="559"/>
      <c r="FD48" s="559"/>
      <c r="FE48" s="559"/>
      <c r="FF48" s="559"/>
      <c r="FG48" s="559"/>
      <c r="FH48" s="559"/>
      <c r="FI48" s="559"/>
      <c r="FJ48" s="559"/>
      <c r="FK48" s="559"/>
      <c r="FL48" s="559"/>
      <c r="FM48" s="559"/>
      <c r="FN48" s="559"/>
      <c r="FO48" s="559"/>
      <c r="FP48" s="559"/>
      <c r="FQ48" s="559"/>
      <c r="FR48" s="559"/>
      <c r="FS48" s="559"/>
      <c r="FT48" s="559"/>
      <c r="FU48" s="559"/>
      <c r="FV48" s="559"/>
      <c r="FW48" s="559"/>
      <c r="FX48" s="559"/>
      <c r="FY48" s="559"/>
      <c r="FZ48" s="559"/>
      <c r="GA48" s="559"/>
      <c r="GB48" s="559"/>
      <c r="GC48" s="559"/>
      <c r="GD48" s="559"/>
      <c r="GE48" s="559"/>
      <c r="GF48" s="559"/>
      <c r="GG48" s="559"/>
      <c r="GH48" s="559"/>
    </row>
    <row r="49">
      <c r="A49" s="538"/>
      <c r="B49" s="156"/>
      <c r="C49" s="444"/>
      <c r="D49" s="614" t="s">
        <v>317</v>
      </c>
      <c r="E49" s="595" t="s">
        <v>395</v>
      </c>
      <c r="F49" s="596">
        <v>3.0</v>
      </c>
      <c r="G49" s="596">
        <v>10.0</v>
      </c>
      <c r="H49" s="597"/>
      <c r="I49" s="616" t="s">
        <v>365</v>
      </c>
      <c r="J49" s="624"/>
      <c r="K49" s="600">
        <v>2.0</v>
      </c>
      <c r="L49" s="601"/>
      <c r="M49" s="625"/>
      <c r="N49" s="617"/>
      <c r="O49" s="621"/>
      <c r="P49" s="57"/>
      <c r="Q49" s="57"/>
      <c r="S49" s="605"/>
      <c r="U49" s="573"/>
      <c r="V49" s="574"/>
      <c r="W49" s="618"/>
      <c r="X49" s="576">
        <v>0.0</v>
      </c>
      <c r="Y49" s="577" t="e">
        <v>#VALUE!</v>
      </c>
      <c r="Z49" s="577">
        <v>30.0</v>
      </c>
      <c r="AA49" s="578" t="b">
        <v>0</v>
      </c>
      <c r="AB49" s="578"/>
      <c r="AC49" s="579"/>
      <c r="AD49" s="608">
        <v>4.0</v>
      </c>
      <c r="AE49" s="609"/>
      <c r="AF49" s="582" t="s">
        <v>396</v>
      </c>
      <c r="AG49" s="583">
        <v>11.0</v>
      </c>
      <c r="AH49" s="584" t="s">
        <v>455</v>
      </c>
      <c r="AI49" s="583">
        <v>1.0</v>
      </c>
      <c r="AJ49" s="585"/>
      <c r="AK49" s="583">
        <v>12.0</v>
      </c>
      <c r="AL49" s="584">
        <v>21.0</v>
      </c>
      <c r="AM49" s="583"/>
      <c r="AN49" s="585"/>
      <c r="AO49" s="583">
        <v>12.0</v>
      </c>
      <c r="AP49" s="584">
        <v>21.0</v>
      </c>
      <c r="AQ49" s="583"/>
      <c r="AR49" s="585"/>
      <c r="AS49" s="583">
        <v>9.0</v>
      </c>
      <c r="AT49" s="584" t="s">
        <v>456</v>
      </c>
      <c r="AU49" s="583"/>
      <c r="AV49" s="585"/>
      <c r="AW49" s="583"/>
      <c r="AX49" s="584"/>
      <c r="AY49" s="583"/>
      <c r="AZ49" s="585"/>
      <c r="BA49" s="583"/>
      <c r="BB49" s="584"/>
      <c r="BC49" s="583"/>
      <c r="BD49" s="585"/>
      <c r="BE49" s="583"/>
      <c r="BF49" s="584"/>
      <c r="BG49" s="583"/>
      <c r="BH49" s="585"/>
      <c r="BI49" s="583"/>
      <c r="BJ49" s="584"/>
      <c r="BK49" s="583"/>
      <c r="BL49" s="585"/>
      <c r="BM49" s="583"/>
      <c r="BN49" s="584"/>
      <c r="BO49" s="583"/>
      <c r="BP49" s="585"/>
      <c r="BQ49" s="583"/>
      <c r="BR49" s="584"/>
      <c r="BS49" s="583"/>
      <c r="BT49" s="586"/>
      <c r="BU49" s="540"/>
      <c r="BV49" s="540"/>
      <c r="BW49" s="540"/>
      <c r="BX49" s="538"/>
      <c r="BY49" s="538"/>
      <c r="BZ49" s="587"/>
      <c r="CA49" s="591"/>
      <c r="CB49" s="590" t="s">
        <v>365</v>
      </c>
      <c r="CC49" s="590">
        <v>44.0</v>
      </c>
      <c r="CD49" s="590">
        <v>0.25</v>
      </c>
      <c r="CE49" s="590" t="e">
        <v>#VALUE!</v>
      </c>
      <c r="CF49" s="590"/>
      <c r="CG49" s="590">
        <v>0.44</v>
      </c>
      <c r="CH49" s="590"/>
      <c r="CI49" s="591"/>
      <c r="CJ49" s="590">
        <v>1.2</v>
      </c>
      <c r="CK49" s="479">
        <v>0.0</v>
      </c>
      <c r="CL49" s="592"/>
      <c r="CM49" s="593"/>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59"/>
      <c r="EY49" s="559"/>
      <c r="EZ49" s="559"/>
      <c r="FA49" s="559"/>
      <c r="FB49" s="559"/>
      <c r="FC49" s="559"/>
      <c r="FD49" s="559"/>
      <c r="FE49" s="559"/>
      <c r="FF49" s="559"/>
      <c r="FG49" s="559"/>
      <c r="FH49" s="559"/>
      <c r="FI49" s="559"/>
      <c r="FJ49" s="559"/>
      <c r="FK49" s="559"/>
      <c r="FL49" s="559"/>
      <c r="FM49" s="559"/>
      <c r="FN49" s="559"/>
      <c r="FO49" s="559"/>
      <c r="FP49" s="559"/>
      <c r="FQ49" s="559"/>
      <c r="FR49" s="559"/>
      <c r="FS49" s="559"/>
      <c r="FT49" s="559"/>
      <c r="FU49" s="559"/>
      <c r="FV49" s="559"/>
      <c r="FW49" s="559"/>
      <c r="FX49" s="559"/>
      <c r="FY49" s="559"/>
      <c r="FZ49" s="559"/>
      <c r="GA49" s="559"/>
      <c r="GB49" s="559"/>
      <c r="GC49" s="559"/>
      <c r="GD49" s="559"/>
      <c r="GE49" s="559"/>
      <c r="GF49" s="559"/>
      <c r="GG49" s="559"/>
      <c r="GH49" s="559"/>
    </row>
    <row r="50">
      <c r="A50" s="538"/>
      <c r="B50" s="156"/>
      <c r="C50" s="444"/>
      <c r="D50" s="614" t="s">
        <v>317</v>
      </c>
      <c r="E50" s="606" t="s">
        <v>400</v>
      </c>
      <c r="F50" s="563">
        <v>3.0</v>
      </c>
      <c r="G50" s="563">
        <v>15.0</v>
      </c>
      <c r="H50" s="564"/>
      <c r="I50" s="622" t="s">
        <v>365</v>
      </c>
      <c r="J50" s="607"/>
      <c r="K50" s="567">
        <v>3.0</v>
      </c>
      <c r="L50" s="568"/>
      <c r="M50" s="626"/>
      <c r="N50" s="619"/>
      <c r="O50" s="623"/>
      <c r="P50" s="47"/>
      <c r="Q50" s="47"/>
      <c r="S50" s="572"/>
      <c r="U50" s="573"/>
      <c r="V50" s="574"/>
      <c r="W50" s="618"/>
      <c r="X50" s="576">
        <v>0.0</v>
      </c>
      <c r="Y50" s="577" t="e">
        <v>#VALUE!</v>
      </c>
      <c r="Z50" s="577">
        <v>45.0</v>
      </c>
      <c r="AA50" s="578" t="b">
        <v>0</v>
      </c>
      <c r="AB50" s="578"/>
      <c r="AC50" s="579"/>
      <c r="AD50" s="608">
        <v>3.0</v>
      </c>
      <c r="AE50" s="609"/>
      <c r="AF50" s="582" t="s">
        <v>401</v>
      </c>
      <c r="AG50" s="583">
        <v>12.0</v>
      </c>
      <c r="AH50" s="584" t="s">
        <v>457</v>
      </c>
      <c r="AI50" s="583"/>
      <c r="AJ50" s="585"/>
      <c r="AK50" s="583">
        <v>15.0</v>
      </c>
      <c r="AL50" s="584">
        <v>18.0</v>
      </c>
      <c r="AM50" s="583"/>
      <c r="AN50" s="585"/>
      <c r="AO50" s="583">
        <v>22.0</v>
      </c>
      <c r="AP50" s="584" t="s">
        <v>458</v>
      </c>
      <c r="AQ50" s="583"/>
      <c r="AR50" s="585"/>
      <c r="AS50" s="583"/>
      <c r="AT50" s="584"/>
      <c r="AU50" s="583"/>
      <c r="AV50" s="585"/>
      <c r="AW50" s="583"/>
      <c r="AX50" s="584"/>
      <c r="AY50" s="583"/>
      <c r="AZ50" s="585"/>
      <c r="BA50" s="583"/>
      <c r="BB50" s="584"/>
      <c r="BC50" s="583"/>
      <c r="BD50" s="585"/>
      <c r="BE50" s="583"/>
      <c r="BF50" s="584"/>
      <c r="BG50" s="583"/>
      <c r="BH50" s="585"/>
      <c r="BI50" s="583"/>
      <c r="BJ50" s="584"/>
      <c r="BK50" s="583"/>
      <c r="BL50" s="585"/>
      <c r="BM50" s="583"/>
      <c r="BN50" s="584"/>
      <c r="BO50" s="583"/>
      <c r="BP50" s="585"/>
      <c r="BQ50" s="583"/>
      <c r="BR50" s="584"/>
      <c r="BS50" s="583"/>
      <c r="BT50" s="586"/>
      <c r="BU50" s="540"/>
      <c r="BV50" s="540"/>
      <c r="BW50" s="540"/>
      <c r="BX50" s="538"/>
      <c r="BY50" s="538"/>
      <c r="BZ50" s="587"/>
      <c r="CA50" s="591"/>
      <c r="CB50" s="590" t="s">
        <v>365</v>
      </c>
      <c r="CC50" s="590">
        <v>49.0</v>
      </c>
      <c r="CD50" s="590">
        <v>0.0</v>
      </c>
      <c r="CE50" s="590" t="e">
        <v>#VALUE!</v>
      </c>
      <c r="CF50" s="590"/>
      <c r="CG50" s="590">
        <v>0.49</v>
      </c>
      <c r="CH50" s="590"/>
      <c r="CI50" s="591"/>
      <c r="CJ50" s="590">
        <v>0.0</v>
      </c>
      <c r="CK50" s="479">
        <v>0.0</v>
      </c>
      <c r="CL50" s="592"/>
      <c r="CM50" s="593"/>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59"/>
      <c r="EY50" s="559"/>
      <c r="EZ50" s="559"/>
      <c r="FA50" s="559"/>
      <c r="FB50" s="559"/>
      <c r="FC50" s="559"/>
      <c r="FD50" s="559"/>
      <c r="FE50" s="559"/>
      <c r="FF50" s="559"/>
      <c r="FG50" s="559"/>
      <c r="FH50" s="559"/>
      <c r="FI50" s="559"/>
      <c r="FJ50" s="559"/>
      <c r="FK50" s="559"/>
      <c r="FL50" s="559"/>
      <c r="FM50" s="559"/>
      <c r="FN50" s="559"/>
      <c r="FO50" s="559"/>
      <c r="FP50" s="559"/>
      <c r="FQ50" s="559"/>
      <c r="FR50" s="559"/>
      <c r="FS50" s="559"/>
      <c r="FT50" s="559"/>
      <c r="FU50" s="559"/>
      <c r="FV50" s="559"/>
      <c r="FW50" s="559"/>
      <c r="FX50" s="559"/>
      <c r="FY50" s="559"/>
      <c r="FZ50" s="559"/>
      <c r="GA50" s="559"/>
      <c r="GB50" s="559"/>
      <c r="GC50" s="559"/>
      <c r="GD50" s="559"/>
      <c r="GE50" s="559"/>
      <c r="GF50" s="559"/>
      <c r="GG50" s="559"/>
      <c r="GH50" s="559"/>
    </row>
    <row r="51">
      <c r="A51" s="538"/>
      <c r="B51" s="156"/>
      <c r="C51" s="444"/>
      <c r="D51" s="614" t="s">
        <v>326</v>
      </c>
      <c r="E51" s="595" t="s">
        <v>402</v>
      </c>
      <c r="F51" s="596">
        <v>3.0</v>
      </c>
      <c r="G51" s="596" t="s">
        <v>203</v>
      </c>
      <c r="H51" s="615"/>
      <c r="I51" s="616" t="s">
        <v>365</v>
      </c>
      <c r="J51" s="624"/>
      <c r="K51" s="600"/>
      <c r="L51" s="601"/>
      <c r="M51" s="625"/>
      <c r="N51" s="617"/>
      <c r="O51" s="621"/>
      <c r="P51" s="57"/>
      <c r="Q51" s="57"/>
      <c r="S51" s="605"/>
      <c r="U51" s="573"/>
      <c r="V51" s="574"/>
      <c r="W51" s="618"/>
      <c r="X51" s="576">
        <v>0.0</v>
      </c>
      <c r="Y51" s="577" t="e">
        <v>#VALUE!</v>
      </c>
      <c r="Z51" s="577"/>
      <c r="AA51" s="578" t="b">
        <v>0</v>
      </c>
      <c r="AB51" s="578"/>
      <c r="AC51" s="579"/>
      <c r="AD51" s="608">
        <v>1.0</v>
      </c>
      <c r="AE51" s="609"/>
      <c r="AF51" s="582" t="s">
        <v>403</v>
      </c>
      <c r="AG51" s="583">
        <v>13.0</v>
      </c>
      <c r="AH51" s="584" t="s">
        <v>459</v>
      </c>
      <c r="AI51" s="583"/>
      <c r="AJ51" s="585"/>
      <c r="AK51" s="583"/>
      <c r="AL51" s="584"/>
      <c r="AM51" s="583"/>
      <c r="AN51" s="585"/>
      <c r="AO51" s="583"/>
      <c r="AP51" s="584"/>
      <c r="AQ51" s="583"/>
      <c r="AR51" s="585"/>
      <c r="AS51" s="583"/>
      <c r="AT51" s="584"/>
      <c r="AU51" s="583"/>
      <c r="AV51" s="585"/>
      <c r="AW51" s="583"/>
      <c r="AX51" s="584"/>
      <c r="AY51" s="583"/>
      <c r="AZ51" s="585"/>
      <c r="BA51" s="583"/>
      <c r="BB51" s="584"/>
      <c r="BC51" s="583"/>
      <c r="BD51" s="585"/>
      <c r="BE51" s="583"/>
      <c r="BF51" s="584"/>
      <c r="BG51" s="583"/>
      <c r="BH51" s="585"/>
      <c r="BI51" s="583"/>
      <c r="BJ51" s="584"/>
      <c r="BK51" s="583"/>
      <c r="BL51" s="585"/>
      <c r="BM51" s="583"/>
      <c r="BN51" s="584"/>
      <c r="BO51" s="583"/>
      <c r="BP51" s="585"/>
      <c r="BQ51" s="583"/>
      <c r="BR51" s="584"/>
      <c r="BS51" s="583"/>
      <c r="BT51" s="586"/>
      <c r="BU51" s="540"/>
      <c r="BV51" s="540"/>
      <c r="BW51" s="540"/>
      <c r="BX51" s="538"/>
      <c r="BY51" s="538"/>
      <c r="BZ51" s="587"/>
      <c r="CA51" s="591"/>
      <c r="CB51" s="590" t="s">
        <v>365</v>
      </c>
      <c r="CC51" s="590">
        <v>13.0</v>
      </c>
      <c r="CD51" s="590">
        <v>0.0</v>
      </c>
      <c r="CE51" s="590" t="e">
        <v>#VALUE!</v>
      </c>
      <c r="CF51" s="590"/>
      <c r="CG51" s="590">
        <v>0.13</v>
      </c>
      <c r="CH51" s="590"/>
      <c r="CI51" s="591"/>
      <c r="CJ51" s="590">
        <v>0.0</v>
      </c>
      <c r="CK51" s="479">
        <v>0.0</v>
      </c>
      <c r="CL51" s="592"/>
      <c r="CM51" s="593"/>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59"/>
      <c r="EY51" s="559"/>
      <c r="EZ51" s="559"/>
      <c r="FA51" s="559"/>
      <c r="FB51" s="559"/>
      <c r="FC51" s="559"/>
      <c r="FD51" s="559"/>
      <c r="FE51" s="559"/>
      <c r="FF51" s="559"/>
      <c r="FG51" s="559"/>
      <c r="FH51" s="559"/>
      <c r="FI51" s="559"/>
      <c r="FJ51" s="559"/>
      <c r="FK51" s="559"/>
      <c r="FL51" s="559"/>
      <c r="FM51" s="559"/>
      <c r="FN51" s="559"/>
      <c r="FO51" s="559"/>
      <c r="FP51" s="559"/>
      <c r="FQ51" s="559"/>
      <c r="FR51" s="559"/>
      <c r="FS51" s="559"/>
      <c r="FT51" s="559"/>
      <c r="FU51" s="559"/>
      <c r="FV51" s="559"/>
      <c r="FW51" s="559"/>
      <c r="FX51" s="559"/>
      <c r="FY51" s="559"/>
      <c r="FZ51" s="559"/>
      <c r="GA51" s="559"/>
      <c r="GB51" s="559"/>
      <c r="GC51" s="559"/>
      <c r="GD51" s="559"/>
      <c r="GE51" s="559"/>
      <c r="GF51" s="559"/>
      <c r="GG51" s="559"/>
      <c r="GH51" s="559"/>
    </row>
    <row r="52">
      <c r="A52" s="538"/>
      <c r="B52" s="156" t="s">
        <v>410</v>
      </c>
      <c r="C52" s="444"/>
      <c r="D52" s="614"/>
      <c r="E52" s="606"/>
      <c r="F52" s="563"/>
      <c r="G52" s="563"/>
      <c r="H52" s="627"/>
      <c r="I52" s="622" t="s">
        <v>365</v>
      </c>
      <c r="J52" s="607"/>
      <c r="K52" s="567"/>
      <c r="L52" s="628"/>
      <c r="M52" s="626"/>
      <c r="N52" s="619"/>
      <c r="O52" s="623"/>
      <c r="P52" s="47"/>
      <c r="Q52" s="47"/>
      <c r="S52" s="572"/>
      <c r="U52" s="573"/>
      <c r="V52" s="574"/>
      <c r="W52" s="618"/>
      <c r="X52" s="576">
        <v>0.0</v>
      </c>
      <c r="Y52" s="577">
        <v>0.0</v>
      </c>
      <c r="Z52" s="577" t="s">
        <v>365</v>
      </c>
      <c r="AA52" s="578" t="b">
        <v>0</v>
      </c>
      <c r="AB52" s="578"/>
      <c r="AC52" s="579"/>
      <c r="AD52" s="608">
        <v>0.0</v>
      </c>
      <c r="AE52" s="609"/>
      <c r="AF52" s="582" t="s">
        <v>365</v>
      </c>
      <c r="AG52" s="583"/>
      <c r="AH52" s="584"/>
      <c r="AI52" s="583"/>
      <c r="AJ52" s="585"/>
      <c r="AK52" s="583"/>
      <c r="AL52" s="584"/>
      <c r="AM52" s="583"/>
      <c r="AN52" s="585"/>
      <c r="AO52" s="583"/>
      <c r="AP52" s="584"/>
      <c r="AQ52" s="583"/>
      <c r="AR52" s="585"/>
      <c r="AS52" s="583"/>
      <c r="AT52" s="584"/>
      <c r="AU52" s="583"/>
      <c r="AV52" s="585"/>
      <c r="AW52" s="583"/>
      <c r="AX52" s="584"/>
      <c r="AY52" s="583"/>
      <c r="AZ52" s="585"/>
      <c r="BA52" s="583"/>
      <c r="BB52" s="584"/>
      <c r="BC52" s="583"/>
      <c r="BD52" s="585"/>
      <c r="BE52" s="583"/>
      <c r="BF52" s="584"/>
      <c r="BG52" s="583"/>
      <c r="BH52" s="585"/>
      <c r="BI52" s="583"/>
      <c r="BJ52" s="584"/>
      <c r="BK52" s="583"/>
      <c r="BL52" s="585"/>
      <c r="BM52" s="583"/>
      <c r="BN52" s="584"/>
      <c r="BO52" s="583"/>
      <c r="BP52" s="585"/>
      <c r="BQ52" s="583"/>
      <c r="BR52" s="584"/>
      <c r="BS52" s="583"/>
      <c r="BT52" s="586"/>
      <c r="BU52" s="540"/>
      <c r="BV52" s="540"/>
      <c r="BW52" s="540"/>
      <c r="BX52" s="538"/>
      <c r="BY52" s="538"/>
      <c r="BZ52" s="587"/>
      <c r="CA52" s="591"/>
      <c r="CB52" s="590" t="s">
        <v>365</v>
      </c>
      <c r="CC52" s="590">
        <v>0.0</v>
      </c>
      <c r="CD52" s="590" t="s">
        <v>365</v>
      </c>
      <c r="CE52" s="590">
        <v>0.0</v>
      </c>
      <c r="CF52" s="590"/>
      <c r="CG52" s="590">
        <v>0.0</v>
      </c>
      <c r="CH52" s="590"/>
      <c r="CI52" s="591"/>
      <c r="CJ52" s="590">
        <v>0.0</v>
      </c>
      <c r="CK52" s="479" t="s">
        <v>365</v>
      </c>
      <c r="CL52" s="592"/>
      <c r="CM52" s="593"/>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59"/>
      <c r="EY52" s="559"/>
      <c r="EZ52" s="559"/>
      <c r="FA52" s="559"/>
      <c r="FB52" s="559"/>
      <c r="FC52" s="559"/>
      <c r="FD52" s="559"/>
      <c r="FE52" s="559"/>
      <c r="FF52" s="559"/>
      <c r="FG52" s="559"/>
      <c r="FH52" s="559"/>
      <c r="FI52" s="559"/>
      <c r="FJ52" s="559"/>
      <c r="FK52" s="559"/>
      <c r="FL52" s="559"/>
      <c r="FM52" s="559"/>
      <c r="FN52" s="559"/>
      <c r="FO52" s="559"/>
      <c r="FP52" s="559"/>
      <c r="FQ52" s="559"/>
      <c r="FR52" s="559"/>
      <c r="FS52" s="559"/>
      <c r="FT52" s="559"/>
      <c r="FU52" s="559"/>
      <c r="FV52" s="559"/>
      <c r="FW52" s="559"/>
      <c r="FX52" s="559"/>
      <c r="FY52" s="559"/>
      <c r="FZ52" s="559"/>
      <c r="GA52" s="559"/>
      <c r="GB52" s="559"/>
      <c r="GC52" s="559"/>
      <c r="GD52" s="559"/>
      <c r="GE52" s="559"/>
      <c r="GF52" s="559"/>
      <c r="GG52" s="559"/>
      <c r="GH52" s="559"/>
    </row>
    <row r="53">
      <c r="A53" s="538"/>
      <c r="B53" s="156" t="s">
        <v>411</v>
      </c>
      <c r="C53" s="444"/>
      <c r="D53" s="614"/>
      <c r="E53" s="595"/>
      <c r="F53" s="596"/>
      <c r="G53" s="596"/>
      <c r="H53" s="615"/>
      <c r="I53" s="616" t="s">
        <v>365</v>
      </c>
      <c r="J53" s="624"/>
      <c r="K53" s="600"/>
      <c r="L53" s="601"/>
      <c r="M53" s="625"/>
      <c r="N53" s="617"/>
      <c r="O53" s="621"/>
      <c r="P53" s="57"/>
      <c r="Q53" s="57"/>
      <c r="S53" s="605"/>
      <c r="U53" s="573"/>
      <c r="V53" s="574"/>
      <c r="W53" s="618"/>
      <c r="X53" s="576">
        <v>0.0</v>
      </c>
      <c r="Y53" s="577">
        <v>0.0</v>
      </c>
      <c r="Z53" s="577" t="s">
        <v>365</v>
      </c>
      <c r="AA53" s="578" t="b">
        <v>0</v>
      </c>
      <c r="AB53" s="578"/>
      <c r="AC53" s="579"/>
      <c r="AD53" s="608">
        <v>0.0</v>
      </c>
      <c r="AE53" s="609"/>
      <c r="AF53" s="582" t="s">
        <v>365</v>
      </c>
      <c r="AG53" s="583"/>
      <c r="AH53" s="584"/>
      <c r="AI53" s="583"/>
      <c r="AJ53" s="585"/>
      <c r="AK53" s="583"/>
      <c r="AL53" s="584"/>
      <c r="AM53" s="583"/>
      <c r="AN53" s="585"/>
      <c r="AO53" s="583"/>
      <c r="AP53" s="584"/>
      <c r="AQ53" s="583"/>
      <c r="AR53" s="585"/>
      <c r="AS53" s="583"/>
      <c r="AT53" s="584"/>
      <c r="AU53" s="583"/>
      <c r="AV53" s="585"/>
      <c r="AW53" s="583"/>
      <c r="AX53" s="584"/>
      <c r="AY53" s="583"/>
      <c r="AZ53" s="585"/>
      <c r="BA53" s="583"/>
      <c r="BB53" s="584"/>
      <c r="BC53" s="583"/>
      <c r="BD53" s="585"/>
      <c r="BE53" s="583"/>
      <c r="BF53" s="584"/>
      <c r="BG53" s="583"/>
      <c r="BH53" s="585"/>
      <c r="BI53" s="583"/>
      <c r="BJ53" s="584"/>
      <c r="BK53" s="583"/>
      <c r="BL53" s="585"/>
      <c r="BM53" s="583"/>
      <c r="BN53" s="584"/>
      <c r="BO53" s="583"/>
      <c r="BP53" s="585"/>
      <c r="BQ53" s="583"/>
      <c r="BR53" s="584"/>
      <c r="BS53" s="583"/>
      <c r="BT53" s="586"/>
      <c r="BU53" s="540"/>
      <c r="BV53" s="540"/>
      <c r="BW53" s="540"/>
      <c r="BX53" s="538"/>
      <c r="BY53" s="538"/>
      <c r="BZ53" s="587"/>
      <c r="CA53" s="591"/>
      <c r="CB53" s="590" t="s">
        <v>365</v>
      </c>
      <c r="CC53" s="590">
        <v>0.0</v>
      </c>
      <c r="CD53" s="590" t="s">
        <v>365</v>
      </c>
      <c r="CE53" s="590">
        <v>0.0</v>
      </c>
      <c r="CF53" s="590"/>
      <c r="CG53" s="590">
        <v>0.0</v>
      </c>
      <c r="CH53" s="590"/>
      <c r="CI53" s="591"/>
      <c r="CJ53" s="590">
        <v>0.0</v>
      </c>
      <c r="CK53" s="479" t="s">
        <v>365</v>
      </c>
      <c r="CL53" s="592"/>
      <c r="CM53" s="593"/>
      <c r="CN53" s="538"/>
      <c r="CO53" s="538"/>
      <c r="CP53" s="538"/>
      <c r="CQ53" s="538"/>
      <c r="CR53" s="538"/>
      <c r="CS53" s="538"/>
      <c r="CT53" s="538"/>
      <c r="CU53" s="538"/>
      <c r="CV53" s="538"/>
      <c r="CW53" s="538"/>
      <c r="CX53" s="538"/>
      <c r="CY53" s="538"/>
      <c r="CZ53" s="538"/>
      <c r="DA53" s="538"/>
      <c r="DB53" s="538"/>
      <c r="DC53" s="538"/>
      <c r="DD53" s="538"/>
      <c r="DE53" s="538"/>
      <c r="DF53" s="538"/>
      <c r="DG53" s="538"/>
      <c r="DH53" s="538"/>
      <c r="DI53" s="538"/>
      <c r="DJ53" s="538"/>
      <c r="DK53" s="538"/>
      <c r="DL53" s="538"/>
      <c r="DM53" s="538"/>
      <c r="DN53" s="538"/>
      <c r="DO53" s="538"/>
      <c r="DP53" s="538"/>
      <c r="DQ53" s="538"/>
      <c r="DR53" s="538"/>
      <c r="DS53" s="538"/>
      <c r="DT53" s="538"/>
      <c r="DU53" s="538"/>
      <c r="DV53" s="538"/>
      <c r="DW53" s="538"/>
      <c r="DX53" s="538"/>
      <c r="DY53" s="538"/>
      <c r="DZ53" s="538"/>
      <c r="EA53" s="538"/>
      <c r="EB53" s="538"/>
      <c r="EC53" s="538"/>
      <c r="ED53" s="538"/>
      <c r="EE53" s="538"/>
      <c r="EF53" s="538"/>
      <c r="EG53" s="538"/>
      <c r="EH53" s="538"/>
      <c r="EI53" s="538"/>
      <c r="EJ53" s="538"/>
      <c r="EK53" s="538"/>
      <c r="EL53" s="538"/>
      <c r="EM53" s="538"/>
      <c r="EN53" s="538"/>
      <c r="EO53" s="538"/>
      <c r="EP53" s="538"/>
      <c r="EQ53" s="538"/>
      <c r="ER53" s="538"/>
      <c r="ES53" s="538"/>
      <c r="ET53" s="538"/>
      <c r="EU53" s="538"/>
      <c r="EV53" s="538"/>
      <c r="EW53" s="538"/>
      <c r="EX53" s="559"/>
      <c r="EY53" s="559"/>
      <c r="EZ53" s="559"/>
      <c r="FA53" s="559"/>
      <c r="FB53" s="559"/>
      <c r="FC53" s="559"/>
      <c r="FD53" s="559"/>
      <c r="FE53" s="559"/>
      <c r="FF53" s="559"/>
      <c r="FG53" s="559"/>
      <c r="FH53" s="559"/>
      <c r="FI53" s="559"/>
      <c r="FJ53" s="559"/>
      <c r="FK53" s="559"/>
      <c r="FL53" s="559"/>
      <c r="FM53" s="559"/>
      <c r="FN53" s="559"/>
      <c r="FO53" s="559"/>
      <c r="FP53" s="559"/>
      <c r="FQ53" s="559"/>
      <c r="FR53" s="559"/>
      <c r="FS53" s="559"/>
      <c r="FT53" s="559"/>
      <c r="FU53" s="559"/>
      <c r="FV53" s="559"/>
      <c r="FW53" s="559"/>
      <c r="FX53" s="559"/>
      <c r="FY53" s="559"/>
      <c r="FZ53" s="559"/>
      <c r="GA53" s="559"/>
      <c r="GB53" s="559"/>
      <c r="GC53" s="559"/>
      <c r="GD53" s="559"/>
      <c r="GE53" s="559"/>
      <c r="GF53" s="559"/>
      <c r="GG53" s="559"/>
      <c r="GH53" s="559"/>
    </row>
    <row r="54">
      <c r="A54" s="538"/>
      <c r="B54" s="134"/>
      <c r="C54" s="57"/>
      <c r="D54" s="594" t="s">
        <v>380</v>
      </c>
      <c r="E54" s="629" t="s">
        <v>412</v>
      </c>
      <c r="F54" s="596">
        <v>4.0</v>
      </c>
      <c r="G54" s="596">
        <v>6.0</v>
      </c>
      <c r="H54" s="597"/>
      <c r="I54" s="598">
        <v>0.0</v>
      </c>
      <c r="J54" s="599">
        <v>90.0</v>
      </c>
      <c r="K54" s="600"/>
      <c r="L54" s="568"/>
      <c r="M54" s="569"/>
      <c r="N54" s="619"/>
      <c r="O54" s="623"/>
      <c r="P54" s="47"/>
      <c r="Q54" s="47"/>
      <c r="R54" s="47"/>
      <c r="S54" s="572"/>
      <c r="T54" s="572"/>
      <c r="U54" s="573"/>
      <c r="V54" s="574"/>
      <c r="W54" s="618"/>
      <c r="X54" s="576">
        <v>2160.0</v>
      </c>
      <c r="Y54" s="630">
        <v>1080.0</v>
      </c>
      <c r="Z54" s="630">
        <v>24.0</v>
      </c>
      <c r="AA54" s="631">
        <v>0.782608695652174</v>
      </c>
      <c r="AB54" s="631"/>
      <c r="AC54" s="576"/>
      <c r="AD54" s="479">
        <v>3.0</v>
      </c>
      <c r="AE54" s="632"/>
      <c r="AF54" s="582" t="s">
        <v>460</v>
      </c>
      <c r="AG54" s="583">
        <v>6.0</v>
      </c>
      <c r="AH54" s="584">
        <v>90.0</v>
      </c>
      <c r="AI54" s="583">
        <v>1.0</v>
      </c>
      <c r="AJ54" s="585">
        <v>8.5</v>
      </c>
      <c r="AK54" s="583">
        <v>6.0</v>
      </c>
      <c r="AL54" s="584">
        <v>90.0</v>
      </c>
      <c r="AM54" s="583">
        <v>1.0</v>
      </c>
      <c r="AN54" s="585">
        <v>8.5</v>
      </c>
      <c r="AO54" s="583">
        <v>6.0</v>
      </c>
      <c r="AP54" s="584"/>
      <c r="AQ54" s="583">
        <v>0.0</v>
      </c>
      <c r="AR54" s="585">
        <v>9.0</v>
      </c>
      <c r="AS54" s="583"/>
      <c r="AT54" s="584"/>
      <c r="AU54" s="583"/>
      <c r="AV54" s="585"/>
      <c r="AW54" s="583"/>
      <c r="AX54" s="584"/>
      <c r="AY54" s="583"/>
      <c r="AZ54" s="585"/>
      <c r="BA54" s="583"/>
      <c r="BB54" s="584"/>
      <c r="BC54" s="583"/>
      <c r="BD54" s="585"/>
      <c r="BE54" s="583"/>
      <c r="BF54" s="584"/>
      <c r="BG54" s="583"/>
      <c r="BH54" s="585"/>
      <c r="BI54" s="583"/>
      <c r="BJ54" s="584"/>
      <c r="BK54" s="583"/>
      <c r="BL54" s="585"/>
      <c r="BM54" s="583"/>
      <c r="BN54" s="584"/>
      <c r="BO54" s="583"/>
      <c r="BP54" s="585"/>
      <c r="BQ54" s="583"/>
      <c r="BR54" s="584"/>
      <c r="BS54" s="583"/>
      <c r="BT54" s="586"/>
      <c r="BU54" s="540"/>
      <c r="BV54" s="540"/>
      <c r="BW54" s="540"/>
      <c r="BX54" s="538"/>
      <c r="BY54" s="538"/>
      <c r="BZ54" s="592">
        <v>115.0</v>
      </c>
      <c r="CA54" s="633">
        <v>0.5217391304347826</v>
      </c>
      <c r="CB54" s="592">
        <v>60.0</v>
      </c>
      <c r="CC54" s="592">
        <v>18.0</v>
      </c>
      <c r="CD54" s="592">
        <v>0.6666666666666666</v>
      </c>
      <c r="CE54" s="592">
        <v>1080.0</v>
      </c>
      <c r="CF54" s="592">
        <v>9.391304347826088</v>
      </c>
      <c r="CG54" s="592">
        <v>0.37636363636363634</v>
      </c>
      <c r="CH54" s="592"/>
      <c r="CI54" s="633">
        <v>0.6259826086956521</v>
      </c>
      <c r="CJ54" s="592">
        <v>4.0</v>
      </c>
      <c r="CK54" s="479">
        <v>8.666666666666666</v>
      </c>
      <c r="CL54" s="592">
        <v>74.719800747198</v>
      </c>
      <c r="CM54" s="593">
        <v>70.50528789659225</v>
      </c>
      <c r="CN54" s="538"/>
      <c r="CO54" s="538"/>
      <c r="CP54" s="538"/>
      <c r="CQ54" s="538"/>
      <c r="CR54" s="538"/>
      <c r="CS54" s="538"/>
      <c r="CT54" s="538"/>
      <c r="CU54" s="538"/>
      <c r="CV54" s="538"/>
      <c r="CW54" s="538"/>
      <c r="CX54" s="538"/>
      <c r="CY54" s="538"/>
      <c r="CZ54" s="538"/>
      <c r="DA54" s="538"/>
      <c r="DB54" s="538"/>
      <c r="DC54" s="538"/>
      <c r="DD54" s="538"/>
      <c r="DE54" s="538"/>
      <c r="DF54" s="538"/>
      <c r="DG54" s="538"/>
      <c r="DH54" s="538"/>
      <c r="DI54" s="538"/>
      <c r="DJ54" s="84"/>
      <c r="DK54" s="538"/>
      <c r="DL54" s="538"/>
      <c r="DM54" s="538"/>
      <c r="DN54" s="538"/>
      <c r="DO54" s="538"/>
      <c r="DP54" s="538"/>
      <c r="DQ54" s="538"/>
      <c r="DR54" s="538"/>
      <c r="DS54" s="538"/>
      <c r="DT54" s="538"/>
      <c r="DU54" s="538"/>
      <c r="DV54" s="538"/>
      <c r="DW54" s="538"/>
      <c r="DX54" s="538"/>
      <c r="DY54" s="538"/>
      <c r="DZ54" s="538"/>
      <c r="EA54" s="538"/>
      <c r="EB54" s="538"/>
      <c r="EC54" s="538"/>
      <c r="ED54" s="538"/>
      <c r="EE54" s="538"/>
      <c r="EF54" s="538"/>
      <c r="EG54" s="538"/>
      <c r="EH54" s="538"/>
      <c r="EI54" s="538"/>
      <c r="EJ54" s="538"/>
      <c r="EK54" s="538"/>
      <c r="EL54" s="538"/>
      <c r="EM54" s="538"/>
      <c r="EN54" s="538"/>
      <c r="EO54" s="538"/>
      <c r="EP54" s="538"/>
      <c r="EQ54" s="538"/>
      <c r="ER54" s="538"/>
      <c r="ES54" s="538"/>
      <c r="ET54" s="538"/>
      <c r="EU54" s="538"/>
      <c r="EV54" s="538"/>
      <c r="EW54" s="538"/>
      <c r="EX54" s="559"/>
      <c r="EY54" s="559"/>
      <c r="EZ54" s="559"/>
      <c r="FA54" s="559"/>
      <c r="FB54" s="559"/>
      <c r="FC54" s="559"/>
      <c r="FD54" s="559"/>
      <c r="FE54" s="559"/>
      <c r="FF54" s="559"/>
      <c r="FG54" s="559"/>
      <c r="FH54" s="559"/>
      <c r="FI54" s="559"/>
      <c r="FJ54" s="559"/>
      <c r="FK54" s="559"/>
      <c r="FL54" s="559"/>
      <c r="FM54" s="559"/>
      <c r="FN54" s="559"/>
      <c r="FO54" s="559"/>
      <c r="FP54" s="559"/>
      <c r="FQ54" s="559"/>
      <c r="FR54" s="559"/>
      <c r="FS54" s="559"/>
      <c r="FT54" s="559"/>
      <c r="FU54" s="559"/>
      <c r="FV54" s="559"/>
      <c r="FW54" s="559"/>
      <c r="FX54" s="559"/>
      <c r="FY54" s="559"/>
      <c r="FZ54" s="559"/>
      <c r="GA54" s="559"/>
      <c r="GB54" s="559"/>
      <c r="GC54" s="559"/>
      <c r="GD54" s="559"/>
      <c r="GE54" s="559"/>
      <c r="GF54" s="559"/>
      <c r="GG54" s="559"/>
      <c r="GH54" s="559"/>
    </row>
    <row r="55">
      <c r="A55" s="538"/>
      <c r="B55" s="134"/>
      <c r="C55" s="57"/>
      <c r="D55" s="594" t="s">
        <v>313</v>
      </c>
      <c r="E55" s="606" t="s">
        <v>416</v>
      </c>
      <c r="F55" s="563">
        <v>2.0</v>
      </c>
      <c r="G55" s="563">
        <v>12.0</v>
      </c>
      <c r="H55" s="564"/>
      <c r="I55" s="622" t="s">
        <v>365</v>
      </c>
      <c r="J55" s="566"/>
      <c r="K55" s="567">
        <v>2.0</v>
      </c>
      <c r="L55" s="568">
        <v>3.0</v>
      </c>
      <c r="M55" s="626"/>
      <c r="N55" s="617"/>
      <c r="O55" s="621"/>
      <c r="P55" s="57"/>
      <c r="Q55" s="57"/>
      <c r="R55" s="57"/>
      <c r="S55" s="605"/>
      <c r="T55" s="605"/>
      <c r="U55" s="573"/>
      <c r="V55" s="574"/>
      <c r="W55" s="618"/>
      <c r="X55" s="576">
        <v>0.0</v>
      </c>
      <c r="Y55" s="630" t="e">
        <v>#VALUE!</v>
      </c>
      <c r="Z55" s="630">
        <v>24.0</v>
      </c>
      <c r="AA55" s="631" t="b">
        <v>0</v>
      </c>
      <c r="AB55" s="631"/>
      <c r="AC55" s="576"/>
      <c r="AD55" s="479">
        <v>3.0</v>
      </c>
      <c r="AE55" s="632"/>
      <c r="AF55" s="582" t="s">
        <v>417</v>
      </c>
      <c r="AG55" s="583">
        <v>6.0</v>
      </c>
      <c r="AH55" s="584" t="s">
        <v>461</v>
      </c>
      <c r="AI55" s="583">
        <v>7.0</v>
      </c>
      <c r="AJ55" s="585">
        <v>3.0</v>
      </c>
      <c r="AK55" s="583">
        <v>6.0</v>
      </c>
      <c r="AL55" s="584">
        <v>130.0</v>
      </c>
      <c r="AM55" s="583">
        <v>2.0</v>
      </c>
      <c r="AN55" s="585">
        <v>8.0</v>
      </c>
      <c r="AO55" s="583">
        <v>6.0</v>
      </c>
      <c r="AP55" s="584">
        <v>110.0</v>
      </c>
      <c r="AQ55" s="583">
        <v>5.0</v>
      </c>
      <c r="AR55" s="585">
        <v>6.0</v>
      </c>
      <c r="AS55" s="583"/>
      <c r="AT55" s="584"/>
      <c r="AU55" s="583"/>
      <c r="AV55" s="585"/>
      <c r="AW55" s="583"/>
      <c r="AX55" s="584"/>
      <c r="AY55" s="583"/>
      <c r="AZ55" s="585"/>
      <c r="BA55" s="583"/>
      <c r="BB55" s="584"/>
      <c r="BC55" s="583"/>
      <c r="BD55" s="585"/>
      <c r="BE55" s="583"/>
      <c r="BF55" s="584"/>
      <c r="BG55" s="583"/>
      <c r="BH55" s="585"/>
      <c r="BI55" s="583"/>
      <c r="BJ55" s="584"/>
      <c r="BK55" s="583"/>
      <c r="BL55" s="585"/>
      <c r="BM55" s="583"/>
      <c r="BN55" s="584"/>
      <c r="BO55" s="583"/>
      <c r="BP55" s="585"/>
      <c r="BQ55" s="583"/>
      <c r="BR55" s="584"/>
      <c r="BS55" s="583"/>
      <c r="BT55" s="586"/>
      <c r="BU55" s="540"/>
      <c r="BV55" s="540"/>
      <c r="BW55" s="540"/>
      <c r="BX55" s="538"/>
      <c r="BY55" s="538"/>
      <c r="BZ55" s="592"/>
      <c r="CA55" s="633"/>
      <c r="CB55" s="592" t="s">
        <v>365</v>
      </c>
      <c r="CC55" s="592">
        <v>18.0</v>
      </c>
      <c r="CD55" s="592">
        <v>4.666666666666667</v>
      </c>
      <c r="CE55" s="592" t="e">
        <v>#VALUE!</v>
      </c>
      <c r="CF55" s="592"/>
      <c r="CG55" s="592">
        <v>0.18</v>
      </c>
      <c r="CH55" s="592"/>
      <c r="CI55" s="633"/>
      <c r="CJ55" s="592"/>
      <c r="CK55" s="479">
        <v>5.666666666666667</v>
      </c>
      <c r="CL55" s="592"/>
      <c r="CM55" s="593"/>
      <c r="CN55" s="538"/>
      <c r="CO55" s="538"/>
      <c r="CP55" s="538"/>
      <c r="CQ55" s="538"/>
      <c r="CR55" s="538"/>
      <c r="CS55" s="538"/>
      <c r="CT55" s="538"/>
      <c r="CU55" s="538"/>
      <c r="CV55" s="538"/>
      <c r="CW55" s="538"/>
      <c r="CX55" s="538"/>
      <c r="CY55" s="538"/>
      <c r="CZ55" s="538"/>
      <c r="DA55" s="538"/>
      <c r="DB55" s="538"/>
      <c r="DC55" s="538"/>
      <c r="DD55" s="538"/>
      <c r="DE55" s="538"/>
      <c r="DF55" s="538"/>
      <c r="DG55" s="538"/>
      <c r="DH55" s="538"/>
      <c r="DI55" s="538"/>
      <c r="DJ55" s="84"/>
      <c r="DK55" s="538"/>
      <c r="DL55" s="538"/>
      <c r="DM55" s="538"/>
      <c r="DN55" s="538"/>
      <c r="DO55" s="538"/>
      <c r="DP55" s="538"/>
      <c r="DQ55" s="538"/>
      <c r="DR55" s="538"/>
      <c r="DS55" s="538"/>
      <c r="DT55" s="538"/>
      <c r="DU55" s="538"/>
      <c r="DV55" s="538"/>
      <c r="DW55" s="538"/>
      <c r="DX55" s="538"/>
      <c r="DY55" s="538"/>
      <c r="DZ55" s="538"/>
      <c r="EA55" s="538"/>
      <c r="EB55" s="538"/>
      <c r="EC55" s="538"/>
      <c r="ED55" s="538"/>
      <c r="EE55" s="538"/>
      <c r="EF55" s="538"/>
      <c r="EG55" s="538"/>
      <c r="EH55" s="538"/>
      <c r="EI55" s="538"/>
      <c r="EJ55" s="538"/>
      <c r="EK55" s="538"/>
      <c r="EL55" s="538"/>
      <c r="EM55" s="538"/>
      <c r="EN55" s="538"/>
      <c r="EO55" s="538"/>
      <c r="EP55" s="538"/>
      <c r="EQ55" s="538"/>
      <c r="ER55" s="538"/>
      <c r="ES55" s="538"/>
      <c r="ET55" s="538"/>
      <c r="EU55" s="538"/>
      <c r="EV55" s="538"/>
      <c r="EW55" s="538"/>
      <c r="EX55" s="559"/>
      <c r="EY55" s="559"/>
      <c r="EZ55" s="559"/>
      <c r="FA55" s="559"/>
      <c r="FB55" s="559"/>
      <c r="FC55" s="559"/>
      <c r="FD55" s="559"/>
      <c r="FE55" s="559"/>
      <c r="FF55" s="559"/>
      <c r="FG55" s="559"/>
      <c r="FH55" s="559"/>
      <c r="FI55" s="559"/>
      <c r="FJ55" s="559"/>
      <c r="FK55" s="559"/>
      <c r="FL55" s="559"/>
      <c r="FM55" s="559"/>
      <c r="FN55" s="559"/>
      <c r="FO55" s="559"/>
      <c r="FP55" s="559"/>
      <c r="FQ55" s="559"/>
      <c r="FR55" s="559"/>
      <c r="FS55" s="559"/>
      <c r="FT55" s="559"/>
      <c r="FU55" s="559"/>
      <c r="FV55" s="559"/>
      <c r="FW55" s="559"/>
      <c r="FX55" s="559"/>
      <c r="FY55" s="559"/>
      <c r="FZ55" s="559"/>
      <c r="GA55" s="559"/>
      <c r="GB55" s="559"/>
      <c r="GC55" s="559"/>
      <c r="GD55" s="559"/>
      <c r="GE55" s="559"/>
      <c r="GF55" s="559"/>
      <c r="GG55" s="559"/>
      <c r="GH55" s="559"/>
    </row>
    <row r="56">
      <c r="A56" s="538"/>
      <c r="B56" s="134"/>
      <c r="C56" s="57"/>
      <c r="D56" s="594" t="s">
        <v>316</v>
      </c>
      <c r="E56" s="606" t="s">
        <v>420</v>
      </c>
      <c r="F56" s="563">
        <v>4.0</v>
      </c>
      <c r="G56" s="563">
        <v>6.0</v>
      </c>
      <c r="H56" s="564"/>
      <c r="I56" s="622" t="s">
        <v>365</v>
      </c>
      <c r="J56" s="566"/>
      <c r="K56" s="567">
        <v>2.0</v>
      </c>
      <c r="L56" s="568">
        <v>3.0</v>
      </c>
      <c r="M56" s="626"/>
      <c r="N56" s="619"/>
      <c r="O56" s="623"/>
      <c r="P56" s="47"/>
      <c r="Q56" s="47"/>
      <c r="R56" s="47"/>
      <c r="S56" s="572"/>
      <c r="T56" s="572"/>
      <c r="U56" s="573"/>
      <c r="V56" s="574"/>
      <c r="W56" s="618"/>
      <c r="X56" s="576">
        <v>0.0</v>
      </c>
      <c r="Y56" s="630" t="e">
        <v>#VALUE!</v>
      </c>
      <c r="Z56" s="630">
        <v>24.0</v>
      </c>
      <c r="AA56" s="631" t="b">
        <v>0</v>
      </c>
      <c r="AB56" s="631"/>
      <c r="AC56" s="576"/>
      <c r="AD56" s="479">
        <v>4.0</v>
      </c>
      <c r="AE56" s="632"/>
      <c r="AF56" s="582" t="s">
        <v>421</v>
      </c>
      <c r="AG56" s="583">
        <v>8.0</v>
      </c>
      <c r="AH56" s="584" t="s">
        <v>462</v>
      </c>
      <c r="AI56" s="583">
        <v>0.0</v>
      </c>
      <c r="AJ56" s="585">
        <v>9.5</v>
      </c>
      <c r="AK56" s="583">
        <v>7.0</v>
      </c>
      <c r="AL56" s="584" t="s">
        <v>463</v>
      </c>
      <c r="AM56" s="583">
        <v>3.0</v>
      </c>
      <c r="AN56" s="585">
        <v>7.0</v>
      </c>
      <c r="AO56" s="583">
        <v>12.0</v>
      </c>
      <c r="AP56" s="584" t="s">
        <v>464</v>
      </c>
      <c r="AQ56" s="583"/>
      <c r="AR56" s="585"/>
      <c r="AS56" s="583">
        <v>7.0</v>
      </c>
      <c r="AT56" s="584" t="s">
        <v>465</v>
      </c>
      <c r="AU56" s="583"/>
      <c r="AV56" s="585"/>
      <c r="AW56" s="583"/>
      <c r="AX56" s="584"/>
      <c r="AY56" s="583"/>
      <c r="AZ56" s="585"/>
      <c r="BA56" s="583"/>
      <c r="BB56" s="584"/>
      <c r="BC56" s="583"/>
      <c r="BD56" s="585"/>
      <c r="BE56" s="583"/>
      <c r="BF56" s="584"/>
      <c r="BG56" s="583"/>
      <c r="BH56" s="585"/>
      <c r="BI56" s="583"/>
      <c r="BJ56" s="584"/>
      <c r="BK56" s="583"/>
      <c r="BL56" s="585"/>
      <c r="BM56" s="583"/>
      <c r="BN56" s="584"/>
      <c r="BO56" s="583"/>
      <c r="BP56" s="585"/>
      <c r="BQ56" s="583"/>
      <c r="BR56" s="584"/>
      <c r="BS56" s="583"/>
      <c r="BT56" s="586"/>
      <c r="BU56" s="540"/>
      <c r="BV56" s="540"/>
      <c r="BW56" s="540"/>
      <c r="BX56" s="538"/>
      <c r="BY56" s="538"/>
      <c r="BZ56" s="592"/>
      <c r="CA56" s="633"/>
      <c r="CB56" s="592" t="s">
        <v>365</v>
      </c>
      <c r="CC56" s="592">
        <v>34.0</v>
      </c>
      <c r="CD56" s="592">
        <v>0.75</v>
      </c>
      <c r="CE56" s="592" t="e">
        <v>#VALUE!</v>
      </c>
      <c r="CF56" s="592"/>
      <c r="CG56" s="592">
        <v>0.34</v>
      </c>
      <c r="CH56" s="592"/>
      <c r="CI56" s="633"/>
      <c r="CJ56" s="592">
        <v>2.4000000000000004</v>
      </c>
      <c r="CK56" s="479">
        <v>4.125</v>
      </c>
      <c r="CL56" s="592"/>
      <c r="CM56" s="593"/>
      <c r="CN56" s="538"/>
      <c r="CO56" s="538"/>
      <c r="CP56" s="538"/>
      <c r="CQ56" s="538"/>
      <c r="CR56" s="538"/>
      <c r="CS56" s="538"/>
      <c r="CT56" s="538"/>
      <c r="CU56" s="538"/>
      <c r="CV56" s="538"/>
      <c r="CW56" s="538"/>
      <c r="CX56" s="538"/>
      <c r="CY56" s="538"/>
      <c r="CZ56" s="538"/>
      <c r="DA56" s="538"/>
      <c r="DB56" s="538"/>
      <c r="DC56" s="538"/>
      <c r="DD56" s="538"/>
      <c r="DE56" s="538"/>
      <c r="DF56" s="538"/>
      <c r="DG56" s="538"/>
      <c r="DH56" s="538"/>
      <c r="DI56" s="538"/>
      <c r="DJ56" s="84"/>
      <c r="DK56" s="538"/>
      <c r="DL56" s="538"/>
      <c r="DM56" s="538"/>
      <c r="DN56" s="538"/>
      <c r="DO56" s="538"/>
      <c r="DP56" s="538"/>
      <c r="DQ56" s="538"/>
      <c r="DR56" s="538"/>
      <c r="DS56" s="538"/>
      <c r="DT56" s="538"/>
      <c r="DU56" s="538"/>
      <c r="DV56" s="538"/>
      <c r="DW56" s="538"/>
      <c r="DX56" s="538"/>
      <c r="DY56" s="538"/>
      <c r="DZ56" s="538"/>
      <c r="EA56" s="538"/>
      <c r="EB56" s="538"/>
      <c r="EC56" s="538"/>
      <c r="ED56" s="538"/>
      <c r="EE56" s="538"/>
      <c r="EF56" s="538"/>
      <c r="EG56" s="538"/>
      <c r="EH56" s="538"/>
      <c r="EI56" s="538"/>
      <c r="EJ56" s="538"/>
      <c r="EK56" s="538"/>
      <c r="EL56" s="538"/>
      <c r="EM56" s="538"/>
      <c r="EN56" s="538"/>
      <c r="EO56" s="538"/>
      <c r="EP56" s="538"/>
      <c r="EQ56" s="538"/>
      <c r="ER56" s="538"/>
      <c r="ES56" s="538"/>
      <c r="ET56" s="538"/>
      <c r="EU56" s="538"/>
      <c r="EV56" s="538"/>
      <c r="EW56" s="538"/>
      <c r="EX56" s="559"/>
      <c r="EY56" s="559"/>
      <c r="EZ56" s="559"/>
      <c r="FA56" s="559"/>
      <c r="FB56" s="559"/>
      <c r="FC56" s="559"/>
      <c r="FD56" s="559"/>
      <c r="FE56" s="559"/>
      <c r="FF56" s="559"/>
      <c r="FG56" s="559"/>
      <c r="FH56" s="559"/>
      <c r="FI56" s="559"/>
      <c r="FJ56" s="559"/>
      <c r="FK56" s="559"/>
      <c r="FL56" s="559"/>
      <c r="FM56" s="559"/>
      <c r="FN56" s="559"/>
      <c r="FO56" s="559"/>
      <c r="FP56" s="559"/>
      <c r="FQ56" s="559"/>
      <c r="FR56" s="559"/>
      <c r="FS56" s="559"/>
      <c r="FT56" s="559"/>
      <c r="FU56" s="559"/>
      <c r="FV56" s="559"/>
      <c r="FW56" s="559"/>
      <c r="FX56" s="559"/>
      <c r="FY56" s="559"/>
      <c r="FZ56" s="559"/>
      <c r="GA56" s="559"/>
      <c r="GB56" s="559"/>
      <c r="GC56" s="559"/>
      <c r="GD56" s="559"/>
      <c r="GE56" s="559"/>
      <c r="GF56" s="559"/>
      <c r="GG56" s="559"/>
      <c r="GH56" s="559"/>
    </row>
    <row r="57">
      <c r="A57" s="538"/>
      <c r="B57" s="134"/>
      <c r="C57" s="57"/>
      <c r="D57" s="594" t="s">
        <v>302</v>
      </c>
      <c r="E57" s="595" t="s">
        <v>424</v>
      </c>
      <c r="F57" s="596">
        <v>3.0</v>
      </c>
      <c r="G57" s="596">
        <v>12.0</v>
      </c>
      <c r="H57" s="597"/>
      <c r="I57" s="616" t="s">
        <v>365</v>
      </c>
      <c r="J57" s="599"/>
      <c r="K57" s="600">
        <v>2.0</v>
      </c>
      <c r="L57" s="601">
        <v>3.0</v>
      </c>
      <c r="M57" s="625"/>
      <c r="N57" s="617"/>
      <c r="O57" s="134" t="s">
        <v>425</v>
      </c>
      <c r="P57" s="57"/>
      <c r="Q57" s="57"/>
      <c r="R57" s="57"/>
      <c r="S57" s="605"/>
      <c r="T57" s="605"/>
      <c r="U57" s="573"/>
      <c r="V57" s="574"/>
      <c r="W57" s="618"/>
      <c r="X57" s="576">
        <v>0.0</v>
      </c>
      <c r="Y57" s="630" t="e">
        <v>#VALUE!</v>
      </c>
      <c r="Z57" s="630">
        <v>36.0</v>
      </c>
      <c r="AA57" s="631" t="b">
        <v>0</v>
      </c>
      <c r="AB57" s="631"/>
      <c r="AC57" s="576"/>
      <c r="AD57" s="479">
        <v>1.0</v>
      </c>
      <c r="AE57" s="632"/>
      <c r="AF57" s="582" t="s">
        <v>426</v>
      </c>
      <c r="AG57" s="583">
        <v>7.0</v>
      </c>
      <c r="AH57" s="584" t="s">
        <v>466</v>
      </c>
      <c r="AI57" s="583"/>
      <c r="AJ57" s="585"/>
      <c r="AK57" s="583"/>
      <c r="AL57" s="584" t="s">
        <v>467</v>
      </c>
      <c r="AM57" s="583"/>
      <c r="AN57" s="585"/>
      <c r="AO57" s="583"/>
      <c r="AP57" s="584"/>
      <c r="AQ57" s="583"/>
      <c r="AR57" s="585"/>
      <c r="AS57" s="583"/>
      <c r="AT57" s="584"/>
      <c r="AU57" s="583"/>
      <c r="AV57" s="585"/>
      <c r="AW57" s="583"/>
      <c r="AX57" s="584"/>
      <c r="AY57" s="583"/>
      <c r="AZ57" s="585"/>
      <c r="BA57" s="583"/>
      <c r="BB57" s="584"/>
      <c r="BC57" s="583"/>
      <c r="BD57" s="585"/>
      <c r="BE57" s="583"/>
      <c r="BF57" s="584"/>
      <c r="BG57" s="583"/>
      <c r="BH57" s="585"/>
      <c r="BI57" s="583"/>
      <c r="BJ57" s="584"/>
      <c r="BK57" s="583"/>
      <c r="BL57" s="585"/>
      <c r="BM57" s="583"/>
      <c r="BN57" s="584"/>
      <c r="BO57" s="583"/>
      <c r="BP57" s="585"/>
      <c r="BQ57" s="583"/>
      <c r="BR57" s="584"/>
      <c r="BS57" s="583"/>
      <c r="BT57" s="586"/>
      <c r="BU57" s="540"/>
      <c r="BV57" s="540"/>
      <c r="BW57" s="540"/>
      <c r="BX57" s="538"/>
      <c r="BY57" s="538"/>
      <c r="BZ57" s="592"/>
      <c r="CA57" s="633"/>
      <c r="CB57" s="592" t="s">
        <v>365</v>
      </c>
      <c r="CC57" s="592">
        <v>7.0</v>
      </c>
      <c r="CD57" s="592">
        <v>0.0</v>
      </c>
      <c r="CE57" s="592" t="e">
        <v>#VALUE!</v>
      </c>
      <c r="CF57" s="592"/>
      <c r="CG57" s="592">
        <v>0.07</v>
      </c>
      <c r="CH57" s="592"/>
      <c r="CI57" s="633"/>
      <c r="CJ57" s="592">
        <v>0.0</v>
      </c>
      <c r="CK57" s="479">
        <v>0.0</v>
      </c>
      <c r="CL57" s="592"/>
      <c r="CM57" s="593"/>
      <c r="CN57" s="538"/>
      <c r="CO57" s="538"/>
      <c r="CP57" s="538"/>
      <c r="CQ57" s="538"/>
      <c r="CR57" s="538"/>
      <c r="CS57" s="538"/>
      <c r="CT57" s="538"/>
      <c r="CU57" s="538"/>
      <c r="CV57" s="538"/>
      <c r="CW57" s="538"/>
      <c r="CX57" s="538"/>
      <c r="CY57" s="538"/>
      <c r="CZ57" s="538"/>
      <c r="DA57" s="538"/>
      <c r="DB57" s="538"/>
      <c r="DC57" s="538"/>
      <c r="DD57" s="538"/>
      <c r="DE57" s="538"/>
      <c r="DF57" s="538"/>
      <c r="DG57" s="538"/>
      <c r="DH57" s="538"/>
      <c r="DI57" s="538"/>
      <c r="DJ57" s="84"/>
      <c r="DK57" s="538"/>
      <c r="DL57" s="538"/>
      <c r="DM57" s="538"/>
      <c r="DN57" s="538"/>
      <c r="DO57" s="538"/>
      <c r="DP57" s="538"/>
      <c r="DQ57" s="538"/>
      <c r="DR57" s="538"/>
      <c r="DS57" s="538"/>
      <c r="DT57" s="538"/>
      <c r="DU57" s="538"/>
      <c r="DV57" s="538"/>
      <c r="DW57" s="538"/>
      <c r="DX57" s="538"/>
      <c r="DY57" s="538"/>
      <c r="DZ57" s="538"/>
      <c r="EA57" s="538"/>
      <c r="EB57" s="538"/>
      <c r="EC57" s="538"/>
      <c r="ED57" s="538"/>
      <c r="EE57" s="538"/>
      <c r="EF57" s="538"/>
      <c r="EG57" s="538"/>
      <c r="EH57" s="538"/>
      <c r="EI57" s="538"/>
      <c r="EJ57" s="538"/>
      <c r="EK57" s="538"/>
      <c r="EL57" s="538"/>
      <c r="EM57" s="538"/>
      <c r="EN57" s="538"/>
      <c r="EO57" s="538"/>
      <c r="EP57" s="538"/>
      <c r="EQ57" s="538"/>
      <c r="ER57" s="538"/>
      <c r="ES57" s="538"/>
      <c r="ET57" s="538"/>
      <c r="EU57" s="538"/>
      <c r="EV57" s="538"/>
      <c r="EW57" s="538"/>
      <c r="EX57" s="559"/>
      <c r="EY57" s="559"/>
      <c r="EZ57" s="559"/>
      <c r="FA57" s="559"/>
      <c r="FB57" s="559"/>
      <c r="FC57" s="559"/>
      <c r="FD57" s="559"/>
      <c r="FE57" s="559"/>
      <c r="FF57" s="559"/>
      <c r="FG57" s="559"/>
      <c r="FH57" s="559"/>
      <c r="FI57" s="559"/>
      <c r="FJ57" s="559"/>
      <c r="FK57" s="559"/>
      <c r="FL57" s="559"/>
      <c r="FM57" s="559"/>
      <c r="FN57" s="559"/>
      <c r="FO57" s="559"/>
      <c r="FP57" s="559"/>
      <c r="FQ57" s="559"/>
      <c r="FR57" s="559"/>
      <c r="FS57" s="559"/>
      <c r="FT57" s="559"/>
      <c r="FU57" s="559"/>
      <c r="FV57" s="559"/>
      <c r="FW57" s="559"/>
      <c r="FX57" s="559"/>
      <c r="FY57" s="559"/>
      <c r="FZ57" s="559"/>
      <c r="GA57" s="559"/>
      <c r="GB57" s="559"/>
      <c r="GC57" s="559"/>
      <c r="GD57" s="559"/>
      <c r="GE57" s="559"/>
      <c r="GF57" s="559"/>
      <c r="GG57" s="559"/>
      <c r="GH57" s="559"/>
    </row>
    <row r="58">
      <c r="A58" s="538"/>
      <c r="B58" s="134"/>
      <c r="C58" s="57"/>
      <c r="D58" s="594" t="s">
        <v>301</v>
      </c>
      <c r="E58" s="595" t="s">
        <v>427</v>
      </c>
      <c r="F58" s="596">
        <v>3.0</v>
      </c>
      <c r="G58" s="596">
        <v>10.0</v>
      </c>
      <c r="H58" s="597"/>
      <c r="I58" s="616" t="s">
        <v>365</v>
      </c>
      <c r="J58" s="599"/>
      <c r="K58" s="600">
        <v>1.0</v>
      </c>
      <c r="L58" s="568">
        <v>2.0</v>
      </c>
      <c r="M58" s="626"/>
      <c r="N58" s="619"/>
      <c r="O58" s="623"/>
      <c r="P58" s="47"/>
      <c r="Q58" s="47"/>
      <c r="R58" s="47"/>
      <c r="S58" s="572"/>
      <c r="T58" s="572"/>
      <c r="U58" s="573"/>
      <c r="V58" s="574"/>
      <c r="W58" s="618"/>
      <c r="X58" s="576">
        <v>0.0</v>
      </c>
      <c r="Y58" s="630">
        <v>0.0</v>
      </c>
      <c r="Z58" s="630">
        <v>30.0</v>
      </c>
      <c r="AA58" s="631" t="b">
        <v>0</v>
      </c>
      <c r="AB58" s="631"/>
      <c r="AC58" s="576"/>
      <c r="AD58" s="479">
        <v>0.0</v>
      </c>
      <c r="AE58" s="632"/>
      <c r="AF58" s="582" t="s">
        <v>428</v>
      </c>
      <c r="AG58" s="583"/>
      <c r="AH58" s="584"/>
      <c r="AI58" s="583"/>
      <c r="AJ58" s="585"/>
      <c r="AK58" s="583"/>
      <c r="AL58" s="584"/>
      <c r="AM58" s="583"/>
      <c r="AN58" s="585"/>
      <c r="AO58" s="583"/>
      <c r="AP58" s="584"/>
      <c r="AQ58" s="583"/>
      <c r="AR58" s="585"/>
      <c r="AS58" s="583"/>
      <c r="AT58" s="584"/>
      <c r="AU58" s="583"/>
      <c r="AV58" s="585"/>
      <c r="AW58" s="583"/>
      <c r="AX58" s="584"/>
      <c r="AY58" s="583"/>
      <c r="AZ58" s="585"/>
      <c r="BA58" s="583"/>
      <c r="BB58" s="584"/>
      <c r="BC58" s="583"/>
      <c r="BD58" s="585"/>
      <c r="BE58" s="583"/>
      <c r="BF58" s="584"/>
      <c r="BG58" s="583"/>
      <c r="BH58" s="585"/>
      <c r="BI58" s="583"/>
      <c r="BJ58" s="584"/>
      <c r="BK58" s="583"/>
      <c r="BL58" s="585"/>
      <c r="BM58" s="583"/>
      <c r="BN58" s="584"/>
      <c r="BO58" s="583"/>
      <c r="BP58" s="585"/>
      <c r="BQ58" s="583"/>
      <c r="BR58" s="584"/>
      <c r="BS58" s="583"/>
      <c r="BT58" s="586"/>
      <c r="BU58" s="540"/>
      <c r="BV58" s="540"/>
      <c r="BW58" s="540"/>
      <c r="BX58" s="538"/>
      <c r="BY58" s="538"/>
      <c r="BZ58" s="592"/>
      <c r="CA58" s="633"/>
      <c r="CB58" s="592" t="s">
        <v>365</v>
      </c>
      <c r="CC58" s="592">
        <v>0.0</v>
      </c>
      <c r="CD58" s="592" t="s">
        <v>365</v>
      </c>
      <c r="CE58" s="592">
        <v>0.0</v>
      </c>
      <c r="CF58" s="592"/>
      <c r="CG58" s="592">
        <v>0.0</v>
      </c>
      <c r="CH58" s="592"/>
      <c r="CI58" s="633"/>
      <c r="CJ58" s="592">
        <v>0.0</v>
      </c>
      <c r="CK58" s="479" t="s">
        <v>365</v>
      </c>
      <c r="CL58" s="592"/>
      <c r="CM58" s="593"/>
      <c r="CN58" s="538"/>
      <c r="CO58" s="538"/>
      <c r="CP58" s="538"/>
      <c r="CQ58" s="538"/>
      <c r="CR58" s="538"/>
      <c r="CS58" s="538"/>
      <c r="CT58" s="538"/>
      <c r="CU58" s="538"/>
      <c r="CV58" s="538"/>
      <c r="CW58" s="538"/>
      <c r="CX58" s="538"/>
      <c r="CY58" s="538"/>
      <c r="CZ58" s="538"/>
      <c r="DA58" s="538"/>
      <c r="DB58" s="538"/>
      <c r="DC58" s="538"/>
      <c r="DD58" s="538"/>
      <c r="DE58" s="538"/>
      <c r="DF58" s="538"/>
      <c r="DG58" s="538"/>
      <c r="DH58" s="538"/>
      <c r="DI58" s="538"/>
      <c r="DJ58" s="84"/>
      <c r="DK58" s="538"/>
      <c r="DL58" s="538"/>
      <c r="DM58" s="538"/>
      <c r="DN58" s="538"/>
      <c r="DO58" s="538"/>
      <c r="DP58" s="538"/>
      <c r="DQ58" s="538"/>
      <c r="DR58" s="538"/>
      <c r="DS58" s="538"/>
      <c r="DT58" s="538"/>
      <c r="DU58" s="538"/>
      <c r="DV58" s="538"/>
      <c r="DW58" s="538"/>
      <c r="DX58" s="538"/>
      <c r="DY58" s="538"/>
      <c r="DZ58" s="538"/>
      <c r="EA58" s="538"/>
      <c r="EB58" s="538"/>
      <c r="EC58" s="538"/>
      <c r="ED58" s="538"/>
      <c r="EE58" s="538"/>
      <c r="EF58" s="538"/>
      <c r="EG58" s="538"/>
      <c r="EH58" s="538"/>
      <c r="EI58" s="538"/>
      <c r="EJ58" s="538"/>
      <c r="EK58" s="538"/>
      <c r="EL58" s="538"/>
      <c r="EM58" s="538"/>
      <c r="EN58" s="538"/>
      <c r="EO58" s="538"/>
      <c r="EP58" s="538"/>
      <c r="EQ58" s="538"/>
      <c r="ER58" s="538"/>
      <c r="ES58" s="538"/>
      <c r="ET58" s="538"/>
      <c r="EU58" s="538"/>
      <c r="EV58" s="538"/>
      <c r="EW58" s="538"/>
      <c r="EX58" s="559"/>
      <c r="EY58" s="559"/>
      <c r="EZ58" s="559"/>
      <c r="FA58" s="559"/>
      <c r="FB58" s="559"/>
      <c r="FC58" s="559"/>
      <c r="FD58" s="559"/>
      <c r="FE58" s="559"/>
      <c r="FF58" s="559"/>
      <c r="FG58" s="559"/>
      <c r="FH58" s="559"/>
      <c r="FI58" s="559"/>
      <c r="FJ58" s="559"/>
      <c r="FK58" s="559"/>
      <c r="FL58" s="559"/>
      <c r="FM58" s="559"/>
      <c r="FN58" s="559"/>
      <c r="FO58" s="559"/>
      <c r="FP58" s="559"/>
      <c r="FQ58" s="559"/>
      <c r="FR58" s="559"/>
      <c r="FS58" s="559"/>
      <c r="FT58" s="559"/>
      <c r="FU58" s="559"/>
      <c r="FV58" s="559"/>
      <c r="FW58" s="559"/>
      <c r="FX58" s="559"/>
      <c r="FY58" s="559"/>
      <c r="FZ58" s="559"/>
      <c r="GA58" s="559"/>
      <c r="GB58" s="559"/>
      <c r="GC58" s="559"/>
      <c r="GD58" s="559"/>
      <c r="GE58" s="559"/>
      <c r="GF58" s="559"/>
      <c r="GG58" s="559"/>
      <c r="GH58" s="559"/>
    </row>
    <row r="59">
      <c r="A59" s="538"/>
      <c r="B59" s="134" t="s">
        <v>430</v>
      </c>
      <c r="C59" s="57"/>
      <c r="D59" s="594"/>
      <c r="E59" s="595"/>
      <c r="F59" s="596"/>
      <c r="G59" s="596"/>
      <c r="H59" s="597"/>
      <c r="I59" s="616" t="s">
        <v>365</v>
      </c>
      <c r="J59" s="599"/>
      <c r="K59" s="600"/>
      <c r="L59" s="601"/>
      <c r="M59" s="625"/>
      <c r="N59" s="617"/>
      <c r="O59" s="621"/>
      <c r="P59" s="57"/>
      <c r="Q59" s="57"/>
      <c r="S59" s="605"/>
      <c r="U59" s="573"/>
      <c r="V59" s="574"/>
      <c r="W59" s="618"/>
      <c r="X59" s="576">
        <v>0.0</v>
      </c>
      <c r="Y59" s="630">
        <v>0.0</v>
      </c>
      <c r="Z59" s="630" t="s">
        <v>365</v>
      </c>
      <c r="AA59" s="631" t="b">
        <v>0</v>
      </c>
      <c r="AB59" s="631"/>
      <c r="AC59" s="576"/>
      <c r="AD59" s="479">
        <v>0.0</v>
      </c>
      <c r="AE59" s="632"/>
      <c r="AF59" s="582" t="s">
        <v>365</v>
      </c>
      <c r="AG59" s="583"/>
      <c r="AH59" s="584"/>
      <c r="AI59" s="583"/>
      <c r="AJ59" s="585"/>
      <c r="AK59" s="583"/>
      <c r="AL59" s="584"/>
      <c r="AM59" s="583"/>
      <c r="AN59" s="585"/>
      <c r="AO59" s="583"/>
      <c r="AP59" s="584"/>
      <c r="AQ59" s="583"/>
      <c r="AR59" s="585"/>
      <c r="AS59" s="583"/>
      <c r="AT59" s="584"/>
      <c r="AU59" s="583"/>
      <c r="AV59" s="585"/>
      <c r="AW59" s="583"/>
      <c r="AX59" s="584"/>
      <c r="AY59" s="583"/>
      <c r="AZ59" s="585"/>
      <c r="BA59" s="583"/>
      <c r="BB59" s="584"/>
      <c r="BC59" s="583"/>
      <c r="BD59" s="585"/>
      <c r="BE59" s="583"/>
      <c r="BF59" s="584"/>
      <c r="BG59" s="583"/>
      <c r="BH59" s="585"/>
      <c r="BI59" s="583"/>
      <c r="BJ59" s="584"/>
      <c r="BK59" s="583"/>
      <c r="BL59" s="585"/>
      <c r="BM59" s="583"/>
      <c r="BN59" s="584"/>
      <c r="BO59" s="583"/>
      <c r="BP59" s="585"/>
      <c r="BQ59" s="583"/>
      <c r="BR59" s="584"/>
      <c r="BS59" s="583"/>
      <c r="BT59" s="586"/>
      <c r="BU59" s="540"/>
      <c r="BV59" s="540"/>
      <c r="BW59" s="540"/>
      <c r="BX59" s="538"/>
      <c r="BY59" s="538"/>
      <c r="BZ59" s="592"/>
      <c r="CA59" s="633"/>
      <c r="CB59" s="592" t="s">
        <v>365</v>
      </c>
      <c r="CC59" s="592">
        <v>0.0</v>
      </c>
      <c r="CD59" s="592" t="s">
        <v>365</v>
      </c>
      <c r="CE59" s="592">
        <v>0.0</v>
      </c>
      <c r="CF59" s="592"/>
      <c r="CG59" s="592">
        <v>0.0</v>
      </c>
      <c r="CH59" s="592"/>
      <c r="CI59" s="633"/>
      <c r="CJ59" s="592">
        <v>0.0</v>
      </c>
      <c r="CK59" s="479" t="s">
        <v>365</v>
      </c>
      <c r="CL59" s="592"/>
      <c r="CM59" s="593"/>
      <c r="CN59" s="538"/>
      <c r="CO59" s="538"/>
      <c r="CP59" s="538"/>
      <c r="CQ59" s="538"/>
      <c r="CR59" s="538"/>
      <c r="CS59" s="538"/>
      <c r="CT59" s="538"/>
      <c r="CU59" s="538"/>
      <c r="CV59" s="538"/>
      <c r="CW59" s="538"/>
      <c r="CX59" s="538"/>
      <c r="CY59" s="538"/>
      <c r="CZ59" s="538"/>
      <c r="DA59" s="538"/>
      <c r="DB59" s="538"/>
      <c r="DC59" s="538"/>
      <c r="DD59" s="538"/>
      <c r="DE59" s="538"/>
      <c r="DF59" s="538"/>
      <c r="DG59" s="538"/>
      <c r="DH59" s="538"/>
      <c r="DI59" s="538"/>
      <c r="DJ59" s="84"/>
      <c r="DK59" s="538"/>
      <c r="DL59" s="538"/>
      <c r="DM59" s="538"/>
      <c r="DN59" s="538"/>
      <c r="DO59" s="538"/>
      <c r="DP59" s="538"/>
      <c r="DQ59" s="538"/>
      <c r="DR59" s="538"/>
      <c r="DS59" s="538"/>
      <c r="DT59" s="538"/>
      <c r="DU59" s="538"/>
      <c r="DV59" s="538"/>
      <c r="DW59" s="538"/>
      <c r="DX59" s="538"/>
      <c r="DY59" s="538"/>
      <c r="DZ59" s="538"/>
      <c r="EA59" s="538"/>
      <c r="EB59" s="538"/>
      <c r="EC59" s="538"/>
      <c r="ED59" s="538"/>
      <c r="EE59" s="538"/>
      <c r="EF59" s="538"/>
      <c r="EG59" s="538"/>
      <c r="EH59" s="538"/>
      <c r="EI59" s="538"/>
      <c r="EJ59" s="538"/>
      <c r="EK59" s="538"/>
      <c r="EL59" s="538"/>
      <c r="EM59" s="538"/>
      <c r="EN59" s="538"/>
      <c r="EO59" s="538"/>
      <c r="EP59" s="538"/>
      <c r="EQ59" s="538"/>
      <c r="ER59" s="538"/>
      <c r="ES59" s="538"/>
      <c r="ET59" s="538"/>
      <c r="EU59" s="538"/>
      <c r="EV59" s="538"/>
      <c r="EW59" s="538"/>
      <c r="EX59" s="559"/>
      <c r="EY59" s="559"/>
      <c r="EZ59" s="559"/>
      <c r="FA59" s="559"/>
      <c r="FB59" s="559"/>
      <c r="FC59" s="559"/>
      <c r="FD59" s="559"/>
      <c r="FE59" s="559"/>
      <c r="FF59" s="559"/>
      <c r="FG59" s="559"/>
      <c r="FH59" s="559"/>
      <c r="FI59" s="559"/>
      <c r="FJ59" s="559"/>
      <c r="FK59" s="559"/>
      <c r="FL59" s="559"/>
      <c r="FM59" s="559"/>
      <c r="FN59" s="559"/>
      <c r="FO59" s="559"/>
      <c r="FP59" s="559"/>
      <c r="FQ59" s="559"/>
      <c r="FR59" s="559"/>
      <c r="FS59" s="559"/>
      <c r="FT59" s="559"/>
      <c r="FU59" s="559"/>
      <c r="FV59" s="559"/>
      <c r="FW59" s="559"/>
      <c r="FX59" s="559"/>
      <c r="FY59" s="559"/>
      <c r="FZ59" s="559"/>
      <c r="GA59" s="559"/>
      <c r="GB59" s="559"/>
      <c r="GC59" s="559"/>
      <c r="GD59" s="559"/>
      <c r="GE59" s="559"/>
      <c r="GF59" s="559"/>
      <c r="GG59" s="559"/>
      <c r="GH59" s="559"/>
    </row>
    <row r="60">
      <c r="A60" s="538"/>
      <c r="B60" s="134"/>
      <c r="C60" s="57"/>
      <c r="D60" s="594" t="s">
        <v>266</v>
      </c>
      <c r="E60" s="629" t="s">
        <v>431</v>
      </c>
      <c r="F60" s="563">
        <v>3.0</v>
      </c>
      <c r="G60" s="563">
        <v>6.0</v>
      </c>
      <c r="H60" s="564"/>
      <c r="I60" s="622">
        <v>0.0</v>
      </c>
      <c r="J60" s="566">
        <v>145.0</v>
      </c>
      <c r="K60" s="567"/>
      <c r="L60" s="568"/>
      <c r="M60" s="626"/>
      <c r="N60" s="619"/>
      <c r="O60" s="623"/>
      <c r="P60" s="47"/>
      <c r="Q60" s="47"/>
      <c r="R60" s="47"/>
      <c r="S60" s="572"/>
      <c r="T60" s="572"/>
      <c r="U60" s="573"/>
      <c r="V60" s="574"/>
      <c r="W60" s="618"/>
      <c r="X60" s="576">
        <v>2610.0</v>
      </c>
      <c r="Y60" s="630">
        <v>2610.0</v>
      </c>
      <c r="Z60" s="630">
        <v>18.0</v>
      </c>
      <c r="AA60" s="631">
        <v>0.8055555555555556</v>
      </c>
      <c r="AB60" s="631"/>
      <c r="AC60" s="576"/>
      <c r="AD60" s="479">
        <v>3.0</v>
      </c>
      <c r="AE60" s="632"/>
      <c r="AF60" s="582" t="s">
        <v>468</v>
      </c>
      <c r="AG60" s="583">
        <v>6.0</v>
      </c>
      <c r="AH60" s="584">
        <v>145.0</v>
      </c>
      <c r="AI60" s="583">
        <v>2.0</v>
      </c>
      <c r="AJ60" s="585">
        <v>8.0</v>
      </c>
      <c r="AK60" s="583">
        <v>6.0</v>
      </c>
      <c r="AL60" s="584">
        <v>145.0</v>
      </c>
      <c r="AM60" s="583">
        <v>2.0</v>
      </c>
      <c r="AN60" s="585">
        <v>8.0</v>
      </c>
      <c r="AO60" s="583">
        <v>6.0</v>
      </c>
      <c r="AP60" s="584">
        <v>145.0</v>
      </c>
      <c r="AQ60" s="583">
        <v>2.0</v>
      </c>
      <c r="AR60" s="585">
        <v>8.0</v>
      </c>
      <c r="AS60" s="583"/>
      <c r="AT60" s="584"/>
      <c r="AU60" s="583"/>
      <c r="AV60" s="585"/>
      <c r="AW60" s="583"/>
      <c r="AX60" s="584"/>
      <c r="AY60" s="583"/>
      <c r="AZ60" s="585"/>
      <c r="BA60" s="583"/>
      <c r="BB60" s="584"/>
      <c r="BC60" s="583"/>
      <c r="BD60" s="585"/>
      <c r="BE60" s="583"/>
      <c r="BF60" s="584"/>
      <c r="BG60" s="583"/>
      <c r="BH60" s="585"/>
      <c r="BI60" s="583"/>
      <c r="BJ60" s="584"/>
      <c r="BK60" s="583"/>
      <c r="BL60" s="585"/>
      <c r="BM60" s="583"/>
      <c r="BN60" s="584"/>
      <c r="BO60" s="583"/>
      <c r="BP60" s="585"/>
      <c r="BQ60" s="583"/>
      <c r="BR60" s="584"/>
      <c r="BS60" s="583"/>
      <c r="BT60" s="586"/>
      <c r="BU60" s="540"/>
      <c r="BV60" s="540"/>
      <c r="BW60" s="540"/>
      <c r="BX60" s="538"/>
      <c r="BY60" s="538"/>
      <c r="BZ60" s="592">
        <v>180.0</v>
      </c>
      <c r="CA60" s="633">
        <v>0.8055555555555556</v>
      </c>
      <c r="CB60" s="592">
        <v>145.0</v>
      </c>
      <c r="CC60" s="592">
        <v>18.0</v>
      </c>
      <c r="CD60" s="592">
        <v>2.0</v>
      </c>
      <c r="CE60" s="592">
        <v>2610.0</v>
      </c>
      <c r="CF60" s="592">
        <v>14.5</v>
      </c>
      <c r="CG60" s="592">
        <v>0.9257142857142858</v>
      </c>
      <c r="CH60" s="592"/>
      <c r="CI60" s="633">
        <v>0.9665055555555556</v>
      </c>
      <c r="CJ60" s="592">
        <v>3.0</v>
      </c>
      <c r="CK60" s="479">
        <v>8.0</v>
      </c>
      <c r="CL60" s="592">
        <v>184.47837150127225</v>
      </c>
      <c r="CM60" s="593">
        <v>173.0310262529833</v>
      </c>
      <c r="CN60" s="538"/>
      <c r="CO60" s="538"/>
      <c r="CP60" s="538"/>
      <c r="CQ60" s="538"/>
      <c r="CR60" s="538"/>
      <c r="CS60" s="538"/>
      <c r="CT60" s="538"/>
      <c r="CU60" s="538"/>
      <c r="CV60" s="538"/>
      <c r="CW60" s="538"/>
      <c r="CX60" s="538"/>
      <c r="CY60" s="538"/>
      <c r="CZ60" s="538"/>
      <c r="DA60" s="538"/>
      <c r="DB60" s="538"/>
      <c r="DC60" s="538"/>
      <c r="DD60" s="538"/>
      <c r="DE60" s="538"/>
      <c r="DF60" s="538"/>
      <c r="DG60" s="538"/>
      <c r="DH60" s="538"/>
      <c r="DI60" s="538"/>
      <c r="DJ60" s="84"/>
      <c r="DK60" s="538"/>
      <c r="DL60" s="538"/>
      <c r="DM60" s="538"/>
      <c r="DN60" s="538"/>
      <c r="DO60" s="538"/>
      <c r="DP60" s="538"/>
      <c r="DQ60" s="538"/>
      <c r="DR60" s="538"/>
      <c r="DS60" s="538"/>
      <c r="DT60" s="538"/>
      <c r="DU60" s="538"/>
      <c r="DV60" s="538"/>
      <c r="DW60" s="538"/>
      <c r="DX60" s="538"/>
      <c r="DY60" s="538"/>
      <c r="DZ60" s="538"/>
      <c r="EA60" s="538"/>
      <c r="EB60" s="538"/>
      <c r="EC60" s="538"/>
      <c r="ED60" s="538"/>
      <c r="EE60" s="538"/>
      <c r="EF60" s="538"/>
      <c r="EG60" s="538"/>
      <c r="EH60" s="538"/>
      <c r="EI60" s="538"/>
      <c r="EJ60" s="538"/>
      <c r="EK60" s="538"/>
      <c r="EL60" s="538"/>
      <c r="EM60" s="538"/>
      <c r="EN60" s="538"/>
      <c r="EO60" s="538"/>
      <c r="EP60" s="538"/>
      <c r="EQ60" s="538"/>
      <c r="ER60" s="538"/>
      <c r="ES60" s="538"/>
      <c r="ET60" s="538"/>
      <c r="EU60" s="538"/>
      <c r="EV60" s="538"/>
      <c r="EW60" s="538"/>
      <c r="EX60" s="559"/>
      <c r="EY60" s="559"/>
      <c r="EZ60" s="559"/>
      <c r="FA60" s="559"/>
      <c r="FB60" s="559"/>
      <c r="FC60" s="559"/>
      <c r="FD60" s="559"/>
      <c r="FE60" s="559"/>
      <c r="FF60" s="559"/>
      <c r="FG60" s="559"/>
      <c r="FH60" s="559"/>
      <c r="FI60" s="559"/>
      <c r="FJ60" s="559"/>
      <c r="FK60" s="559"/>
      <c r="FL60" s="559"/>
      <c r="FM60" s="559"/>
      <c r="FN60" s="559"/>
      <c r="FO60" s="559"/>
      <c r="FP60" s="559"/>
      <c r="FQ60" s="559"/>
      <c r="FR60" s="559"/>
      <c r="FS60" s="559"/>
      <c r="FT60" s="559"/>
      <c r="FU60" s="559"/>
      <c r="FV60" s="559"/>
      <c r="FW60" s="559"/>
      <c r="FX60" s="559"/>
      <c r="FY60" s="559"/>
      <c r="FZ60" s="559"/>
      <c r="GA60" s="559"/>
      <c r="GB60" s="559"/>
      <c r="GC60" s="559"/>
      <c r="GD60" s="559"/>
      <c r="GE60" s="559"/>
      <c r="GF60" s="559"/>
      <c r="GG60" s="559"/>
      <c r="GH60" s="559"/>
    </row>
    <row r="61">
      <c r="A61" s="538"/>
      <c r="B61" s="134"/>
      <c r="C61" s="57"/>
      <c r="D61" s="594" t="s">
        <v>434</v>
      </c>
      <c r="E61" s="562" t="s">
        <v>435</v>
      </c>
      <c r="F61" s="563">
        <v>4.0</v>
      </c>
      <c r="G61" s="563">
        <v>3.0</v>
      </c>
      <c r="H61" s="627"/>
      <c r="I61" s="622">
        <v>0.0</v>
      </c>
      <c r="J61" s="566">
        <v>80.0</v>
      </c>
      <c r="K61" s="567"/>
      <c r="L61" s="601"/>
      <c r="M61" s="625"/>
      <c r="N61" s="617"/>
      <c r="O61" s="621"/>
      <c r="P61" s="57"/>
      <c r="Q61" s="57"/>
      <c r="S61" s="605"/>
      <c r="U61" s="573"/>
      <c r="V61" s="574"/>
      <c r="W61" s="618"/>
      <c r="X61" s="576">
        <v>960.0</v>
      </c>
      <c r="Y61" s="630">
        <v>0.0</v>
      </c>
      <c r="Z61" s="630">
        <v>12.0</v>
      </c>
      <c r="AA61" s="631">
        <v>0.6956521739130435</v>
      </c>
      <c r="AB61" s="631"/>
      <c r="AC61" s="576"/>
      <c r="AD61" s="479">
        <v>1.0</v>
      </c>
      <c r="AE61" s="632"/>
      <c r="AF61" s="582" t="s">
        <v>469</v>
      </c>
      <c r="AG61" s="583"/>
      <c r="AH61" s="584"/>
      <c r="AI61" s="583"/>
      <c r="AJ61" s="585"/>
      <c r="AK61" s="583"/>
      <c r="AL61" s="584"/>
      <c r="AM61" s="583"/>
      <c r="AN61" s="585"/>
      <c r="AO61" s="583">
        <v>7.0</v>
      </c>
      <c r="AP61" s="584"/>
      <c r="AQ61" s="583"/>
      <c r="AR61" s="585"/>
      <c r="AS61" s="583"/>
      <c r="AT61" s="584"/>
      <c r="AU61" s="583"/>
      <c r="AV61" s="585"/>
      <c r="AW61" s="583"/>
      <c r="AX61" s="584"/>
      <c r="AY61" s="583"/>
      <c r="AZ61" s="585"/>
      <c r="BA61" s="583"/>
      <c r="BB61" s="584"/>
      <c r="BC61" s="583"/>
      <c r="BD61" s="585"/>
      <c r="BE61" s="583"/>
      <c r="BF61" s="584"/>
      <c r="BG61" s="583"/>
      <c r="BH61" s="585"/>
      <c r="BI61" s="583"/>
      <c r="BJ61" s="584"/>
      <c r="BK61" s="583"/>
      <c r="BL61" s="585"/>
      <c r="BM61" s="583"/>
      <c r="BN61" s="584"/>
      <c r="BO61" s="583"/>
      <c r="BP61" s="585"/>
      <c r="BQ61" s="583"/>
      <c r="BR61" s="584"/>
      <c r="BS61" s="583"/>
      <c r="BT61" s="586"/>
      <c r="BU61" s="540"/>
      <c r="BV61" s="540"/>
      <c r="BW61" s="540"/>
      <c r="BX61" s="538"/>
      <c r="BY61" s="538"/>
      <c r="BZ61" s="592">
        <v>115.0</v>
      </c>
      <c r="CA61" s="633">
        <v>0.0</v>
      </c>
      <c r="CB61" s="592">
        <v>0.0</v>
      </c>
      <c r="CC61" s="592">
        <v>7.0</v>
      </c>
      <c r="CD61" s="592">
        <v>0.0</v>
      </c>
      <c r="CE61" s="592">
        <v>0.0</v>
      </c>
      <c r="CF61" s="592">
        <v>0.0</v>
      </c>
      <c r="CG61" s="592">
        <v>0.07</v>
      </c>
      <c r="CH61" s="592"/>
      <c r="CI61" s="633">
        <v>0.0</v>
      </c>
      <c r="CJ61" s="592">
        <v>0.0</v>
      </c>
      <c r="CK61" s="479">
        <v>0.0</v>
      </c>
      <c r="CL61" s="592"/>
      <c r="CM61" s="593"/>
      <c r="CN61" s="538"/>
      <c r="CO61" s="538"/>
      <c r="CP61" s="538"/>
      <c r="CQ61" s="538"/>
      <c r="CR61" s="538"/>
      <c r="CS61" s="538"/>
      <c r="CT61" s="538"/>
      <c r="CU61" s="538"/>
      <c r="CV61" s="538"/>
      <c r="CW61" s="538"/>
      <c r="CX61" s="538"/>
      <c r="CY61" s="538"/>
      <c r="CZ61" s="538"/>
      <c r="DA61" s="538"/>
      <c r="DB61" s="538"/>
      <c r="DC61" s="538"/>
      <c r="DD61" s="538"/>
      <c r="DE61" s="538"/>
      <c r="DF61" s="538"/>
      <c r="DG61" s="538"/>
      <c r="DH61" s="538"/>
      <c r="DI61" s="538"/>
      <c r="DJ61" s="84"/>
      <c r="DK61" s="538"/>
      <c r="DL61" s="538"/>
      <c r="DM61" s="538"/>
      <c r="DN61" s="538"/>
      <c r="DO61" s="538"/>
      <c r="DP61" s="538"/>
      <c r="DQ61" s="538"/>
      <c r="DR61" s="538"/>
      <c r="DS61" s="538"/>
      <c r="DT61" s="538"/>
      <c r="DU61" s="538"/>
      <c r="DV61" s="538"/>
      <c r="DW61" s="538"/>
      <c r="DX61" s="538"/>
      <c r="DY61" s="538"/>
      <c r="DZ61" s="538"/>
      <c r="EA61" s="538"/>
      <c r="EB61" s="538"/>
      <c r="EC61" s="538"/>
      <c r="ED61" s="538"/>
      <c r="EE61" s="538"/>
      <c r="EF61" s="538"/>
      <c r="EG61" s="538"/>
      <c r="EH61" s="538"/>
      <c r="EI61" s="538"/>
      <c r="EJ61" s="538"/>
      <c r="EK61" s="538"/>
      <c r="EL61" s="538"/>
      <c r="EM61" s="538"/>
      <c r="EN61" s="538"/>
      <c r="EO61" s="538"/>
      <c r="EP61" s="538"/>
      <c r="EQ61" s="538"/>
      <c r="ER61" s="538"/>
      <c r="ES61" s="538"/>
      <c r="ET61" s="538"/>
      <c r="EU61" s="538"/>
      <c r="EV61" s="538"/>
      <c r="EW61" s="538"/>
      <c r="EX61" s="559"/>
      <c r="EY61" s="559"/>
      <c r="EZ61" s="559"/>
      <c r="FA61" s="559"/>
      <c r="FB61" s="559"/>
      <c r="FC61" s="559"/>
      <c r="FD61" s="559"/>
      <c r="FE61" s="559"/>
      <c r="FF61" s="559"/>
      <c r="FG61" s="559"/>
      <c r="FH61" s="559"/>
      <c r="FI61" s="559"/>
      <c r="FJ61" s="559"/>
      <c r="FK61" s="559"/>
      <c r="FL61" s="559"/>
      <c r="FM61" s="559"/>
      <c r="FN61" s="559"/>
      <c r="FO61" s="559"/>
      <c r="FP61" s="559"/>
      <c r="FQ61" s="559"/>
      <c r="FR61" s="559"/>
      <c r="FS61" s="559"/>
      <c r="FT61" s="559"/>
      <c r="FU61" s="559"/>
      <c r="FV61" s="559"/>
      <c r="FW61" s="559"/>
      <c r="FX61" s="559"/>
      <c r="FY61" s="559"/>
      <c r="FZ61" s="559"/>
      <c r="GA61" s="559"/>
      <c r="GB61" s="559"/>
      <c r="GC61" s="559"/>
      <c r="GD61" s="559"/>
      <c r="GE61" s="559"/>
      <c r="GF61" s="559"/>
      <c r="GG61" s="559"/>
      <c r="GH61" s="559"/>
    </row>
    <row r="62">
      <c r="A62" s="538"/>
      <c r="B62" s="560"/>
      <c r="C62" s="47"/>
      <c r="D62" s="561" t="s">
        <v>270</v>
      </c>
      <c r="E62" s="629" t="s">
        <v>438</v>
      </c>
      <c r="F62" s="596">
        <v>3.0</v>
      </c>
      <c r="G62" s="596">
        <v>6.0</v>
      </c>
      <c r="H62" s="597"/>
      <c r="I62" s="616">
        <v>0.0</v>
      </c>
      <c r="J62" s="599">
        <v>180.0</v>
      </c>
      <c r="K62" s="600"/>
      <c r="L62" s="568"/>
      <c r="M62" s="626"/>
      <c r="N62" s="619"/>
      <c r="O62" s="623"/>
      <c r="P62" s="47"/>
      <c r="Q62" s="47"/>
      <c r="S62" s="572"/>
      <c r="U62" s="573"/>
      <c r="V62" s="574"/>
      <c r="W62" s="618"/>
      <c r="X62" s="576">
        <v>3240.0</v>
      </c>
      <c r="Y62" s="630" t="e">
        <v>#VALUE!</v>
      </c>
      <c r="Z62" s="630">
        <v>18.0</v>
      </c>
      <c r="AA62" s="631">
        <v>0.75</v>
      </c>
      <c r="AB62" s="631"/>
      <c r="AC62" s="576"/>
      <c r="AD62" s="479">
        <v>3.0</v>
      </c>
      <c r="AE62" s="632"/>
      <c r="AF62" s="582" t="s">
        <v>470</v>
      </c>
      <c r="AG62" s="583">
        <v>6.0</v>
      </c>
      <c r="AH62" s="584" t="s">
        <v>471</v>
      </c>
      <c r="AI62" s="583">
        <v>3.0</v>
      </c>
      <c r="AJ62" s="585">
        <v>7.5</v>
      </c>
      <c r="AK62" s="583">
        <v>6.0</v>
      </c>
      <c r="AL62" s="584">
        <v>180.0</v>
      </c>
      <c r="AM62" s="583">
        <v>3.0</v>
      </c>
      <c r="AN62" s="585">
        <v>7.5</v>
      </c>
      <c r="AO62" s="583">
        <v>6.0</v>
      </c>
      <c r="AP62" s="584" t="s">
        <v>472</v>
      </c>
      <c r="AQ62" s="583">
        <v>4.0</v>
      </c>
      <c r="AR62" s="585">
        <v>6.5</v>
      </c>
      <c r="AS62" s="583"/>
      <c r="AT62" s="584"/>
      <c r="AU62" s="583"/>
      <c r="AV62" s="585"/>
      <c r="AW62" s="583"/>
      <c r="AX62" s="584"/>
      <c r="AY62" s="583"/>
      <c r="AZ62" s="585"/>
      <c r="BA62" s="583"/>
      <c r="BB62" s="584"/>
      <c r="BC62" s="583"/>
      <c r="BD62" s="585"/>
      <c r="BE62" s="583"/>
      <c r="BF62" s="584"/>
      <c r="BG62" s="583"/>
      <c r="BH62" s="585"/>
      <c r="BI62" s="583"/>
      <c r="BJ62" s="584"/>
      <c r="BK62" s="583"/>
      <c r="BL62" s="585"/>
      <c r="BM62" s="583"/>
      <c r="BN62" s="584"/>
      <c r="BO62" s="583"/>
      <c r="BP62" s="585"/>
      <c r="BQ62" s="583"/>
      <c r="BR62" s="584"/>
      <c r="BS62" s="583"/>
      <c r="BT62" s="586"/>
      <c r="BU62" s="540"/>
      <c r="BV62" s="540"/>
      <c r="BW62" s="540"/>
      <c r="BX62" s="538"/>
      <c r="BY62" s="538"/>
      <c r="BZ62" s="592">
        <v>240.0</v>
      </c>
      <c r="CA62" s="633"/>
      <c r="CB62" s="592" t="s">
        <v>365</v>
      </c>
      <c r="CC62" s="592">
        <v>18.0</v>
      </c>
      <c r="CD62" s="592">
        <v>3.3333333333333335</v>
      </c>
      <c r="CE62" s="592" t="e">
        <v>#VALUE!</v>
      </c>
      <c r="CF62" s="592"/>
      <c r="CG62" s="592">
        <v>0.18</v>
      </c>
      <c r="CH62" s="592"/>
      <c r="CI62" s="633"/>
      <c r="CJ62" s="592">
        <v>2.2</v>
      </c>
      <c r="CK62" s="479">
        <v>7.166666666666667</v>
      </c>
      <c r="CL62" s="592"/>
      <c r="CM62" s="593"/>
      <c r="CN62" s="538"/>
      <c r="CO62" s="538"/>
      <c r="CP62" s="538"/>
      <c r="CQ62" s="538"/>
      <c r="CR62" s="538"/>
      <c r="CS62" s="538"/>
      <c r="CT62" s="538"/>
      <c r="CU62" s="538"/>
      <c r="CV62" s="538"/>
      <c r="CW62" s="538"/>
      <c r="CX62" s="538"/>
      <c r="CY62" s="538"/>
      <c r="CZ62" s="538"/>
      <c r="DA62" s="538"/>
      <c r="DB62" s="538"/>
      <c r="DC62" s="538"/>
      <c r="DD62" s="538"/>
      <c r="DE62" s="538"/>
      <c r="DF62" s="538"/>
      <c r="DG62" s="538"/>
      <c r="DH62" s="538"/>
      <c r="DI62" s="538"/>
      <c r="DJ62" s="84"/>
      <c r="DK62" s="538"/>
      <c r="DL62" s="538"/>
      <c r="DM62" s="538"/>
      <c r="DN62" s="538"/>
      <c r="DO62" s="538"/>
      <c r="DP62" s="538"/>
      <c r="DQ62" s="538"/>
      <c r="DR62" s="538"/>
      <c r="DS62" s="538"/>
      <c r="DT62" s="538"/>
      <c r="DU62" s="538"/>
      <c r="DV62" s="538"/>
      <c r="DW62" s="538"/>
      <c r="DX62" s="538"/>
      <c r="DY62" s="538"/>
      <c r="DZ62" s="538"/>
      <c r="EA62" s="538"/>
      <c r="EB62" s="538"/>
      <c r="EC62" s="538"/>
      <c r="ED62" s="538"/>
      <c r="EE62" s="538"/>
      <c r="EF62" s="538"/>
      <c r="EG62" s="538"/>
      <c r="EH62" s="538"/>
      <c r="EI62" s="538"/>
      <c r="EJ62" s="538"/>
      <c r="EK62" s="538"/>
      <c r="EL62" s="538"/>
      <c r="EM62" s="538"/>
      <c r="EN62" s="538"/>
      <c r="EO62" s="538"/>
      <c r="EP62" s="538"/>
      <c r="EQ62" s="538"/>
      <c r="ER62" s="538"/>
      <c r="ES62" s="538"/>
      <c r="ET62" s="538"/>
      <c r="EU62" s="538"/>
      <c r="EV62" s="538"/>
      <c r="EW62" s="538"/>
      <c r="EX62" s="559"/>
      <c r="EY62" s="559"/>
      <c r="EZ62" s="559"/>
      <c r="FA62" s="559"/>
      <c r="FB62" s="559"/>
      <c r="FC62" s="559"/>
      <c r="FD62" s="559"/>
      <c r="FE62" s="559"/>
      <c r="FF62" s="559"/>
      <c r="FG62" s="559"/>
      <c r="FH62" s="559"/>
      <c r="FI62" s="559"/>
      <c r="FJ62" s="559"/>
      <c r="FK62" s="559"/>
      <c r="FL62" s="559"/>
      <c r="FM62" s="559"/>
      <c r="FN62" s="559"/>
      <c r="FO62" s="559"/>
      <c r="FP62" s="559"/>
      <c r="FQ62" s="559"/>
      <c r="FR62" s="559"/>
      <c r="FS62" s="559"/>
      <c r="FT62" s="559"/>
      <c r="FU62" s="559"/>
      <c r="FV62" s="559"/>
      <c r="FW62" s="559"/>
      <c r="FX62" s="559"/>
      <c r="FY62" s="559"/>
      <c r="FZ62" s="559"/>
      <c r="GA62" s="559"/>
      <c r="GB62" s="559"/>
      <c r="GC62" s="559"/>
      <c r="GD62" s="559"/>
      <c r="GE62" s="559"/>
      <c r="GF62" s="559"/>
      <c r="GG62" s="559"/>
      <c r="GH62" s="559"/>
    </row>
    <row r="63">
      <c r="A63" s="538"/>
      <c r="B63" s="560"/>
      <c r="C63" s="47"/>
      <c r="D63" s="561" t="s">
        <v>302</v>
      </c>
      <c r="E63" s="595" t="s">
        <v>440</v>
      </c>
      <c r="F63" s="596">
        <v>3.0</v>
      </c>
      <c r="G63" s="596">
        <v>10.0</v>
      </c>
      <c r="H63" s="597"/>
      <c r="I63" s="616" t="s">
        <v>365</v>
      </c>
      <c r="J63" s="599"/>
      <c r="K63" s="600">
        <v>1.0</v>
      </c>
      <c r="L63" s="601">
        <v>2.0</v>
      </c>
      <c r="M63" s="625"/>
      <c r="N63" s="617"/>
      <c r="O63" s="621"/>
      <c r="P63" s="134"/>
      <c r="Q63" s="57"/>
      <c r="S63" s="605"/>
      <c r="U63" s="573"/>
      <c r="V63" s="574"/>
      <c r="W63" s="618"/>
      <c r="X63" s="576">
        <v>0.0</v>
      </c>
      <c r="Y63" s="630" t="e">
        <v>#VALUE!</v>
      </c>
      <c r="Z63" s="630">
        <v>30.0</v>
      </c>
      <c r="AA63" s="631" t="b">
        <v>0</v>
      </c>
      <c r="AB63" s="631"/>
      <c r="AC63" s="576"/>
      <c r="AD63" s="479">
        <v>3.0</v>
      </c>
      <c r="AE63" s="632"/>
      <c r="AF63" s="582" t="s">
        <v>441</v>
      </c>
      <c r="AG63" s="583">
        <v>7.0</v>
      </c>
      <c r="AH63" s="584" t="s">
        <v>473</v>
      </c>
      <c r="AI63" s="583">
        <v>0.0</v>
      </c>
      <c r="AJ63" s="585">
        <v>9.0</v>
      </c>
      <c r="AK63" s="583">
        <v>8.0</v>
      </c>
      <c r="AL63" s="584">
        <v>60.0</v>
      </c>
      <c r="AM63" s="583"/>
      <c r="AN63" s="585"/>
      <c r="AO63" s="610">
        <v>9.0</v>
      </c>
      <c r="AP63" s="634" t="s">
        <v>474</v>
      </c>
      <c r="AQ63" s="635"/>
      <c r="AR63" s="636"/>
      <c r="AS63" s="637"/>
      <c r="AT63" s="638"/>
      <c r="AU63" s="49"/>
      <c r="AV63" s="639"/>
      <c r="AW63" s="583"/>
      <c r="AX63" s="584"/>
      <c r="AY63" s="583"/>
      <c r="AZ63" s="585"/>
      <c r="BA63" s="583"/>
      <c r="BB63" s="584"/>
      <c r="BC63" s="583"/>
      <c r="BD63" s="585"/>
      <c r="BE63" s="583"/>
      <c r="BF63" s="584"/>
      <c r="BG63" s="583"/>
      <c r="BH63" s="585"/>
      <c r="BI63" s="583"/>
      <c r="BJ63" s="584"/>
      <c r="BK63" s="583"/>
      <c r="BL63" s="585"/>
      <c r="BM63" s="583"/>
      <c r="BN63" s="584"/>
      <c r="BO63" s="583"/>
      <c r="BP63" s="585"/>
      <c r="BQ63" s="583"/>
      <c r="BR63" s="584"/>
      <c r="BS63" s="583"/>
      <c r="BT63" s="586"/>
      <c r="BU63" s="540"/>
      <c r="BV63" s="540"/>
      <c r="BW63" s="540"/>
      <c r="BX63" s="538"/>
      <c r="BY63" s="538"/>
      <c r="BZ63" s="592"/>
      <c r="CA63" s="633"/>
      <c r="CB63" s="592" t="s">
        <v>365</v>
      </c>
      <c r="CC63" s="592">
        <v>24.0</v>
      </c>
      <c r="CD63" s="592">
        <v>0.0</v>
      </c>
      <c r="CE63" s="592" t="e">
        <v>#VALUE!</v>
      </c>
      <c r="CF63" s="592"/>
      <c r="CG63" s="592">
        <v>0.24</v>
      </c>
      <c r="CH63" s="592"/>
      <c r="CI63" s="633"/>
      <c r="CJ63" s="592">
        <v>1.6</v>
      </c>
      <c r="CK63" s="479">
        <v>3.0</v>
      </c>
      <c r="CL63" s="592"/>
      <c r="CM63" s="593"/>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84"/>
      <c r="DK63" s="538"/>
      <c r="DL63" s="538"/>
      <c r="DM63" s="538"/>
      <c r="DN63" s="538"/>
      <c r="DO63" s="538"/>
      <c r="DP63" s="538"/>
      <c r="DQ63" s="538"/>
      <c r="DR63" s="538"/>
      <c r="DS63" s="538"/>
      <c r="DT63" s="538"/>
      <c r="DU63" s="538"/>
      <c r="DV63" s="538"/>
      <c r="DW63" s="538"/>
      <c r="DX63" s="538"/>
      <c r="DY63" s="538"/>
      <c r="DZ63" s="538"/>
      <c r="EA63" s="538"/>
      <c r="EB63" s="538"/>
      <c r="EC63" s="538"/>
      <c r="ED63" s="538"/>
      <c r="EE63" s="538"/>
      <c r="EF63" s="538"/>
      <c r="EG63" s="538"/>
      <c r="EH63" s="538"/>
      <c r="EI63" s="538"/>
      <c r="EJ63" s="538"/>
      <c r="EK63" s="538"/>
      <c r="EL63" s="538"/>
      <c r="EM63" s="538"/>
      <c r="EN63" s="538"/>
      <c r="EO63" s="538"/>
      <c r="EP63" s="538"/>
      <c r="EQ63" s="538"/>
      <c r="ER63" s="538"/>
      <c r="ES63" s="538"/>
      <c r="ET63" s="538"/>
      <c r="EU63" s="538"/>
      <c r="EV63" s="538"/>
      <c r="EW63" s="538"/>
      <c r="EX63" s="559"/>
      <c r="EY63" s="559"/>
      <c r="EZ63" s="559"/>
      <c r="FA63" s="559"/>
      <c r="FB63" s="559"/>
      <c r="FC63" s="559"/>
      <c r="FD63" s="559"/>
      <c r="FE63" s="559"/>
      <c r="FF63" s="559"/>
      <c r="FG63" s="559"/>
      <c r="FH63" s="559"/>
      <c r="FI63" s="559"/>
      <c r="FJ63" s="559"/>
      <c r="FK63" s="559"/>
      <c r="FL63" s="559"/>
      <c r="FM63" s="559"/>
      <c r="FN63" s="559"/>
      <c r="FO63" s="559"/>
      <c r="FP63" s="559"/>
      <c r="FQ63" s="559"/>
      <c r="FR63" s="559"/>
      <c r="FS63" s="559"/>
      <c r="FT63" s="559"/>
      <c r="FU63" s="559"/>
      <c r="FV63" s="559"/>
      <c r="FW63" s="559"/>
      <c r="FX63" s="559"/>
      <c r="FY63" s="559"/>
      <c r="FZ63" s="559"/>
      <c r="GA63" s="559"/>
      <c r="GB63" s="559"/>
      <c r="GC63" s="559"/>
      <c r="GD63" s="559"/>
      <c r="GE63" s="559"/>
      <c r="GF63" s="559"/>
      <c r="GG63" s="559"/>
      <c r="GH63" s="559"/>
    </row>
    <row r="64">
      <c r="A64" s="538"/>
      <c r="B64" s="134"/>
      <c r="C64" s="57"/>
      <c r="D64" s="594" t="s">
        <v>332</v>
      </c>
      <c r="E64" s="606" t="s">
        <v>442</v>
      </c>
      <c r="F64" s="563">
        <v>3.0</v>
      </c>
      <c r="G64" s="563">
        <v>10.0</v>
      </c>
      <c r="H64" s="564"/>
      <c r="I64" s="622" t="s">
        <v>365</v>
      </c>
      <c r="J64" s="566"/>
      <c r="K64" s="567">
        <v>1.0</v>
      </c>
      <c r="L64" s="568">
        <v>2.0</v>
      </c>
      <c r="M64" s="569"/>
      <c r="N64" s="619"/>
      <c r="O64" s="623"/>
      <c r="P64" s="560"/>
      <c r="Q64" s="47"/>
      <c r="S64" s="572"/>
      <c r="U64" s="573"/>
      <c r="V64" s="574"/>
      <c r="W64" s="618"/>
      <c r="X64" s="576">
        <v>0.0</v>
      </c>
      <c r="Y64" s="630" t="e">
        <v>#VALUE!</v>
      </c>
      <c r="Z64" s="630">
        <v>30.0</v>
      </c>
      <c r="AA64" s="631" t="b">
        <v>0</v>
      </c>
      <c r="AB64" s="631"/>
      <c r="AC64" s="576"/>
      <c r="AD64" s="479">
        <v>6.0</v>
      </c>
      <c r="AE64" s="632"/>
      <c r="AF64" s="582" t="s">
        <v>443</v>
      </c>
      <c r="AG64" s="583">
        <v>11.0</v>
      </c>
      <c r="AH64" s="584" t="s">
        <v>475</v>
      </c>
      <c r="AI64" s="583"/>
      <c r="AJ64" s="585"/>
      <c r="AK64" s="583">
        <v>11.0</v>
      </c>
      <c r="AL64" s="584" t="s">
        <v>476</v>
      </c>
      <c r="AM64" s="583"/>
      <c r="AN64" s="585"/>
      <c r="AO64" s="583">
        <v>10.0</v>
      </c>
      <c r="AP64" s="584" t="s">
        <v>477</v>
      </c>
      <c r="AQ64" s="583"/>
      <c r="AR64" s="585"/>
      <c r="AS64" s="583">
        <v>15.0</v>
      </c>
      <c r="AT64" s="584" t="s">
        <v>478</v>
      </c>
      <c r="AU64" s="583"/>
      <c r="AV64" s="585"/>
      <c r="AW64" s="583">
        <v>10.0</v>
      </c>
      <c r="AX64" s="584" t="s">
        <v>479</v>
      </c>
      <c r="AY64" s="583"/>
      <c r="AZ64" s="585"/>
      <c r="BA64" s="583">
        <v>10.0</v>
      </c>
      <c r="BB64" s="584" t="s">
        <v>480</v>
      </c>
      <c r="BC64" s="583"/>
      <c r="BD64" s="585"/>
      <c r="BE64" s="583"/>
      <c r="BF64" s="584" t="s">
        <v>481</v>
      </c>
      <c r="BG64" s="583"/>
      <c r="BH64" s="585"/>
      <c r="BI64" s="583"/>
      <c r="BJ64" s="584" t="s">
        <v>482</v>
      </c>
      <c r="BK64" s="583"/>
      <c r="BL64" s="585"/>
      <c r="BM64" s="583"/>
      <c r="BN64" s="584"/>
      <c r="BO64" s="583"/>
      <c r="BP64" s="585"/>
      <c r="BQ64" s="583"/>
      <c r="BR64" s="584"/>
      <c r="BS64" s="583"/>
      <c r="BT64" s="586"/>
      <c r="BU64" s="540"/>
      <c r="BV64" s="540"/>
      <c r="BW64" s="540"/>
      <c r="BX64" s="538"/>
      <c r="BY64" s="538"/>
      <c r="BZ64" s="592"/>
      <c r="CA64" s="633"/>
      <c r="CB64" s="592" t="s">
        <v>365</v>
      </c>
      <c r="CC64" s="592">
        <v>67.0</v>
      </c>
      <c r="CD64" s="592">
        <v>0.0</v>
      </c>
      <c r="CE64" s="592" t="e">
        <v>#VALUE!</v>
      </c>
      <c r="CF64" s="592"/>
      <c r="CG64" s="592">
        <v>0.67</v>
      </c>
      <c r="CH64" s="592"/>
      <c r="CI64" s="633"/>
      <c r="CJ64" s="592">
        <v>0.0</v>
      </c>
      <c r="CK64" s="479">
        <v>0.0</v>
      </c>
      <c r="CL64" s="592"/>
      <c r="CM64" s="593"/>
      <c r="CN64" s="538"/>
      <c r="CO64" s="538"/>
      <c r="CP64" s="538"/>
      <c r="CQ64" s="538"/>
      <c r="CR64" s="538"/>
      <c r="CS64" s="538"/>
      <c r="CT64" s="538"/>
      <c r="CU64" s="538"/>
      <c r="CV64" s="538"/>
      <c r="CW64" s="538"/>
      <c r="CX64" s="538"/>
      <c r="CY64" s="538"/>
      <c r="CZ64" s="538"/>
      <c r="DA64" s="538"/>
      <c r="DB64" s="538"/>
      <c r="DC64" s="538"/>
      <c r="DD64" s="538"/>
      <c r="DE64" s="538"/>
      <c r="DF64" s="538"/>
      <c r="DG64" s="538"/>
      <c r="DH64" s="538"/>
      <c r="DI64" s="538"/>
      <c r="DJ64" s="84"/>
      <c r="DK64" s="538"/>
      <c r="DL64" s="538"/>
      <c r="DM64" s="538"/>
      <c r="DN64" s="538"/>
      <c r="DO64" s="538"/>
      <c r="DP64" s="538"/>
      <c r="DQ64" s="538"/>
      <c r="DR64" s="538"/>
      <c r="DS64" s="538"/>
      <c r="DT64" s="538"/>
      <c r="DU64" s="538"/>
      <c r="DV64" s="538"/>
      <c r="DW64" s="538"/>
      <c r="DX64" s="538"/>
      <c r="DY64" s="538"/>
      <c r="DZ64" s="538"/>
      <c r="EA64" s="538"/>
      <c r="EB64" s="538"/>
      <c r="EC64" s="538"/>
      <c r="ED64" s="538"/>
      <c r="EE64" s="538"/>
      <c r="EF64" s="538"/>
      <c r="EG64" s="538"/>
      <c r="EH64" s="538"/>
      <c r="EI64" s="538"/>
      <c r="EJ64" s="538"/>
      <c r="EK64" s="538"/>
      <c r="EL64" s="538"/>
      <c r="EM64" s="538"/>
      <c r="EN64" s="538"/>
      <c r="EO64" s="538"/>
      <c r="EP64" s="538"/>
      <c r="EQ64" s="538"/>
      <c r="ER64" s="538"/>
      <c r="ES64" s="538"/>
      <c r="ET64" s="538"/>
      <c r="EU64" s="538"/>
      <c r="EV64" s="538"/>
      <c r="EW64" s="538"/>
      <c r="EX64" s="559"/>
      <c r="EY64" s="559"/>
      <c r="EZ64" s="559"/>
      <c r="FA64" s="559"/>
      <c r="FB64" s="559"/>
      <c r="FC64" s="559"/>
      <c r="FD64" s="559"/>
      <c r="FE64" s="559"/>
      <c r="FF64" s="559"/>
      <c r="FG64" s="559"/>
      <c r="FH64" s="559"/>
      <c r="FI64" s="559"/>
      <c r="FJ64" s="559"/>
      <c r="FK64" s="559"/>
      <c r="FL64" s="559"/>
      <c r="FM64" s="559"/>
      <c r="FN64" s="559"/>
      <c r="FO64" s="559"/>
      <c r="FP64" s="559"/>
      <c r="FQ64" s="559"/>
      <c r="FR64" s="559"/>
      <c r="FS64" s="559"/>
      <c r="FT64" s="559"/>
      <c r="FU64" s="559"/>
      <c r="FV64" s="559"/>
      <c r="FW64" s="559"/>
      <c r="FX64" s="559"/>
      <c r="FY64" s="559"/>
      <c r="FZ64" s="559"/>
      <c r="GA64" s="559"/>
      <c r="GB64" s="559"/>
      <c r="GC64" s="559"/>
      <c r="GD64" s="559"/>
      <c r="GE64" s="559"/>
      <c r="GF64" s="559"/>
      <c r="GG64" s="559"/>
      <c r="GH64" s="559"/>
    </row>
    <row r="65">
      <c r="A65" s="538"/>
      <c r="B65" s="134" t="s">
        <v>444</v>
      </c>
      <c r="C65" s="57"/>
      <c r="D65" s="594"/>
      <c r="E65" s="595"/>
      <c r="F65" s="596"/>
      <c r="G65" s="596"/>
      <c r="H65" s="615"/>
      <c r="I65" s="616" t="s">
        <v>365</v>
      </c>
      <c r="J65" s="599"/>
      <c r="K65" s="600"/>
      <c r="L65" s="601"/>
      <c r="M65" s="625"/>
      <c r="N65" s="617"/>
      <c r="O65" s="621"/>
      <c r="P65" s="57"/>
      <c r="Q65" s="57"/>
      <c r="R65" s="57"/>
      <c r="S65" s="605"/>
      <c r="T65" s="605"/>
      <c r="U65" s="573"/>
      <c r="V65" s="574"/>
      <c r="W65" s="618"/>
      <c r="X65" s="576">
        <v>0.0</v>
      </c>
      <c r="Y65" s="630">
        <v>0.0</v>
      </c>
      <c r="Z65" s="630" t="s">
        <v>365</v>
      </c>
      <c r="AA65" s="631" t="b">
        <v>0</v>
      </c>
      <c r="AB65" s="631"/>
      <c r="AC65" s="576"/>
      <c r="AD65" s="479">
        <v>0.0</v>
      </c>
      <c r="AE65" s="632"/>
      <c r="AF65" s="582" t="s">
        <v>365</v>
      </c>
      <c r="AG65" s="583"/>
      <c r="AH65" s="584"/>
      <c r="AI65" s="583"/>
      <c r="AJ65" s="585"/>
      <c r="AK65" s="583"/>
      <c r="AL65" s="584"/>
      <c r="AM65" s="583"/>
      <c r="AN65" s="585"/>
      <c r="AO65" s="583"/>
      <c r="AP65" s="584"/>
      <c r="AQ65" s="583"/>
      <c r="AR65" s="585"/>
      <c r="AS65" s="583"/>
      <c r="AT65" s="584"/>
      <c r="AU65" s="583"/>
      <c r="AV65" s="585"/>
      <c r="AW65" s="583"/>
      <c r="AX65" s="584"/>
      <c r="AY65" s="583"/>
      <c r="AZ65" s="585"/>
      <c r="BA65" s="583"/>
      <c r="BB65" s="584"/>
      <c r="BC65" s="583"/>
      <c r="BD65" s="585"/>
      <c r="BE65" s="583"/>
      <c r="BF65" s="584"/>
      <c r="BG65" s="583"/>
      <c r="BH65" s="585"/>
      <c r="BI65" s="583"/>
      <c r="BJ65" s="584"/>
      <c r="BK65" s="583"/>
      <c r="BL65" s="585"/>
      <c r="BM65" s="583"/>
      <c r="BN65" s="584"/>
      <c r="BO65" s="583"/>
      <c r="BP65" s="585"/>
      <c r="BQ65" s="583"/>
      <c r="BR65" s="584"/>
      <c r="BS65" s="583"/>
      <c r="BT65" s="586"/>
      <c r="BU65" s="540"/>
      <c r="BV65" s="540"/>
      <c r="BW65" s="540"/>
      <c r="BX65" s="538"/>
      <c r="BY65" s="538"/>
      <c r="BZ65" s="592"/>
      <c r="CA65" s="633"/>
      <c r="CB65" s="592" t="s">
        <v>365</v>
      </c>
      <c r="CC65" s="592">
        <v>0.0</v>
      </c>
      <c r="CD65" s="592" t="s">
        <v>365</v>
      </c>
      <c r="CE65" s="592">
        <v>0.0</v>
      </c>
      <c r="CF65" s="592"/>
      <c r="CG65" s="592">
        <v>0.0</v>
      </c>
      <c r="CH65" s="592"/>
      <c r="CI65" s="633"/>
      <c r="CJ65" s="592">
        <v>0.0</v>
      </c>
      <c r="CK65" s="479" t="s">
        <v>365</v>
      </c>
      <c r="CL65" s="592"/>
      <c r="CM65" s="593"/>
      <c r="CN65" s="538"/>
      <c r="CO65" s="538"/>
      <c r="CP65" s="538"/>
      <c r="CQ65" s="538"/>
      <c r="CR65" s="538"/>
      <c r="CS65" s="538"/>
      <c r="CT65" s="538"/>
      <c r="CU65" s="538"/>
      <c r="CV65" s="538"/>
      <c r="CW65" s="538"/>
      <c r="CX65" s="538"/>
      <c r="CY65" s="538"/>
      <c r="CZ65" s="538"/>
      <c r="DA65" s="538"/>
      <c r="DB65" s="538"/>
      <c r="DC65" s="538"/>
      <c r="DD65" s="538"/>
      <c r="DE65" s="538"/>
      <c r="DF65" s="538"/>
      <c r="DG65" s="538"/>
      <c r="DH65" s="538"/>
      <c r="DI65" s="538"/>
      <c r="DJ65" s="84"/>
      <c r="DK65" s="538"/>
      <c r="DL65" s="538"/>
      <c r="DM65" s="538"/>
      <c r="DN65" s="538"/>
      <c r="DO65" s="538"/>
      <c r="DP65" s="538"/>
      <c r="DQ65" s="538"/>
      <c r="DR65" s="538"/>
      <c r="DS65" s="538"/>
      <c r="DT65" s="538"/>
      <c r="DU65" s="538"/>
      <c r="DV65" s="538"/>
      <c r="DW65" s="538"/>
      <c r="DX65" s="538"/>
      <c r="DY65" s="538"/>
      <c r="DZ65" s="538"/>
      <c r="EA65" s="538"/>
      <c r="EB65" s="538"/>
      <c r="EC65" s="538"/>
      <c r="ED65" s="538"/>
      <c r="EE65" s="538"/>
      <c r="EF65" s="538"/>
      <c r="EG65" s="538"/>
      <c r="EH65" s="538"/>
      <c r="EI65" s="538"/>
      <c r="EJ65" s="538"/>
      <c r="EK65" s="538"/>
      <c r="EL65" s="538"/>
      <c r="EM65" s="538"/>
      <c r="EN65" s="538"/>
      <c r="EO65" s="538"/>
      <c r="EP65" s="538"/>
      <c r="EQ65" s="538"/>
      <c r="ER65" s="538"/>
      <c r="ES65" s="538"/>
      <c r="ET65" s="538"/>
      <c r="EU65" s="538"/>
      <c r="EV65" s="538"/>
      <c r="EW65" s="538"/>
      <c r="EX65" s="559"/>
      <c r="EY65" s="559"/>
      <c r="EZ65" s="559"/>
      <c r="FA65" s="559"/>
      <c r="FB65" s="559"/>
      <c r="FC65" s="559"/>
      <c r="FD65" s="559"/>
      <c r="FE65" s="559"/>
      <c r="FF65" s="559"/>
      <c r="FG65" s="559"/>
      <c r="FH65" s="559"/>
      <c r="FI65" s="559"/>
      <c r="FJ65" s="559"/>
      <c r="FK65" s="559"/>
      <c r="FL65" s="559"/>
      <c r="FM65" s="559"/>
      <c r="FN65" s="559"/>
      <c r="FO65" s="559"/>
      <c r="FP65" s="559"/>
      <c r="FQ65" s="559"/>
      <c r="FR65" s="559"/>
      <c r="FS65" s="559"/>
      <c r="FT65" s="559"/>
      <c r="FU65" s="559"/>
      <c r="FV65" s="559"/>
      <c r="FW65" s="559"/>
      <c r="FX65" s="559"/>
      <c r="FY65" s="559"/>
      <c r="FZ65" s="559"/>
      <c r="GA65" s="559"/>
      <c r="GB65" s="559"/>
      <c r="GC65" s="559"/>
      <c r="GD65" s="559"/>
      <c r="GE65" s="559"/>
      <c r="GF65" s="559"/>
      <c r="GG65" s="559"/>
      <c r="GH65" s="559"/>
    </row>
    <row r="66">
      <c r="A66" s="538"/>
      <c r="B66" s="134"/>
      <c r="C66" s="57"/>
      <c r="D66" s="594"/>
      <c r="E66" s="606"/>
      <c r="F66" s="563"/>
      <c r="G66" s="563"/>
      <c r="H66" s="627"/>
      <c r="I66" s="622" t="s">
        <v>365</v>
      </c>
      <c r="J66" s="566"/>
      <c r="K66" s="567"/>
      <c r="L66" s="568"/>
      <c r="M66" s="626"/>
      <c r="N66" s="619"/>
      <c r="O66" s="623"/>
      <c r="P66" s="47"/>
      <c r="Q66" s="47"/>
      <c r="S66" s="572"/>
      <c r="U66" s="573"/>
      <c r="V66" s="574"/>
      <c r="W66" s="618"/>
      <c r="X66" s="576">
        <v>0.0</v>
      </c>
      <c r="Y66" s="630">
        <v>0.0</v>
      </c>
      <c r="Z66" s="630" t="s">
        <v>365</v>
      </c>
      <c r="AA66" s="631" t="b">
        <v>0</v>
      </c>
      <c r="AB66" s="631"/>
      <c r="AC66" s="576"/>
      <c r="AD66" s="479">
        <v>0.0</v>
      </c>
      <c r="AE66" s="632"/>
      <c r="AF66" s="582" t="s">
        <v>365</v>
      </c>
      <c r="AG66" s="583"/>
      <c r="AH66" s="584"/>
      <c r="AI66" s="583"/>
      <c r="AJ66" s="585"/>
      <c r="AK66" s="583"/>
      <c r="AL66" s="584"/>
      <c r="AM66" s="583"/>
      <c r="AN66" s="585"/>
      <c r="AO66" s="583"/>
      <c r="AP66" s="584"/>
      <c r="AQ66" s="583"/>
      <c r="AR66" s="585"/>
      <c r="AS66" s="583"/>
      <c r="AT66" s="584"/>
      <c r="AU66" s="583"/>
      <c r="AV66" s="585"/>
      <c r="AW66" s="583"/>
      <c r="AX66" s="584"/>
      <c r="AY66" s="583"/>
      <c r="AZ66" s="585"/>
      <c r="BA66" s="583"/>
      <c r="BB66" s="584"/>
      <c r="BC66" s="583"/>
      <c r="BD66" s="585"/>
      <c r="BE66" s="583"/>
      <c r="BF66" s="584"/>
      <c r="BG66" s="583"/>
      <c r="BH66" s="585"/>
      <c r="BI66" s="583"/>
      <c r="BJ66" s="584"/>
      <c r="BK66" s="583"/>
      <c r="BL66" s="585"/>
      <c r="BM66" s="583"/>
      <c r="BN66" s="584"/>
      <c r="BO66" s="583"/>
      <c r="BP66" s="585"/>
      <c r="BQ66" s="583"/>
      <c r="BR66" s="584"/>
      <c r="BS66" s="583"/>
      <c r="BT66" s="586"/>
      <c r="BU66" s="540"/>
      <c r="BV66" s="540"/>
      <c r="BW66" s="540"/>
      <c r="BX66" s="538"/>
      <c r="BY66" s="538"/>
      <c r="BZ66" s="592"/>
      <c r="CA66" s="633"/>
      <c r="CB66" s="592" t="s">
        <v>365</v>
      </c>
      <c r="CC66" s="592">
        <v>0.0</v>
      </c>
      <c r="CD66" s="592" t="s">
        <v>365</v>
      </c>
      <c r="CE66" s="592">
        <v>0.0</v>
      </c>
      <c r="CF66" s="592"/>
      <c r="CG66" s="592">
        <v>0.0</v>
      </c>
      <c r="CH66" s="592"/>
      <c r="CI66" s="633"/>
      <c r="CJ66" s="592">
        <v>0.0</v>
      </c>
      <c r="CK66" s="479" t="s">
        <v>365</v>
      </c>
      <c r="CL66" s="592"/>
      <c r="CM66" s="593"/>
      <c r="CN66" s="538"/>
      <c r="CO66" s="538"/>
      <c r="CP66" s="538"/>
      <c r="CQ66" s="538"/>
      <c r="CR66" s="538"/>
      <c r="CS66" s="538"/>
      <c r="CT66" s="538"/>
      <c r="CU66" s="538"/>
      <c r="CV66" s="538"/>
      <c r="CW66" s="538"/>
      <c r="CX66" s="538"/>
      <c r="CY66" s="538"/>
      <c r="CZ66" s="538"/>
      <c r="DA66" s="538"/>
      <c r="DB66" s="538"/>
      <c r="DC66" s="538"/>
      <c r="DD66" s="538"/>
      <c r="DE66" s="538"/>
      <c r="DF66" s="538"/>
      <c r="DG66" s="538"/>
      <c r="DH66" s="538"/>
      <c r="DI66" s="538"/>
      <c r="DJ66" s="84"/>
      <c r="DK66" s="538"/>
      <c r="DL66" s="538"/>
      <c r="DM66" s="538"/>
      <c r="DN66" s="538"/>
      <c r="DO66" s="538"/>
      <c r="DP66" s="538"/>
      <c r="DQ66" s="538"/>
      <c r="DR66" s="538"/>
      <c r="DS66" s="538"/>
      <c r="DT66" s="538"/>
      <c r="DU66" s="538"/>
      <c r="DV66" s="538"/>
      <c r="DW66" s="538"/>
      <c r="DX66" s="538"/>
      <c r="DY66" s="538"/>
      <c r="DZ66" s="538"/>
      <c r="EA66" s="538"/>
      <c r="EB66" s="538"/>
      <c r="EC66" s="538"/>
      <c r="ED66" s="538"/>
      <c r="EE66" s="538"/>
      <c r="EF66" s="538"/>
      <c r="EG66" s="538"/>
      <c r="EH66" s="538"/>
      <c r="EI66" s="538"/>
      <c r="EJ66" s="538"/>
      <c r="EK66" s="538"/>
      <c r="EL66" s="538"/>
      <c r="EM66" s="538"/>
      <c r="EN66" s="538"/>
      <c r="EO66" s="538"/>
      <c r="EP66" s="538"/>
      <c r="EQ66" s="538"/>
      <c r="ER66" s="538"/>
      <c r="ES66" s="538"/>
      <c r="ET66" s="538"/>
      <c r="EU66" s="538"/>
      <c r="EV66" s="538"/>
      <c r="EW66" s="538"/>
      <c r="EX66" s="559"/>
      <c r="EY66" s="559"/>
      <c r="EZ66" s="559"/>
      <c r="FA66" s="559"/>
      <c r="FB66" s="559"/>
      <c r="FC66" s="559"/>
      <c r="FD66" s="559"/>
      <c r="FE66" s="559"/>
      <c r="FF66" s="559"/>
      <c r="FG66" s="559"/>
      <c r="FH66" s="559"/>
      <c r="FI66" s="559"/>
      <c r="FJ66" s="559"/>
      <c r="FK66" s="559"/>
      <c r="FL66" s="559"/>
      <c r="FM66" s="559"/>
      <c r="FN66" s="559"/>
      <c r="FO66" s="559"/>
      <c r="FP66" s="559"/>
      <c r="FQ66" s="559"/>
      <c r="FR66" s="559"/>
      <c r="FS66" s="559"/>
      <c r="FT66" s="559"/>
      <c r="FU66" s="559"/>
      <c r="FV66" s="559"/>
      <c r="FW66" s="559"/>
      <c r="FX66" s="559"/>
      <c r="FY66" s="559"/>
      <c r="FZ66" s="559"/>
      <c r="GA66" s="559"/>
      <c r="GB66" s="559"/>
      <c r="GC66" s="559"/>
      <c r="GD66" s="559"/>
      <c r="GE66" s="559"/>
      <c r="GF66" s="559"/>
      <c r="GG66" s="559"/>
      <c r="GH66" s="559"/>
    </row>
    <row r="67">
      <c r="A67" s="538"/>
      <c r="B67" s="560"/>
      <c r="C67" s="47"/>
      <c r="D67" s="561"/>
      <c r="E67" s="606"/>
      <c r="F67" s="563"/>
      <c r="G67" s="563"/>
      <c r="H67" s="627"/>
      <c r="I67" s="622" t="s">
        <v>365</v>
      </c>
      <c r="J67" s="566"/>
      <c r="K67" s="567"/>
      <c r="L67" s="601"/>
      <c r="M67" s="625"/>
      <c r="N67" s="617"/>
      <c r="O67" s="621"/>
      <c r="P67" s="57"/>
      <c r="Q67" s="57"/>
      <c r="R67" s="57"/>
      <c r="S67" s="605"/>
      <c r="T67" s="605"/>
      <c r="U67" s="573"/>
      <c r="V67" s="574"/>
      <c r="W67" s="618"/>
      <c r="X67" s="576">
        <v>0.0</v>
      </c>
      <c r="Y67" s="630">
        <v>0.0</v>
      </c>
      <c r="Z67" s="630" t="s">
        <v>365</v>
      </c>
      <c r="AA67" s="631" t="b">
        <v>0</v>
      </c>
      <c r="AB67" s="631"/>
      <c r="AC67" s="576"/>
      <c r="AD67" s="479">
        <v>0.0</v>
      </c>
      <c r="AE67" s="632"/>
      <c r="AF67" s="582" t="s">
        <v>365</v>
      </c>
      <c r="AG67" s="583"/>
      <c r="AH67" s="584"/>
      <c r="AI67" s="583"/>
      <c r="AJ67" s="585"/>
      <c r="AK67" s="583"/>
      <c r="AL67" s="584"/>
      <c r="AM67" s="583"/>
      <c r="AN67" s="585"/>
      <c r="AO67" s="583"/>
      <c r="AP67" s="584"/>
      <c r="AQ67" s="583"/>
      <c r="AR67" s="585"/>
      <c r="AS67" s="583"/>
      <c r="AT67" s="584"/>
      <c r="AU67" s="583"/>
      <c r="AV67" s="585"/>
      <c r="AW67" s="583"/>
      <c r="AX67" s="584"/>
      <c r="AY67" s="583"/>
      <c r="AZ67" s="585"/>
      <c r="BA67" s="583"/>
      <c r="BB67" s="584"/>
      <c r="BC67" s="583"/>
      <c r="BD67" s="585"/>
      <c r="BE67" s="583"/>
      <c r="BF67" s="584"/>
      <c r="BG67" s="583"/>
      <c r="BH67" s="585"/>
      <c r="BI67" s="583"/>
      <c r="BJ67" s="584"/>
      <c r="BK67" s="583"/>
      <c r="BL67" s="585"/>
      <c r="BM67" s="583"/>
      <c r="BN67" s="584"/>
      <c r="BO67" s="583"/>
      <c r="BP67" s="585"/>
      <c r="BQ67" s="583"/>
      <c r="BR67" s="584"/>
      <c r="BS67" s="583"/>
      <c r="BT67" s="586"/>
      <c r="BU67" s="540"/>
      <c r="BV67" s="540"/>
      <c r="BW67" s="540"/>
      <c r="BX67" s="538"/>
      <c r="BY67" s="538"/>
      <c r="BZ67" s="592"/>
      <c r="CA67" s="633"/>
      <c r="CB67" s="592" t="s">
        <v>365</v>
      </c>
      <c r="CC67" s="592">
        <v>0.0</v>
      </c>
      <c r="CD67" s="592" t="s">
        <v>365</v>
      </c>
      <c r="CE67" s="592">
        <v>0.0</v>
      </c>
      <c r="CF67" s="592"/>
      <c r="CG67" s="592">
        <v>0.0</v>
      </c>
      <c r="CH67" s="592"/>
      <c r="CI67" s="633"/>
      <c r="CJ67" s="592">
        <v>0.0</v>
      </c>
      <c r="CK67" s="479" t="s">
        <v>365</v>
      </c>
      <c r="CL67" s="592"/>
      <c r="CM67" s="593"/>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84"/>
      <c r="DK67" s="538"/>
      <c r="DL67" s="538"/>
      <c r="DM67" s="538"/>
      <c r="DN67" s="538"/>
      <c r="DO67" s="538"/>
      <c r="DP67" s="538"/>
      <c r="DQ67" s="538"/>
      <c r="DR67" s="538"/>
      <c r="DS67" s="538"/>
      <c r="DT67" s="538"/>
      <c r="DU67" s="538"/>
      <c r="DV67" s="538"/>
      <c r="DW67" s="538"/>
      <c r="DX67" s="538"/>
      <c r="DY67" s="538"/>
      <c r="DZ67" s="538"/>
      <c r="EA67" s="538"/>
      <c r="EB67" s="538"/>
      <c r="EC67" s="538"/>
      <c r="ED67" s="538"/>
      <c r="EE67" s="538"/>
      <c r="EF67" s="538"/>
      <c r="EG67" s="538"/>
      <c r="EH67" s="538"/>
      <c r="EI67" s="538"/>
      <c r="EJ67" s="538"/>
      <c r="EK67" s="538"/>
      <c r="EL67" s="538"/>
      <c r="EM67" s="538"/>
      <c r="EN67" s="538"/>
      <c r="EO67" s="538"/>
      <c r="EP67" s="538"/>
      <c r="EQ67" s="538"/>
      <c r="ER67" s="538"/>
      <c r="ES67" s="538"/>
      <c r="ET67" s="538"/>
      <c r="EU67" s="538"/>
      <c r="EV67" s="538"/>
      <c r="EW67" s="538"/>
      <c r="EX67" s="559"/>
      <c r="EY67" s="559"/>
      <c r="EZ67" s="559"/>
      <c r="FA67" s="559"/>
      <c r="FB67" s="559"/>
      <c r="FC67" s="559"/>
      <c r="FD67" s="559"/>
      <c r="FE67" s="559"/>
      <c r="FF67" s="559"/>
      <c r="FG67" s="559"/>
      <c r="FH67" s="559"/>
      <c r="FI67" s="559"/>
      <c r="FJ67" s="559"/>
      <c r="FK67" s="559"/>
      <c r="FL67" s="559"/>
      <c r="FM67" s="559"/>
      <c r="FN67" s="559"/>
      <c r="FO67" s="559"/>
      <c r="FP67" s="559"/>
      <c r="FQ67" s="559"/>
      <c r="FR67" s="559"/>
      <c r="FS67" s="559"/>
      <c r="FT67" s="559"/>
      <c r="FU67" s="559"/>
      <c r="FV67" s="559"/>
      <c r="FW67" s="559"/>
      <c r="FX67" s="559"/>
      <c r="FY67" s="559"/>
      <c r="FZ67" s="559"/>
      <c r="GA67" s="559"/>
      <c r="GB67" s="559"/>
      <c r="GC67" s="559"/>
      <c r="GD67" s="559"/>
      <c r="GE67" s="559"/>
      <c r="GF67" s="559"/>
      <c r="GG67" s="559"/>
      <c r="GH67" s="559"/>
    </row>
    <row r="68">
      <c r="A68" s="538"/>
      <c r="B68" s="134"/>
      <c r="C68" s="57"/>
      <c r="D68" s="594"/>
      <c r="E68" s="595"/>
      <c r="F68" s="596"/>
      <c r="G68" s="596"/>
      <c r="H68" s="597"/>
      <c r="I68" s="616" t="s">
        <v>365</v>
      </c>
      <c r="J68" s="599"/>
      <c r="K68" s="600"/>
      <c r="L68" s="568"/>
      <c r="M68" s="626"/>
      <c r="N68" s="619"/>
      <c r="O68" s="623"/>
      <c r="P68" s="47"/>
      <c r="Q68" s="47"/>
      <c r="S68" s="572"/>
      <c r="U68" s="573"/>
      <c r="V68" s="574"/>
      <c r="W68" s="618"/>
      <c r="X68" s="576">
        <v>0.0</v>
      </c>
      <c r="Y68" s="630">
        <v>0.0</v>
      </c>
      <c r="Z68" s="630" t="s">
        <v>365</v>
      </c>
      <c r="AA68" s="631" t="b">
        <v>0</v>
      </c>
      <c r="AB68" s="631"/>
      <c r="AC68" s="576"/>
      <c r="AD68" s="479">
        <v>0.0</v>
      </c>
      <c r="AE68" s="632"/>
      <c r="AF68" s="582" t="s">
        <v>365</v>
      </c>
      <c r="AG68" s="583"/>
      <c r="AH68" s="584"/>
      <c r="AI68" s="583"/>
      <c r="AJ68" s="585"/>
      <c r="AK68" s="583"/>
      <c r="AL68" s="584"/>
      <c r="AM68" s="583"/>
      <c r="AN68" s="585"/>
      <c r="AO68" s="583"/>
      <c r="AP68" s="584"/>
      <c r="AQ68" s="583"/>
      <c r="AR68" s="585"/>
      <c r="AS68" s="583"/>
      <c r="AT68" s="584"/>
      <c r="AU68" s="583"/>
      <c r="AV68" s="585"/>
      <c r="AW68" s="583"/>
      <c r="AX68" s="584"/>
      <c r="AY68" s="583"/>
      <c r="AZ68" s="585"/>
      <c r="BA68" s="583"/>
      <c r="BB68" s="584"/>
      <c r="BC68" s="583"/>
      <c r="BD68" s="585"/>
      <c r="BE68" s="583"/>
      <c r="BF68" s="584"/>
      <c r="BG68" s="583"/>
      <c r="BH68" s="585"/>
      <c r="BI68" s="583"/>
      <c r="BJ68" s="584"/>
      <c r="BK68" s="583"/>
      <c r="BL68" s="585"/>
      <c r="BM68" s="583"/>
      <c r="BN68" s="584"/>
      <c r="BO68" s="583"/>
      <c r="BP68" s="585"/>
      <c r="BQ68" s="583"/>
      <c r="BR68" s="584"/>
      <c r="BS68" s="583"/>
      <c r="BT68" s="586"/>
      <c r="BU68" s="540"/>
      <c r="BV68" s="540"/>
      <c r="BW68" s="540"/>
      <c r="BX68" s="538"/>
      <c r="BY68" s="538"/>
      <c r="BZ68" s="592"/>
      <c r="CA68" s="633"/>
      <c r="CB68" s="592" t="s">
        <v>365</v>
      </c>
      <c r="CC68" s="592">
        <v>0.0</v>
      </c>
      <c r="CD68" s="592" t="s">
        <v>365</v>
      </c>
      <c r="CE68" s="592">
        <v>0.0</v>
      </c>
      <c r="CF68" s="592"/>
      <c r="CG68" s="592">
        <v>0.0</v>
      </c>
      <c r="CH68" s="592"/>
      <c r="CI68" s="633"/>
      <c r="CJ68" s="592">
        <v>0.0</v>
      </c>
      <c r="CK68" s="479" t="s">
        <v>365</v>
      </c>
      <c r="CL68" s="592"/>
      <c r="CM68" s="593"/>
      <c r="CN68" s="538"/>
      <c r="CO68" s="538"/>
      <c r="CP68" s="538"/>
      <c r="CQ68" s="538"/>
      <c r="CR68" s="538"/>
      <c r="CS68" s="538"/>
      <c r="CT68" s="538"/>
      <c r="CU68" s="538"/>
      <c r="CV68" s="538"/>
      <c r="CW68" s="538"/>
      <c r="CX68" s="538"/>
      <c r="CY68" s="538"/>
      <c r="CZ68" s="538"/>
      <c r="DA68" s="538"/>
      <c r="DB68" s="538"/>
      <c r="DC68" s="538"/>
      <c r="DD68" s="538"/>
      <c r="DE68" s="538"/>
      <c r="DF68" s="538"/>
      <c r="DG68" s="538"/>
      <c r="DH68" s="538"/>
      <c r="DI68" s="538"/>
      <c r="DJ68" s="84"/>
      <c r="DK68" s="538"/>
      <c r="DL68" s="538"/>
      <c r="DM68" s="538"/>
      <c r="DN68" s="538"/>
      <c r="DO68" s="538"/>
      <c r="DP68" s="538"/>
      <c r="DQ68" s="538"/>
      <c r="DR68" s="538"/>
      <c r="DS68" s="538"/>
      <c r="DT68" s="538"/>
      <c r="DU68" s="538"/>
      <c r="DV68" s="538"/>
      <c r="DW68" s="538"/>
      <c r="DX68" s="538"/>
      <c r="DY68" s="538"/>
      <c r="DZ68" s="538"/>
      <c r="EA68" s="538"/>
      <c r="EB68" s="538"/>
      <c r="EC68" s="538"/>
      <c r="ED68" s="538"/>
      <c r="EE68" s="538"/>
      <c r="EF68" s="538"/>
      <c r="EG68" s="538"/>
      <c r="EH68" s="538"/>
      <c r="EI68" s="538"/>
      <c r="EJ68" s="538"/>
      <c r="EK68" s="538"/>
      <c r="EL68" s="538"/>
      <c r="EM68" s="538"/>
      <c r="EN68" s="538"/>
      <c r="EO68" s="538"/>
      <c r="EP68" s="538"/>
      <c r="EQ68" s="538"/>
      <c r="ER68" s="538"/>
      <c r="ES68" s="538"/>
      <c r="ET68" s="538"/>
      <c r="EU68" s="538"/>
      <c r="EV68" s="538"/>
      <c r="EW68" s="538"/>
      <c r="EX68" s="559"/>
      <c r="EY68" s="559"/>
      <c r="EZ68" s="559"/>
      <c r="FA68" s="559"/>
      <c r="FB68" s="559"/>
      <c r="FC68" s="559"/>
      <c r="FD68" s="559"/>
      <c r="FE68" s="559"/>
      <c r="FF68" s="559"/>
      <c r="FG68" s="559"/>
      <c r="FH68" s="559"/>
      <c r="FI68" s="559"/>
      <c r="FJ68" s="559"/>
      <c r="FK68" s="559"/>
      <c r="FL68" s="559"/>
      <c r="FM68" s="559"/>
      <c r="FN68" s="559"/>
      <c r="FO68" s="559"/>
      <c r="FP68" s="559"/>
      <c r="FQ68" s="559"/>
      <c r="FR68" s="559"/>
      <c r="FS68" s="559"/>
      <c r="FT68" s="559"/>
      <c r="FU68" s="559"/>
      <c r="FV68" s="559"/>
      <c r="FW68" s="559"/>
      <c r="FX68" s="559"/>
      <c r="FY68" s="559"/>
      <c r="FZ68" s="559"/>
      <c r="GA68" s="559"/>
      <c r="GB68" s="559"/>
      <c r="GC68" s="559"/>
      <c r="GD68" s="559"/>
      <c r="GE68" s="559"/>
      <c r="GF68" s="559"/>
      <c r="GG68" s="559"/>
      <c r="GH68" s="559"/>
    </row>
    <row r="69">
      <c r="A69" s="538"/>
      <c r="B69" s="560"/>
      <c r="C69" s="47"/>
      <c r="D69" s="561"/>
      <c r="E69" s="606"/>
      <c r="F69" s="563"/>
      <c r="G69" s="563"/>
      <c r="H69" s="564"/>
      <c r="I69" s="622" t="s">
        <v>365</v>
      </c>
      <c r="J69" s="566"/>
      <c r="K69" s="567"/>
      <c r="L69" s="640"/>
      <c r="M69" s="625"/>
      <c r="N69" s="617"/>
      <c r="O69" s="621"/>
      <c r="P69" s="57"/>
      <c r="Q69" s="57"/>
      <c r="S69" s="605"/>
      <c r="U69" s="573"/>
      <c r="V69" s="574"/>
      <c r="W69" s="618"/>
      <c r="X69" s="576">
        <v>0.0</v>
      </c>
      <c r="Y69" s="630">
        <v>0.0</v>
      </c>
      <c r="Z69" s="630" t="s">
        <v>365</v>
      </c>
      <c r="AA69" s="631" t="b">
        <v>0</v>
      </c>
      <c r="AB69" s="631"/>
      <c r="AC69" s="576"/>
      <c r="AD69" s="479">
        <v>0.0</v>
      </c>
      <c r="AE69" s="632"/>
      <c r="AF69" s="582" t="s">
        <v>365</v>
      </c>
      <c r="AG69" s="583"/>
      <c r="AH69" s="584"/>
      <c r="AI69" s="583"/>
      <c r="AJ69" s="585"/>
      <c r="AK69" s="583"/>
      <c r="AL69" s="584"/>
      <c r="AM69" s="583"/>
      <c r="AN69" s="585"/>
      <c r="AO69" s="583"/>
      <c r="AP69" s="584"/>
      <c r="AQ69" s="583"/>
      <c r="AR69" s="585"/>
      <c r="AS69" s="583"/>
      <c r="AT69" s="584"/>
      <c r="AU69" s="583"/>
      <c r="AV69" s="585"/>
      <c r="AW69" s="583"/>
      <c r="AX69" s="584"/>
      <c r="AY69" s="583"/>
      <c r="AZ69" s="585"/>
      <c r="BA69" s="583"/>
      <c r="BB69" s="584"/>
      <c r="BC69" s="583"/>
      <c r="BD69" s="585"/>
      <c r="BE69" s="583"/>
      <c r="BF69" s="584"/>
      <c r="BG69" s="583"/>
      <c r="BH69" s="585"/>
      <c r="BI69" s="583"/>
      <c r="BJ69" s="584"/>
      <c r="BK69" s="583"/>
      <c r="BL69" s="585"/>
      <c r="BM69" s="583"/>
      <c r="BN69" s="584"/>
      <c r="BO69" s="583"/>
      <c r="BP69" s="585"/>
      <c r="BQ69" s="583"/>
      <c r="BR69" s="584"/>
      <c r="BS69" s="583"/>
      <c r="BT69" s="586"/>
      <c r="BU69" s="540"/>
      <c r="BV69" s="540"/>
      <c r="BW69" s="540"/>
      <c r="BX69" s="538"/>
      <c r="BY69" s="538"/>
      <c r="BZ69" s="592"/>
      <c r="CA69" s="633"/>
      <c r="CB69" s="592" t="s">
        <v>365</v>
      </c>
      <c r="CC69" s="592">
        <v>0.0</v>
      </c>
      <c r="CD69" s="592" t="s">
        <v>365</v>
      </c>
      <c r="CE69" s="592">
        <v>0.0</v>
      </c>
      <c r="CF69" s="592"/>
      <c r="CG69" s="592">
        <v>0.0</v>
      </c>
      <c r="CH69" s="592"/>
      <c r="CI69" s="633"/>
      <c r="CJ69" s="592">
        <v>0.0</v>
      </c>
      <c r="CK69" s="479" t="s">
        <v>365</v>
      </c>
      <c r="CL69" s="592"/>
      <c r="CM69" s="593"/>
      <c r="CN69" s="538"/>
      <c r="CO69" s="538"/>
      <c r="CP69" s="538"/>
      <c r="CQ69" s="538"/>
      <c r="CR69" s="538"/>
      <c r="CS69" s="538"/>
      <c r="CT69" s="538"/>
      <c r="CU69" s="538"/>
      <c r="CV69" s="538"/>
      <c r="CW69" s="538"/>
      <c r="CX69" s="538"/>
      <c r="CY69" s="538"/>
      <c r="CZ69" s="538"/>
      <c r="DA69" s="538"/>
      <c r="DB69" s="538"/>
      <c r="DC69" s="538"/>
      <c r="DD69" s="538"/>
      <c r="DE69" s="538"/>
      <c r="DF69" s="538"/>
      <c r="DG69" s="538"/>
      <c r="DH69" s="538"/>
      <c r="DI69" s="538"/>
      <c r="DJ69" s="538"/>
      <c r="DK69" s="538"/>
      <c r="DL69" s="538"/>
      <c r="DM69" s="538"/>
      <c r="DN69" s="538"/>
      <c r="DO69" s="538"/>
      <c r="DP69" s="538"/>
      <c r="DQ69" s="538"/>
      <c r="DR69" s="538"/>
      <c r="DS69" s="538"/>
      <c r="DT69" s="538"/>
      <c r="DU69" s="538"/>
      <c r="DV69" s="538"/>
      <c r="DW69" s="538"/>
      <c r="DX69" s="538"/>
      <c r="DY69" s="538"/>
      <c r="DZ69" s="538"/>
      <c r="EA69" s="538"/>
      <c r="EB69" s="538"/>
      <c r="EC69" s="538"/>
      <c r="ED69" s="538"/>
      <c r="EE69" s="538"/>
      <c r="EF69" s="538"/>
      <c r="EG69" s="538"/>
      <c r="EH69" s="538"/>
      <c r="EI69" s="538"/>
      <c r="EJ69" s="538"/>
      <c r="EK69" s="538"/>
      <c r="EL69" s="538"/>
      <c r="EM69" s="538"/>
      <c r="EN69" s="538"/>
      <c r="EO69" s="538"/>
      <c r="EP69" s="538"/>
      <c r="EQ69" s="538"/>
      <c r="ER69" s="538"/>
      <c r="ES69" s="538"/>
      <c r="ET69" s="538"/>
      <c r="EU69" s="538"/>
      <c r="EV69" s="538"/>
      <c r="EW69" s="538"/>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row>
    <row r="70">
      <c r="A70" s="538"/>
      <c r="B70" s="156"/>
      <c r="C70" s="444"/>
      <c r="D70" s="614"/>
      <c r="E70" s="606"/>
      <c r="F70" s="563"/>
      <c r="G70" s="563"/>
      <c r="H70" s="564"/>
      <c r="I70" s="622" t="s">
        <v>365</v>
      </c>
      <c r="J70" s="607"/>
      <c r="K70" s="567"/>
      <c r="L70" s="568"/>
      <c r="M70" s="626"/>
      <c r="N70" s="619"/>
      <c r="O70" s="623"/>
      <c r="P70" s="47"/>
      <c r="Q70" s="47"/>
      <c r="S70" s="572"/>
      <c r="U70" s="573"/>
      <c r="V70" s="574"/>
      <c r="W70" s="618"/>
      <c r="X70" s="576">
        <v>0.0</v>
      </c>
      <c r="Y70" s="630">
        <v>0.0</v>
      </c>
      <c r="Z70" s="630" t="s">
        <v>365</v>
      </c>
      <c r="AA70" s="631" t="b">
        <v>0</v>
      </c>
      <c r="AB70" s="631"/>
      <c r="AC70" s="576"/>
      <c r="AD70" s="479">
        <v>0.0</v>
      </c>
      <c r="AE70" s="632"/>
      <c r="AF70" s="582" t="s">
        <v>365</v>
      </c>
      <c r="AG70" s="583"/>
      <c r="AH70" s="584"/>
      <c r="AI70" s="583"/>
      <c r="AJ70" s="585"/>
      <c r="AK70" s="583"/>
      <c r="AL70" s="584"/>
      <c r="AM70" s="583"/>
      <c r="AN70" s="585"/>
      <c r="AO70" s="583"/>
      <c r="AP70" s="584"/>
      <c r="AQ70" s="583"/>
      <c r="AR70" s="585"/>
      <c r="AS70" s="583"/>
      <c r="AT70" s="584"/>
      <c r="AU70" s="583"/>
      <c r="AV70" s="585"/>
      <c r="AW70" s="583"/>
      <c r="AX70" s="584"/>
      <c r="AY70" s="583"/>
      <c r="AZ70" s="585"/>
      <c r="BA70" s="583"/>
      <c r="BB70" s="584"/>
      <c r="BC70" s="583"/>
      <c r="BD70" s="585"/>
      <c r="BE70" s="583"/>
      <c r="BF70" s="584"/>
      <c r="BG70" s="583"/>
      <c r="BH70" s="585"/>
      <c r="BI70" s="583"/>
      <c r="BJ70" s="584"/>
      <c r="BK70" s="583"/>
      <c r="BL70" s="585"/>
      <c r="BM70" s="583"/>
      <c r="BN70" s="584"/>
      <c r="BO70" s="583"/>
      <c r="BP70" s="585"/>
      <c r="BQ70" s="583"/>
      <c r="BR70" s="584"/>
      <c r="BS70" s="583"/>
      <c r="BT70" s="586"/>
      <c r="BU70" s="540"/>
      <c r="BV70" s="540"/>
      <c r="BW70" s="540"/>
      <c r="BX70" s="538"/>
      <c r="BY70" s="538"/>
      <c r="BZ70" s="592"/>
      <c r="CA70" s="633"/>
      <c r="CB70" s="592" t="s">
        <v>365</v>
      </c>
      <c r="CC70" s="592">
        <v>0.0</v>
      </c>
      <c r="CD70" s="592" t="s">
        <v>365</v>
      </c>
      <c r="CE70" s="592">
        <v>0.0</v>
      </c>
      <c r="CF70" s="592"/>
      <c r="CG70" s="592">
        <v>0.0</v>
      </c>
      <c r="CH70" s="592"/>
      <c r="CI70" s="633"/>
      <c r="CJ70" s="592">
        <v>0.0</v>
      </c>
      <c r="CK70" s="479" t="s">
        <v>365</v>
      </c>
      <c r="CL70" s="592"/>
      <c r="CM70" s="593"/>
      <c r="CN70" s="538"/>
      <c r="CO70" s="538"/>
      <c r="CP70" s="538"/>
      <c r="CQ70" s="538"/>
      <c r="CR70" s="538"/>
      <c r="CS70" s="538"/>
      <c r="CT70" s="538"/>
      <c r="CU70" s="538"/>
      <c r="CV70" s="538"/>
      <c r="CW70" s="538"/>
      <c r="CX70" s="538"/>
      <c r="CY70" s="538"/>
      <c r="CZ70" s="538"/>
      <c r="DA70" s="538"/>
      <c r="DB70" s="538"/>
      <c r="DC70" s="538"/>
      <c r="DD70" s="538"/>
      <c r="DE70" s="538"/>
      <c r="DF70" s="538"/>
      <c r="DG70" s="538"/>
      <c r="DH70" s="538"/>
      <c r="DI70" s="538"/>
      <c r="DJ70" s="538"/>
      <c r="DK70" s="538"/>
      <c r="DL70" s="538"/>
      <c r="DM70" s="538"/>
      <c r="DN70" s="538"/>
      <c r="DO70" s="538"/>
      <c r="DP70" s="538"/>
      <c r="DQ70" s="538"/>
      <c r="DR70" s="538"/>
      <c r="DS70" s="538"/>
      <c r="DT70" s="538"/>
      <c r="DU70" s="538"/>
      <c r="DV70" s="538"/>
      <c r="DW70" s="538"/>
      <c r="DX70" s="538"/>
      <c r="DY70" s="538"/>
      <c r="DZ70" s="538"/>
      <c r="EA70" s="538"/>
      <c r="EB70" s="538"/>
      <c r="EC70" s="538"/>
      <c r="ED70" s="538"/>
      <c r="EE70" s="538"/>
      <c r="EF70" s="538"/>
      <c r="EG70" s="538"/>
      <c r="EH70" s="538"/>
      <c r="EI70" s="538"/>
      <c r="EJ70" s="538"/>
      <c r="EK70" s="538"/>
      <c r="EL70" s="538"/>
      <c r="EM70" s="538"/>
      <c r="EN70" s="538"/>
      <c r="EO70" s="538"/>
      <c r="EP70" s="538"/>
      <c r="EQ70" s="538"/>
      <c r="ER70" s="538"/>
      <c r="ES70" s="538"/>
      <c r="ET70" s="538"/>
      <c r="EU70" s="538"/>
      <c r="EV70" s="538"/>
      <c r="EW70" s="538"/>
      <c r="EX70" s="559"/>
      <c r="EY70" s="559"/>
      <c r="EZ70" s="559"/>
      <c r="FA70" s="559"/>
      <c r="FB70" s="559"/>
      <c r="FC70" s="559"/>
      <c r="FD70" s="559"/>
      <c r="FE70" s="559"/>
      <c r="FF70" s="559"/>
      <c r="FG70" s="559"/>
      <c r="FH70" s="559"/>
      <c r="FI70" s="559"/>
      <c r="FJ70" s="559"/>
      <c r="FK70" s="559"/>
      <c r="FL70" s="559"/>
      <c r="FM70" s="559"/>
      <c r="FN70" s="559"/>
      <c r="FO70" s="559"/>
      <c r="FP70" s="559"/>
      <c r="FQ70" s="559"/>
      <c r="FR70" s="559"/>
      <c r="FS70" s="559"/>
      <c r="FT70" s="559"/>
      <c r="FU70" s="559"/>
      <c r="FV70" s="559"/>
      <c r="FW70" s="559"/>
      <c r="FX70" s="559"/>
      <c r="FY70" s="559"/>
      <c r="FZ70" s="559"/>
      <c r="GA70" s="559"/>
      <c r="GB70" s="559"/>
      <c r="GC70" s="559"/>
      <c r="GD70" s="559"/>
      <c r="GE70" s="559"/>
      <c r="GF70" s="559"/>
      <c r="GG70" s="559"/>
      <c r="GH70" s="559"/>
    </row>
    <row r="71">
      <c r="A71" s="538"/>
      <c r="B71" s="156"/>
      <c r="C71" s="444"/>
      <c r="D71" s="614"/>
      <c r="E71" s="595"/>
      <c r="F71" s="596"/>
      <c r="G71" s="596"/>
      <c r="H71" s="597"/>
      <c r="I71" s="616" t="s">
        <v>365</v>
      </c>
      <c r="J71" s="624"/>
      <c r="K71" s="600"/>
      <c r="L71" s="640"/>
      <c r="M71" s="625"/>
      <c r="N71" s="617"/>
      <c r="O71" s="621"/>
      <c r="P71" s="57"/>
      <c r="Q71" s="57"/>
      <c r="S71" s="605"/>
      <c r="U71" s="573"/>
      <c r="V71" s="574"/>
      <c r="W71" s="618"/>
      <c r="X71" s="576">
        <v>0.0</v>
      </c>
      <c r="Y71" s="630">
        <v>0.0</v>
      </c>
      <c r="Z71" s="630" t="s">
        <v>365</v>
      </c>
      <c r="AA71" s="631" t="b">
        <v>0</v>
      </c>
      <c r="AB71" s="631"/>
      <c r="AC71" s="576"/>
      <c r="AD71" s="479">
        <v>0.0</v>
      </c>
      <c r="AE71" s="632"/>
      <c r="AF71" s="582" t="s">
        <v>365</v>
      </c>
      <c r="AG71" s="583"/>
      <c r="AH71" s="584"/>
      <c r="AI71" s="583"/>
      <c r="AJ71" s="585"/>
      <c r="AK71" s="583"/>
      <c r="AL71" s="584"/>
      <c r="AM71" s="583"/>
      <c r="AN71" s="585"/>
      <c r="AO71" s="583"/>
      <c r="AP71" s="584"/>
      <c r="AQ71" s="583"/>
      <c r="AR71" s="585"/>
      <c r="AS71" s="583"/>
      <c r="AT71" s="584"/>
      <c r="AU71" s="583"/>
      <c r="AV71" s="585"/>
      <c r="AW71" s="583"/>
      <c r="AX71" s="584"/>
      <c r="AY71" s="583"/>
      <c r="AZ71" s="585"/>
      <c r="BA71" s="583"/>
      <c r="BB71" s="584"/>
      <c r="BC71" s="583"/>
      <c r="BD71" s="585"/>
      <c r="BE71" s="583"/>
      <c r="BF71" s="584"/>
      <c r="BG71" s="583"/>
      <c r="BH71" s="585"/>
      <c r="BI71" s="583"/>
      <c r="BJ71" s="584"/>
      <c r="BK71" s="583"/>
      <c r="BL71" s="585"/>
      <c r="BM71" s="583"/>
      <c r="BN71" s="584"/>
      <c r="BO71" s="583"/>
      <c r="BP71" s="585"/>
      <c r="BQ71" s="583"/>
      <c r="BR71" s="584"/>
      <c r="BS71" s="583"/>
      <c r="BT71" s="586"/>
      <c r="BU71" s="540"/>
      <c r="BV71" s="540"/>
      <c r="BW71" s="540"/>
      <c r="BX71" s="538"/>
      <c r="BY71" s="538"/>
      <c r="BZ71" s="592"/>
      <c r="CA71" s="633"/>
      <c r="CB71" s="592" t="s">
        <v>365</v>
      </c>
      <c r="CC71" s="592">
        <v>0.0</v>
      </c>
      <c r="CD71" s="592" t="s">
        <v>365</v>
      </c>
      <c r="CE71" s="592">
        <v>0.0</v>
      </c>
      <c r="CF71" s="592"/>
      <c r="CG71" s="592">
        <v>0.0</v>
      </c>
      <c r="CH71" s="592"/>
      <c r="CI71" s="633"/>
      <c r="CJ71" s="592">
        <v>0.0</v>
      </c>
      <c r="CK71" s="479" t="s">
        <v>365</v>
      </c>
      <c r="CL71" s="592"/>
      <c r="CM71" s="593"/>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c r="DS71" s="538"/>
      <c r="DT71" s="538"/>
      <c r="DU71" s="538"/>
      <c r="DV71" s="538"/>
      <c r="DW71" s="538"/>
      <c r="DX71" s="538"/>
      <c r="DY71" s="538"/>
      <c r="DZ71" s="538"/>
      <c r="EA71" s="538"/>
      <c r="EB71" s="538"/>
      <c r="EC71" s="538"/>
      <c r="ED71" s="538"/>
      <c r="EE71" s="538"/>
      <c r="EF71" s="538"/>
      <c r="EG71" s="538"/>
      <c r="EH71" s="538"/>
      <c r="EI71" s="538"/>
      <c r="EJ71" s="538"/>
      <c r="EK71" s="538"/>
      <c r="EL71" s="538"/>
      <c r="EM71" s="538"/>
      <c r="EN71" s="538"/>
      <c r="EO71" s="538"/>
      <c r="EP71" s="538"/>
      <c r="EQ71" s="538"/>
      <c r="ER71" s="538"/>
      <c r="ES71" s="538"/>
      <c r="ET71" s="538"/>
      <c r="EU71" s="538"/>
      <c r="EV71" s="538"/>
      <c r="EW71" s="538"/>
      <c r="EX71" s="559"/>
      <c r="EY71" s="559"/>
      <c r="EZ71" s="559"/>
      <c r="FA71" s="559"/>
      <c r="FB71" s="559"/>
      <c r="FC71" s="559"/>
      <c r="FD71" s="559"/>
      <c r="FE71" s="559"/>
      <c r="FF71" s="559"/>
      <c r="FG71" s="559"/>
      <c r="FH71" s="559"/>
      <c r="FI71" s="559"/>
      <c r="FJ71" s="559"/>
      <c r="FK71" s="559"/>
      <c r="FL71" s="559"/>
      <c r="FM71" s="559"/>
      <c r="FN71" s="559"/>
      <c r="FO71" s="559"/>
      <c r="FP71" s="559"/>
      <c r="FQ71" s="559"/>
      <c r="FR71" s="559"/>
      <c r="FS71" s="559"/>
      <c r="FT71" s="559"/>
      <c r="FU71" s="559"/>
      <c r="FV71" s="559"/>
      <c r="FW71" s="559"/>
      <c r="FX71" s="559"/>
      <c r="FY71" s="559"/>
      <c r="FZ71" s="559"/>
      <c r="GA71" s="559"/>
      <c r="GB71" s="559"/>
      <c r="GC71" s="559"/>
      <c r="GD71" s="559"/>
      <c r="GE71" s="559"/>
      <c r="GF71" s="559"/>
      <c r="GG71" s="559"/>
      <c r="GH71" s="559"/>
    </row>
    <row r="72">
      <c r="A72" s="538"/>
      <c r="B72" s="156"/>
      <c r="C72" s="444"/>
      <c r="D72" s="614"/>
      <c r="E72" s="606"/>
      <c r="F72" s="563"/>
      <c r="G72" s="563"/>
      <c r="H72" s="627"/>
      <c r="I72" s="622" t="s">
        <v>365</v>
      </c>
      <c r="J72" s="607"/>
      <c r="K72" s="567"/>
      <c r="L72" s="628"/>
      <c r="M72" s="626"/>
      <c r="N72" s="619"/>
      <c r="O72" s="623"/>
      <c r="P72" s="47"/>
      <c r="Q72" s="47"/>
      <c r="S72" s="572"/>
      <c r="U72" s="573"/>
      <c r="V72" s="574"/>
      <c r="W72" s="618"/>
      <c r="X72" s="576">
        <v>0.0</v>
      </c>
      <c r="Y72" s="630">
        <v>0.0</v>
      </c>
      <c r="Z72" s="630" t="s">
        <v>365</v>
      </c>
      <c r="AA72" s="631" t="b">
        <v>0</v>
      </c>
      <c r="AB72" s="631"/>
      <c r="AC72" s="576"/>
      <c r="AD72" s="479">
        <v>0.0</v>
      </c>
      <c r="AE72" s="632"/>
      <c r="AF72" s="582" t="s">
        <v>365</v>
      </c>
      <c r="AG72" s="583"/>
      <c r="AH72" s="584"/>
      <c r="AI72" s="583"/>
      <c r="AJ72" s="585"/>
      <c r="AK72" s="583"/>
      <c r="AL72" s="584"/>
      <c r="AM72" s="583"/>
      <c r="AN72" s="585"/>
      <c r="AO72" s="583"/>
      <c r="AP72" s="584"/>
      <c r="AQ72" s="583"/>
      <c r="AR72" s="585"/>
      <c r="AS72" s="583"/>
      <c r="AT72" s="584"/>
      <c r="AU72" s="583"/>
      <c r="AV72" s="585"/>
      <c r="AW72" s="583"/>
      <c r="AX72" s="584"/>
      <c r="AY72" s="583"/>
      <c r="AZ72" s="585"/>
      <c r="BA72" s="583"/>
      <c r="BB72" s="584"/>
      <c r="BC72" s="583"/>
      <c r="BD72" s="585"/>
      <c r="BE72" s="583"/>
      <c r="BF72" s="584"/>
      <c r="BG72" s="583"/>
      <c r="BH72" s="585"/>
      <c r="BI72" s="583"/>
      <c r="BJ72" s="584"/>
      <c r="BK72" s="583"/>
      <c r="BL72" s="585"/>
      <c r="BM72" s="583"/>
      <c r="BN72" s="584"/>
      <c r="BO72" s="583"/>
      <c r="BP72" s="585"/>
      <c r="BQ72" s="583"/>
      <c r="BR72" s="584"/>
      <c r="BS72" s="583"/>
      <c r="BT72" s="586"/>
      <c r="BU72" s="540"/>
      <c r="BV72" s="540"/>
      <c r="BW72" s="540"/>
      <c r="BX72" s="538"/>
      <c r="BY72" s="538"/>
      <c r="BZ72" s="592"/>
      <c r="CA72" s="633"/>
      <c r="CB72" s="592" t="s">
        <v>365</v>
      </c>
      <c r="CC72" s="592">
        <v>0.0</v>
      </c>
      <c r="CD72" s="592" t="s">
        <v>365</v>
      </c>
      <c r="CE72" s="592">
        <v>0.0</v>
      </c>
      <c r="CF72" s="592"/>
      <c r="CG72" s="592">
        <v>0.0</v>
      </c>
      <c r="CH72" s="592"/>
      <c r="CI72" s="633"/>
      <c r="CJ72" s="592">
        <v>0.0</v>
      </c>
      <c r="CK72" s="479" t="s">
        <v>365</v>
      </c>
      <c r="CL72" s="592"/>
      <c r="CM72" s="593"/>
      <c r="CN72" s="538"/>
      <c r="CO72" s="538"/>
      <c r="CP72" s="538"/>
      <c r="CQ72" s="538"/>
      <c r="CR72" s="538"/>
      <c r="CS72" s="538"/>
      <c r="CT72" s="538"/>
      <c r="CU72" s="538"/>
      <c r="CV72" s="538"/>
      <c r="CW72" s="538"/>
      <c r="CX72" s="538"/>
      <c r="CY72" s="538"/>
      <c r="CZ72" s="538"/>
      <c r="DA72" s="538"/>
      <c r="DB72" s="538"/>
      <c r="DC72" s="538"/>
      <c r="DD72" s="538"/>
      <c r="DE72" s="538"/>
      <c r="DF72" s="538"/>
      <c r="DG72" s="538"/>
      <c r="DH72" s="538"/>
      <c r="DI72" s="538"/>
      <c r="DJ72" s="538"/>
      <c r="DK72" s="538"/>
      <c r="DL72" s="538"/>
      <c r="DM72" s="538"/>
      <c r="DN72" s="538"/>
      <c r="DO72" s="538"/>
      <c r="DP72" s="538"/>
      <c r="DQ72" s="538"/>
      <c r="DR72" s="538"/>
      <c r="DS72" s="538"/>
      <c r="DT72" s="538"/>
      <c r="DU72" s="538"/>
      <c r="DV72" s="538"/>
      <c r="DW72" s="538"/>
      <c r="DX72" s="538"/>
      <c r="DY72" s="538"/>
      <c r="DZ72" s="538"/>
      <c r="EA72" s="538"/>
      <c r="EB72" s="538"/>
      <c r="EC72" s="538"/>
      <c r="ED72" s="538"/>
      <c r="EE72" s="538"/>
      <c r="EF72" s="538"/>
      <c r="EG72" s="538"/>
      <c r="EH72" s="538"/>
      <c r="EI72" s="538"/>
      <c r="EJ72" s="538"/>
      <c r="EK72" s="538"/>
      <c r="EL72" s="538"/>
      <c r="EM72" s="538"/>
      <c r="EN72" s="538"/>
      <c r="EO72" s="538"/>
      <c r="EP72" s="538"/>
      <c r="EQ72" s="538"/>
      <c r="ER72" s="538"/>
      <c r="ES72" s="538"/>
      <c r="ET72" s="538"/>
      <c r="EU72" s="538"/>
      <c r="EV72" s="538"/>
      <c r="EW72" s="538"/>
      <c r="EX72" s="559"/>
      <c r="EY72" s="559"/>
      <c r="EZ72" s="559"/>
      <c r="FA72" s="559"/>
      <c r="FB72" s="559"/>
      <c r="FC72" s="559"/>
      <c r="FD72" s="559"/>
      <c r="FE72" s="559"/>
      <c r="FF72" s="559"/>
      <c r="FG72" s="559"/>
      <c r="FH72" s="559"/>
      <c r="FI72" s="559"/>
      <c r="FJ72" s="559"/>
      <c r="FK72" s="559"/>
      <c r="FL72" s="559"/>
      <c r="FM72" s="559"/>
      <c r="FN72" s="559"/>
      <c r="FO72" s="559"/>
      <c r="FP72" s="559"/>
      <c r="FQ72" s="559"/>
      <c r="FR72" s="559"/>
      <c r="FS72" s="559"/>
      <c r="FT72" s="559"/>
      <c r="FU72" s="559"/>
      <c r="FV72" s="559"/>
      <c r="FW72" s="559"/>
      <c r="FX72" s="559"/>
      <c r="FY72" s="559"/>
      <c r="FZ72" s="559"/>
      <c r="GA72" s="559"/>
      <c r="GB72" s="559"/>
      <c r="GC72" s="559"/>
      <c r="GD72" s="559"/>
      <c r="GE72" s="559"/>
      <c r="GF72" s="559"/>
      <c r="GG72" s="559"/>
      <c r="GH72" s="559"/>
    </row>
    <row r="73">
      <c r="A73" s="538"/>
      <c r="B73" s="156"/>
      <c r="C73" s="444"/>
      <c r="D73" s="614"/>
      <c r="E73" s="595"/>
      <c r="F73" s="596"/>
      <c r="G73" s="596"/>
      <c r="H73" s="615"/>
      <c r="I73" s="616" t="s">
        <v>365</v>
      </c>
      <c r="J73" s="624"/>
      <c r="K73" s="600"/>
      <c r="L73" s="640"/>
      <c r="M73" s="625"/>
      <c r="N73" s="617"/>
      <c r="O73" s="621"/>
      <c r="P73" s="57"/>
      <c r="Q73" s="57"/>
      <c r="S73" s="605"/>
      <c r="U73" s="573"/>
      <c r="V73" s="574"/>
      <c r="W73" s="618"/>
      <c r="X73" s="576">
        <v>0.0</v>
      </c>
      <c r="Y73" s="630">
        <v>0.0</v>
      </c>
      <c r="Z73" s="630" t="s">
        <v>365</v>
      </c>
      <c r="AA73" s="631" t="b">
        <v>0</v>
      </c>
      <c r="AB73" s="631"/>
      <c r="AC73" s="576"/>
      <c r="AD73" s="479">
        <v>0.0</v>
      </c>
      <c r="AE73" s="632"/>
      <c r="AF73" s="582" t="s">
        <v>365</v>
      </c>
      <c r="AG73" s="583"/>
      <c r="AH73" s="584"/>
      <c r="AI73" s="583"/>
      <c r="AJ73" s="585"/>
      <c r="AK73" s="583"/>
      <c r="AL73" s="584"/>
      <c r="AM73" s="583"/>
      <c r="AN73" s="585"/>
      <c r="AO73" s="583"/>
      <c r="AP73" s="584"/>
      <c r="AQ73" s="583"/>
      <c r="AR73" s="585"/>
      <c r="AS73" s="583"/>
      <c r="AT73" s="584"/>
      <c r="AU73" s="583"/>
      <c r="AV73" s="585"/>
      <c r="AW73" s="583"/>
      <c r="AX73" s="584"/>
      <c r="AY73" s="583"/>
      <c r="AZ73" s="585"/>
      <c r="BA73" s="583"/>
      <c r="BB73" s="584"/>
      <c r="BC73" s="583"/>
      <c r="BD73" s="585"/>
      <c r="BE73" s="583"/>
      <c r="BF73" s="584"/>
      <c r="BG73" s="583"/>
      <c r="BH73" s="585"/>
      <c r="BI73" s="583"/>
      <c r="BJ73" s="584"/>
      <c r="BK73" s="583"/>
      <c r="BL73" s="585"/>
      <c r="BM73" s="583"/>
      <c r="BN73" s="584"/>
      <c r="BO73" s="583"/>
      <c r="BP73" s="585"/>
      <c r="BQ73" s="583"/>
      <c r="BR73" s="584"/>
      <c r="BS73" s="583"/>
      <c r="BT73" s="586"/>
      <c r="BU73" s="540"/>
      <c r="BV73" s="540"/>
      <c r="BW73" s="540"/>
      <c r="BX73" s="538"/>
      <c r="BY73" s="538"/>
      <c r="BZ73" s="592"/>
      <c r="CA73" s="633"/>
      <c r="CB73" s="592" t="s">
        <v>365</v>
      </c>
      <c r="CC73" s="592">
        <v>0.0</v>
      </c>
      <c r="CD73" s="592" t="s">
        <v>365</v>
      </c>
      <c r="CE73" s="592">
        <v>0.0</v>
      </c>
      <c r="CF73" s="592"/>
      <c r="CG73" s="592">
        <v>0.0</v>
      </c>
      <c r="CH73" s="592"/>
      <c r="CI73" s="633"/>
      <c r="CJ73" s="592">
        <v>0.0</v>
      </c>
      <c r="CK73" s="479" t="s">
        <v>365</v>
      </c>
      <c r="CL73" s="592"/>
      <c r="CM73" s="593"/>
      <c r="CN73" s="538"/>
      <c r="CO73" s="538"/>
      <c r="CP73" s="538"/>
      <c r="CQ73" s="538"/>
      <c r="CR73" s="538"/>
      <c r="CS73" s="538"/>
      <c r="CT73" s="538"/>
      <c r="CU73" s="538"/>
      <c r="CV73" s="538"/>
      <c r="CW73" s="538"/>
      <c r="CX73" s="538"/>
      <c r="CY73" s="538"/>
      <c r="CZ73" s="538"/>
      <c r="DA73" s="538"/>
      <c r="DB73" s="538"/>
      <c r="DC73" s="538"/>
      <c r="DD73" s="538"/>
      <c r="DE73" s="538"/>
      <c r="DF73" s="538"/>
      <c r="DG73" s="538"/>
      <c r="DH73" s="538"/>
      <c r="DI73" s="538"/>
      <c r="DJ73" s="538"/>
      <c r="DK73" s="538"/>
      <c r="DL73" s="538"/>
      <c r="DM73" s="538"/>
      <c r="DN73" s="538"/>
      <c r="DO73" s="538"/>
      <c r="DP73" s="538"/>
      <c r="DQ73" s="538"/>
      <c r="DR73" s="538"/>
      <c r="DS73" s="538"/>
      <c r="DT73" s="538"/>
      <c r="DU73" s="538"/>
      <c r="DV73" s="538"/>
      <c r="DW73" s="538"/>
      <c r="DX73" s="538"/>
      <c r="DY73" s="538"/>
      <c r="DZ73" s="538"/>
      <c r="EA73" s="538"/>
      <c r="EB73" s="538"/>
      <c r="EC73" s="538"/>
      <c r="ED73" s="538"/>
      <c r="EE73" s="538"/>
      <c r="EF73" s="538"/>
      <c r="EG73" s="538"/>
      <c r="EH73" s="538"/>
      <c r="EI73" s="538"/>
      <c r="EJ73" s="538"/>
      <c r="EK73" s="538"/>
      <c r="EL73" s="538"/>
      <c r="EM73" s="538"/>
      <c r="EN73" s="538"/>
      <c r="EO73" s="538"/>
      <c r="EP73" s="538"/>
      <c r="EQ73" s="538"/>
      <c r="ER73" s="538"/>
      <c r="ES73" s="538"/>
      <c r="ET73" s="538"/>
      <c r="EU73" s="538"/>
      <c r="EV73" s="538"/>
      <c r="EW73" s="538"/>
      <c r="EX73" s="559"/>
      <c r="EY73" s="559"/>
      <c r="EZ73" s="559"/>
      <c r="FA73" s="559"/>
      <c r="FB73" s="559"/>
      <c r="FC73" s="559"/>
      <c r="FD73" s="559"/>
      <c r="FE73" s="559"/>
      <c r="FF73" s="559"/>
      <c r="FG73" s="559"/>
      <c r="FH73" s="559"/>
      <c r="FI73" s="559"/>
      <c r="FJ73" s="559"/>
      <c r="FK73" s="559"/>
      <c r="FL73" s="559"/>
      <c r="FM73" s="559"/>
      <c r="FN73" s="559"/>
      <c r="FO73" s="559"/>
      <c r="FP73" s="559"/>
      <c r="FQ73" s="559"/>
      <c r="FR73" s="559"/>
      <c r="FS73" s="559"/>
      <c r="FT73" s="559"/>
      <c r="FU73" s="559"/>
      <c r="FV73" s="559"/>
      <c r="FW73" s="559"/>
      <c r="FX73" s="559"/>
      <c r="FY73" s="559"/>
      <c r="FZ73" s="559"/>
      <c r="GA73" s="559"/>
      <c r="GB73" s="559"/>
      <c r="GC73" s="559"/>
      <c r="GD73" s="559"/>
      <c r="GE73" s="559"/>
      <c r="GF73" s="559"/>
      <c r="GG73" s="559"/>
      <c r="GH73" s="559"/>
    </row>
    <row r="74">
      <c r="A74" s="538"/>
      <c r="B74" s="156"/>
      <c r="C74" s="444"/>
      <c r="D74" s="614"/>
      <c r="E74" s="606"/>
      <c r="F74" s="563"/>
      <c r="G74" s="563"/>
      <c r="H74" s="627"/>
      <c r="I74" s="622" t="s">
        <v>365</v>
      </c>
      <c r="J74" s="607"/>
      <c r="K74" s="567"/>
      <c r="L74" s="628"/>
      <c r="M74" s="626"/>
      <c r="N74" s="619"/>
      <c r="O74" s="623"/>
      <c r="P74" s="47"/>
      <c r="Q74" s="47"/>
      <c r="S74" s="572"/>
      <c r="U74" s="573"/>
      <c r="V74" s="574"/>
      <c r="W74" s="618"/>
      <c r="X74" s="576">
        <v>0.0</v>
      </c>
      <c r="Y74" s="630">
        <v>0.0</v>
      </c>
      <c r="Z74" s="630" t="s">
        <v>365</v>
      </c>
      <c r="AA74" s="631" t="b">
        <v>0</v>
      </c>
      <c r="AB74" s="631"/>
      <c r="AC74" s="576"/>
      <c r="AD74" s="479">
        <v>0.0</v>
      </c>
      <c r="AE74" s="632"/>
      <c r="AF74" s="582" t="s">
        <v>365</v>
      </c>
      <c r="AG74" s="583"/>
      <c r="AH74" s="584"/>
      <c r="AI74" s="583"/>
      <c r="AJ74" s="585"/>
      <c r="AK74" s="583"/>
      <c r="AL74" s="584"/>
      <c r="AM74" s="583"/>
      <c r="AN74" s="585"/>
      <c r="AO74" s="583"/>
      <c r="AP74" s="584"/>
      <c r="AQ74" s="583"/>
      <c r="AR74" s="585"/>
      <c r="AS74" s="583"/>
      <c r="AT74" s="584"/>
      <c r="AU74" s="583"/>
      <c r="AV74" s="585"/>
      <c r="AW74" s="583"/>
      <c r="AX74" s="584"/>
      <c r="AY74" s="583"/>
      <c r="AZ74" s="585"/>
      <c r="BA74" s="583"/>
      <c r="BB74" s="584"/>
      <c r="BC74" s="583"/>
      <c r="BD74" s="585"/>
      <c r="BE74" s="583"/>
      <c r="BF74" s="584"/>
      <c r="BG74" s="583"/>
      <c r="BH74" s="585"/>
      <c r="BI74" s="583"/>
      <c r="BJ74" s="584"/>
      <c r="BK74" s="583"/>
      <c r="BL74" s="585"/>
      <c r="BM74" s="583"/>
      <c r="BN74" s="584"/>
      <c r="BO74" s="583"/>
      <c r="BP74" s="585"/>
      <c r="BQ74" s="583"/>
      <c r="BR74" s="584"/>
      <c r="BS74" s="583"/>
      <c r="BT74" s="586"/>
      <c r="BU74" s="540"/>
      <c r="BV74" s="540"/>
      <c r="BW74" s="540"/>
      <c r="BX74" s="538"/>
      <c r="BY74" s="538"/>
      <c r="BZ74" s="592"/>
      <c r="CA74" s="633"/>
      <c r="CB74" s="592" t="s">
        <v>365</v>
      </c>
      <c r="CC74" s="592">
        <v>0.0</v>
      </c>
      <c r="CD74" s="592" t="s">
        <v>365</v>
      </c>
      <c r="CE74" s="592">
        <v>0.0</v>
      </c>
      <c r="CF74" s="592"/>
      <c r="CG74" s="592">
        <v>0.0</v>
      </c>
      <c r="CH74" s="592"/>
      <c r="CI74" s="633"/>
      <c r="CJ74" s="592">
        <v>0.0</v>
      </c>
      <c r="CK74" s="479" t="s">
        <v>365</v>
      </c>
      <c r="CL74" s="592"/>
      <c r="CM74" s="593"/>
      <c r="CN74" s="538"/>
      <c r="CO74" s="538"/>
      <c r="CP74" s="538"/>
      <c r="CQ74" s="538"/>
      <c r="CR74" s="538"/>
      <c r="CS74" s="538"/>
      <c r="CT74" s="538"/>
      <c r="CU74" s="538"/>
      <c r="CV74" s="538"/>
      <c r="CW74" s="538"/>
      <c r="CX74" s="538"/>
      <c r="CY74" s="538"/>
      <c r="CZ74" s="538"/>
      <c r="DA74" s="538"/>
      <c r="DB74" s="538"/>
      <c r="DC74" s="538"/>
      <c r="DD74" s="538"/>
      <c r="DE74" s="538"/>
      <c r="DF74" s="538"/>
      <c r="DG74" s="538"/>
      <c r="DH74" s="538"/>
      <c r="DI74" s="538"/>
      <c r="DJ74" s="538"/>
      <c r="DK74" s="538"/>
      <c r="DL74" s="538"/>
      <c r="DM74" s="538"/>
      <c r="DN74" s="538"/>
      <c r="DO74" s="538"/>
      <c r="DP74" s="538"/>
      <c r="DQ74" s="538"/>
      <c r="DR74" s="538"/>
      <c r="DS74" s="538"/>
      <c r="DT74" s="538"/>
      <c r="DU74" s="538"/>
      <c r="DV74" s="538"/>
      <c r="DW74" s="538"/>
      <c r="DX74" s="538"/>
      <c r="DY74" s="538"/>
      <c r="DZ74" s="538"/>
      <c r="EA74" s="538"/>
      <c r="EB74" s="538"/>
      <c r="EC74" s="538"/>
      <c r="ED74" s="538"/>
      <c r="EE74" s="538"/>
      <c r="EF74" s="538"/>
      <c r="EG74" s="538"/>
      <c r="EH74" s="538"/>
      <c r="EI74" s="538"/>
      <c r="EJ74" s="538"/>
      <c r="EK74" s="538"/>
      <c r="EL74" s="538"/>
      <c r="EM74" s="538"/>
      <c r="EN74" s="538"/>
      <c r="EO74" s="538"/>
      <c r="EP74" s="538"/>
      <c r="EQ74" s="538"/>
      <c r="ER74" s="538"/>
      <c r="ES74" s="538"/>
      <c r="ET74" s="538"/>
      <c r="EU74" s="538"/>
      <c r="EV74" s="538"/>
      <c r="EW74" s="538"/>
      <c r="EX74" s="559"/>
      <c r="EY74" s="559"/>
      <c r="EZ74" s="559"/>
      <c r="FA74" s="559"/>
      <c r="FB74" s="559"/>
      <c r="FC74" s="559"/>
      <c r="FD74" s="559"/>
      <c r="FE74" s="559"/>
      <c r="FF74" s="559"/>
      <c r="FG74" s="559"/>
      <c r="FH74" s="559"/>
      <c r="FI74" s="559"/>
      <c r="FJ74" s="559"/>
      <c r="FK74" s="559"/>
      <c r="FL74" s="559"/>
      <c r="FM74" s="559"/>
      <c r="FN74" s="559"/>
      <c r="FO74" s="559"/>
      <c r="FP74" s="559"/>
      <c r="FQ74" s="559"/>
      <c r="FR74" s="559"/>
      <c r="FS74" s="559"/>
      <c r="FT74" s="559"/>
      <c r="FU74" s="559"/>
      <c r="FV74" s="559"/>
      <c r="FW74" s="559"/>
      <c r="FX74" s="559"/>
      <c r="FY74" s="559"/>
      <c r="FZ74" s="559"/>
      <c r="GA74" s="559"/>
      <c r="GB74" s="559"/>
      <c r="GC74" s="559"/>
      <c r="GD74" s="559"/>
      <c r="GE74" s="559"/>
      <c r="GF74" s="559"/>
      <c r="GG74" s="559"/>
      <c r="GH74" s="559"/>
    </row>
    <row r="75">
      <c r="A75" s="538"/>
      <c r="B75" s="156"/>
      <c r="C75" s="444"/>
      <c r="D75" s="614"/>
      <c r="E75" s="595"/>
      <c r="F75" s="596"/>
      <c r="G75" s="596"/>
      <c r="H75" s="597"/>
      <c r="I75" s="616" t="s">
        <v>365</v>
      </c>
      <c r="J75" s="624"/>
      <c r="K75" s="600"/>
      <c r="L75" s="601"/>
      <c r="M75" s="625"/>
      <c r="N75" s="617"/>
      <c r="O75" s="621"/>
      <c r="P75" s="57"/>
      <c r="Q75" s="57"/>
      <c r="S75" s="605"/>
      <c r="U75" s="573"/>
      <c r="V75" s="574"/>
      <c r="W75" s="618"/>
      <c r="X75" s="576">
        <v>0.0</v>
      </c>
      <c r="Y75" s="630">
        <v>0.0</v>
      </c>
      <c r="Z75" s="630" t="s">
        <v>365</v>
      </c>
      <c r="AA75" s="631" t="b">
        <v>0</v>
      </c>
      <c r="AB75" s="631"/>
      <c r="AC75" s="576"/>
      <c r="AD75" s="479">
        <v>0.0</v>
      </c>
      <c r="AE75" s="632"/>
      <c r="AF75" s="582" t="s">
        <v>365</v>
      </c>
      <c r="AG75" s="583"/>
      <c r="AH75" s="584"/>
      <c r="AI75" s="583"/>
      <c r="AJ75" s="585"/>
      <c r="AK75" s="583"/>
      <c r="AL75" s="584"/>
      <c r="AM75" s="583"/>
      <c r="AN75" s="585"/>
      <c r="AO75" s="583"/>
      <c r="AP75" s="584"/>
      <c r="AQ75" s="583"/>
      <c r="AR75" s="585"/>
      <c r="AS75" s="583"/>
      <c r="AT75" s="584"/>
      <c r="AU75" s="583"/>
      <c r="AV75" s="585"/>
      <c r="AW75" s="583"/>
      <c r="AX75" s="584"/>
      <c r="AY75" s="583"/>
      <c r="AZ75" s="585"/>
      <c r="BA75" s="583"/>
      <c r="BB75" s="584"/>
      <c r="BC75" s="583"/>
      <c r="BD75" s="585"/>
      <c r="BE75" s="583"/>
      <c r="BF75" s="584"/>
      <c r="BG75" s="583"/>
      <c r="BH75" s="585"/>
      <c r="BI75" s="583"/>
      <c r="BJ75" s="584"/>
      <c r="BK75" s="583"/>
      <c r="BL75" s="585"/>
      <c r="BM75" s="583"/>
      <c r="BN75" s="584"/>
      <c r="BO75" s="583"/>
      <c r="BP75" s="585"/>
      <c r="BQ75" s="583"/>
      <c r="BR75" s="584"/>
      <c r="BS75" s="583"/>
      <c r="BT75" s="586"/>
      <c r="BU75" s="540"/>
      <c r="BV75" s="540"/>
      <c r="BW75" s="540"/>
      <c r="BX75" s="538"/>
      <c r="BY75" s="538"/>
      <c r="BZ75" s="592"/>
      <c r="CA75" s="633"/>
      <c r="CB75" s="592" t="s">
        <v>365</v>
      </c>
      <c r="CC75" s="592">
        <v>0.0</v>
      </c>
      <c r="CD75" s="592" t="s">
        <v>365</v>
      </c>
      <c r="CE75" s="592">
        <v>0.0</v>
      </c>
      <c r="CF75" s="592"/>
      <c r="CG75" s="592">
        <v>0.0</v>
      </c>
      <c r="CH75" s="592"/>
      <c r="CI75" s="633"/>
      <c r="CJ75" s="592">
        <v>0.0</v>
      </c>
      <c r="CK75" s="479" t="s">
        <v>365</v>
      </c>
      <c r="CL75" s="592"/>
      <c r="CM75" s="593"/>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c r="DS75" s="538"/>
      <c r="DT75" s="538"/>
      <c r="DU75" s="538"/>
      <c r="DV75" s="538"/>
      <c r="DW75" s="538"/>
      <c r="DX75" s="538"/>
      <c r="DY75" s="538"/>
      <c r="DZ75" s="538"/>
      <c r="EA75" s="538"/>
      <c r="EB75" s="538"/>
      <c r="EC75" s="538"/>
      <c r="ED75" s="538"/>
      <c r="EE75" s="538"/>
      <c r="EF75" s="538"/>
      <c r="EG75" s="538"/>
      <c r="EH75" s="538"/>
      <c r="EI75" s="538"/>
      <c r="EJ75" s="538"/>
      <c r="EK75" s="538"/>
      <c r="EL75" s="538"/>
      <c r="EM75" s="538"/>
      <c r="EN75" s="538"/>
      <c r="EO75" s="538"/>
      <c r="EP75" s="538"/>
      <c r="EQ75" s="538"/>
      <c r="ER75" s="538"/>
      <c r="ES75" s="538"/>
      <c r="ET75" s="538"/>
      <c r="EU75" s="538"/>
      <c r="EV75" s="538"/>
      <c r="EW75" s="538"/>
      <c r="EX75" s="559"/>
      <c r="EY75" s="559"/>
      <c r="EZ75" s="559"/>
      <c r="FA75" s="559"/>
      <c r="FB75" s="559"/>
      <c r="FC75" s="559"/>
      <c r="FD75" s="559"/>
      <c r="FE75" s="559"/>
      <c r="FF75" s="559"/>
      <c r="FG75" s="559"/>
      <c r="FH75" s="559"/>
      <c r="FI75" s="559"/>
      <c r="FJ75" s="559"/>
      <c r="FK75" s="559"/>
      <c r="FL75" s="559"/>
      <c r="FM75" s="559"/>
      <c r="FN75" s="559"/>
      <c r="FO75" s="559"/>
      <c r="FP75" s="559"/>
      <c r="FQ75" s="559"/>
      <c r="FR75" s="559"/>
      <c r="FS75" s="559"/>
      <c r="FT75" s="559"/>
      <c r="FU75" s="559"/>
      <c r="FV75" s="559"/>
      <c r="FW75" s="559"/>
      <c r="FX75" s="559"/>
      <c r="FY75" s="559"/>
      <c r="FZ75" s="559"/>
      <c r="GA75" s="559"/>
      <c r="GB75" s="559"/>
      <c r="GC75" s="559"/>
      <c r="GD75" s="559"/>
      <c r="GE75" s="559"/>
      <c r="GF75" s="559"/>
      <c r="GG75" s="559"/>
      <c r="GH75" s="559"/>
    </row>
    <row r="76">
      <c r="A76" s="538"/>
      <c r="B76" s="156"/>
      <c r="C76" s="444"/>
      <c r="D76" s="614"/>
      <c r="E76" s="606"/>
      <c r="F76" s="563"/>
      <c r="G76" s="563"/>
      <c r="H76" s="564"/>
      <c r="I76" s="622" t="s">
        <v>365</v>
      </c>
      <c r="J76" s="607"/>
      <c r="K76" s="641"/>
      <c r="L76" s="628"/>
      <c r="M76" s="626"/>
      <c r="N76" s="619"/>
      <c r="O76" s="623"/>
      <c r="P76" s="47"/>
      <c r="Q76" s="47"/>
      <c r="S76" s="572"/>
      <c r="U76" s="573"/>
      <c r="V76" s="574"/>
      <c r="W76" s="618"/>
      <c r="X76" s="576">
        <v>0.0</v>
      </c>
      <c r="Y76" s="630">
        <v>0.0</v>
      </c>
      <c r="Z76" s="630" t="s">
        <v>365</v>
      </c>
      <c r="AA76" s="631" t="b">
        <v>0</v>
      </c>
      <c r="AB76" s="631"/>
      <c r="AC76" s="576"/>
      <c r="AD76" s="479">
        <v>0.0</v>
      </c>
      <c r="AE76" s="632"/>
      <c r="AF76" s="582" t="s">
        <v>365</v>
      </c>
      <c r="AG76" s="583"/>
      <c r="AH76" s="584"/>
      <c r="AI76" s="583"/>
      <c r="AJ76" s="585"/>
      <c r="AK76" s="583"/>
      <c r="AL76" s="584"/>
      <c r="AM76" s="583"/>
      <c r="AN76" s="585"/>
      <c r="AO76" s="583"/>
      <c r="AP76" s="584"/>
      <c r="AQ76" s="583"/>
      <c r="AR76" s="585"/>
      <c r="AS76" s="583"/>
      <c r="AT76" s="584"/>
      <c r="AU76" s="583"/>
      <c r="AV76" s="585"/>
      <c r="AW76" s="583"/>
      <c r="AX76" s="584"/>
      <c r="AY76" s="583"/>
      <c r="AZ76" s="585"/>
      <c r="BA76" s="583"/>
      <c r="BB76" s="584"/>
      <c r="BC76" s="583"/>
      <c r="BD76" s="585"/>
      <c r="BE76" s="583"/>
      <c r="BF76" s="584"/>
      <c r="BG76" s="583"/>
      <c r="BH76" s="585"/>
      <c r="BI76" s="583"/>
      <c r="BJ76" s="584"/>
      <c r="BK76" s="583"/>
      <c r="BL76" s="585"/>
      <c r="BM76" s="583"/>
      <c r="BN76" s="584"/>
      <c r="BO76" s="583"/>
      <c r="BP76" s="585"/>
      <c r="BQ76" s="583"/>
      <c r="BR76" s="584"/>
      <c r="BS76" s="583"/>
      <c r="BT76" s="586"/>
      <c r="BU76" s="540"/>
      <c r="BV76" s="540"/>
      <c r="BW76" s="540"/>
      <c r="BX76" s="538"/>
      <c r="BY76" s="538"/>
      <c r="BZ76" s="592"/>
      <c r="CA76" s="633"/>
      <c r="CB76" s="592" t="s">
        <v>365</v>
      </c>
      <c r="CC76" s="592">
        <v>0.0</v>
      </c>
      <c r="CD76" s="592" t="s">
        <v>365</v>
      </c>
      <c r="CE76" s="592">
        <v>0.0</v>
      </c>
      <c r="CF76" s="592"/>
      <c r="CG76" s="592">
        <v>0.0</v>
      </c>
      <c r="CH76" s="592"/>
      <c r="CI76" s="633"/>
      <c r="CJ76" s="592">
        <v>0.0</v>
      </c>
      <c r="CK76" s="479" t="s">
        <v>365</v>
      </c>
      <c r="CL76" s="592"/>
      <c r="CM76" s="593"/>
      <c r="CN76" s="538"/>
      <c r="CO76" s="538"/>
      <c r="CP76" s="538"/>
      <c r="CQ76" s="538"/>
      <c r="CR76" s="538"/>
      <c r="CS76" s="538"/>
      <c r="CT76" s="538"/>
      <c r="CU76" s="538"/>
      <c r="CV76" s="538"/>
      <c r="CW76" s="538"/>
      <c r="CX76" s="538"/>
      <c r="CY76" s="538"/>
      <c r="CZ76" s="538"/>
      <c r="DA76" s="538"/>
      <c r="DB76" s="538"/>
      <c r="DC76" s="538"/>
      <c r="DD76" s="538"/>
      <c r="DE76" s="538"/>
      <c r="DF76" s="538"/>
      <c r="DG76" s="538"/>
      <c r="DH76" s="538"/>
      <c r="DI76" s="538"/>
      <c r="DJ76" s="538"/>
      <c r="DK76" s="538"/>
      <c r="DL76" s="538"/>
      <c r="DM76" s="538"/>
      <c r="DN76" s="538"/>
      <c r="DO76" s="538"/>
      <c r="DP76" s="538"/>
      <c r="DQ76" s="538"/>
      <c r="DR76" s="538"/>
      <c r="DS76" s="538"/>
      <c r="DT76" s="538"/>
      <c r="DU76" s="538"/>
      <c r="DV76" s="538"/>
      <c r="DW76" s="538"/>
      <c r="DX76" s="538"/>
      <c r="DY76" s="538"/>
      <c r="DZ76" s="538"/>
      <c r="EA76" s="538"/>
      <c r="EB76" s="538"/>
      <c r="EC76" s="538"/>
      <c r="ED76" s="538"/>
      <c r="EE76" s="538"/>
      <c r="EF76" s="538"/>
      <c r="EG76" s="538"/>
      <c r="EH76" s="538"/>
      <c r="EI76" s="538"/>
      <c r="EJ76" s="538"/>
      <c r="EK76" s="538"/>
      <c r="EL76" s="538"/>
      <c r="EM76" s="538"/>
      <c r="EN76" s="538"/>
      <c r="EO76" s="538"/>
      <c r="EP76" s="538"/>
      <c r="EQ76" s="538"/>
      <c r="ER76" s="538"/>
      <c r="ES76" s="538"/>
      <c r="ET76" s="538"/>
      <c r="EU76" s="538"/>
      <c r="EV76" s="538"/>
      <c r="EW76" s="538"/>
      <c r="EX76" s="559"/>
      <c r="EY76" s="559"/>
      <c r="EZ76" s="559"/>
      <c r="FA76" s="559"/>
      <c r="FB76" s="559"/>
      <c r="FC76" s="559"/>
      <c r="FD76" s="559"/>
      <c r="FE76" s="559"/>
      <c r="FF76" s="559"/>
      <c r="FG76" s="559"/>
      <c r="FH76" s="559"/>
      <c r="FI76" s="559"/>
      <c r="FJ76" s="559"/>
      <c r="FK76" s="559"/>
      <c r="FL76" s="559"/>
      <c r="FM76" s="559"/>
      <c r="FN76" s="559"/>
      <c r="FO76" s="559"/>
      <c r="FP76" s="559"/>
      <c r="FQ76" s="559"/>
      <c r="FR76" s="559"/>
      <c r="FS76" s="559"/>
      <c r="FT76" s="559"/>
      <c r="FU76" s="559"/>
      <c r="FV76" s="559"/>
      <c r="FW76" s="559"/>
      <c r="FX76" s="559"/>
      <c r="FY76" s="559"/>
      <c r="FZ76" s="559"/>
      <c r="GA76" s="559"/>
      <c r="GB76" s="559"/>
      <c r="GC76" s="559"/>
      <c r="GD76" s="559"/>
      <c r="GE76" s="559"/>
      <c r="GF76" s="559"/>
      <c r="GG76" s="559"/>
      <c r="GH76" s="559"/>
    </row>
    <row r="77">
      <c r="A77" s="538"/>
      <c r="B77" s="156"/>
      <c r="C77" s="444"/>
      <c r="D77" s="614"/>
      <c r="E77" s="595"/>
      <c r="F77" s="596"/>
      <c r="G77" s="596"/>
      <c r="H77" s="615"/>
      <c r="I77" s="616" t="s">
        <v>365</v>
      </c>
      <c r="J77" s="624"/>
      <c r="K77" s="600"/>
      <c r="L77" s="601"/>
      <c r="M77" s="625"/>
      <c r="N77" s="617"/>
      <c r="O77" s="621"/>
      <c r="P77" s="57"/>
      <c r="Q77" s="57"/>
      <c r="S77" s="605"/>
      <c r="U77" s="573"/>
      <c r="V77" s="574"/>
      <c r="W77" s="618"/>
      <c r="X77" s="576">
        <v>0.0</v>
      </c>
      <c r="Y77" s="630">
        <v>0.0</v>
      </c>
      <c r="Z77" s="630" t="s">
        <v>365</v>
      </c>
      <c r="AA77" s="631" t="b">
        <v>0</v>
      </c>
      <c r="AB77" s="631"/>
      <c r="AC77" s="576"/>
      <c r="AD77" s="479">
        <v>0.0</v>
      </c>
      <c r="AE77" s="632"/>
      <c r="AF77" s="582" t="s">
        <v>365</v>
      </c>
      <c r="AG77" s="583"/>
      <c r="AH77" s="584"/>
      <c r="AI77" s="583"/>
      <c r="AJ77" s="585"/>
      <c r="AK77" s="583"/>
      <c r="AL77" s="584"/>
      <c r="AM77" s="583"/>
      <c r="AN77" s="585"/>
      <c r="AO77" s="583"/>
      <c r="AP77" s="584"/>
      <c r="AQ77" s="583"/>
      <c r="AR77" s="585"/>
      <c r="AS77" s="583"/>
      <c r="AT77" s="584"/>
      <c r="AU77" s="583"/>
      <c r="AV77" s="585"/>
      <c r="AW77" s="583"/>
      <c r="AX77" s="584"/>
      <c r="AY77" s="583"/>
      <c r="AZ77" s="585"/>
      <c r="BA77" s="583"/>
      <c r="BB77" s="584"/>
      <c r="BC77" s="583"/>
      <c r="BD77" s="585"/>
      <c r="BE77" s="583"/>
      <c r="BF77" s="584"/>
      <c r="BG77" s="583"/>
      <c r="BH77" s="585"/>
      <c r="BI77" s="583"/>
      <c r="BJ77" s="584"/>
      <c r="BK77" s="583"/>
      <c r="BL77" s="585"/>
      <c r="BM77" s="583"/>
      <c r="BN77" s="584"/>
      <c r="BO77" s="583"/>
      <c r="BP77" s="585"/>
      <c r="BQ77" s="583"/>
      <c r="BR77" s="584"/>
      <c r="BS77" s="583"/>
      <c r="BT77" s="586"/>
      <c r="BU77" s="540"/>
      <c r="BV77" s="540"/>
      <c r="BW77" s="540"/>
      <c r="BX77" s="538"/>
      <c r="BY77" s="538"/>
      <c r="BZ77" s="592"/>
      <c r="CA77" s="633"/>
      <c r="CB77" s="592" t="s">
        <v>365</v>
      </c>
      <c r="CC77" s="592">
        <v>0.0</v>
      </c>
      <c r="CD77" s="592" t="s">
        <v>365</v>
      </c>
      <c r="CE77" s="592">
        <v>0.0</v>
      </c>
      <c r="CF77" s="592"/>
      <c r="CG77" s="592">
        <v>0.0</v>
      </c>
      <c r="CH77" s="592"/>
      <c r="CI77" s="633"/>
      <c r="CJ77" s="592">
        <v>0.0</v>
      </c>
      <c r="CK77" s="479" t="s">
        <v>365</v>
      </c>
      <c r="CL77" s="592"/>
      <c r="CM77" s="593"/>
      <c r="CN77" s="538"/>
      <c r="CO77" s="538"/>
      <c r="CP77" s="538"/>
      <c r="CQ77" s="538"/>
      <c r="CR77" s="538"/>
      <c r="CS77" s="538"/>
      <c r="CT77" s="538"/>
      <c r="CU77" s="538"/>
      <c r="CV77" s="538"/>
      <c r="CW77" s="538"/>
      <c r="CX77" s="538"/>
      <c r="CY77" s="538"/>
      <c r="CZ77" s="538"/>
      <c r="DA77" s="538"/>
      <c r="DB77" s="538"/>
      <c r="DC77" s="538"/>
      <c r="DD77" s="538"/>
      <c r="DE77" s="538"/>
      <c r="DF77" s="538"/>
      <c r="DG77" s="538"/>
      <c r="DH77" s="538"/>
      <c r="DI77" s="538"/>
      <c r="DJ77" s="538"/>
      <c r="DK77" s="538"/>
      <c r="DL77" s="538"/>
      <c r="DM77" s="538"/>
      <c r="DN77" s="538"/>
      <c r="DO77" s="538"/>
      <c r="DP77" s="538"/>
      <c r="DQ77" s="538"/>
      <c r="DR77" s="538"/>
      <c r="DS77" s="538"/>
      <c r="DT77" s="538"/>
      <c r="DU77" s="538"/>
      <c r="DV77" s="538"/>
      <c r="DW77" s="538"/>
      <c r="DX77" s="538"/>
      <c r="DY77" s="538"/>
      <c r="DZ77" s="538"/>
      <c r="EA77" s="538"/>
      <c r="EB77" s="538"/>
      <c r="EC77" s="538"/>
      <c r="ED77" s="538"/>
      <c r="EE77" s="538"/>
      <c r="EF77" s="538"/>
      <c r="EG77" s="538"/>
      <c r="EH77" s="538"/>
      <c r="EI77" s="538"/>
      <c r="EJ77" s="538"/>
      <c r="EK77" s="538"/>
      <c r="EL77" s="538"/>
      <c r="EM77" s="538"/>
      <c r="EN77" s="538"/>
      <c r="EO77" s="538"/>
      <c r="EP77" s="538"/>
      <c r="EQ77" s="538"/>
      <c r="ER77" s="538"/>
      <c r="ES77" s="538"/>
      <c r="ET77" s="538"/>
      <c r="EU77" s="538"/>
      <c r="EV77" s="538"/>
      <c r="EW77" s="538"/>
      <c r="EX77" s="559"/>
      <c r="EY77" s="559"/>
      <c r="EZ77" s="559"/>
      <c r="FA77" s="559"/>
      <c r="FB77" s="559"/>
      <c r="FC77" s="559"/>
      <c r="FD77" s="559"/>
      <c r="FE77" s="559"/>
      <c r="FF77" s="559"/>
      <c r="FG77" s="559"/>
      <c r="FH77" s="559"/>
      <c r="FI77" s="559"/>
      <c r="FJ77" s="559"/>
      <c r="FK77" s="559"/>
      <c r="FL77" s="559"/>
      <c r="FM77" s="559"/>
      <c r="FN77" s="559"/>
      <c r="FO77" s="559"/>
      <c r="FP77" s="559"/>
      <c r="FQ77" s="559"/>
      <c r="FR77" s="559"/>
      <c r="FS77" s="559"/>
      <c r="FT77" s="559"/>
      <c r="FU77" s="559"/>
      <c r="FV77" s="559"/>
      <c r="FW77" s="559"/>
      <c r="FX77" s="559"/>
      <c r="FY77" s="559"/>
      <c r="FZ77" s="559"/>
      <c r="GA77" s="559"/>
      <c r="GB77" s="559"/>
      <c r="GC77" s="559"/>
      <c r="GD77" s="559"/>
      <c r="GE77" s="559"/>
      <c r="GF77" s="559"/>
      <c r="GG77" s="559"/>
      <c r="GH77" s="559"/>
    </row>
    <row r="78">
      <c r="A78" s="538"/>
      <c r="B78" s="156"/>
      <c r="C78" s="444"/>
      <c r="D78" s="614"/>
      <c r="E78" s="606"/>
      <c r="F78" s="563"/>
      <c r="G78" s="563"/>
      <c r="H78" s="627"/>
      <c r="I78" s="622" t="s">
        <v>365</v>
      </c>
      <c r="J78" s="607"/>
      <c r="K78" s="567"/>
      <c r="L78" s="628"/>
      <c r="M78" s="626"/>
      <c r="N78" s="619"/>
      <c r="O78" s="623"/>
      <c r="P78" s="47"/>
      <c r="Q78" s="47"/>
      <c r="S78" s="572"/>
      <c r="U78" s="573"/>
      <c r="V78" s="574"/>
      <c r="W78" s="618"/>
      <c r="X78" s="576">
        <v>0.0</v>
      </c>
      <c r="Y78" s="630">
        <v>0.0</v>
      </c>
      <c r="Z78" s="630" t="s">
        <v>365</v>
      </c>
      <c r="AA78" s="631" t="b">
        <v>0</v>
      </c>
      <c r="AB78" s="631"/>
      <c r="AC78" s="576"/>
      <c r="AD78" s="479">
        <v>0.0</v>
      </c>
      <c r="AE78" s="632"/>
      <c r="AF78" s="582" t="s">
        <v>365</v>
      </c>
      <c r="AG78" s="583"/>
      <c r="AH78" s="584"/>
      <c r="AI78" s="583"/>
      <c r="AJ78" s="585"/>
      <c r="AK78" s="583"/>
      <c r="AL78" s="584"/>
      <c r="AM78" s="583"/>
      <c r="AN78" s="585"/>
      <c r="AO78" s="583"/>
      <c r="AP78" s="584"/>
      <c r="AQ78" s="583"/>
      <c r="AR78" s="585"/>
      <c r="AS78" s="583"/>
      <c r="AT78" s="584"/>
      <c r="AU78" s="583"/>
      <c r="AV78" s="585"/>
      <c r="AW78" s="583"/>
      <c r="AX78" s="584"/>
      <c r="AY78" s="583"/>
      <c r="AZ78" s="585"/>
      <c r="BA78" s="583"/>
      <c r="BB78" s="584"/>
      <c r="BC78" s="583"/>
      <c r="BD78" s="585"/>
      <c r="BE78" s="583"/>
      <c r="BF78" s="584"/>
      <c r="BG78" s="583"/>
      <c r="BH78" s="585"/>
      <c r="BI78" s="583"/>
      <c r="BJ78" s="584"/>
      <c r="BK78" s="583"/>
      <c r="BL78" s="585"/>
      <c r="BM78" s="583"/>
      <c r="BN78" s="584"/>
      <c r="BO78" s="583"/>
      <c r="BP78" s="585"/>
      <c r="BQ78" s="583"/>
      <c r="BR78" s="584"/>
      <c r="BS78" s="583"/>
      <c r="BT78" s="586"/>
      <c r="BU78" s="540"/>
      <c r="BV78" s="540"/>
      <c r="BW78" s="540"/>
      <c r="BX78" s="538"/>
      <c r="BY78" s="538"/>
      <c r="BZ78" s="592"/>
      <c r="CA78" s="633"/>
      <c r="CB78" s="592" t="s">
        <v>365</v>
      </c>
      <c r="CC78" s="592">
        <v>0.0</v>
      </c>
      <c r="CD78" s="592" t="s">
        <v>365</v>
      </c>
      <c r="CE78" s="592">
        <v>0.0</v>
      </c>
      <c r="CF78" s="592"/>
      <c r="CG78" s="592">
        <v>0.0</v>
      </c>
      <c r="CH78" s="592"/>
      <c r="CI78" s="633"/>
      <c r="CJ78" s="592">
        <v>0.0</v>
      </c>
      <c r="CK78" s="479" t="s">
        <v>365</v>
      </c>
      <c r="CL78" s="592"/>
      <c r="CM78" s="593"/>
      <c r="CN78" s="538"/>
      <c r="CO78" s="538"/>
      <c r="CP78" s="538"/>
      <c r="CQ78" s="538"/>
      <c r="CR78" s="538"/>
      <c r="CS78" s="538"/>
      <c r="CT78" s="538"/>
      <c r="CU78" s="538"/>
      <c r="CV78" s="538"/>
      <c r="CW78" s="538"/>
      <c r="CX78" s="538"/>
      <c r="CY78" s="538"/>
      <c r="CZ78" s="538"/>
      <c r="DA78" s="538"/>
      <c r="DB78" s="538"/>
      <c r="DC78" s="538"/>
      <c r="DD78" s="538"/>
      <c r="DE78" s="538"/>
      <c r="DF78" s="538"/>
      <c r="DG78" s="538"/>
      <c r="DH78" s="538"/>
      <c r="DI78" s="538"/>
      <c r="DJ78" s="538"/>
      <c r="DK78" s="538"/>
      <c r="DL78" s="538"/>
      <c r="DM78" s="538"/>
      <c r="DN78" s="538"/>
      <c r="DO78" s="538"/>
      <c r="DP78" s="538"/>
      <c r="DQ78" s="538"/>
      <c r="DR78" s="538"/>
      <c r="DS78" s="538"/>
      <c r="DT78" s="538"/>
      <c r="DU78" s="538"/>
      <c r="DV78" s="538"/>
      <c r="DW78" s="538"/>
      <c r="DX78" s="538"/>
      <c r="DY78" s="538"/>
      <c r="DZ78" s="538"/>
      <c r="EA78" s="538"/>
      <c r="EB78" s="538"/>
      <c r="EC78" s="538"/>
      <c r="ED78" s="538"/>
      <c r="EE78" s="538"/>
      <c r="EF78" s="538"/>
      <c r="EG78" s="538"/>
      <c r="EH78" s="538"/>
      <c r="EI78" s="538"/>
      <c r="EJ78" s="538"/>
      <c r="EK78" s="538"/>
      <c r="EL78" s="538"/>
      <c r="EM78" s="538"/>
      <c r="EN78" s="538"/>
      <c r="EO78" s="538"/>
      <c r="EP78" s="538"/>
      <c r="EQ78" s="538"/>
      <c r="ER78" s="538"/>
      <c r="ES78" s="538"/>
      <c r="ET78" s="538"/>
      <c r="EU78" s="538"/>
      <c r="EV78" s="538"/>
      <c r="EW78" s="538"/>
      <c r="EX78" s="559"/>
      <c r="EY78" s="559"/>
      <c r="EZ78" s="559"/>
      <c r="FA78" s="559"/>
      <c r="FB78" s="559"/>
      <c r="FC78" s="559"/>
      <c r="FD78" s="559"/>
      <c r="FE78" s="559"/>
      <c r="FF78" s="559"/>
      <c r="FG78" s="559"/>
      <c r="FH78" s="559"/>
      <c r="FI78" s="559"/>
      <c r="FJ78" s="559"/>
      <c r="FK78" s="559"/>
      <c r="FL78" s="559"/>
      <c r="FM78" s="559"/>
      <c r="FN78" s="559"/>
      <c r="FO78" s="559"/>
      <c r="FP78" s="559"/>
      <c r="FQ78" s="559"/>
      <c r="FR78" s="559"/>
      <c r="FS78" s="559"/>
      <c r="FT78" s="559"/>
      <c r="FU78" s="559"/>
      <c r="FV78" s="559"/>
      <c r="FW78" s="559"/>
      <c r="FX78" s="559"/>
      <c r="FY78" s="559"/>
      <c r="FZ78" s="559"/>
      <c r="GA78" s="559"/>
      <c r="GB78" s="559"/>
      <c r="GC78" s="559"/>
      <c r="GD78" s="559"/>
      <c r="GE78" s="559"/>
      <c r="GF78" s="559"/>
      <c r="GG78" s="559"/>
      <c r="GH78" s="559"/>
    </row>
    <row r="79">
      <c r="A79" s="538"/>
      <c r="B79" s="156"/>
      <c r="C79" s="444"/>
      <c r="D79" s="614"/>
      <c r="E79" s="595"/>
      <c r="F79" s="596"/>
      <c r="G79" s="596"/>
      <c r="H79" s="615"/>
      <c r="I79" s="616" t="s">
        <v>365</v>
      </c>
      <c r="J79" s="624"/>
      <c r="K79" s="600"/>
      <c r="L79" s="601"/>
      <c r="M79" s="625"/>
      <c r="N79" s="617"/>
      <c r="O79" s="621"/>
      <c r="P79" s="57"/>
      <c r="Q79" s="57"/>
      <c r="S79" s="605"/>
      <c r="U79" s="573"/>
      <c r="V79" s="574"/>
      <c r="W79" s="618"/>
      <c r="X79" s="576">
        <v>0.0</v>
      </c>
      <c r="Y79" s="630">
        <v>0.0</v>
      </c>
      <c r="Z79" s="630" t="s">
        <v>365</v>
      </c>
      <c r="AA79" s="631" t="b">
        <v>0</v>
      </c>
      <c r="AB79" s="631"/>
      <c r="AC79" s="576"/>
      <c r="AD79" s="479">
        <v>0.0</v>
      </c>
      <c r="AE79" s="632"/>
      <c r="AF79" s="582" t="s">
        <v>365</v>
      </c>
      <c r="AG79" s="583"/>
      <c r="AH79" s="584"/>
      <c r="AI79" s="583"/>
      <c r="AJ79" s="585"/>
      <c r="AK79" s="583"/>
      <c r="AL79" s="584"/>
      <c r="AM79" s="583"/>
      <c r="AN79" s="585"/>
      <c r="AO79" s="583"/>
      <c r="AP79" s="584"/>
      <c r="AQ79" s="583"/>
      <c r="AR79" s="585"/>
      <c r="AS79" s="583"/>
      <c r="AT79" s="584"/>
      <c r="AU79" s="583"/>
      <c r="AV79" s="585"/>
      <c r="AW79" s="583"/>
      <c r="AX79" s="584"/>
      <c r="AY79" s="583"/>
      <c r="AZ79" s="585"/>
      <c r="BA79" s="583"/>
      <c r="BB79" s="584"/>
      <c r="BC79" s="583"/>
      <c r="BD79" s="585"/>
      <c r="BE79" s="583"/>
      <c r="BF79" s="584"/>
      <c r="BG79" s="583"/>
      <c r="BH79" s="585"/>
      <c r="BI79" s="583"/>
      <c r="BJ79" s="584"/>
      <c r="BK79" s="583"/>
      <c r="BL79" s="585"/>
      <c r="BM79" s="583"/>
      <c r="BN79" s="584"/>
      <c r="BO79" s="583"/>
      <c r="BP79" s="585"/>
      <c r="BQ79" s="583"/>
      <c r="BR79" s="584"/>
      <c r="BS79" s="583"/>
      <c r="BT79" s="586"/>
      <c r="BU79" s="540"/>
      <c r="BV79" s="540"/>
      <c r="BW79" s="540"/>
      <c r="BX79" s="538"/>
      <c r="BY79" s="538"/>
      <c r="BZ79" s="592"/>
      <c r="CA79" s="633"/>
      <c r="CB79" s="592" t="s">
        <v>365</v>
      </c>
      <c r="CC79" s="592">
        <v>0.0</v>
      </c>
      <c r="CD79" s="592" t="s">
        <v>365</v>
      </c>
      <c r="CE79" s="592">
        <v>0.0</v>
      </c>
      <c r="CF79" s="592"/>
      <c r="CG79" s="592">
        <v>0.0</v>
      </c>
      <c r="CH79" s="592"/>
      <c r="CI79" s="633"/>
      <c r="CJ79" s="592">
        <v>0.0</v>
      </c>
      <c r="CK79" s="479" t="s">
        <v>365</v>
      </c>
      <c r="CL79" s="592"/>
      <c r="CM79" s="593"/>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c r="DS79" s="538"/>
      <c r="DT79" s="538"/>
      <c r="DU79" s="538"/>
      <c r="DV79" s="538"/>
      <c r="DW79" s="538"/>
      <c r="DX79" s="538"/>
      <c r="DY79" s="538"/>
      <c r="DZ79" s="538"/>
      <c r="EA79" s="538"/>
      <c r="EB79" s="538"/>
      <c r="EC79" s="538"/>
      <c r="ED79" s="538"/>
      <c r="EE79" s="538"/>
      <c r="EF79" s="538"/>
      <c r="EG79" s="538"/>
      <c r="EH79" s="538"/>
      <c r="EI79" s="538"/>
      <c r="EJ79" s="538"/>
      <c r="EK79" s="538"/>
      <c r="EL79" s="538"/>
      <c r="EM79" s="538"/>
      <c r="EN79" s="538"/>
      <c r="EO79" s="538"/>
      <c r="EP79" s="538"/>
      <c r="EQ79" s="538"/>
      <c r="ER79" s="538"/>
      <c r="ES79" s="538"/>
      <c r="ET79" s="538"/>
      <c r="EU79" s="538"/>
      <c r="EV79" s="538"/>
      <c r="EW79" s="538"/>
      <c r="EX79" s="559"/>
      <c r="EY79" s="559"/>
      <c r="EZ79" s="559"/>
      <c r="FA79" s="559"/>
      <c r="FB79" s="559"/>
      <c r="FC79" s="559"/>
      <c r="FD79" s="559"/>
      <c r="FE79" s="559"/>
      <c r="FF79" s="559"/>
      <c r="FG79" s="559"/>
      <c r="FH79" s="559"/>
      <c r="FI79" s="559"/>
      <c r="FJ79" s="559"/>
      <c r="FK79" s="559"/>
      <c r="FL79" s="559"/>
      <c r="FM79" s="559"/>
      <c r="FN79" s="559"/>
      <c r="FO79" s="559"/>
      <c r="FP79" s="559"/>
      <c r="FQ79" s="559"/>
      <c r="FR79" s="559"/>
      <c r="FS79" s="559"/>
      <c r="FT79" s="559"/>
      <c r="FU79" s="559"/>
      <c r="FV79" s="559"/>
      <c r="FW79" s="559"/>
      <c r="FX79" s="559"/>
      <c r="FY79" s="559"/>
      <c r="FZ79" s="559"/>
      <c r="GA79" s="559"/>
      <c r="GB79" s="559"/>
      <c r="GC79" s="559"/>
      <c r="GD79" s="559"/>
      <c r="GE79" s="559"/>
      <c r="GF79" s="559"/>
      <c r="GG79" s="559"/>
      <c r="GH79" s="559"/>
    </row>
    <row r="80">
      <c r="A80" s="538"/>
      <c r="B80" s="156"/>
      <c r="C80" s="444"/>
      <c r="D80" s="614"/>
      <c r="E80" s="606"/>
      <c r="F80" s="563"/>
      <c r="G80" s="563"/>
      <c r="H80" s="627"/>
      <c r="I80" s="622" t="s">
        <v>365</v>
      </c>
      <c r="J80" s="607"/>
      <c r="K80" s="567"/>
      <c r="L80" s="568"/>
      <c r="M80" s="626"/>
      <c r="N80" s="619"/>
      <c r="O80" s="623"/>
      <c r="P80" s="47"/>
      <c r="Q80" s="47"/>
      <c r="S80" s="572"/>
      <c r="U80" s="573"/>
      <c r="V80" s="574"/>
      <c r="W80" s="618"/>
      <c r="X80" s="576">
        <v>0.0</v>
      </c>
      <c r="Y80" s="630">
        <v>0.0</v>
      </c>
      <c r="Z80" s="630" t="s">
        <v>365</v>
      </c>
      <c r="AA80" s="631" t="b">
        <v>0</v>
      </c>
      <c r="AB80" s="631"/>
      <c r="AC80" s="576"/>
      <c r="AD80" s="479">
        <v>0.0</v>
      </c>
      <c r="AE80" s="632"/>
      <c r="AF80" s="582" t="s">
        <v>365</v>
      </c>
      <c r="AG80" s="583"/>
      <c r="AH80" s="584"/>
      <c r="AI80" s="583"/>
      <c r="AJ80" s="585"/>
      <c r="AK80" s="583"/>
      <c r="AL80" s="584"/>
      <c r="AM80" s="583"/>
      <c r="AN80" s="585"/>
      <c r="AO80" s="583"/>
      <c r="AP80" s="584"/>
      <c r="AQ80" s="583"/>
      <c r="AR80" s="585"/>
      <c r="AS80" s="583"/>
      <c r="AT80" s="584"/>
      <c r="AU80" s="583"/>
      <c r="AV80" s="585"/>
      <c r="AW80" s="583"/>
      <c r="AX80" s="584"/>
      <c r="AY80" s="583"/>
      <c r="AZ80" s="585"/>
      <c r="BA80" s="583"/>
      <c r="BB80" s="584"/>
      <c r="BC80" s="583"/>
      <c r="BD80" s="585"/>
      <c r="BE80" s="583"/>
      <c r="BF80" s="584"/>
      <c r="BG80" s="583"/>
      <c r="BH80" s="585"/>
      <c r="BI80" s="583"/>
      <c r="BJ80" s="584"/>
      <c r="BK80" s="583"/>
      <c r="BL80" s="585"/>
      <c r="BM80" s="583"/>
      <c r="BN80" s="584"/>
      <c r="BO80" s="583"/>
      <c r="BP80" s="585"/>
      <c r="BQ80" s="583"/>
      <c r="BR80" s="584"/>
      <c r="BS80" s="583"/>
      <c r="BT80" s="586"/>
      <c r="BU80" s="540"/>
      <c r="BV80" s="540"/>
      <c r="BW80" s="540"/>
      <c r="BX80" s="538"/>
      <c r="BY80" s="538"/>
      <c r="BZ80" s="592"/>
      <c r="CA80" s="633"/>
      <c r="CB80" s="592" t="s">
        <v>365</v>
      </c>
      <c r="CC80" s="592">
        <v>0.0</v>
      </c>
      <c r="CD80" s="592" t="s">
        <v>365</v>
      </c>
      <c r="CE80" s="592">
        <v>0.0</v>
      </c>
      <c r="CF80" s="592"/>
      <c r="CG80" s="592">
        <v>0.0</v>
      </c>
      <c r="CH80" s="592"/>
      <c r="CI80" s="633"/>
      <c r="CJ80" s="592">
        <v>0.0</v>
      </c>
      <c r="CK80" s="479" t="s">
        <v>365</v>
      </c>
      <c r="CL80" s="592"/>
      <c r="CM80" s="593"/>
      <c r="CN80" s="538"/>
      <c r="CO80" s="538"/>
      <c r="CP80" s="538"/>
      <c r="CQ80" s="538"/>
      <c r="CR80" s="538"/>
      <c r="CS80" s="538"/>
      <c r="CT80" s="538"/>
      <c r="CU80" s="538"/>
      <c r="CV80" s="538"/>
      <c r="CW80" s="538"/>
      <c r="CX80" s="538"/>
      <c r="CY80" s="538"/>
      <c r="CZ80" s="538"/>
      <c r="DA80" s="538"/>
      <c r="DB80" s="538"/>
      <c r="DC80" s="538"/>
      <c r="DD80" s="538"/>
      <c r="DE80" s="538"/>
      <c r="DF80" s="538"/>
      <c r="DG80" s="538"/>
      <c r="DH80" s="538"/>
      <c r="DI80" s="538"/>
      <c r="DJ80" s="538"/>
      <c r="DK80" s="538"/>
      <c r="DL80" s="538"/>
      <c r="DM80" s="538"/>
      <c r="DN80" s="538"/>
      <c r="DO80" s="538"/>
      <c r="DP80" s="538"/>
      <c r="DQ80" s="538"/>
      <c r="DR80" s="538"/>
      <c r="DS80" s="538"/>
      <c r="DT80" s="538"/>
      <c r="DU80" s="538"/>
      <c r="DV80" s="538"/>
      <c r="DW80" s="538"/>
      <c r="DX80" s="538"/>
      <c r="DY80" s="538"/>
      <c r="DZ80" s="538"/>
      <c r="EA80" s="538"/>
      <c r="EB80" s="538"/>
      <c r="EC80" s="538"/>
      <c r="ED80" s="538"/>
      <c r="EE80" s="538"/>
      <c r="EF80" s="538"/>
      <c r="EG80" s="538"/>
      <c r="EH80" s="538"/>
      <c r="EI80" s="538"/>
      <c r="EJ80" s="538"/>
      <c r="EK80" s="538"/>
      <c r="EL80" s="538"/>
      <c r="EM80" s="538"/>
      <c r="EN80" s="538"/>
      <c r="EO80" s="538"/>
      <c r="EP80" s="538"/>
      <c r="EQ80" s="538"/>
      <c r="ER80" s="538"/>
      <c r="ES80" s="538"/>
      <c r="ET80" s="538"/>
      <c r="EU80" s="538"/>
      <c r="EV80" s="538"/>
      <c r="EW80" s="538"/>
      <c r="EX80" s="559"/>
      <c r="EY80" s="559"/>
      <c r="EZ80" s="559"/>
      <c r="FA80" s="559"/>
      <c r="FB80" s="559"/>
      <c r="FC80" s="559"/>
      <c r="FD80" s="559"/>
      <c r="FE80" s="559"/>
      <c r="FF80" s="559"/>
      <c r="FG80" s="559"/>
      <c r="FH80" s="559"/>
      <c r="FI80" s="559"/>
      <c r="FJ80" s="559"/>
      <c r="FK80" s="559"/>
      <c r="FL80" s="559"/>
      <c r="FM80" s="559"/>
      <c r="FN80" s="559"/>
      <c r="FO80" s="559"/>
      <c r="FP80" s="559"/>
      <c r="FQ80" s="559"/>
      <c r="FR80" s="559"/>
      <c r="FS80" s="559"/>
      <c r="FT80" s="559"/>
      <c r="FU80" s="559"/>
      <c r="FV80" s="559"/>
      <c r="FW80" s="559"/>
      <c r="FX80" s="559"/>
      <c r="FY80" s="559"/>
      <c r="FZ80" s="559"/>
      <c r="GA80" s="559"/>
      <c r="GB80" s="559"/>
      <c r="GC80" s="559"/>
      <c r="GD80" s="559"/>
      <c r="GE80" s="559"/>
      <c r="GF80" s="559"/>
      <c r="GG80" s="559"/>
      <c r="GH80" s="559"/>
    </row>
    <row r="81">
      <c r="A81" s="538"/>
      <c r="B81" s="156"/>
      <c r="C81" s="444"/>
      <c r="D81" s="614"/>
      <c r="E81" s="66"/>
      <c r="F81" s="642"/>
      <c r="G81" s="642"/>
      <c r="H81" s="615"/>
      <c r="I81" s="616" t="s">
        <v>365</v>
      </c>
      <c r="J81" s="624"/>
      <c r="K81" s="643"/>
      <c r="L81" s="640"/>
      <c r="M81" s="625"/>
      <c r="N81" s="617"/>
      <c r="O81" s="621"/>
      <c r="P81" s="57"/>
      <c r="Q81" s="57"/>
      <c r="S81" s="605"/>
      <c r="U81" s="573"/>
      <c r="V81" s="574"/>
      <c r="W81" s="618"/>
      <c r="X81" s="576">
        <v>0.0</v>
      </c>
      <c r="Y81" s="630">
        <v>0.0</v>
      </c>
      <c r="Z81" s="630" t="s">
        <v>365</v>
      </c>
      <c r="AA81" s="631" t="b">
        <v>0</v>
      </c>
      <c r="AB81" s="631"/>
      <c r="AC81" s="576"/>
      <c r="AD81" s="479">
        <v>0.0</v>
      </c>
      <c r="AE81" s="632"/>
      <c r="AF81" s="582" t="s">
        <v>365</v>
      </c>
      <c r="AG81" s="583"/>
      <c r="AH81" s="584"/>
      <c r="AI81" s="583"/>
      <c r="AJ81" s="585"/>
      <c r="AK81" s="583"/>
      <c r="AL81" s="584"/>
      <c r="AM81" s="583"/>
      <c r="AN81" s="585"/>
      <c r="AO81" s="583"/>
      <c r="AP81" s="584"/>
      <c r="AQ81" s="583"/>
      <c r="AR81" s="585"/>
      <c r="AS81" s="583"/>
      <c r="AT81" s="584"/>
      <c r="AU81" s="583"/>
      <c r="AV81" s="585"/>
      <c r="AW81" s="583"/>
      <c r="AX81" s="584"/>
      <c r="AY81" s="583"/>
      <c r="AZ81" s="585"/>
      <c r="BA81" s="583"/>
      <c r="BB81" s="584"/>
      <c r="BC81" s="583"/>
      <c r="BD81" s="585"/>
      <c r="BE81" s="583"/>
      <c r="BF81" s="584"/>
      <c r="BG81" s="583"/>
      <c r="BH81" s="585"/>
      <c r="BI81" s="583"/>
      <c r="BJ81" s="584"/>
      <c r="BK81" s="583"/>
      <c r="BL81" s="585"/>
      <c r="BM81" s="583"/>
      <c r="BN81" s="584"/>
      <c r="BO81" s="583"/>
      <c r="BP81" s="585"/>
      <c r="BQ81" s="583"/>
      <c r="BR81" s="584"/>
      <c r="BS81" s="583"/>
      <c r="BT81" s="586"/>
      <c r="BU81" s="540"/>
      <c r="BV81" s="540"/>
      <c r="BW81" s="540"/>
      <c r="BX81" s="538"/>
      <c r="BY81" s="538"/>
      <c r="BZ81" s="592"/>
      <c r="CA81" s="633"/>
      <c r="CB81" s="592" t="s">
        <v>365</v>
      </c>
      <c r="CC81" s="592">
        <v>0.0</v>
      </c>
      <c r="CD81" s="592" t="s">
        <v>365</v>
      </c>
      <c r="CE81" s="592">
        <v>0.0</v>
      </c>
      <c r="CF81" s="592"/>
      <c r="CG81" s="592">
        <v>0.0</v>
      </c>
      <c r="CH81" s="592"/>
      <c r="CI81" s="633"/>
      <c r="CJ81" s="592">
        <v>0.0</v>
      </c>
      <c r="CK81" s="479" t="s">
        <v>365</v>
      </c>
      <c r="CL81" s="592"/>
      <c r="CM81" s="593"/>
      <c r="CN81" s="538"/>
      <c r="CO81" s="538"/>
      <c r="CP81" s="538"/>
      <c r="CQ81" s="538"/>
      <c r="CR81" s="538"/>
      <c r="CS81" s="538"/>
      <c r="CT81" s="538"/>
      <c r="CU81" s="538"/>
      <c r="CV81" s="538"/>
      <c r="CW81" s="538"/>
      <c r="CX81" s="538"/>
      <c r="CY81" s="538"/>
      <c r="CZ81" s="538"/>
      <c r="DA81" s="538"/>
      <c r="DB81" s="538"/>
      <c r="DC81" s="538"/>
      <c r="DD81" s="538"/>
      <c r="DE81" s="538"/>
      <c r="DF81" s="538"/>
      <c r="DG81" s="538"/>
      <c r="DH81" s="538"/>
      <c r="DI81" s="538"/>
      <c r="DJ81" s="538"/>
      <c r="DK81" s="538"/>
      <c r="DL81" s="538"/>
      <c r="DM81" s="538"/>
      <c r="DN81" s="538"/>
      <c r="DO81" s="538"/>
      <c r="DP81" s="538"/>
      <c r="DQ81" s="538"/>
      <c r="DR81" s="538"/>
      <c r="DS81" s="538"/>
      <c r="DT81" s="538"/>
      <c r="DU81" s="538"/>
      <c r="DV81" s="538"/>
      <c r="DW81" s="538"/>
      <c r="DX81" s="538"/>
      <c r="DY81" s="538"/>
      <c r="DZ81" s="538"/>
      <c r="EA81" s="538"/>
      <c r="EB81" s="538"/>
      <c r="EC81" s="538"/>
      <c r="ED81" s="538"/>
      <c r="EE81" s="538"/>
      <c r="EF81" s="538"/>
      <c r="EG81" s="538"/>
      <c r="EH81" s="538"/>
      <c r="EI81" s="538"/>
      <c r="EJ81" s="538"/>
      <c r="EK81" s="538"/>
      <c r="EL81" s="538"/>
      <c r="EM81" s="538"/>
      <c r="EN81" s="538"/>
      <c r="EO81" s="538"/>
      <c r="EP81" s="538"/>
      <c r="EQ81" s="538"/>
      <c r="ER81" s="538"/>
      <c r="ES81" s="538"/>
      <c r="ET81" s="538"/>
      <c r="EU81" s="538"/>
      <c r="EV81" s="538"/>
      <c r="EW81" s="538"/>
      <c r="EX81" s="559"/>
      <c r="EY81" s="559"/>
      <c r="EZ81" s="559"/>
      <c r="FA81" s="559"/>
      <c r="FB81" s="559"/>
      <c r="FC81" s="559"/>
      <c r="FD81" s="559"/>
      <c r="FE81" s="559"/>
      <c r="FF81" s="559"/>
      <c r="FG81" s="559"/>
      <c r="FH81" s="559"/>
      <c r="FI81" s="559"/>
      <c r="FJ81" s="559"/>
      <c r="FK81" s="559"/>
      <c r="FL81" s="559"/>
      <c r="FM81" s="559"/>
      <c r="FN81" s="559"/>
      <c r="FO81" s="559"/>
      <c r="FP81" s="559"/>
      <c r="FQ81" s="559"/>
      <c r="FR81" s="559"/>
      <c r="FS81" s="559"/>
      <c r="FT81" s="559"/>
      <c r="FU81" s="559"/>
      <c r="FV81" s="559"/>
      <c r="FW81" s="559"/>
      <c r="FX81" s="559"/>
      <c r="FY81" s="559"/>
      <c r="FZ81" s="559"/>
      <c r="GA81" s="559"/>
      <c r="GB81" s="559"/>
      <c r="GC81" s="559"/>
      <c r="GD81" s="559"/>
      <c r="GE81" s="559"/>
      <c r="GF81" s="559"/>
      <c r="GG81" s="559"/>
      <c r="GH81" s="559"/>
    </row>
    <row r="82">
      <c r="A82" s="538"/>
      <c r="B82" s="156"/>
      <c r="C82" s="444"/>
      <c r="D82" s="614"/>
      <c r="E82" s="606"/>
      <c r="F82" s="644"/>
      <c r="G82" s="644"/>
      <c r="H82" s="627"/>
      <c r="I82" s="622" t="s">
        <v>365</v>
      </c>
      <c r="J82" s="607"/>
      <c r="K82" s="641"/>
      <c r="L82" s="628"/>
      <c r="M82" s="626"/>
      <c r="N82" s="619"/>
      <c r="O82" s="623"/>
      <c r="P82" s="47"/>
      <c r="Q82" s="47"/>
      <c r="S82" s="572"/>
      <c r="U82" s="573"/>
      <c r="V82" s="574"/>
      <c r="W82" s="618"/>
      <c r="X82" s="576">
        <v>0.0</v>
      </c>
      <c r="Y82" s="630">
        <v>0.0</v>
      </c>
      <c r="Z82" s="630" t="s">
        <v>365</v>
      </c>
      <c r="AA82" s="631" t="b">
        <v>0</v>
      </c>
      <c r="AB82" s="631"/>
      <c r="AC82" s="576"/>
      <c r="AD82" s="479">
        <v>0.0</v>
      </c>
      <c r="AE82" s="632"/>
      <c r="AF82" s="582" t="s">
        <v>365</v>
      </c>
      <c r="AG82" s="583"/>
      <c r="AH82" s="584"/>
      <c r="AI82" s="583"/>
      <c r="AJ82" s="585"/>
      <c r="AK82" s="583"/>
      <c r="AL82" s="584"/>
      <c r="AM82" s="583"/>
      <c r="AN82" s="585"/>
      <c r="AO82" s="583"/>
      <c r="AP82" s="584"/>
      <c r="AQ82" s="583"/>
      <c r="AR82" s="585"/>
      <c r="AS82" s="583"/>
      <c r="AT82" s="584"/>
      <c r="AU82" s="583"/>
      <c r="AV82" s="585"/>
      <c r="AW82" s="583"/>
      <c r="AX82" s="584"/>
      <c r="AY82" s="583"/>
      <c r="AZ82" s="585"/>
      <c r="BA82" s="583"/>
      <c r="BB82" s="584"/>
      <c r="BC82" s="583"/>
      <c r="BD82" s="585"/>
      <c r="BE82" s="583"/>
      <c r="BF82" s="584"/>
      <c r="BG82" s="583"/>
      <c r="BH82" s="585"/>
      <c r="BI82" s="583"/>
      <c r="BJ82" s="584"/>
      <c r="BK82" s="583"/>
      <c r="BL82" s="585"/>
      <c r="BM82" s="583"/>
      <c r="BN82" s="584"/>
      <c r="BO82" s="583"/>
      <c r="BP82" s="585"/>
      <c r="BQ82" s="583"/>
      <c r="BR82" s="584"/>
      <c r="BS82" s="583"/>
      <c r="BT82" s="586"/>
      <c r="BU82" s="540"/>
      <c r="BV82" s="540"/>
      <c r="BW82" s="540"/>
      <c r="BX82" s="538"/>
      <c r="BY82" s="538"/>
      <c r="BZ82" s="592"/>
      <c r="CA82" s="633"/>
      <c r="CB82" s="592" t="s">
        <v>365</v>
      </c>
      <c r="CC82" s="592">
        <v>0.0</v>
      </c>
      <c r="CD82" s="592" t="s">
        <v>365</v>
      </c>
      <c r="CE82" s="592">
        <v>0.0</v>
      </c>
      <c r="CF82" s="592"/>
      <c r="CG82" s="592">
        <v>0.0</v>
      </c>
      <c r="CH82" s="592"/>
      <c r="CI82" s="633"/>
      <c r="CJ82" s="592">
        <v>0.0</v>
      </c>
      <c r="CK82" s="479" t="s">
        <v>365</v>
      </c>
      <c r="CL82" s="592"/>
      <c r="CM82" s="593"/>
      <c r="CN82" s="538"/>
      <c r="CO82" s="538"/>
      <c r="CP82" s="538"/>
      <c r="CQ82" s="538"/>
      <c r="CR82" s="538"/>
      <c r="CS82" s="538"/>
      <c r="CT82" s="538"/>
      <c r="CU82" s="538"/>
      <c r="CV82" s="538"/>
      <c r="CW82" s="538"/>
      <c r="CX82" s="538"/>
      <c r="CY82" s="538"/>
      <c r="CZ82" s="538"/>
      <c r="DA82" s="538"/>
      <c r="DB82" s="538"/>
      <c r="DC82" s="538"/>
      <c r="DD82" s="538"/>
      <c r="DE82" s="538"/>
      <c r="DF82" s="538"/>
      <c r="DG82" s="538"/>
      <c r="DH82" s="538"/>
      <c r="DI82" s="538"/>
      <c r="DJ82" s="538"/>
      <c r="DK82" s="538"/>
      <c r="DL82" s="538"/>
      <c r="DM82" s="538"/>
      <c r="DN82" s="538"/>
      <c r="DO82" s="538"/>
      <c r="DP82" s="538"/>
      <c r="DQ82" s="538"/>
      <c r="DR82" s="538"/>
      <c r="DS82" s="538"/>
      <c r="DT82" s="538"/>
      <c r="DU82" s="538"/>
      <c r="DV82" s="538"/>
      <c r="DW82" s="538"/>
      <c r="DX82" s="538"/>
      <c r="DY82" s="538"/>
      <c r="DZ82" s="538"/>
      <c r="EA82" s="538"/>
      <c r="EB82" s="538"/>
      <c r="EC82" s="538"/>
      <c r="ED82" s="538"/>
      <c r="EE82" s="538"/>
      <c r="EF82" s="538"/>
      <c r="EG82" s="538"/>
      <c r="EH82" s="538"/>
      <c r="EI82" s="538"/>
      <c r="EJ82" s="538"/>
      <c r="EK82" s="538"/>
      <c r="EL82" s="538"/>
      <c r="EM82" s="538"/>
      <c r="EN82" s="538"/>
      <c r="EO82" s="538"/>
      <c r="EP82" s="538"/>
      <c r="EQ82" s="538"/>
      <c r="ER82" s="538"/>
      <c r="ES82" s="538"/>
      <c r="ET82" s="538"/>
      <c r="EU82" s="538"/>
      <c r="EV82" s="538"/>
      <c r="EW82" s="538"/>
      <c r="EX82" s="559"/>
      <c r="EY82" s="559"/>
      <c r="EZ82" s="559"/>
      <c r="FA82" s="559"/>
      <c r="FB82" s="559"/>
      <c r="FC82" s="559"/>
      <c r="FD82" s="559"/>
      <c r="FE82" s="559"/>
      <c r="FF82" s="559"/>
      <c r="FG82" s="559"/>
      <c r="FH82" s="559"/>
      <c r="FI82" s="559"/>
      <c r="FJ82" s="559"/>
      <c r="FK82" s="559"/>
      <c r="FL82" s="559"/>
      <c r="FM82" s="559"/>
      <c r="FN82" s="559"/>
      <c r="FO82" s="559"/>
      <c r="FP82" s="559"/>
      <c r="FQ82" s="559"/>
      <c r="FR82" s="559"/>
      <c r="FS82" s="559"/>
      <c r="FT82" s="559"/>
      <c r="FU82" s="559"/>
      <c r="FV82" s="559"/>
      <c r="FW82" s="559"/>
      <c r="FX82" s="559"/>
      <c r="FY82" s="559"/>
      <c r="FZ82" s="559"/>
      <c r="GA82" s="559"/>
      <c r="GB82" s="559"/>
      <c r="GC82" s="559"/>
      <c r="GD82" s="559"/>
      <c r="GE82" s="559"/>
      <c r="GF82" s="559"/>
      <c r="GG82" s="559"/>
      <c r="GH82" s="559"/>
    </row>
    <row r="83">
      <c r="A83" s="538"/>
      <c r="B83" s="156"/>
      <c r="C83" s="444"/>
      <c r="D83" s="614"/>
      <c r="E83" s="595"/>
      <c r="F83" s="596"/>
      <c r="G83" s="596"/>
      <c r="H83" s="597"/>
      <c r="I83" s="616" t="s">
        <v>365</v>
      </c>
      <c r="J83" s="624"/>
      <c r="K83" s="600"/>
      <c r="L83" s="601"/>
      <c r="M83" s="602"/>
      <c r="N83" s="603"/>
      <c r="O83" s="134"/>
      <c r="P83" s="57"/>
      <c r="Q83" s="57"/>
      <c r="S83" s="605"/>
      <c r="U83" s="573"/>
      <c r="V83" s="574"/>
      <c r="W83" s="618"/>
      <c r="X83" s="576">
        <v>0.0</v>
      </c>
      <c r="Y83" s="630">
        <v>0.0</v>
      </c>
      <c r="Z83" s="630" t="s">
        <v>365</v>
      </c>
      <c r="AA83" s="631" t="b">
        <v>0</v>
      </c>
      <c r="AB83" s="631"/>
      <c r="AC83" s="576"/>
      <c r="AD83" s="479">
        <v>0.0</v>
      </c>
      <c r="AE83" s="632"/>
      <c r="AF83" s="582" t="s">
        <v>365</v>
      </c>
      <c r="AG83" s="583"/>
      <c r="AH83" s="584"/>
      <c r="AI83" s="583"/>
      <c r="AJ83" s="585"/>
      <c r="AK83" s="583"/>
      <c r="AL83" s="584"/>
      <c r="AM83" s="583"/>
      <c r="AN83" s="585"/>
      <c r="AO83" s="583"/>
      <c r="AP83" s="584"/>
      <c r="AQ83" s="583"/>
      <c r="AR83" s="585"/>
      <c r="AS83" s="583"/>
      <c r="AT83" s="584"/>
      <c r="AU83" s="583"/>
      <c r="AV83" s="585"/>
      <c r="AW83" s="583"/>
      <c r="AX83" s="584"/>
      <c r="AY83" s="583"/>
      <c r="AZ83" s="585"/>
      <c r="BA83" s="583"/>
      <c r="BB83" s="584"/>
      <c r="BC83" s="583"/>
      <c r="BD83" s="585"/>
      <c r="BE83" s="583"/>
      <c r="BF83" s="584"/>
      <c r="BG83" s="583"/>
      <c r="BH83" s="585"/>
      <c r="BI83" s="583"/>
      <c r="BJ83" s="584"/>
      <c r="BK83" s="583"/>
      <c r="BL83" s="585"/>
      <c r="BM83" s="583"/>
      <c r="BN83" s="584"/>
      <c r="BO83" s="583"/>
      <c r="BP83" s="585"/>
      <c r="BQ83" s="583"/>
      <c r="BR83" s="584"/>
      <c r="BS83" s="583"/>
      <c r="BT83" s="586"/>
      <c r="BU83" s="540"/>
      <c r="BV83" s="540"/>
      <c r="BW83" s="540"/>
      <c r="BX83" s="538"/>
      <c r="BY83" s="538"/>
      <c r="BZ83" s="592"/>
      <c r="CA83" s="633"/>
      <c r="CB83" s="592" t="s">
        <v>365</v>
      </c>
      <c r="CC83" s="592">
        <v>0.0</v>
      </c>
      <c r="CD83" s="592" t="s">
        <v>365</v>
      </c>
      <c r="CE83" s="592">
        <v>0.0</v>
      </c>
      <c r="CF83" s="592"/>
      <c r="CG83" s="592">
        <v>0.0</v>
      </c>
      <c r="CH83" s="592"/>
      <c r="CI83" s="633"/>
      <c r="CJ83" s="592">
        <v>0.0</v>
      </c>
      <c r="CK83" s="479" t="s">
        <v>365</v>
      </c>
      <c r="CL83" s="592"/>
      <c r="CM83" s="593"/>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c r="DS83" s="538"/>
      <c r="DT83" s="538"/>
      <c r="DU83" s="538"/>
      <c r="DV83" s="538"/>
      <c r="DW83" s="538"/>
      <c r="DX83" s="538"/>
      <c r="DY83" s="538"/>
      <c r="DZ83" s="538"/>
      <c r="EA83" s="538"/>
      <c r="EB83" s="538"/>
      <c r="EC83" s="538"/>
      <c r="ED83" s="538"/>
      <c r="EE83" s="538"/>
      <c r="EF83" s="538"/>
      <c r="EG83" s="538"/>
      <c r="EH83" s="538"/>
      <c r="EI83" s="538"/>
      <c r="EJ83" s="538"/>
      <c r="EK83" s="538"/>
      <c r="EL83" s="538"/>
      <c r="EM83" s="538"/>
      <c r="EN83" s="538"/>
      <c r="EO83" s="538"/>
      <c r="EP83" s="538"/>
      <c r="EQ83" s="538"/>
      <c r="ER83" s="538"/>
      <c r="ES83" s="538"/>
      <c r="ET83" s="538"/>
      <c r="EU83" s="538"/>
      <c r="EV83" s="538"/>
      <c r="EW83" s="538"/>
      <c r="EX83" s="559"/>
      <c r="EY83" s="559"/>
      <c r="EZ83" s="559"/>
      <c r="FA83" s="559"/>
      <c r="FB83" s="559"/>
      <c r="FC83" s="559"/>
      <c r="FD83" s="559"/>
      <c r="FE83" s="559"/>
      <c r="FF83" s="559"/>
      <c r="FG83" s="559"/>
      <c r="FH83" s="559"/>
      <c r="FI83" s="559"/>
      <c r="FJ83" s="559"/>
      <c r="FK83" s="559"/>
      <c r="FL83" s="559"/>
      <c r="FM83" s="559"/>
      <c r="FN83" s="559"/>
      <c r="FO83" s="559"/>
      <c r="FP83" s="559"/>
      <c r="FQ83" s="559"/>
      <c r="FR83" s="559"/>
      <c r="FS83" s="559"/>
      <c r="FT83" s="559"/>
      <c r="FU83" s="559"/>
      <c r="FV83" s="559"/>
      <c r="FW83" s="559"/>
      <c r="FX83" s="559"/>
      <c r="FY83" s="559"/>
      <c r="FZ83" s="559"/>
      <c r="GA83" s="559"/>
      <c r="GB83" s="559"/>
      <c r="GC83" s="559"/>
      <c r="GD83" s="559"/>
      <c r="GE83" s="559"/>
      <c r="GF83" s="559"/>
      <c r="GG83" s="559"/>
      <c r="GH83" s="559"/>
    </row>
    <row r="84">
      <c r="A84" s="538"/>
      <c r="B84" s="156"/>
      <c r="C84" s="444"/>
      <c r="D84" s="614"/>
      <c r="E84" s="68"/>
      <c r="F84" s="644"/>
      <c r="G84" s="644"/>
      <c r="H84" s="627"/>
      <c r="I84" s="622" t="s">
        <v>365</v>
      </c>
      <c r="J84" s="607"/>
      <c r="K84" s="641"/>
      <c r="L84" s="628"/>
      <c r="M84" s="626"/>
      <c r="N84" s="619"/>
      <c r="O84" s="560"/>
      <c r="P84" s="47"/>
      <c r="Q84" s="47"/>
      <c r="S84" s="572"/>
      <c r="U84" s="573"/>
      <c r="V84" s="574"/>
      <c r="W84" s="618"/>
      <c r="X84" s="576">
        <v>0.0</v>
      </c>
      <c r="Y84" s="630">
        <v>0.0</v>
      </c>
      <c r="Z84" s="630" t="s">
        <v>365</v>
      </c>
      <c r="AA84" s="631" t="b">
        <v>0</v>
      </c>
      <c r="AB84" s="631"/>
      <c r="AC84" s="576"/>
      <c r="AD84" s="479">
        <v>0.0</v>
      </c>
      <c r="AE84" s="632"/>
      <c r="AF84" s="582" t="s">
        <v>365</v>
      </c>
      <c r="AG84" s="583"/>
      <c r="AH84" s="584"/>
      <c r="AI84" s="583"/>
      <c r="AJ84" s="585"/>
      <c r="AK84" s="583"/>
      <c r="AL84" s="584"/>
      <c r="AM84" s="583"/>
      <c r="AN84" s="585"/>
      <c r="AO84" s="583"/>
      <c r="AP84" s="584"/>
      <c r="AQ84" s="583"/>
      <c r="AR84" s="585"/>
      <c r="AS84" s="583"/>
      <c r="AT84" s="584"/>
      <c r="AU84" s="583"/>
      <c r="AV84" s="585"/>
      <c r="AW84" s="583"/>
      <c r="AX84" s="584"/>
      <c r="AY84" s="583"/>
      <c r="AZ84" s="585"/>
      <c r="BA84" s="583"/>
      <c r="BB84" s="584"/>
      <c r="BC84" s="583"/>
      <c r="BD84" s="585"/>
      <c r="BE84" s="583"/>
      <c r="BF84" s="584"/>
      <c r="BG84" s="583"/>
      <c r="BH84" s="585"/>
      <c r="BI84" s="583"/>
      <c r="BJ84" s="584"/>
      <c r="BK84" s="583"/>
      <c r="BL84" s="585"/>
      <c r="BM84" s="583"/>
      <c r="BN84" s="584"/>
      <c r="BO84" s="583"/>
      <c r="BP84" s="585"/>
      <c r="BQ84" s="583"/>
      <c r="BR84" s="584"/>
      <c r="BS84" s="583"/>
      <c r="BT84" s="586"/>
      <c r="BU84" s="540"/>
      <c r="BV84" s="540"/>
      <c r="BW84" s="540"/>
      <c r="BX84" s="538"/>
      <c r="BY84" s="538"/>
      <c r="BZ84" s="592"/>
      <c r="CA84" s="633"/>
      <c r="CB84" s="592" t="s">
        <v>365</v>
      </c>
      <c r="CC84" s="592">
        <v>0.0</v>
      </c>
      <c r="CD84" s="592" t="s">
        <v>365</v>
      </c>
      <c r="CE84" s="592">
        <v>0.0</v>
      </c>
      <c r="CF84" s="592"/>
      <c r="CG84" s="592">
        <v>0.0</v>
      </c>
      <c r="CH84" s="592"/>
      <c r="CI84" s="633"/>
      <c r="CJ84" s="592">
        <v>0.0</v>
      </c>
      <c r="CK84" s="479" t="s">
        <v>365</v>
      </c>
      <c r="CL84" s="592"/>
      <c r="CM84" s="593"/>
      <c r="CN84" s="538"/>
      <c r="CO84" s="538"/>
      <c r="CP84" s="538"/>
      <c r="CQ84" s="538"/>
      <c r="CR84" s="538"/>
      <c r="CS84" s="538"/>
      <c r="CT84" s="538"/>
      <c r="CU84" s="538"/>
      <c r="CV84" s="538"/>
      <c r="CW84" s="538"/>
      <c r="CX84" s="538"/>
      <c r="CY84" s="538"/>
      <c r="CZ84" s="538"/>
      <c r="DA84" s="538"/>
      <c r="DB84" s="538"/>
      <c r="DC84" s="538"/>
      <c r="DD84" s="538"/>
      <c r="DE84" s="538"/>
      <c r="DF84" s="538"/>
      <c r="DG84" s="538"/>
      <c r="DH84" s="538"/>
      <c r="DI84" s="538"/>
      <c r="DJ84" s="538"/>
      <c r="DK84" s="538"/>
      <c r="DL84" s="538"/>
      <c r="DM84" s="538"/>
      <c r="DN84" s="538"/>
      <c r="DO84" s="538"/>
      <c r="DP84" s="538"/>
      <c r="DQ84" s="538"/>
      <c r="DR84" s="538"/>
      <c r="DS84" s="538"/>
      <c r="DT84" s="538"/>
      <c r="DU84" s="538"/>
      <c r="DV84" s="538"/>
      <c r="DW84" s="538"/>
      <c r="DX84" s="538"/>
      <c r="DY84" s="538"/>
      <c r="DZ84" s="538"/>
      <c r="EA84" s="538"/>
      <c r="EB84" s="538"/>
      <c r="EC84" s="538"/>
      <c r="ED84" s="538"/>
      <c r="EE84" s="538"/>
      <c r="EF84" s="538"/>
      <c r="EG84" s="538"/>
      <c r="EH84" s="538"/>
      <c r="EI84" s="538"/>
      <c r="EJ84" s="538"/>
      <c r="EK84" s="538"/>
      <c r="EL84" s="538"/>
      <c r="EM84" s="538"/>
      <c r="EN84" s="538"/>
      <c r="EO84" s="538"/>
      <c r="EP84" s="538"/>
      <c r="EQ84" s="538"/>
      <c r="ER84" s="538"/>
      <c r="ES84" s="538"/>
      <c r="ET84" s="538"/>
      <c r="EU84" s="538"/>
      <c r="EV84" s="538"/>
      <c r="EW84" s="538"/>
      <c r="EX84" s="559"/>
      <c r="EY84" s="559"/>
      <c r="EZ84" s="559"/>
      <c r="FA84" s="559"/>
      <c r="FB84" s="559"/>
      <c r="FC84" s="559"/>
      <c r="FD84" s="559"/>
      <c r="FE84" s="559"/>
      <c r="FF84" s="559"/>
      <c r="FG84" s="559"/>
      <c r="FH84" s="559"/>
      <c r="FI84" s="559"/>
      <c r="FJ84" s="559"/>
      <c r="FK84" s="559"/>
      <c r="FL84" s="559"/>
      <c r="FM84" s="559"/>
      <c r="FN84" s="559"/>
      <c r="FO84" s="559"/>
      <c r="FP84" s="559"/>
      <c r="FQ84" s="559"/>
      <c r="FR84" s="559"/>
      <c r="FS84" s="559"/>
      <c r="FT84" s="559"/>
      <c r="FU84" s="559"/>
      <c r="FV84" s="559"/>
      <c r="FW84" s="559"/>
      <c r="FX84" s="559"/>
      <c r="FY84" s="559"/>
      <c r="FZ84" s="559"/>
      <c r="GA84" s="559"/>
      <c r="GB84" s="559"/>
      <c r="GC84" s="559"/>
      <c r="GD84" s="559"/>
      <c r="GE84" s="559"/>
      <c r="GF84" s="559"/>
      <c r="GG84" s="559"/>
      <c r="GH84" s="559"/>
    </row>
    <row r="85">
      <c r="A85" s="538"/>
      <c r="B85" s="156"/>
      <c r="C85" s="444"/>
      <c r="D85" s="614"/>
      <c r="E85" s="66"/>
      <c r="F85" s="642"/>
      <c r="G85" s="642"/>
      <c r="H85" s="615"/>
      <c r="I85" s="616" t="s">
        <v>365</v>
      </c>
      <c r="J85" s="624"/>
      <c r="K85" s="643"/>
      <c r="L85" s="640"/>
      <c r="M85" s="625"/>
      <c r="N85" s="617"/>
      <c r="O85" s="134"/>
      <c r="P85" s="57"/>
      <c r="Q85" s="57"/>
      <c r="S85" s="605"/>
      <c r="U85" s="573"/>
      <c r="V85" s="574"/>
      <c r="W85" s="618"/>
      <c r="X85" s="576">
        <v>0.0</v>
      </c>
      <c r="Y85" s="630">
        <v>0.0</v>
      </c>
      <c r="Z85" s="630" t="s">
        <v>365</v>
      </c>
      <c r="AA85" s="631" t="b">
        <v>0</v>
      </c>
      <c r="AB85" s="631"/>
      <c r="AC85" s="576"/>
      <c r="AD85" s="479">
        <v>0.0</v>
      </c>
      <c r="AE85" s="632"/>
      <c r="AF85" s="582" t="s">
        <v>365</v>
      </c>
      <c r="AG85" s="583"/>
      <c r="AH85" s="584"/>
      <c r="AI85" s="583"/>
      <c r="AJ85" s="585"/>
      <c r="AK85" s="583"/>
      <c r="AL85" s="584"/>
      <c r="AM85" s="583"/>
      <c r="AN85" s="585"/>
      <c r="AO85" s="583"/>
      <c r="AP85" s="584"/>
      <c r="AQ85" s="583"/>
      <c r="AR85" s="585"/>
      <c r="AS85" s="583"/>
      <c r="AT85" s="584"/>
      <c r="AU85" s="583"/>
      <c r="AV85" s="585"/>
      <c r="AW85" s="583"/>
      <c r="AX85" s="584"/>
      <c r="AY85" s="583"/>
      <c r="AZ85" s="585"/>
      <c r="BA85" s="583"/>
      <c r="BB85" s="584"/>
      <c r="BC85" s="583"/>
      <c r="BD85" s="585"/>
      <c r="BE85" s="583"/>
      <c r="BF85" s="584"/>
      <c r="BG85" s="583"/>
      <c r="BH85" s="585"/>
      <c r="BI85" s="583"/>
      <c r="BJ85" s="584"/>
      <c r="BK85" s="583"/>
      <c r="BL85" s="585"/>
      <c r="BM85" s="583"/>
      <c r="BN85" s="584"/>
      <c r="BO85" s="583"/>
      <c r="BP85" s="585"/>
      <c r="BQ85" s="583"/>
      <c r="BR85" s="584"/>
      <c r="BS85" s="583"/>
      <c r="BT85" s="586"/>
      <c r="BU85" s="540"/>
      <c r="BV85" s="540"/>
      <c r="BW85" s="540"/>
      <c r="BX85" s="538"/>
      <c r="BY85" s="538"/>
      <c r="BZ85" s="592"/>
      <c r="CA85" s="633"/>
      <c r="CB85" s="592" t="s">
        <v>365</v>
      </c>
      <c r="CC85" s="592">
        <v>0.0</v>
      </c>
      <c r="CD85" s="592" t="s">
        <v>365</v>
      </c>
      <c r="CE85" s="592">
        <v>0.0</v>
      </c>
      <c r="CF85" s="592"/>
      <c r="CG85" s="592">
        <v>0.0</v>
      </c>
      <c r="CH85" s="592"/>
      <c r="CI85" s="633"/>
      <c r="CJ85" s="592">
        <v>0.0</v>
      </c>
      <c r="CK85" s="479" t="s">
        <v>365</v>
      </c>
      <c r="CL85" s="592"/>
      <c r="CM85" s="593"/>
      <c r="CN85" s="538"/>
      <c r="CO85" s="538"/>
      <c r="CP85" s="538"/>
      <c r="CQ85" s="538"/>
      <c r="CR85" s="538"/>
      <c r="CS85" s="538"/>
      <c r="CT85" s="538"/>
      <c r="CU85" s="538"/>
      <c r="CV85" s="538"/>
      <c r="CW85" s="538"/>
      <c r="CX85" s="538"/>
      <c r="CY85" s="538"/>
      <c r="CZ85" s="538"/>
      <c r="DA85" s="538"/>
      <c r="DB85" s="538"/>
      <c r="DC85" s="538"/>
      <c r="DD85" s="538"/>
      <c r="DE85" s="538"/>
      <c r="DF85" s="538"/>
      <c r="DG85" s="538"/>
      <c r="DH85" s="538"/>
      <c r="DI85" s="538"/>
      <c r="DJ85" s="538"/>
      <c r="DK85" s="538"/>
      <c r="DL85" s="538"/>
      <c r="DM85" s="538"/>
      <c r="DN85" s="538"/>
      <c r="DO85" s="538"/>
      <c r="DP85" s="538"/>
      <c r="DQ85" s="538"/>
      <c r="DR85" s="538"/>
      <c r="DS85" s="538"/>
      <c r="DT85" s="538"/>
      <c r="DU85" s="538"/>
      <c r="DV85" s="538"/>
      <c r="DW85" s="538"/>
      <c r="DX85" s="538"/>
      <c r="DY85" s="538"/>
      <c r="DZ85" s="538"/>
      <c r="EA85" s="538"/>
      <c r="EB85" s="538"/>
      <c r="EC85" s="538"/>
      <c r="ED85" s="538"/>
      <c r="EE85" s="538"/>
      <c r="EF85" s="538"/>
      <c r="EG85" s="538"/>
      <c r="EH85" s="538"/>
      <c r="EI85" s="538"/>
      <c r="EJ85" s="538"/>
      <c r="EK85" s="538"/>
      <c r="EL85" s="538"/>
      <c r="EM85" s="538"/>
      <c r="EN85" s="538"/>
      <c r="EO85" s="538"/>
      <c r="EP85" s="538"/>
      <c r="EQ85" s="538"/>
      <c r="ER85" s="538"/>
      <c r="ES85" s="538"/>
      <c r="ET85" s="538"/>
      <c r="EU85" s="538"/>
      <c r="EV85" s="538"/>
      <c r="EW85" s="538"/>
      <c r="EX85" s="559"/>
      <c r="EY85" s="559"/>
      <c r="EZ85" s="559"/>
      <c r="FA85" s="559"/>
      <c r="FB85" s="559"/>
      <c r="FC85" s="559"/>
      <c r="FD85" s="559"/>
      <c r="FE85" s="559"/>
      <c r="FF85" s="559"/>
      <c r="FG85" s="559"/>
      <c r="FH85" s="559"/>
      <c r="FI85" s="559"/>
      <c r="FJ85" s="559"/>
      <c r="FK85" s="559"/>
      <c r="FL85" s="559"/>
      <c r="FM85" s="559"/>
      <c r="FN85" s="559"/>
      <c r="FO85" s="559"/>
      <c r="FP85" s="559"/>
      <c r="FQ85" s="559"/>
      <c r="FR85" s="559"/>
      <c r="FS85" s="559"/>
      <c r="FT85" s="559"/>
      <c r="FU85" s="559"/>
      <c r="FV85" s="559"/>
      <c r="FW85" s="559"/>
      <c r="FX85" s="559"/>
      <c r="FY85" s="559"/>
      <c r="FZ85" s="559"/>
      <c r="GA85" s="559"/>
      <c r="GB85" s="559"/>
      <c r="GC85" s="559"/>
      <c r="GD85" s="559"/>
      <c r="GE85" s="559"/>
      <c r="GF85" s="559"/>
      <c r="GG85" s="559"/>
      <c r="GH85" s="559"/>
    </row>
    <row r="86">
      <c r="A86" s="538"/>
      <c r="B86" s="156"/>
      <c r="C86" s="444"/>
      <c r="D86" s="614"/>
      <c r="E86" s="68"/>
      <c r="F86" s="644"/>
      <c r="G86" s="644"/>
      <c r="H86" s="627"/>
      <c r="I86" s="622" t="s">
        <v>365</v>
      </c>
      <c r="J86" s="607"/>
      <c r="K86" s="641"/>
      <c r="L86" s="628"/>
      <c r="M86" s="626"/>
      <c r="N86" s="619"/>
      <c r="O86" s="560"/>
      <c r="P86" s="47"/>
      <c r="Q86" s="47"/>
      <c r="S86" s="572"/>
      <c r="U86" s="573"/>
      <c r="V86" s="574"/>
      <c r="W86" s="618"/>
      <c r="X86" s="576">
        <v>0.0</v>
      </c>
      <c r="Y86" s="630">
        <v>0.0</v>
      </c>
      <c r="Z86" s="630" t="s">
        <v>365</v>
      </c>
      <c r="AA86" s="631" t="b">
        <v>0</v>
      </c>
      <c r="AB86" s="631"/>
      <c r="AC86" s="576"/>
      <c r="AD86" s="479">
        <v>0.0</v>
      </c>
      <c r="AE86" s="632"/>
      <c r="AF86" s="582" t="s">
        <v>365</v>
      </c>
      <c r="AG86" s="583"/>
      <c r="AH86" s="584"/>
      <c r="AI86" s="583"/>
      <c r="AJ86" s="585"/>
      <c r="AK86" s="583"/>
      <c r="AL86" s="584"/>
      <c r="AM86" s="583"/>
      <c r="AN86" s="585"/>
      <c r="AO86" s="583"/>
      <c r="AP86" s="584"/>
      <c r="AQ86" s="583"/>
      <c r="AR86" s="585"/>
      <c r="AS86" s="583"/>
      <c r="AT86" s="584"/>
      <c r="AU86" s="583"/>
      <c r="AV86" s="585"/>
      <c r="AW86" s="583"/>
      <c r="AX86" s="584"/>
      <c r="AY86" s="583"/>
      <c r="AZ86" s="585"/>
      <c r="BA86" s="583"/>
      <c r="BB86" s="584"/>
      <c r="BC86" s="583"/>
      <c r="BD86" s="585"/>
      <c r="BE86" s="583"/>
      <c r="BF86" s="584"/>
      <c r="BG86" s="583"/>
      <c r="BH86" s="585"/>
      <c r="BI86" s="583"/>
      <c r="BJ86" s="584"/>
      <c r="BK86" s="583"/>
      <c r="BL86" s="585"/>
      <c r="BM86" s="583"/>
      <c r="BN86" s="584"/>
      <c r="BO86" s="583"/>
      <c r="BP86" s="585"/>
      <c r="BQ86" s="583"/>
      <c r="BR86" s="584"/>
      <c r="BS86" s="583"/>
      <c r="BT86" s="586"/>
      <c r="BU86" s="540"/>
      <c r="BV86" s="540"/>
      <c r="BW86" s="540"/>
      <c r="BX86" s="538"/>
      <c r="BY86" s="538"/>
      <c r="BZ86" s="592"/>
      <c r="CA86" s="633"/>
      <c r="CB86" s="592" t="s">
        <v>365</v>
      </c>
      <c r="CC86" s="592">
        <v>0.0</v>
      </c>
      <c r="CD86" s="592" t="s">
        <v>365</v>
      </c>
      <c r="CE86" s="592">
        <v>0.0</v>
      </c>
      <c r="CF86" s="592"/>
      <c r="CG86" s="592">
        <v>0.0</v>
      </c>
      <c r="CH86" s="592"/>
      <c r="CI86" s="633"/>
      <c r="CJ86" s="592">
        <v>0.0</v>
      </c>
      <c r="CK86" s="479" t="s">
        <v>365</v>
      </c>
      <c r="CL86" s="592"/>
      <c r="CM86" s="593"/>
      <c r="CN86" s="538"/>
      <c r="CO86" s="538"/>
      <c r="CP86" s="538"/>
      <c r="CQ86" s="538"/>
      <c r="CR86" s="538"/>
      <c r="CS86" s="538"/>
      <c r="CT86" s="538"/>
      <c r="CU86" s="538"/>
      <c r="CV86" s="538"/>
      <c r="CW86" s="538"/>
      <c r="CX86" s="538"/>
      <c r="CY86" s="538"/>
      <c r="CZ86" s="538"/>
      <c r="DA86" s="538"/>
      <c r="DB86" s="538"/>
      <c r="DC86" s="538"/>
      <c r="DD86" s="538"/>
      <c r="DE86" s="538"/>
      <c r="DF86" s="538"/>
      <c r="DG86" s="538"/>
      <c r="DH86" s="538"/>
      <c r="DI86" s="538"/>
      <c r="DJ86" s="538"/>
      <c r="DK86" s="538"/>
      <c r="DL86" s="538"/>
      <c r="DM86" s="538"/>
      <c r="DN86" s="538"/>
      <c r="DO86" s="538"/>
      <c r="DP86" s="538"/>
      <c r="DQ86" s="538"/>
      <c r="DR86" s="538"/>
      <c r="DS86" s="538"/>
      <c r="DT86" s="538"/>
      <c r="DU86" s="538"/>
      <c r="DV86" s="538"/>
      <c r="DW86" s="538"/>
      <c r="DX86" s="538"/>
      <c r="DY86" s="538"/>
      <c r="DZ86" s="538"/>
      <c r="EA86" s="538"/>
      <c r="EB86" s="538"/>
      <c r="EC86" s="538"/>
      <c r="ED86" s="538"/>
      <c r="EE86" s="538"/>
      <c r="EF86" s="538"/>
      <c r="EG86" s="538"/>
      <c r="EH86" s="538"/>
      <c r="EI86" s="538"/>
      <c r="EJ86" s="538"/>
      <c r="EK86" s="538"/>
      <c r="EL86" s="538"/>
      <c r="EM86" s="538"/>
      <c r="EN86" s="538"/>
      <c r="EO86" s="538"/>
      <c r="EP86" s="538"/>
      <c r="EQ86" s="538"/>
      <c r="ER86" s="538"/>
      <c r="ES86" s="538"/>
      <c r="ET86" s="538"/>
      <c r="EU86" s="538"/>
      <c r="EV86" s="538"/>
      <c r="EW86" s="538"/>
      <c r="EX86" s="559"/>
      <c r="EY86" s="559"/>
      <c r="EZ86" s="559"/>
      <c r="FA86" s="559"/>
      <c r="FB86" s="559"/>
      <c r="FC86" s="559"/>
      <c r="FD86" s="559"/>
      <c r="FE86" s="559"/>
      <c r="FF86" s="559"/>
      <c r="FG86" s="559"/>
      <c r="FH86" s="559"/>
      <c r="FI86" s="559"/>
      <c r="FJ86" s="559"/>
      <c r="FK86" s="559"/>
      <c r="FL86" s="559"/>
      <c r="FM86" s="559"/>
      <c r="FN86" s="559"/>
      <c r="FO86" s="559"/>
      <c r="FP86" s="559"/>
      <c r="FQ86" s="559"/>
      <c r="FR86" s="559"/>
      <c r="FS86" s="559"/>
      <c r="FT86" s="559"/>
      <c r="FU86" s="559"/>
      <c r="FV86" s="559"/>
      <c r="FW86" s="559"/>
      <c r="FX86" s="559"/>
      <c r="FY86" s="559"/>
      <c r="FZ86" s="559"/>
      <c r="GA86" s="559"/>
      <c r="GB86" s="559"/>
      <c r="GC86" s="559"/>
      <c r="GD86" s="559"/>
      <c r="GE86" s="559"/>
      <c r="GF86" s="559"/>
      <c r="GG86" s="559"/>
      <c r="GH86" s="559"/>
    </row>
    <row r="87">
      <c r="A87" s="538"/>
      <c r="B87" s="156"/>
      <c r="C87" s="444"/>
      <c r="D87" s="614"/>
      <c r="E87" s="66"/>
      <c r="F87" s="642"/>
      <c r="G87" s="642"/>
      <c r="H87" s="615"/>
      <c r="I87" s="616" t="s">
        <v>365</v>
      </c>
      <c r="J87" s="624"/>
      <c r="K87" s="643"/>
      <c r="L87" s="640"/>
      <c r="M87" s="625"/>
      <c r="N87" s="617"/>
      <c r="O87" s="134"/>
      <c r="P87" s="57"/>
      <c r="Q87" s="57"/>
      <c r="S87" s="605"/>
      <c r="U87" s="573"/>
      <c r="V87" s="574"/>
      <c r="W87" s="618"/>
      <c r="X87" s="576">
        <v>0.0</v>
      </c>
      <c r="Y87" s="630">
        <v>0.0</v>
      </c>
      <c r="Z87" s="630" t="s">
        <v>365</v>
      </c>
      <c r="AA87" s="631" t="b">
        <v>0</v>
      </c>
      <c r="AB87" s="631"/>
      <c r="AC87" s="576"/>
      <c r="AD87" s="479">
        <v>0.0</v>
      </c>
      <c r="AE87" s="632"/>
      <c r="AF87" s="582" t="s">
        <v>365</v>
      </c>
      <c r="AG87" s="583"/>
      <c r="AH87" s="584"/>
      <c r="AI87" s="583"/>
      <c r="AJ87" s="585"/>
      <c r="AK87" s="583"/>
      <c r="AL87" s="584"/>
      <c r="AM87" s="583"/>
      <c r="AN87" s="585"/>
      <c r="AO87" s="583"/>
      <c r="AP87" s="584"/>
      <c r="AQ87" s="583"/>
      <c r="AR87" s="585"/>
      <c r="AS87" s="583"/>
      <c r="AT87" s="584"/>
      <c r="AU87" s="583"/>
      <c r="AV87" s="585"/>
      <c r="AW87" s="583"/>
      <c r="AX87" s="584"/>
      <c r="AY87" s="583"/>
      <c r="AZ87" s="585"/>
      <c r="BA87" s="583"/>
      <c r="BB87" s="584"/>
      <c r="BC87" s="583"/>
      <c r="BD87" s="585"/>
      <c r="BE87" s="583"/>
      <c r="BF87" s="584"/>
      <c r="BG87" s="583"/>
      <c r="BH87" s="585"/>
      <c r="BI87" s="583"/>
      <c r="BJ87" s="584"/>
      <c r="BK87" s="583"/>
      <c r="BL87" s="585"/>
      <c r="BM87" s="583"/>
      <c r="BN87" s="584"/>
      <c r="BO87" s="583"/>
      <c r="BP87" s="585"/>
      <c r="BQ87" s="583"/>
      <c r="BR87" s="584"/>
      <c r="BS87" s="583"/>
      <c r="BT87" s="586"/>
      <c r="BU87" s="540"/>
      <c r="BV87" s="540"/>
      <c r="BW87" s="540"/>
      <c r="BX87" s="538"/>
      <c r="BY87" s="538"/>
      <c r="BZ87" s="592"/>
      <c r="CA87" s="633"/>
      <c r="CB87" s="592" t="s">
        <v>365</v>
      </c>
      <c r="CC87" s="592">
        <v>0.0</v>
      </c>
      <c r="CD87" s="592" t="s">
        <v>365</v>
      </c>
      <c r="CE87" s="592">
        <v>0.0</v>
      </c>
      <c r="CF87" s="592"/>
      <c r="CG87" s="592">
        <v>0.0</v>
      </c>
      <c r="CH87" s="592"/>
      <c r="CI87" s="633"/>
      <c r="CJ87" s="592">
        <v>0.0</v>
      </c>
      <c r="CK87" s="479" t="s">
        <v>365</v>
      </c>
      <c r="CL87" s="592"/>
      <c r="CM87" s="593"/>
      <c r="CN87" s="538"/>
      <c r="CO87" s="538"/>
      <c r="CP87" s="538"/>
      <c r="CQ87" s="538"/>
      <c r="CR87" s="538"/>
      <c r="CS87" s="538"/>
      <c r="CT87" s="538"/>
      <c r="CU87" s="538"/>
      <c r="CV87" s="538"/>
      <c r="CW87" s="538"/>
      <c r="CX87" s="538"/>
      <c r="CY87" s="538"/>
      <c r="CZ87" s="538"/>
      <c r="DA87" s="538"/>
      <c r="DB87" s="538"/>
      <c r="DC87" s="538"/>
      <c r="DD87" s="538"/>
      <c r="DE87" s="538"/>
      <c r="DF87" s="538"/>
      <c r="DG87" s="538"/>
      <c r="DH87" s="538"/>
      <c r="DI87" s="538"/>
      <c r="DJ87" s="538"/>
      <c r="DK87" s="538"/>
      <c r="DL87" s="538"/>
      <c r="DM87" s="538"/>
      <c r="DN87" s="538"/>
      <c r="DO87" s="538"/>
      <c r="DP87" s="538"/>
      <c r="DQ87" s="538"/>
      <c r="DR87" s="538"/>
      <c r="DS87" s="538"/>
      <c r="DT87" s="538"/>
      <c r="DU87" s="538"/>
      <c r="DV87" s="538"/>
      <c r="DW87" s="538"/>
      <c r="DX87" s="538"/>
      <c r="DY87" s="538"/>
      <c r="DZ87" s="538"/>
      <c r="EA87" s="538"/>
      <c r="EB87" s="538"/>
      <c r="EC87" s="538"/>
      <c r="ED87" s="538"/>
      <c r="EE87" s="538"/>
      <c r="EF87" s="538"/>
      <c r="EG87" s="538"/>
      <c r="EH87" s="538"/>
      <c r="EI87" s="538"/>
      <c r="EJ87" s="538"/>
      <c r="EK87" s="538"/>
      <c r="EL87" s="538"/>
      <c r="EM87" s="538"/>
      <c r="EN87" s="538"/>
      <c r="EO87" s="538"/>
      <c r="EP87" s="538"/>
      <c r="EQ87" s="538"/>
      <c r="ER87" s="538"/>
      <c r="ES87" s="538"/>
      <c r="ET87" s="538"/>
      <c r="EU87" s="538"/>
      <c r="EV87" s="538"/>
      <c r="EW87" s="538"/>
      <c r="EX87" s="559"/>
      <c r="EY87" s="559"/>
      <c r="EZ87" s="559"/>
      <c r="FA87" s="559"/>
      <c r="FB87" s="559"/>
      <c r="FC87" s="559"/>
      <c r="FD87" s="559"/>
      <c r="FE87" s="559"/>
      <c r="FF87" s="559"/>
      <c r="FG87" s="559"/>
      <c r="FH87" s="559"/>
      <c r="FI87" s="559"/>
      <c r="FJ87" s="559"/>
      <c r="FK87" s="559"/>
      <c r="FL87" s="559"/>
      <c r="FM87" s="559"/>
      <c r="FN87" s="559"/>
      <c r="FO87" s="559"/>
      <c r="FP87" s="559"/>
      <c r="FQ87" s="559"/>
      <c r="FR87" s="559"/>
      <c r="FS87" s="559"/>
      <c r="FT87" s="559"/>
      <c r="FU87" s="559"/>
      <c r="FV87" s="559"/>
      <c r="FW87" s="559"/>
      <c r="FX87" s="559"/>
      <c r="FY87" s="559"/>
      <c r="FZ87" s="559"/>
      <c r="GA87" s="559"/>
      <c r="GB87" s="559"/>
      <c r="GC87" s="559"/>
      <c r="GD87" s="559"/>
      <c r="GE87" s="559"/>
      <c r="GF87" s="559"/>
      <c r="GG87" s="559"/>
      <c r="GH87" s="559"/>
    </row>
    <row r="88">
      <c r="A88" s="538"/>
      <c r="B88" s="156"/>
      <c r="C88" s="444"/>
      <c r="D88" s="614"/>
      <c r="E88" s="68"/>
      <c r="F88" s="644"/>
      <c r="G88" s="644"/>
      <c r="H88" s="627"/>
      <c r="I88" s="622" t="s">
        <v>365</v>
      </c>
      <c r="J88" s="607"/>
      <c r="K88" s="641"/>
      <c r="L88" s="628"/>
      <c r="M88" s="626"/>
      <c r="N88" s="619"/>
      <c r="O88" s="560"/>
      <c r="P88" s="47"/>
      <c r="Q88" s="47"/>
      <c r="S88" s="572"/>
      <c r="U88" s="573"/>
      <c r="V88" s="574"/>
      <c r="W88" s="618"/>
      <c r="X88" s="576">
        <v>0.0</v>
      </c>
      <c r="Y88" s="630">
        <v>0.0</v>
      </c>
      <c r="Z88" s="630" t="s">
        <v>365</v>
      </c>
      <c r="AA88" s="631" t="b">
        <v>0</v>
      </c>
      <c r="AB88" s="631"/>
      <c r="AC88" s="576"/>
      <c r="AD88" s="479">
        <v>0.0</v>
      </c>
      <c r="AE88" s="632"/>
      <c r="AF88" s="582" t="s">
        <v>365</v>
      </c>
      <c r="AG88" s="583"/>
      <c r="AH88" s="584"/>
      <c r="AI88" s="583"/>
      <c r="AJ88" s="585"/>
      <c r="AK88" s="583"/>
      <c r="AL88" s="584"/>
      <c r="AM88" s="583"/>
      <c r="AN88" s="585"/>
      <c r="AO88" s="583"/>
      <c r="AP88" s="584"/>
      <c r="AQ88" s="583"/>
      <c r="AR88" s="585"/>
      <c r="AS88" s="583"/>
      <c r="AT88" s="584"/>
      <c r="AU88" s="583"/>
      <c r="AV88" s="585"/>
      <c r="AW88" s="583"/>
      <c r="AX88" s="584"/>
      <c r="AY88" s="583"/>
      <c r="AZ88" s="585"/>
      <c r="BA88" s="583"/>
      <c r="BB88" s="584"/>
      <c r="BC88" s="583"/>
      <c r="BD88" s="585"/>
      <c r="BE88" s="583"/>
      <c r="BF88" s="584"/>
      <c r="BG88" s="583"/>
      <c r="BH88" s="585"/>
      <c r="BI88" s="583"/>
      <c r="BJ88" s="584"/>
      <c r="BK88" s="583"/>
      <c r="BL88" s="585"/>
      <c r="BM88" s="583"/>
      <c r="BN88" s="584"/>
      <c r="BO88" s="583"/>
      <c r="BP88" s="585"/>
      <c r="BQ88" s="583"/>
      <c r="BR88" s="584"/>
      <c r="BS88" s="583"/>
      <c r="BT88" s="586"/>
      <c r="BU88" s="540"/>
      <c r="BV88" s="540"/>
      <c r="BW88" s="540"/>
      <c r="BX88" s="538"/>
      <c r="BY88" s="538"/>
      <c r="BZ88" s="592"/>
      <c r="CA88" s="633"/>
      <c r="CB88" s="592" t="s">
        <v>365</v>
      </c>
      <c r="CC88" s="592">
        <v>0.0</v>
      </c>
      <c r="CD88" s="592" t="s">
        <v>365</v>
      </c>
      <c r="CE88" s="592">
        <v>0.0</v>
      </c>
      <c r="CF88" s="592"/>
      <c r="CG88" s="592">
        <v>0.0</v>
      </c>
      <c r="CH88" s="592"/>
      <c r="CI88" s="633"/>
      <c r="CJ88" s="592">
        <v>0.0</v>
      </c>
      <c r="CK88" s="479" t="s">
        <v>365</v>
      </c>
      <c r="CL88" s="592"/>
      <c r="CM88" s="593"/>
      <c r="CN88" s="538"/>
      <c r="CO88" s="538"/>
      <c r="CP88" s="538"/>
      <c r="CQ88" s="538"/>
      <c r="CR88" s="538"/>
      <c r="CS88" s="538"/>
      <c r="CT88" s="538"/>
      <c r="CU88" s="538"/>
      <c r="CV88" s="538"/>
      <c r="CW88" s="538"/>
      <c r="CX88" s="538"/>
      <c r="CY88" s="538"/>
      <c r="CZ88" s="538"/>
      <c r="DA88" s="538"/>
      <c r="DB88" s="538"/>
      <c r="DC88" s="538"/>
      <c r="DD88" s="538"/>
      <c r="DE88" s="538"/>
      <c r="DF88" s="538"/>
      <c r="DG88" s="538"/>
      <c r="DH88" s="538"/>
      <c r="DI88" s="538"/>
      <c r="DJ88" s="538"/>
      <c r="DK88" s="538"/>
      <c r="DL88" s="538"/>
      <c r="DM88" s="538"/>
      <c r="DN88" s="538"/>
      <c r="DO88" s="538"/>
      <c r="DP88" s="538"/>
      <c r="DQ88" s="538"/>
      <c r="DR88" s="538"/>
      <c r="DS88" s="538"/>
      <c r="DT88" s="538"/>
      <c r="DU88" s="538"/>
      <c r="DV88" s="538"/>
      <c r="DW88" s="538"/>
      <c r="DX88" s="538"/>
      <c r="DY88" s="538"/>
      <c r="DZ88" s="538"/>
      <c r="EA88" s="538"/>
      <c r="EB88" s="538"/>
      <c r="EC88" s="538"/>
      <c r="ED88" s="538"/>
      <c r="EE88" s="538"/>
      <c r="EF88" s="538"/>
      <c r="EG88" s="538"/>
      <c r="EH88" s="538"/>
      <c r="EI88" s="538"/>
      <c r="EJ88" s="538"/>
      <c r="EK88" s="538"/>
      <c r="EL88" s="538"/>
      <c r="EM88" s="538"/>
      <c r="EN88" s="538"/>
      <c r="EO88" s="538"/>
      <c r="EP88" s="538"/>
      <c r="EQ88" s="538"/>
      <c r="ER88" s="538"/>
      <c r="ES88" s="538"/>
      <c r="ET88" s="538"/>
      <c r="EU88" s="538"/>
      <c r="EV88" s="538"/>
      <c r="EW88" s="538"/>
      <c r="EX88" s="559"/>
      <c r="EY88" s="559"/>
      <c r="EZ88" s="559"/>
      <c r="FA88" s="559"/>
      <c r="FB88" s="559"/>
      <c r="FC88" s="559"/>
      <c r="FD88" s="559"/>
      <c r="FE88" s="559"/>
      <c r="FF88" s="559"/>
      <c r="FG88" s="559"/>
      <c r="FH88" s="559"/>
      <c r="FI88" s="559"/>
      <c r="FJ88" s="559"/>
      <c r="FK88" s="559"/>
      <c r="FL88" s="559"/>
      <c r="FM88" s="559"/>
      <c r="FN88" s="559"/>
      <c r="FO88" s="559"/>
      <c r="FP88" s="559"/>
      <c r="FQ88" s="559"/>
      <c r="FR88" s="559"/>
      <c r="FS88" s="559"/>
      <c r="FT88" s="559"/>
      <c r="FU88" s="559"/>
      <c r="FV88" s="559"/>
      <c r="FW88" s="559"/>
      <c r="FX88" s="559"/>
      <c r="FY88" s="559"/>
      <c r="FZ88" s="559"/>
      <c r="GA88" s="559"/>
      <c r="GB88" s="559"/>
      <c r="GC88" s="559"/>
      <c r="GD88" s="559"/>
      <c r="GE88" s="559"/>
      <c r="GF88" s="559"/>
      <c r="GG88" s="559"/>
      <c r="GH88" s="559"/>
    </row>
    <row r="89">
      <c r="A89" s="538"/>
      <c r="B89" s="156"/>
      <c r="C89" s="444"/>
      <c r="D89" s="614"/>
      <c r="E89" s="66"/>
      <c r="F89" s="642"/>
      <c r="G89" s="642"/>
      <c r="H89" s="615"/>
      <c r="I89" s="616" t="s">
        <v>365</v>
      </c>
      <c r="J89" s="624"/>
      <c r="K89" s="643"/>
      <c r="L89" s="640"/>
      <c r="M89" s="625"/>
      <c r="N89" s="617"/>
      <c r="O89" s="134"/>
      <c r="P89" s="57"/>
      <c r="Q89" s="57"/>
      <c r="S89" s="605"/>
      <c r="U89" s="573"/>
      <c r="V89" s="574"/>
      <c r="W89" s="618"/>
      <c r="X89" s="576">
        <v>0.0</v>
      </c>
      <c r="Y89" s="630">
        <v>0.0</v>
      </c>
      <c r="Z89" s="630" t="s">
        <v>365</v>
      </c>
      <c r="AA89" s="631" t="b">
        <v>0</v>
      </c>
      <c r="AB89" s="631"/>
      <c r="AC89" s="576"/>
      <c r="AD89" s="479">
        <v>0.0</v>
      </c>
      <c r="AE89" s="632"/>
      <c r="AF89" s="582" t="s">
        <v>365</v>
      </c>
      <c r="AG89" s="583"/>
      <c r="AH89" s="584"/>
      <c r="AI89" s="583"/>
      <c r="AJ89" s="585"/>
      <c r="AK89" s="583"/>
      <c r="AL89" s="584"/>
      <c r="AM89" s="583"/>
      <c r="AN89" s="585"/>
      <c r="AO89" s="583"/>
      <c r="AP89" s="584"/>
      <c r="AQ89" s="583"/>
      <c r="AR89" s="585"/>
      <c r="AS89" s="583"/>
      <c r="AT89" s="584"/>
      <c r="AU89" s="583"/>
      <c r="AV89" s="585"/>
      <c r="AW89" s="583"/>
      <c r="AX89" s="584"/>
      <c r="AY89" s="583"/>
      <c r="AZ89" s="585"/>
      <c r="BA89" s="583"/>
      <c r="BB89" s="584"/>
      <c r="BC89" s="583"/>
      <c r="BD89" s="585"/>
      <c r="BE89" s="583"/>
      <c r="BF89" s="584"/>
      <c r="BG89" s="583"/>
      <c r="BH89" s="585"/>
      <c r="BI89" s="583"/>
      <c r="BJ89" s="584"/>
      <c r="BK89" s="583"/>
      <c r="BL89" s="585"/>
      <c r="BM89" s="583"/>
      <c r="BN89" s="584"/>
      <c r="BO89" s="583"/>
      <c r="BP89" s="585"/>
      <c r="BQ89" s="583"/>
      <c r="BR89" s="584"/>
      <c r="BS89" s="583"/>
      <c r="BT89" s="586"/>
      <c r="BU89" s="540"/>
      <c r="BV89" s="540"/>
      <c r="BW89" s="540"/>
      <c r="BX89" s="538"/>
      <c r="BY89" s="538"/>
      <c r="BZ89" s="592"/>
      <c r="CA89" s="633"/>
      <c r="CB89" s="592" t="s">
        <v>365</v>
      </c>
      <c r="CC89" s="592">
        <v>0.0</v>
      </c>
      <c r="CD89" s="592" t="s">
        <v>365</v>
      </c>
      <c r="CE89" s="592">
        <v>0.0</v>
      </c>
      <c r="CF89" s="592"/>
      <c r="CG89" s="592">
        <v>0.0</v>
      </c>
      <c r="CH89" s="592"/>
      <c r="CI89" s="633"/>
      <c r="CJ89" s="592">
        <v>0.0</v>
      </c>
      <c r="CK89" s="479" t="s">
        <v>365</v>
      </c>
      <c r="CL89" s="592"/>
      <c r="CM89" s="593"/>
      <c r="CN89" s="538"/>
      <c r="CO89" s="538"/>
      <c r="CP89" s="538"/>
      <c r="CQ89" s="538"/>
      <c r="CR89" s="538"/>
      <c r="CS89" s="538"/>
      <c r="CT89" s="538"/>
      <c r="CU89" s="538"/>
      <c r="CV89" s="538"/>
      <c r="CW89" s="538"/>
      <c r="CX89" s="538"/>
      <c r="CY89" s="538"/>
      <c r="CZ89" s="538"/>
      <c r="DA89" s="538"/>
      <c r="DB89" s="538"/>
      <c r="DC89" s="538"/>
      <c r="DD89" s="538"/>
      <c r="DE89" s="538"/>
      <c r="DF89" s="538"/>
      <c r="DG89" s="538"/>
      <c r="DH89" s="538"/>
      <c r="DI89" s="538"/>
      <c r="DJ89" s="538"/>
      <c r="DK89" s="538"/>
      <c r="DL89" s="538"/>
      <c r="DM89" s="538"/>
      <c r="DN89" s="538"/>
      <c r="DO89" s="538"/>
      <c r="DP89" s="538"/>
      <c r="DQ89" s="538"/>
      <c r="DR89" s="538"/>
      <c r="DS89" s="538"/>
      <c r="DT89" s="538"/>
      <c r="DU89" s="538"/>
      <c r="DV89" s="538"/>
      <c r="DW89" s="538"/>
      <c r="DX89" s="538"/>
      <c r="DY89" s="538"/>
      <c r="DZ89" s="538"/>
      <c r="EA89" s="538"/>
      <c r="EB89" s="538"/>
      <c r="EC89" s="538"/>
      <c r="ED89" s="538"/>
      <c r="EE89" s="538"/>
      <c r="EF89" s="538"/>
      <c r="EG89" s="538"/>
      <c r="EH89" s="538"/>
      <c r="EI89" s="538"/>
      <c r="EJ89" s="538"/>
      <c r="EK89" s="538"/>
      <c r="EL89" s="538"/>
      <c r="EM89" s="538"/>
      <c r="EN89" s="538"/>
      <c r="EO89" s="538"/>
      <c r="EP89" s="538"/>
      <c r="EQ89" s="538"/>
      <c r="ER89" s="538"/>
      <c r="ES89" s="538"/>
      <c r="ET89" s="538"/>
      <c r="EU89" s="538"/>
      <c r="EV89" s="538"/>
      <c r="EW89" s="538"/>
      <c r="EX89" s="559"/>
      <c r="EY89" s="559"/>
      <c r="EZ89" s="559"/>
      <c r="FA89" s="559"/>
      <c r="FB89" s="559"/>
      <c r="FC89" s="559"/>
      <c r="FD89" s="559"/>
      <c r="FE89" s="559"/>
      <c r="FF89" s="559"/>
      <c r="FG89" s="559"/>
      <c r="FH89" s="559"/>
      <c r="FI89" s="559"/>
      <c r="FJ89" s="559"/>
      <c r="FK89" s="559"/>
      <c r="FL89" s="559"/>
      <c r="FM89" s="559"/>
      <c r="FN89" s="559"/>
      <c r="FO89" s="559"/>
      <c r="FP89" s="559"/>
      <c r="FQ89" s="559"/>
      <c r="FR89" s="559"/>
      <c r="FS89" s="559"/>
      <c r="FT89" s="559"/>
      <c r="FU89" s="559"/>
      <c r="FV89" s="559"/>
      <c r="FW89" s="559"/>
      <c r="FX89" s="559"/>
      <c r="FY89" s="559"/>
      <c r="FZ89" s="559"/>
      <c r="GA89" s="559"/>
      <c r="GB89" s="559"/>
      <c r="GC89" s="559"/>
      <c r="GD89" s="559"/>
      <c r="GE89" s="559"/>
      <c r="GF89" s="559"/>
      <c r="GG89" s="559"/>
      <c r="GH89" s="559"/>
    </row>
    <row r="90">
      <c r="A90" s="538"/>
      <c r="B90" s="156"/>
      <c r="C90" s="444"/>
      <c r="D90" s="614"/>
      <c r="E90" s="68"/>
      <c r="F90" s="644"/>
      <c r="G90" s="644"/>
      <c r="H90" s="627"/>
      <c r="I90" s="622" t="s">
        <v>365</v>
      </c>
      <c r="J90" s="607"/>
      <c r="K90" s="641"/>
      <c r="L90" s="628"/>
      <c r="M90" s="626"/>
      <c r="N90" s="619"/>
      <c r="O90" s="560"/>
      <c r="P90" s="47"/>
      <c r="Q90" s="47"/>
      <c r="S90" s="572"/>
      <c r="U90" s="573"/>
      <c r="V90" s="574"/>
      <c r="W90" s="618"/>
      <c r="X90" s="576">
        <v>0.0</v>
      </c>
      <c r="Y90" s="630">
        <v>0.0</v>
      </c>
      <c r="Z90" s="630" t="s">
        <v>365</v>
      </c>
      <c r="AA90" s="631" t="b">
        <v>0</v>
      </c>
      <c r="AB90" s="631"/>
      <c r="AC90" s="576"/>
      <c r="AD90" s="479">
        <v>0.0</v>
      </c>
      <c r="AE90" s="632"/>
      <c r="AF90" s="582" t="s">
        <v>365</v>
      </c>
      <c r="AG90" s="583"/>
      <c r="AH90" s="584"/>
      <c r="AI90" s="583"/>
      <c r="AJ90" s="585"/>
      <c r="AK90" s="583"/>
      <c r="AL90" s="584"/>
      <c r="AM90" s="583"/>
      <c r="AN90" s="585"/>
      <c r="AO90" s="583"/>
      <c r="AP90" s="584"/>
      <c r="AQ90" s="583"/>
      <c r="AR90" s="585"/>
      <c r="AS90" s="583"/>
      <c r="AT90" s="584"/>
      <c r="AU90" s="583"/>
      <c r="AV90" s="585"/>
      <c r="AW90" s="583"/>
      <c r="AX90" s="584"/>
      <c r="AY90" s="583"/>
      <c r="AZ90" s="585"/>
      <c r="BA90" s="583"/>
      <c r="BB90" s="584"/>
      <c r="BC90" s="583"/>
      <c r="BD90" s="585"/>
      <c r="BE90" s="583"/>
      <c r="BF90" s="584"/>
      <c r="BG90" s="583"/>
      <c r="BH90" s="585"/>
      <c r="BI90" s="583"/>
      <c r="BJ90" s="584"/>
      <c r="BK90" s="583"/>
      <c r="BL90" s="585"/>
      <c r="BM90" s="583"/>
      <c r="BN90" s="584"/>
      <c r="BO90" s="583"/>
      <c r="BP90" s="585"/>
      <c r="BQ90" s="583"/>
      <c r="BR90" s="584"/>
      <c r="BS90" s="583"/>
      <c r="BT90" s="586"/>
      <c r="BU90" s="540"/>
      <c r="BV90" s="540"/>
      <c r="BW90" s="540"/>
      <c r="BX90" s="538"/>
      <c r="BY90" s="538"/>
      <c r="BZ90" s="592"/>
      <c r="CA90" s="633"/>
      <c r="CB90" s="592" t="s">
        <v>365</v>
      </c>
      <c r="CC90" s="592">
        <v>0.0</v>
      </c>
      <c r="CD90" s="592" t="s">
        <v>365</v>
      </c>
      <c r="CE90" s="592">
        <v>0.0</v>
      </c>
      <c r="CF90" s="592"/>
      <c r="CG90" s="592">
        <v>0.0</v>
      </c>
      <c r="CH90" s="592"/>
      <c r="CI90" s="633"/>
      <c r="CJ90" s="592">
        <v>0.0</v>
      </c>
      <c r="CK90" s="479" t="s">
        <v>365</v>
      </c>
      <c r="CL90" s="592"/>
      <c r="CM90" s="593"/>
      <c r="CN90" s="538"/>
      <c r="CO90" s="538"/>
      <c r="CP90" s="538"/>
      <c r="CQ90" s="538"/>
      <c r="CR90" s="538"/>
      <c r="CS90" s="538"/>
      <c r="CT90" s="538"/>
      <c r="CU90" s="538"/>
      <c r="CV90" s="538"/>
      <c r="CW90" s="538"/>
      <c r="CX90" s="538"/>
      <c r="CY90" s="538"/>
      <c r="CZ90" s="538"/>
      <c r="DA90" s="538"/>
      <c r="DB90" s="538"/>
      <c r="DC90" s="538"/>
      <c r="DD90" s="538"/>
      <c r="DE90" s="538"/>
      <c r="DF90" s="538"/>
      <c r="DG90" s="538"/>
      <c r="DH90" s="538"/>
      <c r="DI90" s="538"/>
      <c r="DJ90" s="538"/>
      <c r="DK90" s="538"/>
      <c r="DL90" s="538"/>
      <c r="DM90" s="538"/>
      <c r="DN90" s="538"/>
      <c r="DO90" s="538"/>
      <c r="DP90" s="538"/>
      <c r="DQ90" s="538"/>
      <c r="DR90" s="538"/>
      <c r="DS90" s="538"/>
      <c r="DT90" s="538"/>
      <c r="DU90" s="538"/>
      <c r="DV90" s="538"/>
      <c r="DW90" s="538"/>
      <c r="DX90" s="538"/>
      <c r="DY90" s="538"/>
      <c r="DZ90" s="538"/>
      <c r="EA90" s="538"/>
      <c r="EB90" s="538"/>
      <c r="EC90" s="538"/>
      <c r="ED90" s="538"/>
      <c r="EE90" s="538"/>
      <c r="EF90" s="538"/>
      <c r="EG90" s="538"/>
      <c r="EH90" s="538"/>
      <c r="EI90" s="538"/>
      <c r="EJ90" s="538"/>
      <c r="EK90" s="538"/>
      <c r="EL90" s="538"/>
      <c r="EM90" s="538"/>
      <c r="EN90" s="538"/>
      <c r="EO90" s="538"/>
      <c r="EP90" s="538"/>
      <c r="EQ90" s="538"/>
      <c r="ER90" s="538"/>
      <c r="ES90" s="538"/>
      <c r="ET90" s="538"/>
      <c r="EU90" s="538"/>
      <c r="EV90" s="538"/>
      <c r="EW90" s="538"/>
      <c r="EX90" s="559"/>
      <c r="EY90" s="559"/>
      <c r="EZ90" s="559"/>
      <c r="FA90" s="559"/>
      <c r="FB90" s="559"/>
      <c r="FC90" s="559"/>
      <c r="FD90" s="559"/>
      <c r="FE90" s="559"/>
      <c r="FF90" s="559"/>
      <c r="FG90" s="559"/>
      <c r="FH90" s="559"/>
      <c r="FI90" s="559"/>
      <c r="FJ90" s="559"/>
      <c r="FK90" s="559"/>
      <c r="FL90" s="559"/>
      <c r="FM90" s="559"/>
      <c r="FN90" s="559"/>
      <c r="FO90" s="559"/>
      <c r="FP90" s="559"/>
      <c r="FQ90" s="559"/>
      <c r="FR90" s="559"/>
      <c r="FS90" s="559"/>
      <c r="FT90" s="559"/>
      <c r="FU90" s="559"/>
      <c r="FV90" s="559"/>
      <c r="FW90" s="559"/>
      <c r="FX90" s="559"/>
      <c r="FY90" s="559"/>
      <c r="FZ90" s="559"/>
      <c r="GA90" s="559"/>
      <c r="GB90" s="559"/>
      <c r="GC90" s="559"/>
      <c r="GD90" s="559"/>
      <c r="GE90" s="559"/>
      <c r="GF90" s="559"/>
      <c r="GG90" s="559"/>
      <c r="GH90" s="559"/>
    </row>
    <row r="91">
      <c r="A91" s="538"/>
      <c r="B91" s="156"/>
      <c r="C91" s="444"/>
      <c r="D91" s="614"/>
      <c r="E91" s="66"/>
      <c r="F91" s="642"/>
      <c r="G91" s="642"/>
      <c r="H91" s="615"/>
      <c r="I91" s="616" t="s">
        <v>365</v>
      </c>
      <c r="J91" s="624"/>
      <c r="K91" s="643"/>
      <c r="L91" s="640"/>
      <c r="M91" s="625"/>
      <c r="N91" s="617"/>
      <c r="O91" s="134"/>
      <c r="P91" s="57"/>
      <c r="Q91" s="57"/>
      <c r="S91" s="605"/>
      <c r="U91" s="573"/>
      <c r="V91" s="574"/>
      <c r="W91" s="618"/>
      <c r="X91" s="576">
        <v>0.0</v>
      </c>
      <c r="Y91" s="630">
        <v>0.0</v>
      </c>
      <c r="Z91" s="630" t="s">
        <v>365</v>
      </c>
      <c r="AA91" s="631" t="b">
        <v>0</v>
      </c>
      <c r="AB91" s="631"/>
      <c r="AC91" s="576"/>
      <c r="AD91" s="479">
        <v>0.0</v>
      </c>
      <c r="AE91" s="632"/>
      <c r="AF91" s="582" t="s">
        <v>365</v>
      </c>
      <c r="AG91" s="583"/>
      <c r="AH91" s="584"/>
      <c r="AI91" s="583"/>
      <c r="AJ91" s="585"/>
      <c r="AK91" s="583"/>
      <c r="AL91" s="584"/>
      <c r="AM91" s="583"/>
      <c r="AN91" s="585"/>
      <c r="AO91" s="583"/>
      <c r="AP91" s="584"/>
      <c r="AQ91" s="583"/>
      <c r="AR91" s="585"/>
      <c r="AS91" s="583"/>
      <c r="AT91" s="584"/>
      <c r="AU91" s="583"/>
      <c r="AV91" s="585"/>
      <c r="AW91" s="583"/>
      <c r="AX91" s="584"/>
      <c r="AY91" s="583"/>
      <c r="AZ91" s="585"/>
      <c r="BA91" s="583"/>
      <c r="BB91" s="584"/>
      <c r="BC91" s="583"/>
      <c r="BD91" s="585"/>
      <c r="BE91" s="583"/>
      <c r="BF91" s="584"/>
      <c r="BG91" s="583"/>
      <c r="BH91" s="585"/>
      <c r="BI91" s="583"/>
      <c r="BJ91" s="584"/>
      <c r="BK91" s="583"/>
      <c r="BL91" s="585"/>
      <c r="BM91" s="583"/>
      <c r="BN91" s="584"/>
      <c r="BO91" s="583"/>
      <c r="BP91" s="585"/>
      <c r="BQ91" s="583"/>
      <c r="BR91" s="584"/>
      <c r="BS91" s="583"/>
      <c r="BT91" s="586"/>
      <c r="BU91" s="540"/>
      <c r="BV91" s="540"/>
      <c r="BW91" s="540"/>
      <c r="BX91" s="538"/>
      <c r="BY91" s="538"/>
      <c r="BZ91" s="592"/>
      <c r="CA91" s="633"/>
      <c r="CB91" s="592" t="s">
        <v>365</v>
      </c>
      <c r="CC91" s="592">
        <v>0.0</v>
      </c>
      <c r="CD91" s="592" t="s">
        <v>365</v>
      </c>
      <c r="CE91" s="592">
        <v>0.0</v>
      </c>
      <c r="CF91" s="592"/>
      <c r="CG91" s="592">
        <v>0.0</v>
      </c>
      <c r="CH91" s="592"/>
      <c r="CI91" s="633"/>
      <c r="CJ91" s="592">
        <v>0.0</v>
      </c>
      <c r="CK91" s="479" t="s">
        <v>365</v>
      </c>
      <c r="CL91" s="592"/>
      <c r="CM91" s="593"/>
      <c r="CN91" s="538"/>
      <c r="CO91" s="538"/>
      <c r="CP91" s="538"/>
      <c r="CQ91" s="538"/>
      <c r="CR91" s="538"/>
      <c r="CS91" s="538"/>
      <c r="CT91" s="538"/>
      <c r="CU91" s="538"/>
      <c r="CV91" s="538"/>
      <c r="CW91" s="538"/>
      <c r="CX91" s="538"/>
      <c r="CY91" s="538"/>
      <c r="CZ91" s="538"/>
      <c r="DA91" s="538"/>
      <c r="DB91" s="538"/>
      <c r="DC91" s="538"/>
      <c r="DD91" s="538"/>
      <c r="DE91" s="538"/>
      <c r="DF91" s="538"/>
      <c r="DG91" s="538"/>
      <c r="DH91" s="538"/>
      <c r="DI91" s="538"/>
      <c r="DJ91" s="538"/>
      <c r="DK91" s="538"/>
      <c r="DL91" s="538"/>
      <c r="DM91" s="538"/>
      <c r="DN91" s="538"/>
      <c r="DO91" s="538"/>
      <c r="DP91" s="538"/>
      <c r="DQ91" s="538"/>
      <c r="DR91" s="538"/>
      <c r="DS91" s="538"/>
      <c r="DT91" s="538"/>
      <c r="DU91" s="538"/>
      <c r="DV91" s="538"/>
      <c r="DW91" s="538"/>
      <c r="DX91" s="538"/>
      <c r="DY91" s="538"/>
      <c r="DZ91" s="538"/>
      <c r="EA91" s="538"/>
      <c r="EB91" s="538"/>
      <c r="EC91" s="538"/>
      <c r="ED91" s="538"/>
      <c r="EE91" s="538"/>
      <c r="EF91" s="538"/>
      <c r="EG91" s="538"/>
      <c r="EH91" s="538"/>
      <c r="EI91" s="538"/>
      <c r="EJ91" s="538"/>
      <c r="EK91" s="538"/>
      <c r="EL91" s="538"/>
      <c r="EM91" s="538"/>
      <c r="EN91" s="538"/>
      <c r="EO91" s="538"/>
      <c r="EP91" s="538"/>
      <c r="EQ91" s="538"/>
      <c r="ER91" s="538"/>
      <c r="ES91" s="538"/>
      <c r="ET91" s="538"/>
      <c r="EU91" s="538"/>
      <c r="EV91" s="538"/>
      <c r="EW91" s="538"/>
      <c r="EX91" s="559"/>
      <c r="EY91" s="559"/>
      <c r="EZ91" s="559"/>
      <c r="FA91" s="559"/>
      <c r="FB91" s="559"/>
      <c r="FC91" s="559"/>
      <c r="FD91" s="559"/>
      <c r="FE91" s="559"/>
      <c r="FF91" s="559"/>
      <c r="FG91" s="559"/>
      <c r="FH91" s="559"/>
      <c r="FI91" s="559"/>
      <c r="FJ91" s="559"/>
      <c r="FK91" s="559"/>
      <c r="FL91" s="559"/>
      <c r="FM91" s="559"/>
      <c r="FN91" s="559"/>
      <c r="FO91" s="559"/>
      <c r="FP91" s="559"/>
      <c r="FQ91" s="559"/>
      <c r="FR91" s="559"/>
      <c r="FS91" s="559"/>
      <c r="FT91" s="559"/>
      <c r="FU91" s="559"/>
      <c r="FV91" s="559"/>
      <c r="FW91" s="559"/>
      <c r="FX91" s="559"/>
      <c r="FY91" s="559"/>
      <c r="FZ91" s="559"/>
      <c r="GA91" s="559"/>
      <c r="GB91" s="559"/>
      <c r="GC91" s="559"/>
      <c r="GD91" s="559"/>
      <c r="GE91" s="559"/>
      <c r="GF91" s="559"/>
      <c r="GG91" s="559"/>
      <c r="GH91" s="559"/>
    </row>
    <row r="92">
      <c r="A92" s="538"/>
      <c r="B92" s="156"/>
      <c r="C92" s="444"/>
      <c r="D92" s="614"/>
      <c r="E92" s="68"/>
      <c r="F92" s="644"/>
      <c r="G92" s="644"/>
      <c r="H92" s="627"/>
      <c r="I92" s="622" t="s">
        <v>365</v>
      </c>
      <c r="J92" s="607"/>
      <c r="K92" s="641"/>
      <c r="L92" s="628"/>
      <c r="M92" s="626"/>
      <c r="N92" s="619"/>
      <c r="O92" s="560"/>
      <c r="P92" s="47"/>
      <c r="Q92" s="47"/>
      <c r="S92" s="572"/>
      <c r="U92" s="573"/>
      <c r="V92" s="574"/>
      <c r="W92" s="618"/>
      <c r="X92" s="576">
        <v>0.0</v>
      </c>
      <c r="Y92" s="630">
        <v>0.0</v>
      </c>
      <c r="Z92" s="630" t="s">
        <v>365</v>
      </c>
      <c r="AA92" s="631" t="b">
        <v>0</v>
      </c>
      <c r="AB92" s="631"/>
      <c r="AC92" s="576"/>
      <c r="AD92" s="479">
        <v>0.0</v>
      </c>
      <c r="AE92" s="632"/>
      <c r="AF92" s="582" t="s">
        <v>365</v>
      </c>
      <c r="AG92" s="583"/>
      <c r="AH92" s="584"/>
      <c r="AI92" s="583"/>
      <c r="AJ92" s="585"/>
      <c r="AK92" s="583"/>
      <c r="AL92" s="584"/>
      <c r="AM92" s="583"/>
      <c r="AN92" s="585"/>
      <c r="AO92" s="583"/>
      <c r="AP92" s="584"/>
      <c r="AQ92" s="583"/>
      <c r="AR92" s="585"/>
      <c r="AS92" s="583"/>
      <c r="AT92" s="584"/>
      <c r="AU92" s="583"/>
      <c r="AV92" s="585"/>
      <c r="AW92" s="583"/>
      <c r="AX92" s="584"/>
      <c r="AY92" s="583"/>
      <c r="AZ92" s="585"/>
      <c r="BA92" s="583"/>
      <c r="BB92" s="584"/>
      <c r="BC92" s="583"/>
      <c r="BD92" s="585"/>
      <c r="BE92" s="583"/>
      <c r="BF92" s="584"/>
      <c r="BG92" s="583"/>
      <c r="BH92" s="585"/>
      <c r="BI92" s="583"/>
      <c r="BJ92" s="584"/>
      <c r="BK92" s="583"/>
      <c r="BL92" s="585"/>
      <c r="BM92" s="583"/>
      <c r="BN92" s="584"/>
      <c r="BO92" s="583"/>
      <c r="BP92" s="585"/>
      <c r="BQ92" s="583"/>
      <c r="BR92" s="584"/>
      <c r="BS92" s="583"/>
      <c r="BT92" s="586"/>
      <c r="BU92" s="540"/>
      <c r="BV92" s="540"/>
      <c r="BW92" s="540"/>
      <c r="BX92" s="538"/>
      <c r="BY92" s="538"/>
      <c r="BZ92" s="592"/>
      <c r="CA92" s="633"/>
      <c r="CB92" s="592" t="s">
        <v>365</v>
      </c>
      <c r="CC92" s="592">
        <v>0.0</v>
      </c>
      <c r="CD92" s="592" t="s">
        <v>365</v>
      </c>
      <c r="CE92" s="592">
        <v>0.0</v>
      </c>
      <c r="CF92" s="592"/>
      <c r="CG92" s="592">
        <v>0.0</v>
      </c>
      <c r="CH92" s="592"/>
      <c r="CI92" s="633"/>
      <c r="CJ92" s="592">
        <v>0.0</v>
      </c>
      <c r="CK92" s="479" t="s">
        <v>365</v>
      </c>
      <c r="CL92" s="592"/>
      <c r="CM92" s="593"/>
      <c r="CN92" s="538"/>
      <c r="CO92" s="538"/>
      <c r="CP92" s="538"/>
      <c r="CQ92" s="538"/>
      <c r="CR92" s="538"/>
      <c r="CS92" s="538"/>
      <c r="CT92" s="538"/>
      <c r="CU92" s="538"/>
      <c r="CV92" s="538"/>
      <c r="CW92" s="538"/>
      <c r="CX92" s="538"/>
      <c r="CY92" s="538"/>
      <c r="CZ92" s="538"/>
      <c r="DA92" s="538"/>
      <c r="DB92" s="538"/>
      <c r="DC92" s="538"/>
      <c r="DD92" s="538"/>
      <c r="DE92" s="538"/>
      <c r="DF92" s="538"/>
      <c r="DG92" s="538"/>
      <c r="DH92" s="538"/>
      <c r="DI92" s="538"/>
      <c r="DJ92" s="538"/>
      <c r="DK92" s="538"/>
      <c r="DL92" s="538"/>
      <c r="DM92" s="538"/>
      <c r="DN92" s="538"/>
      <c r="DO92" s="538"/>
      <c r="DP92" s="538"/>
      <c r="DQ92" s="538"/>
      <c r="DR92" s="538"/>
      <c r="DS92" s="538"/>
      <c r="DT92" s="538"/>
      <c r="DU92" s="538"/>
      <c r="DV92" s="538"/>
      <c r="DW92" s="538"/>
      <c r="DX92" s="538"/>
      <c r="DY92" s="538"/>
      <c r="DZ92" s="538"/>
      <c r="EA92" s="538"/>
      <c r="EB92" s="538"/>
      <c r="EC92" s="538"/>
      <c r="ED92" s="538"/>
      <c r="EE92" s="538"/>
      <c r="EF92" s="538"/>
      <c r="EG92" s="538"/>
      <c r="EH92" s="538"/>
      <c r="EI92" s="538"/>
      <c r="EJ92" s="538"/>
      <c r="EK92" s="538"/>
      <c r="EL92" s="538"/>
      <c r="EM92" s="538"/>
      <c r="EN92" s="538"/>
      <c r="EO92" s="538"/>
      <c r="EP92" s="538"/>
      <c r="EQ92" s="538"/>
      <c r="ER92" s="538"/>
      <c r="ES92" s="538"/>
      <c r="ET92" s="538"/>
      <c r="EU92" s="538"/>
      <c r="EV92" s="538"/>
      <c r="EW92" s="538"/>
      <c r="EX92" s="559"/>
      <c r="EY92" s="559"/>
      <c r="EZ92" s="559"/>
      <c r="FA92" s="559"/>
      <c r="FB92" s="559"/>
      <c r="FC92" s="559"/>
      <c r="FD92" s="559"/>
      <c r="FE92" s="559"/>
      <c r="FF92" s="559"/>
      <c r="FG92" s="559"/>
      <c r="FH92" s="559"/>
      <c r="FI92" s="559"/>
      <c r="FJ92" s="559"/>
      <c r="FK92" s="559"/>
      <c r="FL92" s="559"/>
      <c r="FM92" s="559"/>
      <c r="FN92" s="559"/>
      <c r="FO92" s="559"/>
      <c r="FP92" s="559"/>
      <c r="FQ92" s="559"/>
      <c r="FR92" s="559"/>
      <c r="FS92" s="559"/>
      <c r="FT92" s="559"/>
      <c r="FU92" s="559"/>
      <c r="FV92" s="559"/>
      <c r="FW92" s="559"/>
      <c r="FX92" s="559"/>
      <c r="FY92" s="559"/>
      <c r="FZ92" s="559"/>
      <c r="GA92" s="559"/>
      <c r="GB92" s="559"/>
      <c r="GC92" s="559"/>
      <c r="GD92" s="559"/>
      <c r="GE92" s="559"/>
      <c r="GF92" s="559"/>
      <c r="GG92" s="559"/>
      <c r="GH92" s="559"/>
    </row>
    <row r="93">
      <c r="A93" s="538"/>
      <c r="B93" s="156"/>
      <c r="C93" s="444"/>
      <c r="D93" s="614"/>
      <c r="E93" s="66"/>
      <c r="F93" s="642"/>
      <c r="G93" s="642"/>
      <c r="H93" s="615"/>
      <c r="I93" s="616" t="s">
        <v>365</v>
      </c>
      <c r="J93" s="624"/>
      <c r="K93" s="643"/>
      <c r="L93" s="640"/>
      <c r="M93" s="625"/>
      <c r="N93" s="617"/>
      <c r="O93" s="134"/>
      <c r="P93" s="57"/>
      <c r="Q93" s="57"/>
      <c r="S93" s="605"/>
      <c r="U93" s="573"/>
      <c r="V93" s="574"/>
      <c r="W93" s="618"/>
      <c r="X93" s="576">
        <v>0.0</v>
      </c>
      <c r="Y93" s="630">
        <v>0.0</v>
      </c>
      <c r="Z93" s="630" t="s">
        <v>365</v>
      </c>
      <c r="AA93" s="631" t="b">
        <v>0</v>
      </c>
      <c r="AB93" s="631"/>
      <c r="AC93" s="576"/>
      <c r="AD93" s="479">
        <v>0.0</v>
      </c>
      <c r="AE93" s="632"/>
      <c r="AF93" s="582" t="s">
        <v>365</v>
      </c>
      <c r="AG93" s="583"/>
      <c r="AH93" s="584"/>
      <c r="AI93" s="583"/>
      <c r="AJ93" s="585"/>
      <c r="AK93" s="583"/>
      <c r="AL93" s="584"/>
      <c r="AM93" s="583"/>
      <c r="AN93" s="585"/>
      <c r="AO93" s="583"/>
      <c r="AP93" s="584"/>
      <c r="AQ93" s="583"/>
      <c r="AR93" s="585"/>
      <c r="AS93" s="583"/>
      <c r="AT93" s="584"/>
      <c r="AU93" s="583"/>
      <c r="AV93" s="585"/>
      <c r="AW93" s="583"/>
      <c r="AX93" s="584"/>
      <c r="AY93" s="583"/>
      <c r="AZ93" s="585"/>
      <c r="BA93" s="583"/>
      <c r="BB93" s="584"/>
      <c r="BC93" s="583"/>
      <c r="BD93" s="585"/>
      <c r="BE93" s="583"/>
      <c r="BF93" s="584"/>
      <c r="BG93" s="583"/>
      <c r="BH93" s="585"/>
      <c r="BI93" s="583"/>
      <c r="BJ93" s="584"/>
      <c r="BK93" s="583"/>
      <c r="BL93" s="585"/>
      <c r="BM93" s="583"/>
      <c r="BN93" s="584"/>
      <c r="BO93" s="583"/>
      <c r="BP93" s="585"/>
      <c r="BQ93" s="583"/>
      <c r="BR93" s="584"/>
      <c r="BS93" s="583"/>
      <c r="BT93" s="586"/>
      <c r="BU93" s="540"/>
      <c r="BV93" s="540"/>
      <c r="BW93" s="540"/>
      <c r="BX93" s="538"/>
      <c r="BY93" s="538"/>
      <c r="BZ93" s="592"/>
      <c r="CA93" s="633"/>
      <c r="CB93" s="592" t="s">
        <v>365</v>
      </c>
      <c r="CC93" s="592">
        <v>0.0</v>
      </c>
      <c r="CD93" s="592" t="s">
        <v>365</v>
      </c>
      <c r="CE93" s="592">
        <v>0.0</v>
      </c>
      <c r="CF93" s="592"/>
      <c r="CG93" s="592">
        <v>0.0</v>
      </c>
      <c r="CH93" s="592"/>
      <c r="CI93" s="633"/>
      <c r="CJ93" s="592">
        <v>0.0</v>
      </c>
      <c r="CK93" s="479" t="s">
        <v>365</v>
      </c>
      <c r="CL93" s="592"/>
      <c r="CM93" s="593"/>
      <c r="CN93" s="538"/>
      <c r="CO93" s="538"/>
      <c r="CP93" s="538"/>
      <c r="CQ93" s="538"/>
      <c r="CR93" s="538"/>
      <c r="CS93" s="538"/>
      <c r="CT93" s="538"/>
      <c r="CU93" s="538"/>
      <c r="CV93" s="538"/>
      <c r="CW93" s="538"/>
      <c r="CX93" s="538"/>
      <c r="CY93" s="538"/>
      <c r="CZ93" s="538"/>
      <c r="DA93" s="538"/>
      <c r="DB93" s="538"/>
      <c r="DC93" s="538"/>
      <c r="DD93" s="538"/>
      <c r="DE93" s="538"/>
      <c r="DF93" s="538"/>
      <c r="DG93" s="538"/>
      <c r="DH93" s="538"/>
      <c r="DI93" s="538"/>
      <c r="DJ93" s="538"/>
      <c r="DK93" s="538"/>
      <c r="DL93" s="538"/>
      <c r="DM93" s="538"/>
      <c r="DN93" s="538"/>
      <c r="DO93" s="538"/>
      <c r="DP93" s="538"/>
      <c r="DQ93" s="538"/>
      <c r="DR93" s="538"/>
      <c r="DS93" s="538"/>
      <c r="DT93" s="538"/>
      <c r="DU93" s="538"/>
      <c r="DV93" s="538"/>
      <c r="DW93" s="538"/>
      <c r="DX93" s="538"/>
      <c r="DY93" s="538"/>
      <c r="DZ93" s="538"/>
      <c r="EA93" s="538"/>
      <c r="EB93" s="538"/>
      <c r="EC93" s="538"/>
      <c r="ED93" s="538"/>
      <c r="EE93" s="538"/>
      <c r="EF93" s="538"/>
      <c r="EG93" s="538"/>
      <c r="EH93" s="538"/>
      <c r="EI93" s="538"/>
      <c r="EJ93" s="538"/>
      <c r="EK93" s="538"/>
      <c r="EL93" s="538"/>
      <c r="EM93" s="538"/>
      <c r="EN93" s="538"/>
      <c r="EO93" s="538"/>
      <c r="EP93" s="538"/>
      <c r="EQ93" s="538"/>
      <c r="ER93" s="538"/>
      <c r="ES93" s="538"/>
      <c r="ET93" s="538"/>
      <c r="EU93" s="538"/>
      <c r="EV93" s="538"/>
      <c r="EW93" s="538"/>
      <c r="EX93" s="559"/>
      <c r="EY93" s="559"/>
      <c r="EZ93" s="559"/>
      <c r="FA93" s="559"/>
      <c r="FB93" s="559"/>
      <c r="FC93" s="559"/>
      <c r="FD93" s="559"/>
      <c r="FE93" s="559"/>
      <c r="FF93" s="559"/>
      <c r="FG93" s="559"/>
      <c r="FH93" s="559"/>
      <c r="FI93" s="559"/>
      <c r="FJ93" s="559"/>
      <c r="FK93" s="559"/>
      <c r="FL93" s="559"/>
      <c r="FM93" s="559"/>
      <c r="FN93" s="559"/>
      <c r="FO93" s="559"/>
      <c r="FP93" s="559"/>
      <c r="FQ93" s="559"/>
      <c r="FR93" s="559"/>
      <c r="FS93" s="559"/>
      <c r="FT93" s="559"/>
      <c r="FU93" s="559"/>
      <c r="FV93" s="559"/>
      <c r="FW93" s="559"/>
      <c r="FX93" s="559"/>
      <c r="FY93" s="559"/>
      <c r="FZ93" s="559"/>
      <c r="GA93" s="559"/>
      <c r="GB93" s="559"/>
      <c r="GC93" s="559"/>
      <c r="GD93" s="559"/>
      <c r="GE93" s="559"/>
      <c r="GF93" s="559"/>
      <c r="GG93" s="559"/>
      <c r="GH93" s="559"/>
    </row>
    <row r="94">
      <c r="A94" s="538"/>
      <c r="B94" s="156"/>
      <c r="C94" s="444"/>
      <c r="D94" s="614"/>
      <c r="E94" s="68"/>
      <c r="F94" s="644"/>
      <c r="G94" s="644"/>
      <c r="H94" s="627"/>
      <c r="I94" s="622" t="s">
        <v>365</v>
      </c>
      <c r="J94" s="607"/>
      <c r="K94" s="641"/>
      <c r="L94" s="628"/>
      <c r="M94" s="626"/>
      <c r="N94" s="619"/>
      <c r="O94" s="560"/>
      <c r="P94" s="47"/>
      <c r="Q94" s="47"/>
      <c r="S94" s="572"/>
      <c r="U94" s="573"/>
      <c r="V94" s="574"/>
      <c r="W94" s="618"/>
      <c r="X94" s="576">
        <v>0.0</v>
      </c>
      <c r="Y94" s="630">
        <v>0.0</v>
      </c>
      <c r="Z94" s="630" t="s">
        <v>365</v>
      </c>
      <c r="AA94" s="631" t="b">
        <v>0</v>
      </c>
      <c r="AB94" s="631"/>
      <c r="AC94" s="576"/>
      <c r="AD94" s="479">
        <v>0.0</v>
      </c>
      <c r="AE94" s="632"/>
      <c r="AF94" s="582" t="s">
        <v>365</v>
      </c>
      <c r="AG94" s="583"/>
      <c r="AH94" s="584"/>
      <c r="AI94" s="583"/>
      <c r="AJ94" s="585"/>
      <c r="AK94" s="583"/>
      <c r="AL94" s="584"/>
      <c r="AM94" s="583"/>
      <c r="AN94" s="585"/>
      <c r="AO94" s="583"/>
      <c r="AP94" s="584"/>
      <c r="AQ94" s="583"/>
      <c r="AR94" s="585"/>
      <c r="AS94" s="583"/>
      <c r="AT94" s="584"/>
      <c r="AU94" s="583"/>
      <c r="AV94" s="585"/>
      <c r="AW94" s="583"/>
      <c r="AX94" s="584"/>
      <c r="AY94" s="583"/>
      <c r="AZ94" s="585"/>
      <c r="BA94" s="583"/>
      <c r="BB94" s="584"/>
      <c r="BC94" s="583"/>
      <c r="BD94" s="585"/>
      <c r="BE94" s="583"/>
      <c r="BF94" s="584"/>
      <c r="BG94" s="583"/>
      <c r="BH94" s="585"/>
      <c r="BI94" s="583"/>
      <c r="BJ94" s="584"/>
      <c r="BK94" s="583"/>
      <c r="BL94" s="585"/>
      <c r="BM94" s="583"/>
      <c r="BN94" s="584"/>
      <c r="BO94" s="583"/>
      <c r="BP94" s="585"/>
      <c r="BQ94" s="583"/>
      <c r="BR94" s="584"/>
      <c r="BS94" s="583"/>
      <c r="BT94" s="586"/>
      <c r="BU94" s="540"/>
      <c r="BV94" s="540"/>
      <c r="BW94" s="540"/>
      <c r="BX94" s="538"/>
      <c r="BY94" s="538"/>
      <c r="BZ94" s="592"/>
      <c r="CA94" s="633"/>
      <c r="CB94" s="592" t="s">
        <v>365</v>
      </c>
      <c r="CC94" s="592">
        <v>0.0</v>
      </c>
      <c r="CD94" s="592" t="s">
        <v>365</v>
      </c>
      <c r="CE94" s="592">
        <v>0.0</v>
      </c>
      <c r="CF94" s="592"/>
      <c r="CG94" s="592">
        <v>0.0</v>
      </c>
      <c r="CH94" s="592"/>
      <c r="CI94" s="633"/>
      <c r="CJ94" s="592">
        <v>0.0</v>
      </c>
      <c r="CK94" s="479" t="s">
        <v>365</v>
      </c>
      <c r="CL94" s="592"/>
      <c r="CM94" s="593"/>
      <c r="CN94" s="538"/>
      <c r="CO94" s="538"/>
      <c r="CP94" s="538"/>
      <c r="CQ94" s="538"/>
      <c r="CR94" s="538"/>
      <c r="CS94" s="538"/>
      <c r="CT94" s="538"/>
      <c r="CU94" s="538"/>
      <c r="CV94" s="538"/>
      <c r="CW94" s="538"/>
      <c r="CX94" s="538"/>
      <c r="CY94" s="538"/>
      <c r="CZ94" s="538"/>
      <c r="DA94" s="538"/>
      <c r="DB94" s="538"/>
      <c r="DC94" s="538"/>
      <c r="DD94" s="538"/>
      <c r="DE94" s="538"/>
      <c r="DF94" s="538"/>
      <c r="DG94" s="538"/>
      <c r="DH94" s="538"/>
      <c r="DI94" s="538"/>
      <c r="DJ94" s="538"/>
      <c r="DK94" s="538"/>
      <c r="DL94" s="538"/>
      <c r="DM94" s="538"/>
      <c r="DN94" s="538"/>
      <c r="DO94" s="538"/>
      <c r="DP94" s="538"/>
      <c r="DQ94" s="538"/>
      <c r="DR94" s="538"/>
      <c r="DS94" s="538"/>
      <c r="DT94" s="538"/>
      <c r="DU94" s="538"/>
      <c r="DV94" s="538"/>
      <c r="DW94" s="538"/>
      <c r="DX94" s="538"/>
      <c r="DY94" s="538"/>
      <c r="DZ94" s="538"/>
      <c r="EA94" s="538"/>
      <c r="EB94" s="538"/>
      <c r="EC94" s="538"/>
      <c r="ED94" s="538"/>
      <c r="EE94" s="538"/>
      <c r="EF94" s="538"/>
      <c r="EG94" s="538"/>
      <c r="EH94" s="538"/>
      <c r="EI94" s="538"/>
      <c r="EJ94" s="538"/>
      <c r="EK94" s="538"/>
      <c r="EL94" s="538"/>
      <c r="EM94" s="538"/>
      <c r="EN94" s="538"/>
      <c r="EO94" s="538"/>
      <c r="EP94" s="538"/>
      <c r="EQ94" s="538"/>
      <c r="ER94" s="538"/>
      <c r="ES94" s="538"/>
      <c r="ET94" s="538"/>
      <c r="EU94" s="538"/>
      <c r="EV94" s="538"/>
      <c r="EW94" s="538"/>
      <c r="EX94" s="559"/>
      <c r="EY94" s="559"/>
      <c r="EZ94" s="559"/>
      <c r="FA94" s="559"/>
      <c r="FB94" s="559"/>
      <c r="FC94" s="559"/>
      <c r="FD94" s="559"/>
      <c r="FE94" s="559"/>
      <c r="FF94" s="559"/>
      <c r="FG94" s="559"/>
      <c r="FH94" s="559"/>
      <c r="FI94" s="559"/>
      <c r="FJ94" s="559"/>
      <c r="FK94" s="559"/>
      <c r="FL94" s="559"/>
      <c r="FM94" s="559"/>
      <c r="FN94" s="559"/>
      <c r="FO94" s="559"/>
      <c r="FP94" s="559"/>
      <c r="FQ94" s="559"/>
      <c r="FR94" s="559"/>
      <c r="FS94" s="559"/>
      <c r="FT94" s="559"/>
      <c r="FU94" s="559"/>
      <c r="FV94" s="559"/>
      <c r="FW94" s="559"/>
      <c r="FX94" s="559"/>
      <c r="FY94" s="559"/>
      <c r="FZ94" s="559"/>
      <c r="GA94" s="559"/>
      <c r="GB94" s="559"/>
      <c r="GC94" s="559"/>
      <c r="GD94" s="559"/>
      <c r="GE94" s="559"/>
      <c r="GF94" s="559"/>
      <c r="GG94" s="559"/>
      <c r="GH94" s="559"/>
    </row>
    <row r="95">
      <c r="A95" s="538"/>
      <c r="B95" s="156"/>
      <c r="C95" s="444"/>
      <c r="D95" s="614"/>
      <c r="E95" s="66"/>
      <c r="F95" s="642"/>
      <c r="G95" s="642"/>
      <c r="H95" s="615"/>
      <c r="I95" s="616" t="s">
        <v>365</v>
      </c>
      <c r="J95" s="624"/>
      <c r="K95" s="643"/>
      <c r="L95" s="640"/>
      <c r="M95" s="625"/>
      <c r="N95" s="617"/>
      <c r="O95" s="134"/>
      <c r="P95" s="57"/>
      <c r="Q95" s="57"/>
      <c r="S95" s="605"/>
      <c r="U95" s="573"/>
      <c r="V95" s="574"/>
      <c r="W95" s="618"/>
      <c r="X95" s="576">
        <v>0.0</v>
      </c>
      <c r="Y95" s="630">
        <v>0.0</v>
      </c>
      <c r="Z95" s="630" t="s">
        <v>365</v>
      </c>
      <c r="AA95" s="631" t="b">
        <v>0</v>
      </c>
      <c r="AB95" s="631"/>
      <c r="AC95" s="576"/>
      <c r="AD95" s="479">
        <v>0.0</v>
      </c>
      <c r="AE95" s="632"/>
      <c r="AF95" s="582" t="s">
        <v>365</v>
      </c>
      <c r="AG95" s="583"/>
      <c r="AH95" s="584"/>
      <c r="AI95" s="583"/>
      <c r="AJ95" s="585"/>
      <c r="AK95" s="583"/>
      <c r="AL95" s="584"/>
      <c r="AM95" s="583"/>
      <c r="AN95" s="585"/>
      <c r="AO95" s="583"/>
      <c r="AP95" s="584"/>
      <c r="AQ95" s="583"/>
      <c r="AR95" s="585"/>
      <c r="AS95" s="583"/>
      <c r="AT95" s="584"/>
      <c r="AU95" s="583"/>
      <c r="AV95" s="585"/>
      <c r="AW95" s="583"/>
      <c r="AX95" s="584"/>
      <c r="AY95" s="583"/>
      <c r="AZ95" s="585"/>
      <c r="BA95" s="583"/>
      <c r="BB95" s="584"/>
      <c r="BC95" s="583"/>
      <c r="BD95" s="585"/>
      <c r="BE95" s="583"/>
      <c r="BF95" s="584"/>
      <c r="BG95" s="583"/>
      <c r="BH95" s="585"/>
      <c r="BI95" s="583"/>
      <c r="BJ95" s="584"/>
      <c r="BK95" s="583"/>
      <c r="BL95" s="585"/>
      <c r="BM95" s="583"/>
      <c r="BN95" s="584"/>
      <c r="BO95" s="583"/>
      <c r="BP95" s="585"/>
      <c r="BQ95" s="583"/>
      <c r="BR95" s="584"/>
      <c r="BS95" s="583"/>
      <c r="BT95" s="586"/>
      <c r="BU95" s="540"/>
      <c r="BV95" s="540"/>
      <c r="BW95" s="540"/>
      <c r="BX95" s="538"/>
      <c r="BY95" s="538"/>
      <c r="BZ95" s="592"/>
      <c r="CA95" s="633"/>
      <c r="CB95" s="592" t="s">
        <v>365</v>
      </c>
      <c r="CC95" s="592">
        <v>0.0</v>
      </c>
      <c r="CD95" s="592" t="s">
        <v>365</v>
      </c>
      <c r="CE95" s="592">
        <v>0.0</v>
      </c>
      <c r="CF95" s="592"/>
      <c r="CG95" s="592">
        <v>0.0</v>
      </c>
      <c r="CH95" s="592"/>
      <c r="CI95" s="633"/>
      <c r="CJ95" s="592">
        <v>0.0</v>
      </c>
      <c r="CK95" s="479" t="s">
        <v>365</v>
      </c>
      <c r="CL95" s="592"/>
      <c r="CM95" s="593"/>
      <c r="CN95" s="538"/>
      <c r="CO95" s="538"/>
      <c r="CP95" s="538"/>
      <c r="CQ95" s="538"/>
      <c r="CR95" s="538"/>
      <c r="CS95" s="538"/>
      <c r="CT95" s="538"/>
      <c r="CU95" s="538"/>
      <c r="CV95" s="538"/>
      <c r="CW95" s="538"/>
      <c r="CX95" s="538"/>
      <c r="CY95" s="538"/>
      <c r="CZ95" s="538"/>
      <c r="DA95" s="538"/>
      <c r="DB95" s="538"/>
      <c r="DC95" s="538"/>
      <c r="DD95" s="538"/>
      <c r="DE95" s="538"/>
      <c r="DF95" s="538"/>
      <c r="DG95" s="538"/>
      <c r="DH95" s="538"/>
      <c r="DI95" s="538"/>
      <c r="DJ95" s="538"/>
      <c r="DK95" s="538"/>
      <c r="DL95" s="538"/>
      <c r="DM95" s="538"/>
      <c r="DN95" s="538"/>
      <c r="DO95" s="538"/>
      <c r="DP95" s="538"/>
      <c r="DQ95" s="538"/>
      <c r="DR95" s="538"/>
      <c r="DS95" s="538"/>
      <c r="DT95" s="538"/>
      <c r="DU95" s="538"/>
      <c r="DV95" s="538"/>
      <c r="DW95" s="538"/>
      <c r="DX95" s="538"/>
      <c r="DY95" s="538"/>
      <c r="DZ95" s="538"/>
      <c r="EA95" s="538"/>
      <c r="EB95" s="538"/>
      <c r="EC95" s="538"/>
      <c r="ED95" s="538"/>
      <c r="EE95" s="538"/>
      <c r="EF95" s="538"/>
      <c r="EG95" s="538"/>
      <c r="EH95" s="538"/>
      <c r="EI95" s="538"/>
      <c r="EJ95" s="538"/>
      <c r="EK95" s="538"/>
      <c r="EL95" s="538"/>
      <c r="EM95" s="538"/>
      <c r="EN95" s="538"/>
      <c r="EO95" s="538"/>
      <c r="EP95" s="538"/>
      <c r="EQ95" s="538"/>
      <c r="ER95" s="538"/>
      <c r="ES95" s="538"/>
      <c r="ET95" s="538"/>
      <c r="EU95" s="538"/>
      <c r="EV95" s="538"/>
      <c r="EW95" s="538"/>
      <c r="EX95" s="559"/>
      <c r="EY95" s="559"/>
      <c r="EZ95" s="559"/>
      <c r="FA95" s="559"/>
      <c r="FB95" s="559"/>
      <c r="FC95" s="559"/>
      <c r="FD95" s="559"/>
      <c r="FE95" s="559"/>
      <c r="FF95" s="559"/>
      <c r="FG95" s="559"/>
      <c r="FH95" s="559"/>
      <c r="FI95" s="559"/>
      <c r="FJ95" s="559"/>
      <c r="FK95" s="559"/>
      <c r="FL95" s="559"/>
      <c r="FM95" s="559"/>
      <c r="FN95" s="559"/>
      <c r="FO95" s="559"/>
      <c r="FP95" s="559"/>
      <c r="FQ95" s="559"/>
      <c r="FR95" s="559"/>
      <c r="FS95" s="559"/>
      <c r="FT95" s="559"/>
      <c r="FU95" s="559"/>
      <c r="FV95" s="559"/>
      <c r="FW95" s="559"/>
      <c r="FX95" s="559"/>
      <c r="FY95" s="559"/>
      <c r="FZ95" s="559"/>
      <c r="GA95" s="559"/>
      <c r="GB95" s="559"/>
      <c r="GC95" s="559"/>
      <c r="GD95" s="559"/>
      <c r="GE95" s="559"/>
      <c r="GF95" s="559"/>
      <c r="GG95" s="559"/>
      <c r="GH95" s="559"/>
    </row>
    <row r="96">
      <c r="A96" s="538"/>
      <c r="B96" s="156"/>
      <c r="C96" s="444"/>
      <c r="D96" s="614"/>
      <c r="E96" s="68"/>
      <c r="F96" s="644"/>
      <c r="G96" s="644"/>
      <c r="H96" s="627"/>
      <c r="I96" s="622" t="s">
        <v>365</v>
      </c>
      <c r="J96" s="607"/>
      <c r="K96" s="641"/>
      <c r="L96" s="628"/>
      <c r="M96" s="626"/>
      <c r="N96" s="619"/>
      <c r="O96" s="560"/>
      <c r="P96" s="47"/>
      <c r="Q96" s="47"/>
      <c r="S96" s="572"/>
      <c r="U96" s="573"/>
      <c r="V96" s="574"/>
      <c r="W96" s="618"/>
      <c r="X96" s="576">
        <v>0.0</v>
      </c>
      <c r="Y96" s="630">
        <v>0.0</v>
      </c>
      <c r="Z96" s="630" t="s">
        <v>365</v>
      </c>
      <c r="AA96" s="631" t="b">
        <v>0</v>
      </c>
      <c r="AB96" s="631"/>
      <c r="AC96" s="576"/>
      <c r="AD96" s="479">
        <v>0.0</v>
      </c>
      <c r="AE96" s="632"/>
      <c r="AF96" s="582" t="s">
        <v>365</v>
      </c>
      <c r="AG96" s="583"/>
      <c r="AH96" s="584"/>
      <c r="AI96" s="583"/>
      <c r="AJ96" s="585"/>
      <c r="AK96" s="583"/>
      <c r="AL96" s="584"/>
      <c r="AM96" s="583"/>
      <c r="AN96" s="585"/>
      <c r="AO96" s="583"/>
      <c r="AP96" s="584"/>
      <c r="AQ96" s="583"/>
      <c r="AR96" s="585"/>
      <c r="AS96" s="583"/>
      <c r="AT96" s="584"/>
      <c r="AU96" s="583"/>
      <c r="AV96" s="585"/>
      <c r="AW96" s="583"/>
      <c r="AX96" s="584"/>
      <c r="AY96" s="583"/>
      <c r="AZ96" s="585"/>
      <c r="BA96" s="583"/>
      <c r="BB96" s="584"/>
      <c r="BC96" s="583"/>
      <c r="BD96" s="585"/>
      <c r="BE96" s="583"/>
      <c r="BF96" s="584"/>
      <c r="BG96" s="583"/>
      <c r="BH96" s="585"/>
      <c r="BI96" s="583"/>
      <c r="BJ96" s="584"/>
      <c r="BK96" s="583"/>
      <c r="BL96" s="585"/>
      <c r="BM96" s="583"/>
      <c r="BN96" s="584"/>
      <c r="BO96" s="583"/>
      <c r="BP96" s="585"/>
      <c r="BQ96" s="583"/>
      <c r="BR96" s="584"/>
      <c r="BS96" s="583"/>
      <c r="BT96" s="586"/>
      <c r="BU96" s="540"/>
      <c r="BV96" s="540"/>
      <c r="BW96" s="540"/>
      <c r="BX96" s="538"/>
      <c r="BY96" s="538"/>
      <c r="BZ96" s="592"/>
      <c r="CA96" s="633"/>
      <c r="CB96" s="592" t="s">
        <v>365</v>
      </c>
      <c r="CC96" s="592">
        <v>0.0</v>
      </c>
      <c r="CD96" s="592" t="s">
        <v>365</v>
      </c>
      <c r="CE96" s="592">
        <v>0.0</v>
      </c>
      <c r="CF96" s="592"/>
      <c r="CG96" s="592">
        <v>0.0</v>
      </c>
      <c r="CH96" s="592"/>
      <c r="CI96" s="633"/>
      <c r="CJ96" s="592">
        <v>0.0</v>
      </c>
      <c r="CK96" s="479" t="s">
        <v>365</v>
      </c>
      <c r="CL96" s="592"/>
      <c r="CM96" s="593"/>
      <c r="CN96" s="538"/>
      <c r="CO96" s="538"/>
      <c r="CP96" s="538"/>
      <c r="CQ96" s="538"/>
      <c r="CR96" s="538"/>
      <c r="CS96" s="538"/>
      <c r="CT96" s="538"/>
      <c r="CU96" s="538"/>
      <c r="CV96" s="538"/>
      <c r="CW96" s="538"/>
      <c r="CX96" s="538"/>
      <c r="CY96" s="538"/>
      <c r="CZ96" s="538"/>
      <c r="DA96" s="538"/>
      <c r="DB96" s="538"/>
      <c r="DC96" s="538"/>
      <c r="DD96" s="538"/>
      <c r="DE96" s="538"/>
      <c r="DF96" s="538"/>
      <c r="DG96" s="538"/>
      <c r="DH96" s="538"/>
      <c r="DI96" s="538"/>
      <c r="DJ96" s="538"/>
      <c r="DK96" s="538"/>
      <c r="DL96" s="538"/>
      <c r="DM96" s="538"/>
      <c r="DN96" s="538"/>
      <c r="DO96" s="538"/>
      <c r="DP96" s="538"/>
      <c r="DQ96" s="538"/>
      <c r="DR96" s="538"/>
      <c r="DS96" s="538"/>
      <c r="DT96" s="538"/>
      <c r="DU96" s="538"/>
      <c r="DV96" s="538"/>
      <c r="DW96" s="538"/>
      <c r="DX96" s="538"/>
      <c r="DY96" s="538"/>
      <c r="DZ96" s="538"/>
      <c r="EA96" s="538"/>
      <c r="EB96" s="538"/>
      <c r="EC96" s="538"/>
      <c r="ED96" s="538"/>
      <c r="EE96" s="538"/>
      <c r="EF96" s="538"/>
      <c r="EG96" s="538"/>
      <c r="EH96" s="538"/>
      <c r="EI96" s="538"/>
      <c r="EJ96" s="538"/>
      <c r="EK96" s="538"/>
      <c r="EL96" s="538"/>
      <c r="EM96" s="538"/>
      <c r="EN96" s="538"/>
      <c r="EO96" s="538"/>
      <c r="EP96" s="538"/>
      <c r="EQ96" s="538"/>
      <c r="ER96" s="538"/>
      <c r="ES96" s="538"/>
      <c r="ET96" s="538"/>
      <c r="EU96" s="538"/>
      <c r="EV96" s="538"/>
      <c r="EW96" s="538"/>
      <c r="EX96" s="559"/>
      <c r="EY96" s="559"/>
      <c r="EZ96" s="559"/>
      <c r="FA96" s="559"/>
      <c r="FB96" s="559"/>
      <c r="FC96" s="559"/>
      <c r="FD96" s="559"/>
      <c r="FE96" s="559"/>
      <c r="FF96" s="559"/>
      <c r="FG96" s="559"/>
      <c r="FH96" s="559"/>
      <c r="FI96" s="559"/>
      <c r="FJ96" s="559"/>
      <c r="FK96" s="559"/>
      <c r="FL96" s="559"/>
      <c r="FM96" s="559"/>
      <c r="FN96" s="559"/>
      <c r="FO96" s="559"/>
      <c r="FP96" s="559"/>
      <c r="FQ96" s="559"/>
      <c r="FR96" s="559"/>
      <c r="FS96" s="559"/>
      <c r="FT96" s="559"/>
      <c r="FU96" s="559"/>
      <c r="FV96" s="559"/>
      <c r="FW96" s="559"/>
      <c r="FX96" s="559"/>
      <c r="FY96" s="559"/>
      <c r="FZ96" s="559"/>
      <c r="GA96" s="559"/>
      <c r="GB96" s="559"/>
      <c r="GC96" s="559"/>
      <c r="GD96" s="559"/>
      <c r="GE96" s="559"/>
      <c r="GF96" s="559"/>
      <c r="GG96" s="559"/>
      <c r="GH96" s="559"/>
    </row>
    <row r="97">
      <c r="A97" s="538"/>
      <c r="B97" s="156"/>
      <c r="C97" s="444"/>
      <c r="D97" s="614"/>
      <c r="E97" s="66"/>
      <c r="F97" s="642"/>
      <c r="G97" s="642"/>
      <c r="H97" s="615"/>
      <c r="I97" s="616" t="s">
        <v>365</v>
      </c>
      <c r="J97" s="624"/>
      <c r="K97" s="643"/>
      <c r="L97" s="640"/>
      <c r="M97" s="625"/>
      <c r="N97" s="617"/>
      <c r="O97" s="134"/>
      <c r="P97" s="57"/>
      <c r="Q97" s="57"/>
      <c r="S97" s="605"/>
      <c r="U97" s="573"/>
      <c r="V97" s="574"/>
      <c r="W97" s="618"/>
      <c r="X97" s="576">
        <v>0.0</v>
      </c>
      <c r="Y97" s="630">
        <v>0.0</v>
      </c>
      <c r="Z97" s="630" t="s">
        <v>365</v>
      </c>
      <c r="AA97" s="631" t="b">
        <v>0</v>
      </c>
      <c r="AB97" s="631"/>
      <c r="AC97" s="576"/>
      <c r="AD97" s="479">
        <v>0.0</v>
      </c>
      <c r="AE97" s="632"/>
      <c r="AF97" s="582" t="s">
        <v>365</v>
      </c>
      <c r="AG97" s="583"/>
      <c r="AH97" s="584"/>
      <c r="AI97" s="583"/>
      <c r="AJ97" s="585"/>
      <c r="AK97" s="583"/>
      <c r="AL97" s="584"/>
      <c r="AM97" s="583"/>
      <c r="AN97" s="585"/>
      <c r="AO97" s="583"/>
      <c r="AP97" s="584"/>
      <c r="AQ97" s="583"/>
      <c r="AR97" s="585"/>
      <c r="AS97" s="583"/>
      <c r="AT97" s="584"/>
      <c r="AU97" s="583"/>
      <c r="AV97" s="585"/>
      <c r="AW97" s="583"/>
      <c r="AX97" s="584"/>
      <c r="AY97" s="583"/>
      <c r="AZ97" s="585"/>
      <c r="BA97" s="583"/>
      <c r="BB97" s="584"/>
      <c r="BC97" s="583"/>
      <c r="BD97" s="585"/>
      <c r="BE97" s="583"/>
      <c r="BF97" s="584"/>
      <c r="BG97" s="583"/>
      <c r="BH97" s="585"/>
      <c r="BI97" s="583"/>
      <c r="BJ97" s="584"/>
      <c r="BK97" s="583"/>
      <c r="BL97" s="585"/>
      <c r="BM97" s="583"/>
      <c r="BN97" s="584"/>
      <c r="BO97" s="583"/>
      <c r="BP97" s="585"/>
      <c r="BQ97" s="583"/>
      <c r="BR97" s="584"/>
      <c r="BS97" s="583"/>
      <c r="BT97" s="586"/>
      <c r="BU97" s="540"/>
      <c r="BV97" s="540"/>
      <c r="BW97" s="540"/>
      <c r="BX97" s="538"/>
      <c r="BY97" s="538"/>
      <c r="BZ97" s="592"/>
      <c r="CA97" s="633"/>
      <c r="CB97" s="592" t="s">
        <v>365</v>
      </c>
      <c r="CC97" s="592">
        <v>0.0</v>
      </c>
      <c r="CD97" s="592" t="s">
        <v>365</v>
      </c>
      <c r="CE97" s="592">
        <v>0.0</v>
      </c>
      <c r="CF97" s="592"/>
      <c r="CG97" s="592">
        <v>0.0</v>
      </c>
      <c r="CH97" s="592"/>
      <c r="CI97" s="633"/>
      <c r="CJ97" s="592">
        <v>0.0</v>
      </c>
      <c r="CK97" s="479" t="s">
        <v>365</v>
      </c>
      <c r="CL97" s="592"/>
      <c r="CM97" s="593"/>
      <c r="CN97" s="538"/>
      <c r="CO97" s="538"/>
      <c r="CP97" s="538"/>
      <c r="CQ97" s="538"/>
      <c r="CR97" s="538"/>
      <c r="CS97" s="538"/>
      <c r="CT97" s="538"/>
      <c r="CU97" s="538"/>
      <c r="CV97" s="538"/>
      <c r="CW97" s="538"/>
      <c r="CX97" s="538"/>
      <c r="CY97" s="538"/>
      <c r="CZ97" s="538"/>
      <c r="DA97" s="538"/>
      <c r="DB97" s="538"/>
      <c r="DC97" s="538"/>
      <c r="DD97" s="538"/>
      <c r="DE97" s="538"/>
      <c r="DF97" s="538"/>
      <c r="DG97" s="538"/>
      <c r="DH97" s="538"/>
      <c r="DI97" s="538"/>
      <c r="DJ97" s="538"/>
      <c r="DK97" s="538"/>
      <c r="DL97" s="538"/>
      <c r="DM97" s="538"/>
      <c r="DN97" s="538"/>
      <c r="DO97" s="538"/>
      <c r="DP97" s="538"/>
      <c r="DQ97" s="538"/>
      <c r="DR97" s="538"/>
      <c r="DS97" s="538"/>
      <c r="DT97" s="538"/>
      <c r="DU97" s="538"/>
      <c r="DV97" s="538"/>
      <c r="DW97" s="538"/>
      <c r="DX97" s="538"/>
      <c r="DY97" s="538"/>
      <c r="DZ97" s="538"/>
      <c r="EA97" s="538"/>
      <c r="EB97" s="538"/>
      <c r="EC97" s="538"/>
      <c r="ED97" s="538"/>
      <c r="EE97" s="538"/>
      <c r="EF97" s="538"/>
      <c r="EG97" s="538"/>
      <c r="EH97" s="538"/>
      <c r="EI97" s="538"/>
      <c r="EJ97" s="538"/>
      <c r="EK97" s="538"/>
      <c r="EL97" s="538"/>
      <c r="EM97" s="538"/>
      <c r="EN97" s="538"/>
      <c r="EO97" s="538"/>
      <c r="EP97" s="538"/>
      <c r="EQ97" s="538"/>
      <c r="ER97" s="538"/>
      <c r="ES97" s="538"/>
      <c r="ET97" s="538"/>
      <c r="EU97" s="538"/>
      <c r="EV97" s="538"/>
      <c r="EW97" s="538"/>
      <c r="EX97" s="559"/>
      <c r="EY97" s="559"/>
      <c r="EZ97" s="559"/>
      <c r="FA97" s="559"/>
      <c r="FB97" s="559"/>
      <c r="FC97" s="559"/>
      <c r="FD97" s="559"/>
      <c r="FE97" s="559"/>
      <c r="FF97" s="559"/>
      <c r="FG97" s="559"/>
      <c r="FH97" s="559"/>
      <c r="FI97" s="559"/>
      <c r="FJ97" s="559"/>
      <c r="FK97" s="559"/>
      <c r="FL97" s="559"/>
      <c r="FM97" s="559"/>
      <c r="FN97" s="559"/>
      <c r="FO97" s="559"/>
      <c r="FP97" s="559"/>
      <c r="FQ97" s="559"/>
      <c r="FR97" s="559"/>
      <c r="FS97" s="559"/>
      <c r="FT97" s="559"/>
      <c r="FU97" s="559"/>
      <c r="FV97" s="559"/>
      <c r="FW97" s="559"/>
      <c r="FX97" s="559"/>
      <c r="FY97" s="559"/>
      <c r="FZ97" s="559"/>
      <c r="GA97" s="559"/>
      <c r="GB97" s="559"/>
      <c r="GC97" s="559"/>
      <c r="GD97" s="559"/>
      <c r="GE97" s="559"/>
      <c r="GF97" s="559"/>
      <c r="GG97" s="559"/>
      <c r="GH97" s="559"/>
    </row>
    <row r="98">
      <c r="A98" s="538"/>
      <c r="B98" s="156"/>
      <c r="C98" s="444"/>
      <c r="D98" s="614"/>
      <c r="E98" s="68"/>
      <c r="F98" s="644"/>
      <c r="G98" s="644"/>
      <c r="H98" s="627"/>
      <c r="I98" s="622" t="s">
        <v>365</v>
      </c>
      <c r="J98" s="607"/>
      <c r="K98" s="641"/>
      <c r="L98" s="628"/>
      <c r="M98" s="626"/>
      <c r="N98" s="619"/>
      <c r="O98" s="560"/>
      <c r="P98" s="47"/>
      <c r="Q98" s="47"/>
      <c r="S98" s="572"/>
      <c r="U98" s="573"/>
      <c r="V98" s="574"/>
      <c r="W98" s="618"/>
      <c r="X98" s="576">
        <v>0.0</v>
      </c>
      <c r="Y98" s="630">
        <v>0.0</v>
      </c>
      <c r="Z98" s="630" t="s">
        <v>365</v>
      </c>
      <c r="AA98" s="631" t="b">
        <v>0</v>
      </c>
      <c r="AB98" s="631"/>
      <c r="AC98" s="576"/>
      <c r="AD98" s="479">
        <v>0.0</v>
      </c>
      <c r="AE98" s="632"/>
      <c r="AF98" s="582" t="s">
        <v>365</v>
      </c>
      <c r="AG98" s="583"/>
      <c r="AH98" s="584"/>
      <c r="AI98" s="583"/>
      <c r="AJ98" s="585"/>
      <c r="AK98" s="583"/>
      <c r="AL98" s="584"/>
      <c r="AM98" s="583"/>
      <c r="AN98" s="585"/>
      <c r="AO98" s="583"/>
      <c r="AP98" s="584"/>
      <c r="AQ98" s="583"/>
      <c r="AR98" s="585"/>
      <c r="AS98" s="583"/>
      <c r="AT98" s="584"/>
      <c r="AU98" s="583"/>
      <c r="AV98" s="585"/>
      <c r="AW98" s="583"/>
      <c r="AX98" s="584"/>
      <c r="AY98" s="583"/>
      <c r="AZ98" s="585"/>
      <c r="BA98" s="583"/>
      <c r="BB98" s="584"/>
      <c r="BC98" s="583"/>
      <c r="BD98" s="585"/>
      <c r="BE98" s="583"/>
      <c r="BF98" s="584"/>
      <c r="BG98" s="583"/>
      <c r="BH98" s="585"/>
      <c r="BI98" s="583"/>
      <c r="BJ98" s="584"/>
      <c r="BK98" s="583"/>
      <c r="BL98" s="585"/>
      <c r="BM98" s="583"/>
      <c r="BN98" s="584"/>
      <c r="BO98" s="583"/>
      <c r="BP98" s="585"/>
      <c r="BQ98" s="583"/>
      <c r="BR98" s="584"/>
      <c r="BS98" s="583"/>
      <c r="BT98" s="586"/>
      <c r="BU98" s="540"/>
      <c r="BV98" s="540"/>
      <c r="BW98" s="540"/>
      <c r="BX98" s="538"/>
      <c r="BY98" s="538"/>
      <c r="BZ98" s="592"/>
      <c r="CA98" s="633"/>
      <c r="CB98" s="592" t="s">
        <v>365</v>
      </c>
      <c r="CC98" s="592">
        <v>0.0</v>
      </c>
      <c r="CD98" s="592" t="s">
        <v>365</v>
      </c>
      <c r="CE98" s="592">
        <v>0.0</v>
      </c>
      <c r="CF98" s="592"/>
      <c r="CG98" s="592">
        <v>0.0</v>
      </c>
      <c r="CH98" s="592"/>
      <c r="CI98" s="633"/>
      <c r="CJ98" s="592">
        <v>0.0</v>
      </c>
      <c r="CK98" s="479" t="s">
        <v>365</v>
      </c>
      <c r="CL98" s="592"/>
      <c r="CM98" s="593"/>
      <c r="CN98" s="538"/>
      <c r="CO98" s="538"/>
      <c r="CP98" s="538"/>
      <c r="CQ98" s="538"/>
      <c r="CR98" s="538"/>
      <c r="CS98" s="538"/>
      <c r="CT98" s="538"/>
      <c r="CU98" s="538"/>
      <c r="CV98" s="538"/>
      <c r="CW98" s="538"/>
      <c r="CX98" s="538"/>
      <c r="CY98" s="538"/>
      <c r="CZ98" s="538"/>
      <c r="DA98" s="538"/>
      <c r="DB98" s="538"/>
      <c r="DC98" s="538"/>
      <c r="DD98" s="538"/>
      <c r="DE98" s="538"/>
      <c r="DF98" s="538"/>
      <c r="DG98" s="538"/>
      <c r="DH98" s="538"/>
      <c r="DI98" s="538"/>
      <c r="DJ98" s="538"/>
      <c r="DK98" s="538"/>
      <c r="DL98" s="538"/>
      <c r="DM98" s="538"/>
      <c r="DN98" s="538"/>
      <c r="DO98" s="538"/>
      <c r="DP98" s="538"/>
      <c r="DQ98" s="538"/>
      <c r="DR98" s="538"/>
      <c r="DS98" s="538"/>
      <c r="DT98" s="538"/>
      <c r="DU98" s="538"/>
      <c r="DV98" s="538"/>
      <c r="DW98" s="538"/>
      <c r="DX98" s="538"/>
      <c r="DY98" s="538"/>
      <c r="DZ98" s="538"/>
      <c r="EA98" s="538"/>
      <c r="EB98" s="538"/>
      <c r="EC98" s="538"/>
      <c r="ED98" s="538"/>
      <c r="EE98" s="538"/>
      <c r="EF98" s="538"/>
      <c r="EG98" s="538"/>
      <c r="EH98" s="538"/>
      <c r="EI98" s="538"/>
      <c r="EJ98" s="538"/>
      <c r="EK98" s="538"/>
      <c r="EL98" s="538"/>
      <c r="EM98" s="538"/>
      <c r="EN98" s="538"/>
      <c r="EO98" s="538"/>
      <c r="EP98" s="538"/>
      <c r="EQ98" s="538"/>
      <c r="ER98" s="538"/>
      <c r="ES98" s="538"/>
      <c r="ET98" s="538"/>
      <c r="EU98" s="538"/>
      <c r="EV98" s="538"/>
      <c r="EW98" s="538"/>
      <c r="EX98" s="559"/>
      <c r="EY98" s="559"/>
      <c r="EZ98" s="559"/>
      <c r="FA98" s="559"/>
      <c r="FB98" s="559"/>
      <c r="FC98" s="559"/>
      <c r="FD98" s="559"/>
      <c r="FE98" s="559"/>
      <c r="FF98" s="559"/>
      <c r="FG98" s="559"/>
      <c r="FH98" s="559"/>
      <c r="FI98" s="559"/>
      <c r="FJ98" s="559"/>
      <c r="FK98" s="559"/>
      <c r="FL98" s="559"/>
      <c r="FM98" s="559"/>
      <c r="FN98" s="559"/>
      <c r="FO98" s="559"/>
      <c r="FP98" s="559"/>
      <c r="FQ98" s="559"/>
      <c r="FR98" s="559"/>
      <c r="FS98" s="559"/>
      <c r="FT98" s="559"/>
      <c r="FU98" s="559"/>
      <c r="FV98" s="559"/>
      <c r="FW98" s="559"/>
      <c r="FX98" s="559"/>
      <c r="FY98" s="559"/>
      <c r="FZ98" s="559"/>
      <c r="GA98" s="559"/>
      <c r="GB98" s="559"/>
      <c r="GC98" s="559"/>
      <c r="GD98" s="559"/>
      <c r="GE98" s="559"/>
      <c r="GF98" s="559"/>
      <c r="GG98" s="559"/>
      <c r="GH98" s="559"/>
    </row>
    <row r="99">
      <c r="A99" s="538"/>
      <c r="B99" s="156"/>
      <c r="C99" s="444"/>
      <c r="D99" s="614"/>
      <c r="E99" s="66"/>
      <c r="F99" s="642"/>
      <c r="G99" s="642"/>
      <c r="H99" s="615"/>
      <c r="I99" s="616" t="s">
        <v>365</v>
      </c>
      <c r="J99" s="624"/>
      <c r="K99" s="643"/>
      <c r="L99" s="640"/>
      <c r="M99" s="625"/>
      <c r="N99" s="617"/>
      <c r="O99" s="134"/>
      <c r="P99" s="57"/>
      <c r="Q99" s="57"/>
      <c r="S99" s="605"/>
      <c r="U99" s="573"/>
      <c r="V99" s="574"/>
      <c r="W99" s="618"/>
      <c r="X99" s="576">
        <v>0.0</v>
      </c>
      <c r="Y99" s="630">
        <v>0.0</v>
      </c>
      <c r="Z99" s="630" t="s">
        <v>365</v>
      </c>
      <c r="AA99" s="631" t="b">
        <v>0</v>
      </c>
      <c r="AB99" s="631"/>
      <c r="AC99" s="576"/>
      <c r="AD99" s="479">
        <v>0.0</v>
      </c>
      <c r="AE99" s="632"/>
      <c r="AF99" s="582" t="s">
        <v>365</v>
      </c>
      <c r="AG99" s="583"/>
      <c r="AH99" s="584"/>
      <c r="AI99" s="583"/>
      <c r="AJ99" s="585"/>
      <c r="AK99" s="583"/>
      <c r="AL99" s="584"/>
      <c r="AM99" s="583"/>
      <c r="AN99" s="585"/>
      <c r="AO99" s="583"/>
      <c r="AP99" s="584"/>
      <c r="AQ99" s="583"/>
      <c r="AR99" s="585"/>
      <c r="AS99" s="583"/>
      <c r="AT99" s="584"/>
      <c r="AU99" s="583"/>
      <c r="AV99" s="585"/>
      <c r="AW99" s="583"/>
      <c r="AX99" s="584"/>
      <c r="AY99" s="583"/>
      <c r="AZ99" s="585"/>
      <c r="BA99" s="583"/>
      <c r="BB99" s="584"/>
      <c r="BC99" s="583"/>
      <c r="BD99" s="585"/>
      <c r="BE99" s="583"/>
      <c r="BF99" s="584"/>
      <c r="BG99" s="583"/>
      <c r="BH99" s="585"/>
      <c r="BI99" s="583"/>
      <c r="BJ99" s="584"/>
      <c r="BK99" s="583"/>
      <c r="BL99" s="585"/>
      <c r="BM99" s="583"/>
      <c r="BN99" s="584"/>
      <c r="BO99" s="583"/>
      <c r="BP99" s="585"/>
      <c r="BQ99" s="583"/>
      <c r="BR99" s="584"/>
      <c r="BS99" s="583"/>
      <c r="BT99" s="586"/>
      <c r="BU99" s="540"/>
      <c r="BV99" s="540"/>
      <c r="BW99" s="540"/>
      <c r="BX99" s="538"/>
      <c r="BY99" s="538"/>
      <c r="BZ99" s="592"/>
      <c r="CA99" s="633"/>
      <c r="CB99" s="592" t="s">
        <v>365</v>
      </c>
      <c r="CC99" s="592">
        <v>0.0</v>
      </c>
      <c r="CD99" s="592" t="s">
        <v>365</v>
      </c>
      <c r="CE99" s="592">
        <v>0.0</v>
      </c>
      <c r="CF99" s="592"/>
      <c r="CG99" s="592">
        <v>0.0</v>
      </c>
      <c r="CH99" s="592"/>
      <c r="CI99" s="633"/>
      <c r="CJ99" s="592">
        <v>0.0</v>
      </c>
      <c r="CK99" s="479" t="s">
        <v>365</v>
      </c>
      <c r="CL99" s="592"/>
      <c r="CM99" s="593"/>
      <c r="CN99" s="538"/>
      <c r="CO99" s="538"/>
      <c r="CP99" s="538"/>
      <c r="CQ99" s="538"/>
      <c r="CR99" s="538"/>
      <c r="CS99" s="538"/>
      <c r="CT99" s="538"/>
      <c r="CU99" s="538"/>
      <c r="CV99" s="538"/>
      <c r="CW99" s="538"/>
      <c r="CX99" s="538"/>
      <c r="CY99" s="538"/>
      <c r="CZ99" s="538"/>
      <c r="DA99" s="538"/>
      <c r="DB99" s="538"/>
      <c r="DC99" s="538"/>
      <c r="DD99" s="538"/>
      <c r="DE99" s="538"/>
      <c r="DF99" s="538"/>
      <c r="DG99" s="538"/>
      <c r="DH99" s="538"/>
      <c r="DI99" s="538"/>
      <c r="DJ99" s="538"/>
      <c r="DK99" s="538"/>
      <c r="DL99" s="538"/>
      <c r="DM99" s="538"/>
      <c r="DN99" s="538"/>
      <c r="DO99" s="538"/>
      <c r="DP99" s="538"/>
      <c r="DQ99" s="538"/>
      <c r="DR99" s="538"/>
      <c r="DS99" s="538"/>
      <c r="DT99" s="538"/>
      <c r="DU99" s="538"/>
      <c r="DV99" s="538"/>
      <c r="DW99" s="538"/>
      <c r="DX99" s="538"/>
      <c r="DY99" s="538"/>
      <c r="DZ99" s="538"/>
      <c r="EA99" s="538"/>
      <c r="EB99" s="538"/>
      <c r="EC99" s="538"/>
      <c r="ED99" s="538"/>
      <c r="EE99" s="538"/>
      <c r="EF99" s="538"/>
      <c r="EG99" s="538"/>
      <c r="EH99" s="538"/>
      <c r="EI99" s="538"/>
      <c r="EJ99" s="538"/>
      <c r="EK99" s="538"/>
      <c r="EL99" s="538"/>
      <c r="EM99" s="538"/>
      <c r="EN99" s="538"/>
      <c r="EO99" s="538"/>
      <c r="EP99" s="538"/>
      <c r="EQ99" s="538"/>
      <c r="ER99" s="538"/>
      <c r="ES99" s="538"/>
      <c r="ET99" s="538"/>
      <c r="EU99" s="538"/>
      <c r="EV99" s="538"/>
      <c r="EW99" s="538"/>
      <c r="EX99" s="559"/>
      <c r="EY99" s="559"/>
      <c r="EZ99" s="559"/>
      <c r="FA99" s="559"/>
      <c r="FB99" s="559"/>
      <c r="FC99" s="559"/>
      <c r="FD99" s="559"/>
      <c r="FE99" s="559"/>
      <c r="FF99" s="559"/>
      <c r="FG99" s="559"/>
      <c r="FH99" s="559"/>
      <c r="FI99" s="559"/>
      <c r="FJ99" s="559"/>
      <c r="FK99" s="559"/>
      <c r="FL99" s="559"/>
      <c r="FM99" s="559"/>
      <c r="FN99" s="559"/>
      <c r="FO99" s="559"/>
      <c r="FP99" s="559"/>
      <c r="FQ99" s="559"/>
      <c r="FR99" s="559"/>
      <c r="FS99" s="559"/>
      <c r="FT99" s="559"/>
      <c r="FU99" s="559"/>
      <c r="FV99" s="559"/>
      <c r="FW99" s="559"/>
      <c r="FX99" s="559"/>
      <c r="FY99" s="559"/>
      <c r="FZ99" s="559"/>
      <c r="GA99" s="559"/>
      <c r="GB99" s="559"/>
      <c r="GC99" s="559"/>
      <c r="GD99" s="559"/>
      <c r="GE99" s="559"/>
      <c r="GF99" s="559"/>
      <c r="GG99" s="559"/>
      <c r="GH99" s="559"/>
    </row>
    <row r="100">
      <c r="A100" s="538"/>
      <c r="B100" s="156"/>
      <c r="C100" s="444"/>
      <c r="D100" s="614"/>
      <c r="E100" s="68"/>
      <c r="F100" s="644"/>
      <c r="G100" s="644"/>
      <c r="H100" s="627"/>
      <c r="I100" s="622" t="s">
        <v>365</v>
      </c>
      <c r="J100" s="607"/>
      <c r="K100" s="641"/>
      <c r="L100" s="628"/>
      <c r="M100" s="626"/>
      <c r="N100" s="619"/>
      <c r="O100" s="560"/>
      <c r="P100" s="47"/>
      <c r="Q100" s="47"/>
      <c r="S100" s="572"/>
      <c r="U100" s="573"/>
      <c r="V100" s="574"/>
      <c r="W100" s="618"/>
      <c r="X100" s="576">
        <v>0.0</v>
      </c>
      <c r="Y100" s="630">
        <v>0.0</v>
      </c>
      <c r="Z100" s="630" t="s">
        <v>365</v>
      </c>
      <c r="AA100" s="631" t="b">
        <v>0</v>
      </c>
      <c r="AB100" s="631"/>
      <c r="AC100" s="576"/>
      <c r="AD100" s="479">
        <v>0.0</v>
      </c>
      <c r="AE100" s="632"/>
      <c r="AF100" s="582" t="s">
        <v>365</v>
      </c>
      <c r="AG100" s="583"/>
      <c r="AH100" s="584"/>
      <c r="AI100" s="583"/>
      <c r="AJ100" s="585"/>
      <c r="AK100" s="583"/>
      <c r="AL100" s="584"/>
      <c r="AM100" s="583"/>
      <c r="AN100" s="585"/>
      <c r="AO100" s="583"/>
      <c r="AP100" s="584"/>
      <c r="AQ100" s="583"/>
      <c r="AR100" s="585"/>
      <c r="AS100" s="583"/>
      <c r="AT100" s="584"/>
      <c r="AU100" s="583"/>
      <c r="AV100" s="585"/>
      <c r="AW100" s="583"/>
      <c r="AX100" s="584"/>
      <c r="AY100" s="583"/>
      <c r="AZ100" s="585"/>
      <c r="BA100" s="583"/>
      <c r="BB100" s="584"/>
      <c r="BC100" s="583"/>
      <c r="BD100" s="585"/>
      <c r="BE100" s="583"/>
      <c r="BF100" s="584"/>
      <c r="BG100" s="583"/>
      <c r="BH100" s="585"/>
      <c r="BI100" s="583"/>
      <c r="BJ100" s="584"/>
      <c r="BK100" s="583"/>
      <c r="BL100" s="585"/>
      <c r="BM100" s="583"/>
      <c r="BN100" s="584"/>
      <c r="BO100" s="583"/>
      <c r="BP100" s="585"/>
      <c r="BQ100" s="583"/>
      <c r="BR100" s="584"/>
      <c r="BS100" s="583"/>
      <c r="BT100" s="586"/>
      <c r="BU100" s="540"/>
      <c r="BV100" s="540"/>
      <c r="BW100" s="540"/>
      <c r="BX100" s="538"/>
      <c r="BY100" s="538"/>
      <c r="BZ100" s="592"/>
      <c r="CA100" s="633"/>
      <c r="CB100" s="592" t="s">
        <v>365</v>
      </c>
      <c r="CC100" s="592">
        <v>0.0</v>
      </c>
      <c r="CD100" s="592" t="s">
        <v>365</v>
      </c>
      <c r="CE100" s="592">
        <v>0.0</v>
      </c>
      <c r="CF100" s="592"/>
      <c r="CG100" s="592">
        <v>0.0</v>
      </c>
      <c r="CH100" s="592"/>
      <c r="CI100" s="633"/>
      <c r="CJ100" s="592">
        <v>0.0</v>
      </c>
      <c r="CK100" s="479" t="s">
        <v>365</v>
      </c>
      <c r="CL100" s="592"/>
      <c r="CM100" s="593"/>
      <c r="CN100" s="538"/>
      <c r="CO100" s="538"/>
      <c r="CP100" s="538"/>
      <c r="CQ100" s="538"/>
      <c r="CR100" s="538"/>
      <c r="CS100" s="538"/>
      <c r="CT100" s="538"/>
      <c r="CU100" s="538"/>
      <c r="CV100" s="538"/>
      <c r="CW100" s="538"/>
      <c r="CX100" s="538"/>
      <c r="CY100" s="538"/>
      <c r="CZ100" s="538"/>
      <c r="DA100" s="538"/>
      <c r="DB100" s="538"/>
      <c r="DC100" s="538"/>
      <c r="DD100" s="538"/>
      <c r="DE100" s="538"/>
      <c r="DF100" s="538"/>
      <c r="DG100" s="538"/>
      <c r="DH100" s="538"/>
      <c r="DI100" s="538"/>
      <c r="DJ100" s="538"/>
      <c r="DK100" s="538"/>
      <c r="DL100" s="538"/>
      <c r="DM100" s="538"/>
      <c r="DN100" s="538"/>
      <c r="DO100" s="538"/>
      <c r="DP100" s="538"/>
      <c r="DQ100" s="538"/>
      <c r="DR100" s="538"/>
      <c r="DS100" s="538"/>
      <c r="DT100" s="538"/>
      <c r="DU100" s="538"/>
      <c r="DV100" s="538"/>
      <c r="DW100" s="538"/>
      <c r="DX100" s="538"/>
      <c r="DY100" s="538"/>
      <c r="DZ100" s="538"/>
      <c r="EA100" s="538"/>
      <c r="EB100" s="538"/>
      <c r="EC100" s="538"/>
      <c r="ED100" s="538"/>
      <c r="EE100" s="538"/>
      <c r="EF100" s="538"/>
      <c r="EG100" s="538"/>
      <c r="EH100" s="538"/>
      <c r="EI100" s="538"/>
      <c r="EJ100" s="538"/>
      <c r="EK100" s="538"/>
      <c r="EL100" s="538"/>
      <c r="EM100" s="538"/>
      <c r="EN100" s="538"/>
      <c r="EO100" s="538"/>
      <c r="EP100" s="538"/>
      <c r="EQ100" s="538"/>
      <c r="ER100" s="538"/>
      <c r="ES100" s="538"/>
      <c r="ET100" s="538"/>
      <c r="EU100" s="538"/>
      <c r="EV100" s="538"/>
      <c r="EW100" s="538"/>
      <c r="EX100" s="559"/>
      <c r="EY100" s="559"/>
      <c r="EZ100" s="559"/>
      <c r="FA100" s="559"/>
      <c r="FB100" s="559"/>
      <c r="FC100" s="559"/>
      <c r="FD100" s="559"/>
      <c r="FE100" s="559"/>
      <c r="FF100" s="559"/>
      <c r="FG100" s="559"/>
      <c r="FH100" s="559"/>
      <c r="FI100" s="559"/>
      <c r="FJ100" s="559"/>
      <c r="FK100" s="559"/>
      <c r="FL100" s="559"/>
      <c r="FM100" s="559"/>
      <c r="FN100" s="559"/>
      <c r="FO100" s="559"/>
      <c r="FP100" s="559"/>
      <c r="FQ100" s="559"/>
      <c r="FR100" s="559"/>
      <c r="FS100" s="559"/>
      <c r="FT100" s="559"/>
      <c r="FU100" s="559"/>
      <c r="FV100" s="559"/>
      <c r="FW100" s="559"/>
      <c r="FX100" s="559"/>
      <c r="FY100" s="559"/>
      <c r="FZ100" s="559"/>
      <c r="GA100" s="559"/>
      <c r="GB100" s="559"/>
      <c r="GC100" s="559"/>
      <c r="GD100" s="559"/>
      <c r="GE100" s="559"/>
      <c r="GF100" s="559"/>
      <c r="GG100" s="559"/>
      <c r="GH100" s="559"/>
    </row>
    <row r="101">
      <c r="A101" s="538"/>
      <c r="B101" s="156"/>
      <c r="C101" s="444"/>
      <c r="D101" s="614"/>
      <c r="E101" s="66"/>
      <c r="F101" s="642"/>
      <c r="G101" s="642"/>
      <c r="H101" s="615"/>
      <c r="I101" s="616" t="s">
        <v>365</v>
      </c>
      <c r="J101" s="624"/>
      <c r="K101" s="643"/>
      <c r="L101" s="640"/>
      <c r="M101" s="625"/>
      <c r="N101" s="617"/>
      <c r="O101" s="134"/>
      <c r="P101" s="57"/>
      <c r="Q101" s="57"/>
      <c r="S101" s="605"/>
      <c r="U101" s="573"/>
      <c r="V101" s="574"/>
      <c r="W101" s="618"/>
      <c r="X101" s="576">
        <v>0.0</v>
      </c>
      <c r="Y101" s="630">
        <v>0.0</v>
      </c>
      <c r="Z101" s="630" t="s">
        <v>365</v>
      </c>
      <c r="AA101" s="631" t="b">
        <v>0</v>
      </c>
      <c r="AB101" s="631"/>
      <c r="AC101" s="576"/>
      <c r="AD101" s="479">
        <v>0.0</v>
      </c>
      <c r="AE101" s="632"/>
      <c r="AF101" s="582" t="s">
        <v>365</v>
      </c>
      <c r="AG101" s="583"/>
      <c r="AH101" s="584"/>
      <c r="AI101" s="583"/>
      <c r="AJ101" s="585"/>
      <c r="AK101" s="583"/>
      <c r="AL101" s="584"/>
      <c r="AM101" s="583"/>
      <c r="AN101" s="585"/>
      <c r="AO101" s="583"/>
      <c r="AP101" s="584"/>
      <c r="AQ101" s="583"/>
      <c r="AR101" s="585"/>
      <c r="AS101" s="583"/>
      <c r="AT101" s="584"/>
      <c r="AU101" s="583"/>
      <c r="AV101" s="585"/>
      <c r="AW101" s="583"/>
      <c r="AX101" s="584"/>
      <c r="AY101" s="583"/>
      <c r="AZ101" s="585"/>
      <c r="BA101" s="583"/>
      <c r="BB101" s="584"/>
      <c r="BC101" s="583"/>
      <c r="BD101" s="585"/>
      <c r="BE101" s="583"/>
      <c r="BF101" s="584"/>
      <c r="BG101" s="583"/>
      <c r="BH101" s="585"/>
      <c r="BI101" s="583"/>
      <c r="BJ101" s="584"/>
      <c r="BK101" s="583"/>
      <c r="BL101" s="585"/>
      <c r="BM101" s="583"/>
      <c r="BN101" s="584"/>
      <c r="BO101" s="583"/>
      <c r="BP101" s="585"/>
      <c r="BQ101" s="583"/>
      <c r="BR101" s="584"/>
      <c r="BS101" s="583"/>
      <c r="BT101" s="586"/>
      <c r="BU101" s="540"/>
      <c r="BV101" s="540"/>
      <c r="BW101" s="540"/>
      <c r="BX101" s="538"/>
      <c r="BY101" s="538"/>
      <c r="BZ101" s="592"/>
      <c r="CA101" s="633"/>
      <c r="CB101" s="592" t="s">
        <v>365</v>
      </c>
      <c r="CC101" s="592">
        <v>0.0</v>
      </c>
      <c r="CD101" s="592" t="s">
        <v>365</v>
      </c>
      <c r="CE101" s="592">
        <v>0.0</v>
      </c>
      <c r="CF101" s="592"/>
      <c r="CG101" s="592">
        <v>0.0</v>
      </c>
      <c r="CH101" s="592"/>
      <c r="CI101" s="633"/>
      <c r="CJ101" s="592">
        <v>0.0</v>
      </c>
      <c r="CK101" s="479" t="s">
        <v>365</v>
      </c>
      <c r="CL101" s="592"/>
      <c r="CM101" s="593"/>
      <c r="CN101" s="538"/>
      <c r="CO101" s="538"/>
      <c r="CP101" s="538"/>
      <c r="CQ101" s="538"/>
      <c r="CR101" s="538"/>
      <c r="CS101" s="538"/>
      <c r="CT101" s="538"/>
      <c r="CU101" s="538"/>
      <c r="CV101" s="538"/>
      <c r="CW101" s="538"/>
      <c r="CX101" s="538"/>
      <c r="CY101" s="538"/>
      <c r="CZ101" s="538"/>
      <c r="DA101" s="538"/>
      <c r="DB101" s="538"/>
      <c r="DC101" s="538"/>
      <c r="DD101" s="538"/>
      <c r="DE101" s="538"/>
      <c r="DF101" s="538"/>
      <c r="DG101" s="538"/>
      <c r="DH101" s="538"/>
      <c r="DI101" s="538"/>
      <c r="DJ101" s="538"/>
      <c r="DK101" s="538"/>
      <c r="DL101" s="538"/>
      <c r="DM101" s="538"/>
      <c r="DN101" s="538"/>
      <c r="DO101" s="538"/>
      <c r="DP101" s="538"/>
      <c r="DQ101" s="538"/>
      <c r="DR101" s="538"/>
      <c r="DS101" s="538"/>
      <c r="DT101" s="538"/>
      <c r="DU101" s="538"/>
      <c r="DV101" s="538"/>
      <c r="DW101" s="538"/>
      <c r="DX101" s="538"/>
      <c r="DY101" s="538"/>
      <c r="DZ101" s="538"/>
      <c r="EA101" s="538"/>
      <c r="EB101" s="538"/>
      <c r="EC101" s="538"/>
      <c r="ED101" s="538"/>
      <c r="EE101" s="538"/>
      <c r="EF101" s="538"/>
      <c r="EG101" s="538"/>
      <c r="EH101" s="538"/>
      <c r="EI101" s="538"/>
      <c r="EJ101" s="538"/>
      <c r="EK101" s="538"/>
      <c r="EL101" s="538"/>
      <c r="EM101" s="538"/>
      <c r="EN101" s="538"/>
      <c r="EO101" s="538"/>
      <c r="EP101" s="538"/>
      <c r="EQ101" s="538"/>
      <c r="ER101" s="538"/>
      <c r="ES101" s="538"/>
      <c r="ET101" s="538"/>
      <c r="EU101" s="538"/>
      <c r="EV101" s="538"/>
      <c r="EW101" s="538"/>
      <c r="EX101" s="559"/>
      <c r="EY101" s="559"/>
      <c r="EZ101" s="559"/>
      <c r="FA101" s="559"/>
      <c r="FB101" s="559"/>
      <c r="FC101" s="559"/>
      <c r="FD101" s="559"/>
      <c r="FE101" s="559"/>
      <c r="FF101" s="559"/>
      <c r="FG101" s="559"/>
      <c r="FH101" s="559"/>
      <c r="FI101" s="559"/>
      <c r="FJ101" s="559"/>
      <c r="FK101" s="559"/>
      <c r="FL101" s="559"/>
      <c r="FM101" s="559"/>
      <c r="FN101" s="559"/>
      <c r="FO101" s="559"/>
      <c r="FP101" s="559"/>
      <c r="FQ101" s="559"/>
      <c r="FR101" s="559"/>
      <c r="FS101" s="559"/>
      <c r="FT101" s="559"/>
      <c r="FU101" s="559"/>
      <c r="FV101" s="559"/>
      <c r="FW101" s="559"/>
      <c r="FX101" s="559"/>
      <c r="FY101" s="559"/>
      <c r="FZ101" s="559"/>
      <c r="GA101" s="559"/>
      <c r="GB101" s="559"/>
      <c r="GC101" s="559"/>
      <c r="GD101" s="559"/>
      <c r="GE101" s="559"/>
      <c r="GF101" s="559"/>
      <c r="GG101" s="559"/>
      <c r="GH101" s="559"/>
    </row>
    <row r="102">
      <c r="A102" s="538"/>
      <c r="B102" s="156"/>
      <c r="C102" s="444"/>
      <c r="D102" s="614"/>
      <c r="E102" s="68"/>
      <c r="F102" s="644"/>
      <c r="G102" s="644"/>
      <c r="H102" s="627"/>
      <c r="I102" s="622" t="s">
        <v>365</v>
      </c>
      <c r="J102" s="607"/>
      <c r="K102" s="641"/>
      <c r="L102" s="628"/>
      <c r="M102" s="626"/>
      <c r="N102" s="619"/>
      <c r="O102" s="560"/>
      <c r="P102" s="47"/>
      <c r="Q102" s="47"/>
      <c r="S102" s="572"/>
      <c r="U102" s="573"/>
      <c r="V102" s="574"/>
      <c r="W102" s="618"/>
      <c r="X102" s="576">
        <v>0.0</v>
      </c>
      <c r="Y102" s="630">
        <v>0.0</v>
      </c>
      <c r="Z102" s="630" t="s">
        <v>365</v>
      </c>
      <c r="AA102" s="631" t="b">
        <v>0</v>
      </c>
      <c r="AB102" s="631"/>
      <c r="AC102" s="576"/>
      <c r="AD102" s="479">
        <v>0.0</v>
      </c>
      <c r="AE102" s="632"/>
      <c r="AF102" s="582" t="s">
        <v>365</v>
      </c>
      <c r="AG102" s="583"/>
      <c r="AH102" s="584"/>
      <c r="AI102" s="583"/>
      <c r="AJ102" s="585"/>
      <c r="AK102" s="583"/>
      <c r="AL102" s="584"/>
      <c r="AM102" s="583"/>
      <c r="AN102" s="585"/>
      <c r="AO102" s="583"/>
      <c r="AP102" s="584"/>
      <c r="AQ102" s="583"/>
      <c r="AR102" s="585"/>
      <c r="AS102" s="583"/>
      <c r="AT102" s="584"/>
      <c r="AU102" s="583"/>
      <c r="AV102" s="585"/>
      <c r="AW102" s="583"/>
      <c r="AX102" s="584"/>
      <c r="AY102" s="583"/>
      <c r="AZ102" s="585"/>
      <c r="BA102" s="583"/>
      <c r="BB102" s="584"/>
      <c r="BC102" s="583"/>
      <c r="BD102" s="585"/>
      <c r="BE102" s="583"/>
      <c r="BF102" s="584"/>
      <c r="BG102" s="583"/>
      <c r="BH102" s="585"/>
      <c r="BI102" s="583"/>
      <c r="BJ102" s="584"/>
      <c r="BK102" s="583"/>
      <c r="BL102" s="585"/>
      <c r="BM102" s="583"/>
      <c r="BN102" s="584"/>
      <c r="BO102" s="583"/>
      <c r="BP102" s="585"/>
      <c r="BQ102" s="583"/>
      <c r="BR102" s="584"/>
      <c r="BS102" s="583"/>
      <c r="BT102" s="586"/>
      <c r="BU102" s="540"/>
      <c r="BV102" s="540"/>
      <c r="BW102" s="540"/>
      <c r="BX102" s="538"/>
      <c r="BY102" s="538"/>
      <c r="BZ102" s="592"/>
      <c r="CA102" s="633"/>
      <c r="CB102" s="592" t="s">
        <v>365</v>
      </c>
      <c r="CC102" s="592">
        <v>0.0</v>
      </c>
      <c r="CD102" s="592" t="s">
        <v>365</v>
      </c>
      <c r="CE102" s="592">
        <v>0.0</v>
      </c>
      <c r="CF102" s="592"/>
      <c r="CG102" s="592">
        <v>0.0</v>
      </c>
      <c r="CH102" s="592"/>
      <c r="CI102" s="633"/>
      <c r="CJ102" s="592">
        <v>0.0</v>
      </c>
      <c r="CK102" s="479" t="s">
        <v>365</v>
      </c>
      <c r="CL102" s="592"/>
      <c r="CM102" s="593"/>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c r="DS102" s="538"/>
      <c r="DT102" s="538"/>
      <c r="DU102" s="538"/>
      <c r="DV102" s="538"/>
      <c r="DW102" s="538"/>
      <c r="DX102" s="538"/>
      <c r="DY102" s="538"/>
      <c r="DZ102" s="538"/>
      <c r="EA102" s="538"/>
      <c r="EB102" s="538"/>
      <c r="EC102" s="538"/>
      <c r="ED102" s="538"/>
      <c r="EE102" s="538"/>
      <c r="EF102" s="538"/>
      <c r="EG102" s="538"/>
      <c r="EH102" s="538"/>
      <c r="EI102" s="538"/>
      <c r="EJ102" s="538"/>
      <c r="EK102" s="538"/>
      <c r="EL102" s="538"/>
      <c r="EM102" s="538"/>
      <c r="EN102" s="538"/>
      <c r="EO102" s="538"/>
      <c r="EP102" s="538"/>
      <c r="EQ102" s="538"/>
      <c r="ER102" s="538"/>
      <c r="ES102" s="538"/>
      <c r="ET102" s="538"/>
      <c r="EU102" s="538"/>
      <c r="EV102" s="538"/>
      <c r="EW102" s="538"/>
      <c r="EX102" s="559"/>
      <c r="EY102" s="559"/>
      <c r="EZ102" s="559"/>
      <c r="FA102" s="559"/>
      <c r="FB102" s="559"/>
      <c r="FC102" s="559"/>
      <c r="FD102" s="559"/>
      <c r="FE102" s="559"/>
      <c r="FF102" s="559"/>
      <c r="FG102" s="559"/>
      <c r="FH102" s="559"/>
      <c r="FI102" s="559"/>
      <c r="FJ102" s="559"/>
      <c r="FK102" s="559"/>
      <c r="FL102" s="559"/>
      <c r="FM102" s="559"/>
      <c r="FN102" s="559"/>
      <c r="FO102" s="559"/>
      <c r="FP102" s="559"/>
      <c r="FQ102" s="559"/>
      <c r="FR102" s="559"/>
      <c r="FS102" s="559"/>
      <c r="FT102" s="559"/>
      <c r="FU102" s="559"/>
      <c r="FV102" s="559"/>
      <c r="FW102" s="559"/>
      <c r="FX102" s="559"/>
      <c r="FY102" s="559"/>
      <c r="FZ102" s="559"/>
      <c r="GA102" s="559"/>
      <c r="GB102" s="559"/>
      <c r="GC102" s="559"/>
      <c r="GD102" s="559"/>
      <c r="GE102" s="559"/>
      <c r="GF102" s="559"/>
      <c r="GG102" s="559"/>
      <c r="GH102" s="559"/>
    </row>
    <row r="103">
      <c r="A103" s="538"/>
      <c r="B103" s="156"/>
      <c r="C103" s="444"/>
      <c r="D103" s="614"/>
      <c r="E103" s="66"/>
      <c r="F103" s="642"/>
      <c r="G103" s="642"/>
      <c r="H103" s="615"/>
      <c r="I103" s="616" t="s">
        <v>365</v>
      </c>
      <c r="J103" s="624"/>
      <c r="K103" s="643"/>
      <c r="L103" s="640"/>
      <c r="M103" s="625"/>
      <c r="N103" s="617"/>
      <c r="O103" s="134"/>
      <c r="P103" s="57"/>
      <c r="Q103" s="57"/>
      <c r="S103" s="605"/>
      <c r="U103" s="573"/>
      <c r="V103" s="574"/>
      <c r="W103" s="618"/>
      <c r="X103" s="576">
        <v>0.0</v>
      </c>
      <c r="Y103" s="630">
        <v>0.0</v>
      </c>
      <c r="Z103" s="630" t="s">
        <v>365</v>
      </c>
      <c r="AA103" s="631" t="b">
        <v>0</v>
      </c>
      <c r="AB103" s="631"/>
      <c r="AC103" s="576"/>
      <c r="AD103" s="479">
        <v>0.0</v>
      </c>
      <c r="AE103" s="632"/>
      <c r="AF103" s="582" t="s">
        <v>365</v>
      </c>
      <c r="AG103" s="583"/>
      <c r="AH103" s="584"/>
      <c r="AI103" s="583"/>
      <c r="AJ103" s="585"/>
      <c r="AK103" s="583"/>
      <c r="AL103" s="584"/>
      <c r="AM103" s="583"/>
      <c r="AN103" s="585"/>
      <c r="AO103" s="583"/>
      <c r="AP103" s="584"/>
      <c r="AQ103" s="583"/>
      <c r="AR103" s="585"/>
      <c r="AS103" s="583"/>
      <c r="AT103" s="584"/>
      <c r="AU103" s="583"/>
      <c r="AV103" s="585"/>
      <c r="AW103" s="583"/>
      <c r="AX103" s="584"/>
      <c r="AY103" s="583"/>
      <c r="AZ103" s="585"/>
      <c r="BA103" s="583"/>
      <c r="BB103" s="584"/>
      <c r="BC103" s="583"/>
      <c r="BD103" s="585"/>
      <c r="BE103" s="583"/>
      <c r="BF103" s="584"/>
      <c r="BG103" s="583"/>
      <c r="BH103" s="585"/>
      <c r="BI103" s="583"/>
      <c r="BJ103" s="584"/>
      <c r="BK103" s="583"/>
      <c r="BL103" s="585"/>
      <c r="BM103" s="583"/>
      <c r="BN103" s="584"/>
      <c r="BO103" s="583"/>
      <c r="BP103" s="585"/>
      <c r="BQ103" s="583"/>
      <c r="BR103" s="584"/>
      <c r="BS103" s="583"/>
      <c r="BT103" s="586"/>
      <c r="BU103" s="540"/>
      <c r="BV103" s="540"/>
      <c r="BW103" s="540"/>
      <c r="BX103" s="538"/>
      <c r="BY103" s="538"/>
      <c r="BZ103" s="592"/>
      <c r="CA103" s="633"/>
      <c r="CB103" s="592" t="s">
        <v>365</v>
      </c>
      <c r="CC103" s="592">
        <v>0.0</v>
      </c>
      <c r="CD103" s="592" t="s">
        <v>365</v>
      </c>
      <c r="CE103" s="592">
        <v>0.0</v>
      </c>
      <c r="CF103" s="592"/>
      <c r="CG103" s="592">
        <v>0.0</v>
      </c>
      <c r="CH103" s="592"/>
      <c r="CI103" s="633"/>
      <c r="CJ103" s="592">
        <v>0.0</v>
      </c>
      <c r="CK103" s="479" t="s">
        <v>365</v>
      </c>
      <c r="CL103" s="592"/>
      <c r="CM103" s="593"/>
      <c r="CN103" s="538"/>
      <c r="CO103" s="538"/>
      <c r="CP103" s="538"/>
      <c r="CQ103" s="538"/>
      <c r="CR103" s="538"/>
      <c r="CS103" s="538"/>
      <c r="CT103" s="538"/>
      <c r="CU103" s="538"/>
      <c r="CV103" s="538"/>
      <c r="CW103" s="538"/>
      <c r="CX103" s="538"/>
      <c r="CY103" s="538"/>
      <c r="CZ103" s="538"/>
      <c r="DA103" s="538"/>
      <c r="DB103" s="538"/>
      <c r="DC103" s="538"/>
      <c r="DD103" s="538"/>
      <c r="DE103" s="538"/>
      <c r="DF103" s="538"/>
      <c r="DG103" s="538"/>
      <c r="DH103" s="538"/>
      <c r="DI103" s="538"/>
      <c r="DJ103" s="538"/>
      <c r="DK103" s="538"/>
      <c r="DL103" s="538"/>
      <c r="DM103" s="538"/>
      <c r="DN103" s="538"/>
      <c r="DO103" s="538"/>
      <c r="DP103" s="538"/>
      <c r="DQ103" s="538"/>
      <c r="DR103" s="538"/>
      <c r="DS103" s="538"/>
      <c r="DT103" s="538"/>
      <c r="DU103" s="538"/>
      <c r="DV103" s="538"/>
      <c r="DW103" s="538"/>
      <c r="DX103" s="538"/>
      <c r="DY103" s="538"/>
      <c r="DZ103" s="538"/>
      <c r="EA103" s="538"/>
      <c r="EB103" s="538"/>
      <c r="EC103" s="538"/>
      <c r="ED103" s="538"/>
      <c r="EE103" s="538"/>
      <c r="EF103" s="538"/>
      <c r="EG103" s="538"/>
      <c r="EH103" s="538"/>
      <c r="EI103" s="538"/>
      <c r="EJ103" s="538"/>
      <c r="EK103" s="538"/>
      <c r="EL103" s="538"/>
      <c r="EM103" s="538"/>
      <c r="EN103" s="538"/>
      <c r="EO103" s="538"/>
      <c r="EP103" s="538"/>
      <c r="EQ103" s="538"/>
      <c r="ER103" s="538"/>
      <c r="ES103" s="538"/>
      <c r="ET103" s="538"/>
      <c r="EU103" s="538"/>
      <c r="EV103" s="538"/>
      <c r="EW103" s="538"/>
      <c r="EX103" s="559"/>
      <c r="EY103" s="559"/>
      <c r="EZ103" s="559"/>
      <c r="FA103" s="559"/>
      <c r="FB103" s="559"/>
      <c r="FC103" s="559"/>
      <c r="FD103" s="559"/>
      <c r="FE103" s="559"/>
      <c r="FF103" s="559"/>
      <c r="FG103" s="559"/>
      <c r="FH103" s="559"/>
      <c r="FI103" s="559"/>
      <c r="FJ103" s="559"/>
      <c r="FK103" s="559"/>
      <c r="FL103" s="559"/>
      <c r="FM103" s="559"/>
      <c r="FN103" s="559"/>
      <c r="FO103" s="559"/>
      <c r="FP103" s="559"/>
      <c r="FQ103" s="559"/>
      <c r="FR103" s="559"/>
      <c r="FS103" s="559"/>
      <c r="FT103" s="559"/>
      <c r="FU103" s="559"/>
      <c r="FV103" s="559"/>
      <c r="FW103" s="559"/>
      <c r="FX103" s="559"/>
      <c r="FY103" s="559"/>
      <c r="FZ103" s="559"/>
      <c r="GA103" s="559"/>
      <c r="GB103" s="559"/>
      <c r="GC103" s="559"/>
      <c r="GD103" s="559"/>
      <c r="GE103" s="559"/>
      <c r="GF103" s="559"/>
      <c r="GG103" s="559"/>
      <c r="GH103" s="559"/>
    </row>
    <row r="104">
      <c r="A104" s="538"/>
      <c r="B104" s="156"/>
      <c r="C104" s="444"/>
      <c r="D104" s="614"/>
      <c r="E104" s="68"/>
      <c r="F104" s="644"/>
      <c r="G104" s="644"/>
      <c r="H104" s="627"/>
      <c r="I104" s="622" t="s">
        <v>365</v>
      </c>
      <c r="J104" s="607"/>
      <c r="K104" s="641"/>
      <c r="L104" s="628"/>
      <c r="M104" s="626"/>
      <c r="N104" s="619"/>
      <c r="O104" s="560"/>
      <c r="P104" s="47"/>
      <c r="Q104" s="47"/>
      <c r="S104" s="572"/>
      <c r="U104" s="573"/>
      <c r="V104" s="574"/>
      <c r="W104" s="618"/>
      <c r="X104" s="576">
        <v>0.0</v>
      </c>
      <c r="Y104" s="630">
        <v>0.0</v>
      </c>
      <c r="Z104" s="630" t="s">
        <v>365</v>
      </c>
      <c r="AA104" s="631" t="b">
        <v>0</v>
      </c>
      <c r="AB104" s="631"/>
      <c r="AC104" s="576"/>
      <c r="AD104" s="479">
        <v>0.0</v>
      </c>
      <c r="AE104" s="632"/>
      <c r="AF104" s="582" t="s">
        <v>365</v>
      </c>
      <c r="AG104" s="583"/>
      <c r="AH104" s="584"/>
      <c r="AI104" s="583"/>
      <c r="AJ104" s="585"/>
      <c r="AK104" s="583"/>
      <c r="AL104" s="584"/>
      <c r="AM104" s="583"/>
      <c r="AN104" s="585"/>
      <c r="AO104" s="583"/>
      <c r="AP104" s="584"/>
      <c r="AQ104" s="583"/>
      <c r="AR104" s="585"/>
      <c r="AS104" s="583"/>
      <c r="AT104" s="584"/>
      <c r="AU104" s="583"/>
      <c r="AV104" s="585"/>
      <c r="AW104" s="583"/>
      <c r="AX104" s="584"/>
      <c r="AY104" s="583"/>
      <c r="AZ104" s="585"/>
      <c r="BA104" s="583"/>
      <c r="BB104" s="584"/>
      <c r="BC104" s="583"/>
      <c r="BD104" s="585"/>
      <c r="BE104" s="583"/>
      <c r="BF104" s="584"/>
      <c r="BG104" s="583"/>
      <c r="BH104" s="585"/>
      <c r="BI104" s="583"/>
      <c r="BJ104" s="584"/>
      <c r="BK104" s="583"/>
      <c r="BL104" s="585"/>
      <c r="BM104" s="583"/>
      <c r="BN104" s="584"/>
      <c r="BO104" s="583"/>
      <c r="BP104" s="585"/>
      <c r="BQ104" s="583"/>
      <c r="BR104" s="584"/>
      <c r="BS104" s="583"/>
      <c r="BT104" s="586"/>
      <c r="BU104" s="540"/>
      <c r="BV104" s="540"/>
      <c r="BW104" s="540"/>
      <c r="BX104" s="538"/>
      <c r="BY104" s="538"/>
      <c r="BZ104" s="592"/>
      <c r="CA104" s="633"/>
      <c r="CB104" s="592" t="s">
        <v>365</v>
      </c>
      <c r="CC104" s="592">
        <v>0.0</v>
      </c>
      <c r="CD104" s="592" t="s">
        <v>365</v>
      </c>
      <c r="CE104" s="592">
        <v>0.0</v>
      </c>
      <c r="CF104" s="592"/>
      <c r="CG104" s="592">
        <v>0.0</v>
      </c>
      <c r="CH104" s="592"/>
      <c r="CI104" s="633"/>
      <c r="CJ104" s="592">
        <v>0.0</v>
      </c>
      <c r="CK104" s="479" t="s">
        <v>365</v>
      </c>
      <c r="CL104" s="592"/>
      <c r="CM104" s="593"/>
      <c r="CN104" s="538"/>
      <c r="CO104" s="538"/>
      <c r="CP104" s="538"/>
      <c r="CQ104" s="538"/>
      <c r="CR104" s="538"/>
      <c r="CS104" s="538"/>
      <c r="CT104" s="538"/>
      <c r="CU104" s="538"/>
      <c r="CV104" s="538"/>
      <c r="CW104" s="538"/>
      <c r="CX104" s="538"/>
      <c r="CY104" s="538"/>
      <c r="CZ104" s="538"/>
      <c r="DA104" s="538"/>
      <c r="DB104" s="538"/>
      <c r="DC104" s="538"/>
      <c r="DD104" s="538"/>
      <c r="DE104" s="538"/>
      <c r="DF104" s="538"/>
      <c r="DG104" s="538"/>
      <c r="DH104" s="538"/>
      <c r="DI104" s="538"/>
      <c r="DJ104" s="538"/>
      <c r="DK104" s="538"/>
      <c r="DL104" s="538"/>
      <c r="DM104" s="538"/>
      <c r="DN104" s="538"/>
      <c r="DO104" s="538"/>
      <c r="DP104" s="538"/>
      <c r="DQ104" s="538"/>
      <c r="DR104" s="538"/>
      <c r="DS104" s="538"/>
      <c r="DT104" s="538"/>
      <c r="DU104" s="538"/>
      <c r="DV104" s="538"/>
      <c r="DW104" s="538"/>
      <c r="DX104" s="538"/>
      <c r="DY104" s="538"/>
      <c r="DZ104" s="538"/>
      <c r="EA104" s="538"/>
      <c r="EB104" s="538"/>
      <c r="EC104" s="538"/>
      <c r="ED104" s="538"/>
      <c r="EE104" s="538"/>
      <c r="EF104" s="538"/>
      <c r="EG104" s="538"/>
      <c r="EH104" s="538"/>
      <c r="EI104" s="538"/>
      <c r="EJ104" s="538"/>
      <c r="EK104" s="538"/>
      <c r="EL104" s="538"/>
      <c r="EM104" s="538"/>
      <c r="EN104" s="538"/>
      <c r="EO104" s="538"/>
      <c r="EP104" s="538"/>
      <c r="EQ104" s="538"/>
      <c r="ER104" s="538"/>
      <c r="ES104" s="538"/>
      <c r="ET104" s="538"/>
      <c r="EU104" s="538"/>
      <c r="EV104" s="538"/>
      <c r="EW104" s="538"/>
      <c r="EX104" s="559"/>
      <c r="EY104" s="559"/>
      <c r="EZ104" s="559"/>
      <c r="FA104" s="559"/>
      <c r="FB104" s="559"/>
      <c r="FC104" s="559"/>
      <c r="FD104" s="559"/>
      <c r="FE104" s="559"/>
      <c r="FF104" s="559"/>
      <c r="FG104" s="559"/>
      <c r="FH104" s="559"/>
      <c r="FI104" s="559"/>
      <c r="FJ104" s="559"/>
      <c r="FK104" s="559"/>
      <c r="FL104" s="559"/>
      <c r="FM104" s="559"/>
      <c r="FN104" s="559"/>
      <c r="FO104" s="559"/>
      <c r="FP104" s="559"/>
      <c r="FQ104" s="559"/>
      <c r="FR104" s="559"/>
      <c r="FS104" s="559"/>
      <c r="FT104" s="559"/>
      <c r="FU104" s="559"/>
      <c r="FV104" s="559"/>
      <c r="FW104" s="559"/>
      <c r="FX104" s="559"/>
      <c r="FY104" s="559"/>
      <c r="FZ104" s="559"/>
      <c r="GA104" s="559"/>
      <c r="GB104" s="559"/>
      <c r="GC104" s="559"/>
      <c r="GD104" s="559"/>
      <c r="GE104" s="559"/>
      <c r="GF104" s="559"/>
      <c r="GG104" s="559"/>
      <c r="GH104" s="559"/>
    </row>
    <row r="105">
      <c r="A105" s="538"/>
      <c r="B105" s="156"/>
      <c r="C105" s="444"/>
      <c r="D105" s="614"/>
      <c r="E105" s="66"/>
      <c r="F105" s="642"/>
      <c r="G105" s="642"/>
      <c r="H105" s="615"/>
      <c r="I105" s="616" t="s">
        <v>365</v>
      </c>
      <c r="J105" s="624"/>
      <c r="K105" s="643"/>
      <c r="L105" s="640"/>
      <c r="M105" s="625"/>
      <c r="N105" s="617"/>
      <c r="O105" s="134"/>
      <c r="P105" s="57"/>
      <c r="Q105" s="57"/>
      <c r="S105" s="605"/>
      <c r="U105" s="573"/>
      <c r="V105" s="574"/>
      <c r="W105" s="618"/>
      <c r="X105" s="576">
        <v>0.0</v>
      </c>
      <c r="Y105" s="630">
        <v>0.0</v>
      </c>
      <c r="Z105" s="630" t="s">
        <v>365</v>
      </c>
      <c r="AA105" s="631" t="b">
        <v>0</v>
      </c>
      <c r="AB105" s="631"/>
      <c r="AC105" s="576"/>
      <c r="AD105" s="479">
        <v>0.0</v>
      </c>
      <c r="AE105" s="632"/>
      <c r="AF105" s="582" t="s">
        <v>365</v>
      </c>
      <c r="AG105" s="583"/>
      <c r="AH105" s="584"/>
      <c r="AI105" s="583"/>
      <c r="AJ105" s="585"/>
      <c r="AK105" s="583"/>
      <c r="AL105" s="584"/>
      <c r="AM105" s="583"/>
      <c r="AN105" s="585"/>
      <c r="AO105" s="583"/>
      <c r="AP105" s="584"/>
      <c r="AQ105" s="583"/>
      <c r="AR105" s="585"/>
      <c r="AS105" s="583"/>
      <c r="AT105" s="584"/>
      <c r="AU105" s="583"/>
      <c r="AV105" s="585"/>
      <c r="AW105" s="583"/>
      <c r="AX105" s="584"/>
      <c r="AY105" s="583"/>
      <c r="AZ105" s="585"/>
      <c r="BA105" s="583"/>
      <c r="BB105" s="584"/>
      <c r="BC105" s="583"/>
      <c r="BD105" s="585"/>
      <c r="BE105" s="583"/>
      <c r="BF105" s="584"/>
      <c r="BG105" s="583"/>
      <c r="BH105" s="585"/>
      <c r="BI105" s="583"/>
      <c r="BJ105" s="584"/>
      <c r="BK105" s="583"/>
      <c r="BL105" s="585"/>
      <c r="BM105" s="583"/>
      <c r="BN105" s="584"/>
      <c r="BO105" s="583"/>
      <c r="BP105" s="585"/>
      <c r="BQ105" s="583"/>
      <c r="BR105" s="584"/>
      <c r="BS105" s="583"/>
      <c r="BT105" s="586"/>
      <c r="BU105" s="540"/>
      <c r="BV105" s="540"/>
      <c r="BW105" s="540"/>
      <c r="BX105" s="538"/>
      <c r="BY105" s="538"/>
      <c r="BZ105" s="592"/>
      <c r="CA105" s="633"/>
      <c r="CB105" s="592" t="s">
        <v>365</v>
      </c>
      <c r="CC105" s="592">
        <v>0.0</v>
      </c>
      <c r="CD105" s="592" t="s">
        <v>365</v>
      </c>
      <c r="CE105" s="592">
        <v>0.0</v>
      </c>
      <c r="CF105" s="592"/>
      <c r="CG105" s="592">
        <v>0.0</v>
      </c>
      <c r="CH105" s="592"/>
      <c r="CI105" s="633"/>
      <c r="CJ105" s="592">
        <v>0.0</v>
      </c>
      <c r="CK105" s="479" t="s">
        <v>365</v>
      </c>
      <c r="CL105" s="592"/>
      <c r="CM105" s="593"/>
      <c r="CN105" s="538"/>
      <c r="CO105" s="538"/>
      <c r="CP105" s="538"/>
      <c r="CQ105" s="538"/>
      <c r="CR105" s="538"/>
      <c r="CS105" s="538"/>
      <c r="CT105" s="538"/>
      <c r="CU105" s="538"/>
      <c r="CV105" s="538"/>
      <c r="CW105" s="538"/>
      <c r="CX105" s="538"/>
      <c r="CY105" s="538"/>
      <c r="CZ105" s="538"/>
      <c r="DA105" s="538"/>
      <c r="DB105" s="538"/>
      <c r="DC105" s="538"/>
      <c r="DD105" s="538"/>
      <c r="DE105" s="538"/>
      <c r="DF105" s="538"/>
      <c r="DG105" s="538"/>
      <c r="DH105" s="538"/>
      <c r="DI105" s="538"/>
      <c r="DJ105" s="538"/>
      <c r="DK105" s="538"/>
      <c r="DL105" s="538"/>
      <c r="DM105" s="538"/>
      <c r="DN105" s="538"/>
      <c r="DO105" s="538"/>
      <c r="DP105" s="538"/>
      <c r="DQ105" s="538"/>
      <c r="DR105" s="538"/>
      <c r="DS105" s="538"/>
      <c r="DT105" s="538"/>
      <c r="DU105" s="538"/>
      <c r="DV105" s="538"/>
      <c r="DW105" s="538"/>
      <c r="DX105" s="538"/>
      <c r="DY105" s="538"/>
      <c r="DZ105" s="538"/>
      <c r="EA105" s="538"/>
      <c r="EB105" s="538"/>
      <c r="EC105" s="538"/>
      <c r="ED105" s="538"/>
      <c r="EE105" s="538"/>
      <c r="EF105" s="538"/>
      <c r="EG105" s="538"/>
      <c r="EH105" s="538"/>
      <c r="EI105" s="538"/>
      <c r="EJ105" s="538"/>
      <c r="EK105" s="538"/>
      <c r="EL105" s="538"/>
      <c r="EM105" s="538"/>
      <c r="EN105" s="538"/>
      <c r="EO105" s="538"/>
      <c r="EP105" s="538"/>
      <c r="EQ105" s="538"/>
      <c r="ER105" s="538"/>
      <c r="ES105" s="538"/>
      <c r="ET105" s="538"/>
      <c r="EU105" s="538"/>
      <c r="EV105" s="538"/>
      <c r="EW105" s="538"/>
      <c r="EX105" s="559"/>
      <c r="EY105" s="559"/>
      <c r="EZ105" s="559"/>
      <c r="FA105" s="559"/>
      <c r="FB105" s="559"/>
      <c r="FC105" s="559"/>
      <c r="FD105" s="559"/>
      <c r="FE105" s="559"/>
      <c r="FF105" s="559"/>
      <c r="FG105" s="559"/>
      <c r="FH105" s="559"/>
      <c r="FI105" s="559"/>
      <c r="FJ105" s="559"/>
      <c r="FK105" s="559"/>
      <c r="FL105" s="559"/>
      <c r="FM105" s="559"/>
      <c r="FN105" s="559"/>
      <c r="FO105" s="559"/>
      <c r="FP105" s="559"/>
      <c r="FQ105" s="559"/>
      <c r="FR105" s="559"/>
      <c r="FS105" s="559"/>
      <c r="FT105" s="559"/>
      <c r="FU105" s="559"/>
      <c r="FV105" s="559"/>
      <c r="FW105" s="559"/>
      <c r="FX105" s="559"/>
      <c r="FY105" s="559"/>
      <c r="FZ105" s="559"/>
      <c r="GA105" s="559"/>
      <c r="GB105" s="559"/>
      <c r="GC105" s="559"/>
      <c r="GD105" s="559"/>
      <c r="GE105" s="559"/>
      <c r="GF105" s="559"/>
      <c r="GG105" s="559"/>
      <c r="GH105" s="559"/>
    </row>
    <row r="106">
      <c r="A106" s="538"/>
      <c r="B106" s="156"/>
      <c r="C106" s="444"/>
      <c r="D106" s="614"/>
      <c r="E106" s="68"/>
      <c r="F106" s="644"/>
      <c r="G106" s="644"/>
      <c r="H106" s="627"/>
      <c r="I106" s="622" t="s">
        <v>365</v>
      </c>
      <c r="J106" s="607"/>
      <c r="K106" s="641"/>
      <c r="L106" s="628"/>
      <c r="M106" s="626"/>
      <c r="N106" s="619"/>
      <c r="O106" s="560"/>
      <c r="P106" s="47"/>
      <c r="Q106" s="47"/>
      <c r="S106" s="572"/>
      <c r="U106" s="573"/>
      <c r="V106" s="574"/>
      <c r="W106" s="618"/>
      <c r="X106" s="576">
        <v>0.0</v>
      </c>
      <c r="Y106" s="630">
        <v>0.0</v>
      </c>
      <c r="Z106" s="630" t="s">
        <v>365</v>
      </c>
      <c r="AA106" s="631" t="b">
        <v>0</v>
      </c>
      <c r="AB106" s="631"/>
      <c r="AC106" s="576"/>
      <c r="AD106" s="479">
        <v>0.0</v>
      </c>
      <c r="AE106" s="632"/>
      <c r="AF106" s="582" t="s">
        <v>365</v>
      </c>
      <c r="AG106" s="583"/>
      <c r="AH106" s="584"/>
      <c r="AI106" s="583"/>
      <c r="AJ106" s="585"/>
      <c r="AK106" s="583"/>
      <c r="AL106" s="584"/>
      <c r="AM106" s="583"/>
      <c r="AN106" s="585"/>
      <c r="AO106" s="583"/>
      <c r="AP106" s="584"/>
      <c r="AQ106" s="583"/>
      <c r="AR106" s="585"/>
      <c r="AS106" s="583"/>
      <c r="AT106" s="584"/>
      <c r="AU106" s="583"/>
      <c r="AV106" s="585"/>
      <c r="AW106" s="583"/>
      <c r="AX106" s="584"/>
      <c r="AY106" s="583"/>
      <c r="AZ106" s="585"/>
      <c r="BA106" s="583"/>
      <c r="BB106" s="584"/>
      <c r="BC106" s="583"/>
      <c r="BD106" s="585"/>
      <c r="BE106" s="583"/>
      <c r="BF106" s="584"/>
      <c r="BG106" s="583"/>
      <c r="BH106" s="585"/>
      <c r="BI106" s="583"/>
      <c r="BJ106" s="584"/>
      <c r="BK106" s="583"/>
      <c r="BL106" s="585"/>
      <c r="BM106" s="583"/>
      <c r="BN106" s="584"/>
      <c r="BO106" s="583"/>
      <c r="BP106" s="585"/>
      <c r="BQ106" s="583"/>
      <c r="BR106" s="584"/>
      <c r="BS106" s="583"/>
      <c r="BT106" s="586"/>
      <c r="BU106" s="540"/>
      <c r="BV106" s="540"/>
      <c r="BW106" s="540"/>
      <c r="BX106" s="538"/>
      <c r="BY106" s="538"/>
      <c r="BZ106" s="592"/>
      <c r="CA106" s="633"/>
      <c r="CB106" s="592" t="s">
        <v>365</v>
      </c>
      <c r="CC106" s="592">
        <v>0.0</v>
      </c>
      <c r="CD106" s="592" t="s">
        <v>365</v>
      </c>
      <c r="CE106" s="592">
        <v>0.0</v>
      </c>
      <c r="CF106" s="592"/>
      <c r="CG106" s="592">
        <v>0.0</v>
      </c>
      <c r="CH106" s="592"/>
      <c r="CI106" s="633"/>
      <c r="CJ106" s="592">
        <v>0.0</v>
      </c>
      <c r="CK106" s="479" t="s">
        <v>365</v>
      </c>
      <c r="CL106" s="592"/>
      <c r="CM106" s="593"/>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c r="DS106" s="538"/>
      <c r="DT106" s="538"/>
      <c r="DU106" s="538"/>
      <c r="DV106" s="538"/>
      <c r="DW106" s="538"/>
      <c r="DX106" s="538"/>
      <c r="DY106" s="538"/>
      <c r="DZ106" s="538"/>
      <c r="EA106" s="538"/>
      <c r="EB106" s="538"/>
      <c r="EC106" s="538"/>
      <c r="ED106" s="538"/>
      <c r="EE106" s="538"/>
      <c r="EF106" s="538"/>
      <c r="EG106" s="538"/>
      <c r="EH106" s="538"/>
      <c r="EI106" s="538"/>
      <c r="EJ106" s="538"/>
      <c r="EK106" s="538"/>
      <c r="EL106" s="538"/>
      <c r="EM106" s="538"/>
      <c r="EN106" s="538"/>
      <c r="EO106" s="538"/>
      <c r="EP106" s="538"/>
      <c r="EQ106" s="538"/>
      <c r="ER106" s="538"/>
      <c r="ES106" s="538"/>
      <c r="ET106" s="538"/>
      <c r="EU106" s="538"/>
      <c r="EV106" s="538"/>
      <c r="EW106" s="538"/>
      <c r="EX106" s="559"/>
      <c r="EY106" s="559"/>
      <c r="EZ106" s="559"/>
      <c r="FA106" s="559"/>
      <c r="FB106" s="559"/>
      <c r="FC106" s="559"/>
      <c r="FD106" s="559"/>
      <c r="FE106" s="559"/>
      <c r="FF106" s="559"/>
      <c r="FG106" s="559"/>
      <c r="FH106" s="559"/>
      <c r="FI106" s="559"/>
      <c r="FJ106" s="559"/>
      <c r="FK106" s="559"/>
      <c r="FL106" s="559"/>
      <c r="FM106" s="559"/>
      <c r="FN106" s="559"/>
      <c r="FO106" s="559"/>
      <c r="FP106" s="559"/>
      <c r="FQ106" s="559"/>
      <c r="FR106" s="559"/>
      <c r="FS106" s="559"/>
      <c r="FT106" s="559"/>
      <c r="FU106" s="559"/>
      <c r="FV106" s="559"/>
      <c r="FW106" s="559"/>
      <c r="FX106" s="559"/>
      <c r="FY106" s="559"/>
      <c r="FZ106" s="559"/>
      <c r="GA106" s="559"/>
      <c r="GB106" s="559"/>
      <c r="GC106" s="559"/>
      <c r="GD106" s="559"/>
      <c r="GE106" s="559"/>
      <c r="GF106" s="559"/>
      <c r="GG106" s="559"/>
      <c r="GH106" s="559"/>
    </row>
    <row r="107">
      <c r="A107" s="538"/>
      <c r="B107" s="156"/>
      <c r="C107" s="444"/>
      <c r="D107" s="614"/>
      <c r="E107" s="66"/>
      <c r="F107" s="642"/>
      <c r="G107" s="642"/>
      <c r="H107" s="615"/>
      <c r="I107" s="616" t="s">
        <v>365</v>
      </c>
      <c r="J107" s="624"/>
      <c r="K107" s="643"/>
      <c r="L107" s="640"/>
      <c r="M107" s="625"/>
      <c r="N107" s="617"/>
      <c r="O107" s="134"/>
      <c r="P107" s="57"/>
      <c r="Q107" s="57"/>
      <c r="S107" s="605"/>
      <c r="U107" s="573"/>
      <c r="V107" s="574"/>
      <c r="W107" s="618"/>
      <c r="X107" s="576">
        <v>0.0</v>
      </c>
      <c r="Y107" s="630">
        <v>0.0</v>
      </c>
      <c r="Z107" s="630" t="s">
        <v>365</v>
      </c>
      <c r="AA107" s="631" t="b">
        <v>0</v>
      </c>
      <c r="AB107" s="631"/>
      <c r="AC107" s="576"/>
      <c r="AD107" s="479">
        <v>0.0</v>
      </c>
      <c r="AE107" s="632"/>
      <c r="AF107" s="582" t="s">
        <v>365</v>
      </c>
      <c r="AG107" s="583"/>
      <c r="AH107" s="584"/>
      <c r="AI107" s="583"/>
      <c r="AJ107" s="585"/>
      <c r="AK107" s="583"/>
      <c r="AL107" s="584"/>
      <c r="AM107" s="583"/>
      <c r="AN107" s="585"/>
      <c r="AO107" s="583"/>
      <c r="AP107" s="584"/>
      <c r="AQ107" s="583"/>
      <c r="AR107" s="585"/>
      <c r="AS107" s="583"/>
      <c r="AT107" s="584"/>
      <c r="AU107" s="583"/>
      <c r="AV107" s="585"/>
      <c r="AW107" s="583"/>
      <c r="AX107" s="584"/>
      <c r="AY107" s="583"/>
      <c r="AZ107" s="585"/>
      <c r="BA107" s="583"/>
      <c r="BB107" s="584"/>
      <c r="BC107" s="583"/>
      <c r="BD107" s="585"/>
      <c r="BE107" s="583"/>
      <c r="BF107" s="584"/>
      <c r="BG107" s="583"/>
      <c r="BH107" s="585"/>
      <c r="BI107" s="583"/>
      <c r="BJ107" s="584"/>
      <c r="BK107" s="583"/>
      <c r="BL107" s="585"/>
      <c r="BM107" s="583"/>
      <c r="BN107" s="584"/>
      <c r="BO107" s="583"/>
      <c r="BP107" s="585"/>
      <c r="BQ107" s="583"/>
      <c r="BR107" s="584"/>
      <c r="BS107" s="583"/>
      <c r="BT107" s="586"/>
      <c r="BU107" s="540"/>
      <c r="BV107" s="540"/>
      <c r="BW107" s="540"/>
      <c r="BX107" s="538"/>
      <c r="BY107" s="538"/>
      <c r="BZ107" s="592"/>
      <c r="CA107" s="633"/>
      <c r="CB107" s="592" t="s">
        <v>365</v>
      </c>
      <c r="CC107" s="592">
        <v>0.0</v>
      </c>
      <c r="CD107" s="592" t="s">
        <v>365</v>
      </c>
      <c r="CE107" s="592">
        <v>0.0</v>
      </c>
      <c r="CF107" s="592"/>
      <c r="CG107" s="592">
        <v>0.0</v>
      </c>
      <c r="CH107" s="592"/>
      <c r="CI107" s="633"/>
      <c r="CJ107" s="592">
        <v>0.0</v>
      </c>
      <c r="CK107" s="479" t="s">
        <v>365</v>
      </c>
      <c r="CL107" s="592"/>
      <c r="CM107" s="593"/>
      <c r="CN107" s="538"/>
      <c r="CO107" s="538"/>
      <c r="CP107" s="538"/>
      <c r="CQ107" s="538"/>
      <c r="CR107" s="538"/>
      <c r="CS107" s="538"/>
      <c r="CT107" s="538"/>
      <c r="CU107" s="538"/>
      <c r="CV107" s="538"/>
      <c r="CW107" s="538"/>
      <c r="CX107" s="538"/>
      <c r="CY107" s="538"/>
      <c r="CZ107" s="538"/>
      <c r="DA107" s="538"/>
      <c r="DB107" s="538"/>
      <c r="DC107" s="538"/>
      <c r="DD107" s="538"/>
      <c r="DE107" s="538"/>
      <c r="DF107" s="538"/>
      <c r="DG107" s="538"/>
      <c r="DH107" s="538"/>
      <c r="DI107" s="538"/>
      <c r="DJ107" s="538"/>
      <c r="DK107" s="538"/>
      <c r="DL107" s="538"/>
      <c r="DM107" s="538"/>
      <c r="DN107" s="538"/>
      <c r="DO107" s="538"/>
      <c r="DP107" s="538"/>
      <c r="DQ107" s="538"/>
      <c r="DR107" s="538"/>
      <c r="DS107" s="538"/>
      <c r="DT107" s="538"/>
      <c r="DU107" s="538"/>
      <c r="DV107" s="538"/>
      <c r="DW107" s="538"/>
      <c r="DX107" s="538"/>
      <c r="DY107" s="538"/>
      <c r="DZ107" s="538"/>
      <c r="EA107" s="538"/>
      <c r="EB107" s="538"/>
      <c r="EC107" s="538"/>
      <c r="ED107" s="538"/>
      <c r="EE107" s="538"/>
      <c r="EF107" s="538"/>
      <c r="EG107" s="538"/>
      <c r="EH107" s="538"/>
      <c r="EI107" s="538"/>
      <c r="EJ107" s="538"/>
      <c r="EK107" s="538"/>
      <c r="EL107" s="538"/>
      <c r="EM107" s="538"/>
      <c r="EN107" s="538"/>
      <c r="EO107" s="538"/>
      <c r="EP107" s="538"/>
      <c r="EQ107" s="538"/>
      <c r="ER107" s="538"/>
      <c r="ES107" s="538"/>
      <c r="ET107" s="538"/>
      <c r="EU107" s="538"/>
      <c r="EV107" s="538"/>
      <c r="EW107" s="538"/>
      <c r="EX107" s="559"/>
      <c r="EY107" s="559"/>
      <c r="EZ107" s="559"/>
      <c r="FA107" s="559"/>
      <c r="FB107" s="559"/>
      <c r="FC107" s="559"/>
      <c r="FD107" s="559"/>
      <c r="FE107" s="559"/>
      <c r="FF107" s="559"/>
      <c r="FG107" s="559"/>
      <c r="FH107" s="559"/>
      <c r="FI107" s="559"/>
      <c r="FJ107" s="559"/>
      <c r="FK107" s="559"/>
      <c r="FL107" s="559"/>
      <c r="FM107" s="559"/>
      <c r="FN107" s="559"/>
      <c r="FO107" s="559"/>
      <c r="FP107" s="559"/>
      <c r="FQ107" s="559"/>
      <c r="FR107" s="559"/>
      <c r="FS107" s="559"/>
      <c r="FT107" s="559"/>
      <c r="FU107" s="559"/>
      <c r="FV107" s="559"/>
      <c r="FW107" s="559"/>
      <c r="FX107" s="559"/>
      <c r="FY107" s="559"/>
      <c r="FZ107" s="559"/>
      <c r="GA107" s="559"/>
      <c r="GB107" s="559"/>
      <c r="GC107" s="559"/>
      <c r="GD107" s="559"/>
      <c r="GE107" s="559"/>
      <c r="GF107" s="559"/>
      <c r="GG107" s="559"/>
      <c r="GH107" s="559"/>
    </row>
    <row r="108">
      <c r="A108" s="538"/>
      <c r="B108" s="156"/>
      <c r="C108" s="444"/>
      <c r="D108" s="614"/>
      <c r="E108" s="68"/>
      <c r="F108" s="644"/>
      <c r="G108" s="644"/>
      <c r="H108" s="627"/>
      <c r="I108" s="622" t="s">
        <v>365</v>
      </c>
      <c r="J108" s="607"/>
      <c r="K108" s="641"/>
      <c r="L108" s="628"/>
      <c r="M108" s="626"/>
      <c r="N108" s="619"/>
      <c r="O108" s="560"/>
      <c r="P108" s="47"/>
      <c r="Q108" s="47"/>
      <c r="S108" s="572"/>
      <c r="U108" s="573"/>
      <c r="V108" s="574"/>
      <c r="W108" s="618"/>
      <c r="X108" s="576">
        <v>0.0</v>
      </c>
      <c r="Y108" s="630">
        <v>0.0</v>
      </c>
      <c r="Z108" s="630" t="s">
        <v>365</v>
      </c>
      <c r="AA108" s="631" t="b">
        <v>0</v>
      </c>
      <c r="AB108" s="631"/>
      <c r="AC108" s="576"/>
      <c r="AD108" s="479">
        <v>0.0</v>
      </c>
      <c r="AE108" s="632"/>
      <c r="AF108" s="582" t="s">
        <v>365</v>
      </c>
      <c r="AG108" s="583"/>
      <c r="AH108" s="584"/>
      <c r="AI108" s="583"/>
      <c r="AJ108" s="585"/>
      <c r="AK108" s="583"/>
      <c r="AL108" s="584"/>
      <c r="AM108" s="583"/>
      <c r="AN108" s="585"/>
      <c r="AO108" s="583"/>
      <c r="AP108" s="584"/>
      <c r="AQ108" s="583"/>
      <c r="AR108" s="585"/>
      <c r="AS108" s="583"/>
      <c r="AT108" s="584"/>
      <c r="AU108" s="583"/>
      <c r="AV108" s="585"/>
      <c r="AW108" s="583"/>
      <c r="AX108" s="584"/>
      <c r="AY108" s="583"/>
      <c r="AZ108" s="585"/>
      <c r="BA108" s="583"/>
      <c r="BB108" s="584"/>
      <c r="BC108" s="583"/>
      <c r="BD108" s="585"/>
      <c r="BE108" s="583"/>
      <c r="BF108" s="584"/>
      <c r="BG108" s="583"/>
      <c r="BH108" s="585"/>
      <c r="BI108" s="583"/>
      <c r="BJ108" s="584"/>
      <c r="BK108" s="583"/>
      <c r="BL108" s="585"/>
      <c r="BM108" s="583"/>
      <c r="BN108" s="584"/>
      <c r="BO108" s="583"/>
      <c r="BP108" s="585"/>
      <c r="BQ108" s="583"/>
      <c r="BR108" s="584"/>
      <c r="BS108" s="583"/>
      <c r="BT108" s="586"/>
      <c r="BU108" s="540"/>
      <c r="BV108" s="540"/>
      <c r="BW108" s="540"/>
      <c r="BX108" s="538"/>
      <c r="BY108" s="538"/>
      <c r="BZ108" s="592"/>
      <c r="CA108" s="633"/>
      <c r="CB108" s="592" t="s">
        <v>365</v>
      </c>
      <c r="CC108" s="592">
        <v>0.0</v>
      </c>
      <c r="CD108" s="592" t="s">
        <v>365</v>
      </c>
      <c r="CE108" s="592">
        <v>0.0</v>
      </c>
      <c r="CF108" s="592"/>
      <c r="CG108" s="592">
        <v>0.0</v>
      </c>
      <c r="CH108" s="592"/>
      <c r="CI108" s="633"/>
      <c r="CJ108" s="592">
        <v>0.0</v>
      </c>
      <c r="CK108" s="479" t="s">
        <v>365</v>
      </c>
      <c r="CL108" s="592"/>
      <c r="CM108" s="593"/>
      <c r="CN108" s="538"/>
      <c r="CO108" s="538"/>
      <c r="CP108" s="538"/>
      <c r="CQ108" s="538"/>
      <c r="CR108" s="538"/>
      <c r="CS108" s="538"/>
      <c r="CT108" s="538"/>
      <c r="CU108" s="538"/>
      <c r="CV108" s="538"/>
      <c r="CW108" s="538"/>
      <c r="CX108" s="538"/>
      <c r="CY108" s="538"/>
      <c r="CZ108" s="538"/>
      <c r="DA108" s="538"/>
      <c r="DB108" s="538"/>
      <c r="DC108" s="538"/>
      <c r="DD108" s="538"/>
      <c r="DE108" s="538"/>
      <c r="DF108" s="538"/>
      <c r="DG108" s="538"/>
      <c r="DH108" s="538"/>
      <c r="DI108" s="538"/>
      <c r="DJ108" s="538"/>
      <c r="DK108" s="538"/>
      <c r="DL108" s="538"/>
      <c r="DM108" s="538"/>
      <c r="DN108" s="538"/>
      <c r="DO108" s="538"/>
      <c r="DP108" s="538"/>
      <c r="DQ108" s="538"/>
      <c r="DR108" s="538"/>
      <c r="DS108" s="538"/>
      <c r="DT108" s="538"/>
      <c r="DU108" s="538"/>
      <c r="DV108" s="538"/>
      <c r="DW108" s="538"/>
      <c r="DX108" s="538"/>
      <c r="DY108" s="538"/>
      <c r="DZ108" s="538"/>
      <c r="EA108" s="538"/>
      <c r="EB108" s="538"/>
      <c r="EC108" s="538"/>
      <c r="ED108" s="538"/>
      <c r="EE108" s="538"/>
      <c r="EF108" s="538"/>
      <c r="EG108" s="538"/>
      <c r="EH108" s="538"/>
      <c r="EI108" s="538"/>
      <c r="EJ108" s="538"/>
      <c r="EK108" s="538"/>
      <c r="EL108" s="538"/>
      <c r="EM108" s="538"/>
      <c r="EN108" s="538"/>
      <c r="EO108" s="538"/>
      <c r="EP108" s="538"/>
      <c r="EQ108" s="538"/>
      <c r="ER108" s="538"/>
      <c r="ES108" s="538"/>
      <c r="ET108" s="538"/>
      <c r="EU108" s="538"/>
      <c r="EV108" s="538"/>
      <c r="EW108" s="538"/>
      <c r="EX108" s="559"/>
      <c r="EY108" s="559"/>
      <c r="EZ108" s="559"/>
      <c r="FA108" s="559"/>
      <c r="FB108" s="559"/>
      <c r="FC108" s="559"/>
      <c r="FD108" s="559"/>
      <c r="FE108" s="559"/>
      <c r="FF108" s="559"/>
      <c r="FG108" s="559"/>
      <c r="FH108" s="559"/>
      <c r="FI108" s="559"/>
      <c r="FJ108" s="559"/>
      <c r="FK108" s="559"/>
      <c r="FL108" s="559"/>
      <c r="FM108" s="559"/>
      <c r="FN108" s="559"/>
      <c r="FO108" s="559"/>
      <c r="FP108" s="559"/>
      <c r="FQ108" s="559"/>
      <c r="FR108" s="559"/>
      <c r="FS108" s="559"/>
      <c r="FT108" s="559"/>
      <c r="FU108" s="559"/>
      <c r="FV108" s="559"/>
      <c r="FW108" s="559"/>
      <c r="FX108" s="559"/>
      <c r="FY108" s="559"/>
      <c r="FZ108" s="559"/>
      <c r="GA108" s="559"/>
      <c r="GB108" s="559"/>
      <c r="GC108" s="559"/>
      <c r="GD108" s="559"/>
      <c r="GE108" s="559"/>
      <c r="GF108" s="559"/>
      <c r="GG108" s="559"/>
      <c r="GH108" s="559"/>
    </row>
    <row r="109">
      <c r="A109" s="538"/>
      <c r="B109" s="156"/>
      <c r="C109" s="444"/>
      <c r="D109" s="614"/>
      <c r="E109" s="66"/>
      <c r="F109" s="642"/>
      <c r="G109" s="642"/>
      <c r="H109" s="615"/>
      <c r="I109" s="616" t="s">
        <v>365</v>
      </c>
      <c r="J109" s="624"/>
      <c r="K109" s="643"/>
      <c r="L109" s="640"/>
      <c r="M109" s="625"/>
      <c r="N109" s="617"/>
      <c r="O109" s="134"/>
      <c r="P109" s="57"/>
      <c r="Q109" s="57"/>
      <c r="S109" s="605"/>
      <c r="U109" s="573"/>
      <c r="V109" s="574"/>
      <c r="W109" s="618"/>
      <c r="X109" s="576">
        <v>0.0</v>
      </c>
      <c r="Y109" s="630">
        <v>0.0</v>
      </c>
      <c r="Z109" s="630" t="s">
        <v>365</v>
      </c>
      <c r="AA109" s="631" t="b">
        <v>0</v>
      </c>
      <c r="AB109" s="631"/>
      <c r="AC109" s="576"/>
      <c r="AD109" s="479">
        <v>0.0</v>
      </c>
      <c r="AE109" s="632"/>
      <c r="AF109" s="582" t="s">
        <v>365</v>
      </c>
      <c r="AG109" s="583"/>
      <c r="AH109" s="584"/>
      <c r="AI109" s="583"/>
      <c r="AJ109" s="585"/>
      <c r="AK109" s="583"/>
      <c r="AL109" s="584"/>
      <c r="AM109" s="583"/>
      <c r="AN109" s="585"/>
      <c r="AO109" s="583"/>
      <c r="AP109" s="584"/>
      <c r="AQ109" s="583"/>
      <c r="AR109" s="585"/>
      <c r="AS109" s="583"/>
      <c r="AT109" s="584"/>
      <c r="AU109" s="583"/>
      <c r="AV109" s="585"/>
      <c r="AW109" s="583"/>
      <c r="AX109" s="584"/>
      <c r="AY109" s="583"/>
      <c r="AZ109" s="585"/>
      <c r="BA109" s="583"/>
      <c r="BB109" s="584"/>
      <c r="BC109" s="583"/>
      <c r="BD109" s="585"/>
      <c r="BE109" s="583"/>
      <c r="BF109" s="584"/>
      <c r="BG109" s="583"/>
      <c r="BH109" s="585"/>
      <c r="BI109" s="583"/>
      <c r="BJ109" s="584"/>
      <c r="BK109" s="583"/>
      <c r="BL109" s="585"/>
      <c r="BM109" s="583"/>
      <c r="BN109" s="584"/>
      <c r="BO109" s="583"/>
      <c r="BP109" s="585"/>
      <c r="BQ109" s="583"/>
      <c r="BR109" s="584"/>
      <c r="BS109" s="583"/>
      <c r="BT109" s="586"/>
      <c r="BU109" s="540"/>
      <c r="BV109" s="540"/>
      <c r="BW109" s="540"/>
      <c r="BX109" s="538"/>
      <c r="BY109" s="538"/>
      <c r="BZ109" s="592"/>
      <c r="CA109" s="633"/>
      <c r="CB109" s="592" t="s">
        <v>365</v>
      </c>
      <c r="CC109" s="592">
        <v>0.0</v>
      </c>
      <c r="CD109" s="592" t="s">
        <v>365</v>
      </c>
      <c r="CE109" s="592">
        <v>0.0</v>
      </c>
      <c r="CF109" s="592"/>
      <c r="CG109" s="592">
        <v>0.0</v>
      </c>
      <c r="CH109" s="592"/>
      <c r="CI109" s="633"/>
      <c r="CJ109" s="592">
        <v>0.0</v>
      </c>
      <c r="CK109" s="479" t="s">
        <v>365</v>
      </c>
      <c r="CL109" s="592"/>
      <c r="CM109" s="593"/>
      <c r="CN109" s="538"/>
      <c r="CO109" s="538"/>
      <c r="CP109" s="538"/>
      <c r="CQ109" s="538"/>
      <c r="CR109" s="538"/>
      <c r="CS109" s="538"/>
      <c r="CT109" s="538"/>
      <c r="CU109" s="538"/>
      <c r="CV109" s="538"/>
      <c r="CW109" s="538"/>
      <c r="CX109" s="538"/>
      <c r="CY109" s="538"/>
      <c r="CZ109" s="538"/>
      <c r="DA109" s="538"/>
      <c r="DB109" s="538"/>
      <c r="DC109" s="538"/>
      <c r="DD109" s="538"/>
      <c r="DE109" s="538"/>
      <c r="DF109" s="538"/>
      <c r="DG109" s="538"/>
      <c r="DH109" s="538"/>
      <c r="DI109" s="538"/>
      <c r="DJ109" s="538"/>
      <c r="DK109" s="538"/>
      <c r="DL109" s="538"/>
      <c r="DM109" s="538"/>
      <c r="DN109" s="538"/>
      <c r="DO109" s="538"/>
      <c r="DP109" s="538"/>
      <c r="DQ109" s="538"/>
      <c r="DR109" s="538"/>
      <c r="DS109" s="538"/>
      <c r="DT109" s="538"/>
      <c r="DU109" s="538"/>
      <c r="DV109" s="538"/>
      <c r="DW109" s="538"/>
      <c r="DX109" s="538"/>
      <c r="DY109" s="538"/>
      <c r="DZ109" s="538"/>
      <c r="EA109" s="538"/>
      <c r="EB109" s="538"/>
      <c r="EC109" s="538"/>
      <c r="ED109" s="538"/>
      <c r="EE109" s="538"/>
      <c r="EF109" s="538"/>
      <c r="EG109" s="538"/>
      <c r="EH109" s="538"/>
      <c r="EI109" s="538"/>
      <c r="EJ109" s="538"/>
      <c r="EK109" s="538"/>
      <c r="EL109" s="538"/>
      <c r="EM109" s="538"/>
      <c r="EN109" s="538"/>
      <c r="EO109" s="538"/>
      <c r="EP109" s="538"/>
      <c r="EQ109" s="538"/>
      <c r="ER109" s="538"/>
      <c r="ES109" s="538"/>
      <c r="ET109" s="538"/>
      <c r="EU109" s="538"/>
      <c r="EV109" s="538"/>
      <c r="EW109" s="538"/>
      <c r="EX109" s="559"/>
      <c r="EY109" s="559"/>
      <c r="EZ109" s="559"/>
      <c r="FA109" s="559"/>
      <c r="FB109" s="559"/>
      <c r="FC109" s="559"/>
      <c r="FD109" s="559"/>
      <c r="FE109" s="559"/>
      <c r="FF109" s="559"/>
      <c r="FG109" s="559"/>
      <c r="FH109" s="559"/>
      <c r="FI109" s="559"/>
      <c r="FJ109" s="559"/>
      <c r="FK109" s="559"/>
      <c r="FL109" s="559"/>
      <c r="FM109" s="559"/>
      <c r="FN109" s="559"/>
      <c r="FO109" s="559"/>
      <c r="FP109" s="559"/>
      <c r="FQ109" s="559"/>
      <c r="FR109" s="559"/>
      <c r="FS109" s="559"/>
      <c r="FT109" s="559"/>
      <c r="FU109" s="559"/>
      <c r="FV109" s="559"/>
      <c r="FW109" s="559"/>
      <c r="FX109" s="559"/>
      <c r="FY109" s="559"/>
      <c r="FZ109" s="559"/>
      <c r="GA109" s="559"/>
      <c r="GB109" s="559"/>
      <c r="GC109" s="559"/>
      <c r="GD109" s="559"/>
      <c r="GE109" s="559"/>
      <c r="GF109" s="559"/>
      <c r="GG109" s="559"/>
      <c r="GH109" s="559"/>
    </row>
    <row r="110">
      <c r="A110" s="538"/>
      <c r="B110" s="156"/>
      <c r="C110" s="444"/>
      <c r="D110" s="614"/>
      <c r="E110" s="68"/>
      <c r="F110" s="644"/>
      <c r="G110" s="644"/>
      <c r="H110" s="627"/>
      <c r="I110" s="622" t="s">
        <v>365</v>
      </c>
      <c r="J110" s="607"/>
      <c r="K110" s="641"/>
      <c r="L110" s="628"/>
      <c r="M110" s="626"/>
      <c r="N110" s="619"/>
      <c r="O110" s="560"/>
      <c r="P110" s="47"/>
      <c r="Q110" s="47"/>
      <c r="S110" s="572"/>
      <c r="U110" s="573"/>
      <c r="V110" s="574"/>
      <c r="W110" s="618"/>
      <c r="X110" s="576">
        <v>0.0</v>
      </c>
      <c r="Y110" s="630">
        <v>0.0</v>
      </c>
      <c r="Z110" s="630" t="s">
        <v>365</v>
      </c>
      <c r="AA110" s="631" t="b">
        <v>0</v>
      </c>
      <c r="AB110" s="631"/>
      <c r="AC110" s="576"/>
      <c r="AD110" s="479">
        <v>0.0</v>
      </c>
      <c r="AE110" s="632"/>
      <c r="AF110" s="582" t="s">
        <v>365</v>
      </c>
      <c r="AG110" s="583"/>
      <c r="AH110" s="584"/>
      <c r="AI110" s="583"/>
      <c r="AJ110" s="585"/>
      <c r="AK110" s="583"/>
      <c r="AL110" s="584"/>
      <c r="AM110" s="583"/>
      <c r="AN110" s="585"/>
      <c r="AO110" s="583"/>
      <c r="AP110" s="584"/>
      <c r="AQ110" s="583"/>
      <c r="AR110" s="585"/>
      <c r="AS110" s="583"/>
      <c r="AT110" s="584"/>
      <c r="AU110" s="583"/>
      <c r="AV110" s="585"/>
      <c r="AW110" s="583"/>
      <c r="AX110" s="584"/>
      <c r="AY110" s="583"/>
      <c r="AZ110" s="585"/>
      <c r="BA110" s="583"/>
      <c r="BB110" s="584"/>
      <c r="BC110" s="583"/>
      <c r="BD110" s="585"/>
      <c r="BE110" s="583"/>
      <c r="BF110" s="584"/>
      <c r="BG110" s="583"/>
      <c r="BH110" s="585"/>
      <c r="BI110" s="583"/>
      <c r="BJ110" s="584"/>
      <c r="BK110" s="583"/>
      <c r="BL110" s="585"/>
      <c r="BM110" s="583"/>
      <c r="BN110" s="584"/>
      <c r="BO110" s="583"/>
      <c r="BP110" s="585"/>
      <c r="BQ110" s="583"/>
      <c r="BR110" s="584"/>
      <c r="BS110" s="583"/>
      <c r="BT110" s="586"/>
      <c r="BU110" s="540"/>
      <c r="BV110" s="540"/>
      <c r="BW110" s="540"/>
      <c r="BX110" s="538"/>
      <c r="BY110" s="538"/>
      <c r="BZ110" s="592"/>
      <c r="CA110" s="633"/>
      <c r="CB110" s="592" t="s">
        <v>365</v>
      </c>
      <c r="CC110" s="592">
        <v>0.0</v>
      </c>
      <c r="CD110" s="592" t="s">
        <v>365</v>
      </c>
      <c r="CE110" s="592">
        <v>0.0</v>
      </c>
      <c r="CF110" s="592"/>
      <c r="CG110" s="592">
        <v>0.0</v>
      </c>
      <c r="CH110" s="592"/>
      <c r="CI110" s="633"/>
      <c r="CJ110" s="592">
        <v>0.0</v>
      </c>
      <c r="CK110" s="479" t="s">
        <v>365</v>
      </c>
      <c r="CL110" s="592"/>
      <c r="CM110" s="593"/>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c r="DS110" s="538"/>
      <c r="DT110" s="538"/>
      <c r="DU110" s="538"/>
      <c r="DV110" s="538"/>
      <c r="DW110" s="538"/>
      <c r="DX110" s="538"/>
      <c r="DY110" s="538"/>
      <c r="DZ110" s="538"/>
      <c r="EA110" s="538"/>
      <c r="EB110" s="538"/>
      <c r="EC110" s="538"/>
      <c r="ED110" s="538"/>
      <c r="EE110" s="538"/>
      <c r="EF110" s="538"/>
      <c r="EG110" s="538"/>
      <c r="EH110" s="538"/>
      <c r="EI110" s="538"/>
      <c r="EJ110" s="538"/>
      <c r="EK110" s="538"/>
      <c r="EL110" s="538"/>
      <c r="EM110" s="538"/>
      <c r="EN110" s="538"/>
      <c r="EO110" s="538"/>
      <c r="EP110" s="538"/>
      <c r="EQ110" s="538"/>
      <c r="ER110" s="538"/>
      <c r="ES110" s="538"/>
      <c r="ET110" s="538"/>
      <c r="EU110" s="538"/>
      <c r="EV110" s="538"/>
      <c r="EW110" s="538"/>
      <c r="EX110" s="559"/>
      <c r="EY110" s="559"/>
      <c r="EZ110" s="559"/>
      <c r="FA110" s="559"/>
      <c r="FB110" s="559"/>
      <c r="FC110" s="559"/>
      <c r="FD110" s="559"/>
      <c r="FE110" s="559"/>
      <c r="FF110" s="559"/>
      <c r="FG110" s="559"/>
      <c r="FH110" s="559"/>
      <c r="FI110" s="559"/>
      <c r="FJ110" s="559"/>
      <c r="FK110" s="559"/>
      <c r="FL110" s="559"/>
      <c r="FM110" s="559"/>
      <c r="FN110" s="559"/>
      <c r="FO110" s="559"/>
      <c r="FP110" s="559"/>
      <c r="FQ110" s="559"/>
      <c r="FR110" s="559"/>
      <c r="FS110" s="559"/>
      <c r="FT110" s="559"/>
      <c r="FU110" s="559"/>
      <c r="FV110" s="559"/>
      <c r="FW110" s="559"/>
      <c r="FX110" s="559"/>
      <c r="FY110" s="559"/>
      <c r="FZ110" s="559"/>
      <c r="GA110" s="559"/>
      <c r="GB110" s="559"/>
      <c r="GC110" s="559"/>
      <c r="GD110" s="559"/>
      <c r="GE110" s="559"/>
      <c r="GF110" s="559"/>
      <c r="GG110" s="559"/>
      <c r="GH110" s="559"/>
    </row>
    <row r="111">
      <c r="A111" s="538"/>
      <c r="B111" s="156"/>
      <c r="C111" s="444"/>
      <c r="D111" s="614"/>
      <c r="E111" s="66"/>
      <c r="F111" s="642"/>
      <c r="G111" s="642"/>
      <c r="H111" s="615"/>
      <c r="I111" s="616" t="s">
        <v>365</v>
      </c>
      <c r="J111" s="624"/>
      <c r="K111" s="643"/>
      <c r="L111" s="640"/>
      <c r="M111" s="625"/>
      <c r="N111" s="617"/>
      <c r="O111" s="134"/>
      <c r="P111" s="57"/>
      <c r="Q111" s="57"/>
      <c r="S111" s="605"/>
      <c r="U111" s="573"/>
      <c r="V111" s="574"/>
      <c r="W111" s="618"/>
      <c r="X111" s="576">
        <v>0.0</v>
      </c>
      <c r="Y111" s="630">
        <v>0.0</v>
      </c>
      <c r="Z111" s="630" t="s">
        <v>365</v>
      </c>
      <c r="AA111" s="631" t="b">
        <v>0</v>
      </c>
      <c r="AB111" s="631"/>
      <c r="AC111" s="576"/>
      <c r="AD111" s="479">
        <v>0.0</v>
      </c>
      <c r="AE111" s="632"/>
      <c r="AF111" s="582" t="s">
        <v>365</v>
      </c>
      <c r="AG111" s="583"/>
      <c r="AH111" s="584"/>
      <c r="AI111" s="583"/>
      <c r="AJ111" s="585"/>
      <c r="AK111" s="583"/>
      <c r="AL111" s="584"/>
      <c r="AM111" s="583"/>
      <c r="AN111" s="585"/>
      <c r="AO111" s="583"/>
      <c r="AP111" s="584"/>
      <c r="AQ111" s="583"/>
      <c r="AR111" s="585"/>
      <c r="AS111" s="583"/>
      <c r="AT111" s="584"/>
      <c r="AU111" s="583"/>
      <c r="AV111" s="585"/>
      <c r="AW111" s="583"/>
      <c r="AX111" s="584"/>
      <c r="AY111" s="583"/>
      <c r="AZ111" s="585"/>
      <c r="BA111" s="583"/>
      <c r="BB111" s="584"/>
      <c r="BC111" s="583"/>
      <c r="BD111" s="585"/>
      <c r="BE111" s="583"/>
      <c r="BF111" s="584"/>
      <c r="BG111" s="583"/>
      <c r="BH111" s="585"/>
      <c r="BI111" s="583"/>
      <c r="BJ111" s="584"/>
      <c r="BK111" s="583"/>
      <c r="BL111" s="585"/>
      <c r="BM111" s="583"/>
      <c r="BN111" s="584"/>
      <c r="BO111" s="583"/>
      <c r="BP111" s="585"/>
      <c r="BQ111" s="583"/>
      <c r="BR111" s="584"/>
      <c r="BS111" s="583"/>
      <c r="BT111" s="586"/>
      <c r="BU111" s="540"/>
      <c r="BV111" s="540"/>
      <c r="BW111" s="540"/>
      <c r="BX111" s="538"/>
      <c r="BY111" s="538"/>
      <c r="BZ111" s="592"/>
      <c r="CA111" s="633"/>
      <c r="CB111" s="592" t="s">
        <v>365</v>
      </c>
      <c r="CC111" s="592">
        <v>0.0</v>
      </c>
      <c r="CD111" s="592" t="s">
        <v>365</v>
      </c>
      <c r="CE111" s="592">
        <v>0.0</v>
      </c>
      <c r="CF111" s="592"/>
      <c r="CG111" s="592">
        <v>0.0</v>
      </c>
      <c r="CH111" s="592"/>
      <c r="CI111" s="633"/>
      <c r="CJ111" s="592">
        <v>0.0</v>
      </c>
      <c r="CK111" s="479" t="s">
        <v>365</v>
      </c>
      <c r="CL111" s="592"/>
      <c r="CM111" s="593"/>
      <c r="CN111" s="538"/>
      <c r="CO111" s="538"/>
      <c r="CP111" s="538"/>
      <c r="CQ111" s="538"/>
      <c r="CR111" s="538"/>
      <c r="CS111" s="538"/>
      <c r="CT111" s="538"/>
      <c r="CU111" s="538"/>
      <c r="CV111" s="538"/>
      <c r="CW111" s="538"/>
      <c r="CX111" s="538"/>
      <c r="CY111" s="538"/>
      <c r="CZ111" s="538"/>
      <c r="DA111" s="538"/>
      <c r="DB111" s="538"/>
      <c r="DC111" s="538"/>
      <c r="DD111" s="538"/>
      <c r="DE111" s="538"/>
      <c r="DF111" s="538"/>
      <c r="DG111" s="538"/>
      <c r="DH111" s="538"/>
      <c r="DI111" s="538"/>
      <c r="DJ111" s="538"/>
      <c r="DK111" s="538"/>
      <c r="DL111" s="538"/>
      <c r="DM111" s="538"/>
      <c r="DN111" s="538"/>
      <c r="DO111" s="538"/>
      <c r="DP111" s="538"/>
      <c r="DQ111" s="538"/>
      <c r="DR111" s="538"/>
      <c r="DS111" s="538"/>
      <c r="DT111" s="538"/>
      <c r="DU111" s="538"/>
      <c r="DV111" s="538"/>
      <c r="DW111" s="538"/>
      <c r="DX111" s="538"/>
      <c r="DY111" s="538"/>
      <c r="DZ111" s="538"/>
      <c r="EA111" s="538"/>
      <c r="EB111" s="538"/>
      <c r="EC111" s="538"/>
      <c r="ED111" s="538"/>
      <c r="EE111" s="538"/>
      <c r="EF111" s="538"/>
      <c r="EG111" s="538"/>
      <c r="EH111" s="538"/>
      <c r="EI111" s="538"/>
      <c r="EJ111" s="538"/>
      <c r="EK111" s="538"/>
      <c r="EL111" s="538"/>
      <c r="EM111" s="538"/>
      <c r="EN111" s="538"/>
      <c r="EO111" s="538"/>
      <c r="EP111" s="538"/>
      <c r="EQ111" s="538"/>
      <c r="ER111" s="538"/>
      <c r="ES111" s="538"/>
      <c r="ET111" s="538"/>
      <c r="EU111" s="538"/>
      <c r="EV111" s="538"/>
      <c r="EW111" s="538"/>
      <c r="EX111" s="559"/>
      <c r="EY111" s="559"/>
      <c r="EZ111" s="559"/>
      <c r="FA111" s="559"/>
      <c r="FB111" s="559"/>
      <c r="FC111" s="559"/>
      <c r="FD111" s="559"/>
      <c r="FE111" s="559"/>
      <c r="FF111" s="559"/>
      <c r="FG111" s="559"/>
      <c r="FH111" s="559"/>
      <c r="FI111" s="559"/>
      <c r="FJ111" s="559"/>
      <c r="FK111" s="559"/>
      <c r="FL111" s="559"/>
      <c r="FM111" s="559"/>
      <c r="FN111" s="559"/>
      <c r="FO111" s="559"/>
      <c r="FP111" s="559"/>
      <c r="FQ111" s="559"/>
      <c r="FR111" s="559"/>
      <c r="FS111" s="559"/>
      <c r="FT111" s="559"/>
      <c r="FU111" s="559"/>
      <c r="FV111" s="559"/>
      <c r="FW111" s="559"/>
      <c r="FX111" s="559"/>
      <c r="FY111" s="559"/>
      <c r="FZ111" s="559"/>
      <c r="GA111" s="559"/>
      <c r="GB111" s="559"/>
      <c r="GC111" s="559"/>
      <c r="GD111" s="559"/>
      <c r="GE111" s="559"/>
      <c r="GF111" s="559"/>
      <c r="GG111" s="559"/>
      <c r="GH111" s="559"/>
    </row>
    <row r="112">
      <c r="A112" s="538"/>
      <c r="B112" s="156"/>
      <c r="C112" s="444"/>
      <c r="D112" s="614"/>
      <c r="E112" s="68"/>
      <c r="F112" s="644"/>
      <c r="G112" s="644"/>
      <c r="H112" s="627"/>
      <c r="I112" s="622" t="s">
        <v>365</v>
      </c>
      <c r="J112" s="607"/>
      <c r="K112" s="641"/>
      <c r="L112" s="628"/>
      <c r="M112" s="626"/>
      <c r="N112" s="619"/>
      <c r="O112" s="560"/>
      <c r="P112" s="47"/>
      <c r="Q112" s="47"/>
      <c r="S112" s="572"/>
      <c r="U112" s="573"/>
      <c r="V112" s="574"/>
      <c r="W112" s="618"/>
      <c r="X112" s="576">
        <v>0.0</v>
      </c>
      <c r="Y112" s="630">
        <v>0.0</v>
      </c>
      <c r="Z112" s="630" t="s">
        <v>365</v>
      </c>
      <c r="AA112" s="631" t="b">
        <v>0</v>
      </c>
      <c r="AB112" s="631"/>
      <c r="AC112" s="576"/>
      <c r="AD112" s="479">
        <v>0.0</v>
      </c>
      <c r="AE112" s="632"/>
      <c r="AF112" s="582" t="s">
        <v>365</v>
      </c>
      <c r="AG112" s="583"/>
      <c r="AH112" s="584"/>
      <c r="AI112" s="583"/>
      <c r="AJ112" s="585"/>
      <c r="AK112" s="583"/>
      <c r="AL112" s="584"/>
      <c r="AM112" s="583"/>
      <c r="AN112" s="585"/>
      <c r="AO112" s="583"/>
      <c r="AP112" s="584"/>
      <c r="AQ112" s="583"/>
      <c r="AR112" s="585"/>
      <c r="AS112" s="583"/>
      <c r="AT112" s="584"/>
      <c r="AU112" s="583"/>
      <c r="AV112" s="585"/>
      <c r="AW112" s="583"/>
      <c r="AX112" s="584"/>
      <c r="AY112" s="583"/>
      <c r="AZ112" s="585"/>
      <c r="BA112" s="583"/>
      <c r="BB112" s="584"/>
      <c r="BC112" s="583"/>
      <c r="BD112" s="585"/>
      <c r="BE112" s="583"/>
      <c r="BF112" s="584"/>
      <c r="BG112" s="583"/>
      <c r="BH112" s="585"/>
      <c r="BI112" s="583"/>
      <c r="BJ112" s="584"/>
      <c r="BK112" s="583"/>
      <c r="BL112" s="585"/>
      <c r="BM112" s="583"/>
      <c r="BN112" s="584"/>
      <c r="BO112" s="583"/>
      <c r="BP112" s="585"/>
      <c r="BQ112" s="583"/>
      <c r="BR112" s="584"/>
      <c r="BS112" s="583"/>
      <c r="BT112" s="586"/>
      <c r="BU112" s="540"/>
      <c r="BV112" s="540"/>
      <c r="BW112" s="540"/>
      <c r="BX112" s="538"/>
      <c r="BY112" s="538"/>
      <c r="BZ112" s="592"/>
      <c r="CA112" s="633"/>
      <c r="CB112" s="592" t="s">
        <v>365</v>
      </c>
      <c r="CC112" s="592">
        <v>0.0</v>
      </c>
      <c r="CD112" s="592" t="s">
        <v>365</v>
      </c>
      <c r="CE112" s="592">
        <v>0.0</v>
      </c>
      <c r="CF112" s="592"/>
      <c r="CG112" s="592">
        <v>0.0</v>
      </c>
      <c r="CH112" s="592"/>
      <c r="CI112" s="633"/>
      <c r="CJ112" s="592">
        <v>0.0</v>
      </c>
      <c r="CK112" s="479" t="s">
        <v>365</v>
      </c>
      <c r="CL112" s="592"/>
      <c r="CM112" s="593"/>
      <c r="CN112" s="538"/>
      <c r="CO112" s="538"/>
      <c r="CP112" s="538"/>
      <c r="CQ112" s="538"/>
      <c r="CR112" s="538"/>
      <c r="CS112" s="538"/>
      <c r="CT112" s="538"/>
      <c r="CU112" s="538"/>
      <c r="CV112" s="538"/>
      <c r="CW112" s="538"/>
      <c r="CX112" s="538"/>
      <c r="CY112" s="538"/>
      <c r="CZ112" s="538"/>
      <c r="DA112" s="538"/>
      <c r="DB112" s="538"/>
      <c r="DC112" s="538"/>
      <c r="DD112" s="538"/>
      <c r="DE112" s="538"/>
      <c r="DF112" s="538"/>
      <c r="DG112" s="538"/>
      <c r="DH112" s="538"/>
      <c r="DI112" s="538"/>
      <c r="DJ112" s="538"/>
      <c r="DK112" s="538"/>
      <c r="DL112" s="538"/>
      <c r="DM112" s="538"/>
      <c r="DN112" s="538"/>
      <c r="DO112" s="538"/>
      <c r="DP112" s="538"/>
      <c r="DQ112" s="538"/>
      <c r="DR112" s="538"/>
      <c r="DS112" s="538"/>
      <c r="DT112" s="538"/>
      <c r="DU112" s="538"/>
      <c r="DV112" s="538"/>
      <c r="DW112" s="538"/>
      <c r="DX112" s="538"/>
      <c r="DY112" s="538"/>
      <c r="DZ112" s="538"/>
      <c r="EA112" s="538"/>
      <c r="EB112" s="538"/>
      <c r="EC112" s="538"/>
      <c r="ED112" s="538"/>
      <c r="EE112" s="538"/>
      <c r="EF112" s="538"/>
      <c r="EG112" s="538"/>
      <c r="EH112" s="538"/>
      <c r="EI112" s="538"/>
      <c r="EJ112" s="538"/>
      <c r="EK112" s="538"/>
      <c r="EL112" s="538"/>
      <c r="EM112" s="538"/>
      <c r="EN112" s="538"/>
      <c r="EO112" s="538"/>
      <c r="EP112" s="538"/>
      <c r="EQ112" s="538"/>
      <c r="ER112" s="538"/>
      <c r="ES112" s="538"/>
      <c r="ET112" s="538"/>
      <c r="EU112" s="538"/>
      <c r="EV112" s="538"/>
      <c r="EW112" s="538"/>
      <c r="EX112" s="559"/>
      <c r="EY112" s="559"/>
      <c r="EZ112" s="559"/>
      <c r="FA112" s="559"/>
      <c r="FB112" s="559"/>
      <c r="FC112" s="559"/>
      <c r="FD112" s="559"/>
      <c r="FE112" s="559"/>
      <c r="FF112" s="559"/>
      <c r="FG112" s="559"/>
      <c r="FH112" s="559"/>
      <c r="FI112" s="559"/>
      <c r="FJ112" s="559"/>
      <c r="FK112" s="559"/>
      <c r="FL112" s="559"/>
      <c r="FM112" s="559"/>
      <c r="FN112" s="559"/>
      <c r="FO112" s="559"/>
      <c r="FP112" s="559"/>
      <c r="FQ112" s="559"/>
      <c r="FR112" s="559"/>
      <c r="FS112" s="559"/>
      <c r="FT112" s="559"/>
      <c r="FU112" s="559"/>
      <c r="FV112" s="559"/>
      <c r="FW112" s="559"/>
      <c r="FX112" s="559"/>
      <c r="FY112" s="559"/>
      <c r="FZ112" s="559"/>
      <c r="GA112" s="559"/>
      <c r="GB112" s="559"/>
      <c r="GC112" s="559"/>
      <c r="GD112" s="559"/>
      <c r="GE112" s="559"/>
      <c r="GF112" s="559"/>
      <c r="GG112" s="559"/>
      <c r="GH112" s="559"/>
    </row>
    <row r="113">
      <c r="A113" s="538"/>
      <c r="B113" s="156"/>
      <c r="C113" s="444"/>
      <c r="D113" s="614"/>
      <c r="E113" s="66"/>
      <c r="F113" s="642"/>
      <c r="G113" s="642"/>
      <c r="H113" s="615"/>
      <c r="I113" s="616" t="s">
        <v>365</v>
      </c>
      <c r="J113" s="624"/>
      <c r="K113" s="643"/>
      <c r="L113" s="640"/>
      <c r="M113" s="625"/>
      <c r="N113" s="617"/>
      <c r="O113" s="134"/>
      <c r="P113" s="57"/>
      <c r="Q113" s="57"/>
      <c r="S113" s="605"/>
      <c r="U113" s="573"/>
      <c r="V113" s="574"/>
      <c r="W113" s="618"/>
      <c r="X113" s="576">
        <v>0.0</v>
      </c>
      <c r="Y113" s="630">
        <v>0.0</v>
      </c>
      <c r="Z113" s="630" t="s">
        <v>365</v>
      </c>
      <c r="AA113" s="631" t="b">
        <v>0</v>
      </c>
      <c r="AB113" s="631"/>
      <c r="AC113" s="576"/>
      <c r="AD113" s="479">
        <v>0.0</v>
      </c>
      <c r="AE113" s="632"/>
      <c r="AF113" s="582" t="s">
        <v>365</v>
      </c>
      <c r="AG113" s="583"/>
      <c r="AH113" s="584"/>
      <c r="AI113" s="583"/>
      <c r="AJ113" s="585"/>
      <c r="AK113" s="583"/>
      <c r="AL113" s="584"/>
      <c r="AM113" s="583"/>
      <c r="AN113" s="585"/>
      <c r="AO113" s="583"/>
      <c r="AP113" s="584"/>
      <c r="AQ113" s="583"/>
      <c r="AR113" s="585"/>
      <c r="AS113" s="583"/>
      <c r="AT113" s="584"/>
      <c r="AU113" s="583"/>
      <c r="AV113" s="585"/>
      <c r="AW113" s="583"/>
      <c r="AX113" s="584"/>
      <c r="AY113" s="583"/>
      <c r="AZ113" s="585"/>
      <c r="BA113" s="583"/>
      <c r="BB113" s="584"/>
      <c r="BC113" s="583"/>
      <c r="BD113" s="585"/>
      <c r="BE113" s="583"/>
      <c r="BF113" s="584"/>
      <c r="BG113" s="583"/>
      <c r="BH113" s="585"/>
      <c r="BI113" s="583"/>
      <c r="BJ113" s="584"/>
      <c r="BK113" s="583"/>
      <c r="BL113" s="585"/>
      <c r="BM113" s="583"/>
      <c r="BN113" s="584"/>
      <c r="BO113" s="583"/>
      <c r="BP113" s="585"/>
      <c r="BQ113" s="583"/>
      <c r="BR113" s="584"/>
      <c r="BS113" s="583"/>
      <c r="BT113" s="586"/>
      <c r="BU113" s="540"/>
      <c r="BV113" s="540"/>
      <c r="BW113" s="540"/>
      <c r="BX113" s="538"/>
      <c r="BY113" s="538"/>
      <c r="BZ113" s="592"/>
      <c r="CA113" s="633"/>
      <c r="CB113" s="592" t="s">
        <v>365</v>
      </c>
      <c r="CC113" s="592">
        <v>0.0</v>
      </c>
      <c r="CD113" s="592" t="s">
        <v>365</v>
      </c>
      <c r="CE113" s="592">
        <v>0.0</v>
      </c>
      <c r="CF113" s="592"/>
      <c r="CG113" s="592">
        <v>0.0</v>
      </c>
      <c r="CH113" s="592"/>
      <c r="CI113" s="633"/>
      <c r="CJ113" s="592">
        <v>0.0</v>
      </c>
      <c r="CK113" s="479" t="s">
        <v>365</v>
      </c>
      <c r="CL113" s="592"/>
      <c r="CM113" s="593"/>
      <c r="CN113" s="538"/>
      <c r="CO113" s="538"/>
      <c r="CP113" s="538"/>
      <c r="CQ113" s="538"/>
      <c r="CR113" s="538"/>
      <c r="CS113" s="538"/>
      <c r="CT113" s="538"/>
      <c r="CU113" s="538"/>
      <c r="CV113" s="538"/>
      <c r="CW113" s="538"/>
      <c r="CX113" s="538"/>
      <c r="CY113" s="538"/>
      <c r="CZ113" s="538"/>
      <c r="DA113" s="538"/>
      <c r="DB113" s="538"/>
      <c r="DC113" s="538"/>
      <c r="DD113" s="538"/>
      <c r="DE113" s="538"/>
      <c r="DF113" s="538"/>
      <c r="DG113" s="538"/>
      <c r="DH113" s="538"/>
      <c r="DI113" s="538"/>
      <c r="DJ113" s="538"/>
      <c r="DK113" s="538"/>
      <c r="DL113" s="538"/>
      <c r="DM113" s="538"/>
      <c r="DN113" s="538"/>
      <c r="DO113" s="538"/>
      <c r="DP113" s="538"/>
      <c r="DQ113" s="538"/>
      <c r="DR113" s="538"/>
      <c r="DS113" s="538"/>
      <c r="DT113" s="538"/>
      <c r="DU113" s="538"/>
      <c r="DV113" s="538"/>
      <c r="DW113" s="538"/>
      <c r="DX113" s="538"/>
      <c r="DY113" s="538"/>
      <c r="DZ113" s="538"/>
      <c r="EA113" s="538"/>
      <c r="EB113" s="538"/>
      <c r="EC113" s="538"/>
      <c r="ED113" s="538"/>
      <c r="EE113" s="538"/>
      <c r="EF113" s="538"/>
      <c r="EG113" s="538"/>
      <c r="EH113" s="538"/>
      <c r="EI113" s="538"/>
      <c r="EJ113" s="538"/>
      <c r="EK113" s="538"/>
      <c r="EL113" s="538"/>
      <c r="EM113" s="538"/>
      <c r="EN113" s="538"/>
      <c r="EO113" s="538"/>
      <c r="EP113" s="538"/>
      <c r="EQ113" s="538"/>
      <c r="ER113" s="538"/>
      <c r="ES113" s="538"/>
      <c r="ET113" s="538"/>
      <c r="EU113" s="538"/>
      <c r="EV113" s="538"/>
      <c r="EW113" s="538"/>
      <c r="EX113" s="559"/>
      <c r="EY113" s="559"/>
      <c r="EZ113" s="559"/>
      <c r="FA113" s="559"/>
      <c r="FB113" s="559"/>
      <c r="FC113" s="559"/>
      <c r="FD113" s="559"/>
      <c r="FE113" s="559"/>
      <c r="FF113" s="559"/>
      <c r="FG113" s="559"/>
      <c r="FH113" s="559"/>
      <c r="FI113" s="559"/>
      <c r="FJ113" s="559"/>
      <c r="FK113" s="559"/>
      <c r="FL113" s="559"/>
      <c r="FM113" s="559"/>
      <c r="FN113" s="559"/>
      <c r="FO113" s="559"/>
      <c r="FP113" s="559"/>
      <c r="FQ113" s="559"/>
      <c r="FR113" s="559"/>
      <c r="FS113" s="559"/>
      <c r="FT113" s="559"/>
      <c r="FU113" s="559"/>
      <c r="FV113" s="559"/>
      <c r="FW113" s="559"/>
      <c r="FX113" s="559"/>
      <c r="FY113" s="559"/>
      <c r="FZ113" s="559"/>
      <c r="GA113" s="559"/>
      <c r="GB113" s="559"/>
      <c r="GC113" s="559"/>
      <c r="GD113" s="559"/>
      <c r="GE113" s="559"/>
      <c r="GF113" s="559"/>
      <c r="GG113" s="559"/>
      <c r="GH113" s="559"/>
    </row>
    <row r="114">
      <c r="A114" s="538"/>
      <c r="B114" s="156"/>
      <c r="C114" s="444"/>
      <c r="D114" s="614"/>
      <c r="E114" s="68"/>
      <c r="F114" s="644"/>
      <c r="G114" s="644"/>
      <c r="H114" s="627"/>
      <c r="I114" s="622" t="s">
        <v>365</v>
      </c>
      <c r="J114" s="607"/>
      <c r="K114" s="641"/>
      <c r="L114" s="628"/>
      <c r="M114" s="626"/>
      <c r="N114" s="619"/>
      <c r="O114" s="560"/>
      <c r="P114" s="47"/>
      <c r="Q114" s="47"/>
      <c r="S114" s="572"/>
      <c r="U114" s="573"/>
      <c r="V114" s="574"/>
      <c r="W114" s="618"/>
      <c r="X114" s="576">
        <v>0.0</v>
      </c>
      <c r="Y114" s="630">
        <v>0.0</v>
      </c>
      <c r="Z114" s="630" t="s">
        <v>365</v>
      </c>
      <c r="AA114" s="631" t="b">
        <v>0</v>
      </c>
      <c r="AB114" s="631"/>
      <c r="AC114" s="576"/>
      <c r="AD114" s="479">
        <v>0.0</v>
      </c>
      <c r="AE114" s="632"/>
      <c r="AF114" s="582" t="s">
        <v>365</v>
      </c>
      <c r="AG114" s="583"/>
      <c r="AH114" s="584"/>
      <c r="AI114" s="583"/>
      <c r="AJ114" s="585"/>
      <c r="AK114" s="583"/>
      <c r="AL114" s="584"/>
      <c r="AM114" s="583"/>
      <c r="AN114" s="585"/>
      <c r="AO114" s="583"/>
      <c r="AP114" s="584"/>
      <c r="AQ114" s="583"/>
      <c r="AR114" s="585"/>
      <c r="AS114" s="583"/>
      <c r="AT114" s="584"/>
      <c r="AU114" s="583"/>
      <c r="AV114" s="585"/>
      <c r="AW114" s="583"/>
      <c r="AX114" s="584"/>
      <c r="AY114" s="583"/>
      <c r="AZ114" s="585"/>
      <c r="BA114" s="583"/>
      <c r="BB114" s="584"/>
      <c r="BC114" s="583"/>
      <c r="BD114" s="585"/>
      <c r="BE114" s="583"/>
      <c r="BF114" s="584"/>
      <c r="BG114" s="583"/>
      <c r="BH114" s="585"/>
      <c r="BI114" s="583"/>
      <c r="BJ114" s="584"/>
      <c r="BK114" s="583"/>
      <c r="BL114" s="585"/>
      <c r="BM114" s="583"/>
      <c r="BN114" s="584"/>
      <c r="BO114" s="583"/>
      <c r="BP114" s="585"/>
      <c r="BQ114" s="583"/>
      <c r="BR114" s="584"/>
      <c r="BS114" s="583"/>
      <c r="BT114" s="586"/>
      <c r="BU114" s="540"/>
      <c r="BV114" s="540"/>
      <c r="BW114" s="540"/>
      <c r="BX114" s="538"/>
      <c r="BY114" s="538"/>
      <c r="BZ114" s="592"/>
      <c r="CA114" s="633"/>
      <c r="CB114" s="592" t="s">
        <v>365</v>
      </c>
      <c r="CC114" s="592">
        <v>0.0</v>
      </c>
      <c r="CD114" s="592" t="s">
        <v>365</v>
      </c>
      <c r="CE114" s="592">
        <v>0.0</v>
      </c>
      <c r="CF114" s="592"/>
      <c r="CG114" s="592">
        <v>0.0</v>
      </c>
      <c r="CH114" s="592"/>
      <c r="CI114" s="633"/>
      <c r="CJ114" s="592">
        <v>0.0</v>
      </c>
      <c r="CK114" s="479" t="s">
        <v>365</v>
      </c>
      <c r="CL114" s="592"/>
      <c r="CM114" s="593"/>
      <c r="CN114" s="538"/>
      <c r="CO114" s="538"/>
      <c r="CP114" s="538"/>
      <c r="CQ114" s="538"/>
      <c r="CR114" s="538"/>
      <c r="CS114" s="538"/>
      <c r="CT114" s="538"/>
      <c r="CU114" s="538"/>
      <c r="CV114" s="538"/>
      <c r="CW114" s="538"/>
      <c r="CX114" s="538"/>
      <c r="CY114" s="538"/>
      <c r="CZ114" s="538"/>
      <c r="DA114" s="538"/>
      <c r="DB114" s="538"/>
      <c r="DC114" s="538"/>
      <c r="DD114" s="538"/>
      <c r="DE114" s="538"/>
      <c r="DF114" s="538"/>
      <c r="DG114" s="538"/>
      <c r="DH114" s="538"/>
      <c r="DI114" s="538"/>
      <c r="DJ114" s="538"/>
      <c r="DK114" s="538"/>
      <c r="DL114" s="538"/>
      <c r="DM114" s="538"/>
      <c r="DN114" s="538"/>
      <c r="DO114" s="538"/>
      <c r="DP114" s="538"/>
      <c r="DQ114" s="538"/>
      <c r="DR114" s="538"/>
      <c r="DS114" s="538"/>
      <c r="DT114" s="538"/>
      <c r="DU114" s="538"/>
      <c r="DV114" s="538"/>
      <c r="DW114" s="538"/>
      <c r="DX114" s="538"/>
      <c r="DY114" s="538"/>
      <c r="DZ114" s="538"/>
      <c r="EA114" s="538"/>
      <c r="EB114" s="538"/>
      <c r="EC114" s="538"/>
      <c r="ED114" s="538"/>
      <c r="EE114" s="538"/>
      <c r="EF114" s="538"/>
      <c r="EG114" s="538"/>
      <c r="EH114" s="538"/>
      <c r="EI114" s="538"/>
      <c r="EJ114" s="538"/>
      <c r="EK114" s="538"/>
      <c r="EL114" s="538"/>
      <c r="EM114" s="538"/>
      <c r="EN114" s="538"/>
      <c r="EO114" s="538"/>
      <c r="EP114" s="538"/>
      <c r="EQ114" s="538"/>
      <c r="ER114" s="538"/>
      <c r="ES114" s="538"/>
      <c r="ET114" s="538"/>
      <c r="EU114" s="538"/>
      <c r="EV114" s="538"/>
      <c r="EW114" s="538"/>
      <c r="EX114" s="559"/>
      <c r="EY114" s="559"/>
      <c r="EZ114" s="559"/>
      <c r="FA114" s="559"/>
      <c r="FB114" s="559"/>
      <c r="FC114" s="559"/>
      <c r="FD114" s="559"/>
      <c r="FE114" s="559"/>
      <c r="FF114" s="559"/>
      <c r="FG114" s="559"/>
      <c r="FH114" s="559"/>
      <c r="FI114" s="559"/>
      <c r="FJ114" s="559"/>
      <c r="FK114" s="559"/>
      <c r="FL114" s="559"/>
      <c r="FM114" s="559"/>
      <c r="FN114" s="559"/>
      <c r="FO114" s="559"/>
      <c r="FP114" s="559"/>
      <c r="FQ114" s="559"/>
      <c r="FR114" s="559"/>
      <c r="FS114" s="559"/>
      <c r="FT114" s="559"/>
      <c r="FU114" s="559"/>
      <c r="FV114" s="559"/>
      <c r="FW114" s="559"/>
      <c r="FX114" s="559"/>
      <c r="FY114" s="559"/>
      <c r="FZ114" s="559"/>
      <c r="GA114" s="559"/>
      <c r="GB114" s="559"/>
      <c r="GC114" s="559"/>
      <c r="GD114" s="559"/>
      <c r="GE114" s="559"/>
      <c r="GF114" s="559"/>
      <c r="GG114" s="559"/>
      <c r="GH114" s="559"/>
    </row>
    <row r="115">
      <c r="A115" s="538"/>
      <c r="B115" s="156"/>
      <c r="C115" s="444"/>
      <c r="D115" s="614"/>
      <c r="E115" s="66"/>
      <c r="F115" s="642"/>
      <c r="G115" s="642"/>
      <c r="H115" s="615"/>
      <c r="I115" s="616" t="s">
        <v>365</v>
      </c>
      <c r="J115" s="624"/>
      <c r="K115" s="643"/>
      <c r="L115" s="640"/>
      <c r="M115" s="625"/>
      <c r="N115" s="617"/>
      <c r="O115" s="134"/>
      <c r="P115" s="57"/>
      <c r="Q115" s="57"/>
      <c r="S115" s="605"/>
      <c r="U115" s="573"/>
      <c r="V115" s="574"/>
      <c r="W115" s="618"/>
      <c r="X115" s="576">
        <v>0.0</v>
      </c>
      <c r="Y115" s="630">
        <v>0.0</v>
      </c>
      <c r="Z115" s="630" t="s">
        <v>365</v>
      </c>
      <c r="AA115" s="631" t="b">
        <v>0</v>
      </c>
      <c r="AB115" s="631"/>
      <c r="AC115" s="576"/>
      <c r="AD115" s="479">
        <v>0.0</v>
      </c>
      <c r="AE115" s="632"/>
      <c r="AF115" s="582" t="s">
        <v>365</v>
      </c>
      <c r="AG115" s="583"/>
      <c r="AH115" s="584"/>
      <c r="AI115" s="583"/>
      <c r="AJ115" s="585"/>
      <c r="AK115" s="583"/>
      <c r="AL115" s="584"/>
      <c r="AM115" s="583"/>
      <c r="AN115" s="585"/>
      <c r="AO115" s="583"/>
      <c r="AP115" s="584"/>
      <c r="AQ115" s="583"/>
      <c r="AR115" s="585"/>
      <c r="AS115" s="583"/>
      <c r="AT115" s="584"/>
      <c r="AU115" s="583"/>
      <c r="AV115" s="585"/>
      <c r="AW115" s="583"/>
      <c r="AX115" s="584"/>
      <c r="AY115" s="583"/>
      <c r="AZ115" s="585"/>
      <c r="BA115" s="583"/>
      <c r="BB115" s="584"/>
      <c r="BC115" s="583"/>
      <c r="BD115" s="585"/>
      <c r="BE115" s="583"/>
      <c r="BF115" s="584"/>
      <c r="BG115" s="583"/>
      <c r="BH115" s="585"/>
      <c r="BI115" s="583"/>
      <c r="BJ115" s="584"/>
      <c r="BK115" s="583"/>
      <c r="BL115" s="585"/>
      <c r="BM115" s="583"/>
      <c r="BN115" s="584"/>
      <c r="BO115" s="583"/>
      <c r="BP115" s="585"/>
      <c r="BQ115" s="583"/>
      <c r="BR115" s="584"/>
      <c r="BS115" s="583"/>
      <c r="BT115" s="586"/>
      <c r="BU115" s="540"/>
      <c r="BV115" s="540"/>
      <c r="BW115" s="540"/>
      <c r="BX115" s="538"/>
      <c r="BY115" s="538"/>
      <c r="BZ115" s="592"/>
      <c r="CA115" s="633"/>
      <c r="CB115" s="592" t="s">
        <v>365</v>
      </c>
      <c r="CC115" s="592">
        <v>0.0</v>
      </c>
      <c r="CD115" s="592" t="s">
        <v>365</v>
      </c>
      <c r="CE115" s="592">
        <v>0.0</v>
      </c>
      <c r="CF115" s="592"/>
      <c r="CG115" s="592">
        <v>0.0</v>
      </c>
      <c r="CH115" s="592"/>
      <c r="CI115" s="633"/>
      <c r="CJ115" s="592">
        <v>0.0</v>
      </c>
      <c r="CK115" s="479" t="s">
        <v>365</v>
      </c>
      <c r="CL115" s="592"/>
      <c r="CM115" s="593"/>
      <c r="CN115" s="538"/>
      <c r="CO115" s="538"/>
      <c r="CP115" s="538"/>
      <c r="CQ115" s="538"/>
      <c r="CR115" s="538"/>
      <c r="CS115" s="538"/>
      <c r="CT115" s="538"/>
      <c r="CU115" s="538"/>
      <c r="CV115" s="538"/>
      <c r="CW115" s="538"/>
      <c r="CX115" s="538"/>
      <c r="CY115" s="538"/>
      <c r="CZ115" s="538"/>
      <c r="DA115" s="538"/>
      <c r="DB115" s="538"/>
      <c r="DC115" s="538"/>
      <c r="DD115" s="538"/>
      <c r="DE115" s="538"/>
      <c r="DF115" s="538"/>
      <c r="DG115" s="538"/>
      <c r="DH115" s="538"/>
      <c r="DI115" s="538"/>
      <c r="DJ115" s="538"/>
      <c r="DK115" s="538"/>
      <c r="DL115" s="538"/>
      <c r="DM115" s="538"/>
      <c r="DN115" s="538"/>
      <c r="DO115" s="538"/>
      <c r="DP115" s="538"/>
      <c r="DQ115" s="538"/>
      <c r="DR115" s="538"/>
      <c r="DS115" s="538"/>
      <c r="DT115" s="538"/>
      <c r="DU115" s="538"/>
      <c r="DV115" s="538"/>
      <c r="DW115" s="538"/>
      <c r="DX115" s="538"/>
      <c r="DY115" s="538"/>
      <c r="DZ115" s="538"/>
      <c r="EA115" s="538"/>
      <c r="EB115" s="538"/>
      <c r="EC115" s="538"/>
      <c r="ED115" s="538"/>
      <c r="EE115" s="538"/>
      <c r="EF115" s="538"/>
      <c r="EG115" s="538"/>
      <c r="EH115" s="538"/>
      <c r="EI115" s="538"/>
      <c r="EJ115" s="538"/>
      <c r="EK115" s="538"/>
      <c r="EL115" s="538"/>
      <c r="EM115" s="538"/>
      <c r="EN115" s="538"/>
      <c r="EO115" s="538"/>
      <c r="EP115" s="538"/>
      <c r="EQ115" s="538"/>
      <c r="ER115" s="538"/>
      <c r="ES115" s="538"/>
      <c r="ET115" s="538"/>
      <c r="EU115" s="538"/>
      <c r="EV115" s="538"/>
      <c r="EW115" s="538"/>
      <c r="EX115" s="559"/>
      <c r="EY115" s="559"/>
      <c r="EZ115" s="559"/>
      <c r="FA115" s="559"/>
      <c r="FB115" s="559"/>
      <c r="FC115" s="559"/>
      <c r="FD115" s="559"/>
      <c r="FE115" s="559"/>
      <c r="FF115" s="559"/>
      <c r="FG115" s="559"/>
      <c r="FH115" s="559"/>
      <c r="FI115" s="559"/>
      <c r="FJ115" s="559"/>
      <c r="FK115" s="559"/>
      <c r="FL115" s="559"/>
      <c r="FM115" s="559"/>
      <c r="FN115" s="559"/>
      <c r="FO115" s="559"/>
      <c r="FP115" s="559"/>
      <c r="FQ115" s="559"/>
      <c r="FR115" s="559"/>
      <c r="FS115" s="559"/>
      <c r="FT115" s="559"/>
      <c r="FU115" s="559"/>
      <c r="FV115" s="559"/>
      <c r="FW115" s="559"/>
      <c r="FX115" s="559"/>
      <c r="FY115" s="559"/>
      <c r="FZ115" s="559"/>
      <c r="GA115" s="559"/>
      <c r="GB115" s="559"/>
      <c r="GC115" s="559"/>
      <c r="GD115" s="559"/>
      <c r="GE115" s="559"/>
      <c r="GF115" s="559"/>
      <c r="GG115" s="559"/>
      <c r="GH115" s="559"/>
    </row>
    <row r="116">
      <c r="A116" s="538"/>
      <c r="B116" s="156"/>
      <c r="C116" s="444"/>
      <c r="D116" s="614"/>
      <c r="E116" s="68"/>
      <c r="F116" s="644"/>
      <c r="G116" s="644"/>
      <c r="H116" s="627"/>
      <c r="I116" s="622" t="s">
        <v>365</v>
      </c>
      <c r="J116" s="607"/>
      <c r="K116" s="641"/>
      <c r="L116" s="628"/>
      <c r="M116" s="626"/>
      <c r="N116" s="619"/>
      <c r="O116" s="560"/>
      <c r="P116" s="47"/>
      <c r="Q116" s="47"/>
      <c r="S116" s="572"/>
      <c r="U116" s="573"/>
      <c r="V116" s="574"/>
      <c r="W116" s="618"/>
      <c r="X116" s="576">
        <v>0.0</v>
      </c>
      <c r="Y116" s="630">
        <v>0.0</v>
      </c>
      <c r="Z116" s="630" t="s">
        <v>365</v>
      </c>
      <c r="AA116" s="631" t="b">
        <v>0</v>
      </c>
      <c r="AB116" s="631"/>
      <c r="AC116" s="576"/>
      <c r="AD116" s="479">
        <v>0.0</v>
      </c>
      <c r="AE116" s="632"/>
      <c r="AF116" s="582" t="s">
        <v>365</v>
      </c>
      <c r="AG116" s="583"/>
      <c r="AH116" s="584"/>
      <c r="AI116" s="583"/>
      <c r="AJ116" s="585"/>
      <c r="AK116" s="583"/>
      <c r="AL116" s="584"/>
      <c r="AM116" s="583"/>
      <c r="AN116" s="585"/>
      <c r="AO116" s="583"/>
      <c r="AP116" s="584"/>
      <c r="AQ116" s="583"/>
      <c r="AR116" s="585"/>
      <c r="AS116" s="583"/>
      <c r="AT116" s="584"/>
      <c r="AU116" s="583"/>
      <c r="AV116" s="585"/>
      <c r="AW116" s="583"/>
      <c r="AX116" s="584"/>
      <c r="AY116" s="583"/>
      <c r="AZ116" s="585"/>
      <c r="BA116" s="583"/>
      <c r="BB116" s="584"/>
      <c r="BC116" s="583"/>
      <c r="BD116" s="585"/>
      <c r="BE116" s="583"/>
      <c r="BF116" s="584"/>
      <c r="BG116" s="583"/>
      <c r="BH116" s="585"/>
      <c r="BI116" s="583"/>
      <c r="BJ116" s="584"/>
      <c r="BK116" s="583"/>
      <c r="BL116" s="585"/>
      <c r="BM116" s="583"/>
      <c r="BN116" s="584"/>
      <c r="BO116" s="583"/>
      <c r="BP116" s="585"/>
      <c r="BQ116" s="583"/>
      <c r="BR116" s="584"/>
      <c r="BS116" s="583"/>
      <c r="BT116" s="586"/>
      <c r="BU116" s="540"/>
      <c r="BV116" s="540"/>
      <c r="BW116" s="540"/>
      <c r="BX116" s="538"/>
      <c r="BY116" s="538"/>
      <c r="BZ116" s="592"/>
      <c r="CA116" s="633"/>
      <c r="CB116" s="592" t="s">
        <v>365</v>
      </c>
      <c r="CC116" s="592">
        <v>0.0</v>
      </c>
      <c r="CD116" s="592" t="s">
        <v>365</v>
      </c>
      <c r="CE116" s="592">
        <v>0.0</v>
      </c>
      <c r="CF116" s="592"/>
      <c r="CG116" s="592">
        <v>0.0</v>
      </c>
      <c r="CH116" s="592"/>
      <c r="CI116" s="633"/>
      <c r="CJ116" s="592">
        <v>0.0</v>
      </c>
      <c r="CK116" s="479" t="s">
        <v>365</v>
      </c>
      <c r="CL116" s="592"/>
      <c r="CM116" s="593"/>
      <c r="CN116" s="538"/>
      <c r="CO116" s="538"/>
      <c r="CP116" s="538"/>
      <c r="CQ116" s="538"/>
      <c r="CR116" s="538"/>
      <c r="CS116" s="538"/>
      <c r="CT116" s="538"/>
      <c r="CU116" s="538"/>
      <c r="CV116" s="538"/>
      <c r="CW116" s="538"/>
      <c r="CX116" s="538"/>
      <c r="CY116" s="538"/>
      <c r="CZ116" s="538"/>
      <c r="DA116" s="538"/>
      <c r="DB116" s="538"/>
      <c r="DC116" s="538"/>
      <c r="DD116" s="538"/>
      <c r="DE116" s="538"/>
      <c r="DF116" s="538"/>
      <c r="DG116" s="538"/>
      <c r="DH116" s="538"/>
      <c r="DI116" s="538"/>
      <c r="DJ116" s="538"/>
      <c r="DK116" s="538"/>
      <c r="DL116" s="538"/>
      <c r="DM116" s="538"/>
      <c r="DN116" s="538"/>
      <c r="DO116" s="538"/>
      <c r="DP116" s="538"/>
      <c r="DQ116" s="538"/>
      <c r="DR116" s="538"/>
      <c r="DS116" s="538"/>
      <c r="DT116" s="538"/>
      <c r="DU116" s="538"/>
      <c r="DV116" s="538"/>
      <c r="DW116" s="538"/>
      <c r="DX116" s="538"/>
      <c r="DY116" s="538"/>
      <c r="DZ116" s="538"/>
      <c r="EA116" s="538"/>
      <c r="EB116" s="538"/>
      <c r="EC116" s="538"/>
      <c r="ED116" s="538"/>
      <c r="EE116" s="538"/>
      <c r="EF116" s="538"/>
      <c r="EG116" s="538"/>
      <c r="EH116" s="538"/>
      <c r="EI116" s="538"/>
      <c r="EJ116" s="538"/>
      <c r="EK116" s="538"/>
      <c r="EL116" s="538"/>
      <c r="EM116" s="538"/>
      <c r="EN116" s="538"/>
      <c r="EO116" s="538"/>
      <c r="EP116" s="538"/>
      <c r="EQ116" s="538"/>
      <c r="ER116" s="538"/>
      <c r="ES116" s="538"/>
      <c r="ET116" s="538"/>
      <c r="EU116" s="538"/>
      <c r="EV116" s="538"/>
      <c r="EW116" s="538"/>
      <c r="EX116" s="559"/>
      <c r="EY116" s="559"/>
      <c r="EZ116" s="559"/>
      <c r="FA116" s="559"/>
      <c r="FB116" s="559"/>
      <c r="FC116" s="559"/>
      <c r="FD116" s="559"/>
      <c r="FE116" s="559"/>
      <c r="FF116" s="559"/>
      <c r="FG116" s="559"/>
      <c r="FH116" s="559"/>
      <c r="FI116" s="559"/>
      <c r="FJ116" s="559"/>
      <c r="FK116" s="559"/>
      <c r="FL116" s="559"/>
      <c r="FM116" s="559"/>
      <c r="FN116" s="559"/>
      <c r="FO116" s="559"/>
      <c r="FP116" s="559"/>
      <c r="FQ116" s="559"/>
      <c r="FR116" s="559"/>
      <c r="FS116" s="559"/>
      <c r="FT116" s="559"/>
      <c r="FU116" s="559"/>
      <c r="FV116" s="559"/>
      <c r="FW116" s="559"/>
      <c r="FX116" s="559"/>
      <c r="FY116" s="559"/>
      <c r="FZ116" s="559"/>
      <c r="GA116" s="559"/>
      <c r="GB116" s="559"/>
      <c r="GC116" s="559"/>
      <c r="GD116" s="559"/>
      <c r="GE116" s="559"/>
      <c r="GF116" s="559"/>
      <c r="GG116" s="559"/>
      <c r="GH116" s="559"/>
    </row>
    <row r="117">
      <c r="A117" s="538"/>
      <c r="B117" s="156"/>
      <c r="C117" s="444"/>
      <c r="D117" s="614"/>
      <c r="E117" s="66"/>
      <c r="F117" s="642"/>
      <c r="G117" s="642"/>
      <c r="H117" s="615"/>
      <c r="I117" s="616" t="s">
        <v>365</v>
      </c>
      <c r="J117" s="624"/>
      <c r="K117" s="643"/>
      <c r="L117" s="640"/>
      <c r="M117" s="625"/>
      <c r="N117" s="617"/>
      <c r="O117" s="134"/>
      <c r="P117" s="57"/>
      <c r="Q117" s="57"/>
      <c r="S117" s="605"/>
      <c r="U117" s="573"/>
      <c r="V117" s="574"/>
      <c r="W117" s="618"/>
      <c r="X117" s="576">
        <v>0.0</v>
      </c>
      <c r="Y117" s="630">
        <v>0.0</v>
      </c>
      <c r="Z117" s="630" t="s">
        <v>365</v>
      </c>
      <c r="AA117" s="631" t="b">
        <v>0</v>
      </c>
      <c r="AB117" s="631"/>
      <c r="AC117" s="576"/>
      <c r="AD117" s="479">
        <v>0.0</v>
      </c>
      <c r="AE117" s="632"/>
      <c r="AF117" s="582" t="s">
        <v>365</v>
      </c>
      <c r="AG117" s="583"/>
      <c r="AH117" s="584"/>
      <c r="AI117" s="583"/>
      <c r="AJ117" s="585"/>
      <c r="AK117" s="583"/>
      <c r="AL117" s="584"/>
      <c r="AM117" s="583"/>
      <c r="AN117" s="585"/>
      <c r="AO117" s="583"/>
      <c r="AP117" s="584"/>
      <c r="AQ117" s="583"/>
      <c r="AR117" s="585"/>
      <c r="AS117" s="583"/>
      <c r="AT117" s="584"/>
      <c r="AU117" s="583"/>
      <c r="AV117" s="585"/>
      <c r="AW117" s="583"/>
      <c r="AX117" s="584"/>
      <c r="AY117" s="583"/>
      <c r="AZ117" s="585"/>
      <c r="BA117" s="583"/>
      <c r="BB117" s="584"/>
      <c r="BC117" s="583"/>
      <c r="BD117" s="585"/>
      <c r="BE117" s="583"/>
      <c r="BF117" s="584"/>
      <c r="BG117" s="583"/>
      <c r="BH117" s="585"/>
      <c r="BI117" s="583"/>
      <c r="BJ117" s="584"/>
      <c r="BK117" s="583"/>
      <c r="BL117" s="585"/>
      <c r="BM117" s="583"/>
      <c r="BN117" s="584"/>
      <c r="BO117" s="583"/>
      <c r="BP117" s="585"/>
      <c r="BQ117" s="583"/>
      <c r="BR117" s="584"/>
      <c r="BS117" s="583"/>
      <c r="BT117" s="586"/>
      <c r="BU117" s="540"/>
      <c r="BV117" s="540"/>
      <c r="BW117" s="540"/>
      <c r="BX117" s="538"/>
      <c r="BY117" s="538"/>
      <c r="BZ117" s="592"/>
      <c r="CA117" s="633"/>
      <c r="CB117" s="592" t="s">
        <v>365</v>
      </c>
      <c r="CC117" s="592">
        <v>0.0</v>
      </c>
      <c r="CD117" s="592" t="s">
        <v>365</v>
      </c>
      <c r="CE117" s="592">
        <v>0.0</v>
      </c>
      <c r="CF117" s="592"/>
      <c r="CG117" s="592">
        <v>0.0</v>
      </c>
      <c r="CH117" s="592"/>
      <c r="CI117" s="633"/>
      <c r="CJ117" s="592">
        <v>0.0</v>
      </c>
      <c r="CK117" s="479" t="s">
        <v>365</v>
      </c>
      <c r="CL117" s="592"/>
      <c r="CM117" s="593"/>
      <c r="CN117" s="538"/>
      <c r="CO117" s="538"/>
      <c r="CP117" s="538"/>
      <c r="CQ117" s="538"/>
      <c r="CR117" s="538"/>
      <c r="CS117" s="538"/>
      <c r="CT117" s="538"/>
      <c r="CU117" s="538"/>
      <c r="CV117" s="538"/>
      <c r="CW117" s="538"/>
      <c r="CX117" s="538"/>
      <c r="CY117" s="538"/>
      <c r="CZ117" s="538"/>
      <c r="DA117" s="538"/>
      <c r="DB117" s="538"/>
      <c r="DC117" s="538"/>
      <c r="DD117" s="538"/>
      <c r="DE117" s="538"/>
      <c r="DF117" s="538"/>
      <c r="DG117" s="538"/>
      <c r="DH117" s="538"/>
      <c r="DI117" s="538"/>
      <c r="DJ117" s="538"/>
      <c r="DK117" s="538"/>
      <c r="DL117" s="538"/>
      <c r="DM117" s="538"/>
      <c r="DN117" s="538"/>
      <c r="DO117" s="538"/>
      <c r="DP117" s="538"/>
      <c r="DQ117" s="538"/>
      <c r="DR117" s="538"/>
      <c r="DS117" s="538"/>
      <c r="DT117" s="538"/>
      <c r="DU117" s="538"/>
      <c r="DV117" s="538"/>
      <c r="DW117" s="538"/>
      <c r="DX117" s="538"/>
      <c r="DY117" s="538"/>
      <c r="DZ117" s="538"/>
      <c r="EA117" s="538"/>
      <c r="EB117" s="538"/>
      <c r="EC117" s="538"/>
      <c r="ED117" s="538"/>
      <c r="EE117" s="538"/>
      <c r="EF117" s="538"/>
      <c r="EG117" s="538"/>
      <c r="EH117" s="538"/>
      <c r="EI117" s="538"/>
      <c r="EJ117" s="538"/>
      <c r="EK117" s="538"/>
      <c r="EL117" s="538"/>
      <c r="EM117" s="538"/>
      <c r="EN117" s="538"/>
      <c r="EO117" s="538"/>
      <c r="EP117" s="538"/>
      <c r="EQ117" s="538"/>
      <c r="ER117" s="538"/>
      <c r="ES117" s="538"/>
      <c r="ET117" s="538"/>
      <c r="EU117" s="538"/>
      <c r="EV117" s="538"/>
      <c r="EW117" s="538"/>
      <c r="EX117" s="559"/>
      <c r="EY117" s="559"/>
      <c r="EZ117" s="559"/>
      <c r="FA117" s="559"/>
      <c r="FB117" s="559"/>
      <c r="FC117" s="559"/>
      <c r="FD117" s="559"/>
      <c r="FE117" s="559"/>
      <c r="FF117" s="559"/>
      <c r="FG117" s="559"/>
      <c r="FH117" s="559"/>
      <c r="FI117" s="559"/>
      <c r="FJ117" s="559"/>
      <c r="FK117" s="559"/>
      <c r="FL117" s="559"/>
      <c r="FM117" s="559"/>
      <c r="FN117" s="559"/>
      <c r="FO117" s="559"/>
      <c r="FP117" s="559"/>
      <c r="FQ117" s="559"/>
      <c r="FR117" s="559"/>
      <c r="FS117" s="559"/>
      <c r="FT117" s="559"/>
      <c r="FU117" s="559"/>
      <c r="FV117" s="559"/>
      <c r="FW117" s="559"/>
      <c r="FX117" s="559"/>
      <c r="FY117" s="559"/>
      <c r="FZ117" s="559"/>
      <c r="GA117" s="559"/>
      <c r="GB117" s="559"/>
      <c r="GC117" s="559"/>
      <c r="GD117" s="559"/>
      <c r="GE117" s="559"/>
      <c r="GF117" s="559"/>
      <c r="GG117" s="559"/>
      <c r="GH117" s="559"/>
    </row>
    <row r="118">
      <c r="A118" s="538"/>
      <c r="B118" s="156"/>
      <c r="C118" s="444"/>
      <c r="D118" s="614"/>
      <c r="E118" s="68"/>
      <c r="F118" s="644"/>
      <c r="G118" s="644"/>
      <c r="H118" s="627"/>
      <c r="I118" s="622" t="s">
        <v>365</v>
      </c>
      <c r="J118" s="607"/>
      <c r="K118" s="641"/>
      <c r="L118" s="628"/>
      <c r="M118" s="626"/>
      <c r="N118" s="619"/>
      <c r="O118" s="560"/>
      <c r="P118" s="47"/>
      <c r="Q118" s="47"/>
      <c r="S118" s="572"/>
      <c r="U118" s="573"/>
      <c r="V118" s="574"/>
      <c r="W118" s="618"/>
      <c r="X118" s="576">
        <v>0.0</v>
      </c>
      <c r="Y118" s="630">
        <v>0.0</v>
      </c>
      <c r="Z118" s="630" t="s">
        <v>365</v>
      </c>
      <c r="AA118" s="631" t="b">
        <v>0</v>
      </c>
      <c r="AB118" s="631"/>
      <c r="AC118" s="576"/>
      <c r="AD118" s="479">
        <v>0.0</v>
      </c>
      <c r="AE118" s="632"/>
      <c r="AF118" s="582" t="s">
        <v>365</v>
      </c>
      <c r="AG118" s="583"/>
      <c r="AH118" s="584"/>
      <c r="AI118" s="583"/>
      <c r="AJ118" s="585"/>
      <c r="AK118" s="583"/>
      <c r="AL118" s="584"/>
      <c r="AM118" s="583"/>
      <c r="AN118" s="585"/>
      <c r="AO118" s="583"/>
      <c r="AP118" s="584"/>
      <c r="AQ118" s="583"/>
      <c r="AR118" s="585"/>
      <c r="AS118" s="583"/>
      <c r="AT118" s="584"/>
      <c r="AU118" s="583"/>
      <c r="AV118" s="585"/>
      <c r="AW118" s="583"/>
      <c r="AX118" s="584"/>
      <c r="AY118" s="583"/>
      <c r="AZ118" s="585"/>
      <c r="BA118" s="583"/>
      <c r="BB118" s="584"/>
      <c r="BC118" s="583"/>
      <c r="BD118" s="585"/>
      <c r="BE118" s="583"/>
      <c r="BF118" s="584"/>
      <c r="BG118" s="583"/>
      <c r="BH118" s="585"/>
      <c r="BI118" s="583"/>
      <c r="BJ118" s="584"/>
      <c r="BK118" s="583"/>
      <c r="BL118" s="585"/>
      <c r="BM118" s="583"/>
      <c r="BN118" s="584"/>
      <c r="BO118" s="583"/>
      <c r="BP118" s="585"/>
      <c r="BQ118" s="583"/>
      <c r="BR118" s="584"/>
      <c r="BS118" s="583"/>
      <c r="BT118" s="586"/>
      <c r="BU118" s="540"/>
      <c r="BV118" s="540"/>
      <c r="BW118" s="540"/>
      <c r="BX118" s="538"/>
      <c r="BY118" s="538"/>
      <c r="BZ118" s="592"/>
      <c r="CA118" s="633"/>
      <c r="CB118" s="592" t="s">
        <v>365</v>
      </c>
      <c r="CC118" s="592">
        <v>0.0</v>
      </c>
      <c r="CD118" s="592" t="s">
        <v>365</v>
      </c>
      <c r="CE118" s="592">
        <v>0.0</v>
      </c>
      <c r="CF118" s="592"/>
      <c r="CG118" s="592">
        <v>0.0</v>
      </c>
      <c r="CH118" s="592"/>
      <c r="CI118" s="633"/>
      <c r="CJ118" s="592">
        <v>0.0</v>
      </c>
      <c r="CK118" s="479" t="s">
        <v>365</v>
      </c>
      <c r="CL118" s="592"/>
      <c r="CM118" s="593"/>
      <c r="CN118" s="538"/>
      <c r="CO118" s="538"/>
      <c r="CP118" s="538"/>
      <c r="CQ118" s="538"/>
      <c r="CR118" s="538"/>
      <c r="CS118" s="538"/>
      <c r="CT118" s="538"/>
      <c r="CU118" s="538"/>
      <c r="CV118" s="538"/>
      <c r="CW118" s="538"/>
      <c r="CX118" s="538"/>
      <c r="CY118" s="538"/>
      <c r="CZ118" s="538"/>
      <c r="DA118" s="538"/>
      <c r="DB118" s="538"/>
      <c r="DC118" s="538"/>
      <c r="DD118" s="538"/>
      <c r="DE118" s="538"/>
      <c r="DF118" s="538"/>
      <c r="DG118" s="538"/>
      <c r="DH118" s="538"/>
      <c r="DI118" s="538"/>
      <c r="DJ118" s="538"/>
      <c r="DK118" s="538"/>
      <c r="DL118" s="538"/>
      <c r="DM118" s="538"/>
      <c r="DN118" s="538"/>
      <c r="DO118" s="538"/>
      <c r="DP118" s="538"/>
      <c r="DQ118" s="538"/>
      <c r="DR118" s="538"/>
      <c r="DS118" s="538"/>
      <c r="DT118" s="538"/>
      <c r="DU118" s="538"/>
      <c r="DV118" s="538"/>
      <c r="DW118" s="538"/>
      <c r="DX118" s="538"/>
      <c r="DY118" s="538"/>
      <c r="DZ118" s="538"/>
      <c r="EA118" s="538"/>
      <c r="EB118" s="538"/>
      <c r="EC118" s="538"/>
      <c r="ED118" s="538"/>
      <c r="EE118" s="538"/>
      <c r="EF118" s="538"/>
      <c r="EG118" s="538"/>
      <c r="EH118" s="538"/>
      <c r="EI118" s="538"/>
      <c r="EJ118" s="538"/>
      <c r="EK118" s="538"/>
      <c r="EL118" s="538"/>
      <c r="EM118" s="538"/>
      <c r="EN118" s="538"/>
      <c r="EO118" s="538"/>
      <c r="EP118" s="538"/>
      <c r="EQ118" s="538"/>
      <c r="ER118" s="538"/>
      <c r="ES118" s="538"/>
      <c r="ET118" s="538"/>
      <c r="EU118" s="538"/>
      <c r="EV118" s="538"/>
      <c r="EW118" s="538"/>
      <c r="EX118" s="559"/>
      <c r="EY118" s="559"/>
      <c r="EZ118" s="559"/>
      <c r="FA118" s="559"/>
      <c r="FB118" s="559"/>
      <c r="FC118" s="559"/>
      <c r="FD118" s="559"/>
      <c r="FE118" s="559"/>
      <c r="FF118" s="559"/>
      <c r="FG118" s="559"/>
      <c r="FH118" s="559"/>
      <c r="FI118" s="559"/>
      <c r="FJ118" s="559"/>
      <c r="FK118" s="559"/>
      <c r="FL118" s="559"/>
      <c r="FM118" s="559"/>
      <c r="FN118" s="559"/>
      <c r="FO118" s="559"/>
      <c r="FP118" s="559"/>
      <c r="FQ118" s="559"/>
      <c r="FR118" s="559"/>
      <c r="FS118" s="559"/>
      <c r="FT118" s="559"/>
      <c r="FU118" s="559"/>
      <c r="FV118" s="559"/>
      <c r="FW118" s="559"/>
      <c r="FX118" s="559"/>
      <c r="FY118" s="559"/>
      <c r="FZ118" s="559"/>
      <c r="GA118" s="559"/>
      <c r="GB118" s="559"/>
      <c r="GC118" s="559"/>
      <c r="GD118" s="559"/>
      <c r="GE118" s="559"/>
      <c r="GF118" s="559"/>
      <c r="GG118" s="559"/>
      <c r="GH118" s="559"/>
    </row>
    <row r="119">
      <c r="A119" s="538"/>
      <c r="B119" s="156"/>
      <c r="C119" s="444"/>
      <c r="D119" s="614"/>
      <c r="E119" s="66"/>
      <c r="F119" s="642"/>
      <c r="G119" s="642"/>
      <c r="H119" s="615"/>
      <c r="I119" s="616" t="s">
        <v>365</v>
      </c>
      <c r="J119" s="624"/>
      <c r="K119" s="643"/>
      <c r="L119" s="640"/>
      <c r="M119" s="625"/>
      <c r="N119" s="617"/>
      <c r="O119" s="134"/>
      <c r="P119" s="57"/>
      <c r="Q119" s="57"/>
      <c r="S119" s="605"/>
      <c r="U119" s="573"/>
      <c r="V119" s="574"/>
      <c r="W119" s="618"/>
      <c r="X119" s="576">
        <v>0.0</v>
      </c>
      <c r="Y119" s="630">
        <v>0.0</v>
      </c>
      <c r="Z119" s="630" t="s">
        <v>365</v>
      </c>
      <c r="AA119" s="631" t="b">
        <v>0</v>
      </c>
      <c r="AB119" s="631"/>
      <c r="AC119" s="576"/>
      <c r="AD119" s="479">
        <v>0.0</v>
      </c>
      <c r="AE119" s="632"/>
      <c r="AF119" s="582" t="s">
        <v>365</v>
      </c>
      <c r="AG119" s="583"/>
      <c r="AH119" s="584"/>
      <c r="AI119" s="583"/>
      <c r="AJ119" s="585"/>
      <c r="AK119" s="583"/>
      <c r="AL119" s="584"/>
      <c r="AM119" s="583"/>
      <c r="AN119" s="585"/>
      <c r="AO119" s="583"/>
      <c r="AP119" s="584"/>
      <c r="AQ119" s="583"/>
      <c r="AR119" s="585"/>
      <c r="AS119" s="583"/>
      <c r="AT119" s="584"/>
      <c r="AU119" s="583"/>
      <c r="AV119" s="585"/>
      <c r="AW119" s="583"/>
      <c r="AX119" s="584"/>
      <c r="AY119" s="583"/>
      <c r="AZ119" s="585"/>
      <c r="BA119" s="583"/>
      <c r="BB119" s="584"/>
      <c r="BC119" s="583"/>
      <c r="BD119" s="585"/>
      <c r="BE119" s="583"/>
      <c r="BF119" s="584"/>
      <c r="BG119" s="583"/>
      <c r="BH119" s="585"/>
      <c r="BI119" s="583"/>
      <c r="BJ119" s="584"/>
      <c r="BK119" s="583"/>
      <c r="BL119" s="585"/>
      <c r="BM119" s="583"/>
      <c r="BN119" s="584"/>
      <c r="BO119" s="583"/>
      <c r="BP119" s="585"/>
      <c r="BQ119" s="583"/>
      <c r="BR119" s="584"/>
      <c r="BS119" s="583"/>
      <c r="BT119" s="586"/>
      <c r="BU119" s="540"/>
      <c r="BV119" s="540"/>
      <c r="BW119" s="540"/>
      <c r="BX119" s="538"/>
      <c r="BY119" s="538"/>
      <c r="BZ119" s="592"/>
      <c r="CA119" s="633"/>
      <c r="CB119" s="592" t="s">
        <v>365</v>
      </c>
      <c r="CC119" s="592">
        <v>0.0</v>
      </c>
      <c r="CD119" s="592" t="s">
        <v>365</v>
      </c>
      <c r="CE119" s="592">
        <v>0.0</v>
      </c>
      <c r="CF119" s="592"/>
      <c r="CG119" s="592">
        <v>0.0</v>
      </c>
      <c r="CH119" s="592"/>
      <c r="CI119" s="633"/>
      <c r="CJ119" s="592">
        <v>0.0</v>
      </c>
      <c r="CK119" s="479" t="s">
        <v>365</v>
      </c>
      <c r="CL119" s="592"/>
      <c r="CM119" s="593"/>
      <c r="CN119" s="538"/>
      <c r="CO119" s="538"/>
      <c r="CP119" s="538"/>
      <c r="CQ119" s="538"/>
      <c r="CR119" s="538"/>
      <c r="CS119" s="538"/>
      <c r="CT119" s="538"/>
      <c r="CU119" s="538"/>
      <c r="CV119" s="538"/>
      <c r="CW119" s="538"/>
      <c r="CX119" s="538"/>
      <c r="CY119" s="538"/>
      <c r="CZ119" s="538"/>
      <c r="DA119" s="538"/>
      <c r="DB119" s="538"/>
      <c r="DC119" s="538"/>
      <c r="DD119" s="538"/>
      <c r="DE119" s="538"/>
      <c r="DF119" s="538"/>
      <c r="DG119" s="538"/>
      <c r="DH119" s="538"/>
      <c r="DI119" s="538"/>
      <c r="DJ119" s="538"/>
      <c r="DK119" s="538"/>
      <c r="DL119" s="538"/>
      <c r="DM119" s="538"/>
      <c r="DN119" s="538"/>
      <c r="DO119" s="538"/>
      <c r="DP119" s="538"/>
      <c r="DQ119" s="538"/>
      <c r="DR119" s="538"/>
      <c r="DS119" s="538"/>
      <c r="DT119" s="538"/>
      <c r="DU119" s="538"/>
      <c r="DV119" s="538"/>
      <c r="DW119" s="538"/>
      <c r="DX119" s="538"/>
      <c r="DY119" s="538"/>
      <c r="DZ119" s="538"/>
      <c r="EA119" s="538"/>
      <c r="EB119" s="538"/>
      <c r="EC119" s="538"/>
      <c r="ED119" s="538"/>
      <c r="EE119" s="538"/>
      <c r="EF119" s="538"/>
      <c r="EG119" s="538"/>
      <c r="EH119" s="538"/>
      <c r="EI119" s="538"/>
      <c r="EJ119" s="538"/>
      <c r="EK119" s="538"/>
      <c r="EL119" s="538"/>
      <c r="EM119" s="538"/>
      <c r="EN119" s="538"/>
      <c r="EO119" s="538"/>
      <c r="EP119" s="538"/>
      <c r="EQ119" s="538"/>
      <c r="ER119" s="538"/>
      <c r="ES119" s="538"/>
      <c r="ET119" s="538"/>
      <c r="EU119" s="538"/>
      <c r="EV119" s="538"/>
      <c r="EW119" s="538"/>
      <c r="EX119" s="559"/>
      <c r="EY119" s="559"/>
      <c r="EZ119" s="559"/>
      <c r="FA119" s="559"/>
      <c r="FB119" s="559"/>
      <c r="FC119" s="559"/>
      <c r="FD119" s="559"/>
      <c r="FE119" s="559"/>
      <c r="FF119" s="559"/>
      <c r="FG119" s="559"/>
      <c r="FH119" s="559"/>
      <c r="FI119" s="559"/>
      <c r="FJ119" s="559"/>
      <c r="FK119" s="559"/>
      <c r="FL119" s="559"/>
      <c r="FM119" s="559"/>
      <c r="FN119" s="559"/>
      <c r="FO119" s="559"/>
      <c r="FP119" s="559"/>
      <c r="FQ119" s="559"/>
      <c r="FR119" s="559"/>
      <c r="FS119" s="559"/>
      <c r="FT119" s="559"/>
      <c r="FU119" s="559"/>
      <c r="FV119" s="559"/>
      <c r="FW119" s="559"/>
      <c r="FX119" s="559"/>
      <c r="FY119" s="559"/>
      <c r="FZ119" s="559"/>
      <c r="GA119" s="559"/>
      <c r="GB119" s="559"/>
      <c r="GC119" s="559"/>
      <c r="GD119" s="559"/>
      <c r="GE119" s="559"/>
      <c r="GF119" s="559"/>
      <c r="GG119" s="559"/>
      <c r="GH119" s="559"/>
    </row>
    <row r="120">
      <c r="A120" s="538"/>
      <c r="B120" s="156"/>
      <c r="C120" s="444"/>
      <c r="D120" s="614"/>
      <c r="E120" s="68"/>
      <c r="F120" s="644"/>
      <c r="G120" s="644"/>
      <c r="H120" s="627"/>
      <c r="I120" s="622" t="s">
        <v>365</v>
      </c>
      <c r="J120" s="607"/>
      <c r="K120" s="641"/>
      <c r="L120" s="628"/>
      <c r="M120" s="626"/>
      <c r="N120" s="619"/>
      <c r="O120" s="560"/>
      <c r="P120" s="47"/>
      <c r="Q120" s="47"/>
      <c r="S120" s="572"/>
      <c r="U120" s="573"/>
      <c r="V120" s="574"/>
      <c r="W120" s="618"/>
      <c r="X120" s="576">
        <v>0.0</v>
      </c>
      <c r="Y120" s="630">
        <v>0.0</v>
      </c>
      <c r="Z120" s="630" t="s">
        <v>365</v>
      </c>
      <c r="AA120" s="631" t="b">
        <v>0</v>
      </c>
      <c r="AB120" s="631"/>
      <c r="AC120" s="576"/>
      <c r="AD120" s="479">
        <v>0.0</v>
      </c>
      <c r="AE120" s="632"/>
      <c r="AF120" s="582" t="s">
        <v>365</v>
      </c>
      <c r="AG120" s="583"/>
      <c r="AH120" s="584"/>
      <c r="AI120" s="583"/>
      <c r="AJ120" s="585"/>
      <c r="AK120" s="583"/>
      <c r="AL120" s="584"/>
      <c r="AM120" s="583"/>
      <c r="AN120" s="585"/>
      <c r="AO120" s="583"/>
      <c r="AP120" s="584"/>
      <c r="AQ120" s="583"/>
      <c r="AR120" s="585"/>
      <c r="AS120" s="583"/>
      <c r="AT120" s="584"/>
      <c r="AU120" s="583"/>
      <c r="AV120" s="585"/>
      <c r="AW120" s="583"/>
      <c r="AX120" s="584"/>
      <c r="AY120" s="583"/>
      <c r="AZ120" s="585"/>
      <c r="BA120" s="583"/>
      <c r="BB120" s="584"/>
      <c r="BC120" s="583"/>
      <c r="BD120" s="585"/>
      <c r="BE120" s="583"/>
      <c r="BF120" s="584"/>
      <c r="BG120" s="583"/>
      <c r="BH120" s="585"/>
      <c r="BI120" s="583"/>
      <c r="BJ120" s="584"/>
      <c r="BK120" s="583"/>
      <c r="BL120" s="585"/>
      <c r="BM120" s="583"/>
      <c r="BN120" s="584"/>
      <c r="BO120" s="583"/>
      <c r="BP120" s="585"/>
      <c r="BQ120" s="583"/>
      <c r="BR120" s="584"/>
      <c r="BS120" s="583"/>
      <c r="BT120" s="586"/>
      <c r="BU120" s="540"/>
      <c r="BV120" s="540"/>
      <c r="BW120" s="540"/>
      <c r="BX120" s="538"/>
      <c r="BY120" s="538"/>
      <c r="BZ120" s="592"/>
      <c r="CA120" s="633"/>
      <c r="CB120" s="592" t="s">
        <v>365</v>
      </c>
      <c r="CC120" s="592">
        <v>0.0</v>
      </c>
      <c r="CD120" s="592" t="s">
        <v>365</v>
      </c>
      <c r="CE120" s="592">
        <v>0.0</v>
      </c>
      <c r="CF120" s="592"/>
      <c r="CG120" s="592">
        <v>0.0</v>
      </c>
      <c r="CH120" s="592"/>
      <c r="CI120" s="633"/>
      <c r="CJ120" s="592">
        <v>0.0</v>
      </c>
      <c r="CK120" s="479" t="s">
        <v>365</v>
      </c>
      <c r="CL120" s="592"/>
      <c r="CM120" s="593"/>
      <c r="CN120" s="538"/>
      <c r="CO120" s="538"/>
      <c r="CP120" s="538"/>
      <c r="CQ120" s="538"/>
      <c r="CR120" s="538"/>
      <c r="CS120" s="538"/>
      <c r="CT120" s="538"/>
      <c r="CU120" s="538"/>
      <c r="CV120" s="538"/>
      <c r="CW120" s="538"/>
      <c r="CX120" s="538"/>
      <c r="CY120" s="538"/>
      <c r="CZ120" s="538"/>
      <c r="DA120" s="538"/>
      <c r="DB120" s="538"/>
      <c r="DC120" s="538"/>
      <c r="DD120" s="538"/>
      <c r="DE120" s="538"/>
      <c r="DF120" s="538"/>
      <c r="DG120" s="538"/>
      <c r="DH120" s="538"/>
      <c r="DI120" s="538"/>
      <c r="DJ120" s="538"/>
      <c r="DK120" s="538"/>
      <c r="DL120" s="538"/>
      <c r="DM120" s="538"/>
      <c r="DN120" s="538"/>
      <c r="DO120" s="538"/>
      <c r="DP120" s="538"/>
      <c r="DQ120" s="538"/>
      <c r="DR120" s="538"/>
      <c r="DS120" s="538"/>
      <c r="DT120" s="538"/>
      <c r="DU120" s="538"/>
      <c r="DV120" s="538"/>
      <c r="DW120" s="538"/>
      <c r="DX120" s="538"/>
      <c r="DY120" s="538"/>
      <c r="DZ120" s="538"/>
      <c r="EA120" s="538"/>
      <c r="EB120" s="538"/>
      <c r="EC120" s="538"/>
      <c r="ED120" s="538"/>
      <c r="EE120" s="538"/>
      <c r="EF120" s="538"/>
      <c r="EG120" s="538"/>
      <c r="EH120" s="538"/>
      <c r="EI120" s="538"/>
      <c r="EJ120" s="538"/>
      <c r="EK120" s="538"/>
      <c r="EL120" s="538"/>
      <c r="EM120" s="538"/>
      <c r="EN120" s="538"/>
      <c r="EO120" s="538"/>
      <c r="EP120" s="538"/>
      <c r="EQ120" s="538"/>
      <c r="ER120" s="538"/>
      <c r="ES120" s="538"/>
      <c r="ET120" s="538"/>
      <c r="EU120" s="538"/>
      <c r="EV120" s="538"/>
      <c r="EW120" s="538"/>
      <c r="EX120" s="559"/>
      <c r="EY120" s="559"/>
      <c r="EZ120" s="559"/>
      <c r="FA120" s="559"/>
      <c r="FB120" s="559"/>
      <c r="FC120" s="559"/>
      <c r="FD120" s="559"/>
      <c r="FE120" s="559"/>
      <c r="FF120" s="559"/>
      <c r="FG120" s="559"/>
      <c r="FH120" s="559"/>
      <c r="FI120" s="559"/>
      <c r="FJ120" s="559"/>
      <c r="FK120" s="559"/>
      <c r="FL120" s="559"/>
      <c r="FM120" s="559"/>
      <c r="FN120" s="559"/>
      <c r="FO120" s="559"/>
      <c r="FP120" s="559"/>
      <c r="FQ120" s="559"/>
      <c r="FR120" s="559"/>
      <c r="FS120" s="559"/>
      <c r="FT120" s="559"/>
      <c r="FU120" s="559"/>
      <c r="FV120" s="559"/>
      <c r="FW120" s="559"/>
      <c r="FX120" s="559"/>
      <c r="FY120" s="559"/>
      <c r="FZ120" s="559"/>
      <c r="GA120" s="559"/>
      <c r="GB120" s="559"/>
      <c r="GC120" s="559"/>
      <c r="GD120" s="559"/>
      <c r="GE120" s="559"/>
      <c r="GF120" s="559"/>
      <c r="GG120" s="559"/>
      <c r="GH120" s="559"/>
    </row>
    <row r="121">
      <c r="A121" s="538"/>
      <c r="B121" s="156"/>
      <c r="C121" s="444"/>
      <c r="D121" s="614"/>
      <c r="E121" s="66"/>
      <c r="F121" s="642"/>
      <c r="G121" s="642"/>
      <c r="H121" s="615"/>
      <c r="I121" s="616" t="s">
        <v>365</v>
      </c>
      <c r="J121" s="624"/>
      <c r="K121" s="643"/>
      <c r="L121" s="640"/>
      <c r="M121" s="625"/>
      <c r="N121" s="617"/>
      <c r="O121" s="134"/>
      <c r="P121" s="57"/>
      <c r="Q121" s="57"/>
      <c r="S121" s="605"/>
      <c r="U121" s="573"/>
      <c r="V121" s="574"/>
      <c r="W121" s="618"/>
      <c r="X121" s="576">
        <v>0.0</v>
      </c>
      <c r="Y121" s="630">
        <v>0.0</v>
      </c>
      <c r="Z121" s="630" t="s">
        <v>365</v>
      </c>
      <c r="AA121" s="631" t="b">
        <v>0</v>
      </c>
      <c r="AB121" s="631"/>
      <c r="AC121" s="576"/>
      <c r="AD121" s="479">
        <v>0.0</v>
      </c>
      <c r="AE121" s="632"/>
      <c r="AF121" s="582" t="s">
        <v>365</v>
      </c>
      <c r="AG121" s="583"/>
      <c r="AH121" s="584"/>
      <c r="AI121" s="583"/>
      <c r="AJ121" s="585"/>
      <c r="AK121" s="583"/>
      <c r="AL121" s="584"/>
      <c r="AM121" s="583"/>
      <c r="AN121" s="585"/>
      <c r="AO121" s="583"/>
      <c r="AP121" s="584"/>
      <c r="AQ121" s="583"/>
      <c r="AR121" s="585"/>
      <c r="AS121" s="583"/>
      <c r="AT121" s="584"/>
      <c r="AU121" s="583"/>
      <c r="AV121" s="585"/>
      <c r="AW121" s="583"/>
      <c r="AX121" s="584"/>
      <c r="AY121" s="583"/>
      <c r="AZ121" s="585"/>
      <c r="BA121" s="583"/>
      <c r="BB121" s="584"/>
      <c r="BC121" s="583"/>
      <c r="BD121" s="585"/>
      <c r="BE121" s="583"/>
      <c r="BF121" s="584"/>
      <c r="BG121" s="583"/>
      <c r="BH121" s="585"/>
      <c r="BI121" s="583"/>
      <c r="BJ121" s="584"/>
      <c r="BK121" s="583"/>
      <c r="BL121" s="585"/>
      <c r="BM121" s="583"/>
      <c r="BN121" s="584"/>
      <c r="BO121" s="583"/>
      <c r="BP121" s="585"/>
      <c r="BQ121" s="583"/>
      <c r="BR121" s="584"/>
      <c r="BS121" s="583"/>
      <c r="BT121" s="586"/>
      <c r="BU121" s="540"/>
      <c r="BV121" s="540"/>
      <c r="BW121" s="540"/>
      <c r="BX121" s="538"/>
      <c r="BY121" s="538"/>
      <c r="BZ121" s="592"/>
      <c r="CA121" s="633"/>
      <c r="CB121" s="592" t="s">
        <v>365</v>
      </c>
      <c r="CC121" s="592">
        <v>0.0</v>
      </c>
      <c r="CD121" s="592" t="s">
        <v>365</v>
      </c>
      <c r="CE121" s="592">
        <v>0.0</v>
      </c>
      <c r="CF121" s="592"/>
      <c r="CG121" s="592">
        <v>0.0</v>
      </c>
      <c r="CH121" s="592"/>
      <c r="CI121" s="633"/>
      <c r="CJ121" s="592">
        <v>0.0</v>
      </c>
      <c r="CK121" s="479" t="s">
        <v>365</v>
      </c>
      <c r="CL121" s="592"/>
      <c r="CM121" s="593"/>
      <c r="CN121" s="538"/>
      <c r="CO121" s="538"/>
      <c r="CP121" s="538"/>
      <c r="CQ121" s="538"/>
      <c r="CR121" s="538"/>
      <c r="CS121" s="538"/>
      <c r="CT121" s="538"/>
      <c r="CU121" s="538"/>
      <c r="CV121" s="538"/>
      <c r="CW121" s="538"/>
      <c r="CX121" s="538"/>
      <c r="CY121" s="538"/>
      <c r="CZ121" s="538"/>
      <c r="DA121" s="538"/>
      <c r="DB121" s="538"/>
      <c r="DC121" s="538"/>
      <c r="DD121" s="538"/>
      <c r="DE121" s="538"/>
      <c r="DF121" s="538"/>
      <c r="DG121" s="538"/>
      <c r="DH121" s="538"/>
      <c r="DI121" s="538"/>
      <c r="DJ121" s="538"/>
      <c r="DK121" s="538"/>
      <c r="DL121" s="538"/>
      <c r="DM121" s="538"/>
      <c r="DN121" s="538"/>
      <c r="DO121" s="538"/>
      <c r="DP121" s="538"/>
      <c r="DQ121" s="538"/>
      <c r="DR121" s="538"/>
      <c r="DS121" s="538"/>
      <c r="DT121" s="538"/>
      <c r="DU121" s="538"/>
      <c r="DV121" s="538"/>
      <c r="DW121" s="538"/>
      <c r="DX121" s="538"/>
      <c r="DY121" s="538"/>
      <c r="DZ121" s="538"/>
      <c r="EA121" s="538"/>
      <c r="EB121" s="538"/>
      <c r="EC121" s="538"/>
      <c r="ED121" s="538"/>
      <c r="EE121" s="538"/>
      <c r="EF121" s="538"/>
      <c r="EG121" s="538"/>
      <c r="EH121" s="538"/>
      <c r="EI121" s="538"/>
      <c r="EJ121" s="538"/>
      <c r="EK121" s="538"/>
      <c r="EL121" s="538"/>
      <c r="EM121" s="538"/>
      <c r="EN121" s="538"/>
      <c r="EO121" s="538"/>
      <c r="EP121" s="538"/>
      <c r="EQ121" s="538"/>
      <c r="ER121" s="538"/>
      <c r="ES121" s="538"/>
      <c r="ET121" s="538"/>
      <c r="EU121" s="538"/>
      <c r="EV121" s="538"/>
      <c r="EW121" s="538"/>
      <c r="EX121" s="559"/>
      <c r="EY121" s="559"/>
      <c r="EZ121" s="559"/>
      <c r="FA121" s="559"/>
      <c r="FB121" s="559"/>
      <c r="FC121" s="559"/>
      <c r="FD121" s="559"/>
      <c r="FE121" s="559"/>
      <c r="FF121" s="559"/>
      <c r="FG121" s="559"/>
      <c r="FH121" s="559"/>
      <c r="FI121" s="559"/>
      <c r="FJ121" s="559"/>
      <c r="FK121" s="559"/>
      <c r="FL121" s="559"/>
      <c r="FM121" s="559"/>
      <c r="FN121" s="559"/>
      <c r="FO121" s="559"/>
      <c r="FP121" s="559"/>
      <c r="FQ121" s="559"/>
      <c r="FR121" s="559"/>
      <c r="FS121" s="559"/>
      <c r="FT121" s="559"/>
      <c r="FU121" s="559"/>
      <c r="FV121" s="559"/>
      <c r="FW121" s="559"/>
      <c r="FX121" s="559"/>
      <c r="FY121" s="559"/>
      <c r="FZ121" s="559"/>
      <c r="GA121" s="559"/>
      <c r="GB121" s="559"/>
      <c r="GC121" s="559"/>
      <c r="GD121" s="559"/>
      <c r="GE121" s="559"/>
      <c r="GF121" s="559"/>
      <c r="GG121" s="559"/>
      <c r="GH121" s="559"/>
    </row>
    <row r="122">
      <c r="A122" s="538"/>
      <c r="B122" s="156"/>
      <c r="C122" s="444"/>
      <c r="D122" s="614"/>
      <c r="E122" s="68"/>
      <c r="F122" s="644"/>
      <c r="G122" s="644"/>
      <c r="H122" s="627"/>
      <c r="I122" s="622" t="s">
        <v>365</v>
      </c>
      <c r="J122" s="607"/>
      <c r="K122" s="641"/>
      <c r="L122" s="628"/>
      <c r="M122" s="626"/>
      <c r="N122" s="619"/>
      <c r="O122" s="560"/>
      <c r="P122" s="47"/>
      <c r="Q122" s="47"/>
      <c r="S122" s="572"/>
      <c r="U122" s="573"/>
      <c r="V122" s="574"/>
      <c r="W122" s="618"/>
      <c r="X122" s="576">
        <v>0.0</v>
      </c>
      <c r="Y122" s="630">
        <v>0.0</v>
      </c>
      <c r="Z122" s="630" t="s">
        <v>365</v>
      </c>
      <c r="AA122" s="631" t="b">
        <v>0</v>
      </c>
      <c r="AB122" s="631"/>
      <c r="AC122" s="576"/>
      <c r="AD122" s="479">
        <v>0.0</v>
      </c>
      <c r="AE122" s="632"/>
      <c r="AF122" s="582" t="s">
        <v>365</v>
      </c>
      <c r="AG122" s="583"/>
      <c r="AH122" s="584"/>
      <c r="AI122" s="583"/>
      <c r="AJ122" s="585"/>
      <c r="AK122" s="583"/>
      <c r="AL122" s="584"/>
      <c r="AM122" s="583"/>
      <c r="AN122" s="585"/>
      <c r="AO122" s="583"/>
      <c r="AP122" s="584"/>
      <c r="AQ122" s="583"/>
      <c r="AR122" s="585"/>
      <c r="AS122" s="583"/>
      <c r="AT122" s="584"/>
      <c r="AU122" s="583"/>
      <c r="AV122" s="585"/>
      <c r="AW122" s="583"/>
      <c r="AX122" s="584"/>
      <c r="AY122" s="583"/>
      <c r="AZ122" s="585"/>
      <c r="BA122" s="583"/>
      <c r="BB122" s="584"/>
      <c r="BC122" s="583"/>
      <c r="BD122" s="585"/>
      <c r="BE122" s="583"/>
      <c r="BF122" s="584"/>
      <c r="BG122" s="583"/>
      <c r="BH122" s="585"/>
      <c r="BI122" s="583"/>
      <c r="BJ122" s="584"/>
      <c r="BK122" s="583"/>
      <c r="BL122" s="585"/>
      <c r="BM122" s="583"/>
      <c r="BN122" s="584"/>
      <c r="BO122" s="583"/>
      <c r="BP122" s="585"/>
      <c r="BQ122" s="583"/>
      <c r="BR122" s="584"/>
      <c r="BS122" s="583"/>
      <c r="BT122" s="586"/>
      <c r="BU122" s="540"/>
      <c r="BV122" s="540"/>
      <c r="BW122" s="540"/>
      <c r="BX122" s="538"/>
      <c r="BY122" s="538"/>
      <c r="BZ122" s="592"/>
      <c r="CA122" s="633"/>
      <c r="CB122" s="592" t="s">
        <v>365</v>
      </c>
      <c r="CC122" s="592">
        <v>0.0</v>
      </c>
      <c r="CD122" s="592" t="s">
        <v>365</v>
      </c>
      <c r="CE122" s="592">
        <v>0.0</v>
      </c>
      <c r="CF122" s="592"/>
      <c r="CG122" s="592">
        <v>0.0</v>
      </c>
      <c r="CH122" s="592"/>
      <c r="CI122" s="633"/>
      <c r="CJ122" s="592">
        <v>0.0</v>
      </c>
      <c r="CK122" s="479" t="s">
        <v>365</v>
      </c>
      <c r="CL122" s="592"/>
      <c r="CM122" s="593"/>
      <c r="CN122" s="538"/>
      <c r="CO122" s="538"/>
      <c r="CP122" s="538"/>
      <c r="CQ122" s="538"/>
      <c r="CR122" s="538"/>
      <c r="CS122" s="538"/>
      <c r="CT122" s="538"/>
      <c r="CU122" s="538"/>
      <c r="CV122" s="538"/>
      <c r="CW122" s="538"/>
      <c r="CX122" s="538"/>
      <c r="CY122" s="538"/>
      <c r="CZ122" s="538"/>
      <c r="DA122" s="538"/>
      <c r="DB122" s="538"/>
      <c r="DC122" s="538"/>
      <c r="DD122" s="538"/>
      <c r="DE122" s="538"/>
      <c r="DF122" s="538"/>
      <c r="DG122" s="538"/>
      <c r="DH122" s="538"/>
      <c r="DI122" s="538"/>
      <c r="DJ122" s="538"/>
      <c r="DK122" s="538"/>
      <c r="DL122" s="538"/>
      <c r="DM122" s="538"/>
      <c r="DN122" s="538"/>
      <c r="DO122" s="538"/>
      <c r="DP122" s="538"/>
      <c r="DQ122" s="538"/>
      <c r="DR122" s="538"/>
      <c r="DS122" s="538"/>
      <c r="DT122" s="538"/>
      <c r="DU122" s="538"/>
      <c r="DV122" s="538"/>
      <c r="DW122" s="538"/>
      <c r="DX122" s="538"/>
      <c r="DY122" s="538"/>
      <c r="DZ122" s="538"/>
      <c r="EA122" s="538"/>
      <c r="EB122" s="538"/>
      <c r="EC122" s="538"/>
      <c r="ED122" s="538"/>
      <c r="EE122" s="538"/>
      <c r="EF122" s="538"/>
      <c r="EG122" s="538"/>
      <c r="EH122" s="538"/>
      <c r="EI122" s="538"/>
      <c r="EJ122" s="538"/>
      <c r="EK122" s="538"/>
      <c r="EL122" s="538"/>
      <c r="EM122" s="538"/>
      <c r="EN122" s="538"/>
      <c r="EO122" s="538"/>
      <c r="EP122" s="538"/>
      <c r="EQ122" s="538"/>
      <c r="ER122" s="538"/>
      <c r="ES122" s="538"/>
      <c r="ET122" s="538"/>
      <c r="EU122" s="538"/>
      <c r="EV122" s="538"/>
      <c r="EW122" s="538"/>
      <c r="EX122" s="559"/>
      <c r="EY122" s="559"/>
      <c r="EZ122" s="559"/>
      <c r="FA122" s="559"/>
      <c r="FB122" s="559"/>
      <c r="FC122" s="559"/>
      <c r="FD122" s="559"/>
      <c r="FE122" s="559"/>
      <c r="FF122" s="559"/>
      <c r="FG122" s="559"/>
      <c r="FH122" s="559"/>
      <c r="FI122" s="559"/>
      <c r="FJ122" s="559"/>
      <c r="FK122" s="559"/>
      <c r="FL122" s="559"/>
      <c r="FM122" s="559"/>
      <c r="FN122" s="559"/>
      <c r="FO122" s="559"/>
      <c r="FP122" s="559"/>
      <c r="FQ122" s="559"/>
      <c r="FR122" s="559"/>
      <c r="FS122" s="559"/>
      <c r="FT122" s="559"/>
      <c r="FU122" s="559"/>
      <c r="FV122" s="559"/>
      <c r="FW122" s="559"/>
      <c r="FX122" s="559"/>
      <c r="FY122" s="559"/>
      <c r="FZ122" s="559"/>
      <c r="GA122" s="559"/>
      <c r="GB122" s="559"/>
      <c r="GC122" s="559"/>
      <c r="GD122" s="559"/>
      <c r="GE122" s="559"/>
      <c r="GF122" s="559"/>
      <c r="GG122" s="559"/>
      <c r="GH122" s="559"/>
    </row>
    <row r="123">
      <c r="A123" s="538"/>
      <c r="B123" s="156"/>
      <c r="C123" s="444"/>
      <c r="D123" s="614"/>
      <c r="E123" s="66"/>
      <c r="F123" s="642"/>
      <c r="G123" s="642"/>
      <c r="H123" s="615"/>
      <c r="I123" s="616" t="s">
        <v>365</v>
      </c>
      <c r="J123" s="624"/>
      <c r="K123" s="643"/>
      <c r="L123" s="640"/>
      <c r="M123" s="625"/>
      <c r="N123" s="617"/>
      <c r="O123" s="134"/>
      <c r="P123" s="57"/>
      <c r="Q123" s="57"/>
      <c r="S123" s="605"/>
      <c r="U123" s="573"/>
      <c r="V123" s="574"/>
      <c r="W123" s="618"/>
      <c r="X123" s="576">
        <v>0.0</v>
      </c>
      <c r="Y123" s="630">
        <v>0.0</v>
      </c>
      <c r="Z123" s="630" t="s">
        <v>365</v>
      </c>
      <c r="AA123" s="631" t="b">
        <v>0</v>
      </c>
      <c r="AB123" s="631"/>
      <c r="AC123" s="576"/>
      <c r="AD123" s="479">
        <v>0.0</v>
      </c>
      <c r="AE123" s="632"/>
      <c r="AF123" s="582" t="s">
        <v>365</v>
      </c>
      <c r="AG123" s="583"/>
      <c r="AH123" s="584"/>
      <c r="AI123" s="583"/>
      <c r="AJ123" s="585"/>
      <c r="AK123" s="583"/>
      <c r="AL123" s="584"/>
      <c r="AM123" s="583"/>
      <c r="AN123" s="585"/>
      <c r="AO123" s="583"/>
      <c r="AP123" s="584"/>
      <c r="AQ123" s="583"/>
      <c r="AR123" s="585"/>
      <c r="AS123" s="583"/>
      <c r="AT123" s="584"/>
      <c r="AU123" s="583"/>
      <c r="AV123" s="585"/>
      <c r="AW123" s="583"/>
      <c r="AX123" s="584"/>
      <c r="AY123" s="583"/>
      <c r="AZ123" s="585"/>
      <c r="BA123" s="583"/>
      <c r="BB123" s="584"/>
      <c r="BC123" s="583"/>
      <c r="BD123" s="585"/>
      <c r="BE123" s="583"/>
      <c r="BF123" s="584"/>
      <c r="BG123" s="583"/>
      <c r="BH123" s="585"/>
      <c r="BI123" s="583"/>
      <c r="BJ123" s="584"/>
      <c r="BK123" s="583"/>
      <c r="BL123" s="585"/>
      <c r="BM123" s="583"/>
      <c r="BN123" s="584"/>
      <c r="BO123" s="583"/>
      <c r="BP123" s="585"/>
      <c r="BQ123" s="583"/>
      <c r="BR123" s="584"/>
      <c r="BS123" s="583"/>
      <c r="BT123" s="586"/>
      <c r="BU123" s="540"/>
      <c r="BV123" s="540"/>
      <c r="BW123" s="540"/>
      <c r="BX123" s="538"/>
      <c r="BY123" s="538"/>
      <c r="BZ123" s="592"/>
      <c r="CA123" s="633"/>
      <c r="CB123" s="592" t="s">
        <v>365</v>
      </c>
      <c r="CC123" s="592">
        <v>0.0</v>
      </c>
      <c r="CD123" s="592" t="s">
        <v>365</v>
      </c>
      <c r="CE123" s="592">
        <v>0.0</v>
      </c>
      <c r="CF123" s="592"/>
      <c r="CG123" s="592">
        <v>0.0</v>
      </c>
      <c r="CH123" s="592"/>
      <c r="CI123" s="633"/>
      <c r="CJ123" s="592">
        <v>0.0</v>
      </c>
      <c r="CK123" s="479" t="s">
        <v>365</v>
      </c>
      <c r="CL123" s="592"/>
      <c r="CM123" s="593"/>
      <c r="CN123" s="538"/>
      <c r="CO123" s="538"/>
      <c r="CP123" s="538"/>
      <c r="CQ123" s="538"/>
      <c r="CR123" s="538"/>
      <c r="CS123" s="538"/>
      <c r="CT123" s="538"/>
      <c r="CU123" s="538"/>
      <c r="CV123" s="538"/>
      <c r="CW123" s="538"/>
      <c r="CX123" s="538"/>
      <c r="CY123" s="538"/>
      <c r="CZ123" s="538"/>
      <c r="DA123" s="538"/>
      <c r="DB123" s="538"/>
      <c r="DC123" s="538"/>
      <c r="DD123" s="538"/>
      <c r="DE123" s="538"/>
      <c r="DF123" s="538"/>
      <c r="DG123" s="538"/>
      <c r="DH123" s="538"/>
      <c r="DI123" s="538"/>
      <c r="DJ123" s="538"/>
      <c r="DK123" s="538"/>
      <c r="DL123" s="538"/>
      <c r="DM123" s="538"/>
      <c r="DN123" s="538"/>
      <c r="DO123" s="538"/>
      <c r="DP123" s="538"/>
      <c r="DQ123" s="538"/>
      <c r="DR123" s="538"/>
      <c r="DS123" s="538"/>
      <c r="DT123" s="538"/>
      <c r="DU123" s="538"/>
      <c r="DV123" s="538"/>
      <c r="DW123" s="538"/>
      <c r="DX123" s="538"/>
      <c r="DY123" s="538"/>
      <c r="DZ123" s="538"/>
      <c r="EA123" s="538"/>
      <c r="EB123" s="538"/>
      <c r="EC123" s="538"/>
      <c r="ED123" s="538"/>
      <c r="EE123" s="538"/>
      <c r="EF123" s="538"/>
      <c r="EG123" s="538"/>
      <c r="EH123" s="538"/>
      <c r="EI123" s="538"/>
      <c r="EJ123" s="538"/>
      <c r="EK123" s="538"/>
      <c r="EL123" s="538"/>
      <c r="EM123" s="538"/>
      <c r="EN123" s="538"/>
      <c r="EO123" s="538"/>
      <c r="EP123" s="538"/>
      <c r="EQ123" s="538"/>
      <c r="ER123" s="538"/>
      <c r="ES123" s="538"/>
      <c r="ET123" s="538"/>
      <c r="EU123" s="538"/>
      <c r="EV123" s="538"/>
      <c r="EW123" s="538"/>
      <c r="EX123" s="559"/>
      <c r="EY123" s="559"/>
      <c r="EZ123" s="559"/>
      <c r="FA123" s="559"/>
      <c r="FB123" s="559"/>
      <c r="FC123" s="559"/>
      <c r="FD123" s="559"/>
      <c r="FE123" s="559"/>
      <c r="FF123" s="559"/>
      <c r="FG123" s="559"/>
      <c r="FH123" s="559"/>
      <c r="FI123" s="559"/>
      <c r="FJ123" s="559"/>
      <c r="FK123" s="559"/>
      <c r="FL123" s="559"/>
      <c r="FM123" s="559"/>
      <c r="FN123" s="559"/>
      <c r="FO123" s="559"/>
      <c r="FP123" s="559"/>
      <c r="FQ123" s="559"/>
      <c r="FR123" s="559"/>
      <c r="FS123" s="559"/>
      <c r="FT123" s="559"/>
      <c r="FU123" s="559"/>
      <c r="FV123" s="559"/>
      <c r="FW123" s="559"/>
      <c r="FX123" s="559"/>
      <c r="FY123" s="559"/>
      <c r="FZ123" s="559"/>
      <c r="GA123" s="559"/>
      <c r="GB123" s="559"/>
      <c r="GC123" s="559"/>
      <c r="GD123" s="559"/>
      <c r="GE123" s="559"/>
      <c r="GF123" s="559"/>
      <c r="GG123" s="559"/>
      <c r="GH123" s="559"/>
    </row>
    <row r="124">
      <c r="A124" s="538"/>
      <c r="B124" s="156"/>
      <c r="C124" s="444"/>
      <c r="D124" s="614"/>
      <c r="E124" s="68"/>
      <c r="F124" s="644"/>
      <c r="G124" s="644"/>
      <c r="H124" s="627"/>
      <c r="I124" s="622" t="s">
        <v>365</v>
      </c>
      <c r="J124" s="607"/>
      <c r="K124" s="641"/>
      <c r="L124" s="628"/>
      <c r="M124" s="626"/>
      <c r="N124" s="619"/>
      <c r="O124" s="560"/>
      <c r="P124" s="47"/>
      <c r="Q124" s="47"/>
      <c r="S124" s="572"/>
      <c r="U124" s="573"/>
      <c r="V124" s="574"/>
      <c r="W124" s="618"/>
      <c r="X124" s="576">
        <v>0.0</v>
      </c>
      <c r="Y124" s="630">
        <v>0.0</v>
      </c>
      <c r="Z124" s="630" t="s">
        <v>365</v>
      </c>
      <c r="AA124" s="631" t="b">
        <v>0</v>
      </c>
      <c r="AB124" s="631"/>
      <c r="AC124" s="576"/>
      <c r="AD124" s="479">
        <v>0.0</v>
      </c>
      <c r="AE124" s="632"/>
      <c r="AF124" s="582" t="s">
        <v>365</v>
      </c>
      <c r="AG124" s="583"/>
      <c r="AH124" s="584"/>
      <c r="AI124" s="583"/>
      <c r="AJ124" s="585"/>
      <c r="AK124" s="583"/>
      <c r="AL124" s="584"/>
      <c r="AM124" s="583"/>
      <c r="AN124" s="585"/>
      <c r="AO124" s="583"/>
      <c r="AP124" s="584"/>
      <c r="AQ124" s="583"/>
      <c r="AR124" s="585"/>
      <c r="AS124" s="583"/>
      <c r="AT124" s="584"/>
      <c r="AU124" s="583"/>
      <c r="AV124" s="585"/>
      <c r="AW124" s="583"/>
      <c r="AX124" s="584"/>
      <c r="AY124" s="583"/>
      <c r="AZ124" s="585"/>
      <c r="BA124" s="583"/>
      <c r="BB124" s="584"/>
      <c r="BC124" s="583"/>
      <c r="BD124" s="585"/>
      <c r="BE124" s="583"/>
      <c r="BF124" s="584"/>
      <c r="BG124" s="583"/>
      <c r="BH124" s="585"/>
      <c r="BI124" s="583"/>
      <c r="BJ124" s="584"/>
      <c r="BK124" s="583"/>
      <c r="BL124" s="585"/>
      <c r="BM124" s="583"/>
      <c r="BN124" s="584"/>
      <c r="BO124" s="583"/>
      <c r="BP124" s="585"/>
      <c r="BQ124" s="583"/>
      <c r="BR124" s="584"/>
      <c r="BS124" s="583"/>
      <c r="BT124" s="586"/>
      <c r="BU124" s="540"/>
      <c r="BV124" s="540"/>
      <c r="BW124" s="540"/>
      <c r="BX124" s="538"/>
      <c r="BY124" s="538"/>
      <c r="BZ124" s="592"/>
      <c r="CA124" s="633"/>
      <c r="CB124" s="592" t="s">
        <v>365</v>
      </c>
      <c r="CC124" s="592">
        <v>0.0</v>
      </c>
      <c r="CD124" s="592" t="s">
        <v>365</v>
      </c>
      <c r="CE124" s="592">
        <v>0.0</v>
      </c>
      <c r="CF124" s="592"/>
      <c r="CG124" s="592">
        <v>0.0</v>
      </c>
      <c r="CH124" s="592"/>
      <c r="CI124" s="633"/>
      <c r="CJ124" s="592">
        <v>0.0</v>
      </c>
      <c r="CK124" s="479" t="s">
        <v>365</v>
      </c>
      <c r="CL124" s="592"/>
      <c r="CM124" s="593"/>
      <c r="CN124" s="538"/>
      <c r="CO124" s="538"/>
      <c r="CP124" s="538"/>
      <c r="CQ124" s="538"/>
      <c r="CR124" s="538"/>
      <c r="CS124" s="538"/>
      <c r="CT124" s="538"/>
      <c r="CU124" s="538"/>
      <c r="CV124" s="538"/>
      <c r="CW124" s="538"/>
      <c r="CX124" s="538"/>
      <c r="CY124" s="538"/>
      <c r="CZ124" s="538"/>
      <c r="DA124" s="538"/>
      <c r="DB124" s="538"/>
      <c r="DC124" s="538"/>
      <c r="DD124" s="538"/>
      <c r="DE124" s="538"/>
      <c r="DF124" s="538"/>
      <c r="DG124" s="538"/>
      <c r="DH124" s="538"/>
      <c r="DI124" s="538"/>
      <c r="DJ124" s="538"/>
      <c r="DK124" s="538"/>
      <c r="DL124" s="538"/>
      <c r="DM124" s="538"/>
      <c r="DN124" s="538"/>
      <c r="DO124" s="538"/>
      <c r="DP124" s="538"/>
      <c r="DQ124" s="538"/>
      <c r="DR124" s="538"/>
      <c r="DS124" s="538"/>
      <c r="DT124" s="538"/>
      <c r="DU124" s="538"/>
      <c r="DV124" s="538"/>
      <c r="DW124" s="538"/>
      <c r="DX124" s="538"/>
      <c r="DY124" s="538"/>
      <c r="DZ124" s="538"/>
      <c r="EA124" s="538"/>
      <c r="EB124" s="538"/>
      <c r="EC124" s="538"/>
      <c r="ED124" s="538"/>
      <c r="EE124" s="538"/>
      <c r="EF124" s="538"/>
      <c r="EG124" s="538"/>
      <c r="EH124" s="538"/>
      <c r="EI124" s="538"/>
      <c r="EJ124" s="538"/>
      <c r="EK124" s="538"/>
      <c r="EL124" s="538"/>
      <c r="EM124" s="538"/>
      <c r="EN124" s="538"/>
      <c r="EO124" s="538"/>
      <c r="EP124" s="538"/>
      <c r="EQ124" s="538"/>
      <c r="ER124" s="538"/>
      <c r="ES124" s="538"/>
      <c r="ET124" s="538"/>
      <c r="EU124" s="538"/>
      <c r="EV124" s="538"/>
      <c r="EW124" s="538"/>
      <c r="EX124" s="559"/>
      <c r="EY124" s="559"/>
      <c r="EZ124" s="559"/>
      <c r="FA124" s="559"/>
      <c r="FB124" s="559"/>
      <c r="FC124" s="559"/>
      <c r="FD124" s="559"/>
      <c r="FE124" s="559"/>
      <c r="FF124" s="559"/>
      <c r="FG124" s="559"/>
      <c r="FH124" s="559"/>
      <c r="FI124" s="559"/>
      <c r="FJ124" s="559"/>
      <c r="FK124" s="559"/>
      <c r="FL124" s="559"/>
      <c r="FM124" s="559"/>
      <c r="FN124" s="559"/>
      <c r="FO124" s="559"/>
      <c r="FP124" s="559"/>
      <c r="FQ124" s="559"/>
      <c r="FR124" s="559"/>
      <c r="FS124" s="559"/>
      <c r="FT124" s="559"/>
      <c r="FU124" s="559"/>
      <c r="FV124" s="559"/>
      <c r="FW124" s="559"/>
      <c r="FX124" s="559"/>
      <c r="FY124" s="559"/>
      <c r="FZ124" s="559"/>
      <c r="GA124" s="559"/>
      <c r="GB124" s="559"/>
      <c r="GC124" s="559"/>
      <c r="GD124" s="559"/>
      <c r="GE124" s="559"/>
      <c r="GF124" s="559"/>
      <c r="GG124" s="559"/>
      <c r="GH124" s="559"/>
    </row>
    <row r="125">
      <c r="A125" s="538"/>
      <c r="B125" s="156"/>
      <c r="C125" s="444"/>
      <c r="D125" s="614"/>
      <c r="E125" s="66"/>
      <c r="F125" s="642"/>
      <c r="G125" s="642"/>
      <c r="H125" s="615"/>
      <c r="I125" s="616" t="s">
        <v>365</v>
      </c>
      <c r="J125" s="624"/>
      <c r="K125" s="643"/>
      <c r="L125" s="640"/>
      <c r="M125" s="625"/>
      <c r="N125" s="617"/>
      <c r="O125" s="134"/>
      <c r="P125" s="57"/>
      <c r="Q125" s="57"/>
      <c r="S125" s="605"/>
      <c r="U125" s="573"/>
      <c r="V125" s="574"/>
      <c r="W125" s="618"/>
      <c r="X125" s="576">
        <v>0.0</v>
      </c>
      <c r="Y125" s="630">
        <v>0.0</v>
      </c>
      <c r="Z125" s="630" t="s">
        <v>365</v>
      </c>
      <c r="AA125" s="631" t="b">
        <v>0</v>
      </c>
      <c r="AB125" s="631"/>
      <c r="AC125" s="576"/>
      <c r="AD125" s="479">
        <v>0.0</v>
      </c>
      <c r="AE125" s="632"/>
      <c r="AF125" s="582" t="s">
        <v>365</v>
      </c>
      <c r="AG125" s="583"/>
      <c r="AH125" s="584"/>
      <c r="AI125" s="583"/>
      <c r="AJ125" s="585"/>
      <c r="AK125" s="583"/>
      <c r="AL125" s="584"/>
      <c r="AM125" s="583"/>
      <c r="AN125" s="585"/>
      <c r="AO125" s="583"/>
      <c r="AP125" s="584"/>
      <c r="AQ125" s="583"/>
      <c r="AR125" s="585"/>
      <c r="AS125" s="583"/>
      <c r="AT125" s="584"/>
      <c r="AU125" s="583"/>
      <c r="AV125" s="585"/>
      <c r="AW125" s="583"/>
      <c r="AX125" s="584"/>
      <c r="AY125" s="583"/>
      <c r="AZ125" s="585"/>
      <c r="BA125" s="583"/>
      <c r="BB125" s="584"/>
      <c r="BC125" s="583"/>
      <c r="BD125" s="585"/>
      <c r="BE125" s="583"/>
      <c r="BF125" s="584"/>
      <c r="BG125" s="583"/>
      <c r="BH125" s="585"/>
      <c r="BI125" s="583"/>
      <c r="BJ125" s="584"/>
      <c r="BK125" s="583"/>
      <c r="BL125" s="585"/>
      <c r="BM125" s="583"/>
      <c r="BN125" s="584"/>
      <c r="BO125" s="583"/>
      <c r="BP125" s="585"/>
      <c r="BQ125" s="583"/>
      <c r="BR125" s="584"/>
      <c r="BS125" s="583"/>
      <c r="BT125" s="586"/>
      <c r="BU125" s="540"/>
      <c r="BV125" s="540"/>
      <c r="BW125" s="540"/>
      <c r="BX125" s="538"/>
      <c r="BY125" s="538"/>
      <c r="BZ125" s="592"/>
      <c r="CA125" s="633"/>
      <c r="CB125" s="592" t="s">
        <v>365</v>
      </c>
      <c r="CC125" s="592">
        <v>0.0</v>
      </c>
      <c r="CD125" s="592" t="s">
        <v>365</v>
      </c>
      <c r="CE125" s="592">
        <v>0.0</v>
      </c>
      <c r="CF125" s="592"/>
      <c r="CG125" s="592">
        <v>0.0</v>
      </c>
      <c r="CH125" s="592"/>
      <c r="CI125" s="633"/>
      <c r="CJ125" s="592">
        <v>0.0</v>
      </c>
      <c r="CK125" s="479" t="s">
        <v>365</v>
      </c>
      <c r="CL125" s="592"/>
      <c r="CM125" s="593"/>
      <c r="CN125" s="538"/>
      <c r="CO125" s="538"/>
      <c r="CP125" s="538"/>
      <c r="CQ125" s="538"/>
      <c r="CR125" s="538"/>
      <c r="CS125" s="538"/>
      <c r="CT125" s="538"/>
      <c r="CU125" s="538"/>
      <c r="CV125" s="538"/>
      <c r="CW125" s="538"/>
      <c r="CX125" s="538"/>
      <c r="CY125" s="538"/>
      <c r="CZ125" s="538"/>
      <c r="DA125" s="538"/>
      <c r="DB125" s="538"/>
      <c r="DC125" s="538"/>
      <c r="DD125" s="538"/>
      <c r="DE125" s="538"/>
      <c r="DF125" s="538"/>
      <c r="DG125" s="538"/>
      <c r="DH125" s="538"/>
      <c r="DI125" s="538"/>
      <c r="DJ125" s="538"/>
      <c r="DK125" s="538"/>
      <c r="DL125" s="538"/>
      <c r="DM125" s="538"/>
      <c r="DN125" s="538"/>
      <c r="DO125" s="538"/>
      <c r="DP125" s="538"/>
      <c r="DQ125" s="538"/>
      <c r="DR125" s="538"/>
      <c r="DS125" s="538"/>
      <c r="DT125" s="538"/>
      <c r="DU125" s="538"/>
      <c r="DV125" s="538"/>
      <c r="DW125" s="538"/>
      <c r="DX125" s="538"/>
      <c r="DY125" s="538"/>
      <c r="DZ125" s="538"/>
      <c r="EA125" s="538"/>
      <c r="EB125" s="538"/>
      <c r="EC125" s="538"/>
      <c r="ED125" s="538"/>
      <c r="EE125" s="538"/>
      <c r="EF125" s="538"/>
      <c r="EG125" s="538"/>
      <c r="EH125" s="538"/>
      <c r="EI125" s="538"/>
      <c r="EJ125" s="538"/>
      <c r="EK125" s="538"/>
      <c r="EL125" s="538"/>
      <c r="EM125" s="538"/>
      <c r="EN125" s="538"/>
      <c r="EO125" s="538"/>
      <c r="EP125" s="538"/>
      <c r="EQ125" s="538"/>
      <c r="ER125" s="538"/>
      <c r="ES125" s="538"/>
      <c r="ET125" s="538"/>
      <c r="EU125" s="538"/>
      <c r="EV125" s="538"/>
      <c r="EW125" s="538"/>
      <c r="EX125" s="559"/>
      <c r="EY125" s="559"/>
      <c r="EZ125" s="559"/>
      <c r="FA125" s="559"/>
      <c r="FB125" s="559"/>
      <c r="FC125" s="559"/>
      <c r="FD125" s="559"/>
      <c r="FE125" s="559"/>
      <c r="FF125" s="559"/>
      <c r="FG125" s="559"/>
      <c r="FH125" s="559"/>
      <c r="FI125" s="559"/>
      <c r="FJ125" s="559"/>
      <c r="FK125" s="559"/>
      <c r="FL125" s="559"/>
      <c r="FM125" s="559"/>
      <c r="FN125" s="559"/>
      <c r="FO125" s="559"/>
      <c r="FP125" s="559"/>
      <c r="FQ125" s="559"/>
      <c r="FR125" s="559"/>
      <c r="FS125" s="559"/>
      <c r="FT125" s="559"/>
      <c r="FU125" s="559"/>
      <c r="FV125" s="559"/>
      <c r="FW125" s="559"/>
      <c r="FX125" s="559"/>
      <c r="FY125" s="559"/>
      <c r="FZ125" s="559"/>
      <c r="GA125" s="559"/>
      <c r="GB125" s="559"/>
      <c r="GC125" s="559"/>
      <c r="GD125" s="559"/>
      <c r="GE125" s="559"/>
      <c r="GF125" s="559"/>
      <c r="GG125" s="559"/>
      <c r="GH125" s="559"/>
    </row>
    <row r="126">
      <c r="A126" s="538"/>
      <c r="B126" s="156"/>
      <c r="C126" s="444"/>
      <c r="D126" s="614"/>
      <c r="E126" s="68"/>
      <c r="F126" s="644"/>
      <c r="G126" s="644"/>
      <c r="H126" s="627"/>
      <c r="I126" s="622" t="s">
        <v>365</v>
      </c>
      <c r="J126" s="607"/>
      <c r="K126" s="641"/>
      <c r="L126" s="628"/>
      <c r="M126" s="626"/>
      <c r="N126" s="619"/>
      <c r="O126" s="560"/>
      <c r="P126" s="47"/>
      <c r="Q126" s="47"/>
      <c r="S126" s="572"/>
      <c r="U126" s="573"/>
      <c r="V126" s="574"/>
      <c r="W126" s="618"/>
      <c r="X126" s="576">
        <v>0.0</v>
      </c>
      <c r="Y126" s="630">
        <v>0.0</v>
      </c>
      <c r="Z126" s="630" t="s">
        <v>365</v>
      </c>
      <c r="AA126" s="631" t="b">
        <v>0</v>
      </c>
      <c r="AB126" s="631"/>
      <c r="AC126" s="576"/>
      <c r="AD126" s="479">
        <v>0.0</v>
      </c>
      <c r="AE126" s="632"/>
      <c r="AF126" s="582" t="s">
        <v>365</v>
      </c>
      <c r="AG126" s="583"/>
      <c r="AH126" s="584"/>
      <c r="AI126" s="583"/>
      <c r="AJ126" s="585"/>
      <c r="AK126" s="583"/>
      <c r="AL126" s="584"/>
      <c r="AM126" s="583"/>
      <c r="AN126" s="585"/>
      <c r="AO126" s="583"/>
      <c r="AP126" s="584"/>
      <c r="AQ126" s="583"/>
      <c r="AR126" s="585"/>
      <c r="AS126" s="583"/>
      <c r="AT126" s="584"/>
      <c r="AU126" s="583"/>
      <c r="AV126" s="585"/>
      <c r="AW126" s="583"/>
      <c r="AX126" s="584"/>
      <c r="AY126" s="583"/>
      <c r="AZ126" s="585"/>
      <c r="BA126" s="583"/>
      <c r="BB126" s="584"/>
      <c r="BC126" s="583"/>
      <c r="BD126" s="585"/>
      <c r="BE126" s="583"/>
      <c r="BF126" s="584"/>
      <c r="BG126" s="583"/>
      <c r="BH126" s="585"/>
      <c r="BI126" s="583"/>
      <c r="BJ126" s="584"/>
      <c r="BK126" s="583"/>
      <c r="BL126" s="585"/>
      <c r="BM126" s="583"/>
      <c r="BN126" s="584"/>
      <c r="BO126" s="583"/>
      <c r="BP126" s="585"/>
      <c r="BQ126" s="583"/>
      <c r="BR126" s="584"/>
      <c r="BS126" s="583"/>
      <c r="BT126" s="586"/>
      <c r="BU126" s="540"/>
      <c r="BV126" s="540"/>
      <c r="BW126" s="540"/>
      <c r="BX126" s="538"/>
      <c r="BY126" s="538"/>
      <c r="BZ126" s="592"/>
      <c r="CA126" s="633"/>
      <c r="CB126" s="592" t="s">
        <v>365</v>
      </c>
      <c r="CC126" s="592">
        <v>0.0</v>
      </c>
      <c r="CD126" s="592" t="s">
        <v>365</v>
      </c>
      <c r="CE126" s="592">
        <v>0.0</v>
      </c>
      <c r="CF126" s="592"/>
      <c r="CG126" s="592">
        <v>0.0</v>
      </c>
      <c r="CH126" s="592"/>
      <c r="CI126" s="633"/>
      <c r="CJ126" s="592">
        <v>0.0</v>
      </c>
      <c r="CK126" s="479" t="s">
        <v>365</v>
      </c>
      <c r="CL126" s="592"/>
      <c r="CM126" s="593"/>
      <c r="CN126" s="538"/>
      <c r="CO126" s="538"/>
      <c r="CP126" s="538"/>
      <c r="CQ126" s="538"/>
      <c r="CR126" s="538"/>
      <c r="CS126" s="538"/>
      <c r="CT126" s="538"/>
      <c r="CU126" s="538"/>
      <c r="CV126" s="538"/>
      <c r="CW126" s="538"/>
      <c r="CX126" s="538"/>
      <c r="CY126" s="538"/>
      <c r="CZ126" s="538"/>
      <c r="DA126" s="538"/>
      <c r="DB126" s="538"/>
      <c r="DC126" s="538"/>
      <c r="DD126" s="538"/>
      <c r="DE126" s="538"/>
      <c r="DF126" s="538"/>
      <c r="DG126" s="538"/>
      <c r="DH126" s="538"/>
      <c r="DI126" s="538"/>
      <c r="DJ126" s="538"/>
      <c r="DK126" s="538"/>
      <c r="DL126" s="538"/>
      <c r="DM126" s="538"/>
      <c r="DN126" s="538"/>
      <c r="DO126" s="538"/>
      <c r="DP126" s="538"/>
      <c r="DQ126" s="538"/>
      <c r="DR126" s="538"/>
      <c r="DS126" s="538"/>
      <c r="DT126" s="538"/>
      <c r="DU126" s="538"/>
      <c r="DV126" s="538"/>
      <c r="DW126" s="538"/>
      <c r="DX126" s="538"/>
      <c r="DY126" s="538"/>
      <c r="DZ126" s="538"/>
      <c r="EA126" s="538"/>
      <c r="EB126" s="538"/>
      <c r="EC126" s="538"/>
      <c r="ED126" s="538"/>
      <c r="EE126" s="538"/>
      <c r="EF126" s="538"/>
      <c r="EG126" s="538"/>
      <c r="EH126" s="538"/>
      <c r="EI126" s="538"/>
      <c r="EJ126" s="538"/>
      <c r="EK126" s="538"/>
      <c r="EL126" s="538"/>
      <c r="EM126" s="538"/>
      <c r="EN126" s="538"/>
      <c r="EO126" s="538"/>
      <c r="EP126" s="538"/>
      <c r="EQ126" s="538"/>
      <c r="ER126" s="538"/>
      <c r="ES126" s="538"/>
      <c r="ET126" s="538"/>
      <c r="EU126" s="538"/>
      <c r="EV126" s="538"/>
      <c r="EW126" s="538"/>
      <c r="EX126" s="559"/>
      <c r="EY126" s="559"/>
      <c r="EZ126" s="559"/>
      <c r="FA126" s="559"/>
      <c r="FB126" s="559"/>
      <c r="FC126" s="559"/>
      <c r="FD126" s="559"/>
      <c r="FE126" s="559"/>
      <c r="FF126" s="559"/>
      <c r="FG126" s="559"/>
      <c r="FH126" s="559"/>
      <c r="FI126" s="559"/>
      <c r="FJ126" s="559"/>
      <c r="FK126" s="559"/>
      <c r="FL126" s="559"/>
      <c r="FM126" s="559"/>
      <c r="FN126" s="559"/>
      <c r="FO126" s="559"/>
      <c r="FP126" s="559"/>
      <c r="FQ126" s="559"/>
      <c r="FR126" s="559"/>
      <c r="FS126" s="559"/>
      <c r="FT126" s="559"/>
      <c r="FU126" s="559"/>
      <c r="FV126" s="559"/>
      <c r="FW126" s="559"/>
      <c r="FX126" s="559"/>
      <c r="FY126" s="559"/>
      <c r="FZ126" s="559"/>
      <c r="GA126" s="559"/>
      <c r="GB126" s="559"/>
      <c r="GC126" s="559"/>
      <c r="GD126" s="559"/>
      <c r="GE126" s="559"/>
      <c r="GF126" s="559"/>
      <c r="GG126" s="559"/>
      <c r="GH126" s="559"/>
    </row>
    <row r="127">
      <c r="A127" s="538"/>
      <c r="B127" s="156"/>
      <c r="C127" s="444"/>
      <c r="D127" s="614"/>
      <c r="E127" s="66"/>
      <c r="F127" s="642"/>
      <c r="G127" s="642"/>
      <c r="H127" s="615"/>
      <c r="I127" s="616" t="s">
        <v>365</v>
      </c>
      <c r="J127" s="624"/>
      <c r="K127" s="643"/>
      <c r="L127" s="640"/>
      <c r="M127" s="625"/>
      <c r="N127" s="617"/>
      <c r="O127" s="134"/>
      <c r="P127" s="57"/>
      <c r="Q127" s="57"/>
      <c r="S127" s="605"/>
      <c r="U127" s="573"/>
      <c r="V127" s="574"/>
      <c r="W127" s="618"/>
      <c r="X127" s="576">
        <v>0.0</v>
      </c>
      <c r="Y127" s="630">
        <v>0.0</v>
      </c>
      <c r="Z127" s="630" t="s">
        <v>365</v>
      </c>
      <c r="AA127" s="631" t="b">
        <v>0</v>
      </c>
      <c r="AB127" s="631"/>
      <c r="AC127" s="576"/>
      <c r="AD127" s="479">
        <v>0.0</v>
      </c>
      <c r="AE127" s="632"/>
      <c r="AF127" s="582" t="s">
        <v>365</v>
      </c>
      <c r="AG127" s="583"/>
      <c r="AH127" s="584"/>
      <c r="AI127" s="583"/>
      <c r="AJ127" s="585"/>
      <c r="AK127" s="583"/>
      <c r="AL127" s="584"/>
      <c r="AM127" s="583"/>
      <c r="AN127" s="585"/>
      <c r="AO127" s="583"/>
      <c r="AP127" s="584"/>
      <c r="AQ127" s="583"/>
      <c r="AR127" s="585"/>
      <c r="AS127" s="583"/>
      <c r="AT127" s="584"/>
      <c r="AU127" s="583"/>
      <c r="AV127" s="585"/>
      <c r="AW127" s="583"/>
      <c r="AX127" s="584"/>
      <c r="AY127" s="583"/>
      <c r="AZ127" s="585"/>
      <c r="BA127" s="583"/>
      <c r="BB127" s="584"/>
      <c r="BC127" s="583"/>
      <c r="BD127" s="585"/>
      <c r="BE127" s="583"/>
      <c r="BF127" s="584"/>
      <c r="BG127" s="583"/>
      <c r="BH127" s="585"/>
      <c r="BI127" s="583"/>
      <c r="BJ127" s="584"/>
      <c r="BK127" s="583"/>
      <c r="BL127" s="585"/>
      <c r="BM127" s="583"/>
      <c r="BN127" s="584"/>
      <c r="BO127" s="583"/>
      <c r="BP127" s="585"/>
      <c r="BQ127" s="583"/>
      <c r="BR127" s="584"/>
      <c r="BS127" s="583"/>
      <c r="BT127" s="586"/>
      <c r="BU127" s="540"/>
      <c r="BV127" s="540"/>
      <c r="BW127" s="540"/>
      <c r="BX127" s="538"/>
      <c r="BY127" s="538"/>
      <c r="BZ127" s="592"/>
      <c r="CA127" s="633"/>
      <c r="CB127" s="592" t="s">
        <v>365</v>
      </c>
      <c r="CC127" s="592">
        <v>0.0</v>
      </c>
      <c r="CD127" s="592" t="s">
        <v>365</v>
      </c>
      <c r="CE127" s="592">
        <v>0.0</v>
      </c>
      <c r="CF127" s="592"/>
      <c r="CG127" s="592">
        <v>0.0</v>
      </c>
      <c r="CH127" s="592"/>
      <c r="CI127" s="633"/>
      <c r="CJ127" s="592">
        <v>0.0</v>
      </c>
      <c r="CK127" s="479" t="s">
        <v>365</v>
      </c>
      <c r="CL127" s="592"/>
      <c r="CM127" s="593"/>
      <c r="CN127" s="538"/>
      <c r="CO127" s="538"/>
      <c r="CP127" s="538"/>
      <c r="CQ127" s="538"/>
      <c r="CR127" s="538"/>
      <c r="CS127" s="538"/>
      <c r="CT127" s="538"/>
      <c r="CU127" s="538"/>
      <c r="CV127" s="538"/>
      <c r="CW127" s="538"/>
      <c r="CX127" s="538"/>
      <c r="CY127" s="538"/>
      <c r="CZ127" s="538"/>
      <c r="DA127" s="538"/>
      <c r="DB127" s="538"/>
      <c r="DC127" s="538"/>
      <c r="DD127" s="538"/>
      <c r="DE127" s="538"/>
      <c r="DF127" s="538"/>
      <c r="DG127" s="538"/>
      <c r="DH127" s="538"/>
      <c r="DI127" s="538"/>
      <c r="DJ127" s="538"/>
      <c r="DK127" s="538"/>
      <c r="DL127" s="538"/>
      <c r="DM127" s="538"/>
      <c r="DN127" s="538"/>
      <c r="DO127" s="538"/>
      <c r="DP127" s="538"/>
      <c r="DQ127" s="538"/>
      <c r="DR127" s="538"/>
      <c r="DS127" s="538"/>
      <c r="DT127" s="538"/>
      <c r="DU127" s="538"/>
      <c r="DV127" s="538"/>
      <c r="DW127" s="538"/>
      <c r="DX127" s="538"/>
      <c r="DY127" s="538"/>
      <c r="DZ127" s="538"/>
      <c r="EA127" s="538"/>
      <c r="EB127" s="538"/>
      <c r="EC127" s="538"/>
      <c r="ED127" s="538"/>
      <c r="EE127" s="538"/>
      <c r="EF127" s="538"/>
      <c r="EG127" s="538"/>
      <c r="EH127" s="538"/>
      <c r="EI127" s="538"/>
      <c r="EJ127" s="538"/>
      <c r="EK127" s="538"/>
      <c r="EL127" s="538"/>
      <c r="EM127" s="538"/>
      <c r="EN127" s="538"/>
      <c r="EO127" s="538"/>
      <c r="EP127" s="538"/>
      <c r="EQ127" s="538"/>
      <c r="ER127" s="538"/>
      <c r="ES127" s="538"/>
      <c r="ET127" s="538"/>
      <c r="EU127" s="538"/>
      <c r="EV127" s="538"/>
      <c r="EW127" s="538"/>
      <c r="EX127" s="559"/>
      <c r="EY127" s="559"/>
      <c r="EZ127" s="559"/>
      <c r="FA127" s="559"/>
      <c r="FB127" s="559"/>
      <c r="FC127" s="559"/>
      <c r="FD127" s="559"/>
      <c r="FE127" s="559"/>
      <c r="FF127" s="559"/>
      <c r="FG127" s="559"/>
      <c r="FH127" s="559"/>
      <c r="FI127" s="559"/>
      <c r="FJ127" s="559"/>
      <c r="FK127" s="559"/>
      <c r="FL127" s="559"/>
      <c r="FM127" s="559"/>
      <c r="FN127" s="559"/>
      <c r="FO127" s="559"/>
      <c r="FP127" s="559"/>
      <c r="FQ127" s="559"/>
      <c r="FR127" s="559"/>
      <c r="FS127" s="559"/>
      <c r="FT127" s="559"/>
      <c r="FU127" s="559"/>
      <c r="FV127" s="559"/>
      <c r="FW127" s="559"/>
      <c r="FX127" s="559"/>
      <c r="FY127" s="559"/>
      <c r="FZ127" s="559"/>
      <c r="GA127" s="559"/>
      <c r="GB127" s="559"/>
      <c r="GC127" s="559"/>
      <c r="GD127" s="559"/>
      <c r="GE127" s="559"/>
      <c r="GF127" s="559"/>
      <c r="GG127" s="559"/>
      <c r="GH127" s="559"/>
    </row>
    <row r="128">
      <c r="A128" s="538"/>
      <c r="B128" s="156"/>
      <c r="C128" s="444"/>
      <c r="D128" s="614"/>
      <c r="E128" s="68"/>
      <c r="F128" s="644"/>
      <c r="G128" s="644"/>
      <c r="H128" s="627"/>
      <c r="I128" s="622" t="s">
        <v>365</v>
      </c>
      <c r="J128" s="607"/>
      <c r="K128" s="641"/>
      <c r="L128" s="628"/>
      <c r="M128" s="626"/>
      <c r="N128" s="619"/>
      <c r="O128" s="560"/>
      <c r="P128" s="47"/>
      <c r="Q128" s="47"/>
      <c r="S128" s="572"/>
      <c r="U128" s="573"/>
      <c r="V128" s="574"/>
      <c r="W128" s="618"/>
      <c r="X128" s="576">
        <v>0.0</v>
      </c>
      <c r="Y128" s="630">
        <v>0.0</v>
      </c>
      <c r="Z128" s="630" t="s">
        <v>365</v>
      </c>
      <c r="AA128" s="631" t="b">
        <v>0</v>
      </c>
      <c r="AB128" s="631"/>
      <c r="AC128" s="576"/>
      <c r="AD128" s="479">
        <v>0.0</v>
      </c>
      <c r="AE128" s="632"/>
      <c r="AF128" s="582" t="s">
        <v>365</v>
      </c>
      <c r="AG128" s="583"/>
      <c r="AH128" s="584"/>
      <c r="AI128" s="583"/>
      <c r="AJ128" s="585"/>
      <c r="AK128" s="583"/>
      <c r="AL128" s="584"/>
      <c r="AM128" s="583"/>
      <c r="AN128" s="585"/>
      <c r="AO128" s="583"/>
      <c r="AP128" s="584"/>
      <c r="AQ128" s="583"/>
      <c r="AR128" s="585"/>
      <c r="AS128" s="583"/>
      <c r="AT128" s="584"/>
      <c r="AU128" s="583"/>
      <c r="AV128" s="585"/>
      <c r="AW128" s="583"/>
      <c r="AX128" s="584"/>
      <c r="AY128" s="583"/>
      <c r="AZ128" s="585"/>
      <c r="BA128" s="583"/>
      <c r="BB128" s="584"/>
      <c r="BC128" s="583"/>
      <c r="BD128" s="585"/>
      <c r="BE128" s="583"/>
      <c r="BF128" s="584"/>
      <c r="BG128" s="583"/>
      <c r="BH128" s="585"/>
      <c r="BI128" s="583"/>
      <c r="BJ128" s="584"/>
      <c r="BK128" s="583"/>
      <c r="BL128" s="585"/>
      <c r="BM128" s="583"/>
      <c r="BN128" s="584"/>
      <c r="BO128" s="583"/>
      <c r="BP128" s="585"/>
      <c r="BQ128" s="583"/>
      <c r="BR128" s="584"/>
      <c r="BS128" s="583"/>
      <c r="BT128" s="586"/>
      <c r="BU128" s="540"/>
      <c r="BV128" s="540"/>
      <c r="BW128" s="540"/>
      <c r="BX128" s="538"/>
      <c r="BY128" s="538"/>
      <c r="BZ128" s="592"/>
      <c r="CA128" s="633"/>
      <c r="CB128" s="592" t="s">
        <v>365</v>
      </c>
      <c r="CC128" s="592">
        <v>0.0</v>
      </c>
      <c r="CD128" s="592" t="s">
        <v>365</v>
      </c>
      <c r="CE128" s="592">
        <v>0.0</v>
      </c>
      <c r="CF128" s="592"/>
      <c r="CG128" s="592">
        <v>0.0</v>
      </c>
      <c r="CH128" s="592"/>
      <c r="CI128" s="633"/>
      <c r="CJ128" s="592">
        <v>0.0</v>
      </c>
      <c r="CK128" s="479" t="s">
        <v>365</v>
      </c>
      <c r="CL128" s="592"/>
      <c r="CM128" s="593"/>
      <c r="CN128" s="538"/>
      <c r="CO128" s="538"/>
      <c r="CP128" s="538"/>
      <c r="CQ128" s="538"/>
      <c r="CR128" s="538"/>
      <c r="CS128" s="538"/>
      <c r="CT128" s="538"/>
      <c r="CU128" s="538"/>
      <c r="CV128" s="538"/>
      <c r="CW128" s="538"/>
      <c r="CX128" s="538"/>
      <c r="CY128" s="538"/>
      <c r="CZ128" s="538"/>
      <c r="DA128" s="538"/>
      <c r="DB128" s="538"/>
      <c r="DC128" s="538"/>
      <c r="DD128" s="538"/>
      <c r="DE128" s="538"/>
      <c r="DF128" s="538"/>
      <c r="DG128" s="538"/>
      <c r="DH128" s="538"/>
      <c r="DI128" s="538"/>
      <c r="DJ128" s="538"/>
      <c r="DK128" s="538"/>
      <c r="DL128" s="538"/>
      <c r="DM128" s="538"/>
      <c r="DN128" s="538"/>
      <c r="DO128" s="538"/>
      <c r="DP128" s="538"/>
      <c r="DQ128" s="538"/>
      <c r="DR128" s="538"/>
      <c r="DS128" s="538"/>
      <c r="DT128" s="538"/>
      <c r="DU128" s="538"/>
      <c r="DV128" s="538"/>
      <c r="DW128" s="538"/>
      <c r="DX128" s="538"/>
      <c r="DY128" s="538"/>
      <c r="DZ128" s="538"/>
      <c r="EA128" s="538"/>
      <c r="EB128" s="538"/>
      <c r="EC128" s="538"/>
      <c r="ED128" s="538"/>
      <c r="EE128" s="538"/>
      <c r="EF128" s="538"/>
      <c r="EG128" s="538"/>
      <c r="EH128" s="538"/>
      <c r="EI128" s="538"/>
      <c r="EJ128" s="538"/>
      <c r="EK128" s="538"/>
      <c r="EL128" s="538"/>
      <c r="EM128" s="538"/>
      <c r="EN128" s="538"/>
      <c r="EO128" s="538"/>
      <c r="EP128" s="538"/>
      <c r="EQ128" s="538"/>
      <c r="ER128" s="538"/>
      <c r="ES128" s="538"/>
      <c r="ET128" s="538"/>
      <c r="EU128" s="538"/>
      <c r="EV128" s="538"/>
      <c r="EW128" s="538"/>
      <c r="EX128" s="559"/>
      <c r="EY128" s="559"/>
      <c r="EZ128" s="559"/>
      <c r="FA128" s="559"/>
      <c r="FB128" s="559"/>
      <c r="FC128" s="559"/>
      <c r="FD128" s="559"/>
      <c r="FE128" s="559"/>
      <c r="FF128" s="559"/>
      <c r="FG128" s="559"/>
      <c r="FH128" s="559"/>
      <c r="FI128" s="559"/>
      <c r="FJ128" s="559"/>
      <c r="FK128" s="559"/>
      <c r="FL128" s="559"/>
      <c r="FM128" s="559"/>
      <c r="FN128" s="559"/>
      <c r="FO128" s="559"/>
      <c r="FP128" s="559"/>
      <c r="FQ128" s="559"/>
      <c r="FR128" s="559"/>
      <c r="FS128" s="559"/>
      <c r="FT128" s="559"/>
      <c r="FU128" s="559"/>
      <c r="FV128" s="559"/>
      <c r="FW128" s="559"/>
      <c r="FX128" s="559"/>
      <c r="FY128" s="559"/>
      <c r="FZ128" s="559"/>
      <c r="GA128" s="559"/>
      <c r="GB128" s="559"/>
      <c r="GC128" s="559"/>
      <c r="GD128" s="559"/>
      <c r="GE128" s="559"/>
      <c r="GF128" s="559"/>
      <c r="GG128" s="559"/>
      <c r="GH128" s="559"/>
    </row>
    <row r="129">
      <c r="A129" s="538"/>
      <c r="B129" s="156"/>
      <c r="C129" s="444"/>
      <c r="D129" s="614"/>
      <c r="E129" s="66"/>
      <c r="F129" s="642"/>
      <c r="G129" s="642"/>
      <c r="H129" s="615"/>
      <c r="I129" s="616" t="s">
        <v>365</v>
      </c>
      <c r="J129" s="624"/>
      <c r="K129" s="643"/>
      <c r="L129" s="640"/>
      <c r="M129" s="625"/>
      <c r="N129" s="617"/>
      <c r="O129" s="134"/>
      <c r="P129" s="57"/>
      <c r="Q129" s="57"/>
      <c r="S129" s="605"/>
      <c r="U129" s="573"/>
      <c r="V129" s="574"/>
      <c r="W129" s="618"/>
      <c r="X129" s="576">
        <v>0.0</v>
      </c>
      <c r="Y129" s="630">
        <v>0.0</v>
      </c>
      <c r="Z129" s="630" t="s">
        <v>365</v>
      </c>
      <c r="AA129" s="631" t="b">
        <v>0</v>
      </c>
      <c r="AB129" s="631"/>
      <c r="AC129" s="576"/>
      <c r="AD129" s="479">
        <v>0.0</v>
      </c>
      <c r="AE129" s="632"/>
      <c r="AF129" s="582" t="s">
        <v>365</v>
      </c>
      <c r="AG129" s="583"/>
      <c r="AH129" s="584"/>
      <c r="AI129" s="583"/>
      <c r="AJ129" s="585"/>
      <c r="AK129" s="583"/>
      <c r="AL129" s="584"/>
      <c r="AM129" s="583"/>
      <c r="AN129" s="585"/>
      <c r="AO129" s="583"/>
      <c r="AP129" s="584"/>
      <c r="AQ129" s="583"/>
      <c r="AR129" s="585"/>
      <c r="AS129" s="583"/>
      <c r="AT129" s="584"/>
      <c r="AU129" s="583"/>
      <c r="AV129" s="585"/>
      <c r="AW129" s="583"/>
      <c r="AX129" s="584"/>
      <c r="AY129" s="583"/>
      <c r="AZ129" s="585"/>
      <c r="BA129" s="583"/>
      <c r="BB129" s="584"/>
      <c r="BC129" s="583"/>
      <c r="BD129" s="585"/>
      <c r="BE129" s="583"/>
      <c r="BF129" s="584"/>
      <c r="BG129" s="583"/>
      <c r="BH129" s="585"/>
      <c r="BI129" s="583"/>
      <c r="BJ129" s="584"/>
      <c r="BK129" s="583"/>
      <c r="BL129" s="585"/>
      <c r="BM129" s="583"/>
      <c r="BN129" s="584"/>
      <c r="BO129" s="583"/>
      <c r="BP129" s="585"/>
      <c r="BQ129" s="583"/>
      <c r="BR129" s="584"/>
      <c r="BS129" s="583"/>
      <c r="BT129" s="586"/>
      <c r="BU129" s="540"/>
      <c r="BV129" s="540"/>
      <c r="BW129" s="540"/>
      <c r="BX129" s="538"/>
      <c r="BY129" s="538"/>
      <c r="BZ129" s="592"/>
      <c r="CA129" s="633"/>
      <c r="CB129" s="592" t="s">
        <v>365</v>
      </c>
      <c r="CC129" s="592">
        <v>0.0</v>
      </c>
      <c r="CD129" s="592" t="s">
        <v>365</v>
      </c>
      <c r="CE129" s="592">
        <v>0.0</v>
      </c>
      <c r="CF129" s="592"/>
      <c r="CG129" s="592">
        <v>0.0</v>
      </c>
      <c r="CH129" s="592"/>
      <c r="CI129" s="633"/>
      <c r="CJ129" s="592">
        <v>0.0</v>
      </c>
      <c r="CK129" s="479" t="s">
        <v>365</v>
      </c>
      <c r="CL129" s="592"/>
      <c r="CM129" s="593"/>
      <c r="CN129" s="538"/>
      <c r="CO129" s="538"/>
      <c r="CP129" s="538"/>
      <c r="CQ129" s="538"/>
      <c r="CR129" s="538"/>
      <c r="CS129" s="538"/>
      <c r="CT129" s="538"/>
      <c r="CU129" s="538"/>
      <c r="CV129" s="538"/>
      <c r="CW129" s="538"/>
      <c r="CX129" s="538"/>
      <c r="CY129" s="538"/>
      <c r="CZ129" s="538"/>
      <c r="DA129" s="538"/>
      <c r="DB129" s="538"/>
      <c r="DC129" s="538"/>
      <c r="DD129" s="538"/>
      <c r="DE129" s="538"/>
      <c r="DF129" s="538"/>
      <c r="DG129" s="538"/>
      <c r="DH129" s="538"/>
      <c r="DI129" s="538"/>
      <c r="DJ129" s="538"/>
      <c r="DK129" s="538"/>
      <c r="DL129" s="538"/>
      <c r="DM129" s="538"/>
      <c r="DN129" s="538"/>
      <c r="DO129" s="538"/>
      <c r="DP129" s="538"/>
      <c r="DQ129" s="538"/>
      <c r="DR129" s="538"/>
      <c r="DS129" s="538"/>
      <c r="DT129" s="538"/>
      <c r="DU129" s="538"/>
      <c r="DV129" s="538"/>
      <c r="DW129" s="538"/>
      <c r="DX129" s="538"/>
      <c r="DY129" s="538"/>
      <c r="DZ129" s="538"/>
      <c r="EA129" s="538"/>
      <c r="EB129" s="538"/>
      <c r="EC129" s="538"/>
      <c r="ED129" s="538"/>
      <c r="EE129" s="538"/>
      <c r="EF129" s="538"/>
      <c r="EG129" s="538"/>
      <c r="EH129" s="538"/>
      <c r="EI129" s="538"/>
      <c r="EJ129" s="538"/>
      <c r="EK129" s="538"/>
      <c r="EL129" s="538"/>
      <c r="EM129" s="538"/>
      <c r="EN129" s="538"/>
      <c r="EO129" s="538"/>
      <c r="EP129" s="538"/>
      <c r="EQ129" s="538"/>
      <c r="ER129" s="538"/>
      <c r="ES129" s="538"/>
      <c r="ET129" s="538"/>
      <c r="EU129" s="538"/>
      <c r="EV129" s="538"/>
      <c r="EW129" s="538"/>
      <c r="EX129" s="559"/>
      <c r="EY129" s="559"/>
      <c r="EZ129" s="559"/>
      <c r="FA129" s="559"/>
      <c r="FB129" s="559"/>
      <c r="FC129" s="559"/>
      <c r="FD129" s="559"/>
      <c r="FE129" s="559"/>
      <c r="FF129" s="559"/>
      <c r="FG129" s="559"/>
      <c r="FH129" s="559"/>
      <c r="FI129" s="559"/>
      <c r="FJ129" s="559"/>
      <c r="FK129" s="559"/>
      <c r="FL129" s="559"/>
      <c r="FM129" s="559"/>
      <c r="FN129" s="559"/>
      <c r="FO129" s="559"/>
      <c r="FP129" s="559"/>
      <c r="FQ129" s="559"/>
      <c r="FR129" s="559"/>
      <c r="FS129" s="559"/>
      <c r="FT129" s="559"/>
      <c r="FU129" s="559"/>
      <c r="FV129" s="559"/>
      <c r="FW129" s="559"/>
      <c r="FX129" s="559"/>
      <c r="FY129" s="559"/>
      <c r="FZ129" s="559"/>
      <c r="GA129" s="559"/>
      <c r="GB129" s="559"/>
      <c r="GC129" s="559"/>
      <c r="GD129" s="559"/>
      <c r="GE129" s="559"/>
      <c r="GF129" s="559"/>
      <c r="GG129" s="559"/>
      <c r="GH129" s="559"/>
    </row>
    <row r="130">
      <c r="A130" s="538"/>
      <c r="B130" s="156"/>
      <c r="C130" s="444"/>
      <c r="D130" s="614"/>
      <c r="E130" s="68"/>
      <c r="F130" s="644"/>
      <c r="G130" s="644"/>
      <c r="H130" s="627"/>
      <c r="I130" s="622" t="s">
        <v>365</v>
      </c>
      <c r="J130" s="607"/>
      <c r="K130" s="641"/>
      <c r="L130" s="628"/>
      <c r="M130" s="626"/>
      <c r="N130" s="619"/>
      <c r="O130" s="560"/>
      <c r="P130" s="47"/>
      <c r="Q130" s="47"/>
      <c r="S130" s="572"/>
      <c r="U130" s="573"/>
      <c r="V130" s="574"/>
      <c r="W130" s="618"/>
      <c r="X130" s="576">
        <v>0.0</v>
      </c>
      <c r="Y130" s="630">
        <v>0.0</v>
      </c>
      <c r="Z130" s="630" t="s">
        <v>365</v>
      </c>
      <c r="AA130" s="631" t="b">
        <v>0</v>
      </c>
      <c r="AB130" s="631"/>
      <c r="AC130" s="576"/>
      <c r="AD130" s="479">
        <v>0.0</v>
      </c>
      <c r="AE130" s="632"/>
      <c r="AF130" s="582" t="s">
        <v>365</v>
      </c>
      <c r="AG130" s="583"/>
      <c r="AH130" s="584"/>
      <c r="AI130" s="583"/>
      <c r="AJ130" s="585"/>
      <c r="AK130" s="583"/>
      <c r="AL130" s="584"/>
      <c r="AM130" s="583"/>
      <c r="AN130" s="585"/>
      <c r="AO130" s="583"/>
      <c r="AP130" s="584"/>
      <c r="AQ130" s="583"/>
      <c r="AR130" s="585"/>
      <c r="AS130" s="583"/>
      <c r="AT130" s="584"/>
      <c r="AU130" s="583"/>
      <c r="AV130" s="585"/>
      <c r="AW130" s="583"/>
      <c r="AX130" s="584"/>
      <c r="AY130" s="583"/>
      <c r="AZ130" s="585"/>
      <c r="BA130" s="583"/>
      <c r="BB130" s="584"/>
      <c r="BC130" s="583"/>
      <c r="BD130" s="585"/>
      <c r="BE130" s="583"/>
      <c r="BF130" s="584"/>
      <c r="BG130" s="583"/>
      <c r="BH130" s="585"/>
      <c r="BI130" s="583"/>
      <c r="BJ130" s="584"/>
      <c r="BK130" s="583"/>
      <c r="BL130" s="585"/>
      <c r="BM130" s="583"/>
      <c r="BN130" s="584"/>
      <c r="BO130" s="583"/>
      <c r="BP130" s="585"/>
      <c r="BQ130" s="583"/>
      <c r="BR130" s="584"/>
      <c r="BS130" s="583"/>
      <c r="BT130" s="586"/>
      <c r="BU130" s="540"/>
      <c r="BV130" s="540"/>
      <c r="BW130" s="540"/>
      <c r="BX130" s="538"/>
      <c r="BY130" s="538"/>
      <c r="BZ130" s="592"/>
      <c r="CA130" s="633"/>
      <c r="CB130" s="592" t="s">
        <v>365</v>
      </c>
      <c r="CC130" s="592">
        <v>0.0</v>
      </c>
      <c r="CD130" s="592" t="s">
        <v>365</v>
      </c>
      <c r="CE130" s="592">
        <v>0.0</v>
      </c>
      <c r="CF130" s="592"/>
      <c r="CG130" s="592">
        <v>0.0</v>
      </c>
      <c r="CH130" s="592"/>
      <c r="CI130" s="633"/>
      <c r="CJ130" s="592">
        <v>0.0</v>
      </c>
      <c r="CK130" s="479" t="s">
        <v>365</v>
      </c>
      <c r="CL130" s="592"/>
      <c r="CM130" s="593"/>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8"/>
      <c r="DS130" s="538"/>
      <c r="DT130" s="538"/>
      <c r="DU130" s="538"/>
      <c r="DV130" s="538"/>
      <c r="DW130" s="538"/>
      <c r="DX130" s="538"/>
      <c r="DY130" s="538"/>
      <c r="DZ130" s="538"/>
      <c r="EA130" s="538"/>
      <c r="EB130" s="538"/>
      <c r="EC130" s="538"/>
      <c r="ED130" s="538"/>
      <c r="EE130" s="538"/>
      <c r="EF130" s="538"/>
      <c r="EG130" s="538"/>
      <c r="EH130" s="538"/>
      <c r="EI130" s="538"/>
      <c r="EJ130" s="538"/>
      <c r="EK130" s="538"/>
      <c r="EL130" s="538"/>
      <c r="EM130" s="538"/>
      <c r="EN130" s="538"/>
      <c r="EO130" s="538"/>
      <c r="EP130" s="538"/>
      <c r="EQ130" s="538"/>
      <c r="ER130" s="538"/>
      <c r="ES130" s="538"/>
      <c r="ET130" s="538"/>
      <c r="EU130" s="538"/>
      <c r="EV130" s="538"/>
      <c r="EW130" s="538"/>
      <c r="EX130" s="559"/>
      <c r="EY130" s="559"/>
      <c r="EZ130" s="559"/>
      <c r="FA130" s="559"/>
      <c r="FB130" s="559"/>
      <c r="FC130" s="559"/>
      <c r="FD130" s="559"/>
      <c r="FE130" s="559"/>
      <c r="FF130" s="559"/>
      <c r="FG130" s="559"/>
      <c r="FH130" s="559"/>
      <c r="FI130" s="559"/>
      <c r="FJ130" s="559"/>
      <c r="FK130" s="559"/>
      <c r="FL130" s="559"/>
      <c r="FM130" s="559"/>
      <c r="FN130" s="559"/>
      <c r="FO130" s="559"/>
      <c r="FP130" s="559"/>
      <c r="FQ130" s="559"/>
      <c r="FR130" s="559"/>
      <c r="FS130" s="559"/>
      <c r="FT130" s="559"/>
      <c r="FU130" s="559"/>
      <c r="FV130" s="559"/>
      <c r="FW130" s="559"/>
      <c r="FX130" s="559"/>
      <c r="FY130" s="559"/>
      <c r="FZ130" s="559"/>
      <c r="GA130" s="559"/>
      <c r="GB130" s="559"/>
      <c r="GC130" s="559"/>
      <c r="GD130" s="559"/>
      <c r="GE130" s="559"/>
      <c r="GF130" s="559"/>
      <c r="GG130" s="559"/>
      <c r="GH130" s="559"/>
    </row>
    <row r="131">
      <c r="A131" s="538"/>
      <c r="B131" s="156"/>
      <c r="C131" s="444"/>
      <c r="D131" s="614"/>
      <c r="E131" s="66"/>
      <c r="F131" s="642"/>
      <c r="G131" s="642"/>
      <c r="H131" s="615"/>
      <c r="I131" s="616" t="s">
        <v>365</v>
      </c>
      <c r="J131" s="624"/>
      <c r="K131" s="643"/>
      <c r="L131" s="640"/>
      <c r="M131" s="625"/>
      <c r="N131" s="617"/>
      <c r="O131" s="134"/>
      <c r="P131" s="57"/>
      <c r="Q131" s="57"/>
      <c r="S131" s="605"/>
      <c r="U131" s="573"/>
      <c r="V131" s="574"/>
      <c r="W131" s="618"/>
      <c r="X131" s="576">
        <v>0.0</v>
      </c>
      <c r="Y131" s="630">
        <v>0.0</v>
      </c>
      <c r="Z131" s="630" t="s">
        <v>365</v>
      </c>
      <c r="AA131" s="631" t="b">
        <v>0</v>
      </c>
      <c r="AB131" s="631"/>
      <c r="AC131" s="576"/>
      <c r="AD131" s="479">
        <v>0.0</v>
      </c>
      <c r="AE131" s="632"/>
      <c r="AF131" s="582" t="s">
        <v>365</v>
      </c>
      <c r="AG131" s="583"/>
      <c r="AH131" s="584"/>
      <c r="AI131" s="583"/>
      <c r="AJ131" s="585"/>
      <c r="AK131" s="583"/>
      <c r="AL131" s="584"/>
      <c r="AM131" s="583"/>
      <c r="AN131" s="585"/>
      <c r="AO131" s="583"/>
      <c r="AP131" s="584"/>
      <c r="AQ131" s="583"/>
      <c r="AR131" s="585"/>
      <c r="AS131" s="583"/>
      <c r="AT131" s="584"/>
      <c r="AU131" s="583"/>
      <c r="AV131" s="585"/>
      <c r="AW131" s="583"/>
      <c r="AX131" s="584"/>
      <c r="AY131" s="583"/>
      <c r="AZ131" s="585"/>
      <c r="BA131" s="583"/>
      <c r="BB131" s="584"/>
      <c r="BC131" s="583"/>
      <c r="BD131" s="585"/>
      <c r="BE131" s="583"/>
      <c r="BF131" s="584"/>
      <c r="BG131" s="583"/>
      <c r="BH131" s="585"/>
      <c r="BI131" s="583"/>
      <c r="BJ131" s="584"/>
      <c r="BK131" s="583"/>
      <c r="BL131" s="585"/>
      <c r="BM131" s="583"/>
      <c r="BN131" s="584"/>
      <c r="BO131" s="583"/>
      <c r="BP131" s="585"/>
      <c r="BQ131" s="583"/>
      <c r="BR131" s="584"/>
      <c r="BS131" s="583"/>
      <c r="BT131" s="586"/>
      <c r="BU131" s="540"/>
      <c r="BV131" s="540"/>
      <c r="BW131" s="540"/>
      <c r="BX131" s="538"/>
      <c r="BY131" s="538"/>
      <c r="BZ131" s="592"/>
      <c r="CA131" s="633"/>
      <c r="CB131" s="592" t="s">
        <v>365</v>
      </c>
      <c r="CC131" s="592">
        <v>0.0</v>
      </c>
      <c r="CD131" s="592" t="s">
        <v>365</v>
      </c>
      <c r="CE131" s="592">
        <v>0.0</v>
      </c>
      <c r="CF131" s="592"/>
      <c r="CG131" s="592">
        <v>0.0</v>
      </c>
      <c r="CH131" s="592"/>
      <c r="CI131" s="633"/>
      <c r="CJ131" s="592">
        <v>0.0</v>
      </c>
      <c r="CK131" s="479" t="s">
        <v>365</v>
      </c>
      <c r="CL131" s="592"/>
      <c r="CM131" s="593"/>
      <c r="CN131" s="538"/>
      <c r="CO131" s="538"/>
      <c r="CP131" s="538"/>
      <c r="CQ131" s="538"/>
      <c r="CR131" s="538"/>
      <c r="CS131" s="538"/>
      <c r="CT131" s="538"/>
      <c r="CU131" s="538"/>
      <c r="CV131" s="538"/>
      <c r="CW131" s="538"/>
      <c r="CX131" s="538"/>
      <c r="CY131" s="538"/>
      <c r="CZ131" s="538"/>
      <c r="DA131" s="538"/>
      <c r="DB131" s="538"/>
      <c r="DC131" s="538"/>
      <c r="DD131" s="538"/>
      <c r="DE131" s="538"/>
      <c r="DF131" s="538"/>
      <c r="DG131" s="538"/>
      <c r="DH131" s="538"/>
      <c r="DI131" s="538"/>
      <c r="DJ131" s="538"/>
      <c r="DK131" s="538"/>
      <c r="DL131" s="538"/>
      <c r="DM131" s="538"/>
      <c r="DN131" s="538"/>
      <c r="DO131" s="538"/>
      <c r="DP131" s="538"/>
      <c r="DQ131" s="538"/>
      <c r="DR131" s="538"/>
      <c r="DS131" s="538"/>
      <c r="DT131" s="538"/>
      <c r="DU131" s="538"/>
      <c r="DV131" s="538"/>
      <c r="DW131" s="538"/>
      <c r="DX131" s="538"/>
      <c r="DY131" s="538"/>
      <c r="DZ131" s="538"/>
      <c r="EA131" s="538"/>
      <c r="EB131" s="538"/>
      <c r="EC131" s="538"/>
      <c r="ED131" s="538"/>
      <c r="EE131" s="538"/>
      <c r="EF131" s="538"/>
      <c r="EG131" s="538"/>
      <c r="EH131" s="538"/>
      <c r="EI131" s="538"/>
      <c r="EJ131" s="538"/>
      <c r="EK131" s="538"/>
      <c r="EL131" s="538"/>
      <c r="EM131" s="538"/>
      <c r="EN131" s="538"/>
      <c r="EO131" s="538"/>
      <c r="EP131" s="538"/>
      <c r="EQ131" s="538"/>
      <c r="ER131" s="538"/>
      <c r="ES131" s="538"/>
      <c r="ET131" s="538"/>
      <c r="EU131" s="538"/>
      <c r="EV131" s="538"/>
      <c r="EW131" s="538"/>
      <c r="EX131" s="559"/>
      <c r="EY131" s="559"/>
      <c r="EZ131" s="559"/>
      <c r="FA131" s="559"/>
      <c r="FB131" s="559"/>
      <c r="FC131" s="559"/>
      <c r="FD131" s="559"/>
      <c r="FE131" s="559"/>
      <c r="FF131" s="559"/>
      <c r="FG131" s="559"/>
      <c r="FH131" s="559"/>
      <c r="FI131" s="559"/>
      <c r="FJ131" s="559"/>
      <c r="FK131" s="559"/>
      <c r="FL131" s="559"/>
      <c r="FM131" s="559"/>
      <c r="FN131" s="559"/>
      <c r="FO131" s="559"/>
      <c r="FP131" s="559"/>
      <c r="FQ131" s="559"/>
      <c r="FR131" s="559"/>
      <c r="FS131" s="559"/>
      <c r="FT131" s="559"/>
      <c r="FU131" s="559"/>
      <c r="FV131" s="559"/>
      <c r="FW131" s="559"/>
      <c r="FX131" s="559"/>
      <c r="FY131" s="559"/>
      <c r="FZ131" s="559"/>
      <c r="GA131" s="559"/>
      <c r="GB131" s="559"/>
      <c r="GC131" s="559"/>
      <c r="GD131" s="559"/>
      <c r="GE131" s="559"/>
      <c r="GF131" s="559"/>
      <c r="GG131" s="559"/>
      <c r="GH131" s="559"/>
    </row>
    <row r="132">
      <c r="A132" s="538"/>
      <c r="B132" s="156"/>
      <c r="C132" s="444"/>
      <c r="D132" s="614"/>
      <c r="E132" s="68"/>
      <c r="F132" s="644"/>
      <c r="G132" s="644"/>
      <c r="H132" s="627"/>
      <c r="I132" s="622" t="s">
        <v>365</v>
      </c>
      <c r="J132" s="607"/>
      <c r="K132" s="641"/>
      <c r="L132" s="628"/>
      <c r="M132" s="626"/>
      <c r="N132" s="619"/>
      <c r="O132" s="560"/>
      <c r="P132" s="47"/>
      <c r="Q132" s="47"/>
      <c r="S132" s="572"/>
      <c r="U132" s="573"/>
      <c r="V132" s="574"/>
      <c r="W132" s="618"/>
      <c r="X132" s="576">
        <v>0.0</v>
      </c>
      <c r="Y132" s="630">
        <v>0.0</v>
      </c>
      <c r="Z132" s="630" t="s">
        <v>365</v>
      </c>
      <c r="AA132" s="631" t="b">
        <v>0</v>
      </c>
      <c r="AB132" s="631"/>
      <c r="AC132" s="576"/>
      <c r="AD132" s="479">
        <v>0.0</v>
      </c>
      <c r="AE132" s="632"/>
      <c r="AF132" s="582" t="s">
        <v>365</v>
      </c>
      <c r="AG132" s="583"/>
      <c r="AH132" s="584"/>
      <c r="AI132" s="583"/>
      <c r="AJ132" s="585"/>
      <c r="AK132" s="583"/>
      <c r="AL132" s="584"/>
      <c r="AM132" s="583"/>
      <c r="AN132" s="585"/>
      <c r="AO132" s="583"/>
      <c r="AP132" s="584"/>
      <c r="AQ132" s="583"/>
      <c r="AR132" s="585"/>
      <c r="AS132" s="583"/>
      <c r="AT132" s="584"/>
      <c r="AU132" s="583"/>
      <c r="AV132" s="585"/>
      <c r="AW132" s="583"/>
      <c r="AX132" s="584"/>
      <c r="AY132" s="583"/>
      <c r="AZ132" s="585"/>
      <c r="BA132" s="583"/>
      <c r="BB132" s="584"/>
      <c r="BC132" s="583"/>
      <c r="BD132" s="585"/>
      <c r="BE132" s="583"/>
      <c r="BF132" s="584"/>
      <c r="BG132" s="583"/>
      <c r="BH132" s="585"/>
      <c r="BI132" s="583"/>
      <c r="BJ132" s="584"/>
      <c r="BK132" s="583"/>
      <c r="BL132" s="585"/>
      <c r="BM132" s="583"/>
      <c r="BN132" s="584"/>
      <c r="BO132" s="583"/>
      <c r="BP132" s="585"/>
      <c r="BQ132" s="583"/>
      <c r="BR132" s="584"/>
      <c r="BS132" s="583"/>
      <c r="BT132" s="586"/>
      <c r="BU132" s="540"/>
      <c r="BV132" s="540"/>
      <c r="BW132" s="540"/>
      <c r="BX132" s="538"/>
      <c r="BY132" s="538"/>
      <c r="BZ132" s="592"/>
      <c r="CA132" s="633"/>
      <c r="CB132" s="592" t="s">
        <v>365</v>
      </c>
      <c r="CC132" s="592">
        <v>0.0</v>
      </c>
      <c r="CD132" s="592" t="s">
        <v>365</v>
      </c>
      <c r="CE132" s="592">
        <v>0.0</v>
      </c>
      <c r="CF132" s="592"/>
      <c r="CG132" s="592">
        <v>0.0</v>
      </c>
      <c r="CH132" s="592"/>
      <c r="CI132" s="633"/>
      <c r="CJ132" s="592">
        <v>0.0</v>
      </c>
      <c r="CK132" s="479" t="s">
        <v>365</v>
      </c>
      <c r="CL132" s="592"/>
      <c r="CM132" s="593"/>
      <c r="CN132" s="538"/>
      <c r="CO132" s="538"/>
      <c r="CP132" s="538"/>
      <c r="CQ132" s="538"/>
      <c r="CR132" s="538"/>
      <c r="CS132" s="538"/>
      <c r="CT132" s="538"/>
      <c r="CU132" s="538"/>
      <c r="CV132" s="538"/>
      <c r="CW132" s="538"/>
      <c r="CX132" s="538"/>
      <c r="CY132" s="538"/>
      <c r="CZ132" s="538"/>
      <c r="DA132" s="538"/>
      <c r="DB132" s="538"/>
      <c r="DC132" s="538"/>
      <c r="DD132" s="538"/>
      <c r="DE132" s="538"/>
      <c r="DF132" s="538"/>
      <c r="DG132" s="538"/>
      <c r="DH132" s="538"/>
      <c r="DI132" s="538"/>
      <c r="DJ132" s="538"/>
      <c r="DK132" s="538"/>
      <c r="DL132" s="538"/>
      <c r="DM132" s="538"/>
      <c r="DN132" s="538"/>
      <c r="DO132" s="538"/>
      <c r="DP132" s="538"/>
      <c r="DQ132" s="538"/>
      <c r="DR132" s="538"/>
      <c r="DS132" s="538"/>
      <c r="DT132" s="538"/>
      <c r="DU132" s="538"/>
      <c r="DV132" s="538"/>
      <c r="DW132" s="538"/>
      <c r="DX132" s="538"/>
      <c r="DY132" s="538"/>
      <c r="DZ132" s="538"/>
      <c r="EA132" s="538"/>
      <c r="EB132" s="538"/>
      <c r="EC132" s="538"/>
      <c r="ED132" s="538"/>
      <c r="EE132" s="538"/>
      <c r="EF132" s="538"/>
      <c r="EG132" s="538"/>
      <c r="EH132" s="538"/>
      <c r="EI132" s="538"/>
      <c r="EJ132" s="538"/>
      <c r="EK132" s="538"/>
      <c r="EL132" s="538"/>
      <c r="EM132" s="538"/>
      <c r="EN132" s="538"/>
      <c r="EO132" s="538"/>
      <c r="EP132" s="538"/>
      <c r="EQ132" s="538"/>
      <c r="ER132" s="538"/>
      <c r="ES132" s="538"/>
      <c r="ET132" s="538"/>
      <c r="EU132" s="538"/>
      <c r="EV132" s="538"/>
      <c r="EW132" s="538"/>
      <c r="EX132" s="559"/>
      <c r="EY132" s="559"/>
      <c r="EZ132" s="559"/>
      <c r="FA132" s="559"/>
      <c r="FB132" s="559"/>
      <c r="FC132" s="559"/>
      <c r="FD132" s="559"/>
      <c r="FE132" s="559"/>
      <c r="FF132" s="559"/>
      <c r="FG132" s="559"/>
      <c r="FH132" s="559"/>
      <c r="FI132" s="559"/>
      <c r="FJ132" s="559"/>
      <c r="FK132" s="559"/>
      <c r="FL132" s="559"/>
      <c r="FM132" s="559"/>
      <c r="FN132" s="559"/>
      <c r="FO132" s="559"/>
      <c r="FP132" s="559"/>
      <c r="FQ132" s="559"/>
      <c r="FR132" s="559"/>
      <c r="FS132" s="559"/>
      <c r="FT132" s="559"/>
      <c r="FU132" s="559"/>
      <c r="FV132" s="559"/>
      <c r="FW132" s="559"/>
      <c r="FX132" s="559"/>
      <c r="FY132" s="559"/>
      <c r="FZ132" s="559"/>
      <c r="GA132" s="559"/>
      <c r="GB132" s="559"/>
      <c r="GC132" s="559"/>
      <c r="GD132" s="559"/>
      <c r="GE132" s="559"/>
      <c r="GF132" s="559"/>
      <c r="GG132" s="559"/>
      <c r="GH132" s="559"/>
    </row>
    <row r="133">
      <c r="A133" s="538"/>
      <c r="B133" s="156"/>
      <c r="C133" s="444"/>
      <c r="D133" s="614"/>
      <c r="E133" s="66"/>
      <c r="F133" s="642"/>
      <c r="G133" s="642"/>
      <c r="H133" s="615"/>
      <c r="I133" s="616" t="s">
        <v>365</v>
      </c>
      <c r="J133" s="624"/>
      <c r="K133" s="643"/>
      <c r="L133" s="640"/>
      <c r="M133" s="625"/>
      <c r="N133" s="617"/>
      <c r="O133" s="134"/>
      <c r="P133" s="57"/>
      <c r="Q133" s="57"/>
      <c r="S133" s="605"/>
      <c r="U133" s="573"/>
      <c r="V133" s="574"/>
      <c r="W133" s="618"/>
      <c r="X133" s="576">
        <v>0.0</v>
      </c>
      <c r="Y133" s="630">
        <v>0.0</v>
      </c>
      <c r="Z133" s="630" t="s">
        <v>365</v>
      </c>
      <c r="AA133" s="631" t="b">
        <v>0</v>
      </c>
      <c r="AB133" s="631"/>
      <c r="AC133" s="576"/>
      <c r="AD133" s="479">
        <v>0.0</v>
      </c>
      <c r="AE133" s="632"/>
      <c r="AF133" s="582" t="s">
        <v>365</v>
      </c>
      <c r="AG133" s="583"/>
      <c r="AH133" s="584"/>
      <c r="AI133" s="583"/>
      <c r="AJ133" s="585"/>
      <c r="AK133" s="583"/>
      <c r="AL133" s="584"/>
      <c r="AM133" s="583"/>
      <c r="AN133" s="585"/>
      <c r="AO133" s="583"/>
      <c r="AP133" s="584"/>
      <c r="AQ133" s="583"/>
      <c r="AR133" s="585"/>
      <c r="AS133" s="583"/>
      <c r="AT133" s="584"/>
      <c r="AU133" s="583"/>
      <c r="AV133" s="585"/>
      <c r="AW133" s="583"/>
      <c r="AX133" s="584"/>
      <c r="AY133" s="583"/>
      <c r="AZ133" s="585"/>
      <c r="BA133" s="583"/>
      <c r="BB133" s="584"/>
      <c r="BC133" s="583"/>
      <c r="BD133" s="585"/>
      <c r="BE133" s="583"/>
      <c r="BF133" s="584"/>
      <c r="BG133" s="583"/>
      <c r="BH133" s="585"/>
      <c r="BI133" s="583"/>
      <c r="BJ133" s="584"/>
      <c r="BK133" s="583"/>
      <c r="BL133" s="585"/>
      <c r="BM133" s="583"/>
      <c r="BN133" s="584"/>
      <c r="BO133" s="583"/>
      <c r="BP133" s="585"/>
      <c r="BQ133" s="583"/>
      <c r="BR133" s="584"/>
      <c r="BS133" s="583"/>
      <c r="BT133" s="586"/>
      <c r="BU133" s="540"/>
      <c r="BV133" s="540"/>
      <c r="BW133" s="540"/>
      <c r="BX133" s="538"/>
      <c r="BY133" s="538"/>
      <c r="BZ133" s="592"/>
      <c r="CA133" s="633"/>
      <c r="CB133" s="592" t="s">
        <v>365</v>
      </c>
      <c r="CC133" s="592">
        <v>0.0</v>
      </c>
      <c r="CD133" s="592" t="s">
        <v>365</v>
      </c>
      <c r="CE133" s="592">
        <v>0.0</v>
      </c>
      <c r="CF133" s="592"/>
      <c r="CG133" s="592">
        <v>0.0</v>
      </c>
      <c r="CH133" s="592"/>
      <c r="CI133" s="633"/>
      <c r="CJ133" s="592">
        <v>0.0</v>
      </c>
      <c r="CK133" s="479" t="s">
        <v>365</v>
      </c>
      <c r="CL133" s="592"/>
      <c r="CM133" s="593"/>
      <c r="CN133" s="538"/>
      <c r="CO133" s="538"/>
      <c r="CP133" s="538"/>
      <c r="CQ133" s="538"/>
      <c r="CR133" s="538"/>
      <c r="CS133" s="538"/>
      <c r="CT133" s="538"/>
      <c r="CU133" s="538"/>
      <c r="CV133" s="538"/>
      <c r="CW133" s="538"/>
      <c r="CX133" s="538"/>
      <c r="CY133" s="538"/>
      <c r="CZ133" s="538"/>
      <c r="DA133" s="538"/>
      <c r="DB133" s="538"/>
      <c r="DC133" s="538"/>
      <c r="DD133" s="538"/>
      <c r="DE133" s="538"/>
      <c r="DF133" s="538"/>
      <c r="DG133" s="538"/>
      <c r="DH133" s="538"/>
      <c r="DI133" s="538"/>
      <c r="DJ133" s="538"/>
      <c r="DK133" s="538"/>
      <c r="DL133" s="538"/>
      <c r="DM133" s="538"/>
      <c r="DN133" s="538"/>
      <c r="DO133" s="538"/>
      <c r="DP133" s="538"/>
      <c r="DQ133" s="538"/>
      <c r="DR133" s="538"/>
      <c r="DS133" s="538"/>
      <c r="DT133" s="538"/>
      <c r="DU133" s="538"/>
      <c r="DV133" s="538"/>
      <c r="DW133" s="538"/>
      <c r="DX133" s="538"/>
      <c r="DY133" s="538"/>
      <c r="DZ133" s="538"/>
      <c r="EA133" s="538"/>
      <c r="EB133" s="538"/>
      <c r="EC133" s="538"/>
      <c r="ED133" s="538"/>
      <c r="EE133" s="538"/>
      <c r="EF133" s="538"/>
      <c r="EG133" s="538"/>
      <c r="EH133" s="538"/>
      <c r="EI133" s="538"/>
      <c r="EJ133" s="538"/>
      <c r="EK133" s="538"/>
      <c r="EL133" s="538"/>
      <c r="EM133" s="538"/>
      <c r="EN133" s="538"/>
      <c r="EO133" s="538"/>
      <c r="EP133" s="538"/>
      <c r="EQ133" s="538"/>
      <c r="ER133" s="538"/>
      <c r="ES133" s="538"/>
      <c r="ET133" s="538"/>
      <c r="EU133" s="538"/>
      <c r="EV133" s="538"/>
      <c r="EW133" s="538"/>
      <c r="EX133" s="559"/>
      <c r="EY133" s="559"/>
      <c r="EZ133" s="559"/>
      <c r="FA133" s="559"/>
      <c r="FB133" s="559"/>
      <c r="FC133" s="559"/>
      <c r="FD133" s="559"/>
      <c r="FE133" s="559"/>
      <c r="FF133" s="559"/>
      <c r="FG133" s="559"/>
      <c r="FH133" s="559"/>
      <c r="FI133" s="559"/>
      <c r="FJ133" s="559"/>
      <c r="FK133" s="559"/>
      <c r="FL133" s="559"/>
      <c r="FM133" s="559"/>
      <c r="FN133" s="559"/>
      <c r="FO133" s="559"/>
      <c r="FP133" s="559"/>
      <c r="FQ133" s="559"/>
      <c r="FR133" s="559"/>
      <c r="FS133" s="559"/>
      <c r="FT133" s="559"/>
      <c r="FU133" s="559"/>
      <c r="FV133" s="559"/>
      <c r="FW133" s="559"/>
      <c r="FX133" s="559"/>
      <c r="FY133" s="559"/>
      <c r="FZ133" s="559"/>
      <c r="GA133" s="559"/>
      <c r="GB133" s="559"/>
      <c r="GC133" s="559"/>
      <c r="GD133" s="559"/>
      <c r="GE133" s="559"/>
      <c r="GF133" s="559"/>
      <c r="GG133" s="559"/>
      <c r="GH133" s="559"/>
    </row>
    <row r="134">
      <c r="A134" s="538"/>
      <c r="B134" s="156"/>
      <c r="C134" s="444"/>
      <c r="D134" s="614"/>
      <c r="E134" s="68"/>
      <c r="F134" s="644"/>
      <c r="G134" s="644"/>
      <c r="H134" s="627"/>
      <c r="I134" s="622" t="s">
        <v>365</v>
      </c>
      <c r="J134" s="607"/>
      <c r="K134" s="641"/>
      <c r="L134" s="628"/>
      <c r="M134" s="626"/>
      <c r="N134" s="619"/>
      <c r="O134" s="560"/>
      <c r="P134" s="47"/>
      <c r="Q134" s="47"/>
      <c r="S134" s="572"/>
      <c r="U134" s="573"/>
      <c r="V134" s="574"/>
      <c r="W134" s="618"/>
      <c r="X134" s="576">
        <v>0.0</v>
      </c>
      <c r="Y134" s="630">
        <v>0.0</v>
      </c>
      <c r="Z134" s="630" t="s">
        <v>365</v>
      </c>
      <c r="AA134" s="631" t="b">
        <v>0</v>
      </c>
      <c r="AB134" s="631"/>
      <c r="AC134" s="576"/>
      <c r="AD134" s="479">
        <v>0.0</v>
      </c>
      <c r="AE134" s="632"/>
      <c r="AF134" s="582" t="s">
        <v>365</v>
      </c>
      <c r="AG134" s="583"/>
      <c r="AH134" s="584"/>
      <c r="AI134" s="583"/>
      <c r="AJ134" s="585"/>
      <c r="AK134" s="583"/>
      <c r="AL134" s="584"/>
      <c r="AM134" s="583"/>
      <c r="AN134" s="585"/>
      <c r="AO134" s="583"/>
      <c r="AP134" s="584"/>
      <c r="AQ134" s="583"/>
      <c r="AR134" s="585"/>
      <c r="AS134" s="583"/>
      <c r="AT134" s="584"/>
      <c r="AU134" s="583"/>
      <c r="AV134" s="585"/>
      <c r="AW134" s="583"/>
      <c r="AX134" s="584"/>
      <c r="AY134" s="583"/>
      <c r="AZ134" s="585"/>
      <c r="BA134" s="583"/>
      <c r="BB134" s="584"/>
      <c r="BC134" s="583"/>
      <c r="BD134" s="585"/>
      <c r="BE134" s="583"/>
      <c r="BF134" s="584"/>
      <c r="BG134" s="583"/>
      <c r="BH134" s="585"/>
      <c r="BI134" s="583"/>
      <c r="BJ134" s="584"/>
      <c r="BK134" s="583"/>
      <c r="BL134" s="585"/>
      <c r="BM134" s="583"/>
      <c r="BN134" s="584"/>
      <c r="BO134" s="583"/>
      <c r="BP134" s="585"/>
      <c r="BQ134" s="583"/>
      <c r="BR134" s="584"/>
      <c r="BS134" s="583"/>
      <c r="BT134" s="586"/>
      <c r="BU134" s="540"/>
      <c r="BV134" s="540"/>
      <c r="BW134" s="540"/>
      <c r="BX134" s="538"/>
      <c r="BY134" s="538"/>
      <c r="BZ134" s="592"/>
      <c r="CA134" s="633"/>
      <c r="CB134" s="592" t="s">
        <v>365</v>
      </c>
      <c r="CC134" s="592">
        <v>0.0</v>
      </c>
      <c r="CD134" s="592" t="s">
        <v>365</v>
      </c>
      <c r="CE134" s="592">
        <v>0.0</v>
      </c>
      <c r="CF134" s="592"/>
      <c r="CG134" s="592">
        <v>0.0</v>
      </c>
      <c r="CH134" s="592"/>
      <c r="CI134" s="633"/>
      <c r="CJ134" s="592">
        <v>0.0</v>
      </c>
      <c r="CK134" s="479" t="s">
        <v>365</v>
      </c>
      <c r="CL134" s="592"/>
      <c r="CM134" s="593"/>
      <c r="CN134" s="538"/>
      <c r="CO134" s="538"/>
      <c r="CP134" s="538"/>
      <c r="CQ134" s="538"/>
      <c r="CR134" s="538"/>
      <c r="CS134" s="538"/>
      <c r="CT134" s="538"/>
      <c r="CU134" s="538"/>
      <c r="CV134" s="538"/>
      <c r="CW134" s="538"/>
      <c r="CX134" s="538"/>
      <c r="CY134" s="538"/>
      <c r="CZ134" s="538"/>
      <c r="DA134" s="538"/>
      <c r="DB134" s="538"/>
      <c r="DC134" s="538"/>
      <c r="DD134" s="538"/>
      <c r="DE134" s="538"/>
      <c r="DF134" s="538"/>
      <c r="DG134" s="538"/>
      <c r="DH134" s="538"/>
      <c r="DI134" s="538"/>
      <c r="DJ134" s="538"/>
      <c r="DK134" s="538"/>
      <c r="DL134" s="538"/>
      <c r="DM134" s="538"/>
      <c r="DN134" s="538"/>
      <c r="DO134" s="538"/>
      <c r="DP134" s="538"/>
      <c r="DQ134" s="538"/>
      <c r="DR134" s="538"/>
      <c r="DS134" s="538"/>
      <c r="DT134" s="538"/>
      <c r="DU134" s="538"/>
      <c r="DV134" s="538"/>
      <c r="DW134" s="538"/>
      <c r="DX134" s="538"/>
      <c r="DY134" s="538"/>
      <c r="DZ134" s="538"/>
      <c r="EA134" s="538"/>
      <c r="EB134" s="538"/>
      <c r="EC134" s="538"/>
      <c r="ED134" s="538"/>
      <c r="EE134" s="538"/>
      <c r="EF134" s="538"/>
      <c r="EG134" s="538"/>
      <c r="EH134" s="538"/>
      <c r="EI134" s="538"/>
      <c r="EJ134" s="538"/>
      <c r="EK134" s="538"/>
      <c r="EL134" s="538"/>
      <c r="EM134" s="538"/>
      <c r="EN134" s="538"/>
      <c r="EO134" s="538"/>
      <c r="EP134" s="538"/>
      <c r="EQ134" s="538"/>
      <c r="ER134" s="538"/>
      <c r="ES134" s="538"/>
      <c r="ET134" s="538"/>
      <c r="EU134" s="538"/>
      <c r="EV134" s="538"/>
      <c r="EW134" s="538"/>
      <c r="EX134" s="559"/>
      <c r="EY134" s="559"/>
      <c r="EZ134" s="559"/>
      <c r="FA134" s="559"/>
      <c r="FB134" s="559"/>
      <c r="FC134" s="559"/>
      <c r="FD134" s="559"/>
      <c r="FE134" s="559"/>
      <c r="FF134" s="559"/>
      <c r="FG134" s="559"/>
      <c r="FH134" s="559"/>
      <c r="FI134" s="559"/>
      <c r="FJ134" s="559"/>
      <c r="FK134" s="559"/>
      <c r="FL134" s="559"/>
      <c r="FM134" s="559"/>
      <c r="FN134" s="559"/>
      <c r="FO134" s="559"/>
      <c r="FP134" s="559"/>
      <c r="FQ134" s="559"/>
      <c r="FR134" s="559"/>
      <c r="FS134" s="559"/>
      <c r="FT134" s="559"/>
      <c r="FU134" s="559"/>
      <c r="FV134" s="559"/>
      <c r="FW134" s="559"/>
      <c r="FX134" s="559"/>
      <c r="FY134" s="559"/>
      <c r="FZ134" s="559"/>
      <c r="GA134" s="559"/>
      <c r="GB134" s="559"/>
      <c r="GC134" s="559"/>
      <c r="GD134" s="559"/>
      <c r="GE134" s="559"/>
      <c r="GF134" s="559"/>
      <c r="GG134" s="559"/>
      <c r="GH134" s="559"/>
    </row>
    <row r="135">
      <c r="A135" s="538"/>
      <c r="B135" s="156"/>
      <c r="C135" s="444"/>
      <c r="D135" s="614"/>
      <c r="E135" s="66"/>
      <c r="F135" s="642"/>
      <c r="G135" s="642"/>
      <c r="H135" s="615"/>
      <c r="I135" s="616" t="s">
        <v>365</v>
      </c>
      <c r="J135" s="624"/>
      <c r="K135" s="643"/>
      <c r="L135" s="640"/>
      <c r="M135" s="625"/>
      <c r="N135" s="617"/>
      <c r="O135" s="134"/>
      <c r="P135" s="57"/>
      <c r="Q135" s="57"/>
      <c r="S135" s="605"/>
      <c r="U135" s="573"/>
      <c r="V135" s="574"/>
      <c r="W135" s="618"/>
      <c r="X135" s="576">
        <v>0.0</v>
      </c>
      <c r="Y135" s="630">
        <v>0.0</v>
      </c>
      <c r="Z135" s="630" t="s">
        <v>365</v>
      </c>
      <c r="AA135" s="631" t="b">
        <v>0</v>
      </c>
      <c r="AB135" s="631"/>
      <c r="AC135" s="576"/>
      <c r="AD135" s="479">
        <v>0.0</v>
      </c>
      <c r="AE135" s="632"/>
      <c r="AF135" s="582" t="s">
        <v>365</v>
      </c>
      <c r="AG135" s="583"/>
      <c r="AH135" s="584"/>
      <c r="AI135" s="583"/>
      <c r="AJ135" s="585"/>
      <c r="AK135" s="583"/>
      <c r="AL135" s="584"/>
      <c r="AM135" s="583"/>
      <c r="AN135" s="585"/>
      <c r="AO135" s="583"/>
      <c r="AP135" s="584"/>
      <c r="AQ135" s="583"/>
      <c r="AR135" s="585"/>
      <c r="AS135" s="583"/>
      <c r="AT135" s="584"/>
      <c r="AU135" s="583"/>
      <c r="AV135" s="585"/>
      <c r="AW135" s="583"/>
      <c r="AX135" s="584"/>
      <c r="AY135" s="583"/>
      <c r="AZ135" s="585"/>
      <c r="BA135" s="583"/>
      <c r="BB135" s="584"/>
      <c r="BC135" s="583"/>
      <c r="BD135" s="585"/>
      <c r="BE135" s="583"/>
      <c r="BF135" s="584"/>
      <c r="BG135" s="583"/>
      <c r="BH135" s="585"/>
      <c r="BI135" s="583"/>
      <c r="BJ135" s="584"/>
      <c r="BK135" s="583"/>
      <c r="BL135" s="585"/>
      <c r="BM135" s="583"/>
      <c r="BN135" s="584"/>
      <c r="BO135" s="583"/>
      <c r="BP135" s="585"/>
      <c r="BQ135" s="583"/>
      <c r="BR135" s="584"/>
      <c r="BS135" s="583"/>
      <c r="BT135" s="586"/>
      <c r="BU135" s="540"/>
      <c r="BV135" s="540"/>
      <c r="BW135" s="540"/>
      <c r="BX135" s="538"/>
      <c r="BY135" s="538"/>
      <c r="BZ135" s="592"/>
      <c r="CA135" s="633"/>
      <c r="CB135" s="592" t="s">
        <v>365</v>
      </c>
      <c r="CC135" s="592">
        <v>0.0</v>
      </c>
      <c r="CD135" s="592" t="s">
        <v>365</v>
      </c>
      <c r="CE135" s="592">
        <v>0.0</v>
      </c>
      <c r="CF135" s="592"/>
      <c r="CG135" s="592">
        <v>0.0</v>
      </c>
      <c r="CH135" s="592"/>
      <c r="CI135" s="633"/>
      <c r="CJ135" s="592">
        <v>0.0</v>
      </c>
      <c r="CK135" s="479" t="s">
        <v>365</v>
      </c>
      <c r="CL135" s="592"/>
      <c r="CM135" s="593"/>
      <c r="CN135" s="538"/>
      <c r="CO135" s="538"/>
      <c r="CP135" s="538"/>
      <c r="CQ135" s="538"/>
      <c r="CR135" s="538"/>
      <c r="CS135" s="538"/>
      <c r="CT135" s="538"/>
      <c r="CU135" s="538"/>
      <c r="CV135" s="538"/>
      <c r="CW135" s="538"/>
      <c r="CX135" s="538"/>
      <c r="CY135" s="538"/>
      <c r="CZ135" s="538"/>
      <c r="DA135" s="538"/>
      <c r="DB135" s="538"/>
      <c r="DC135" s="538"/>
      <c r="DD135" s="538"/>
      <c r="DE135" s="538"/>
      <c r="DF135" s="538"/>
      <c r="DG135" s="538"/>
      <c r="DH135" s="538"/>
      <c r="DI135" s="538"/>
      <c r="DJ135" s="538"/>
      <c r="DK135" s="538"/>
      <c r="DL135" s="538"/>
      <c r="DM135" s="538"/>
      <c r="DN135" s="538"/>
      <c r="DO135" s="538"/>
      <c r="DP135" s="538"/>
      <c r="DQ135" s="538"/>
      <c r="DR135" s="538"/>
      <c r="DS135" s="538"/>
      <c r="DT135" s="538"/>
      <c r="DU135" s="538"/>
      <c r="DV135" s="538"/>
      <c r="DW135" s="538"/>
      <c r="DX135" s="538"/>
      <c r="DY135" s="538"/>
      <c r="DZ135" s="538"/>
      <c r="EA135" s="538"/>
      <c r="EB135" s="538"/>
      <c r="EC135" s="538"/>
      <c r="ED135" s="538"/>
      <c r="EE135" s="538"/>
      <c r="EF135" s="538"/>
      <c r="EG135" s="538"/>
      <c r="EH135" s="538"/>
      <c r="EI135" s="538"/>
      <c r="EJ135" s="538"/>
      <c r="EK135" s="538"/>
      <c r="EL135" s="538"/>
      <c r="EM135" s="538"/>
      <c r="EN135" s="538"/>
      <c r="EO135" s="538"/>
      <c r="EP135" s="538"/>
      <c r="EQ135" s="538"/>
      <c r="ER135" s="538"/>
      <c r="ES135" s="538"/>
      <c r="ET135" s="538"/>
      <c r="EU135" s="538"/>
      <c r="EV135" s="538"/>
      <c r="EW135" s="538"/>
      <c r="EX135" s="559"/>
      <c r="EY135" s="559"/>
      <c r="EZ135" s="559"/>
      <c r="FA135" s="559"/>
      <c r="FB135" s="559"/>
      <c r="FC135" s="559"/>
      <c r="FD135" s="559"/>
      <c r="FE135" s="559"/>
      <c r="FF135" s="559"/>
      <c r="FG135" s="559"/>
      <c r="FH135" s="559"/>
      <c r="FI135" s="559"/>
      <c r="FJ135" s="559"/>
      <c r="FK135" s="559"/>
      <c r="FL135" s="559"/>
      <c r="FM135" s="559"/>
      <c r="FN135" s="559"/>
      <c r="FO135" s="559"/>
      <c r="FP135" s="559"/>
      <c r="FQ135" s="559"/>
      <c r="FR135" s="559"/>
      <c r="FS135" s="559"/>
      <c r="FT135" s="559"/>
      <c r="FU135" s="559"/>
      <c r="FV135" s="559"/>
      <c r="FW135" s="559"/>
      <c r="FX135" s="559"/>
      <c r="FY135" s="559"/>
      <c r="FZ135" s="559"/>
      <c r="GA135" s="559"/>
      <c r="GB135" s="559"/>
      <c r="GC135" s="559"/>
      <c r="GD135" s="559"/>
      <c r="GE135" s="559"/>
      <c r="GF135" s="559"/>
      <c r="GG135" s="559"/>
      <c r="GH135" s="559"/>
    </row>
    <row r="136">
      <c r="A136" s="538"/>
      <c r="B136" s="156"/>
      <c r="C136" s="444"/>
      <c r="D136" s="614"/>
      <c r="E136" s="68"/>
      <c r="F136" s="644"/>
      <c r="G136" s="644"/>
      <c r="H136" s="627"/>
      <c r="I136" s="622" t="s">
        <v>365</v>
      </c>
      <c r="J136" s="607"/>
      <c r="K136" s="641"/>
      <c r="L136" s="628"/>
      <c r="M136" s="626"/>
      <c r="N136" s="619"/>
      <c r="O136" s="560"/>
      <c r="P136" s="47"/>
      <c r="Q136" s="47"/>
      <c r="S136" s="572"/>
      <c r="U136" s="573"/>
      <c r="V136" s="574"/>
      <c r="W136" s="618"/>
      <c r="X136" s="576">
        <v>0.0</v>
      </c>
      <c r="Y136" s="630">
        <v>0.0</v>
      </c>
      <c r="Z136" s="630" t="s">
        <v>365</v>
      </c>
      <c r="AA136" s="631" t="b">
        <v>0</v>
      </c>
      <c r="AB136" s="631"/>
      <c r="AC136" s="576"/>
      <c r="AD136" s="479">
        <v>0.0</v>
      </c>
      <c r="AE136" s="632"/>
      <c r="AF136" s="582" t="s">
        <v>365</v>
      </c>
      <c r="AG136" s="583"/>
      <c r="AH136" s="584"/>
      <c r="AI136" s="583"/>
      <c r="AJ136" s="585"/>
      <c r="AK136" s="583"/>
      <c r="AL136" s="584"/>
      <c r="AM136" s="583"/>
      <c r="AN136" s="585"/>
      <c r="AO136" s="583"/>
      <c r="AP136" s="584"/>
      <c r="AQ136" s="583"/>
      <c r="AR136" s="585"/>
      <c r="AS136" s="583"/>
      <c r="AT136" s="584"/>
      <c r="AU136" s="583"/>
      <c r="AV136" s="585"/>
      <c r="AW136" s="583"/>
      <c r="AX136" s="584"/>
      <c r="AY136" s="583"/>
      <c r="AZ136" s="585"/>
      <c r="BA136" s="583"/>
      <c r="BB136" s="584"/>
      <c r="BC136" s="583"/>
      <c r="BD136" s="585"/>
      <c r="BE136" s="583"/>
      <c r="BF136" s="584"/>
      <c r="BG136" s="583"/>
      <c r="BH136" s="585"/>
      <c r="BI136" s="583"/>
      <c r="BJ136" s="584"/>
      <c r="BK136" s="583"/>
      <c r="BL136" s="585"/>
      <c r="BM136" s="583"/>
      <c r="BN136" s="584"/>
      <c r="BO136" s="583"/>
      <c r="BP136" s="585"/>
      <c r="BQ136" s="583"/>
      <c r="BR136" s="584"/>
      <c r="BS136" s="583"/>
      <c r="BT136" s="586"/>
      <c r="BU136" s="540"/>
      <c r="BV136" s="540"/>
      <c r="BW136" s="540"/>
      <c r="BX136" s="538"/>
      <c r="BY136" s="538"/>
      <c r="BZ136" s="592"/>
      <c r="CA136" s="633"/>
      <c r="CB136" s="592" t="s">
        <v>365</v>
      </c>
      <c r="CC136" s="592">
        <v>0.0</v>
      </c>
      <c r="CD136" s="592" t="s">
        <v>365</v>
      </c>
      <c r="CE136" s="592">
        <v>0.0</v>
      </c>
      <c r="CF136" s="592"/>
      <c r="CG136" s="592">
        <v>0.0</v>
      </c>
      <c r="CH136" s="592"/>
      <c r="CI136" s="633"/>
      <c r="CJ136" s="592">
        <v>0.0</v>
      </c>
      <c r="CK136" s="479" t="s">
        <v>365</v>
      </c>
      <c r="CL136" s="592"/>
      <c r="CM136" s="593"/>
      <c r="CN136" s="538"/>
      <c r="CO136" s="538"/>
      <c r="CP136" s="538"/>
      <c r="CQ136" s="538"/>
      <c r="CR136" s="538"/>
      <c r="CS136" s="538"/>
      <c r="CT136" s="538"/>
      <c r="CU136" s="538"/>
      <c r="CV136" s="538"/>
      <c r="CW136" s="538"/>
      <c r="CX136" s="538"/>
      <c r="CY136" s="538"/>
      <c r="CZ136" s="538"/>
      <c r="DA136" s="538"/>
      <c r="DB136" s="538"/>
      <c r="DC136" s="538"/>
      <c r="DD136" s="538"/>
      <c r="DE136" s="538"/>
      <c r="DF136" s="538"/>
      <c r="DG136" s="538"/>
      <c r="DH136" s="538"/>
      <c r="DI136" s="538"/>
      <c r="DJ136" s="538"/>
      <c r="DK136" s="538"/>
      <c r="DL136" s="538"/>
      <c r="DM136" s="538"/>
      <c r="DN136" s="538"/>
      <c r="DO136" s="538"/>
      <c r="DP136" s="538"/>
      <c r="DQ136" s="538"/>
      <c r="DR136" s="538"/>
      <c r="DS136" s="538"/>
      <c r="DT136" s="538"/>
      <c r="DU136" s="538"/>
      <c r="DV136" s="538"/>
      <c r="DW136" s="538"/>
      <c r="DX136" s="538"/>
      <c r="DY136" s="538"/>
      <c r="DZ136" s="538"/>
      <c r="EA136" s="538"/>
      <c r="EB136" s="538"/>
      <c r="EC136" s="538"/>
      <c r="ED136" s="538"/>
      <c r="EE136" s="538"/>
      <c r="EF136" s="538"/>
      <c r="EG136" s="538"/>
      <c r="EH136" s="538"/>
      <c r="EI136" s="538"/>
      <c r="EJ136" s="538"/>
      <c r="EK136" s="538"/>
      <c r="EL136" s="538"/>
      <c r="EM136" s="538"/>
      <c r="EN136" s="538"/>
      <c r="EO136" s="538"/>
      <c r="EP136" s="538"/>
      <c r="EQ136" s="538"/>
      <c r="ER136" s="538"/>
      <c r="ES136" s="538"/>
      <c r="ET136" s="538"/>
      <c r="EU136" s="538"/>
      <c r="EV136" s="538"/>
      <c r="EW136" s="538"/>
      <c r="EX136" s="559"/>
      <c r="EY136" s="559"/>
      <c r="EZ136" s="559"/>
      <c r="FA136" s="559"/>
      <c r="FB136" s="559"/>
      <c r="FC136" s="559"/>
      <c r="FD136" s="559"/>
      <c r="FE136" s="559"/>
      <c r="FF136" s="559"/>
      <c r="FG136" s="559"/>
      <c r="FH136" s="559"/>
      <c r="FI136" s="559"/>
      <c r="FJ136" s="559"/>
      <c r="FK136" s="559"/>
      <c r="FL136" s="559"/>
      <c r="FM136" s="559"/>
      <c r="FN136" s="559"/>
      <c r="FO136" s="559"/>
      <c r="FP136" s="559"/>
      <c r="FQ136" s="559"/>
      <c r="FR136" s="559"/>
      <c r="FS136" s="559"/>
      <c r="FT136" s="559"/>
      <c r="FU136" s="559"/>
      <c r="FV136" s="559"/>
      <c r="FW136" s="559"/>
      <c r="FX136" s="559"/>
      <c r="FY136" s="559"/>
      <c r="FZ136" s="559"/>
      <c r="GA136" s="559"/>
      <c r="GB136" s="559"/>
      <c r="GC136" s="559"/>
      <c r="GD136" s="559"/>
      <c r="GE136" s="559"/>
      <c r="GF136" s="559"/>
      <c r="GG136" s="559"/>
      <c r="GH136" s="559"/>
    </row>
    <row r="137">
      <c r="A137" s="538"/>
      <c r="B137" s="156"/>
      <c r="C137" s="444"/>
      <c r="D137" s="614"/>
      <c r="E137" s="66"/>
      <c r="F137" s="642"/>
      <c r="G137" s="642"/>
      <c r="H137" s="615"/>
      <c r="I137" s="616" t="s">
        <v>365</v>
      </c>
      <c r="J137" s="624"/>
      <c r="K137" s="643"/>
      <c r="L137" s="640"/>
      <c r="M137" s="625"/>
      <c r="N137" s="617"/>
      <c r="O137" s="134"/>
      <c r="P137" s="57"/>
      <c r="Q137" s="57"/>
      <c r="S137" s="605"/>
      <c r="U137" s="573"/>
      <c r="V137" s="574"/>
      <c r="W137" s="618"/>
      <c r="X137" s="576">
        <v>0.0</v>
      </c>
      <c r="Y137" s="630">
        <v>0.0</v>
      </c>
      <c r="Z137" s="630" t="s">
        <v>365</v>
      </c>
      <c r="AA137" s="631" t="b">
        <v>0</v>
      </c>
      <c r="AB137" s="631"/>
      <c r="AC137" s="576"/>
      <c r="AD137" s="479">
        <v>0.0</v>
      </c>
      <c r="AE137" s="632"/>
      <c r="AF137" s="582" t="s">
        <v>365</v>
      </c>
      <c r="AG137" s="583"/>
      <c r="AH137" s="584"/>
      <c r="AI137" s="583"/>
      <c r="AJ137" s="585"/>
      <c r="AK137" s="583"/>
      <c r="AL137" s="584"/>
      <c r="AM137" s="583"/>
      <c r="AN137" s="585"/>
      <c r="AO137" s="583"/>
      <c r="AP137" s="584"/>
      <c r="AQ137" s="583"/>
      <c r="AR137" s="585"/>
      <c r="AS137" s="583"/>
      <c r="AT137" s="584"/>
      <c r="AU137" s="583"/>
      <c r="AV137" s="585"/>
      <c r="AW137" s="583"/>
      <c r="AX137" s="584"/>
      <c r="AY137" s="583"/>
      <c r="AZ137" s="585"/>
      <c r="BA137" s="583"/>
      <c r="BB137" s="584"/>
      <c r="BC137" s="583"/>
      <c r="BD137" s="585"/>
      <c r="BE137" s="583"/>
      <c r="BF137" s="584"/>
      <c r="BG137" s="583"/>
      <c r="BH137" s="585"/>
      <c r="BI137" s="583"/>
      <c r="BJ137" s="584"/>
      <c r="BK137" s="583"/>
      <c r="BL137" s="585"/>
      <c r="BM137" s="583"/>
      <c r="BN137" s="584"/>
      <c r="BO137" s="583"/>
      <c r="BP137" s="585"/>
      <c r="BQ137" s="583"/>
      <c r="BR137" s="584"/>
      <c r="BS137" s="583"/>
      <c r="BT137" s="586"/>
      <c r="BU137" s="540"/>
      <c r="BV137" s="540"/>
      <c r="BW137" s="540"/>
      <c r="BX137" s="538"/>
      <c r="BY137" s="538"/>
      <c r="BZ137" s="592"/>
      <c r="CA137" s="633"/>
      <c r="CB137" s="592" t="s">
        <v>365</v>
      </c>
      <c r="CC137" s="592">
        <v>0.0</v>
      </c>
      <c r="CD137" s="592" t="s">
        <v>365</v>
      </c>
      <c r="CE137" s="592">
        <v>0.0</v>
      </c>
      <c r="CF137" s="592"/>
      <c r="CG137" s="592">
        <v>0.0</v>
      </c>
      <c r="CH137" s="592"/>
      <c r="CI137" s="633"/>
      <c r="CJ137" s="592">
        <v>0.0</v>
      </c>
      <c r="CK137" s="479" t="s">
        <v>365</v>
      </c>
      <c r="CL137" s="592"/>
      <c r="CM137" s="593"/>
      <c r="CN137" s="538"/>
      <c r="CO137" s="538"/>
      <c r="CP137" s="538"/>
      <c r="CQ137" s="538"/>
      <c r="CR137" s="538"/>
      <c r="CS137" s="538"/>
      <c r="CT137" s="538"/>
      <c r="CU137" s="538"/>
      <c r="CV137" s="538"/>
      <c r="CW137" s="538"/>
      <c r="CX137" s="538"/>
      <c r="CY137" s="538"/>
      <c r="CZ137" s="538"/>
      <c r="DA137" s="538"/>
      <c r="DB137" s="538"/>
      <c r="DC137" s="538"/>
      <c r="DD137" s="538"/>
      <c r="DE137" s="538"/>
      <c r="DF137" s="538"/>
      <c r="DG137" s="538"/>
      <c r="DH137" s="538"/>
      <c r="DI137" s="538"/>
      <c r="DJ137" s="538"/>
      <c r="DK137" s="538"/>
      <c r="DL137" s="538"/>
      <c r="DM137" s="538"/>
      <c r="DN137" s="538"/>
      <c r="DO137" s="538"/>
      <c r="DP137" s="538"/>
      <c r="DQ137" s="538"/>
      <c r="DR137" s="538"/>
      <c r="DS137" s="538"/>
      <c r="DT137" s="538"/>
      <c r="DU137" s="538"/>
      <c r="DV137" s="538"/>
      <c r="DW137" s="538"/>
      <c r="DX137" s="538"/>
      <c r="DY137" s="538"/>
      <c r="DZ137" s="538"/>
      <c r="EA137" s="538"/>
      <c r="EB137" s="538"/>
      <c r="EC137" s="538"/>
      <c r="ED137" s="538"/>
      <c r="EE137" s="538"/>
      <c r="EF137" s="538"/>
      <c r="EG137" s="538"/>
      <c r="EH137" s="538"/>
      <c r="EI137" s="538"/>
      <c r="EJ137" s="538"/>
      <c r="EK137" s="538"/>
      <c r="EL137" s="538"/>
      <c r="EM137" s="538"/>
      <c r="EN137" s="538"/>
      <c r="EO137" s="538"/>
      <c r="EP137" s="538"/>
      <c r="EQ137" s="538"/>
      <c r="ER137" s="538"/>
      <c r="ES137" s="538"/>
      <c r="ET137" s="538"/>
      <c r="EU137" s="538"/>
      <c r="EV137" s="538"/>
      <c r="EW137" s="538"/>
      <c r="EX137" s="559"/>
      <c r="EY137" s="559"/>
      <c r="EZ137" s="559"/>
      <c r="FA137" s="559"/>
      <c r="FB137" s="559"/>
      <c r="FC137" s="559"/>
      <c r="FD137" s="559"/>
      <c r="FE137" s="559"/>
      <c r="FF137" s="559"/>
      <c r="FG137" s="559"/>
      <c r="FH137" s="559"/>
      <c r="FI137" s="559"/>
      <c r="FJ137" s="559"/>
      <c r="FK137" s="559"/>
      <c r="FL137" s="559"/>
      <c r="FM137" s="559"/>
      <c r="FN137" s="559"/>
      <c r="FO137" s="559"/>
      <c r="FP137" s="559"/>
      <c r="FQ137" s="559"/>
      <c r="FR137" s="559"/>
      <c r="FS137" s="559"/>
      <c r="FT137" s="559"/>
      <c r="FU137" s="559"/>
      <c r="FV137" s="559"/>
      <c r="FW137" s="559"/>
      <c r="FX137" s="559"/>
      <c r="FY137" s="559"/>
      <c r="FZ137" s="559"/>
      <c r="GA137" s="559"/>
      <c r="GB137" s="559"/>
      <c r="GC137" s="559"/>
      <c r="GD137" s="559"/>
      <c r="GE137" s="559"/>
      <c r="GF137" s="559"/>
      <c r="GG137" s="559"/>
      <c r="GH137" s="559"/>
    </row>
    <row r="138">
      <c r="A138" s="538"/>
      <c r="B138" s="156"/>
      <c r="C138" s="444"/>
      <c r="D138" s="614"/>
      <c r="E138" s="68"/>
      <c r="F138" s="644"/>
      <c r="G138" s="644"/>
      <c r="H138" s="627"/>
      <c r="I138" s="622" t="s">
        <v>365</v>
      </c>
      <c r="J138" s="607"/>
      <c r="K138" s="641"/>
      <c r="L138" s="628"/>
      <c r="M138" s="626"/>
      <c r="N138" s="619"/>
      <c r="O138" s="560"/>
      <c r="P138" s="47"/>
      <c r="Q138" s="47"/>
      <c r="S138" s="572"/>
      <c r="U138" s="573"/>
      <c r="V138" s="574"/>
      <c r="W138" s="618"/>
      <c r="X138" s="576">
        <v>0.0</v>
      </c>
      <c r="Y138" s="630">
        <v>0.0</v>
      </c>
      <c r="Z138" s="630" t="s">
        <v>365</v>
      </c>
      <c r="AA138" s="631" t="b">
        <v>0</v>
      </c>
      <c r="AB138" s="631"/>
      <c r="AC138" s="576"/>
      <c r="AD138" s="479">
        <v>0.0</v>
      </c>
      <c r="AE138" s="632"/>
      <c r="AF138" s="582" t="s">
        <v>365</v>
      </c>
      <c r="AG138" s="583"/>
      <c r="AH138" s="584"/>
      <c r="AI138" s="583"/>
      <c r="AJ138" s="585"/>
      <c r="AK138" s="583"/>
      <c r="AL138" s="584"/>
      <c r="AM138" s="583"/>
      <c r="AN138" s="585"/>
      <c r="AO138" s="583"/>
      <c r="AP138" s="584"/>
      <c r="AQ138" s="583"/>
      <c r="AR138" s="585"/>
      <c r="AS138" s="583"/>
      <c r="AT138" s="584"/>
      <c r="AU138" s="583"/>
      <c r="AV138" s="585"/>
      <c r="AW138" s="583"/>
      <c r="AX138" s="584"/>
      <c r="AY138" s="583"/>
      <c r="AZ138" s="585"/>
      <c r="BA138" s="583"/>
      <c r="BB138" s="584"/>
      <c r="BC138" s="583"/>
      <c r="BD138" s="585"/>
      <c r="BE138" s="583"/>
      <c r="BF138" s="584"/>
      <c r="BG138" s="583"/>
      <c r="BH138" s="585"/>
      <c r="BI138" s="583"/>
      <c r="BJ138" s="584"/>
      <c r="BK138" s="583"/>
      <c r="BL138" s="585"/>
      <c r="BM138" s="583"/>
      <c r="BN138" s="584"/>
      <c r="BO138" s="583"/>
      <c r="BP138" s="585"/>
      <c r="BQ138" s="583"/>
      <c r="BR138" s="584"/>
      <c r="BS138" s="583"/>
      <c r="BT138" s="586"/>
      <c r="BU138" s="540"/>
      <c r="BV138" s="540"/>
      <c r="BW138" s="540"/>
      <c r="BX138" s="538"/>
      <c r="BY138" s="538"/>
      <c r="BZ138" s="592"/>
      <c r="CA138" s="633"/>
      <c r="CB138" s="592" t="s">
        <v>365</v>
      </c>
      <c r="CC138" s="592">
        <v>0.0</v>
      </c>
      <c r="CD138" s="592" t="s">
        <v>365</v>
      </c>
      <c r="CE138" s="592">
        <v>0.0</v>
      </c>
      <c r="CF138" s="592"/>
      <c r="CG138" s="592">
        <v>0.0</v>
      </c>
      <c r="CH138" s="592"/>
      <c r="CI138" s="633"/>
      <c r="CJ138" s="592">
        <v>0.0</v>
      </c>
      <c r="CK138" s="479" t="s">
        <v>365</v>
      </c>
      <c r="CL138" s="592"/>
      <c r="CM138" s="593"/>
      <c r="CN138" s="538"/>
      <c r="CO138" s="538"/>
      <c r="CP138" s="538"/>
      <c r="CQ138" s="538"/>
      <c r="CR138" s="538"/>
      <c r="CS138" s="538"/>
      <c r="CT138" s="538"/>
      <c r="CU138" s="538"/>
      <c r="CV138" s="538"/>
      <c r="CW138" s="538"/>
      <c r="CX138" s="538"/>
      <c r="CY138" s="538"/>
      <c r="CZ138" s="538"/>
      <c r="DA138" s="538"/>
      <c r="DB138" s="538"/>
      <c r="DC138" s="538"/>
      <c r="DD138" s="538"/>
      <c r="DE138" s="538"/>
      <c r="DF138" s="538"/>
      <c r="DG138" s="538"/>
      <c r="DH138" s="538"/>
      <c r="DI138" s="538"/>
      <c r="DJ138" s="538"/>
      <c r="DK138" s="538"/>
      <c r="DL138" s="538"/>
      <c r="DM138" s="538"/>
      <c r="DN138" s="538"/>
      <c r="DO138" s="538"/>
      <c r="DP138" s="538"/>
      <c r="DQ138" s="538"/>
      <c r="DR138" s="538"/>
      <c r="DS138" s="538"/>
      <c r="DT138" s="538"/>
      <c r="DU138" s="538"/>
      <c r="DV138" s="538"/>
      <c r="DW138" s="538"/>
      <c r="DX138" s="538"/>
      <c r="DY138" s="538"/>
      <c r="DZ138" s="538"/>
      <c r="EA138" s="538"/>
      <c r="EB138" s="538"/>
      <c r="EC138" s="538"/>
      <c r="ED138" s="538"/>
      <c r="EE138" s="538"/>
      <c r="EF138" s="538"/>
      <c r="EG138" s="538"/>
      <c r="EH138" s="538"/>
      <c r="EI138" s="538"/>
      <c r="EJ138" s="538"/>
      <c r="EK138" s="538"/>
      <c r="EL138" s="538"/>
      <c r="EM138" s="538"/>
      <c r="EN138" s="538"/>
      <c r="EO138" s="538"/>
      <c r="EP138" s="538"/>
      <c r="EQ138" s="538"/>
      <c r="ER138" s="538"/>
      <c r="ES138" s="538"/>
      <c r="ET138" s="538"/>
      <c r="EU138" s="538"/>
      <c r="EV138" s="538"/>
      <c r="EW138" s="538"/>
      <c r="EX138" s="559"/>
      <c r="EY138" s="559"/>
      <c r="EZ138" s="559"/>
      <c r="FA138" s="559"/>
      <c r="FB138" s="559"/>
      <c r="FC138" s="559"/>
      <c r="FD138" s="559"/>
      <c r="FE138" s="559"/>
      <c r="FF138" s="559"/>
      <c r="FG138" s="559"/>
      <c r="FH138" s="559"/>
      <c r="FI138" s="559"/>
      <c r="FJ138" s="559"/>
      <c r="FK138" s="559"/>
      <c r="FL138" s="559"/>
      <c r="FM138" s="559"/>
      <c r="FN138" s="559"/>
      <c r="FO138" s="559"/>
      <c r="FP138" s="559"/>
      <c r="FQ138" s="559"/>
      <c r="FR138" s="559"/>
      <c r="FS138" s="559"/>
      <c r="FT138" s="559"/>
      <c r="FU138" s="559"/>
      <c r="FV138" s="559"/>
      <c r="FW138" s="559"/>
      <c r="FX138" s="559"/>
      <c r="FY138" s="559"/>
      <c r="FZ138" s="559"/>
      <c r="GA138" s="559"/>
      <c r="GB138" s="559"/>
      <c r="GC138" s="559"/>
      <c r="GD138" s="559"/>
      <c r="GE138" s="559"/>
      <c r="GF138" s="559"/>
      <c r="GG138" s="559"/>
      <c r="GH138" s="559"/>
    </row>
    <row r="139">
      <c r="A139" s="538"/>
      <c r="B139" s="156"/>
      <c r="C139" s="444"/>
      <c r="D139" s="614"/>
      <c r="E139" s="66"/>
      <c r="F139" s="642"/>
      <c r="G139" s="642"/>
      <c r="H139" s="615"/>
      <c r="I139" s="616" t="s">
        <v>365</v>
      </c>
      <c r="J139" s="624"/>
      <c r="K139" s="643"/>
      <c r="L139" s="640"/>
      <c r="M139" s="625"/>
      <c r="N139" s="617"/>
      <c r="O139" s="134"/>
      <c r="P139" s="57"/>
      <c r="Q139" s="57"/>
      <c r="S139" s="605"/>
      <c r="U139" s="573"/>
      <c r="V139" s="574"/>
      <c r="W139" s="618"/>
      <c r="X139" s="576">
        <v>0.0</v>
      </c>
      <c r="Y139" s="630">
        <v>0.0</v>
      </c>
      <c r="Z139" s="630" t="s">
        <v>365</v>
      </c>
      <c r="AA139" s="631" t="b">
        <v>0</v>
      </c>
      <c r="AB139" s="631"/>
      <c r="AC139" s="576"/>
      <c r="AD139" s="479">
        <v>0.0</v>
      </c>
      <c r="AE139" s="632"/>
      <c r="AF139" s="582" t="s">
        <v>365</v>
      </c>
      <c r="AG139" s="583"/>
      <c r="AH139" s="584"/>
      <c r="AI139" s="583"/>
      <c r="AJ139" s="585"/>
      <c r="AK139" s="583"/>
      <c r="AL139" s="584"/>
      <c r="AM139" s="583"/>
      <c r="AN139" s="585"/>
      <c r="AO139" s="583"/>
      <c r="AP139" s="584"/>
      <c r="AQ139" s="583"/>
      <c r="AR139" s="585"/>
      <c r="AS139" s="583"/>
      <c r="AT139" s="584"/>
      <c r="AU139" s="583"/>
      <c r="AV139" s="585"/>
      <c r="AW139" s="583"/>
      <c r="AX139" s="584"/>
      <c r="AY139" s="583"/>
      <c r="AZ139" s="585"/>
      <c r="BA139" s="583"/>
      <c r="BB139" s="584"/>
      <c r="BC139" s="583"/>
      <c r="BD139" s="585"/>
      <c r="BE139" s="583"/>
      <c r="BF139" s="584"/>
      <c r="BG139" s="583"/>
      <c r="BH139" s="585"/>
      <c r="BI139" s="583"/>
      <c r="BJ139" s="584"/>
      <c r="BK139" s="583"/>
      <c r="BL139" s="585"/>
      <c r="BM139" s="583"/>
      <c r="BN139" s="584"/>
      <c r="BO139" s="583"/>
      <c r="BP139" s="585"/>
      <c r="BQ139" s="583"/>
      <c r="BR139" s="584"/>
      <c r="BS139" s="583"/>
      <c r="BT139" s="586"/>
      <c r="BU139" s="540"/>
      <c r="BV139" s="540"/>
      <c r="BW139" s="540"/>
      <c r="BX139" s="538"/>
      <c r="BY139" s="538"/>
      <c r="BZ139" s="592"/>
      <c r="CA139" s="633"/>
      <c r="CB139" s="592" t="s">
        <v>365</v>
      </c>
      <c r="CC139" s="592">
        <v>0.0</v>
      </c>
      <c r="CD139" s="592" t="s">
        <v>365</v>
      </c>
      <c r="CE139" s="592">
        <v>0.0</v>
      </c>
      <c r="CF139" s="592"/>
      <c r="CG139" s="592">
        <v>0.0</v>
      </c>
      <c r="CH139" s="592"/>
      <c r="CI139" s="633"/>
      <c r="CJ139" s="592">
        <v>0.0</v>
      </c>
      <c r="CK139" s="479" t="s">
        <v>365</v>
      </c>
      <c r="CL139" s="592"/>
      <c r="CM139" s="593"/>
      <c r="CN139" s="538"/>
      <c r="CO139" s="538"/>
      <c r="CP139" s="538"/>
      <c r="CQ139" s="538"/>
      <c r="CR139" s="538"/>
      <c r="CS139" s="538"/>
      <c r="CT139" s="538"/>
      <c r="CU139" s="538"/>
      <c r="CV139" s="538"/>
      <c r="CW139" s="538"/>
      <c r="CX139" s="538"/>
      <c r="CY139" s="538"/>
      <c r="CZ139" s="538"/>
      <c r="DA139" s="538"/>
      <c r="DB139" s="538"/>
      <c r="DC139" s="538"/>
      <c r="DD139" s="538"/>
      <c r="DE139" s="538"/>
      <c r="DF139" s="538"/>
      <c r="DG139" s="538"/>
      <c r="DH139" s="538"/>
      <c r="DI139" s="538"/>
      <c r="DJ139" s="538"/>
      <c r="DK139" s="538"/>
      <c r="DL139" s="538"/>
      <c r="DM139" s="538"/>
      <c r="DN139" s="538"/>
      <c r="DO139" s="538"/>
      <c r="DP139" s="538"/>
      <c r="DQ139" s="538"/>
      <c r="DR139" s="538"/>
      <c r="DS139" s="538"/>
      <c r="DT139" s="538"/>
      <c r="DU139" s="538"/>
      <c r="DV139" s="538"/>
      <c r="DW139" s="538"/>
      <c r="DX139" s="538"/>
      <c r="DY139" s="538"/>
      <c r="DZ139" s="538"/>
      <c r="EA139" s="538"/>
      <c r="EB139" s="538"/>
      <c r="EC139" s="538"/>
      <c r="ED139" s="538"/>
      <c r="EE139" s="538"/>
      <c r="EF139" s="538"/>
      <c r="EG139" s="538"/>
      <c r="EH139" s="538"/>
      <c r="EI139" s="538"/>
      <c r="EJ139" s="538"/>
      <c r="EK139" s="538"/>
      <c r="EL139" s="538"/>
      <c r="EM139" s="538"/>
      <c r="EN139" s="538"/>
      <c r="EO139" s="538"/>
      <c r="EP139" s="538"/>
      <c r="EQ139" s="538"/>
      <c r="ER139" s="538"/>
      <c r="ES139" s="538"/>
      <c r="ET139" s="538"/>
      <c r="EU139" s="538"/>
      <c r="EV139" s="538"/>
      <c r="EW139" s="538"/>
      <c r="EX139" s="559"/>
      <c r="EY139" s="559"/>
      <c r="EZ139" s="559"/>
      <c r="FA139" s="559"/>
      <c r="FB139" s="559"/>
      <c r="FC139" s="559"/>
      <c r="FD139" s="559"/>
      <c r="FE139" s="559"/>
      <c r="FF139" s="559"/>
      <c r="FG139" s="559"/>
      <c r="FH139" s="559"/>
      <c r="FI139" s="559"/>
      <c r="FJ139" s="559"/>
      <c r="FK139" s="559"/>
      <c r="FL139" s="559"/>
      <c r="FM139" s="559"/>
      <c r="FN139" s="559"/>
      <c r="FO139" s="559"/>
      <c r="FP139" s="559"/>
      <c r="FQ139" s="559"/>
      <c r="FR139" s="559"/>
      <c r="FS139" s="559"/>
      <c r="FT139" s="559"/>
      <c r="FU139" s="559"/>
      <c r="FV139" s="559"/>
      <c r="FW139" s="559"/>
      <c r="FX139" s="559"/>
      <c r="FY139" s="559"/>
      <c r="FZ139" s="559"/>
      <c r="GA139" s="559"/>
      <c r="GB139" s="559"/>
      <c r="GC139" s="559"/>
      <c r="GD139" s="559"/>
      <c r="GE139" s="559"/>
      <c r="GF139" s="559"/>
      <c r="GG139" s="559"/>
      <c r="GH139" s="559"/>
    </row>
    <row r="140">
      <c r="A140" s="538"/>
      <c r="B140" s="156"/>
      <c r="C140" s="444"/>
      <c r="D140" s="614"/>
      <c r="E140" s="68"/>
      <c r="F140" s="644"/>
      <c r="G140" s="644"/>
      <c r="H140" s="627"/>
      <c r="I140" s="622" t="s">
        <v>365</v>
      </c>
      <c r="J140" s="607"/>
      <c r="K140" s="641"/>
      <c r="L140" s="628"/>
      <c r="M140" s="626"/>
      <c r="N140" s="619"/>
      <c r="O140" s="560"/>
      <c r="P140" s="47"/>
      <c r="Q140" s="47"/>
      <c r="S140" s="572"/>
      <c r="U140" s="573"/>
      <c r="V140" s="574"/>
      <c r="W140" s="618"/>
      <c r="X140" s="576">
        <v>0.0</v>
      </c>
      <c r="Y140" s="630">
        <v>0.0</v>
      </c>
      <c r="Z140" s="630" t="s">
        <v>365</v>
      </c>
      <c r="AA140" s="631" t="b">
        <v>0</v>
      </c>
      <c r="AB140" s="631"/>
      <c r="AC140" s="576"/>
      <c r="AD140" s="479">
        <v>0.0</v>
      </c>
      <c r="AE140" s="632"/>
      <c r="AF140" s="582" t="s">
        <v>365</v>
      </c>
      <c r="AG140" s="583"/>
      <c r="AH140" s="584"/>
      <c r="AI140" s="583"/>
      <c r="AJ140" s="585"/>
      <c r="AK140" s="583"/>
      <c r="AL140" s="584"/>
      <c r="AM140" s="583"/>
      <c r="AN140" s="585"/>
      <c r="AO140" s="583"/>
      <c r="AP140" s="584"/>
      <c r="AQ140" s="583"/>
      <c r="AR140" s="585"/>
      <c r="AS140" s="583"/>
      <c r="AT140" s="584"/>
      <c r="AU140" s="583"/>
      <c r="AV140" s="585"/>
      <c r="AW140" s="583"/>
      <c r="AX140" s="584"/>
      <c r="AY140" s="583"/>
      <c r="AZ140" s="585"/>
      <c r="BA140" s="583"/>
      <c r="BB140" s="584"/>
      <c r="BC140" s="583"/>
      <c r="BD140" s="585"/>
      <c r="BE140" s="583"/>
      <c r="BF140" s="584"/>
      <c r="BG140" s="583"/>
      <c r="BH140" s="585"/>
      <c r="BI140" s="583"/>
      <c r="BJ140" s="584"/>
      <c r="BK140" s="583"/>
      <c r="BL140" s="585"/>
      <c r="BM140" s="583"/>
      <c r="BN140" s="584"/>
      <c r="BO140" s="583"/>
      <c r="BP140" s="585"/>
      <c r="BQ140" s="583"/>
      <c r="BR140" s="584"/>
      <c r="BS140" s="583"/>
      <c r="BT140" s="586"/>
      <c r="BU140" s="540"/>
      <c r="BV140" s="540"/>
      <c r="BW140" s="540"/>
      <c r="BX140" s="538"/>
      <c r="BY140" s="538"/>
      <c r="BZ140" s="592"/>
      <c r="CA140" s="633"/>
      <c r="CB140" s="592" t="s">
        <v>365</v>
      </c>
      <c r="CC140" s="592">
        <v>0.0</v>
      </c>
      <c r="CD140" s="592" t="s">
        <v>365</v>
      </c>
      <c r="CE140" s="592">
        <v>0.0</v>
      </c>
      <c r="CF140" s="592"/>
      <c r="CG140" s="592">
        <v>0.0</v>
      </c>
      <c r="CH140" s="592"/>
      <c r="CI140" s="633"/>
      <c r="CJ140" s="592">
        <v>0.0</v>
      </c>
      <c r="CK140" s="479" t="s">
        <v>365</v>
      </c>
      <c r="CL140" s="592"/>
      <c r="CM140" s="593"/>
      <c r="CN140" s="538"/>
      <c r="CO140" s="538"/>
      <c r="CP140" s="538"/>
      <c r="CQ140" s="538"/>
      <c r="CR140" s="538"/>
      <c r="CS140" s="538"/>
      <c r="CT140" s="538"/>
      <c r="CU140" s="538"/>
      <c r="CV140" s="538"/>
      <c r="CW140" s="538"/>
      <c r="CX140" s="538"/>
      <c r="CY140" s="538"/>
      <c r="CZ140" s="538"/>
      <c r="DA140" s="538"/>
      <c r="DB140" s="538"/>
      <c r="DC140" s="538"/>
      <c r="DD140" s="538"/>
      <c r="DE140" s="538"/>
      <c r="DF140" s="538"/>
      <c r="DG140" s="538"/>
      <c r="DH140" s="538"/>
      <c r="DI140" s="538"/>
      <c r="DJ140" s="538"/>
      <c r="DK140" s="538"/>
      <c r="DL140" s="538"/>
      <c r="DM140" s="538"/>
      <c r="DN140" s="538"/>
      <c r="DO140" s="538"/>
      <c r="DP140" s="538"/>
      <c r="DQ140" s="538"/>
      <c r="DR140" s="538"/>
      <c r="DS140" s="538"/>
      <c r="DT140" s="538"/>
      <c r="DU140" s="538"/>
      <c r="DV140" s="538"/>
      <c r="DW140" s="538"/>
      <c r="DX140" s="538"/>
      <c r="DY140" s="538"/>
      <c r="DZ140" s="538"/>
      <c r="EA140" s="538"/>
      <c r="EB140" s="538"/>
      <c r="EC140" s="538"/>
      <c r="ED140" s="538"/>
      <c r="EE140" s="538"/>
      <c r="EF140" s="538"/>
      <c r="EG140" s="538"/>
      <c r="EH140" s="538"/>
      <c r="EI140" s="538"/>
      <c r="EJ140" s="538"/>
      <c r="EK140" s="538"/>
      <c r="EL140" s="538"/>
      <c r="EM140" s="538"/>
      <c r="EN140" s="538"/>
      <c r="EO140" s="538"/>
      <c r="EP140" s="538"/>
      <c r="EQ140" s="538"/>
      <c r="ER140" s="538"/>
      <c r="ES140" s="538"/>
      <c r="ET140" s="538"/>
      <c r="EU140" s="538"/>
      <c r="EV140" s="538"/>
      <c r="EW140" s="538"/>
      <c r="EX140" s="559"/>
      <c r="EY140" s="559"/>
      <c r="EZ140" s="559"/>
      <c r="FA140" s="559"/>
      <c r="FB140" s="559"/>
      <c r="FC140" s="559"/>
      <c r="FD140" s="559"/>
      <c r="FE140" s="559"/>
      <c r="FF140" s="559"/>
      <c r="FG140" s="559"/>
      <c r="FH140" s="559"/>
      <c r="FI140" s="559"/>
      <c r="FJ140" s="559"/>
      <c r="FK140" s="559"/>
      <c r="FL140" s="559"/>
      <c r="FM140" s="559"/>
      <c r="FN140" s="559"/>
      <c r="FO140" s="559"/>
      <c r="FP140" s="559"/>
      <c r="FQ140" s="559"/>
      <c r="FR140" s="559"/>
      <c r="FS140" s="559"/>
      <c r="FT140" s="559"/>
      <c r="FU140" s="559"/>
      <c r="FV140" s="559"/>
      <c r="FW140" s="559"/>
      <c r="FX140" s="559"/>
      <c r="FY140" s="559"/>
      <c r="FZ140" s="559"/>
      <c r="GA140" s="559"/>
      <c r="GB140" s="559"/>
      <c r="GC140" s="559"/>
      <c r="GD140" s="559"/>
      <c r="GE140" s="559"/>
      <c r="GF140" s="559"/>
      <c r="GG140" s="559"/>
      <c r="GH140" s="559"/>
    </row>
    <row r="141">
      <c r="A141" s="538"/>
      <c r="B141" s="156"/>
      <c r="C141" s="444"/>
      <c r="D141" s="614"/>
      <c r="E141" s="66"/>
      <c r="F141" s="642"/>
      <c r="G141" s="642"/>
      <c r="H141" s="615"/>
      <c r="I141" s="616" t="s">
        <v>365</v>
      </c>
      <c r="J141" s="624"/>
      <c r="K141" s="643"/>
      <c r="L141" s="640"/>
      <c r="M141" s="625"/>
      <c r="N141" s="617"/>
      <c r="O141" s="134"/>
      <c r="P141" s="57"/>
      <c r="Q141" s="57"/>
      <c r="S141" s="605"/>
      <c r="U141" s="573"/>
      <c r="V141" s="574"/>
      <c r="W141" s="618"/>
      <c r="X141" s="576">
        <v>0.0</v>
      </c>
      <c r="Y141" s="630">
        <v>0.0</v>
      </c>
      <c r="Z141" s="630" t="s">
        <v>365</v>
      </c>
      <c r="AA141" s="631" t="b">
        <v>0</v>
      </c>
      <c r="AB141" s="631"/>
      <c r="AC141" s="576"/>
      <c r="AD141" s="479">
        <v>0.0</v>
      </c>
      <c r="AE141" s="632"/>
      <c r="AF141" s="582" t="s">
        <v>365</v>
      </c>
      <c r="AG141" s="583"/>
      <c r="AH141" s="584"/>
      <c r="AI141" s="583"/>
      <c r="AJ141" s="585"/>
      <c r="AK141" s="583"/>
      <c r="AL141" s="584"/>
      <c r="AM141" s="583"/>
      <c r="AN141" s="585"/>
      <c r="AO141" s="583"/>
      <c r="AP141" s="584"/>
      <c r="AQ141" s="583"/>
      <c r="AR141" s="585"/>
      <c r="AS141" s="583"/>
      <c r="AT141" s="584"/>
      <c r="AU141" s="583"/>
      <c r="AV141" s="585"/>
      <c r="AW141" s="583"/>
      <c r="AX141" s="584"/>
      <c r="AY141" s="583"/>
      <c r="AZ141" s="585"/>
      <c r="BA141" s="583"/>
      <c r="BB141" s="584"/>
      <c r="BC141" s="583"/>
      <c r="BD141" s="585"/>
      <c r="BE141" s="583"/>
      <c r="BF141" s="584"/>
      <c r="BG141" s="583"/>
      <c r="BH141" s="585"/>
      <c r="BI141" s="583"/>
      <c r="BJ141" s="584"/>
      <c r="BK141" s="583"/>
      <c r="BL141" s="585"/>
      <c r="BM141" s="583"/>
      <c r="BN141" s="584"/>
      <c r="BO141" s="583"/>
      <c r="BP141" s="585"/>
      <c r="BQ141" s="583"/>
      <c r="BR141" s="584"/>
      <c r="BS141" s="583"/>
      <c r="BT141" s="586"/>
      <c r="BU141" s="540"/>
      <c r="BV141" s="540"/>
      <c r="BW141" s="540"/>
      <c r="BX141" s="538"/>
      <c r="BY141" s="538"/>
      <c r="BZ141" s="592"/>
      <c r="CA141" s="633"/>
      <c r="CB141" s="592" t="s">
        <v>365</v>
      </c>
      <c r="CC141" s="592">
        <v>0.0</v>
      </c>
      <c r="CD141" s="592" t="s">
        <v>365</v>
      </c>
      <c r="CE141" s="592">
        <v>0.0</v>
      </c>
      <c r="CF141" s="592"/>
      <c r="CG141" s="592">
        <v>0.0</v>
      </c>
      <c r="CH141" s="592"/>
      <c r="CI141" s="633"/>
      <c r="CJ141" s="592">
        <v>0.0</v>
      </c>
      <c r="CK141" s="479" t="s">
        <v>365</v>
      </c>
      <c r="CL141" s="592"/>
      <c r="CM141" s="593"/>
      <c r="CN141" s="538"/>
      <c r="CO141" s="538"/>
      <c r="CP141" s="538"/>
      <c r="CQ141" s="538"/>
      <c r="CR141" s="538"/>
      <c r="CS141" s="538"/>
      <c r="CT141" s="538"/>
      <c r="CU141" s="538"/>
      <c r="CV141" s="538"/>
      <c r="CW141" s="538"/>
      <c r="CX141" s="538"/>
      <c r="CY141" s="538"/>
      <c r="CZ141" s="538"/>
      <c r="DA141" s="538"/>
      <c r="DB141" s="538"/>
      <c r="DC141" s="538"/>
      <c r="DD141" s="538"/>
      <c r="DE141" s="538"/>
      <c r="DF141" s="538"/>
      <c r="DG141" s="538"/>
      <c r="DH141" s="538"/>
      <c r="DI141" s="538"/>
      <c r="DJ141" s="538"/>
      <c r="DK141" s="538"/>
      <c r="DL141" s="538"/>
      <c r="DM141" s="538"/>
      <c r="DN141" s="538"/>
      <c r="DO141" s="538"/>
      <c r="DP141" s="538"/>
      <c r="DQ141" s="538"/>
      <c r="DR141" s="538"/>
      <c r="DS141" s="538"/>
      <c r="DT141" s="538"/>
      <c r="DU141" s="538"/>
      <c r="DV141" s="538"/>
      <c r="DW141" s="538"/>
      <c r="DX141" s="538"/>
      <c r="DY141" s="538"/>
      <c r="DZ141" s="538"/>
      <c r="EA141" s="538"/>
      <c r="EB141" s="538"/>
      <c r="EC141" s="538"/>
      <c r="ED141" s="538"/>
      <c r="EE141" s="538"/>
      <c r="EF141" s="538"/>
      <c r="EG141" s="538"/>
      <c r="EH141" s="538"/>
      <c r="EI141" s="538"/>
      <c r="EJ141" s="538"/>
      <c r="EK141" s="538"/>
      <c r="EL141" s="538"/>
      <c r="EM141" s="538"/>
      <c r="EN141" s="538"/>
      <c r="EO141" s="538"/>
      <c r="EP141" s="538"/>
      <c r="EQ141" s="538"/>
      <c r="ER141" s="538"/>
      <c r="ES141" s="538"/>
      <c r="ET141" s="538"/>
      <c r="EU141" s="538"/>
      <c r="EV141" s="538"/>
      <c r="EW141" s="538"/>
      <c r="EX141" s="559"/>
      <c r="EY141" s="559"/>
      <c r="EZ141" s="559"/>
      <c r="FA141" s="559"/>
      <c r="FB141" s="559"/>
      <c r="FC141" s="559"/>
      <c r="FD141" s="559"/>
      <c r="FE141" s="559"/>
      <c r="FF141" s="559"/>
      <c r="FG141" s="559"/>
      <c r="FH141" s="559"/>
      <c r="FI141" s="559"/>
      <c r="FJ141" s="559"/>
      <c r="FK141" s="559"/>
      <c r="FL141" s="559"/>
      <c r="FM141" s="559"/>
      <c r="FN141" s="559"/>
      <c r="FO141" s="559"/>
      <c r="FP141" s="559"/>
      <c r="FQ141" s="559"/>
      <c r="FR141" s="559"/>
      <c r="FS141" s="559"/>
      <c r="FT141" s="559"/>
      <c r="FU141" s="559"/>
      <c r="FV141" s="559"/>
      <c r="FW141" s="559"/>
      <c r="FX141" s="559"/>
      <c r="FY141" s="559"/>
      <c r="FZ141" s="559"/>
      <c r="GA141" s="559"/>
      <c r="GB141" s="559"/>
      <c r="GC141" s="559"/>
      <c r="GD141" s="559"/>
      <c r="GE141" s="559"/>
      <c r="GF141" s="559"/>
      <c r="GG141" s="559"/>
      <c r="GH141" s="559"/>
    </row>
    <row r="142">
      <c r="A142" s="538"/>
      <c r="B142" s="156"/>
      <c r="C142" s="444"/>
      <c r="D142" s="614"/>
      <c r="E142" s="68"/>
      <c r="F142" s="644"/>
      <c r="G142" s="644"/>
      <c r="H142" s="627"/>
      <c r="I142" s="622" t="s">
        <v>365</v>
      </c>
      <c r="J142" s="607"/>
      <c r="K142" s="641"/>
      <c r="L142" s="628"/>
      <c r="M142" s="626"/>
      <c r="N142" s="619"/>
      <c r="O142" s="560"/>
      <c r="P142" s="47"/>
      <c r="Q142" s="47"/>
      <c r="S142" s="572"/>
      <c r="U142" s="573"/>
      <c r="V142" s="574"/>
      <c r="W142" s="618"/>
      <c r="X142" s="576">
        <v>0.0</v>
      </c>
      <c r="Y142" s="630">
        <v>0.0</v>
      </c>
      <c r="Z142" s="630" t="s">
        <v>365</v>
      </c>
      <c r="AA142" s="631" t="b">
        <v>0</v>
      </c>
      <c r="AB142" s="631"/>
      <c r="AC142" s="576"/>
      <c r="AD142" s="479">
        <v>0.0</v>
      </c>
      <c r="AE142" s="632"/>
      <c r="AF142" s="582" t="s">
        <v>365</v>
      </c>
      <c r="AG142" s="583"/>
      <c r="AH142" s="584"/>
      <c r="AI142" s="583"/>
      <c r="AJ142" s="585"/>
      <c r="AK142" s="583"/>
      <c r="AL142" s="584"/>
      <c r="AM142" s="583"/>
      <c r="AN142" s="585"/>
      <c r="AO142" s="583"/>
      <c r="AP142" s="584"/>
      <c r="AQ142" s="583"/>
      <c r="AR142" s="585"/>
      <c r="AS142" s="583"/>
      <c r="AT142" s="584"/>
      <c r="AU142" s="583"/>
      <c r="AV142" s="585"/>
      <c r="AW142" s="583"/>
      <c r="AX142" s="584"/>
      <c r="AY142" s="583"/>
      <c r="AZ142" s="585"/>
      <c r="BA142" s="583"/>
      <c r="BB142" s="584"/>
      <c r="BC142" s="583"/>
      <c r="BD142" s="585"/>
      <c r="BE142" s="583"/>
      <c r="BF142" s="584"/>
      <c r="BG142" s="583"/>
      <c r="BH142" s="585"/>
      <c r="BI142" s="583"/>
      <c r="BJ142" s="584"/>
      <c r="BK142" s="583"/>
      <c r="BL142" s="585"/>
      <c r="BM142" s="583"/>
      <c r="BN142" s="584"/>
      <c r="BO142" s="583"/>
      <c r="BP142" s="585"/>
      <c r="BQ142" s="583"/>
      <c r="BR142" s="584"/>
      <c r="BS142" s="583"/>
      <c r="BT142" s="586"/>
      <c r="BU142" s="540"/>
      <c r="BV142" s="540"/>
      <c r="BW142" s="540"/>
      <c r="BX142" s="538"/>
      <c r="BY142" s="538"/>
      <c r="BZ142" s="592"/>
      <c r="CA142" s="633"/>
      <c r="CB142" s="592" t="s">
        <v>365</v>
      </c>
      <c r="CC142" s="592">
        <v>0.0</v>
      </c>
      <c r="CD142" s="592" t="s">
        <v>365</v>
      </c>
      <c r="CE142" s="592">
        <v>0.0</v>
      </c>
      <c r="CF142" s="592"/>
      <c r="CG142" s="592">
        <v>0.0</v>
      </c>
      <c r="CH142" s="592"/>
      <c r="CI142" s="633"/>
      <c r="CJ142" s="592">
        <v>0.0</v>
      </c>
      <c r="CK142" s="479" t="s">
        <v>365</v>
      </c>
      <c r="CL142" s="592"/>
      <c r="CM142" s="593"/>
      <c r="CN142" s="538"/>
      <c r="CO142" s="538"/>
      <c r="CP142" s="538"/>
      <c r="CQ142" s="538"/>
      <c r="CR142" s="538"/>
      <c r="CS142" s="538"/>
      <c r="CT142" s="538"/>
      <c r="CU142" s="538"/>
      <c r="CV142" s="538"/>
      <c r="CW142" s="538"/>
      <c r="CX142" s="538"/>
      <c r="CY142" s="538"/>
      <c r="CZ142" s="538"/>
      <c r="DA142" s="538"/>
      <c r="DB142" s="538"/>
      <c r="DC142" s="538"/>
      <c r="DD142" s="538"/>
      <c r="DE142" s="538"/>
      <c r="DF142" s="538"/>
      <c r="DG142" s="538"/>
      <c r="DH142" s="538"/>
      <c r="DI142" s="538"/>
      <c r="DJ142" s="538"/>
      <c r="DK142" s="538"/>
      <c r="DL142" s="538"/>
      <c r="DM142" s="538"/>
      <c r="DN142" s="538"/>
      <c r="DO142" s="538"/>
      <c r="DP142" s="538"/>
      <c r="DQ142" s="538"/>
      <c r="DR142" s="538"/>
      <c r="DS142" s="538"/>
      <c r="DT142" s="538"/>
      <c r="DU142" s="538"/>
      <c r="DV142" s="538"/>
      <c r="DW142" s="538"/>
      <c r="DX142" s="538"/>
      <c r="DY142" s="538"/>
      <c r="DZ142" s="538"/>
      <c r="EA142" s="538"/>
      <c r="EB142" s="538"/>
      <c r="EC142" s="538"/>
      <c r="ED142" s="538"/>
      <c r="EE142" s="538"/>
      <c r="EF142" s="538"/>
      <c r="EG142" s="538"/>
      <c r="EH142" s="538"/>
      <c r="EI142" s="538"/>
      <c r="EJ142" s="538"/>
      <c r="EK142" s="538"/>
      <c r="EL142" s="538"/>
      <c r="EM142" s="538"/>
      <c r="EN142" s="538"/>
      <c r="EO142" s="538"/>
      <c r="EP142" s="538"/>
      <c r="EQ142" s="538"/>
      <c r="ER142" s="538"/>
      <c r="ES142" s="538"/>
      <c r="ET142" s="538"/>
      <c r="EU142" s="538"/>
      <c r="EV142" s="538"/>
      <c r="EW142" s="538"/>
      <c r="EX142" s="559"/>
      <c r="EY142" s="559"/>
      <c r="EZ142" s="559"/>
      <c r="FA142" s="559"/>
      <c r="FB142" s="559"/>
      <c r="FC142" s="559"/>
      <c r="FD142" s="559"/>
      <c r="FE142" s="559"/>
      <c r="FF142" s="559"/>
      <c r="FG142" s="559"/>
      <c r="FH142" s="559"/>
      <c r="FI142" s="559"/>
      <c r="FJ142" s="559"/>
      <c r="FK142" s="559"/>
      <c r="FL142" s="559"/>
      <c r="FM142" s="559"/>
      <c r="FN142" s="559"/>
      <c r="FO142" s="559"/>
      <c r="FP142" s="559"/>
      <c r="FQ142" s="559"/>
      <c r="FR142" s="559"/>
      <c r="FS142" s="559"/>
      <c r="FT142" s="559"/>
      <c r="FU142" s="559"/>
      <c r="FV142" s="559"/>
      <c r="FW142" s="559"/>
      <c r="FX142" s="559"/>
      <c r="FY142" s="559"/>
      <c r="FZ142" s="559"/>
      <c r="GA142" s="559"/>
      <c r="GB142" s="559"/>
      <c r="GC142" s="559"/>
      <c r="GD142" s="559"/>
      <c r="GE142" s="559"/>
      <c r="GF142" s="559"/>
      <c r="GG142" s="559"/>
      <c r="GH142" s="559"/>
    </row>
    <row r="143">
      <c r="A143" s="538"/>
      <c r="B143" s="156"/>
      <c r="C143" s="444"/>
      <c r="D143" s="614"/>
      <c r="E143" s="66"/>
      <c r="F143" s="642"/>
      <c r="G143" s="642"/>
      <c r="H143" s="615"/>
      <c r="I143" s="616" t="s">
        <v>365</v>
      </c>
      <c r="J143" s="624"/>
      <c r="K143" s="643"/>
      <c r="L143" s="640"/>
      <c r="M143" s="625"/>
      <c r="N143" s="617"/>
      <c r="O143" s="134"/>
      <c r="P143" s="57"/>
      <c r="Q143" s="57"/>
      <c r="S143" s="605"/>
      <c r="U143" s="573"/>
      <c r="V143" s="574"/>
      <c r="W143" s="618"/>
      <c r="X143" s="576">
        <v>0.0</v>
      </c>
      <c r="Y143" s="630">
        <v>0.0</v>
      </c>
      <c r="Z143" s="630" t="s">
        <v>365</v>
      </c>
      <c r="AA143" s="631" t="b">
        <v>0</v>
      </c>
      <c r="AB143" s="631"/>
      <c r="AC143" s="576"/>
      <c r="AD143" s="479">
        <v>0.0</v>
      </c>
      <c r="AE143" s="632"/>
      <c r="AF143" s="582" t="s">
        <v>365</v>
      </c>
      <c r="AG143" s="583"/>
      <c r="AH143" s="584"/>
      <c r="AI143" s="583"/>
      <c r="AJ143" s="585"/>
      <c r="AK143" s="583"/>
      <c r="AL143" s="584"/>
      <c r="AM143" s="583"/>
      <c r="AN143" s="585"/>
      <c r="AO143" s="583"/>
      <c r="AP143" s="584"/>
      <c r="AQ143" s="583"/>
      <c r="AR143" s="585"/>
      <c r="AS143" s="583"/>
      <c r="AT143" s="584"/>
      <c r="AU143" s="583"/>
      <c r="AV143" s="585"/>
      <c r="AW143" s="583"/>
      <c r="AX143" s="584"/>
      <c r="AY143" s="583"/>
      <c r="AZ143" s="585"/>
      <c r="BA143" s="583"/>
      <c r="BB143" s="584"/>
      <c r="BC143" s="583"/>
      <c r="BD143" s="585"/>
      <c r="BE143" s="583"/>
      <c r="BF143" s="584"/>
      <c r="BG143" s="583"/>
      <c r="BH143" s="585"/>
      <c r="BI143" s="583"/>
      <c r="BJ143" s="584"/>
      <c r="BK143" s="583"/>
      <c r="BL143" s="585"/>
      <c r="BM143" s="583"/>
      <c r="BN143" s="584"/>
      <c r="BO143" s="583"/>
      <c r="BP143" s="585"/>
      <c r="BQ143" s="583"/>
      <c r="BR143" s="584"/>
      <c r="BS143" s="583"/>
      <c r="BT143" s="586"/>
      <c r="BU143" s="540"/>
      <c r="BV143" s="540"/>
      <c r="BW143" s="540"/>
      <c r="BX143" s="538"/>
      <c r="BY143" s="538"/>
      <c r="BZ143" s="592"/>
      <c r="CA143" s="633"/>
      <c r="CB143" s="592" t="s">
        <v>365</v>
      </c>
      <c r="CC143" s="592">
        <v>0.0</v>
      </c>
      <c r="CD143" s="592" t="s">
        <v>365</v>
      </c>
      <c r="CE143" s="592">
        <v>0.0</v>
      </c>
      <c r="CF143" s="592"/>
      <c r="CG143" s="592">
        <v>0.0</v>
      </c>
      <c r="CH143" s="592"/>
      <c r="CI143" s="633"/>
      <c r="CJ143" s="592">
        <v>0.0</v>
      </c>
      <c r="CK143" s="479" t="s">
        <v>365</v>
      </c>
      <c r="CL143" s="592"/>
      <c r="CM143" s="593"/>
      <c r="CN143" s="538"/>
      <c r="CO143" s="538"/>
      <c r="CP143" s="538"/>
      <c r="CQ143" s="538"/>
      <c r="CR143" s="538"/>
      <c r="CS143" s="538"/>
      <c r="CT143" s="538"/>
      <c r="CU143" s="538"/>
      <c r="CV143" s="538"/>
      <c r="CW143" s="538"/>
      <c r="CX143" s="538"/>
      <c r="CY143" s="538"/>
      <c r="CZ143" s="538"/>
      <c r="DA143" s="538"/>
      <c r="DB143" s="538"/>
      <c r="DC143" s="538"/>
      <c r="DD143" s="538"/>
      <c r="DE143" s="538"/>
      <c r="DF143" s="538"/>
      <c r="DG143" s="538"/>
      <c r="DH143" s="538"/>
      <c r="DI143" s="538"/>
      <c r="DJ143" s="538"/>
      <c r="DK143" s="538"/>
      <c r="DL143" s="538"/>
      <c r="DM143" s="538"/>
      <c r="DN143" s="538"/>
      <c r="DO143" s="538"/>
      <c r="DP143" s="538"/>
      <c r="DQ143" s="538"/>
      <c r="DR143" s="538"/>
      <c r="DS143" s="538"/>
      <c r="DT143" s="538"/>
      <c r="DU143" s="538"/>
      <c r="DV143" s="538"/>
      <c r="DW143" s="538"/>
      <c r="DX143" s="538"/>
      <c r="DY143" s="538"/>
      <c r="DZ143" s="538"/>
      <c r="EA143" s="538"/>
      <c r="EB143" s="538"/>
      <c r="EC143" s="538"/>
      <c r="ED143" s="538"/>
      <c r="EE143" s="538"/>
      <c r="EF143" s="538"/>
      <c r="EG143" s="538"/>
      <c r="EH143" s="538"/>
      <c r="EI143" s="538"/>
      <c r="EJ143" s="538"/>
      <c r="EK143" s="538"/>
      <c r="EL143" s="538"/>
      <c r="EM143" s="538"/>
      <c r="EN143" s="538"/>
      <c r="EO143" s="538"/>
      <c r="EP143" s="538"/>
      <c r="EQ143" s="538"/>
      <c r="ER143" s="538"/>
      <c r="ES143" s="538"/>
      <c r="ET143" s="538"/>
      <c r="EU143" s="538"/>
      <c r="EV143" s="538"/>
      <c r="EW143" s="538"/>
      <c r="EX143" s="559"/>
      <c r="EY143" s="559"/>
      <c r="EZ143" s="559"/>
      <c r="FA143" s="559"/>
      <c r="FB143" s="559"/>
      <c r="FC143" s="559"/>
      <c r="FD143" s="559"/>
      <c r="FE143" s="559"/>
      <c r="FF143" s="559"/>
      <c r="FG143" s="559"/>
      <c r="FH143" s="559"/>
      <c r="FI143" s="559"/>
      <c r="FJ143" s="559"/>
      <c r="FK143" s="559"/>
      <c r="FL143" s="559"/>
      <c r="FM143" s="559"/>
      <c r="FN143" s="559"/>
      <c r="FO143" s="559"/>
      <c r="FP143" s="559"/>
      <c r="FQ143" s="559"/>
      <c r="FR143" s="559"/>
      <c r="FS143" s="559"/>
      <c r="FT143" s="559"/>
      <c r="FU143" s="559"/>
      <c r="FV143" s="559"/>
      <c r="FW143" s="559"/>
      <c r="FX143" s="559"/>
      <c r="FY143" s="559"/>
      <c r="FZ143" s="559"/>
      <c r="GA143" s="559"/>
      <c r="GB143" s="559"/>
      <c r="GC143" s="559"/>
      <c r="GD143" s="559"/>
      <c r="GE143" s="559"/>
      <c r="GF143" s="559"/>
      <c r="GG143" s="559"/>
      <c r="GH143" s="559"/>
    </row>
    <row r="144">
      <c r="A144" s="538"/>
      <c r="B144" s="156"/>
      <c r="C144" s="444"/>
      <c r="D144" s="614"/>
      <c r="E144" s="68"/>
      <c r="F144" s="644"/>
      <c r="G144" s="644"/>
      <c r="H144" s="627"/>
      <c r="I144" s="622" t="s">
        <v>365</v>
      </c>
      <c r="J144" s="607"/>
      <c r="K144" s="641"/>
      <c r="L144" s="628"/>
      <c r="M144" s="626"/>
      <c r="N144" s="619"/>
      <c r="O144" s="560"/>
      <c r="P144" s="47"/>
      <c r="Q144" s="47"/>
      <c r="S144" s="572"/>
      <c r="U144" s="573"/>
      <c r="V144" s="574"/>
      <c r="W144" s="618"/>
      <c r="X144" s="576">
        <v>0.0</v>
      </c>
      <c r="Y144" s="630">
        <v>0.0</v>
      </c>
      <c r="Z144" s="630" t="s">
        <v>365</v>
      </c>
      <c r="AA144" s="631" t="b">
        <v>0</v>
      </c>
      <c r="AB144" s="631"/>
      <c r="AC144" s="576"/>
      <c r="AD144" s="479">
        <v>0.0</v>
      </c>
      <c r="AE144" s="632"/>
      <c r="AF144" s="582" t="s">
        <v>365</v>
      </c>
      <c r="AG144" s="583"/>
      <c r="AH144" s="584"/>
      <c r="AI144" s="583"/>
      <c r="AJ144" s="585"/>
      <c r="AK144" s="583"/>
      <c r="AL144" s="584"/>
      <c r="AM144" s="583"/>
      <c r="AN144" s="585"/>
      <c r="AO144" s="583"/>
      <c r="AP144" s="584"/>
      <c r="AQ144" s="583"/>
      <c r="AR144" s="585"/>
      <c r="AS144" s="583"/>
      <c r="AT144" s="584"/>
      <c r="AU144" s="583"/>
      <c r="AV144" s="585"/>
      <c r="AW144" s="583"/>
      <c r="AX144" s="584"/>
      <c r="AY144" s="583"/>
      <c r="AZ144" s="585"/>
      <c r="BA144" s="583"/>
      <c r="BB144" s="584"/>
      <c r="BC144" s="583"/>
      <c r="BD144" s="585"/>
      <c r="BE144" s="583"/>
      <c r="BF144" s="584"/>
      <c r="BG144" s="583"/>
      <c r="BH144" s="585"/>
      <c r="BI144" s="583"/>
      <c r="BJ144" s="584"/>
      <c r="BK144" s="583"/>
      <c r="BL144" s="585"/>
      <c r="BM144" s="583"/>
      <c r="BN144" s="584"/>
      <c r="BO144" s="583"/>
      <c r="BP144" s="585"/>
      <c r="BQ144" s="583"/>
      <c r="BR144" s="584"/>
      <c r="BS144" s="583"/>
      <c r="BT144" s="586"/>
      <c r="BU144" s="540"/>
      <c r="BV144" s="540"/>
      <c r="BW144" s="540"/>
      <c r="BX144" s="538"/>
      <c r="BY144" s="538"/>
      <c r="BZ144" s="592"/>
      <c r="CA144" s="633"/>
      <c r="CB144" s="592" t="s">
        <v>365</v>
      </c>
      <c r="CC144" s="592">
        <v>0.0</v>
      </c>
      <c r="CD144" s="592" t="s">
        <v>365</v>
      </c>
      <c r="CE144" s="592">
        <v>0.0</v>
      </c>
      <c r="CF144" s="592"/>
      <c r="CG144" s="592">
        <v>0.0</v>
      </c>
      <c r="CH144" s="592"/>
      <c r="CI144" s="633"/>
      <c r="CJ144" s="592">
        <v>0.0</v>
      </c>
      <c r="CK144" s="479" t="s">
        <v>365</v>
      </c>
      <c r="CL144" s="592"/>
      <c r="CM144" s="593"/>
      <c r="CN144" s="538"/>
      <c r="CO144" s="538"/>
      <c r="CP144" s="538"/>
      <c r="CQ144" s="538"/>
      <c r="CR144" s="538"/>
      <c r="CS144" s="538"/>
      <c r="CT144" s="538"/>
      <c r="CU144" s="538"/>
      <c r="CV144" s="538"/>
      <c r="CW144" s="538"/>
      <c r="CX144" s="538"/>
      <c r="CY144" s="538"/>
      <c r="CZ144" s="538"/>
      <c r="DA144" s="538"/>
      <c r="DB144" s="538"/>
      <c r="DC144" s="538"/>
      <c r="DD144" s="538"/>
      <c r="DE144" s="538"/>
      <c r="DF144" s="538"/>
      <c r="DG144" s="538"/>
      <c r="DH144" s="538"/>
      <c r="DI144" s="538"/>
      <c r="DJ144" s="538"/>
      <c r="DK144" s="538"/>
      <c r="DL144" s="538"/>
      <c r="DM144" s="538"/>
      <c r="DN144" s="538"/>
      <c r="DO144" s="538"/>
      <c r="DP144" s="538"/>
      <c r="DQ144" s="538"/>
      <c r="DR144" s="538"/>
      <c r="DS144" s="538"/>
      <c r="DT144" s="538"/>
      <c r="DU144" s="538"/>
      <c r="DV144" s="538"/>
      <c r="DW144" s="538"/>
      <c r="DX144" s="538"/>
      <c r="DY144" s="538"/>
      <c r="DZ144" s="538"/>
      <c r="EA144" s="538"/>
      <c r="EB144" s="538"/>
      <c r="EC144" s="538"/>
      <c r="ED144" s="538"/>
      <c r="EE144" s="538"/>
      <c r="EF144" s="538"/>
      <c r="EG144" s="538"/>
      <c r="EH144" s="538"/>
      <c r="EI144" s="538"/>
      <c r="EJ144" s="538"/>
      <c r="EK144" s="538"/>
      <c r="EL144" s="538"/>
      <c r="EM144" s="538"/>
      <c r="EN144" s="538"/>
      <c r="EO144" s="538"/>
      <c r="EP144" s="538"/>
      <c r="EQ144" s="538"/>
      <c r="ER144" s="538"/>
      <c r="ES144" s="538"/>
      <c r="ET144" s="538"/>
      <c r="EU144" s="538"/>
      <c r="EV144" s="538"/>
      <c r="EW144" s="538"/>
      <c r="EX144" s="559"/>
      <c r="EY144" s="559"/>
      <c r="EZ144" s="559"/>
      <c r="FA144" s="559"/>
      <c r="FB144" s="559"/>
      <c r="FC144" s="559"/>
      <c r="FD144" s="559"/>
      <c r="FE144" s="559"/>
      <c r="FF144" s="559"/>
      <c r="FG144" s="559"/>
      <c r="FH144" s="559"/>
      <c r="FI144" s="559"/>
      <c r="FJ144" s="559"/>
      <c r="FK144" s="559"/>
      <c r="FL144" s="559"/>
      <c r="FM144" s="559"/>
      <c r="FN144" s="559"/>
      <c r="FO144" s="559"/>
      <c r="FP144" s="559"/>
      <c r="FQ144" s="559"/>
      <c r="FR144" s="559"/>
      <c r="FS144" s="559"/>
      <c r="FT144" s="559"/>
      <c r="FU144" s="559"/>
      <c r="FV144" s="559"/>
      <c r="FW144" s="559"/>
      <c r="FX144" s="559"/>
      <c r="FY144" s="559"/>
      <c r="FZ144" s="559"/>
      <c r="GA144" s="559"/>
      <c r="GB144" s="559"/>
      <c r="GC144" s="559"/>
      <c r="GD144" s="559"/>
      <c r="GE144" s="559"/>
      <c r="GF144" s="559"/>
      <c r="GG144" s="559"/>
      <c r="GH144" s="559"/>
    </row>
    <row r="145">
      <c r="A145" s="538"/>
      <c r="B145" s="156"/>
      <c r="C145" s="444"/>
      <c r="D145" s="614"/>
      <c r="E145" s="66"/>
      <c r="F145" s="642"/>
      <c r="G145" s="642"/>
      <c r="H145" s="615"/>
      <c r="I145" s="616" t="s">
        <v>365</v>
      </c>
      <c r="J145" s="624"/>
      <c r="K145" s="643"/>
      <c r="L145" s="640"/>
      <c r="M145" s="625"/>
      <c r="N145" s="617"/>
      <c r="O145" s="134"/>
      <c r="P145" s="57"/>
      <c r="Q145" s="57"/>
      <c r="S145" s="605"/>
      <c r="U145" s="573"/>
      <c r="V145" s="574"/>
      <c r="W145" s="618"/>
      <c r="X145" s="576">
        <v>0.0</v>
      </c>
      <c r="Y145" s="630">
        <v>0.0</v>
      </c>
      <c r="Z145" s="630" t="s">
        <v>365</v>
      </c>
      <c r="AA145" s="631" t="b">
        <v>0</v>
      </c>
      <c r="AB145" s="631"/>
      <c r="AC145" s="576"/>
      <c r="AD145" s="479">
        <v>0.0</v>
      </c>
      <c r="AE145" s="632"/>
      <c r="AF145" s="582" t="s">
        <v>365</v>
      </c>
      <c r="AG145" s="583"/>
      <c r="AH145" s="584"/>
      <c r="AI145" s="583"/>
      <c r="AJ145" s="585"/>
      <c r="AK145" s="583"/>
      <c r="AL145" s="584"/>
      <c r="AM145" s="583"/>
      <c r="AN145" s="585"/>
      <c r="AO145" s="583"/>
      <c r="AP145" s="584"/>
      <c r="AQ145" s="583"/>
      <c r="AR145" s="585"/>
      <c r="AS145" s="583"/>
      <c r="AT145" s="584"/>
      <c r="AU145" s="583"/>
      <c r="AV145" s="585"/>
      <c r="AW145" s="583"/>
      <c r="AX145" s="584"/>
      <c r="AY145" s="583"/>
      <c r="AZ145" s="585"/>
      <c r="BA145" s="583"/>
      <c r="BB145" s="584"/>
      <c r="BC145" s="583"/>
      <c r="BD145" s="585"/>
      <c r="BE145" s="583"/>
      <c r="BF145" s="584"/>
      <c r="BG145" s="583"/>
      <c r="BH145" s="585"/>
      <c r="BI145" s="583"/>
      <c r="BJ145" s="584"/>
      <c r="BK145" s="583"/>
      <c r="BL145" s="585"/>
      <c r="BM145" s="583"/>
      <c r="BN145" s="584"/>
      <c r="BO145" s="583"/>
      <c r="BP145" s="585"/>
      <c r="BQ145" s="583"/>
      <c r="BR145" s="584"/>
      <c r="BS145" s="583"/>
      <c r="BT145" s="586"/>
      <c r="BU145" s="540"/>
      <c r="BV145" s="540"/>
      <c r="BW145" s="540"/>
      <c r="BX145" s="538"/>
      <c r="BY145" s="538"/>
      <c r="BZ145" s="592"/>
      <c r="CA145" s="633"/>
      <c r="CB145" s="592" t="s">
        <v>365</v>
      </c>
      <c r="CC145" s="592">
        <v>0.0</v>
      </c>
      <c r="CD145" s="592" t="s">
        <v>365</v>
      </c>
      <c r="CE145" s="592">
        <v>0.0</v>
      </c>
      <c r="CF145" s="592"/>
      <c r="CG145" s="592">
        <v>0.0</v>
      </c>
      <c r="CH145" s="592"/>
      <c r="CI145" s="633"/>
      <c r="CJ145" s="592">
        <v>0.0</v>
      </c>
      <c r="CK145" s="479" t="s">
        <v>365</v>
      </c>
      <c r="CL145" s="592"/>
      <c r="CM145" s="593"/>
      <c r="CN145" s="538"/>
      <c r="CO145" s="538"/>
      <c r="CP145" s="538"/>
      <c r="CQ145" s="538"/>
      <c r="CR145" s="538"/>
      <c r="CS145" s="538"/>
      <c r="CT145" s="538"/>
      <c r="CU145" s="538"/>
      <c r="CV145" s="538"/>
      <c r="CW145" s="538"/>
      <c r="CX145" s="538"/>
      <c r="CY145" s="538"/>
      <c r="CZ145" s="538"/>
      <c r="DA145" s="538"/>
      <c r="DB145" s="538"/>
      <c r="DC145" s="538"/>
      <c r="DD145" s="538"/>
      <c r="DE145" s="538"/>
      <c r="DF145" s="538"/>
      <c r="DG145" s="538"/>
      <c r="DH145" s="538"/>
      <c r="DI145" s="538"/>
      <c r="DJ145" s="538"/>
      <c r="DK145" s="538"/>
      <c r="DL145" s="538"/>
      <c r="DM145" s="538"/>
      <c r="DN145" s="538"/>
      <c r="DO145" s="538"/>
      <c r="DP145" s="538"/>
      <c r="DQ145" s="538"/>
      <c r="DR145" s="538"/>
      <c r="DS145" s="538"/>
      <c r="DT145" s="538"/>
      <c r="DU145" s="538"/>
      <c r="DV145" s="538"/>
      <c r="DW145" s="538"/>
      <c r="DX145" s="538"/>
      <c r="DY145" s="538"/>
      <c r="DZ145" s="538"/>
      <c r="EA145" s="538"/>
      <c r="EB145" s="538"/>
      <c r="EC145" s="538"/>
      <c r="ED145" s="538"/>
      <c r="EE145" s="538"/>
      <c r="EF145" s="538"/>
      <c r="EG145" s="538"/>
      <c r="EH145" s="538"/>
      <c r="EI145" s="538"/>
      <c r="EJ145" s="538"/>
      <c r="EK145" s="538"/>
      <c r="EL145" s="538"/>
      <c r="EM145" s="538"/>
      <c r="EN145" s="538"/>
      <c r="EO145" s="538"/>
      <c r="EP145" s="538"/>
      <c r="EQ145" s="538"/>
      <c r="ER145" s="538"/>
      <c r="ES145" s="538"/>
      <c r="ET145" s="538"/>
      <c r="EU145" s="538"/>
      <c r="EV145" s="538"/>
      <c r="EW145" s="538"/>
      <c r="EX145" s="559"/>
      <c r="EY145" s="559"/>
      <c r="EZ145" s="559"/>
      <c r="FA145" s="559"/>
      <c r="FB145" s="559"/>
      <c r="FC145" s="559"/>
      <c r="FD145" s="559"/>
      <c r="FE145" s="559"/>
      <c r="FF145" s="559"/>
      <c r="FG145" s="559"/>
      <c r="FH145" s="559"/>
      <c r="FI145" s="559"/>
      <c r="FJ145" s="559"/>
      <c r="FK145" s="559"/>
      <c r="FL145" s="559"/>
      <c r="FM145" s="559"/>
      <c r="FN145" s="559"/>
      <c r="FO145" s="559"/>
      <c r="FP145" s="559"/>
      <c r="FQ145" s="559"/>
      <c r="FR145" s="559"/>
      <c r="FS145" s="559"/>
      <c r="FT145" s="559"/>
      <c r="FU145" s="559"/>
      <c r="FV145" s="559"/>
      <c r="FW145" s="559"/>
      <c r="FX145" s="559"/>
      <c r="FY145" s="559"/>
      <c r="FZ145" s="559"/>
      <c r="GA145" s="559"/>
      <c r="GB145" s="559"/>
      <c r="GC145" s="559"/>
      <c r="GD145" s="559"/>
      <c r="GE145" s="559"/>
      <c r="GF145" s="559"/>
      <c r="GG145" s="559"/>
      <c r="GH145" s="559"/>
    </row>
    <row r="146">
      <c r="A146" s="538"/>
      <c r="B146" s="156"/>
      <c r="C146" s="444"/>
      <c r="D146" s="614"/>
      <c r="E146" s="68"/>
      <c r="F146" s="644"/>
      <c r="G146" s="644"/>
      <c r="H146" s="627"/>
      <c r="I146" s="622" t="s">
        <v>365</v>
      </c>
      <c r="J146" s="607"/>
      <c r="K146" s="641"/>
      <c r="L146" s="628"/>
      <c r="M146" s="626"/>
      <c r="N146" s="619"/>
      <c r="O146" s="560"/>
      <c r="P146" s="47"/>
      <c r="Q146" s="47"/>
      <c r="S146" s="572"/>
      <c r="U146" s="573"/>
      <c r="V146" s="574"/>
      <c r="W146" s="618"/>
      <c r="X146" s="576">
        <v>0.0</v>
      </c>
      <c r="Y146" s="630">
        <v>0.0</v>
      </c>
      <c r="Z146" s="630" t="s">
        <v>365</v>
      </c>
      <c r="AA146" s="631" t="b">
        <v>0</v>
      </c>
      <c r="AB146" s="631"/>
      <c r="AC146" s="576"/>
      <c r="AD146" s="479">
        <v>0.0</v>
      </c>
      <c r="AE146" s="632"/>
      <c r="AF146" s="582" t="s">
        <v>365</v>
      </c>
      <c r="AG146" s="583"/>
      <c r="AH146" s="584"/>
      <c r="AI146" s="583"/>
      <c r="AJ146" s="585"/>
      <c r="AK146" s="583"/>
      <c r="AL146" s="584"/>
      <c r="AM146" s="583"/>
      <c r="AN146" s="585"/>
      <c r="AO146" s="583"/>
      <c r="AP146" s="584"/>
      <c r="AQ146" s="583"/>
      <c r="AR146" s="585"/>
      <c r="AS146" s="583"/>
      <c r="AT146" s="584"/>
      <c r="AU146" s="583"/>
      <c r="AV146" s="585"/>
      <c r="AW146" s="583"/>
      <c r="AX146" s="584"/>
      <c r="AY146" s="583"/>
      <c r="AZ146" s="585"/>
      <c r="BA146" s="583"/>
      <c r="BB146" s="584"/>
      <c r="BC146" s="583"/>
      <c r="BD146" s="585"/>
      <c r="BE146" s="583"/>
      <c r="BF146" s="584"/>
      <c r="BG146" s="583"/>
      <c r="BH146" s="585"/>
      <c r="BI146" s="583"/>
      <c r="BJ146" s="584"/>
      <c r="BK146" s="583"/>
      <c r="BL146" s="585"/>
      <c r="BM146" s="583"/>
      <c r="BN146" s="584"/>
      <c r="BO146" s="583"/>
      <c r="BP146" s="585"/>
      <c r="BQ146" s="583"/>
      <c r="BR146" s="584"/>
      <c r="BS146" s="583"/>
      <c r="BT146" s="586"/>
      <c r="BU146" s="540"/>
      <c r="BV146" s="540"/>
      <c r="BW146" s="540"/>
      <c r="BX146" s="538"/>
      <c r="BY146" s="538"/>
      <c r="BZ146" s="592"/>
      <c r="CA146" s="633"/>
      <c r="CB146" s="592" t="s">
        <v>365</v>
      </c>
      <c r="CC146" s="592">
        <v>0.0</v>
      </c>
      <c r="CD146" s="592" t="s">
        <v>365</v>
      </c>
      <c r="CE146" s="592">
        <v>0.0</v>
      </c>
      <c r="CF146" s="592"/>
      <c r="CG146" s="592">
        <v>0.0</v>
      </c>
      <c r="CH146" s="592"/>
      <c r="CI146" s="633"/>
      <c r="CJ146" s="592">
        <v>0.0</v>
      </c>
      <c r="CK146" s="479" t="s">
        <v>365</v>
      </c>
      <c r="CL146" s="592"/>
      <c r="CM146" s="593"/>
      <c r="CN146" s="538"/>
      <c r="CO146" s="538"/>
      <c r="CP146" s="538"/>
      <c r="CQ146" s="538"/>
      <c r="CR146" s="538"/>
      <c r="CS146" s="538"/>
      <c r="CT146" s="538"/>
      <c r="CU146" s="538"/>
      <c r="CV146" s="538"/>
      <c r="CW146" s="538"/>
      <c r="CX146" s="538"/>
      <c r="CY146" s="538"/>
      <c r="CZ146" s="538"/>
      <c r="DA146" s="538"/>
      <c r="DB146" s="538"/>
      <c r="DC146" s="538"/>
      <c r="DD146" s="538"/>
      <c r="DE146" s="538"/>
      <c r="DF146" s="538"/>
      <c r="DG146" s="538"/>
      <c r="DH146" s="538"/>
      <c r="DI146" s="538"/>
      <c r="DJ146" s="538"/>
      <c r="DK146" s="538"/>
      <c r="DL146" s="538"/>
      <c r="DM146" s="538"/>
      <c r="DN146" s="538"/>
      <c r="DO146" s="538"/>
      <c r="DP146" s="538"/>
      <c r="DQ146" s="538"/>
      <c r="DR146" s="538"/>
      <c r="DS146" s="538"/>
      <c r="DT146" s="538"/>
      <c r="DU146" s="538"/>
      <c r="DV146" s="538"/>
      <c r="DW146" s="538"/>
      <c r="DX146" s="538"/>
      <c r="DY146" s="538"/>
      <c r="DZ146" s="538"/>
      <c r="EA146" s="538"/>
      <c r="EB146" s="538"/>
      <c r="EC146" s="538"/>
      <c r="ED146" s="538"/>
      <c r="EE146" s="538"/>
      <c r="EF146" s="538"/>
      <c r="EG146" s="538"/>
      <c r="EH146" s="538"/>
      <c r="EI146" s="538"/>
      <c r="EJ146" s="538"/>
      <c r="EK146" s="538"/>
      <c r="EL146" s="538"/>
      <c r="EM146" s="538"/>
      <c r="EN146" s="538"/>
      <c r="EO146" s="538"/>
      <c r="EP146" s="538"/>
      <c r="EQ146" s="538"/>
      <c r="ER146" s="538"/>
      <c r="ES146" s="538"/>
      <c r="ET146" s="538"/>
      <c r="EU146" s="538"/>
      <c r="EV146" s="538"/>
      <c r="EW146" s="538"/>
      <c r="EX146" s="559"/>
      <c r="EY146" s="559"/>
      <c r="EZ146" s="559"/>
      <c r="FA146" s="559"/>
      <c r="FB146" s="559"/>
      <c r="FC146" s="559"/>
      <c r="FD146" s="559"/>
      <c r="FE146" s="559"/>
      <c r="FF146" s="559"/>
      <c r="FG146" s="559"/>
      <c r="FH146" s="559"/>
      <c r="FI146" s="559"/>
      <c r="FJ146" s="559"/>
      <c r="FK146" s="559"/>
      <c r="FL146" s="559"/>
      <c r="FM146" s="559"/>
      <c r="FN146" s="559"/>
      <c r="FO146" s="559"/>
      <c r="FP146" s="559"/>
      <c r="FQ146" s="559"/>
      <c r="FR146" s="559"/>
      <c r="FS146" s="559"/>
      <c r="FT146" s="559"/>
      <c r="FU146" s="559"/>
      <c r="FV146" s="559"/>
      <c r="FW146" s="559"/>
      <c r="FX146" s="559"/>
      <c r="FY146" s="559"/>
      <c r="FZ146" s="559"/>
      <c r="GA146" s="559"/>
      <c r="GB146" s="559"/>
      <c r="GC146" s="559"/>
      <c r="GD146" s="559"/>
      <c r="GE146" s="559"/>
      <c r="GF146" s="559"/>
      <c r="GG146" s="559"/>
      <c r="GH146" s="559"/>
    </row>
    <row r="147">
      <c r="A147" s="538"/>
      <c r="B147" s="156"/>
      <c r="C147" s="444"/>
      <c r="D147" s="614"/>
      <c r="E147" s="66"/>
      <c r="F147" s="642"/>
      <c r="G147" s="642"/>
      <c r="H147" s="615"/>
      <c r="I147" s="616" t="s">
        <v>365</v>
      </c>
      <c r="J147" s="624"/>
      <c r="K147" s="643"/>
      <c r="L147" s="640"/>
      <c r="M147" s="625"/>
      <c r="N147" s="617"/>
      <c r="O147" s="134"/>
      <c r="P147" s="57"/>
      <c r="Q147" s="57"/>
      <c r="S147" s="605"/>
      <c r="U147" s="573"/>
      <c r="V147" s="574"/>
      <c r="W147" s="618"/>
      <c r="X147" s="576">
        <v>0.0</v>
      </c>
      <c r="Y147" s="630">
        <v>0.0</v>
      </c>
      <c r="Z147" s="630" t="s">
        <v>365</v>
      </c>
      <c r="AA147" s="631" t="b">
        <v>0</v>
      </c>
      <c r="AB147" s="631"/>
      <c r="AC147" s="576"/>
      <c r="AD147" s="479">
        <v>0.0</v>
      </c>
      <c r="AE147" s="632"/>
      <c r="AF147" s="582" t="s">
        <v>365</v>
      </c>
      <c r="AG147" s="583"/>
      <c r="AH147" s="584"/>
      <c r="AI147" s="583"/>
      <c r="AJ147" s="585"/>
      <c r="AK147" s="583"/>
      <c r="AL147" s="584"/>
      <c r="AM147" s="583"/>
      <c r="AN147" s="585"/>
      <c r="AO147" s="583"/>
      <c r="AP147" s="584"/>
      <c r="AQ147" s="583"/>
      <c r="AR147" s="585"/>
      <c r="AS147" s="583"/>
      <c r="AT147" s="584"/>
      <c r="AU147" s="583"/>
      <c r="AV147" s="585"/>
      <c r="AW147" s="583"/>
      <c r="AX147" s="584"/>
      <c r="AY147" s="583"/>
      <c r="AZ147" s="585"/>
      <c r="BA147" s="583"/>
      <c r="BB147" s="584"/>
      <c r="BC147" s="583"/>
      <c r="BD147" s="585"/>
      <c r="BE147" s="583"/>
      <c r="BF147" s="584"/>
      <c r="BG147" s="583"/>
      <c r="BH147" s="585"/>
      <c r="BI147" s="583"/>
      <c r="BJ147" s="584"/>
      <c r="BK147" s="583"/>
      <c r="BL147" s="585"/>
      <c r="BM147" s="583"/>
      <c r="BN147" s="584"/>
      <c r="BO147" s="583"/>
      <c r="BP147" s="585"/>
      <c r="BQ147" s="583"/>
      <c r="BR147" s="584"/>
      <c r="BS147" s="583"/>
      <c r="BT147" s="586"/>
      <c r="BU147" s="540"/>
      <c r="BV147" s="540"/>
      <c r="BW147" s="540"/>
      <c r="BX147" s="538"/>
      <c r="BY147" s="538"/>
      <c r="BZ147" s="592"/>
      <c r="CA147" s="633"/>
      <c r="CB147" s="592" t="s">
        <v>365</v>
      </c>
      <c r="CC147" s="592">
        <v>0.0</v>
      </c>
      <c r="CD147" s="592" t="s">
        <v>365</v>
      </c>
      <c r="CE147" s="592">
        <v>0.0</v>
      </c>
      <c r="CF147" s="592"/>
      <c r="CG147" s="592">
        <v>0.0</v>
      </c>
      <c r="CH147" s="592"/>
      <c r="CI147" s="633"/>
      <c r="CJ147" s="592">
        <v>0.0</v>
      </c>
      <c r="CK147" s="479" t="s">
        <v>365</v>
      </c>
      <c r="CL147" s="592"/>
      <c r="CM147" s="593"/>
      <c r="CN147" s="538"/>
      <c r="CO147" s="538"/>
      <c r="CP147" s="538"/>
      <c r="CQ147" s="538"/>
      <c r="CR147" s="538"/>
      <c r="CS147" s="538"/>
      <c r="CT147" s="538"/>
      <c r="CU147" s="538"/>
      <c r="CV147" s="538"/>
      <c r="CW147" s="538"/>
      <c r="CX147" s="538"/>
      <c r="CY147" s="538"/>
      <c r="CZ147" s="538"/>
      <c r="DA147" s="538"/>
      <c r="DB147" s="538"/>
      <c r="DC147" s="538"/>
      <c r="DD147" s="538"/>
      <c r="DE147" s="538"/>
      <c r="DF147" s="538"/>
      <c r="DG147" s="538"/>
      <c r="DH147" s="538"/>
      <c r="DI147" s="538"/>
      <c r="DJ147" s="538"/>
      <c r="DK147" s="538"/>
      <c r="DL147" s="538"/>
      <c r="DM147" s="538"/>
      <c r="DN147" s="538"/>
      <c r="DO147" s="538"/>
      <c r="DP147" s="538"/>
      <c r="DQ147" s="538"/>
      <c r="DR147" s="538"/>
      <c r="DS147" s="538"/>
      <c r="DT147" s="538"/>
      <c r="DU147" s="538"/>
      <c r="DV147" s="538"/>
      <c r="DW147" s="538"/>
      <c r="DX147" s="538"/>
      <c r="DY147" s="538"/>
      <c r="DZ147" s="538"/>
      <c r="EA147" s="538"/>
      <c r="EB147" s="538"/>
      <c r="EC147" s="538"/>
      <c r="ED147" s="538"/>
      <c r="EE147" s="538"/>
      <c r="EF147" s="538"/>
      <c r="EG147" s="538"/>
      <c r="EH147" s="538"/>
      <c r="EI147" s="538"/>
      <c r="EJ147" s="538"/>
      <c r="EK147" s="538"/>
      <c r="EL147" s="538"/>
      <c r="EM147" s="538"/>
      <c r="EN147" s="538"/>
      <c r="EO147" s="538"/>
      <c r="EP147" s="538"/>
      <c r="EQ147" s="538"/>
      <c r="ER147" s="538"/>
      <c r="ES147" s="538"/>
      <c r="ET147" s="538"/>
      <c r="EU147" s="538"/>
      <c r="EV147" s="538"/>
      <c r="EW147" s="538"/>
      <c r="EX147" s="559"/>
      <c r="EY147" s="559"/>
      <c r="EZ147" s="559"/>
      <c r="FA147" s="559"/>
      <c r="FB147" s="559"/>
      <c r="FC147" s="559"/>
      <c r="FD147" s="559"/>
      <c r="FE147" s="559"/>
      <c r="FF147" s="559"/>
      <c r="FG147" s="559"/>
      <c r="FH147" s="559"/>
      <c r="FI147" s="559"/>
      <c r="FJ147" s="559"/>
      <c r="FK147" s="559"/>
      <c r="FL147" s="559"/>
      <c r="FM147" s="559"/>
      <c r="FN147" s="559"/>
      <c r="FO147" s="559"/>
      <c r="FP147" s="559"/>
      <c r="FQ147" s="559"/>
      <c r="FR147" s="559"/>
      <c r="FS147" s="559"/>
      <c r="FT147" s="559"/>
      <c r="FU147" s="559"/>
      <c r="FV147" s="559"/>
      <c r="FW147" s="559"/>
      <c r="FX147" s="559"/>
      <c r="FY147" s="559"/>
      <c r="FZ147" s="559"/>
      <c r="GA147" s="559"/>
      <c r="GB147" s="559"/>
      <c r="GC147" s="559"/>
      <c r="GD147" s="559"/>
      <c r="GE147" s="559"/>
      <c r="GF147" s="559"/>
      <c r="GG147" s="559"/>
      <c r="GH147" s="559"/>
    </row>
    <row r="148">
      <c r="A148" s="538"/>
      <c r="B148" s="156"/>
      <c r="C148" s="444"/>
      <c r="D148" s="614"/>
      <c r="E148" s="68"/>
      <c r="F148" s="644"/>
      <c r="G148" s="644"/>
      <c r="H148" s="627"/>
      <c r="I148" s="622" t="s">
        <v>365</v>
      </c>
      <c r="J148" s="607"/>
      <c r="K148" s="641"/>
      <c r="L148" s="628"/>
      <c r="M148" s="626"/>
      <c r="N148" s="619"/>
      <c r="O148" s="560"/>
      <c r="P148" s="47"/>
      <c r="Q148" s="47"/>
      <c r="S148" s="572"/>
      <c r="U148" s="573"/>
      <c r="V148" s="574"/>
      <c r="W148" s="618"/>
      <c r="X148" s="576">
        <v>0.0</v>
      </c>
      <c r="Y148" s="630">
        <v>0.0</v>
      </c>
      <c r="Z148" s="630" t="s">
        <v>365</v>
      </c>
      <c r="AA148" s="631" t="b">
        <v>0</v>
      </c>
      <c r="AB148" s="631"/>
      <c r="AC148" s="576"/>
      <c r="AD148" s="479">
        <v>0.0</v>
      </c>
      <c r="AE148" s="632"/>
      <c r="AF148" s="582" t="s">
        <v>365</v>
      </c>
      <c r="AG148" s="583"/>
      <c r="AH148" s="584"/>
      <c r="AI148" s="583"/>
      <c r="AJ148" s="585"/>
      <c r="AK148" s="583"/>
      <c r="AL148" s="584"/>
      <c r="AM148" s="583"/>
      <c r="AN148" s="585"/>
      <c r="AO148" s="583"/>
      <c r="AP148" s="584"/>
      <c r="AQ148" s="583"/>
      <c r="AR148" s="585"/>
      <c r="AS148" s="583"/>
      <c r="AT148" s="584"/>
      <c r="AU148" s="583"/>
      <c r="AV148" s="585"/>
      <c r="AW148" s="583"/>
      <c r="AX148" s="584"/>
      <c r="AY148" s="583"/>
      <c r="AZ148" s="585"/>
      <c r="BA148" s="583"/>
      <c r="BB148" s="584"/>
      <c r="BC148" s="583"/>
      <c r="BD148" s="585"/>
      <c r="BE148" s="583"/>
      <c r="BF148" s="584"/>
      <c r="BG148" s="583"/>
      <c r="BH148" s="585"/>
      <c r="BI148" s="583"/>
      <c r="BJ148" s="584"/>
      <c r="BK148" s="583"/>
      <c r="BL148" s="585"/>
      <c r="BM148" s="583"/>
      <c r="BN148" s="584"/>
      <c r="BO148" s="583"/>
      <c r="BP148" s="585"/>
      <c r="BQ148" s="583"/>
      <c r="BR148" s="584"/>
      <c r="BS148" s="583"/>
      <c r="BT148" s="586"/>
      <c r="BU148" s="540"/>
      <c r="BV148" s="540"/>
      <c r="BW148" s="540"/>
      <c r="BX148" s="538"/>
      <c r="BY148" s="538"/>
      <c r="BZ148" s="592"/>
      <c r="CA148" s="633"/>
      <c r="CB148" s="592" t="s">
        <v>365</v>
      </c>
      <c r="CC148" s="592">
        <v>0.0</v>
      </c>
      <c r="CD148" s="592" t="s">
        <v>365</v>
      </c>
      <c r="CE148" s="592">
        <v>0.0</v>
      </c>
      <c r="CF148" s="592"/>
      <c r="CG148" s="592">
        <v>0.0</v>
      </c>
      <c r="CH148" s="592"/>
      <c r="CI148" s="633"/>
      <c r="CJ148" s="592">
        <v>0.0</v>
      </c>
      <c r="CK148" s="479" t="s">
        <v>365</v>
      </c>
      <c r="CL148" s="592"/>
      <c r="CM148" s="593"/>
      <c r="CN148" s="538"/>
      <c r="CO148" s="538"/>
      <c r="CP148" s="538"/>
      <c r="CQ148" s="538"/>
      <c r="CR148" s="538"/>
      <c r="CS148" s="538"/>
      <c r="CT148" s="538"/>
      <c r="CU148" s="538"/>
      <c r="CV148" s="538"/>
      <c r="CW148" s="538"/>
      <c r="CX148" s="538"/>
      <c r="CY148" s="538"/>
      <c r="CZ148" s="538"/>
      <c r="DA148" s="538"/>
      <c r="DB148" s="538"/>
      <c r="DC148" s="538"/>
      <c r="DD148" s="538"/>
      <c r="DE148" s="538"/>
      <c r="DF148" s="538"/>
      <c r="DG148" s="538"/>
      <c r="DH148" s="538"/>
      <c r="DI148" s="538"/>
      <c r="DJ148" s="538"/>
      <c r="DK148" s="538"/>
      <c r="DL148" s="538"/>
      <c r="DM148" s="538"/>
      <c r="DN148" s="538"/>
      <c r="DO148" s="538"/>
      <c r="DP148" s="538"/>
      <c r="DQ148" s="538"/>
      <c r="DR148" s="538"/>
      <c r="DS148" s="538"/>
      <c r="DT148" s="538"/>
      <c r="DU148" s="538"/>
      <c r="DV148" s="538"/>
      <c r="DW148" s="538"/>
      <c r="DX148" s="538"/>
      <c r="DY148" s="538"/>
      <c r="DZ148" s="538"/>
      <c r="EA148" s="538"/>
      <c r="EB148" s="538"/>
      <c r="EC148" s="538"/>
      <c r="ED148" s="538"/>
      <c r="EE148" s="538"/>
      <c r="EF148" s="538"/>
      <c r="EG148" s="538"/>
      <c r="EH148" s="538"/>
      <c r="EI148" s="538"/>
      <c r="EJ148" s="538"/>
      <c r="EK148" s="538"/>
      <c r="EL148" s="538"/>
      <c r="EM148" s="538"/>
      <c r="EN148" s="538"/>
      <c r="EO148" s="538"/>
      <c r="EP148" s="538"/>
      <c r="EQ148" s="538"/>
      <c r="ER148" s="538"/>
      <c r="ES148" s="538"/>
      <c r="ET148" s="538"/>
      <c r="EU148" s="538"/>
      <c r="EV148" s="538"/>
      <c r="EW148" s="538"/>
      <c r="EX148" s="559"/>
      <c r="EY148" s="559"/>
      <c r="EZ148" s="559"/>
      <c r="FA148" s="559"/>
      <c r="FB148" s="559"/>
      <c r="FC148" s="559"/>
      <c r="FD148" s="559"/>
      <c r="FE148" s="559"/>
      <c r="FF148" s="559"/>
      <c r="FG148" s="559"/>
      <c r="FH148" s="559"/>
      <c r="FI148" s="559"/>
      <c r="FJ148" s="559"/>
      <c r="FK148" s="559"/>
      <c r="FL148" s="559"/>
      <c r="FM148" s="559"/>
      <c r="FN148" s="559"/>
      <c r="FO148" s="559"/>
      <c r="FP148" s="559"/>
      <c r="FQ148" s="559"/>
      <c r="FR148" s="559"/>
      <c r="FS148" s="559"/>
      <c r="FT148" s="559"/>
      <c r="FU148" s="559"/>
      <c r="FV148" s="559"/>
      <c r="FW148" s="559"/>
      <c r="FX148" s="559"/>
      <c r="FY148" s="559"/>
      <c r="FZ148" s="559"/>
      <c r="GA148" s="559"/>
      <c r="GB148" s="559"/>
      <c r="GC148" s="559"/>
      <c r="GD148" s="559"/>
      <c r="GE148" s="559"/>
      <c r="GF148" s="559"/>
      <c r="GG148" s="559"/>
      <c r="GH148" s="559"/>
    </row>
    <row r="149">
      <c r="A149" s="538"/>
      <c r="B149" s="156"/>
      <c r="C149" s="444"/>
      <c r="D149" s="614"/>
      <c r="E149" s="66"/>
      <c r="F149" s="642"/>
      <c r="G149" s="642"/>
      <c r="H149" s="615"/>
      <c r="I149" s="616" t="s">
        <v>365</v>
      </c>
      <c r="J149" s="624"/>
      <c r="K149" s="643"/>
      <c r="L149" s="640"/>
      <c r="M149" s="625"/>
      <c r="N149" s="617"/>
      <c r="O149" s="134"/>
      <c r="P149" s="57"/>
      <c r="Q149" s="57"/>
      <c r="S149" s="605"/>
      <c r="U149" s="573"/>
      <c r="V149" s="574"/>
      <c r="W149" s="618"/>
      <c r="X149" s="576">
        <v>0.0</v>
      </c>
      <c r="Y149" s="630">
        <v>0.0</v>
      </c>
      <c r="Z149" s="630" t="s">
        <v>365</v>
      </c>
      <c r="AA149" s="631" t="b">
        <v>0</v>
      </c>
      <c r="AB149" s="631"/>
      <c r="AC149" s="576"/>
      <c r="AD149" s="479">
        <v>0.0</v>
      </c>
      <c r="AE149" s="632"/>
      <c r="AF149" s="582" t="s">
        <v>365</v>
      </c>
      <c r="AG149" s="583"/>
      <c r="AH149" s="584"/>
      <c r="AI149" s="583"/>
      <c r="AJ149" s="585"/>
      <c r="AK149" s="583"/>
      <c r="AL149" s="584"/>
      <c r="AM149" s="583"/>
      <c r="AN149" s="585"/>
      <c r="AO149" s="583"/>
      <c r="AP149" s="584"/>
      <c r="AQ149" s="583"/>
      <c r="AR149" s="585"/>
      <c r="AS149" s="583"/>
      <c r="AT149" s="584"/>
      <c r="AU149" s="583"/>
      <c r="AV149" s="585"/>
      <c r="AW149" s="583"/>
      <c r="AX149" s="584"/>
      <c r="AY149" s="583"/>
      <c r="AZ149" s="585"/>
      <c r="BA149" s="583"/>
      <c r="BB149" s="584"/>
      <c r="BC149" s="583"/>
      <c r="BD149" s="585"/>
      <c r="BE149" s="583"/>
      <c r="BF149" s="584"/>
      <c r="BG149" s="583"/>
      <c r="BH149" s="585"/>
      <c r="BI149" s="583"/>
      <c r="BJ149" s="584"/>
      <c r="BK149" s="583"/>
      <c r="BL149" s="585"/>
      <c r="BM149" s="583"/>
      <c r="BN149" s="584"/>
      <c r="BO149" s="583"/>
      <c r="BP149" s="585"/>
      <c r="BQ149" s="583"/>
      <c r="BR149" s="584"/>
      <c r="BS149" s="583"/>
      <c r="BT149" s="586"/>
      <c r="BU149" s="540"/>
      <c r="BV149" s="540"/>
      <c r="BW149" s="540"/>
      <c r="BX149" s="538"/>
      <c r="BY149" s="538"/>
      <c r="BZ149" s="592"/>
      <c r="CA149" s="633"/>
      <c r="CB149" s="592" t="s">
        <v>365</v>
      </c>
      <c r="CC149" s="592">
        <v>0.0</v>
      </c>
      <c r="CD149" s="592" t="s">
        <v>365</v>
      </c>
      <c r="CE149" s="592">
        <v>0.0</v>
      </c>
      <c r="CF149" s="592"/>
      <c r="CG149" s="592">
        <v>0.0</v>
      </c>
      <c r="CH149" s="592"/>
      <c r="CI149" s="633"/>
      <c r="CJ149" s="592">
        <v>0.0</v>
      </c>
      <c r="CK149" s="479" t="s">
        <v>365</v>
      </c>
      <c r="CL149" s="592"/>
      <c r="CM149" s="593"/>
      <c r="CN149" s="538"/>
      <c r="CO149" s="538"/>
      <c r="CP149" s="538"/>
      <c r="CQ149" s="538"/>
      <c r="CR149" s="538"/>
      <c r="CS149" s="538"/>
      <c r="CT149" s="538"/>
      <c r="CU149" s="538"/>
      <c r="CV149" s="538"/>
      <c r="CW149" s="538"/>
      <c r="CX149" s="538"/>
      <c r="CY149" s="538"/>
      <c r="CZ149" s="538"/>
      <c r="DA149" s="538"/>
      <c r="DB149" s="538"/>
      <c r="DC149" s="538"/>
      <c r="DD149" s="538"/>
      <c r="DE149" s="538"/>
      <c r="DF149" s="538"/>
      <c r="DG149" s="538"/>
      <c r="DH149" s="538"/>
      <c r="DI149" s="538"/>
      <c r="DJ149" s="538"/>
      <c r="DK149" s="538"/>
      <c r="DL149" s="538"/>
      <c r="DM149" s="538"/>
      <c r="DN149" s="538"/>
      <c r="DO149" s="538"/>
      <c r="DP149" s="538"/>
      <c r="DQ149" s="538"/>
      <c r="DR149" s="538"/>
      <c r="DS149" s="538"/>
      <c r="DT149" s="538"/>
      <c r="DU149" s="538"/>
      <c r="DV149" s="538"/>
      <c r="DW149" s="538"/>
      <c r="DX149" s="538"/>
      <c r="DY149" s="538"/>
      <c r="DZ149" s="538"/>
      <c r="EA149" s="538"/>
      <c r="EB149" s="538"/>
      <c r="EC149" s="538"/>
      <c r="ED149" s="538"/>
      <c r="EE149" s="538"/>
      <c r="EF149" s="538"/>
      <c r="EG149" s="538"/>
      <c r="EH149" s="538"/>
      <c r="EI149" s="538"/>
      <c r="EJ149" s="538"/>
      <c r="EK149" s="538"/>
      <c r="EL149" s="538"/>
      <c r="EM149" s="538"/>
      <c r="EN149" s="538"/>
      <c r="EO149" s="538"/>
      <c r="EP149" s="538"/>
      <c r="EQ149" s="538"/>
      <c r="ER149" s="538"/>
      <c r="ES149" s="538"/>
      <c r="ET149" s="538"/>
      <c r="EU149" s="538"/>
      <c r="EV149" s="538"/>
      <c r="EW149" s="538"/>
      <c r="EX149" s="559"/>
      <c r="EY149" s="559"/>
      <c r="EZ149" s="559"/>
      <c r="FA149" s="559"/>
      <c r="FB149" s="559"/>
      <c r="FC149" s="559"/>
      <c r="FD149" s="559"/>
      <c r="FE149" s="559"/>
      <c r="FF149" s="559"/>
      <c r="FG149" s="559"/>
      <c r="FH149" s="559"/>
      <c r="FI149" s="559"/>
      <c r="FJ149" s="559"/>
      <c r="FK149" s="559"/>
      <c r="FL149" s="559"/>
      <c r="FM149" s="559"/>
      <c r="FN149" s="559"/>
      <c r="FO149" s="559"/>
      <c r="FP149" s="559"/>
      <c r="FQ149" s="559"/>
      <c r="FR149" s="559"/>
      <c r="FS149" s="559"/>
      <c r="FT149" s="559"/>
      <c r="FU149" s="559"/>
      <c r="FV149" s="559"/>
      <c r="FW149" s="559"/>
      <c r="FX149" s="559"/>
      <c r="FY149" s="559"/>
      <c r="FZ149" s="559"/>
      <c r="GA149" s="559"/>
      <c r="GB149" s="559"/>
      <c r="GC149" s="559"/>
      <c r="GD149" s="559"/>
      <c r="GE149" s="559"/>
      <c r="GF149" s="559"/>
      <c r="GG149" s="559"/>
      <c r="GH149" s="559"/>
    </row>
    <row r="150">
      <c r="A150" s="538"/>
      <c r="B150" s="156"/>
      <c r="C150" s="444"/>
      <c r="D150" s="614"/>
      <c r="E150" s="68"/>
      <c r="F150" s="644"/>
      <c r="G150" s="644"/>
      <c r="H150" s="627"/>
      <c r="I150" s="622" t="s">
        <v>365</v>
      </c>
      <c r="J150" s="607"/>
      <c r="K150" s="641"/>
      <c r="L150" s="628"/>
      <c r="M150" s="626"/>
      <c r="N150" s="619"/>
      <c r="O150" s="560"/>
      <c r="P150" s="47"/>
      <c r="Q150" s="47"/>
      <c r="S150" s="572"/>
      <c r="U150" s="573"/>
      <c r="V150" s="574"/>
      <c r="W150" s="618"/>
      <c r="X150" s="576">
        <v>0.0</v>
      </c>
      <c r="Y150" s="630">
        <v>0.0</v>
      </c>
      <c r="Z150" s="630" t="s">
        <v>365</v>
      </c>
      <c r="AA150" s="631" t="b">
        <v>0</v>
      </c>
      <c r="AB150" s="631"/>
      <c r="AC150" s="576"/>
      <c r="AD150" s="479">
        <v>0.0</v>
      </c>
      <c r="AE150" s="632"/>
      <c r="AF150" s="582" t="s">
        <v>365</v>
      </c>
      <c r="AG150" s="583"/>
      <c r="AH150" s="584"/>
      <c r="AI150" s="583"/>
      <c r="AJ150" s="585"/>
      <c r="AK150" s="583"/>
      <c r="AL150" s="584"/>
      <c r="AM150" s="583"/>
      <c r="AN150" s="585"/>
      <c r="AO150" s="583"/>
      <c r="AP150" s="584"/>
      <c r="AQ150" s="583"/>
      <c r="AR150" s="585"/>
      <c r="AS150" s="583"/>
      <c r="AT150" s="584"/>
      <c r="AU150" s="583"/>
      <c r="AV150" s="585"/>
      <c r="AW150" s="583"/>
      <c r="AX150" s="584"/>
      <c r="AY150" s="583"/>
      <c r="AZ150" s="585"/>
      <c r="BA150" s="583"/>
      <c r="BB150" s="584"/>
      <c r="BC150" s="583"/>
      <c r="BD150" s="585"/>
      <c r="BE150" s="583"/>
      <c r="BF150" s="584"/>
      <c r="BG150" s="583"/>
      <c r="BH150" s="585"/>
      <c r="BI150" s="583"/>
      <c r="BJ150" s="584"/>
      <c r="BK150" s="583"/>
      <c r="BL150" s="585"/>
      <c r="BM150" s="583"/>
      <c r="BN150" s="584"/>
      <c r="BO150" s="583"/>
      <c r="BP150" s="585"/>
      <c r="BQ150" s="583"/>
      <c r="BR150" s="584"/>
      <c r="BS150" s="583"/>
      <c r="BT150" s="586"/>
      <c r="BU150" s="540"/>
      <c r="BV150" s="540"/>
      <c r="BW150" s="540"/>
      <c r="BX150" s="538"/>
      <c r="BY150" s="538"/>
      <c r="BZ150" s="592"/>
      <c r="CA150" s="633"/>
      <c r="CB150" s="592" t="s">
        <v>365</v>
      </c>
      <c r="CC150" s="592">
        <v>0.0</v>
      </c>
      <c r="CD150" s="592" t="s">
        <v>365</v>
      </c>
      <c r="CE150" s="592">
        <v>0.0</v>
      </c>
      <c r="CF150" s="592"/>
      <c r="CG150" s="592">
        <v>0.0</v>
      </c>
      <c r="CH150" s="592"/>
      <c r="CI150" s="633"/>
      <c r="CJ150" s="592">
        <v>0.0</v>
      </c>
      <c r="CK150" s="479" t="s">
        <v>365</v>
      </c>
      <c r="CL150" s="592"/>
      <c r="CM150" s="593"/>
      <c r="CN150" s="538"/>
      <c r="CO150" s="538"/>
      <c r="CP150" s="538"/>
      <c r="CQ150" s="538"/>
      <c r="CR150" s="538"/>
      <c r="CS150" s="538"/>
      <c r="CT150" s="538"/>
      <c r="CU150" s="538"/>
      <c r="CV150" s="538"/>
      <c r="CW150" s="538"/>
      <c r="CX150" s="538"/>
      <c r="CY150" s="538"/>
      <c r="CZ150" s="538"/>
      <c r="DA150" s="538"/>
      <c r="DB150" s="538"/>
      <c r="DC150" s="538"/>
      <c r="DD150" s="538"/>
      <c r="DE150" s="538"/>
      <c r="DF150" s="538"/>
      <c r="DG150" s="538"/>
      <c r="DH150" s="538"/>
      <c r="DI150" s="538"/>
      <c r="DJ150" s="538"/>
      <c r="DK150" s="538"/>
      <c r="DL150" s="538"/>
      <c r="DM150" s="538"/>
      <c r="DN150" s="538"/>
      <c r="DO150" s="538"/>
      <c r="DP150" s="538"/>
      <c r="DQ150" s="538"/>
      <c r="DR150" s="538"/>
      <c r="DS150" s="538"/>
      <c r="DT150" s="538"/>
      <c r="DU150" s="538"/>
      <c r="DV150" s="538"/>
      <c r="DW150" s="538"/>
      <c r="DX150" s="538"/>
      <c r="DY150" s="538"/>
      <c r="DZ150" s="538"/>
      <c r="EA150" s="538"/>
      <c r="EB150" s="538"/>
      <c r="EC150" s="538"/>
      <c r="ED150" s="538"/>
      <c r="EE150" s="538"/>
      <c r="EF150" s="538"/>
      <c r="EG150" s="538"/>
      <c r="EH150" s="538"/>
      <c r="EI150" s="538"/>
      <c r="EJ150" s="538"/>
      <c r="EK150" s="538"/>
      <c r="EL150" s="538"/>
      <c r="EM150" s="538"/>
      <c r="EN150" s="538"/>
      <c r="EO150" s="538"/>
      <c r="EP150" s="538"/>
      <c r="EQ150" s="538"/>
      <c r="ER150" s="538"/>
      <c r="ES150" s="538"/>
      <c r="ET150" s="538"/>
      <c r="EU150" s="538"/>
      <c r="EV150" s="538"/>
      <c r="EW150" s="538"/>
      <c r="EX150" s="559"/>
      <c r="EY150" s="559"/>
      <c r="EZ150" s="559"/>
      <c r="FA150" s="559"/>
      <c r="FB150" s="559"/>
      <c r="FC150" s="559"/>
      <c r="FD150" s="559"/>
      <c r="FE150" s="559"/>
      <c r="FF150" s="559"/>
      <c r="FG150" s="559"/>
      <c r="FH150" s="559"/>
      <c r="FI150" s="559"/>
      <c r="FJ150" s="559"/>
      <c r="FK150" s="559"/>
      <c r="FL150" s="559"/>
      <c r="FM150" s="559"/>
      <c r="FN150" s="559"/>
      <c r="FO150" s="559"/>
      <c r="FP150" s="559"/>
      <c r="FQ150" s="559"/>
      <c r="FR150" s="559"/>
      <c r="FS150" s="559"/>
      <c r="FT150" s="559"/>
      <c r="FU150" s="559"/>
      <c r="FV150" s="559"/>
      <c r="FW150" s="559"/>
      <c r="FX150" s="559"/>
      <c r="FY150" s="559"/>
      <c r="FZ150" s="559"/>
      <c r="GA150" s="559"/>
      <c r="GB150" s="559"/>
      <c r="GC150" s="559"/>
      <c r="GD150" s="559"/>
      <c r="GE150" s="559"/>
      <c r="GF150" s="559"/>
      <c r="GG150" s="559"/>
      <c r="GH150" s="559"/>
    </row>
    <row r="151">
      <c r="A151" s="538"/>
      <c r="B151" s="156"/>
      <c r="C151" s="444"/>
      <c r="D151" s="614"/>
      <c r="E151" s="66"/>
      <c r="F151" s="642"/>
      <c r="G151" s="642"/>
      <c r="H151" s="615"/>
      <c r="I151" s="616" t="s">
        <v>365</v>
      </c>
      <c r="J151" s="624"/>
      <c r="K151" s="643"/>
      <c r="L151" s="640"/>
      <c r="M151" s="625"/>
      <c r="N151" s="617"/>
      <c r="O151" s="134"/>
      <c r="P151" s="57"/>
      <c r="Q151" s="57"/>
      <c r="S151" s="605"/>
      <c r="U151" s="573"/>
      <c r="V151" s="574"/>
      <c r="W151" s="618"/>
      <c r="X151" s="576">
        <v>0.0</v>
      </c>
      <c r="Y151" s="630">
        <v>0.0</v>
      </c>
      <c r="Z151" s="630" t="s">
        <v>365</v>
      </c>
      <c r="AA151" s="631" t="b">
        <v>0</v>
      </c>
      <c r="AB151" s="631"/>
      <c r="AC151" s="576"/>
      <c r="AD151" s="479">
        <v>0.0</v>
      </c>
      <c r="AE151" s="632"/>
      <c r="AF151" s="582" t="s">
        <v>365</v>
      </c>
      <c r="AG151" s="583"/>
      <c r="AH151" s="584"/>
      <c r="AI151" s="583"/>
      <c r="AJ151" s="585"/>
      <c r="AK151" s="583"/>
      <c r="AL151" s="584"/>
      <c r="AM151" s="583"/>
      <c r="AN151" s="585"/>
      <c r="AO151" s="583"/>
      <c r="AP151" s="584"/>
      <c r="AQ151" s="583"/>
      <c r="AR151" s="585"/>
      <c r="AS151" s="583"/>
      <c r="AT151" s="584"/>
      <c r="AU151" s="583"/>
      <c r="AV151" s="585"/>
      <c r="AW151" s="583"/>
      <c r="AX151" s="584"/>
      <c r="AY151" s="583"/>
      <c r="AZ151" s="585"/>
      <c r="BA151" s="583"/>
      <c r="BB151" s="584"/>
      <c r="BC151" s="583"/>
      <c r="BD151" s="585"/>
      <c r="BE151" s="583"/>
      <c r="BF151" s="584"/>
      <c r="BG151" s="583"/>
      <c r="BH151" s="585"/>
      <c r="BI151" s="583"/>
      <c r="BJ151" s="584"/>
      <c r="BK151" s="583"/>
      <c r="BL151" s="585"/>
      <c r="BM151" s="583"/>
      <c r="BN151" s="584"/>
      <c r="BO151" s="583"/>
      <c r="BP151" s="585"/>
      <c r="BQ151" s="583"/>
      <c r="BR151" s="584"/>
      <c r="BS151" s="583"/>
      <c r="BT151" s="586"/>
      <c r="BU151" s="540"/>
      <c r="BV151" s="540"/>
      <c r="BW151" s="540"/>
      <c r="BX151" s="538"/>
      <c r="BY151" s="538"/>
      <c r="BZ151" s="592"/>
      <c r="CA151" s="633"/>
      <c r="CB151" s="592" t="s">
        <v>365</v>
      </c>
      <c r="CC151" s="592">
        <v>0.0</v>
      </c>
      <c r="CD151" s="592" t="s">
        <v>365</v>
      </c>
      <c r="CE151" s="592">
        <v>0.0</v>
      </c>
      <c r="CF151" s="592"/>
      <c r="CG151" s="592">
        <v>0.0</v>
      </c>
      <c r="CH151" s="592"/>
      <c r="CI151" s="633"/>
      <c r="CJ151" s="592">
        <v>0.0</v>
      </c>
      <c r="CK151" s="479" t="s">
        <v>365</v>
      </c>
      <c r="CL151" s="592"/>
      <c r="CM151" s="593"/>
      <c r="CN151" s="538"/>
      <c r="CO151" s="538"/>
      <c r="CP151" s="538"/>
      <c r="CQ151" s="538"/>
      <c r="CR151" s="538"/>
      <c r="CS151" s="538"/>
      <c r="CT151" s="538"/>
      <c r="CU151" s="538"/>
      <c r="CV151" s="538"/>
      <c r="CW151" s="538"/>
      <c r="CX151" s="538"/>
      <c r="CY151" s="538"/>
      <c r="CZ151" s="538"/>
      <c r="DA151" s="538"/>
      <c r="DB151" s="538"/>
      <c r="DC151" s="538"/>
      <c r="DD151" s="538"/>
      <c r="DE151" s="538"/>
      <c r="DF151" s="538"/>
      <c r="DG151" s="538"/>
      <c r="DH151" s="538"/>
      <c r="DI151" s="538"/>
      <c r="DJ151" s="538"/>
      <c r="DK151" s="538"/>
      <c r="DL151" s="538"/>
      <c r="DM151" s="538"/>
      <c r="DN151" s="538"/>
      <c r="DO151" s="538"/>
      <c r="DP151" s="538"/>
      <c r="DQ151" s="538"/>
      <c r="DR151" s="538"/>
      <c r="DS151" s="538"/>
      <c r="DT151" s="538"/>
      <c r="DU151" s="538"/>
      <c r="DV151" s="538"/>
      <c r="DW151" s="538"/>
      <c r="DX151" s="538"/>
      <c r="DY151" s="538"/>
      <c r="DZ151" s="538"/>
      <c r="EA151" s="538"/>
      <c r="EB151" s="538"/>
      <c r="EC151" s="538"/>
      <c r="ED151" s="538"/>
      <c r="EE151" s="538"/>
      <c r="EF151" s="538"/>
      <c r="EG151" s="538"/>
      <c r="EH151" s="538"/>
      <c r="EI151" s="538"/>
      <c r="EJ151" s="538"/>
      <c r="EK151" s="538"/>
      <c r="EL151" s="538"/>
      <c r="EM151" s="538"/>
      <c r="EN151" s="538"/>
      <c r="EO151" s="538"/>
      <c r="EP151" s="538"/>
      <c r="EQ151" s="538"/>
      <c r="ER151" s="538"/>
      <c r="ES151" s="538"/>
      <c r="ET151" s="538"/>
      <c r="EU151" s="538"/>
      <c r="EV151" s="538"/>
      <c r="EW151" s="538"/>
      <c r="EX151" s="559"/>
      <c r="EY151" s="559"/>
      <c r="EZ151" s="559"/>
      <c r="FA151" s="559"/>
      <c r="FB151" s="559"/>
      <c r="FC151" s="559"/>
      <c r="FD151" s="559"/>
      <c r="FE151" s="559"/>
      <c r="FF151" s="559"/>
      <c r="FG151" s="559"/>
      <c r="FH151" s="559"/>
      <c r="FI151" s="559"/>
      <c r="FJ151" s="559"/>
      <c r="FK151" s="559"/>
      <c r="FL151" s="559"/>
      <c r="FM151" s="559"/>
      <c r="FN151" s="559"/>
      <c r="FO151" s="559"/>
      <c r="FP151" s="559"/>
      <c r="FQ151" s="559"/>
      <c r="FR151" s="559"/>
      <c r="FS151" s="559"/>
      <c r="FT151" s="559"/>
      <c r="FU151" s="559"/>
      <c r="FV151" s="559"/>
      <c r="FW151" s="559"/>
      <c r="FX151" s="559"/>
      <c r="FY151" s="559"/>
      <c r="FZ151" s="559"/>
      <c r="GA151" s="559"/>
      <c r="GB151" s="559"/>
      <c r="GC151" s="559"/>
      <c r="GD151" s="559"/>
      <c r="GE151" s="559"/>
      <c r="GF151" s="559"/>
      <c r="GG151" s="559"/>
      <c r="GH151" s="559"/>
    </row>
    <row r="152">
      <c r="A152" s="538"/>
      <c r="B152" s="156"/>
      <c r="C152" s="444"/>
      <c r="D152" s="614"/>
      <c r="E152" s="68"/>
      <c r="F152" s="644"/>
      <c r="G152" s="644"/>
      <c r="H152" s="627"/>
      <c r="I152" s="622" t="s">
        <v>365</v>
      </c>
      <c r="J152" s="607"/>
      <c r="K152" s="641"/>
      <c r="L152" s="628"/>
      <c r="M152" s="626"/>
      <c r="N152" s="619"/>
      <c r="O152" s="560"/>
      <c r="P152" s="47"/>
      <c r="Q152" s="47"/>
      <c r="S152" s="572"/>
      <c r="U152" s="573"/>
      <c r="V152" s="574"/>
      <c r="W152" s="618"/>
      <c r="X152" s="576">
        <v>0.0</v>
      </c>
      <c r="Y152" s="630">
        <v>0.0</v>
      </c>
      <c r="Z152" s="630" t="s">
        <v>365</v>
      </c>
      <c r="AA152" s="631" t="b">
        <v>0</v>
      </c>
      <c r="AB152" s="631"/>
      <c r="AC152" s="576"/>
      <c r="AD152" s="479">
        <v>0.0</v>
      </c>
      <c r="AE152" s="632"/>
      <c r="AF152" s="582" t="s">
        <v>365</v>
      </c>
      <c r="AG152" s="583"/>
      <c r="AH152" s="584"/>
      <c r="AI152" s="583"/>
      <c r="AJ152" s="585"/>
      <c r="AK152" s="583"/>
      <c r="AL152" s="584"/>
      <c r="AM152" s="583"/>
      <c r="AN152" s="585"/>
      <c r="AO152" s="583"/>
      <c r="AP152" s="584"/>
      <c r="AQ152" s="583"/>
      <c r="AR152" s="585"/>
      <c r="AS152" s="583"/>
      <c r="AT152" s="584"/>
      <c r="AU152" s="583"/>
      <c r="AV152" s="585"/>
      <c r="AW152" s="583"/>
      <c r="AX152" s="584"/>
      <c r="AY152" s="583"/>
      <c r="AZ152" s="585"/>
      <c r="BA152" s="583"/>
      <c r="BB152" s="584"/>
      <c r="BC152" s="583"/>
      <c r="BD152" s="585"/>
      <c r="BE152" s="583"/>
      <c r="BF152" s="584"/>
      <c r="BG152" s="583"/>
      <c r="BH152" s="585"/>
      <c r="BI152" s="583"/>
      <c r="BJ152" s="584"/>
      <c r="BK152" s="583"/>
      <c r="BL152" s="585"/>
      <c r="BM152" s="583"/>
      <c r="BN152" s="584"/>
      <c r="BO152" s="583"/>
      <c r="BP152" s="585"/>
      <c r="BQ152" s="583"/>
      <c r="BR152" s="584"/>
      <c r="BS152" s="583"/>
      <c r="BT152" s="586"/>
      <c r="BU152" s="540"/>
      <c r="BV152" s="540"/>
      <c r="BW152" s="540"/>
      <c r="BX152" s="538"/>
      <c r="BY152" s="538"/>
      <c r="BZ152" s="592"/>
      <c r="CA152" s="633"/>
      <c r="CB152" s="592" t="s">
        <v>365</v>
      </c>
      <c r="CC152" s="592">
        <v>0.0</v>
      </c>
      <c r="CD152" s="592" t="s">
        <v>365</v>
      </c>
      <c r="CE152" s="592">
        <v>0.0</v>
      </c>
      <c r="CF152" s="592"/>
      <c r="CG152" s="592">
        <v>0.0</v>
      </c>
      <c r="CH152" s="592"/>
      <c r="CI152" s="633"/>
      <c r="CJ152" s="592">
        <v>0.0</v>
      </c>
      <c r="CK152" s="479" t="s">
        <v>365</v>
      </c>
      <c r="CL152" s="592"/>
      <c r="CM152" s="593"/>
      <c r="CN152" s="538"/>
      <c r="CO152" s="538"/>
      <c r="CP152" s="538"/>
      <c r="CQ152" s="538"/>
      <c r="CR152" s="538"/>
      <c r="CS152" s="538"/>
      <c r="CT152" s="538"/>
      <c r="CU152" s="538"/>
      <c r="CV152" s="538"/>
      <c r="CW152" s="538"/>
      <c r="CX152" s="538"/>
      <c r="CY152" s="538"/>
      <c r="CZ152" s="538"/>
      <c r="DA152" s="538"/>
      <c r="DB152" s="538"/>
      <c r="DC152" s="538"/>
      <c r="DD152" s="538"/>
      <c r="DE152" s="538"/>
      <c r="DF152" s="538"/>
      <c r="DG152" s="538"/>
      <c r="DH152" s="538"/>
      <c r="DI152" s="538"/>
      <c r="DJ152" s="538"/>
      <c r="DK152" s="538"/>
      <c r="DL152" s="538"/>
      <c r="DM152" s="538"/>
      <c r="DN152" s="538"/>
      <c r="DO152" s="538"/>
      <c r="DP152" s="538"/>
      <c r="DQ152" s="538"/>
      <c r="DR152" s="538"/>
      <c r="DS152" s="538"/>
      <c r="DT152" s="538"/>
      <c r="DU152" s="538"/>
      <c r="DV152" s="538"/>
      <c r="DW152" s="538"/>
      <c r="DX152" s="538"/>
      <c r="DY152" s="538"/>
      <c r="DZ152" s="538"/>
      <c r="EA152" s="538"/>
      <c r="EB152" s="538"/>
      <c r="EC152" s="538"/>
      <c r="ED152" s="538"/>
      <c r="EE152" s="538"/>
      <c r="EF152" s="538"/>
      <c r="EG152" s="538"/>
      <c r="EH152" s="538"/>
      <c r="EI152" s="538"/>
      <c r="EJ152" s="538"/>
      <c r="EK152" s="538"/>
      <c r="EL152" s="538"/>
      <c r="EM152" s="538"/>
      <c r="EN152" s="538"/>
      <c r="EO152" s="538"/>
      <c r="EP152" s="538"/>
      <c r="EQ152" s="538"/>
      <c r="ER152" s="538"/>
      <c r="ES152" s="538"/>
      <c r="ET152" s="538"/>
      <c r="EU152" s="538"/>
      <c r="EV152" s="538"/>
      <c r="EW152" s="538"/>
      <c r="EX152" s="559"/>
      <c r="EY152" s="559"/>
      <c r="EZ152" s="559"/>
      <c r="FA152" s="559"/>
      <c r="FB152" s="559"/>
      <c r="FC152" s="559"/>
      <c r="FD152" s="559"/>
      <c r="FE152" s="559"/>
      <c r="FF152" s="559"/>
      <c r="FG152" s="559"/>
      <c r="FH152" s="559"/>
      <c r="FI152" s="559"/>
      <c r="FJ152" s="559"/>
      <c r="FK152" s="559"/>
      <c r="FL152" s="559"/>
      <c r="FM152" s="559"/>
      <c r="FN152" s="559"/>
      <c r="FO152" s="559"/>
      <c r="FP152" s="559"/>
      <c r="FQ152" s="559"/>
      <c r="FR152" s="559"/>
      <c r="FS152" s="559"/>
      <c r="FT152" s="559"/>
      <c r="FU152" s="559"/>
      <c r="FV152" s="559"/>
      <c r="FW152" s="559"/>
      <c r="FX152" s="559"/>
      <c r="FY152" s="559"/>
      <c r="FZ152" s="559"/>
      <c r="GA152" s="559"/>
      <c r="GB152" s="559"/>
      <c r="GC152" s="559"/>
      <c r="GD152" s="559"/>
      <c r="GE152" s="559"/>
      <c r="GF152" s="559"/>
      <c r="GG152" s="559"/>
      <c r="GH152" s="559"/>
    </row>
    <row r="153">
      <c r="A153" s="538"/>
      <c r="B153" s="156"/>
      <c r="C153" s="444"/>
      <c r="D153" s="614"/>
      <c r="E153" s="66"/>
      <c r="F153" s="642"/>
      <c r="G153" s="642"/>
      <c r="H153" s="615"/>
      <c r="I153" s="616" t="s">
        <v>365</v>
      </c>
      <c r="J153" s="624"/>
      <c r="K153" s="643"/>
      <c r="L153" s="640"/>
      <c r="M153" s="625"/>
      <c r="N153" s="617"/>
      <c r="O153" s="134"/>
      <c r="P153" s="57"/>
      <c r="Q153" s="57"/>
      <c r="S153" s="605"/>
      <c r="U153" s="573"/>
      <c r="V153" s="574"/>
      <c r="W153" s="618"/>
      <c r="X153" s="576">
        <v>0.0</v>
      </c>
      <c r="Y153" s="630">
        <v>0.0</v>
      </c>
      <c r="Z153" s="630" t="s">
        <v>365</v>
      </c>
      <c r="AA153" s="631" t="b">
        <v>0</v>
      </c>
      <c r="AB153" s="631"/>
      <c r="AC153" s="576"/>
      <c r="AD153" s="479">
        <v>0.0</v>
      </c>
      <c r="AE153" s="632"/>
      <c r="AF153" s="582" t="s">
        <v>365</v>
      </c>
      <c r="AG153" s="583"/>
      <c r="AH153" s="584"/>
      <c r="AI153" s="583"/>
      <c r="AJ153" s="585"/>
      <c r="AK153" s="583"/>
      <c r="AL153" s="584"/>
      <c r="AM153" s="583"/>
      <c r="AN153" s="585"/>
      <c r="AO153" s="583"/>
      <c r="AP153" s="584"/>
      <c r="AQ153" s="583"/>
      <c r="AR153" s="585"/>
      <c r="AS153" s="583"/>
      <c r="AT153" s="584"/>
      <c r="AU153" s="583"/>
      <c r="AV153" s="585"/>
      <c r="AW153" s="583"/>
      <c r="AX153" s="584"/>
      <c r="AY153" s="583"/>
      <c r="AZ153" s="585"/>
      <c r="BA153" s="583"/>
      <c r="BB153" s="584"/>
      <c r="BC153" s="583"/>
      <c r="BD153" s="585"/>
      <c r="BE153" s="583"/>
      <c r="BF153" s="584"/>
      <c r="BG153" s="583"/>
      <c r="BH153" s="585"/>
      <c r="BI153" s="583"/>
      <c r="BJ153" s="584"/>
      <c r="BK153" s="583"/>
      <c r="BL153" s="585"/>
      <c r="BM153" s="583"/>
      <c r="BN153" s="584"/>
      <c r="BO153" s="583"/>
      <c r="BP153" s="585"/>
      <c r="BQ153" s="583"/>
      <c r="BR153" s="584"/>
      <c r="BS153" s="583"/>
      <c r="BT153" s="586"/>
      <c r="BU153" s="540"/>
      <c r="BV153" s="540"/>
      <c r="BW153" s="540"/>
      <c r="BX153" s="538"/>
      <c r="BY153" s="538"/>
      <c r="BZ153" s="592"/>
      <c r="CA153" s="633"/>
      <c r="CB153" s="592" t="s">
        <v>365</v>
      </c>
      <c r="CC153" s="592">
        <v>0.0</v>
      </c>
      <c r="CD153" s="592" t="s">
        <v>365</v>
      </c>
      <c r="CE153" s="592">
        <v>0.0</v>
      </c>
      <c r="CF153" s="592"/>
      <c r="CG153" s="592">
        <v>0.0</v>
      </c>
      <c r="CH153" s="592"/>
      <c r="CI153" s="633"/>
      <c r="CJ153" s="592">
        <v>0.0</v>
      </c>
      <c r="CK153" s="479" t="s">
        <v>365</v>
      </c>
      <c r="CL153" s="592"/>
      <c r="CM153" s="593"/>
      <c r="CN153" s="538"/>
      <c r="CO153" s="538"/>
      <c r="CP153" s="538"/>
      <c r="CQ153" s="538"/>
      <c r="CR153" s="538"/>
      <c r="CS153" s="538"/>
      <c r="CT153" s="538"/>
      <c r="CU153" s="538"/>
      <c r="CV153" s="538"/>
      <c r="CW153" s="538"/>
      <c r="CX153" s="538"/>
      <c r="CY153" s="538"/>
      <c r="CZ153" s="538"/>
      <c r="DA153" s="538"/>
      <c r="DB153" s="538"/>
      <c r="DC153" s="538"/>
      <c r="DD153" s="538"/>
      <c r="DE153" s="538"/>
      <c r="DF153" s="538"/>
      <c r="DG153" s="538"/>
      <c r="DH153" s="538"/>
      <c r="DI153" s="538"/>
      <c r="DJ153" s="538"/>
      <c r="DK153" s="538"/>
      <c r="DL153" s="538"/>
      <c r="DM153" s="538"/>
      <c r="DN153" s="538"/>
      <c r="DO153" s="538"/>
      <c r="DP153" s="538"/>
      <c r="DQ153" s="538"/>
      <c r="DR153" s="538"/>
      <c r="DS153" s="538"/>
      <c r="DT153" s="538"/>
      <c r="DU153" s="538"/>
      <c r="DV153" s="538"/>
      <c r="DW153" s="538"/>
      <c r="DX153" s="538"/>
      <c r="DY153" s="538"/>
      <c r="DZ153" s="538"/>
      <c r="EA153" s="538"/>
      <c r="EB153" s="538"/>
      <c r="EC153" s="538"/>
      <c r="ED153" s="538"/>
      <c r="EE153" s="538"/>
      <c r="EF153" s="538"/>
      <c r="EG153" s="538"/>
      <c r="EH153" s="538"/>
      <c r="EI153" s="538"/>
      <c r="EJ153" s="538"/>
      <c r="EK153" s="538"/>
      <c r="EL153" s="538"/>
      <c r="EM153" s="538"/>
      <c r="EN153" s="538"/>
      <c r="EO153" s="538"/>
      <c r="EP153" s="538"/>
      <c r="EQ153" s="538"/>
      <c r="ER153" s="538"/>
      <c r="ES153" s="538"/>
      <c r="ET153" s="538"/>
      <c r="EU153" s="538"/>
      <c r="EV153" s="538"/>
      <c r="EW153" s="538"/>
      <c r="EX153" s="559"/>
      <c r="EY153" s="559"/>
      <c r="EZ153" s="559"/>
      <c r="FA153" s="559"/>
      <c r="FB153" s="559"/>
      <c r="FC153" s="559"/>
      <c r="FD153" s="559"/>
      <c r="FE153" s="559"/>
      <c r="FF153" s="559"/>
      <c r="FG153" s="559"/>
      <c r="FH153" s="559"/>
      <c r="FI153" s="559"/>
      <c r="FJ153" s="559"/>
      <c r="FK153" s="559"/>
      <c r="FL153" s="559"/>
      <c r="FM153" s="559"/>
      <c r="FN153" s="559"/>
      <c r="FO153" s="559"/>
      <c r="FP153" s="559"/>
      <c r="FQ153" s="559"/>
      <c r="FR153" s="559"/>
      <c r="FS153" s="559"/>
      <c r="FT153" s="559"/>
      <c r="FU153" s="559"/>
      <c r="FV153" s="559"/>
      <c r="FW153" s="559"/>
      <c r="FX153" s="559"/>
      <c r="FY153" s="559"/>
      <c r="FZ153" s="559"/>
      <c r="GA153" s="559"/>
      <c r="GB153" s="559"/>
      <c r="GC153" s="559"/>
      <c r="GD153" s="559"/>
      <c r="GE153" s="559"/>
      <c r="GF153" s="559"/>
      <c r="GG153" s="559"/>
      <c r="GH153" s="559"/>
    </row>
    <row r="154">
      <c r="A154" s="538"/>
      <c r="B154" s="156"/>
      <c r="C154" s="444"/>
      <c r="D154" s="614"/>
      <c r="E154" s="68"/>
      <c r="F154" s="644"/>
      <c r="G154" s="644"/>
      <c r="H154" s="627"/>
      <c r="I154" s="622" t="s">
        <v>365</v>
      </c>
      <c r="J154" s="607"/>
      <c r="K154" s="641"/>
      <c r="L154" s="628"/>
      <c r="M154" s="626"/>
      <c r="N154" s="619"/>
      <c r="O154" s="560"/>
      <c r="P154" s="47"/>
      <c r="Q154" s="47"/>
      <c r="S154" s="572"/>
      <c r="U154" s="573"/>
      <c r="V154" s="574"/>
      <c r="W154" s="618"/>
      <c r="X154" s="576">
        <v>0.0</v>
      </c>
      <c r="Y154" s="630">
        <v>0.0</v>
      </c>
      <c r="Z154" s="630" t="s">
        <v>365</v>
      </c>
      <c r="AA154" s="631" t="b">
        <v>0</v>
      </c>
      <c r="AB154" s="631"/>
      <c r="AC154" s="576"/>
      <c r="AD154" s="479">
        <v>0.0</v>
      </c>
      <c r="AE154" s="632"/>
      <c r="AF154" s="582" t="s">
        <v>365</v>
      </c>
      <c r="AG154" s="583"/>
      <c r="AH154" s="584"/>
      <c r="AI154" s="583"/>
      <c r="AJ154" s="585"/>
      <c r="AK154" s="583"/>
      <c r="AL154" s="584"/>
      <c r="AM154" s="583"/>
      <c r="AN154" s="585"/>
      <c r="AO154" s="583"/>
      <c r="AP154" s="584"/>
      <c r="AQ154" s="583"/>
      <c r="AR154" s="585"/>
      <c r="AS154" s="583"/>
      <c r="AT154" s="584"/>
      <c r="AU154" s="583"/>
      <c r="AV154" s="585"/>
      <c r="AW154" s="583"/>
      <c r="AX154" s="584"/>
      <c r="AY154" s="583"/>
      <c r="AZ154" s="585"/>
      <c r="BA154" s="583"/>
      <c r="BB154" s="584"/>
      <c r="BC154" s="583"/>
      <c r="BD154" s="585"/>
      <c r="BE154" s="583"/>
      <c r="BF154" s="584"/>
      <c r="BG154" s="583"/>
      <c r="BH154" s="585"/>
      <c r="BI154" s="583"/>
      <c r="BJ154" s="584"/>
      <c r="BK154" s="583"/>
      <c r="BL154" s="585"/>
      <c r="BM154" s="583"/>
      <c r="BN154" s="584"/>
      <c r="BO154" s="583"/>
      <c r="BP154" s="585"/>
      <c r="BQ154" s="583"/>
      <c r="BR154" s="584"/>
      <c r="BS154" s="583"/>
      <c r="BT154" s="586"/>
      <c r="BU154" s="540"/>
      <c r="BV154" s="540"/>
      <c r="BW154" s="540"/>
      <c r="BX154" s="538"/>
      <c r="BY154" s="538"/>
      <c r="BZ154" s="592"/>
      <c r="CA154" s="633"/>
      <c r="CB154" s="592" t="s">
        <v>365</v>
      </c>
      <c r="CC154" s="592">
        <v>0.0</v>
      </c>
      <c r="CD154" s="592" t="s">
        <v>365</v>
      </c>
      <c r="CE154" s="592">
        <v>0.0</v>
      </c>
      <c r="CF154" s="592"/>
      <c r="CG154" s="592">
        <v>0.0</v>
      </c>
      <c r="CH154" s="592"/>
      <c r="CI154" s="633"/>
      <c r="CJ154" s="592">
        <v>0.0</v>
      </c>
      <c r="CK154" s="479" t="s">
        <v>365</v>
      </c>
      <c r="CL154" s="592"/>
      <c r="CM154" s="593"/>
      <c r="CN154" s="538"/>
      <c r="CO154" s="538"/>
      <c r="CP154" s="538"/>
      <c r="CQ154" s="538"/>
      <c r="CR154" s="538"/>
      <c r="CS154" s="538"/>
      <c r="CT154" s="538"/>
      <c r="CU154" s="538"/>
      <c r="CV154" s="538"/>
      <c r="CW154" s="538"/>
      <c r="CX154" s="538"/>
      <c r="CY154" s="538"/>
      <c r="CZ154" s="538"/>
      <c r="DA154" s="538"/>
      <c r="DB154" s="538"/>
      <c r="DC154" s="538"/>
      <c r="DD154" s="538"/>
      <c r="DE154" s="538"/>
      <c r="DF154" s="538"/>
      <c r="DG154" s="538"/>
      <c r="DH154" s="538"/>
      <c r="DI154" s="538"/>
      <c r="DJ154" s="538"/>
      <c r="DK154" s="538"/>
      <c r="DL154" s="538"/>
      <c r="DM154" s="538"/>
      <c r="DN154" s="538"/>
      <c r="DO154" s="538"/>
      <c r="DP154" s="538"/>
      <c r="DQ154" s="538"/>
      <c r="DR154" s="538"/>
      <c r="DS154" s="538"/>
      <c r="DT154" s="538"/>
      <c r="DU154" s="538"/>
      <c r="DV154" s="538"/>
      <c r="DW154" s="538"/>
      <c r="DX154" s="538"/>
      <c r="DY154" s="538"/>
      <c r="DZ154" s="538"/>
      <c r="EA154" s="538"/>
      <c r="EB154" s="538"/>
      <c r="EC154" s="538"/>
      <c r="ED154" s="538"/>
      <c r="EE154" s="538"/>
      <c r="EF154" s="538"/>
      <c r="EG154" s="538"/>
      <c r="EH154" s="538"/>
      <c r="EI154" s="538"/>
      <c r="EJ154" s="538"/>
      <c r="EK154" s="538"/>
      <c r="EL154" s="538"/>
      <c r="EM154" s="538"/>
      <c r="EN154" s="538"/>
      <c r="EO154" s="538"/>
      <c r="EP154" s="538"/>
      <c r="EQ154" s="538"/>
      <c r="ER154" s="538"/>
      <c r="ES154" s="538"/>
      <c r="ET154" s="538"/>
      <c r="EU154" s="538"/>
      <c r="EV154" s="538"/>
      <c r="EW154" s="538"/>
      <c r="EX154" s="559"/>
      <c r="EY154" s="559"/>
      <c r="EZ154" s="559"/>
      <c r="FA154" s="559"/>
      <c r="FB154" s="559"/>
      <c r="FC154" s="559"/>
      <c r="FD154" s="559"/>
      <c r="FE154" s="559"/>
      <c r="FF154" s="559"/>
      <c r="FG154" s="559"/>
      <c r="FH154" s="559"/>
      <c r="FI154" s="559"/>
      <c r="FJ154" s="559"/>
      <c r="FK154" s="559"/>
      <c r="FL154" s="559"/>
      <c r="FM154" s="559"/>
      <c r="FN154" s="559"/>
      <c r="FO154" s="559"/>
      <c r="FP154" s="559"/>
      <c r="FQ154" s="559"/>
      <c r="FR154" s="559"/>
      <c r="FS154" s="559"/>
      <c r="FT154" s="559"/>
      <c r="FU154" s="559"/>
      <c r="FV154" s="559"/>
      <c r="FW154" s="559"/>
      <c r="FX154" s="559"/>
      <c r="FY154" s="559"/>
      <c r="FZ154" s="559"/>
      <c r="GA154" s="559"/>
      <c r="GB154" s="559"/>
      <c r="GC154" s="559"/>
      <c r="GD154" s="559"/>
      <c r="GE154" s="559"/>
      <c r="GF154" s="559"/>
      <c r="GG154" s="559"/>
      <c r="GH154" s="559"/>
    </row>
    <row r="155">
      <c r="A155" s="538"/>
      <c r="B155" s="156"/>
      <c r="C155" s="444"/>
      <c r="D155" s="614"/>
      <c r="E155" s="66"/>
      <c r="F155" s="642"/>
      <c r="G155" s="642"/>
      <c r="H155" s="615"/>
      <c r="I155" s="616" t="s">
        <v>365</v>
      </c>
      <c r="J155" s="624"/>
      <c r="K155" s="643"/>
      <c r="L155" s="640"/>
      <c r="M155" s="625"/>
      <c r="N155" s="617"/>
      <c r="O155" s="134"/>
      <c r="P155" s="57"/>
      <c r="Q155" s="57"/>
      <c r="S155" s="605"/>
      <c r="U155" s="573"/>
      <c r="V155" s="574"/>
      <c r="W155" s="618"/>
      <c r="X155" s="576">
        <v>0.0</v>
      </c>
      <c r="Y155" s="630">
        <v>0.0</v>
      </c>
      <c r="Z155" s="630" t="s">
        <v>365</v>
      </c>
      <c r="AA155" s="631" t="b">
        <v>0</v>
      </c>
      <c r="AB155" s="631"/>
      <c r="AC155" s="576"/>
      <c r="AD155" s="479">
        <v>0.0</v>
      </c>
      <c r="AE155" s="632"/>
      <c r="AF155" s="582" t="s">
        <v>365</v>
      </c>
      <c r="AG155" s="583"/>
      <c r="AH155" s="584"/>
      <c r="AI155" s="583"/>
      <c r="AJ155" s="585"/>
      <c r="AK155" s="583"/>
      <c r="AL155" s="584"/>
      <c r="AM155" s="583"/>
      <c r="AN155" s="585"/>
      <c r="AO155" s="583"/>
      <c r="AP155" s="584"/>
      <c r="AQ155" s="583"/>
      <c r="AR155" s="585"/>
      <c r="AS155" s="583"/>
      <c r="AT155" s="584"/>
      <c r="AU155" s="583"/>
      <c r="AV155" s="585"/>
      <c r="AW155" s="583"/>
      <c r="AX155" s="584"/>
      <c r="AY155" s="583"/>
      <c r="AZ155" s="585"/>
      <c r="BA155" s="583"/>
      <c r="BB155" s="584"/>
      <c r="BC155" s="583"/>
      <c r="BD155" s="585"/>
      <c r="BE155" s="583"/>
      <c r="BF155" s="584"/>
      <c r="BG155" s="583"/>
      <c r="BH155" s="585"/>
      <c r="BI155" s="583"/>
      <c r="BJ155" s="584"/>
      <c r="BK155" s="583"/>
      <c r="BL155" s="585"/>
      <c r="BM155" s="583"/>
      <c r="BN155" s="584"/>
      <c r="BO155" s="583"/>
      <c r="BP155" s="585"/>
      <c r="BQ155" s="583"/>
      <c r="BR155" s="584"/>
      <c r="BS155" s="583"/>
      <c r="BT155" s="586"/>
      <c r="BU155" s="540"/>
      <c r="BV155" s="540"/>
      <c r="BW155" s="540"/>
      <c r="BX155" s="538"/>
      <c r="BY155" s="538"/>
      <c r="BZ155" s="592"/>
      <c r="CA155" s="633"/>
      <c r="CB155" s="592" t="s">
        <v>365</v>
      </c>
      <c r="CC155" s="592">
        <v>0.0</v>
      </c>
      <c r="CD155" s="592" t="s">
        <v>365</v>
      </c>
      <c r="CE155" s="592">
        <v>0.0</v>
      </c>
      <c r="CF155" s="592"/>
      <c r="CG155" s="592">
        <v>0.0</v>
      </c>
      <c r="CH155" s="592"/>
      <c r="CI155" s="633"/>
      <c r="CJ155" s="592">
        <v>0.0</v>
      </c>
      <c r="CK155" s="479" t="s">
        <v>365</v>
      </c>
      <c r="CL155" s="592"/>
      <c r="CM155" s="593"/>
      <c r="CN155" s="538"/>
      <c r="CO155" s="538"/>
      <c r="CP155" s="538"/>
      <c r="CQ155" s="538"/>
      <c r="CR155" s="538"/>
      <c r="CS155" s="538"/>
      <c r="CT155" s="538"/>
      <c r="CU155" s="538"/>
      <c r="CV155" s="538"/>
      <c r="CW155" s="538"/>
      <c r="CX155" s="538"/>
      <c r="CY155" s="538"/>
      <c r="CZ155" s="538"/>
      <c r="DA155" s="538"/>
      <c r="DB155" s="538"/>
      <c r="DC155" s="538"/>
      <c r="DD155" s="538"/>
      <c r="DE155" s="538"/>
      <c r="DF155" s="538"/>
      <c r="DG155" s="538"/>
      <c r="DH155" s="538"/>
      <c r="DI155" s="538"/>
      <c r="DJ155" s="538"/>
      <c r="DK155" s="538"/>
      <c r="DL155" s="538"/>
      <c r="DM155" s="538"/>
      <c r="DN155" s="538"/>
      <c r="DO155" s="538"/>
      <c r="DP155" s="538"/>
      <c r="DQ155" s="538"/>
      <c r="DR155" s="538"/>
      <c r="DS155" s="538"/>
      <c r="DT155" s="538"/>
      <c r="DU155" s="538"/>
      <c r="DV155" s="538"/>
      <c r="DW155" s="538"/>
      <c r="DX155" s="538"/>
      <c r="DY155" s="538"/>
      <c r="DZ155" s="538"/>
      <c r="EA155" s="538"/>
      <c r="EB155" s="538"/>
      <c r="EC155" s="538"/>
      <c r="ED155" s="538"/>
      <c r="EE155" s="538"/>
      <c r="EF155" s="538"/>
      <c r="EG155" s="538"/>
      <c r="EH155" s="538"/>
      <c r="EI155" s="538"/>
      <c r="EJ155" s="538"/>
      <c r="EK155" s="538"/>
      <c r="EL155" s="538"/>
      <c r="EM155" s="538"/>
      <c r="EN155" s="538"/>
      <c r="EO155" s="538"/>
      <c r="EP155" s="538"/>
      <c r="EQ155" s="538"/>
      <c r="ER155" s="538"/>
      <c r="ES155" s="538"/>
      <c r="ET155" s="538"/>
      <c r="EU155" s="538"/>
      <c r="EV155" s="538"/>
      <c r="EW155" s="538"/>
      <c r="EX155" s="559"/>
      <c r="EY155" s="559"/>
      <c r="EZ155" s="559"/>
      <c r="FA155" s="559"/>
      <c r="FB155" s="559"/>
      <c r="FC155" s="559"/>
      <c r="FD155" s="559"/>
      <c r="FE155" s="559"/>
      <c r="FF155" s="559"/>
      <c r="FG155" s="559"/>
      <c r="FH155" s="559"/>
      <c r="FI155" s="559"/>
      <c r="FJ155" s="559"/>
      <c r="FK155" s="559"/>
      <c r="FL155" s="559"/>
      <c r="FM155" s="559"/>
      <c r="FN155" s="559"/>
      <c r="FO155" s="559"/>
      <c r="FP155" s="559"/>
      <c r="FQ155" s="559"/>
      <c r="FR155" s="559"/>
      <c r="FS155" s="559"/>
      <c r="FT155" s="559"/>
      <c r="FU155" s="559"/>
      <c r="FV155" s="559"/>
      <c r="FW155" s="559"/>
      <c r="FX155" s="559"/>
      <c r="FY155" s="559"/>
      <c r="FZ155" s="559"/>
      <c r="GA155" s="559"/>
      <c r="GB155" s="559"/>
      <c r="GC155" s="559"/>
      <c r="GD155" s="559"/>
      <c r="GE155" s="559"/>
      <c r="GF155" s="559"/>
      <c r="GG155" s="559"/>
      <c r="GH155" s="559"/>
    </row>
    <row r="156">
      <c r="A156" s="538"/>
      <c r="B156" s="156"/>
      <c r="C156" s="444"/>
      <c r="D156" s="614"/>
      <c r="E156" s="68"/>
      <c r="F156" s="644"/>
      <c r="G156" s="644"/>
      <c r="H156" s="627"/>
      <c r="I156" s="622" t="s">
        <v>365</v>
      </c>
      <c r="J156" s="607"/>
      <c r="K156" s="641"/>
      <c r="L156" s="628"/>
      <c r="M156" s="626"/>
      <c r="N156" s="619"/>
      <c r="O156" s="560"/>
      <c r="P156" s="47"/>
      <c r="Q156" s="47"/>
      <c r="S156" s="572"/>
      <c r="U156" s="573"/>
      <c r="V156" s="574"/>
      <c r="W156" s="618"/>
      <c r="X156" s="576">
        <v>0.0</v>
      </c>
      <c r="Y156" s="630">
        <v>0.0</v>
      </c>
      <c r="Z156" s="630" t="s">
        <v>365</v>
      </c>
      <c r="AA156" s="631" t="b">
        <v>0</v>
      </c>
      <c r="AB156" s="631"/>
      <c r="AC156" s="576"/>
      <c r="AD156" s="479">
        <v>0.0</v>
      </c>
      <c r="AE156" s="632"/>
      <c r="AF156" s="582" t="s">
        <v>365</v>
      </c>
      <c r="AG156" s="583"/>
      <c r="AH156" s="584"/>
      <c r="AI156" s="583"/>
      <c r="AJ156" s="585"/>
      <c r="AK156" s="583"/>
      <c r="AL156" s="584"/>
      <c r="AM156" s="583"/>
      <c r="AN156" s="585"/>
      <c r="AO156" s="583"/>
      <c r="AP156" s="584"/>
      <c r="AQ156" s="583"/>
      <c r="AR156" s="585"/>
      <c r="AS156" s="583"/>
      <c r="AT156" s="584"/>
      <c r="AU156" s="583"/>
      <c r="AV156" s="585"/>
      <c r="AW156" s="583"/>
      <c r="AX156" s="584"/>
      <c r="AY156" s="583"/>
      <c r="AZ156" s="585"/>
      <c r="BA156" s="583"/>
      <c r="BB156" s="584"/>
      <c r="BC156" s="583"/>
      <c r="BD156" s="585"/>
      <c r="BE156" s="583"/>
      <c r="BF156" s="584"/>
      <c r="BG156" s="583"/>
      <c r="BH156" s="585"/>
      <c r="BI156" s="583"/>
      <c r="BJ156" s="584"/>
      <c r="BK156" s="583"/>
      <c r="BL156" s="585"/>
      <c r="BM156" s="583"/>
      <c r="BN156" s="584"/>
      <c r="BO156" s="583"/>
      <c r="BP156" s="585"/>
      <c r="BQ156" s="583"/>
      <c r="BR156" s="584"/>
      <c r="BS156" s="583"/>
      <c r="BT156" s="586"/>
      <c r="BU156" s="540"/>
      <c r="BV156" s="540"/>
      <c r="BW156" s="540"/>
      <c r="BX156" s="538"/>
      <c r="BY156" s="538"/>
      <c r="BZ156" s="592"/>
      <c r="CA156" s="633"/>
      <c r="CB156" s="592" t="s">
        <v>365</v>
      </c>
      <c r="CC156" s="592">
        <v>0.0</v>
      </c>
      <c r="CD156" s="592" t="s">
        <v>365</v>
      </c>
      <c r="CE156" s="592">
        <v>0.0</v>
      </c>
      <c r="CF156" s="592"/>
      <c r="CG156" s="592">
        <v>0.0</v>
      </c>
      <c r="CH156" s="592"/>
      <c r="CI156" s="633"/>
      <c r="CJ156" s="592">
        <v>0.0</v>
      </c>
      <c r="CK156" s="479" t="s">
        <v>365</v>
      </c>
      <c r="CL156" s="592"/>
      <c r="CM156" s="593"/>
      <c r="CN156" s="538"/>
      <c r="CO156" s="538"/>
      <c r="CP156" s="538"/>
      <c r="CQ156" s="538"/>
      <c r="CR156" s="538"/>
      <c r="CS156" s="538"/>
      <c r="CT156" s="538"/>
      <c r="CU156" s="538"/>
      <c r="CV156" s="538"/>
      <c r="CW156" s="538"/>
      <c r="CX156" s="538"/>
      <c r="CY156" s="538"/>
      <c r="CZ156" s="538"/>
      <c r="DA156" s="538"/>
      <c r="DB156" s="538"/>
      <c r="DC156" s="538"/>
      <c r="DD156" s="538"/>
      <c r="DE156" s="538"/>
      <c r="DF156" s="538"/>
      <c r="DG156" s="538"/>
      <c r="DH156" s="538"/>
      <c r="DI156" s="538"/>
      <c r="DJ156" s="538"/>
      <c r="DK156" s="538"/>
      <c r="DL156" s="538"/>
      <c r="DM156" s="538"/>
      <c r="DN156" s="538"/>
      <c r="DO156" s="538"/>
      <c r="DP156" s="538"/>
      <c r="DQ156" s="538"/>
      <c r="DR156" s="538"/>
      <c r="DS156" s="538"/>
      <c r="DT156" s="538"/>
      <c r="DU156" s="538"/>
      <c r="DV156" s="538"/>
      <c r="DW156" s="538"/>
      <c r="DX156" s="538"/>
      <c r="DY156" s="538"/>
      <c r="DZ156" s="538"/>
      <c r="EA156" s="538"/>
      <c r="EB156" s="538"/>
      <c r="EC156" s="538"/>
      <c r="ED156" s="538"/>
      <c r="EE156" s="538"/>
      <c r="EF156" s="538"/>
      <c r="EG156" s="538"/>
      <c r="EH156" s="538"/>
      <c r="EI156" s="538"/>
      <c r="EJ156" s="538"/>
      <c r="EK156" s="538"/>
      <c r="EL156" s="538"/>
      <c r="EM156" s="538"/>
      <c r="EN156" s="538"/>
      <c r="EO156" s="538"/>
      <c r="EP156" s="538"/>
      <c r="EQ156" s="538"/>
      <c r="ER156" s="538"/>
      <c r="ES156" s="538"/>
      <c r="ET156" s="538"/>
      <c r="EU156" s="538"/>
      <c r="EV156" s="538"/>
      <c r="EW156" s="538"/>
      <c r="EX156" s="559"/>
      <c r="EY156" s="559"/>
      <c r="EZ156" s="559"/>
      <c r="FA156" s="559"/>
      <c r="FB156" s="559"/>
      <c r="FC156" s="559"/>
      <c r="FD156" s="559"/>
      <c r="FE156" s="559"/>
      <c r="FF156" s="559"/>
      <c r="FG156" s="559"/>
      <c r="FH156" s="559"/>
      <c r="FI156" s="559"/>
      <c r="FJ156" s="559"/>
      <c r="FK156" s="559"/>
      <c r="FL156" s="559"/>
      <c r="FM156" s="559"/>
      <c r="FN156" s="559"/>
      <c r="FO156" s="559"/>
      <c r="FP156" s="559"/>
      <c r="FQ156" s="559"/>
      <c r="FR156" s="559"/>
      <c r="FS156" s="559"/>
      <c r="FT156" s="559"/>
      <c r="FU156" s="559"/>
      <c r="FV156" s="559"/>
      <c r="FW156" s="559"/>
      <c r="FX156" s="559"/>
      <c r="FY156" s="559"/>
      <c r="FZ156" s="559"/>
      <c r="GA156" s="559"/>
      <c r="GB156" s="559"/>
      <c r="GC156" s="559"/>
      <c r="GD156" s="559"/>
      <c r="GE156" s="559"/>
      <c r="GF156" s="559"/>
      <c r="GG156" s="559"/>
      <c r="GH156" s="559"/>
    </row>
    <row r="157">
      <c r="A157" s="538"/>
      <c r="B157" s="156"/>
      <c r="C157" s="444"/>
      <c r="D157" s="614"/>
      <c r="E157" s="66"/>
      <c r="F157" s="642"/>
      <c r="G157" s="642"/>
      <c r="H157" s="615"/>
      <c r="I157" s="616" t="s">
        <v>365</v>
      </c>
      <c r="J157" s="624"/>
      <c r="K157" s="643"/>
      <c r="L157" s="640"/>
      <c r="M157" s="625"/>
      <c r="N157" s="617"/>
      <c r="O157" s="134"/>
      <c r="P157" s="57"/>
      <c r="Q157" s="57"/>
      <c r="S157" s="605"/>
      <c r="U157" s="573"/>
      <c r="V157" s="574"/>
      <c r="W157" s="618"/>
      <c r="X157" s="576">
        <v>0.0</v>
      </c>
      <c r="Y157" s="630">
        <v>0.0</v>
      </c>
      <c r="Z157" s="630" t="s">
        <v>365</v>
      </c>
      <c r="AA157" s="631" t="b">
        <v>0</v>
      </c>
      <c r="AB157" s="631"/>
      <c r="AC157" s="576"/>
      <c r="AD157" s="479">
        <v>0.0</v>
      </c>
      <c r="AE157" s="632"/>
      <c r="AF157" s="582" t="s">
        <v>365</v>
      </c>
      <c r="AG157" s="583"/>
      <c r="AH157" s="584"/>
      <c r="AI157" s="583"/>
      <c r="AJ157" s="585"/>
      <c r="AK157" s="583"/>
      <c r="AL157" s="584"/>
      <c r="AM157" s="583"/>
      <c r="AN157" s="585"/>
      <c r="AO157" s="583"/>
      <c r="AP157" s="584"/>
      <c r="AQ157" s="583"/>
      <c r="AR157" s="585"/>
      <c r="AS157" s="583"/>
      <c r="AT157" s="584"/>
      <c r="AU157" s="583"/>
      <c r="AV157" s="585"/>
      <c r="AW157" s="583"/>
      <c r="AX157" s="584"/>
      <c r="AY157" s="583"/>
      <c r="AZ157" s="585"/>
      <c r="BA157" s="583"/>
      <c r="BB157" s="584"/>
      <c r="BC157" s="583"/>
      <c r="BD157" s="585"/>
      <c r="BE157" s="583"/>
      <c r="BF157" s="584"/>
      <c r="BG157" s="583"/>
      <c r="BH157" s="585"/>
      <c r="BI157" s="583"/>
      <c r="BJ157" s="584"/>
      <c r="BK157" s="583"/>
      <c r="BL157" s="585"/>
      <c r="BM157" s="583"/>
      <c r="BN157" s="584"/>
      <c r="BO157" s="583"/>
      <c r="BP157" s="585"/>
      <c r="BQ157" s="583"/>
      <c r="BR157" s="584"/>
      <c r="BS157" s="583"/>
      <c r="BT157" s="586"/>
      <c r="BU157" s="540"/>
      <c r="BV157" s="540"/>
      <c r="BW157" s="540"/>
      <c r="BX157" s="538"/>
      <c r="BY157" s="538"/>
      <c r="BZ157" s="592"/>
      <c r="CA157" s="633"/>
      <c r="CB157" s="592" t="s">
        <v>365</v>
      </c>
      <c r="CC157" s="592">
        <v>0.0</v>
      </c>
      <c r="CD157" s="592" t="s">
        <v>365</v>
      </c>
      <c r="CE157" s="592">
        <v>0.0</v>
      </c>
      <c r="CF157" s="592"/>
      <c r="CG157" s="592">
        <v>0.0</v>
      </c>
      <c r="CH157" s="592"/>
      <c r="CI157" s="633"/>
      <c r="CJ157" s="592">
        <v>0.0</v>
      </c>
      <c r="CK157" s="479" t="s">
        <v>365</v>
      </c>
      <c r="CL157" s="592"/>
      <c r="CM157" s="593"/>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c r="DI157" s="538"/>
      <c r="DJ157" s="538"/>
      <c r="DK157" s="538"/>
      <c r="DL157" s="538"/>
      <c r="DM157" s="538"/>
      <c r="DN157" s="538"/>
      <c r="DO157" s="538"/>
      <c r="DP157" s="538"/>
      <c r="DQ157" s="538"/>
      <c r="DR157" s="538"/>
      <c r="DS157" s="538"/>
      <c r="DT157" s="538"/>
      <c r="DU157" s="538"/>
      <c r="DV157" s="538"/>
      <c r="DW157" s="538"/>
      <c r="DX157" s="538"/>
      <c r="DY157" s="538"/>
      <c r="DZ157" s="538"/>
      <c r="EA157" s="538"/>
      <c r="EB157" s="538"/>
      <c r="EC157" s="538"/>
      <c r="ED157" s="538"/>
      <c r="EE157" s="538"/>
      <c r="EF157" s="538"/>
      <c r="EG157" s="538"/>
      <c r="EH157" s="538"/>
      <c r="EI157" s="538"/>
      <c r="EJ157" s="538"/>
      <c r="EK157" s="538"/>
      <c r="EL157" s="538"/>
      <c r="EM157" s="538"/>
      <c r="EN157" s="538"/>
      <c r="EO157" s="538"/>
      <c r="EP157" s="538"/>
      <c r="EQ157" s="538"/>
      <c r="ER157" s="538"/>
      <c r="ES157" s="538"/>
      <c r="ET157" s="538"/>
      <c r="EU157" s="538"/>
      <c r="EV157" s="538"/>
      <c r="EW157" s="538"/>
      <c r="EX157" s="559"/>
      <c r="EY157" s="559"/>
      <c r="EZ157" s="559"/>
      <c r="FA157" s="559"/>
      <c r="FB157" s="559"/>
      <c r="FC157" s="559"/>
      <c r="FD157" s="559"/>
      <c r="FE157" s="559"/>
      <c r="FF157" s="559"/>
      <c r="FG157" s="559"/>
      <c r="FH157" s="559"/>
      <c r="FI157" s="559"/>
      <c r="FJ157" s="559"/>
      <c r="FK157" s="559"/>
      <c r="FL157" s="559"/>
      <c r="FM157" s="559"/>
      <c r="FN157" s="559"/>
      <c r="FO157" s="559"/>
      <c r="FP157" s="559"/>
      <c r="FQ157" s="559"/>
      <c r="FR157" s="559"/>
      <c r="FS157" s="559"/>
      <c r="FT157" s="559"/>
      <c r="FU157" s="559"/>
      <c r="FV157" s="559"/>
      <c r="FW157" s="559"/>
      <c r="FX157" s="559"/>
      <c r="FY157" s="559"/>
      <c r="FZ157" s="559"/>
      <c r="GA157" s="559"/>
      <c r="GB157" s="559"/>
      <c r="GC157" s="559"/>
      <c r="GD157" s="559"/>
      <c r="GE157" s="559"/>
      <c r="GF157" s="559"/>
      <c r="GG157" s="559"/>
      <c r="GH157" s="559"/>
    </row>
    <row r="158">
      <c r="A158" s="538"/>
      <c r="B158" s="156"/>
      <c r="C158" s="444"/>
      <c r="D158" s="614"/>
      <c r="E158" s="68"/>
      <c r="F158" s="644"/>
      <c r="G158" s="644"/>
      <c r="H158" s="627"/>
      <c r="I158" s="622" t="s">
        <v>365</v>
      </c>
      <c r="J158" s="607"/>
      <c r="K158" s="641"/>
      <c r="L158" s="628"/>
      <c r="M158" s="626"/>
      <c r="N158" s="619"/>
      <c r="O158" s="560"/>
      <c r="P158" s="47"/>
      <c r="Q158" s="47"/>
      <c r="S158" s="572"/>
      <c r="U158" s="573"/>
      <c r="V158" s="574"/>
      <c r="W158" s="618"/>
      <c r="X158" s="576">
        <v>0.0</v>
      </c>
      <c r="Y158" s="630">
        <v>0.0</v>
      </c>
      <c r="Z158" s="630" t="s">
        <v>365</v>
      </c>
      <c r="AA158" s="631" t="b">
        <v>0</v>
      </c>
      <c r="AB158" s="631"/>
      <c r="AC158" s="576"/>
      <c r="AD158" s="479">
        <v>0.0</v>
      </c>
      <c r="AE158" s="632"/>
      <c r="AF158" s="582" t="s">
        <v>365</v>
      </c>
      <c r="AG158" s="583"/>
      <c r="AH158" s="584"/>
      <c r="AI158" s="583"/>
      <c r="AJ158" s="585"/>
      <c r="AK158" s="583"/>
      <c r="AL158" s="584"/>
      <c r="AM158" s="583"/>
      <c r="AN158" s="585"/>
      <c r="AO158" s="583"/>
      <c r="AP158" s="584"/>
      <c r="AQ158" s="583"/>
      <c r="AR158" s="585"/>
      <c r="AS158" s="583"/>
      <c r="AT158" s="584"/>
      <c r="AU158" s="583"/>
      <c r="AV158" s="585"/>
      <c r="AW158" s="583"/>
      <c r="AX158" s="584"/>
      <c r="AY158" s="583"/>
      <c r="AZ158" s="585"/>
      <c r="BA158" s="583"/>
      <c r="BB158" s="584"/>
      <c r="BC158" s="583"/>
      <c r="BD158" s="585"/>
      <c r="BE158" s="583"/>
      <c r="BF158" s="584"/>
      <c r="BG158" s="583"/>
      <c r="BH158" s="585"/>
      <c r="BI158" s="583"/>
      <c r="BJ158" s="584"/>
      <c r="BK158" s="583"/>
      <c r="BL158" s="585"/>
      <c r="BM158" s="583"/>
      <c r="BN158" s="584"/>
      <c r="BO158" s="583"/>
      <c r="BP158" s="585"/>
      <c r="BQ158" s="583"/>
      <c r="BR158" s="584"/>
      <c r="BS158" s="583"/>
      <c r="BT158" s="586"/>
      <c r="BU158" s="540"/>
      <c r="BV158" s="540"/>
      <c r="BW158" s="540"/>
      <c r="BX158" s="538"/>
      <c r="BY158" s="538"/>
      <c r="BZ158" s="592"/>
      <c r="CA158" s="633"/>
      <c r="CB158" s="592" t="s">
        <v>365</v>
      </c>
      <c r="CC158" s="592">
        <v>0.0</v>
      </c>
      <c r="CD158" s="592" t="s">
        <v>365</v>
      </c>
      <c r="CE158" s="592">
        <v>0.0</v>
      </c>
      <c r="CF158" s="592"/>
      <c r="CG158" s="592">
        <v>0.0</v>
      </c>
      <c r="CH158" s="592"/>
      <c r="CI158" s="633"/>
      <c r="CJ158" s="592">
        <v>0.0</v>
      </c>
      <c r="CK158" s="479" t="s">
        <v>365</v>
      </c>
      <c r="CL158" s="592"/>
      <c r="CM158" s="593"/>
      <c r="CN158" s="538"/>
      <c r="CO158" s="538"/>
      <c r="CP158" s="538"/>
      <c r="CQ158" s="538"/>
      <c r="CR158" s="538"/>
      <c r="CS158" s="538"/>
      <c r="CT158" s="538"/>
      <c r="CU158" s="538"/>
      <c r="CV158" s="538"/>
      <c r="CW158" s="538"/>
      <c r="CX158" s="538"/>
      <c r="CY158" s="538"/>
      <c r="CZ158" s="538"/>
      <c r="DA158" s="538"/>
      <c r="DB158" s="538"/>
      <c r="DC158" s="538"/>
      <c r="DD158" s="538"/>
      <c r="DE158" s="538"/>
      <c r="DF158" s="538"/>
      <c r="DG158" s="538"/>
      <c r="DH158" s="538"/>
      <c r="DI158" s="538"/>
      <c r="DJ158" s="538"/>
      <c r="DK158" s="538"/>
      <c r="DL158" s="538"/>
      <c r="DM158" s="538"/>
      <c r="DN158" s="538"/>
      <c r="DO158" s="538"/>
      <c r="DP158" s="538"/>
      <c r="DQ158" s="538"/>
      <c r="DR158" s="538"/>
      <c r="DS158" s="538"/>
      <c r="DT158" s="538"/>
      <c r="DU158" s="538"/>
      <c r="DV158" s="538"/>
      <c r="DW158" s="538"/>
      <c r="DX158" s="538"/>
      <c r="DY158" s="538"/>
      <c r="DZ158" s="538"/>
      <c r="EA158" s="538"/>
      <c r="EB158" s="538"/>
      <c r="EC158" s="538"/>
      <c r="ED158" s="538"/>
      <c r="EE158" s="538"/>
      <c r="EF158" s="538"/>
      <c r="EG158" s="538"/>
      <c r="EH158" s="538"/>
      <c r="EI158" s="538"/>
      <c r="EJ158" s="538"/>
      <c r="EK158" s="538"/>
      <c r="EL158" s="538"/>
      <c r="EM158" s="538"/>
      <c r="EN158" s="538"/>
      <c r="EO158" s="538"/>
      <c r="EP158" s="538"/>
      <c r="EQ158" s="538"/>
      <c r="ER158" s="538"/>
      <c r="ES158" s="538"/>
      <c r="ET158" s="538"/>
      <c r="EU158" s="538"/>
      <c r="EV158" s="538"/>
      <c r="EW158" s="538"/>
      <c r="EX158" s="559"/>
      <c r="EY158" s="559"/>
      <c r="EZ158" s="559"/>
      <c r="FA158" s="559"/>
      <c r="FB158" s="559"/>
      <c r="FC158" s="559"/>
      <c r="FD158" s="559"/>
      <c r="FE158" s="559"/>
      <c r="FF158" s="559"/>
      <c r="FG158" s="559"/>
      <c r="FH158" s="559"/>
      <c r="FI158" s="559"/>
      <c r="FJ158" s="559"/>
      <c r="FK158" s="559"/>
      <c r="FL158" s="559"/>
      <c r="FM158" s="559"/>
      <c r="FN158" s="559"/>
      <c r="FO158" s="559"/>
      <c r="FP158" s="559"/>
      <c r="FQ158" s="559"/>
      <c r="FR158" s="559"/>
      <c r="FS158" s="559"/>
      <c r="FT158" s="559"/>
      <c r="FU158" s="559"/>
      <c r="FV158" s="559"/>
      <c r="FW158" s="559"/>
      <c r="FX158" s="559"/>
      <c r="FY158" s="559"/>
      <c r="FZ158" s="559"/>
      <c r="GA158" s="559"/>
      <c r="GB158" s="559"/>
      <c r="GC158" s="559"/>
      <c r="GD158" s="559"/>
      <c r="GE158" s="559"/>
      <c r="GF158" s="559"/>
      <c r="GG158" s="559"/>
      <c r="GH158" s="559"/>
    </row>
    <row r="159">
      <c r="A159" s="538"/>
      <c r="B159" s="156"/>
      <c r="C159" s="444"/>
      <c r="D159" s="614"/>
      <c r="E159" s="66"/>
      <c r="F159" s="642"/>
      <c r="G159" s="642"/>
      <c r="H159" s="615"/>
      <c r="I159" s="616" t="s">
        <v>365</v>
      </c>
      <c r="J159" s="624"/>
      <c r="K159" s="643"/>
      <c r="L159" s="640"/>
      <c r="M159" s="625"/>
      <c r="N159" s="617"/>
      <c r="O159" s="134"/>
      <c r="P159" s="57"/>
      <c r="Q159" s="57"/>
      <c r="S159" s="605"/>
      <c r="U159" s="573"/>
      <c r="V159" s="574"/>
      <c r="W159" s="618"/>
      <c r="X159" s="576">
        <v>0.0</v>
      </c>
      <c r="Y159" s="630">
        <v>0.0</v>
      </c>
      <c r="Z159" s="630" t="s">
        <v>365</v>
      </c>
      <c r="AA159" s="631" t="b">
        <v>0</v>
      </c>
      <c r="AB159" s="631"/>
      <c r="AC159" s="576"/>
      <c r="AD159" s="479">
        <v>0.0</v>
      </c>
      <c r="AE159" s="632"/>
      <c r="AF159" s="582" t="s">
        <v>365</v>
      </c>
      <c r="AG159" s="583"/>
      <c r="AH159" s="584"/>
      <c r="AI159" s="583"/>
      <c r="AJ159" s="585"/>
      <c r="AK159" s="583"/>
      <c r="AL159" s="584"/>
      <c r="AM159" s="583"/>
      <c r="AN159" s="585"/>
      <c r="AO159" s="583"/>
      <c r="AP159" s="584"/>
      <c r="AQ159" s="583"/>
      <c r="AR159" s="585"/>
      <c r="AS159" s="583"/>
      <c r="AT159" s="584"/>
      <c r="AU159" s="583"/>
      <c r="AV159" s="585"/>
      <c r="AW159" s="583"/>
      <c r="AX159" s="584"/>
      <c r="AY159" s="583"/>
      <c r="AZ159" s="585"/>
      <c r="BA159" s="583"/>
      <c r="BB159" s="584"/>
      <c r="BC159" s="583"/>
      <c r="BD159" s="585"/>
      <c r="BE159" s="583"/>
      <c r="BF159" s="584"/>
      <c r="BG159" s="583"/>
      <c r="BH159" s="585"/>
      <c r="BI159" s="583"/>
      <c r="BJ159" s="584"/>
      <c r="BK159" s="583"/>
      <c r="BL159" s="585"/>
      <c r="BM159" s="583"/>
      <c r="BN159" s="584"/>
      <c r="BO159" s="583"/>
      <c r="BP159" s="585"/>
      <c r="BQ159" s="583"/>
      <c r="BR159" s="584"/>
      <c r="BS159" s="583"/>
      <c r="BT159" s="586"/>
      <c r="BU159" s="540"/>
      <c r="BV159" s="540"/>
      <c r="BW159" s="540"/>
      <c r="BX159" s="538"/>
      <c r="BY159" s="538"/>
      <c r="BZ159" s="592"/>
      <c r="CA159" s="633"/>
      <c r="CB159" s="592" t="s">
        <v>365</v>
      </c>
      <c r="CC159" s="592">
        <v>0.0</v>
      </c>
      <c r="CD159" s="592" t="s">
        <v>365</v>
      </c>
      <c r="CE159" s="592">
        <v>0.0</v>
      </c>
      <c r="CF159" s="592"/>
      <c r="CG159" s="592">
        <v>0.0</v>
      </c>
      <c r="CH159" s="592"/>
      <c r="CI159" s="633"/>
      <c r="CJ159" s="592">
        <v>0.0</v>
      </c>
      <c r="CK159" s="479" t="s">
        <v>365</v>
      </c>
      <c r="CL159" s="592"/>
      <c r="CM159" s="593"/>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c r="DI159" s="538"/>
      <c r="DJ159" s="538"/>
      <c r="DK159" s="538"/>
      <c r="DL159" s="538"/>
      <c r="DM159" s="538"/>
      <c r="DN159" s="538"/>
      <c r="DO159" s="538"/>
      <c r="DP159" s="538"/>
      <c r="DQ159" s="538"/>
      <c r="DR159" s="538"/>
      <c r="DS159" s="538"/>
      <c r="DT159" s="538"/>
      <c r="DU159" s="538"/>
      <c r="DV159" s="538"/>
      <c r="DW159" s="538"/>
      <c r="DX159" s="538"/>
      <c r="DY159" s="538"/>
      <c r="DZ159" s="538"/>
      <c r="EA159" s="538"/>
      <c r="EB159" s="538"/>
      <c r="EC159" s="538"/>
      <c r="ED159" s="538"/>
      <c r="EE159" s="538"/>
      <c r="EF159" s="538"/>
      <c r="EG159" s="538"/>
      <c r="EH159" s="538"/>
      <c r="EI159" s="538"/>
      <c r="EJ159" s="538"/>
      <c r="EK159" s="538"/>
      <c r="EL159" s="538"/>
      <c r="EM159" s="538"/>
      <c r="EN159" s="538"/>
      <c r="EO159" s="538"/>
      <c r="EP159" s="538"/>
      <c r="EQ159" s="538"/>
      <c r="ER159" s="538"/>
      <c r="ES159" s="538"/>
      <c r="ET159" s="538"/>
      <c r="EU159" s="538"/>
      <c r="EV159" s="538"/>
      <c r="EW159" s="538"/>
      <c r="EX159" s="559"/>
      <c r="EY159" s="559"/>
      <c r="EZ159" s="559"/>
      <c r="FA159" s="559"/>
      <c r="FB159" s="559"/>
      <c r="FC159" s="559"/>
      <c r="FD159" s="559"/>
      <c r="FE159" s="559"/>
      <c r="FF159" s="559"/>
      <c r="FG159" s="559"/>
      <c r="FH159" s="559"/>
      <c r="FI159" s="559"/>
      <c r="FJ159" s="559"/>
      <c r="FK159" s="559"/>
      <c r="FL159" s="559"/>
      <c r="FM159" s="559"/>
      <c r="FN159" s="559"/>
      <c r="FO159" s="559"/>
      <c r="FP159" s="559"/>
      <c r="FQ159" s="559"/>
      <c r="FR159" s="559"/>
      <c r="FS159" s="559"/>
      <c r="FT159" s="559"/>
      <c r="FU159" s="559"/>
      <c r="FV159" s="559"/>
      <c r="FW159" s="559"/>
      <c r="FX159" s="559"/>
      <c r="FY159" s="559"/>
      <c r="FZ159" s="559"/>
      <c r="GA159" s="559"/>
      <c r="GB159" s="559"/>
      <c r="GC159" s="559"/>
      <c r="GD159" s="559"/>
      <c r="GE159" s="559"/>
      <c r="GF159" s="559"/>
      <c r="GG159" s="559"/>
      <c r="GH159" s="559"/>
    </row>
    <row r="160">
      <c r="A160" s="538"/>
      <c r="B160" s="156"/>
      <c r="C160" s="444"/>
      <c r="D160" s="614"/>
      <c r="E160" s="68"/>
      <c r="F160" s="644"/>
      <c r="G160" s="644"/>
      <c r="H160" s="627"/>
      <c r="I160" s="622" t="s">
        <v>365</v>
      </c>
      <c r="J160" s="607"/>
      <c r="K160" s="641"/>
      <c r="L160" s="628"/>
      <c r="M160" s="626"/>
      <c r="N160" s="619"/>
      <c r="O160" s="560"/>
      <c r="P160" s="47"/>
      <c r="Q160" s="47"/>
      <c r="S160" s="572"/>
      <c r="U160" s="573"/>
      <c r="V160" s="574"/>
      <c r="W160" s="618"/>
      <c r="X160" s="576">
        <v>0.0</v>
      </c>
      <c r="Y160" s="630">
        <v>0.0</v>
      </c>
      <c r="Z160" s="630" t="s">
        <v>365</v>
      </c>
      <c r="AA160" s="631" t="b">
        <v>0</v>
      </c>
      <c r="AB160" s="631"/>
      <c r="AC160" s="576"/>
      <c r="AD160" s="479">
        <v>0.0</v>
      </c>
      <c r="AE160" s="632"/>
      <c r="AF160" s="582" t="s">
        <v>365</v>
      </c>
      <c r="AG160" s="583"/>
      <c r="AH160" s="584"/>
      <c r="AI160" s="583"/>
      <c r="AJ160" s="585"/>
      <c r="AK160" s="583"/>
      <c r="AL160" s="584"/>
      <c r="AM160" s="583"/>
      <c r="AN160" s="585"/>
      <c r="AO160" s="583"/>
      <c r="AP160" s="584"/>
      <c r="AQ160" s="583"/>
      <c r="AR160" s="585"/>
      <c r="AS160" s="583"/>
      <c r="AT160" s="584"/>
      <c r="AU160" s="583"/>
      <c r="AV160" s="585"/>
      <c r="AW160" s="583"/>
      <c r="AX160" s="584"/>
      <c r="AY160" s="583"/>
      <c r="AZ160" s="585"/>
      <c r="BA160" s="583"/>
      <c r="BB160" s="584"/>
      <c r="BC160" s="583"/>
      <c r="BD160" s="585"/>
      <c r="BE160" s="583"/>
      <c r="BF160" s="584"/>
      <c r="BG160" s="583"/>
      <c r="BH160" s="585"/>
      <c r="BI160" s="583"/>
      <c r="BJ160" s="584"/>
      <c r="BK160" s="583"/>
      <c r="BL160" s="585"/>
      <c r="BM160" s="583"/>
      <c r="BN160" s="584"/>
      <c r="BO160" s="583"/>
      <c r="BP160" s="585"/>
      <c r="BQ160" s="583"/>
      <c r="BR160" s="584"/>
      <c r="BS160" s="583"/>
      <c r="BT160" s="586"/>
      <c r="BU160" s="540"/>
      <c r="BV160" s="540"/>
      <c r="BW160" s="540"/>
      <c r="BX160" s="538"/>
      <c r="BY160" s="538"/>
      <c r="BZ160" s="592"/>
      <c r="CA160" s="633"/>
      <c r="CB160" s="592" t="s">
        <v>365</v>
      </c>
      <c r="CC160" s="592">
        <v>0.0</v>
      </c>
      <c r="CD160" s="592" t="s">
        <v>365</v>
      </c>
      <c r="CE160" s="592">
        <v>0.0</v>
      </c>
      <c r="CF160" s="592"/>
      <c r="CG160" s="592">
        <v>0.0</v>
      </c>
      <c r="CH160" s="592"/>
      <c r="CI160" s="633"/>
      <c r="CJ160" s="592">
        <v>0.0</v>
      </c>
      <c r="CK160" s="479" t="s">
        <v>365</v>
      </c>
      <c r="CL160" s="592"/>
      <c r="CM160" s="593"/>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c r="DI160" s="538"/>
      <c r="DJ160" s="538"/>
      <c r="DK160" s="538"/>
      <c r="DL160" s="538"/>
      <c r="DM160" s="538"/>
      <c r="DN160" s="538"/>
      <c r="DO160" s="538"/>
      <c r="DP160" s="538"/>
      <c r="DQ160" s="538"/>
      <c r="DR160" s="538"/>
      <c r="DS160" s="538"/>
      <c r="DT160" s="538"/>
      <c r="DU160" s="538"/>
      <c r="DV160" s="538"/>
      <c r="DW160" s="538"/>
      <c r="DX160" s="538"/>
      <c r="DY160" s="538"/>
      <c r="DZ160" s="538"/>
      <c r="EA160" s="538"/>
      <c r="EB160" s="538"/>
      <c r="EC160" s="538"/>
      <c r="ED160" s="538"/>
      <c r="EE160" s="538"/>
      <c r="EF160" s="538"/>
      <c r="EG160" s="538"/>
      <c r="EH160" s="538"/>
      <c r="EI160" s="538"/>
      <c r="EJ160" s="538"/>
      <c r="EK160" s="538"/>
      <c r="EL160" s="538"/>
      <c r="EM160" s="538"/>
      <c r="EN160" s="538"/>
      <c r="EO160" s="538"/>
      <c r="EP160" s="538"/>
      <c r="EQ160" s="538"/>
      <c r="ER160" s="538"/>
      <c r="ES160" s="538"/>
      <c r="ET160" s="538"/>
      <c r="EU160" s="538"/>
      <c r="EV160" s="538"/>
      <c r="EW160" s="538"/>
      <c r="EX160" s="559"/>
      <c r="EY160" s="559"/>
      <c r="EZ160" s="559"/>
      <c r="FA160" s="559"/>
      <c r="FB160" s="559"/>
      <c r="FC160" s="559"/>
      <c r="FD160" s="559"/>
      <c r="FE160" s="559"/>
      <c r="FF160" s="559"/>
      <c r="FG160" s="559"/>
      <c r="FH160" s="559"/>
      <c r="FI160" s="559"/>
      <c r="FJ160" s="559"/>
      <c r="FK160" s="559"/>
      <c r="FL160" s="559"/>
      <c r="FM160" s="559"/>
      <c r="FN160" s="559"/>
      <c r="FO160" s="559"/>
      <c r="FP160" s="559"/>
      <c r="FQ160" s="559"/>
      <c r="FR160" s="559"/>
      <c r="FS160" s="559"/>
      <c r="FT160" s="559"/>
      <c r="FU160" s="559"/>
      <c r="FV160" s="559"/>
      <c r="FW160" s="559"/>
      <c r="FX160" s="559"/>
      <c r="FY160" s="559"/>
      <c r="FZ160" s="559"/>
      <c r="GA160" s="559"/>
      <c r="GB160" s="559"/>
      <c r="GC160" s="559"/>
      <c r="GD160" s="559"/>
      <c r="GE160" s="559"/>
      <c r="GF160" s="559"/>
      <c r="GG160" s="559"/>
      <c r="GH160" s="559"/>
    </row>
    <row r="161">
      <c r="A161" s="538"/>
      <c r="B161" s="156"/>
      <c r="C161" s="444"/>
      <c r="D161" s="614"/>
      <c r="E161" s="66"/>
      <c r="F161" s="642"/>
      <c r="G161" s="642"/>
      <c r="H161" s="615"/>
      <c r="I161" s="616" t="s">
        <v>365</v>
      </c>
      <c r="J161" s="624"/>
      <c r="K161" s="643"/>
      <c r="L161" s="640"/>
      <c r="M161" s="625"/>
      <c r="N161" s="617"/>
      <c r="O161" s="134"/>
      <c r="P161" s="57"/>
      <c r="Q161" s="57"/>
      <c r="S161" s="605"/>
      <c r="U161" s="573"/>
      <c r="V161" s="574"/>
      <c r="W161" s="618"/>
      <c r="X161" s="576">
        <v>0.0</v>
      </c>
      <c r="Y161" s="630">
        <v>0.0</v>
      </c>
      <c r="Z161" s="630" t="s">
        <v>365</v>
      </c>
      <c r="AA161" s="631" t="b">
        <v>0</v>
      </c>
      <c r="AB161" s="631"/>
      <c r="AC161" s="576"/>
      <c r="AD161" s="479">
        <v>0.0</v>
      </c>
      <c r="AE161" s="632"/>
      <c r="AF161" s="582" t="s">
        <v>365</v>
      </c>
      <c r="AG161" s="583"/>
      <c r="AH161" s="584"/>
      <c r="AI161" s="583"/>
      <c r="AJ161" s="585"/>
      <c r="AK161" s="583"/>
      <c r="AL161" s="584"/>
      <c r="AM161" s="583"/>
      <c r="AN161" s="585"/>
      <c r="AO161" s="583"/>
      <c r="AP161" s="584"/>
      <c r="AQ161" s="583"/>
      <c r="AR161" s="585"/>
      <c r="AS161" s="583"/>
      <c r="AT161" s="584"/>
      <c r="AU161" s="583"/>
      <c r="AV161" s="585"/>
      <c r="AW161" s="583"/>
      <c r="AX161" s="584"/>
      <c r="AY161" s="583"/>
      <c r="AZ161" s="585"/>
      <c r="BA161" s="583"/>
      <c r="BB161" s="584"/>
      <c r="BC161" s="583"/>
      <c r="BD161" s="585"/>
      <c r="BE161" s="583"/>
      <c r="BF161" s="584"/>
      <c r="BG161" s="583"/>
      <c r="BH161" s="585"/>
      <c r="BI161" s="583"/>
      <c r="BJ161" s="584"/>
      <c r="BK161" s="583"/>
      <c r="BL161" s="585"/>
      <c r="BM161" s="583"/>
      <c r="BN161" s="584"/>
      <c r="BO161" s="583"/>
      <c r="BP161" s="585"/>
      <c r="BQ161" s="583"/>
      <c r="BR161" s="584"/>
      <c r="BS161" s="583"/>
      <c r="BT161" s="586"/>
      <c r="BU161" s="540"/>
      <c r="BV161" s="540"/>
      <c r="BW161" s="540"/>
      <c r="BX161" s="538"/>
      <c r="BY161" s="538"/>
      <c r="BZ161" s="592"/>
      <c r="CA161" s="633"/>
      <c r="CB161" s="592" t="s">
        <v>365</v>
      </c>
      <c r="CC161" s="592">
        <v>0.0</v>
      </c>
      <c r="CD161" s="592" t="s">
        <v>365</v>
      </c>
      <c r="CE161" s="592">
        <v>0.0</v>
      </c>
      <c r="CF161" s="592"/>
      <c r="CG161" s="592">
        <v>0.0</v>
      </c>
      <c r="CH161" s="592"/>
      <c r="CI161" s="633"/>
      <c r="CJ161" s="592">
        <v>0.0</v>
      </c>
      <c r="CK161" s="479" t="s">
        <v>365</v>
      </c>
      <c r="CL161" s="592"/>
      <c r="CM161" s="593"/>
      <c r="CN161" s="538"/>
      <c r="CO161" s="538"/>
      <c r="CP161" s="538"/>
      <c r="CQ161" s="538"/>
      <c r="CR161" s="538"/>
      <c r="CS161" s="538"/>
      <c r="CT161" s="538"/>
      <c r="CU161" s="538"/>
      <c r="CV161" s="538"/>
      <c r="CW161" s="538"/>
      <c r="CX161" s="538"/>
      <c r="CY161" s="538"/>
      <c r="CZ161" s="538"/>
      <c r="DA161" s="538"/>
      <c r="DB161" s="538"/>
      <c r="DC161" s="538"/>
      <c r="DD161" s="538"/>
      <c r="DE161" s="538"/>
      <c r="DF161" s="538"/>
      <c r="DG161" s="538"/>
      <c r="DH161" s="538"/>
      <c r="DI161" s="538"/>
      <c r="DJ161" s="538"/>
      <c r="DK161" s="538"/>
      <c r="DL161" s="538"/>
      <c r="DM161" s="538"/>
      <c r="DN161" s="538"/>
      <c r="DO161" s="538"/>
      <c r="DP161" s="538"/>
      <c r="DQ161" s="538"/>
      <c r="DR161" s="538"/>
      <c r="DS161" s="538"/>
      <c r="DT161" s="538"/>
      <c r="DU161" s="538"/>
      <c r="DV161" s="538"/>
      <c r="DW161" s="538"/>
      <c r="DX161" s="538"/>
      <c r="DY161" s="538"/>
      <c r="DZ161" s="538"/>
      <c r="EA161" s="538"/>
      <c r="EB161" s="538"/>
      <c r="EC161" s="538"/>
      <c r="ED161" s="538"/>
      <c r="EE161" s="538"/>
      <c r="EF161" s="538"/>
      <c r="EG161" s="538"/>
      <c r="EH161" s="538"/>
      <c r="EI161" s="538"/>
      <c r="EJ161" s="538"/>
      <c r="EK161" s="538"/>
      <c r="EL161" s="538"/>
      <c r="EM161" s="538"/>
      <c r="EN161" s="538"/>
      <c r="EO161" s="538"/>
      <c r="EP161" s="538"/>
      <c r="EQ161" s="538"/>
      <c r="ER161" s="538"/>
      <c r="ES161" s="538"/>
      <c r="ET161" s="538"/>
      <c r="EU161" s="538"/>
      <c r="EV161" s="538"/>
      <c r="EW161" s="538"/>
      <c r="EX161" s="559"/>
      <c r="EY161" s="559"/>
      <c r="EZ161" s="559"/>
      <c r="FA161" s="559"/>
      <c r="FB161" s="559"/>
      <c r="FC161" s="559"/>
      <c r="FD161" s="559"/>
      <c r="FE161" s="559"/>
      <c r="FF161" s="559"/>
      <c r="FG161" s="559"/>
      <c r="FH161" s="559"/>
      <c r="FI161" s="559"/>
      <c r="FJ161" s="559"/>
      <c r="FK161" s="559"/>
      <c r="FL161" s="559"/>
      <c r="FM161" s="559"/>
      <c r="FN161" s="559"/>
      <c r="FO161" s="559"/>
      <c r="FP161" s="559"/>
      <c r="FQ161" s="559"/>
      <c r="FR161" s="559"/>
      <c r="FS161" s="559"/>
      <c r="FT161" s="559"/>
      <c r="FU161" s="559"/>
      <c r="FV161" s="559"/>
      <c r="FW161" s="559"/>
      <c r="FX161" s="559"/>
      <c r="FY161" s="559"/>
      <c r="FZ161" s="559"/>
      <c r="GA161" s="559"/>
      <c r="GB161" s="559"/>
      <c r="GC161" s="559"/>
      <c r="GD161" s="559"/>
      <c r="GE161" s="559"/>
      <c r="GF161" s="559"/>
      <c r="GG161" s="559"/>
      <c r="GH161" s="559"/>
    </row>
    <row r="162">
      <c r="A162" s="538"/>
      <c r="B162" s="156"/>
      <c r="C162" s="444"/>
      <c r="D162" s="614"/>
      <c r="E162" s="68"/>
      <c r="F162" s="644"/>
      <c r="G162" s="644"/>
      <c r="H162" s="627"/>
      <c r="I162" s="622" t="s">
        <v>365</v>
      </c>
      <c r="J162" s="607"/>
      <c r="K162" s="641"/>
      <c r="L162" s="628"/>
      <c r="M162" s="626"/>
      <c r="N162" s="619"/>
      <c r="O162" s="560"/>
      <c r="P162" s="47"/>
      <c r="Q162" s="47"/>
      <c r="S162" s="572"/>
      <c r="U162" s="573"/>
      <c r="V162" s="574"/>
      <c r="W162" s="618"/>
      <c r="X162" s="576">
        <v>0.0</v>
      </c>
      <c r="Y162" s="630">
        <v>0.0</v>
      </c>
      <c r="Z162" s="630" t="s">
        <v>365</v>
      </c>
      <c r="AA162" s="631" t="b">
        <v>0</v>
      </c>
      <c r="AB162" s="631"/>
      <c r="AC162" s="576"/>
      <c r="AD162" s="479">
        <v>0.0</v>
      </c>
      <c r="AE162" s="632"/>
      <c r="AF162" s="582" t="s">
        <v>365</v>
      </c>
      <c r="AG162" s="583"/>
      <c r="AH162" s="584"/>
      <c r="AI162" s="583"/>
      <c r="AJ162" s="585"/>
      <c r="AK162" s="583"/>
      <c r="AL162" s="584"/>
      <c r="AM162" s="583"/>
      <c r="AN162" s="585"/>
      <c r="AO162" s="583"/>
      <c r="AP162" s="584"/>
      <c r="AQ162" s="583"/>
      <c r="AR162" s="585"/>
      <c r="AS162" s="583"/>
      <c r="AT162" s="584"/>
      <c r="AU162" s="583"/>
      <c r="AV162" s="585"/>
      <c r="AW162" s="583"/>
      <c r="AX162" s="584"/>
      <c r="AY162" s="583"/>
      <c r="AZ162" s="585"/>
      <c r="BA162" s="583"/>
      <c r="BB162" s="584"/>
      <c r="BC162" s="583"/>
      <c r="BD162" s="585"/>
      <c r="BE162" s="583"/>
      <c r="BF162" s="584"/>
      <c r="BG162" s="583"/>
      <c r="BH162" s="585"/>
      <c r="BI162" s="583"/>
      <c r="BJ162" s="584"/>
      <c r="BK162" s="583"/>
      <c r="BL162" s="585"/>
      <c r="BM162" s="583"/>
      <c r="BN162" s="584"/>
      <c r="BO162" s="583"/>
      <c r="BP162" s="585"/>
      <c r="BQ162" s="583"/>
      <c r="BR162" s="584"/>
      <c r="BS162" s="583"/>
      <c r="BT162" s="586"/>
      <c r="BU162" s="540"/>
      <c r="BV162" s="540"/>
      <c r="BW162" s="540"/>
      <c r="BX162" s="538"/>
      <c r="BY162" s="538"/>
      <c r="BZ162" s="592"/>
      <c r="CA162" s="633"/>
      <c r="CB162" s="592" t="s">
        <v>365</v>
      </c>
      <c r="CC162" s="592">
        <v>0.0</v>
      </c>
      <c r="CD162" s="592" t="s">
        <v>365</v>
      </c>
      <c r="CE162" s="592">
        <v>0.0</v>
      </c>
      <c r="CF162" s="592"/>
      <c r="CG162" s="592">
        <v>0.0</v>
      </c>
      <c r="CH162" s="592"/>
      <c r="CI162" s="633"/>
      <c r="CJ162" s="592">
        <v>0.0</v>
      </c>
      <c r="CK162" s="479" t="s">
        <v>365</v>
      </c>
      <c r="CL162" s="592"/>
      <c r="CM162" s="593"/>
      <c r="CN162" s="538"/>
      <c r="CO162" s="538"/>
      <c r="CP162" s="538"/>
      <c r="CQ162" s="538"/>
      <c r="CR162" s="538"/>
      <c r="CS162" s="538"/>
      <c r="CT162" s="538"/>
      <c r="CU162" s="538"/>
      <c r="CV162" s="538"/>
      <c r="CW162" s="538"/>
      <c r="CX162" s="538"/>
      <c r="CY162" s="538"/>
      <c r="CZ162" s="538"/>
      <c r="DA162" s="538"/>
      <c r="DB162" s="538"/>
      <c r="DC162" s="538"/>
      <c r="DD162" s="538"/>
      <c r="DE162" s="538"/>
      <c r="DF162" s="538"/>
      <c r="DG162" s="538"/>
      <c r="DH162" s="538"/>
      <c r="DI162" s="538"/>
      <c r="DJ162" s="538"/>
      <c r="DK162" s="538"/>
      <c r="DL162" s="538"/>
      <c r="DM162" s="538"/>
      <c r="DN162" s="538"/>
      <c r="DO162" s="538"/>
      <c r="DP162" s="538"/>
      <c r="DQ162" s="538"/>
      <c r="DR162" s="538"/>
      <c r="DS162" s="538"/>
      <c r="DT162" s="538"/>
      <c r="DU162" s="538"/>
      <c r="DV162" s="538"/>
      <c r="DW162" s="538"/>
      <c r="DX162" s="538"/>
      <c r="DY162" s="538"/>
      <c r="DZ162" s="538"/>
      <c r="EA162" s="538"/>
      <c r="EB162" s="538"/>
      <c r="EC162" s="538"/>
      <c r="ED162" s="538"/>
      <c r="EE162" s="538"/>
      <c r="EF162" s="538"/>
      <c r="EG162" s="538"/>
      <c r="EH162" s="538"/>
      <c r="EI162" s="538"/>
      <c r="EJ162" s="538"/>
      <c r="EK162" s="538"/>
      <c r="EL162" s="538"/>
      <c r="EM162" s="538"/>
      <c r="EN162" s="538"/>
      <c r="EO162" s="538"/>
      <c r="EP162" s="538"/>
      <c r="EQ162" s="538"/>
      <c r="ER162" s="538"/>
      <c r="ES162" s="538"/>
      <c r="ET162" s="538"/>
      <c r="EU162" s="538"/>
      <c r="EV162" s="538"/>
      <c r="EW162" s="538"/>
      <c r="EX162" s="559"/>
      <c r="EY162" s="559"/>
      <c r="EZ162" s="559"/>
      <c r="FA162" s="559"/>
      <c r="FB162" s="559"/>
      <c r="FC162" s="559"/>
      <c r="FD162" s="559"/>
      <c r="FE162" s="559"/>
      <c r="FF162" s="559"/>
      <c r="FG162" s="559"/>
      <c r="FH162" s="559"/>
      <c r="FI162" s="559"/>
      <c r="FJ162" s="559"/>
      <c r="FK162" s="559"/>
      <c r="FL162" s="559"/>
      <c r="FM162" s="559"/>
      <c r="FN162" s="559"/>
      <c r="FO162" s="559"/>
      <c r="FP162" s="559"/>
      <c r="FQ162" s="559"/>
      <c r="FR162" s="559"/>
      <c r="FS162" s="559"/>
      <c r="FT162" s="559"/>
      <c r="FU162" s="559"/>
      <c r="FV162" s="559"/>
      <c r="FW162" s="559"/>
      <c r="FX162" s="559"/>
      <c r="FY162" s="559"/>
      <c r="FZ162" s="559"/>
      <c r="GA162" s="559"/>
      <c r="GB162" s="559"/>
      <c r="GC162" s="559"/>
      <c r="GD162" s="559"/>
      <c r="GE162" s="559"/>
      <c r="GF162" s="559"/>
      <c r="GG162" s="559"/>
      <c r="GH162" s="559"/>
    </row>
    <row r="163">
      <c r="A163" s="538"/>
      <c r="B163" s="156"/>
      <c r="C163" s="444"/>
      <c r="D163" s="614"/>
      <c r="E163" s="66"/>
      <c r="F163" s="642"/>
      <c r="G163" s="642"/>
      <c r="H163" s="615"/>
      <c r="I163" s="616" t="s">
        <v>365</v>
      </c>
      <c r="J163" s="624"/>
      <c r="K163" s="643"/>
      <c r="L163" s="640"/>
      <c r="M163" s="625"/>
      <c r="N163" s="617"/>
      <c r="O163" s="134"/>
      <c r="P163" s="57"/>
      <c r="Q163" s="57"/>
      <c r="S163" s="605"/>
      <c r="U163" s="573"/>
      <c r="V163" s="574"/>
      <c r="W163" s="618"/>
      <c r="X163" s="576">
        <v>0.0</v>
      </c>
      <c r="Y163" s="630">
        <v>0.0</v>
      </c>
      <c r="Z163" s="630" t="s">
        <v>365</v>
      </c>
      <c r="AA163" s="631" t="b">
        <v>0</v>
      </c>
      <c r="AB163" s="631"/>
      <c r="AC163" s="576"/>
      <c r="AD163" s="479">
        <v>0.0</v>
      </c>
      <c r="AE163" s="632"/>
      <c r="AF163" s="582" t="s">
        <v>365</v>
      </c>
      <c r="AG163" s="583"/>
      <c r="AH163" s="584"/>
      <c r="AI163" s="583"/>
      <c r="AJ163" s="585"/>
      <c r="AK163" s="583"/>
      <c r="AL163" s="584"/>
      <c r="AM163" s="583"/>
      <c r="AN163" s="585"/>
      <c r="AO163" s="583"/>
      <c r="AP163" s="584"/>
      <c r="AQ163" s="583"/>
      <c r="AR163" s="585"/>
      <c r="AS163" s="583"/>
      <c r="AT163" s="584"/>
      <c r="AU163" s="583"/>
      <c r="AV163" s="585"/>
      <c r="AW163" s="583"/>
      <c r="AX163" s="584"/>
      <c r="AY163" s="583"/>
      <c r="AZ163" s="585"/>
      <c r="BA163" s="583"/>
      <c r="BB163" s="584"/>
      <c r="BC163" s="583"/>
      <c r="BD163" s="585"/>
      <c r="BE163" s="583"/>
      <c r="BF163" s="584"/>
      <c r="BG163" s="583"/>
      <c r="BH163" s="585"/>
      <c r="BI163" s="583"/>
      <c r="BJ163" s="584"/>
      <c r="BK163" s="583"/>
      <c r="BL163" s="585"/>
      <c r="BM163" s="583"/>
      <c r="BN163" s="584"/>
      <c r="BO163" s="583"/>
      <c r="BP163" s="585"/>
      <c r="BQ163" s="583"/>
      <c r="BR163" s="584"/>
      <c r="BS163" s="583"/>
      <c r="BT163" s="586"/>
      <c r="BU163" s="540"/>
      <c r="BV163" s="540"/>
      <c r="BW163" s="540"/>
      <c r="BX163" s="538"/>
      <c r="BY163" s="538"/>
      <c r="BZ163" s="592"/>
      <c r="CA163" s="633"/>
      <c r="CB163" s="592" t="s">
        <v>365</v>
      </c>
      <c r="CC163" s="592">
        <v>0.0</v>
      </c>
      <c r="CD163" s="592" t="s">
        <v>365</v>
      </c>
      <c r="CE163" s="592">
        <v>0.0</v>
      </c>
      <c r="CF163" s="592"/>
      <c r="CG163" s="592">
        <v>0.0</v>
      </c>
      <c r="CH163" s="592"/>
      <c r="CI163" s="633"/>
      <c r="CJ163" s="592">
        <v>0.0</v>
      </c>
      <c r="CK163" s="479" t="s">
        <v>365</v>
      </c>
      <c r="CL163" s="592"/>
      <c r="CM163" s="593"/>
      <c r="CN163" s="538"/>
      <c r="CO163" s="538"/>
      <c r="CP163" s="538"/>
      <c r="CQ163" s="538"/>
      <c r="CR163" s="538"/>
      <c r="CS163" s="538"/>
      <c r="CT163" s="538"/>
      <c r="CU163" s="538"/>
      <c r="CV163" s="538"/>
      <c r="CW163" s="538"/>
      <c r="CX163" s="538"/>
      <c r="CY163" s="538"/>
      <c r="CZ163" s="538"/>
      <c r="DA163" s="538"/>
      <c r="DB163" s="538"/>
      <c r="DC163" s="538"/>
      <c r="DD163" s="538"/>
      <c r="DE163" s="538"/>
      <c r="DF163" s="538"/>
      <c r="DG163" s="538"/>
      <c r="DH163" s="538"/>
      <c r="DI163" s="538"/>
      <c r="DJ163" s="538"/>
      <c r="DK163" s="538"/>
      <c r="DL163" s="538"/>
      <c r="DM163" s="538"/>
      <c r="DN163" s="538"/>
      <c r="DO163" s="538"/>
      <c r="DP163" s="538"/>
      <c r="DQ163" s="538"/>
      <c r="DR163" s="538"/>
      <c r="DS163" s="538"/>
      <c r="DT163" s="538"/>
      <c r="DU163" s="538"/>
      <c r="DV163" s="538"/>
      <c r="DW163" s="538"/>
      <c r="DX163" s="538"/>
      <c r="DY163" s="538"/>
      <c r="DZ163" s="538"/>
      <c r="EA163" s="538"/>
      <c r="EB163" s="538"/>
      <c r="EC163" s="538"/>
      <c r="ED163" s="538"/>
      <c r="EE163" s="538"/>
      <c r="EF163" s="538"/>
      <c r="EG163" s="538"/>
      <c r="EH163" s="538"/>
      <c r="EI163" s="538"/>
      <c r="EJ163" s="538"/>
      <c r="EK163" s="538"/>
      <c r="EL163" s="538"/>
      <c r="EM163" s="538"/>
      <c r="EN163" s="538"/>
      <c r="EO163" s="538"/>
      <c r="EP163" s="538"/>
      <c r="EQ163" s="538"/>
      <c r="ER163" s="538"/>
      <c r="ES163" s="538"/>
      <c r="ET163" s="538"/>
      <c r="EU163" s="538"/>
      <c r="EV163" s="538"/>
      <c r="EW163" s="538"/>
      <c r="EX163" s="559"/>
      <c r="EY163" s="559"/>
      <c r="EZ163" s="559"/>
      <c r="FA163" s="559"/>
      <c r="FB163" s="559"/>
      <c r="FC163" s="559"/>
      <c r="FD163" s="559"/>
      <c r="FE163" s="559"/>
      <c r="FF163" s="559"/>
      <c r="FG163" s="559"/>
      <c r="FH163" s="559"/>
      <c r="FI163" s="559"/>
      <c r="FJ163" s="559"/>
      <c r="FK163" s="559"/>
      <c r="FL163" s="559"/>
      <c r="FM163" s="559"/>
      <c r="FN163" s="559"/>
      <c r="FO163" s="559"/>
      <c r="FP163" s="559"/>
      <c r="FQ163" s="559"/>
      <c r="FR163" s="559"/>
      <c r="FS163" s="559"/>
      <c r="FT163" s="559"/>
      <c r="FU163" s="559"/>
      <c r="FV163" s="559"/>
      <c r="FW163" s="559"/>
      <c r="FX163" s="559"/>
      <c r="FY163" s="559"/>
      <c r="FZ163" s="559"/>
      <c r="GA163" s="559"/>
      <c r="GB163" s="559"/>
      <c r="GC163" s="559"/>
      <c r="GD163" s="559"/>
      <c r="GE163" s="559"/>
      <c r="GF163" s="559"/>
      <c r="GG163" s="559"/>
      <c r="GH163" s="559"/>
    </row>
    <row r="164">
      <c r="A164" s="538"/>
      <c r="B164" s="156"/>
      <c r="C164" s="444"/>
      <c r="D164" s="614"/>
      <c r="E164" s="68"/>
      <c r="F164" s="644"/>
      <c r="G164" s="644"/>
      <c r="H164" s="627"/>
      <c r="I164" s="622" t="s">
        <v>365</v>
      </c>
      <c r="J164" s="607"/>
      <c r="K164" s="641"/>
      <c r="L164" s="628"/>
      <c r="M164" s="626"/>
      <c r="N164" s="619"/>
      <c r="O164" s="560"/>
      <c r="P164" s="47"/>
      <c r="Q164" s="47"/>
      <c r="S164" s="572"/>
      <c r="U164" s="573"/>
      <c r="V164" s="574"/>
      <c r="W164" s="618"/>
      <c r="X164" s="576">
        <v>0.0</v>
      </c>
      <c r="Y164" s="630">
        <v>0.0</v>
      </c>
      <c r="Z164" s="630" t="s">
        <v>365</v>
      </c>
      <c r="AA164" s="631" t="b">
        <v>0</v>
      </c>
      <c r="AB164" s="631"/>
      <c r="AC164" s="576"/>
      <c r="AD164" s="479">
        <v>0.0</v>
      </c>
      <c r="AE164" s="632"/>
      <c r="AF164" s="582" t="s">
        <v>365</v>
      </c>
      <c r="AG164" s="583"/>
      <c r="AH164" s="584"/>
      <c r="AI164" s="583"/>
      <c r="AJ164" s="585"/>
      <c r="AK164" s="583"/>
      <c r="AL164" s="584"/>
      <c r="AM164" s="583"/>
      <c r="AN164" s="585"/>
      <c r="AO164" s="583"/>
      <c r="AP164" s="584"/>
      <c r="AQ164" s="583"/>
      <c r="AR164" s="585"/>
      <c r="AS164" s="583"/>
      <c r="AT164" s="584"/>
      <c r="AU164" s="583"/>
      <c r="AV164" s="585"/>
      <c r="AW164" s="583"/>
      <c r="AX164" s="584"/>
      <c r="AY164" s="583"/>
      <c r="AZ164" s="585"/>
      <c r="BA164" s="583"/>
      <c r="BB164" s="584"/>
      <c r="BC164" s="583"/>
      <c r="BD164" s="585"/>
      <c r="BE164" s="583"/>
      <c r="BF164" s="584"/>
      <c r="BG164" s="583"/>
      <c r="BH164" s="585"/>
      <c r="BI164" s="583"/>
      <c r="BJ164" s="584"/>
      <c r="BK164" s="583"/>
      <c r="BL164" s="585"/>
      <c r="BM164" s="583"/>
      <c r="BN164" s="584"/>
      <c r="BO164" s="583"/>
      <c r="BP164" s="585"/>
      <c r="BQ164" s="583"/>
      <c r="BR164" s="584"/>
      <c r="BS164" s="583"/>
      <c r="BT164" s="586"/>
      <c r="BU164" s="540"/>
      <c r="BV164" s="540"/>
      <c r="BW164" s="540"/>
      <c r="BX164" s="538"/>
      <c r="BY164" s="538"/>
      <c r="BZ164" s="592"/>
      <c r="CA164" s="633"/>
      <c r="CB164" s="592" t="s">
        <v>365</v>
      </c>
      <c r="CC164" s="592">
        <v>0.0</v>
      </c>
      <c r="CD164" s="592" t="s">
        <v>365</v>
      </c>
      <c r="CE164" s="592">
        <v>0.0</v>
      </c>
      <c r="CF164" s="592"/>
      <c r="CG164" s="592">
        <v>0.0</v>
      </c>
      <c r="CH164" s="592"/>
      <c r="CI164" s="633"/>
      <c r="CJ164" s="592">
        <v>0.0</v>
      </c>
      <c r="CK164" s="479" t="s">
        <v>365</v>
      </c>
      <c r="CL164" s="592"/>
      <c r="CM164" s="593"/>
      <c r="CN164" s="538"/>
      <c r="CO164" s="538"/>
      <c r="CP164" s="538"/>
      <c r="CQ164" s="538"/>
      <c r="CR164" s="538"/>
      <c r="CS164" s="538"/>
      <c r="CT164" s="538"/>
      <c r="CU164" s="538"/>
      <c r="CV164" s="538"/>
      <c r="CW164" s="538"/>
      <c r="CX164" s="538"/>
      <c r="CY164" s="538"/>
      <c r="CZ164" s="538"/>
      <c r="DA164" s="538"/>
      <c r="DB164" s="538"/>
      <c r="DC164" s="538"/>
      <c r="DD164" s="538"/>
      <c r="DE164" s="538"/>
      <c r="DF164" s="538"/>
      <c r="DG164" s="538"/>
      <c r="DH164" s="538"/>
      <c r="DI164" s="538"/>
      <c r="DJ164" s="538"/>
      <c r="DK164" s="538"/>
      <c r="DL164" s="538"/>
      <c r="DM164" s="538"/>
      <c r="DN164" s="538"/>
      <c r="DO164" s="538"/>
      <c r="DP164" s="538"/>
      <c r="DQ164" s="538"/>
      <c r="DR164" s="538"/>
      <c r="DS164" s="538"/>
      <c r="DT164" s="538"/>
      <c r="DU164" s="538"/>
      <c r="DV164" s="538"/>
      <c r="DW164" s="538"/>
      <c r="DX164" s="538"/>
      <c r="DY164" s="538"/>
      <c r="DZ164" s="538"/>
      <c r="EA164" s="538"/>
      <c r="EB164" s="538"/>
      <c r="EC164" s="538"/>
      <c r="ED164" s="538"/>
      <c r="EE164" s="538"/>
      <c r="EF164" s="538"/>
      <c r="EG164" s="538"/>
      <c r="EH164" s="538"/>
      <c r="EI164" s="538"/>
      <c r="EJ164" s="538"/>
      <c r="EK164" s="538"/>
      <c r="EL164" s="538"/>
      <c r="EM164" s="538"/>
      <c r="EN164" s="538"/>
      <c r="EO164" s="538"/>
      <c r="EP164" s="538"/>
      <c r="EQ164" s="538"/>
      <c r="ER164" s="538"/>
      <c r="ES164" s="538"/>
      <c r="ET164" s="538"/>
      <c r="EU164" s="538"/>
      <c r="EV164" s="538"/>
      <c r="EW164" s="538"/>
      <c r="EX164" s="559"/>
      <c r="EY164" s="559"/>
      <c r="EZ164" s="559"/>
      <c r="FA164" s="559"/>
      <c r="FB164" s="559"/>
      <c r="FC164" s="559"/>
      <c r="FD164" s="559"/>
      <c r="FE164" s="559"/>
      <c r="FF164" s="559"/>
      <c r="FG164" s="559"/>
      <c r="FH164" s="559"/>
      <c r="FI164" s="559"/>
      <c r="FJ164" s="559"/>
      <c r="FK164" s="559"/>
      <c r="FL164" s="559"/>
      <c r="FM164" s="559"/>
      <c r="FN164" s="559"/>
      <c r="FO164" s="559"/>
      <c r="FP164" s="559"/>
      <c r="FQ164" s="559"/>
      <c r="FR164" s="559"/>
      <c r="FS164" s="559"/>
      <c r="FT164" s="559"/>
      <c r="FU164" s="559"/>
      <c r="FV164" s="559"/>
      <c r="FW164" s="559"/>
      <c r="FX164" s="559"/>
      <c r="FY164" s="559"/>
      <c r="FZ164" s="559"/>
      <c r="GA164" s="559"/>
      <c r="GB164" s="559"/>
      <c r="GC164" s="559"/>
      <c r="GD164" s="559"/>
      <c r="GE164" s="559"/>
      <c r="GF164" s="559"/>
      <c r="GG164" s="559"/>
      <c r="GH164" s="559"/>
    </row>
    <row r="165">
      <c r="A165" s="538"/>
      <c r="B165" s="156"/>
      <c r="C165" s="444"/>
      <c r="D165" s="614"/>
      <c r="E165" s="66"/>
      <c r="F165" s="642"/>
      <c r="G165" s="642"/>
      <c r="H165" s="615"/>
      <c r="I165" s="616" t="s">
        <v>365</v>
      </c>
      <c r="J165" s="624"/>
      <c r="K165" s="643"/>
      <c r="L165" s="640"/>
      <c r="M165" s="625"/>
      <c r="N165" s="617"/>
      <c r="O165" s="134"/>
      <c r="P165" s="57"/>
      <c r="Q165" s="57"/>
      <c r="S165" s="605"/>
      <c r="U165" s="573"/>
      <c r="V165" s="574"/>
      <c r="W165" s="618"/>
      <c r="X165" s="576">
        <v>0.0</v>
      </c>
      <c r="Y165" s="630">
        <v>0.0</v>
      </c>
      <c r="Z165" s="630" t="s">
        <v>365</v>
      </c>
      <c r="AA165" s="631" t="b">
        <v>0</v>
      </c>
      <c r="AB165" s="631"/>
      <c r="AC165" s="576"/>
      <c r="AD165" s="479">
        <v>0.0</v>
      </c>
      <c r="AE165" s="632"/>
      <c r="AF165" s="582" t="s">
        <v>365</v>
      </c>
      <c r="AG165" s="583"/>
      <c r="AH165" s="584"/>
      <c r="AI165" s="583"/>
      <c r="AJ165" s="585"/>
      <c r="AK165" s="583"/>
      <c r="AL165" s="584"/>
      <c r="AM165" s="583"/>
      <c r="AN165" s="585"/>
      <c r="AO165" s="583"/>
      <c r="AP165" s="584"/>
      <c r="AQ165" s="583"/>
      <c r="AR165" s="585"/>
      <c r="AS165" s="583"/>
      <c r="AT165" s="584"/>
      <c r="AU165" s="583"/>
      <c r="AV165" s="585"/>
      <c r="AW165" s="583"/>
      <c r="AX165" s="584"/>
      <c r="AY165" s="583"/>
      <c r="AZ165" s="585"/>
      <c r="BA165" s="583"/>
      <c r="BB165" s="584"/>
      <c r="BC165" s="583"/>
      <c r="BD165" s="585"/>
      <c r="BE165" s="583"/>
      <c r="BF165" s="584"/>
      <c r="BG165" s="583"/>
      <c r="BH165" s="585"/>
      <c r="BI165" s="583"/>
      <c r="BJ165" s="584"/>
      <c r="BK165" s="583"/>
      <c r="BL165" s="585"/>
      <c r="BM165" s="583"/>
      <c r="BN165" s="584"/>
      <c r="BO165" s="583"/>
      <c r="BP165" s="585"/>
      <c r="BQ165" s="583"/>
      <c r="BR165" s="584"/>
      <c r="BS165" s="583"/>
      <c r="BT165" s="586"/>
      <c r="BU165" s="540"/>
      <c r="BV165" s="540"/>
      <c r="BW165" s="540"/>
      <c r="BX165" s="538"/>
      <c r="BY165" s="538"/>
      <c r="BZ165" s="592"/>
      <c r="CA165" s="633"/>
      <c r="CB165" s="592" t="s">
        <v>365</v>
      </c>
      <c r="CC165" s="592">
        <v>0.0</v>
      </c>
      <c r="CD165" s="592" t="s">
        <v>365</v>
      </c>
      <c r="CE165" s="592">
        <v>0.0</v>
      </c>
      <c r="CF165" s="592"/>
      <c r="CG165" s="592">
        <v>0.0</v>
      </c>
      <c r="CH165" s="592"/>
      <c r="CI165" s="633"/>
      <c r="CJ165" s="592">
        <v>0.0</v>
      </c>
      <c r="CK165" s="479" t="s">
        <v>365</v>
      </c>
      <c r="CL165" s="592"/>
      <c r="CM165" s="593"/>
      <c r="CN165" s="538"/>
      <c r="CO165" s="538"/>
      <c r="CP165" s="538"/>
      <c r="CQ165" s="538"/>
      <c r="CR165" s="538"/>
      <c r="CS165" s="538"/>
      <c r="CT165" s="538"/>
      <c r="CU165" s="538"/>
      <c r="CV165" s="538"/>
      <c r="CW165" s="538"/>
      <c r="CX165" s="538"/>
      <c r="CY165" s="538"/>
      <c r="CZ165" s="538"/>
      <c r="DA165" s="538"/>
      <c r="DB165" s="538"/>
      <c r="DC165" s="538"/>
      <c r="DD165" s="538"/>
      <c r="DE165" s="538"/>
      <c r="DF165" s="538"/>
      <c r="DG165" s="538"/>
      <c r="DH165" s="538"/>
      <c r="DI165" s="538"/>
      <c r="DJ165" s="538"/>
      <c r="DK165" s="538"/>
      <c r="DL165" s="538"/>
      <c r="DM165" s="538"/>
      <c r="DN165" s="538"/>
      <c r="DO165" s="538"/>
      <c r="DP165" s="538"/>
      <c r="DQ165" s="538"/>
      <c r="DR165" s="538"/>
      <c r="DS165" s="538"/>
      <c r="DT165" s="538"/>
      <c r="DU165" s="538"/>
      <c r="DV165" s="538"/>
      <c r="DW165" s="538"/>
      <c r="DX165" s="538"/>
      <c r="DY165" s="538"/>
      <c r="DZ165" s="538"/>
      <c r="EA165" s="538"/>
      <c r="EB165" s="538"/>
      <c r="EC165" s="538"/>
      <c r="ED165" s="538"/>
      <c r="EE165" s="538"/>
      <c r="EF165" s="538"/>
      <c r="EG165" s="538"/>
      <c r="EH165" s="538"/>
      <c r="EI165" s="538"/>
      <c r="EJ165" s="538"/>
      <c r="EK165" s="538"/>
      <c r="EL165" s="538"/>
      <c r="EM165" s="538"/>
      <c r="EN165" s="538"/>
      <c r="EO165" s="538"/>
      <c r="EP165" s="538"/>
      <c r="EQ165" s="538"/>
      <c r="ER165" s="538"/>
      <c r="ES165" s="538"/>
      <c r="ET165" s="538"/>
      <c r="EU165" s="538"/>
      <c r="EV165" s="538"/>
      <c r="EW165" s="538"/>
      <c r="EX165" s="559"/>
      <c r="EY165" s="559"/>
      <c r="EZ165" s="559"/>
      <c r="FA165" s="559"/>
      <c r="FB165" s="559"/>
      <c r="FC165" s="559"/>
      <c r="FD165" s="559"/>
      <c r="FE165" s="559"/>
      <c r="FF165" s="559"/>
      <c r="FG165" s="559"/>
      <c r="FH165" s="559"/>
      <c r="FI165" s="559"/>
      <c r="FJ165" s="559"/>
      <c r="FK165" s="559"/>
      <c r="FL165" s="559"/>
      <c r="FM165" s="559"/>
      <c r="FN165" s="559"/>
      <c r="FO165" s="559"/>
      <c r="FP165" s="559"/>
      <c r="FQ165" s="559"/>
      <c r="FR165" s="559"/>
      <c r="FS165" s="559"/>
      <c r="FT165" s="559"/>
      <c r="FU165" s="559"/>
      <c r="FV165" s="559"/>
      <c r="FW165" s="559"/>
      <c r="FX165" s="559"/>
      <c r="FY165" s="559"/>
      <c r="FZ165" s="559"/>
      <c r="GA165" s="559"/>
      <c r="GB165" s="559"/>
      <c r="GC165" s="559"/>
      <c r="GD165" s="559"/>
      <c r="GE165" s="559"/>
      <c r="GF165" s="559"/>
      <c r="GG165" s="559"/>
      <c r="GH165" s="559"/>
    </row>
    <row r="166">
      <c r="A166" s="538"/>
      <c r="B166" s="156"/>
      <c r="C166" s="444"/>
      <c r="D166" s="614"/>
      <c r="E166" s="68"/>
      <c r="F166" s="644"/>
      <c r="G166" s="644"/>
      <c r="H166" s="627"/>
      <c r="I166" s="622" t="s">
        <v>365</v>
      </c>
      <c r="J166" s="607"/>
      <c r="K166" s="641"/>
      <c r="L166" s="628"/>
      <c r="M166" s="626"/>
      <c r="N166" s="619"/>
      <c r="O166" s="560"/>
      <c r="P166" s="47"/>
      <c r="Q166" s="47"/>
      <c r="S166" s="572"/>
      <c r="U166" s="573"/>
      <c r="V166" s="574"/>
      <c r="W166" s="618"/>
      <c r="X166" s="576">
        <v>0.0</v>
      </c>
      <c r="Y166" s="630">
        <v>0.0</v>
      </c>
      <c r="Z166" s="630" t="s">
        <v>365</v>
      </c>
      <c r="AA166" s="631" t="b">
        <v>0</v>
      </c>
      <c r="AB166" s="631"/>
      <c r="AC166" s="576"/>
      <c r="AD166" s="479">
        <v>0.0</v>
      </c>
      <c r="AE166" s="632"/>
      <c r="AF166" s="582" t="s">
        <v>365</v>
      </c>
      <c r="AG166" s="583"/>
      <c r="AH166" s="584"/>
      <c r="AI166" s="583"/>
      <c r="AJ166" s="585"/>
      <c r="AK166" s="583"/>
      <c r="AL166" s="584"/>
      <c r="AM166" s="583"/>
      <c r="AN166" s="585"/>
      <c r="AO166" s="583"/>
      <c r="AP166" s="584"/>
      <c r="AQ166" s="583"/>
      <c r="AR166" s="585"/>
      <c r="AS166" s="583"/>
      <c r="AT166" s="584"/>
      <c r="AU166" s="583"/>
      <c r="AV166" s="585"/>
      <c r="AW166" s="583"/>
      <c r="AX166" s="584"/>
      <c r="AY166" s="583"/>
      <c r="AZ166" s="585"/>
      <c r="BA166" s="583"/>
      <c r="BB166" s="584"/>
      <c r="BC166" s="583"/>
      <c r="BD166" s="585"/>
      <c r="BE166" s="583"/>
      <c r="BF166" s="584"/>
      <c r="BG166" s="583"/>
      <c r="BH166" s="585"/>
      <c r="BI166" s="583"/>
      <c r="BJ166" s="584"/>
      <c r="BK166" s="583"/>
      <c r="BL166" s="585"/>
      <c r="BM166" s="583"/>
      <c r="BN166" s="584"/>
      <c r="BO166" s="583"/>
      <c r="BP166" s="585"/>
      <c r="BQ166" s="583"/>
      <c r="BR166" s="584"/>
      <c r="BS166" s="583"/>
      <c r="BT166" s="586"/>
      <c r="BU166" s="540"/>
      <c r="BV166" s="540"/>
      <c r="BW166" s="540"/>
      <c r="BX166" s="538"/>
      <c r="BY166" s="538"/>
      <c r="BZ166" s="592"/>
      <c r="CA166" s="633"/>
      <c r="CB166" s="592" t="s">
        <v>365</v>
      </c>
      <c r="CC166" s="592">
        <v>0.0</v>
      </c>
      <c r="CD166" s="592" t="s">
        <v>365</v>
      </c>
      <c r="CE166" s="592">
        <v>0.0</v>
      </c>
      <c r="CF166" s="592"/>
      <c r="CG166" s="592">
        <v>0.0</v>
      </c>
      <c r="CH166" s="592"/>
      <c r="CI166" s="633"/>
      <c r="CJ166" s="592">
        <v>0.0</v>
      </c>
      <c r="CK166" s="479" t="s">
        <v>365</v>
      </c>
      <c r="CL166" s="592"/>
      <c r="CM166" s="593"/>
      <c r="CN166" s="538"/>
      <c r="CO166" s="538"/>
      <c r="CP166" s="538"/>
      <c r="CQ166" s="538"/>
      <c r="CR166" s="538"/>
      <c r="CS166" s="538"/>
      <c r="CT166" s="538"/>
      <c r="CU166" s="538"/>
      <c r="CV166" s="538"/>
      <c r="CW166" s="538"/>
      <c r="CX166" s="538"/>
      <c r="CY166" s="538"/>
      <c r="CZ166" s="538"/>
      <c r="DA166" s="538"/>
      <c r="DB166" s="538"/>
      <c r="DC166" s="538"/>
      <c r="DD166" s="538"/>
      <c r="DE166" s="538"/>
      <c r="DF166" s="538"/>
      <c r="DG166" s="538"/>
      <c r="DH166" s="538"/>
      <c r="DI166" s="538"/>
      <c r="DJ166" s="538"/>
      <c r="DK166" s="538"/>
      <c r="DL166" s="538"/>
      <c r="DM166" s="538"/>
      <c r="DN166" s="538"/>
      <c r="DO166" s="538"/>
      <c r="DP166" s="538"/>
      <c r="DQ166" s="538"/>
      <c r="DR166" s="538"/>
      <c r="DS166" s="538"/>
      <c r="DT166" s="538"/>
      <c r="DU166" s="538"/>
      <c r="DV166" s="538"/>
      <c r="DW166" s="538"/>
      <c r="DX166" s="538"/>
      <c r="DY166" s="538"/>
      <c r="DZ166" s="538"/>
      <c r="EA166" s="538"/>
      <c r="EB166" s="538"/>
      <c r="EC166" s="538"/>
      <c r="ED166" s="538"/>
      <c r="EE166" s="538"/>
      <c r="EF166" s="538"/>
      <c r="EG166" s="538"/>
      <c r="EH166" s="538"/>
      <c r="EI166" s="538"/>
      <c r="EJ166" s="538"/>
      <c r="EK166" s="538"/>
      <c r="EL166" s="538"/>
      <c r="EM166" s="538"/>
      <c r="EN166" s="538"/>
      <c r="EO166" s="538"/>
      <c r="EP166" s="538"/>
      <c r="EQ166" s="538"/>
      <c r="ER166" s="538"/>
      <c r="ES166" s="538"/>
      <c r="ET166" s="538"/>
      <c r="EU166" s="538"/>
      <c r="EV166" s="538"/>
      <c r="EW166" s="538"/>
      <c r="EX166" s="559"/>
      <c r="EY166" s="559"/>
      <c r="EZ166" s="559"/>
      <c r="FA166" s="559"/>
      <c r="FB166" s="559"/>
      <c r="FC166" s="559"/>
      <c r="FD166" s="559"/>
      <c r="FE166" s="559"/>
      <c r="FF166" s="559"/>
      <c r="FG166" s="559"/>
      <c r="FH166" s="559"/>
      <c r="FI166" s="559"/>
      <c r="FJ166" s="559"/>
      <c r="FK166" s="559"/>
      <c r="FL166" s="559"/>
      <c r="FM166" s="559"/>
      <c r="FN166" s="559"/>
      <c r="FO166" s="559"/>
      <c r="FP166" s="559"/>
      <c r="FQ166" s="559"/>
      <c r="FR166" s="559"/>
      <c r="FS166" s="559"/>
      <c r="FT166" s="559"/>
      <c r="FU166" s="559"/>
      <c r="FV166" s="559"/>
      <c r="FW166" s="559"/>
      <c r="FX166" s="559"/>
      <c r="FY166" s="559"/>
      <c r="FZ166" s="559"/>
      <c r="GA166" s="559"/>
      <c r="GB166" s="559"/>
      <c r="GC166" s="559"/>
      <c r="GD166" s="559"/>
      <c r="GE166" s="559"/>
      <c r="GF166" s="559"/>
      <c r="GG166" s="559"/>
      <c r="GH166" s="559"/>
    </row>
    <row r="167">
      <c r="A167" s="538"/>
      <c r="B167" s="156"/>
      <c r="C167" s="444"/>
      <c r="D167" s="614"/>
      <c r="E167" s="66"/>
      <c r="F167" s="642"/>
      <c r="G167" s="642"/>
      <c r="H167" s="615"/>
      <c r="I167" s="616" t="s">
        <v>365</v>
      </c>
      <c r="J167" s="624"/>
      <c r="K167" s="643"/>
      <c r="L167" s="640"/>
      <c r="M167" s="625"/>
      <c r="N167" s="617"/>
      <c r="O167" s="134"/>
      <c r="P167" s="57"/>
      <c r="Q167" s="57"/>
      <c r="S167" s="605"/>
      <c r="U167" s="573"/>
      <c r="V167" s="574"/>
      <c r="W167" s="618"/>
      <c r="X167" s="576">
        <v>0.0</v>
      </c>
      <c r="Y167" s="630">
        <v>0.0</v>
      </c>
      <c r="Z167" s="630" t="s">
        <v>365</v>
      </c>
      <c r="AA167" s="631" t="b">
        <v>0</v>
      </c>
      <c r="AB167" s="631"/>
      <c r="AC167" s="576"/>
      <c r="AD167" s="479">
        <v>0.0</v>
      </c>
      <c r="AE167" s="632"/>
      <c r="AF167" s="582" t="s">
        <v>365</v>
      </c>
      <c r="AG167" s="583"/>
      <c r="AH167" s="584"/>
      <c r="AI167" s="583"/>
      <c r="AJ167" s="585"/>
      <c r="AK167" s="583"/>
      <c r="AL167" s="584"/>
      <c r="AM167" s="583"/>
      <c r="AN167" s="585"/>
      <c r="AO167" s="583"/>
      <c r="AP167" s="584"/>
      <c r="AQ167" s="583"/>
      <c r="AR167" s="585"/>
      <c r="AS167" s="583"/>
      <c r="AT167" s="584"/>
      <c r="AU167" s="583"/>
      <c r="AV167" s="585"/>
      <c r="AW167" s="583"/>
      <c r="AX167" s="584"/>
      <c r="AY167" s="583"/>
      <c r="AZ167" s="585"/>
      <c r="BA167" s="583"/>
      <c r="BB167" s="584"/>
      <c r="BC167" s="583"/>
      <c r="BD167" s="585"/>
      <c r="BE167" s="583"/>
      <c r="BF167" s="584"/>
      <c r="BG167" s="583"/>
      <c r="BH167" s="585"/>
      <c r="BI167" s="583"/>
      <c r="BJ167" s="584"/>
      <c r="BK167" s="583"/>
      <c r="BL167" s="585"/>
      <c r="BM167" s="583"/>
      <c r="BN167" s="584"/>
      <c r="BO167" s="583"/>
      <c r="BP167" s="585"/>
      <c r="BQ167" s="583"/>
      <c r="BR167" s="584"/>
      <c r="BS167" s="583"/>
      <c r="BT167" s="586"/>
      <c r="BU167" s="540"/>
      <c r="BV167" s="540"/>
      <c r="BW167" s="540"/>
      <c r="BX167" s="538"/>
      <c r="BY167" s="538"/>
      <c r="BZ167" s="592"/>
      <c r="CA167" s="633"/>
      <c r="CB167" s="592" t="s">
        <v>365</v>
      </c>
      <c r="CC167" s="592">
        <v>0.0</v>
      </c>
      <c r="CD167" s="592" t="s">
        <v>365</v>
      </c>
      <c r="CE167" s="592">
        <v>0.0</v>
      </c>
      <c r="CF167" s="592"/>
      <c r="CG167" s="592">
        <v>0.0</v>
      </c>
      <c r="CH167" s="592"/>
      <c r="CI167" s="633"/>
      <c r="CJ167" s="592">
        <v>0.0</v>
      </c>
      <c r="CK167" s="479" t="s">
        <v>365</v>
      </c>
      <c r="CL167" s="592"/>
      <c r="CM167" s="593"/>
      <c r="CN167" s="538"/>
      <c r="CO167" s="538"/>
      <c r="CP167" s="538"/>
      <c r="CQ167" s="538"/>
      <c r="CR167" s="538"/>
      <c r="CS167" s="538"/>
      <c r="CT167" s="538"/>
      <c r="CU167" s="538"/>
      <c r="CV167" s="538"/>
      <c r="CW167" s="538"/>
      <c r="CX167" s="538"/>
      <c r="CY167" s="538"/>
      <c r="CZ167" s="538"/>
      <c r="DA167" s="538"/>
      <c r="DB167" s="538"/>
      <c r="DC167" s="538"/>
      <c r="DD167" s="538"/>
      <c r="DE167" s="538"/>
      <c r="DF167" s="538"/>
      <c r="DG167" s="538"/>
      <c r="DH167" s="538"/>
      <c r="DI167" s="538"/>
      <c r="DJ167" s="538"/>
      <c r="DK167" s="538"/>
      <c r="DL167" s="538"/>
      <c r="DM167" s="538"/>
      <c r="DN167" s="538"/>
      <c r="DO167" s="538"/>
      <c r="DP167" s="538"/>
      <c r="DQ167" s="538"/>
      <c r="DR167" s="538"/>
      <c r="DS167" s="538"/>
      <c r="DT167" s="538"/>
      <c r="DU167" s="538"/>
      <c r="DV167" s="538"/>
      <c r="DW167" s="538"/>
      <c r="DX167" s="538"/>
      <c r="DY167" s="538"/>
      <c r="DZ167" s="538"/>
      <c r="EA167" s="538"/>
      <c r="EB167" s="538"/>
      <c r="EC167" s="538"/>
      <c r="ED167" s="538"/>
      <c r="EE167" s="538"/>
      <c r="EF167" s="538"/>
      <c r="EG167" s="538"/>
      <c r="EH167" s="538"/>
      <c r="EI167" s="538"/>
      <c r="EJ167" s="538"/>
      <c r="EK167" s="538"/>
      <c r="EL167" s="538"/>
      <c r="EM167" s="538"/>
      <c r="EN167" s="538"/>
      <c r="EO167" s="538"/>
      <c r="EP167" s="538"/>
      <c r="EQ167" s="538"/>
      <c r="ER167" s="538"/>
      <c r="ES167" s="538"/>
      <c r="ET167" s="538"/>
      <c r="EU167" s="538"/>
      <c r="EV167" s="538"/>
      <c r="EW167" s="538"/>
      <c r="EX167" s="559"/>
      <c r="EY167" s="559"/>
      <c r="EZ167" s="559"/>
      <c r="FA167" s="559"/>
      <c r="FB167" s="559"/>
      <c r="FC167" s="559"/>
      <c r="FD167" s="559"/>
      <c r="FE167" s="559"/>
      <c r="FF167" s="559"/>
      <c r="FG167" s="559"/>
      <c r="FH167" s="559"/>
      <c r="FI167" s="559"/>
      <c r="FJ167" s="559"/>
      <c r="FK167" s="559"/>
      <c r="FL167" s="559"/>
      <c r="FM167" s="559"/>
      <c r="FN167" s="559"/>
      <c r="FO167" s="559"/>
      <c r="FP167" s="559"/>
      <c r="FQ167" s="559"/>
      <c r="FR167" s="559"/>
      <c r="FS167" s="559"/>
      <c r="FT167" s="559"/>
      <c r="FU167" s="559"/>
      <c r="FV167" s="559"/>
      <c r="FW167" s="559"/>
      <c r="FX167" s="559"/>
      <c r="FY167" s="559"/>
      <c r="FZ167" s="559"/>
      <c r="GA167" s="559"/>
      <c r="GB167" s="559"/>
      <c r="GC167" s="559"/>
      <c r="GD167" s="559"/>
      <c r="GE167" s="559"/>
      <c r="GF167" s="559"/>
      <c r="GG167" s="559"/>
      <c r="GH167" s="559"/>
    </row>
    <row r="168">
      <c r="A168" s="538"/>
      <c r="B168" s="156"/>
      <c r="C168" s="444"/>
      <c r="D168" s="614"/>
      <c r="E168" s="68"/>
      <c r="F168" s="644"/>
      <c r="G168" s="644"/>
      <c r="H168" s="627"/>
      <c r="I168" s="622" t="s">
        <v>365</v>
      </c>
      <c r="J168" s="607"/>
      <c r="K168" s="641"/>
      <c r="L168" s="628"/>
      <c r="M168" s="626"/>
      <c r="N168" s="619"/>
      <c r="O168" s="560"/>
      <c r="P168" s="47"/>
      <c r="Q168" s="47"/>
      <c r="S168" s="572"/>
      <c r="U168" s="573"/>
      <c r="V168" s="574"/>
      <c r="W168" s="618"/>
      <c r="X168" s="576">
        <v>0.0</v>
      </c>
      <c r="Y168" s="630">
        <v>0.0</v>
      </c>
      <c r="Z168" s="630" t="s">
        <v>365</v>
      </c>
      <c r="AA168" s="631" t="b">
        <v>0</v>
      </c>
      <c r="AB168" s="631"/>
      <c r="AC168" s="576"/>
      <c r="AD168" s="479">
        <v>0.0</v>
      </c>
      <c r="AE168" s="632"/>
      <c r="AF168" s="582" t="s">
        <v>365</v>
      </c>
      <c r="AG168" s="583"/>
      <c r="AH168" s="584"/>
      <c r="AI168" s="583"/>
      <c r="AJ168" s="585"/>
      <c r="AK168" s="583"/>
      <c r="AL168" s="584"/>
      <c r="AM168" s="583"/>
      <c r="AN168" s="585"/>
      <c r="AO168" s="583"/>
      <c r="AP168" s="584"/>
      <c r="AQ168" s="583"/>
      <c r="AR168" s="585"/>
      <c r="AS168" s="583"/>
      <c r="AT168" s="584"/>
      <c r="AU168" s="583"/>
      <c r="AV168" s="585"/>
      <c r="AW168" s="583"/>
      <c r="AX168" s="584"/>
      <c r="AY168" s="583"/>
      <c r="AZ168" s="585"/>
      <c r="BA168" s="583"/>
      <c r="BB168" s="584"/>
      <c r="BC168" s="583"/>
      <c r="BD168" s="585"/>
      <c r="BE168" s="583"/>
      <c r="BF168" s="584"/>
      <c r="BG168" s="583"/>
      <c r="BH168" s="585"/>
      <c r="BI168" s="583"/>
      <c r="BJ168" s="584"/>
      <c r="BK168" s="583"/>
      <c r="BL168" s="585"/>
      <c r="BM168" s="583"/>
      <c r="BN168" s="584"/>
      <c r="BO168" s="583"/>
      <c r="BP168" s="585"/>
      <c r="BQ168" s="583"/>
      <c r="BR168" s="584"/>
      <c r="BS168" s="583"/>
      <c r="BT168" s="586"/>
      <c r="BU168" s="540"/>
      <c r="BV168" s="540"/>
      <c r="BW168" s="540"/>
      <c r="BX168" s="538"/>
      <c r="BY168" s="538"/>
      <c r="BZ168" s="592"/>
      <c r="CA168" s="633"/>
      <c r="CB168" s="592" t="s">
        <v>365</v>
      </c>
      <c r="CC168" s="592">
        <v>0.0</v>
      </c>
      <c r="CD168" s="592" t="s">
        <v>365</v>
      </c>
      <c r="CE168" s="592">
        <v>0.0</v>
      </c>
      <c r="CF168" s="592"/>
      <c r="CG168" s="592">
        <v>0.0</v>
      </c>
      <c r="CH168" s="592"/>
      <c r="CI168" s="633"/>
      <c r="CJ168" s="592">
        <v>0.0</v>
      </c>
      <c r="CK168" s="479" t="s">
        <v>365</v>
      </c>
      <c r="CL168" s="592"/>
      <c r="CM168" s="593"/>
      <c r="CN168" s="538"/>
      <c r="CO168" s="538"/>
      <c r="CP168" s="538"/>
      <c r="CQ168" s="538"/>
      <c r="CR168" s="538"/>
      <c r="CS168" s="538"/>
      <c r="CT168" s="538"/>
      <c r="CU168" s="538"/>
      <c r="CV168" s="538"/>
      <c r="CW168" s="538"/>
      <c r="CX168" s="538"/>
      <c r="CY168" s="538"/>
      <c r="CZ168" s="538"/>
      <c r="DA168" s="538"/>
      <c r="DB168" s="538"/>
      <c r="DC168" s="538"/>
      <c r="DD168" s="538"/>
      <c r="DE168" s="538"/>
      <c r="DF168" s="538"/>
      <c r="DG168" s="538"/>
      <c r="DH168" s="538"/>
      <c r="DI168" s="538"/>
      <c r="DJ168" s="538"/>
      <c r="DK168" s="538"/>
      <c r="DL168" s="538"/>
      <c r="DM168" s="538"/>
      <c r="DN168" s="538"/>
      <c r="DO168" s="538"/>
      <c r="DP168" s="538"/>
      <c r="DQ168" s="538"/>
      <c r="DR168" s="538"/>
      <c r="DS168" s="538"/>
      <c r="DT168" s="538"/>
      <c r="DU168" s="538"/>
      <c r="DV168" s="538"/>
      <c r="DW168" s="538"/>
      <c r="DX168" s="538"/>
      <c r="DY168" s="538"/>
      <c r="DZ168" s="538"/>
      <c r="EA168" s="538"/>
      <c r="EB168" s="538"/>
      <c r="EC168" s="538"/>
      <c r="ED168" s="538"/>
      <c r="EE168" s="538"/>
      <c r="EF168" s="538"/>
      <c r="EG168" s="538"/>
      <c r="EH168" s="538"/>
      <c r="EI168" s="538"/>
      <c r="EJ168" s="538"/>
      <c r="EK168" s="538"/>
      <c r="EL168" s="538"/>
      <c r="EM168" s="538"/>
      <c r="EN168" s="538"/>
      <c r="EO168" s="538"/>
      <c r="EP168" s="538"/>
      <c r="EQ168" s="538"/>
      <c r="ER168" s="538"/>
      <c r="ES168" s="538"/>
      <c r="ET168" s="538"/>
      <c r="EU168" s="538"/>
      <c r="EV168" s="538"/>
      <c r="EW168" s="538"/>
      <c r="EX168" s="559"/>
      <c r="EY168" s="559"/>
      <c r="EZ168" s="559"/>
      <c r="FA168" s="559"/>
      <c r="FB168" s="559"/>
      <c r="FC168" s="559"/>
      <c r="FD168" s="559"/>
      <c r="FE168" s="559"/>
      <c r="FF168" s="559"/>
      <c r="FG168" s="559"/>
      <c r="FH168" s="559"/>
      <c r="FI168" s="559"/>
      <c r="FJ168" s="559"/>
      <c r="FK168" s="559"/>
      <c r="FL168" s="559"/>
      <c r="FM168" s="559"/>
      <c r="FN168" s="559"/>
      <c r="FO168" s="559"/>
      <c r="FP168" s="559"/>
      <c r="FQ168" s="559"/>
      <c r="FR168" s="559"/>
      <c r="FS168" s="559"/>
      <c r="FT168" s="559"/>
      <c r="FU168" s="559"/>
      <c r="FV168" s="559"/>
      <c r="FW168" s="559"/>
      <c r="FX168" s="559"/>
      <c r="FY168" s="559"/>
      <c r="FZ168" s="559"/>
      <c r="GA168" s="559"/>
      <c r="GB168" s="559"/>
      <c r="GC168" s="559"/>
      <c r="GD168" s="559"/>
      <c r="GE168" s="559"/>
      <c r="GF168" s="559"/>
      <c r="GG168" s="559"/>
      <c r="GH168" s="559"/>
    </row>
    <row r="169">
      <c r="A169" s="538"/>
      <c r="B169" s="156"/>
      <c r="C169" s="444"/>
      <c r="D169" s="614"/>
      <c r="E169" s="66"/>
      <c r="F169" s="642"/>
      <c r="G169" s="642"/>
      <c r="H169" s="615"/>
      <c r="I169" s="616" t="s">
        <v>365</v>
      </c>
      <c r="J169" s="624"/>
      <c r="K169" s="643"/>
      <c r="L169" s="640"/>
      <c r="M169" s="625"/>
      <c r="N169" s="617"/>
      <c r="O169" s="134"/>
      <c r="P169" s="57"/>
      <c r="Q169" s="57"/>
      <c r="S169" s="605"/>
      <c r="U169" s="573"/>
      <c r="V169" s="574"/>
      <c r="W169" s="618"/>
      <c r="X169" s="576">
        <v>0.0</v>
      </c>
      <c r="Y169" s="630">
        <v>0.0</v>
      </c>
      <c r="Z169" s="630" t="s">
        <v>365</v>
      </c>
      <c r="AA169" s="631" t="b">
        <v>0</v>
      </c>
      <c r="AB169" s="631"/>
      <c r="AC169" s="576"/>
      <c r="AD169" s="479">
        <v>0.0</v>
      </c>
      <c r="AE169" s="632"/>
      <c r="AF169" s="582" t="s">
        <v>365</v>
      </c>
      <c r="AG169" s="583"/>
      <c r="AH169" s="584"/>
      <c r="AI169" s="583"/>
      <c r="AJ169" s="585"/>
      <c r="AK169" s="583"/>
      <c r="AL169" s="584"/>
      <c r="AM169" s="583"/>
      <c r="AN169" s="585"/>
      <c r="AO169" s="583"/>
      <c r="AP169" s="584"/>
      <c r="AQ169" s="583"/>
      <c r="AR169" s="585"/>
      <c r="AS169" s="583"/>
      <c r="AT169" s="584"/>
      <c r="AU169" s="583"/>
      <c r="AV169" s="585"/>
      <c r="AW169" s="583"/>
      <c r="AX169" s="584"/>
      <c r="AY169" s="583"/>
      <c r="AZ169" s="585"/>
      <c r="BA169" s="583"/>
      <c r="BB169" s="584"/>
      <c r="BC169" s="583"/>
      <c r="BD169" s="585"/>
      <c r="BE169" s="583"/>
      <c r="BF169" s="584"/>
      <c r="BG169" s="583"/>
      <c r="BH169" s="585"/>
      <c r="BI169" s="583"/>
      <c r="BJ169" s="584"/>
      <c r="BK169" s="583"/>
      <c r="BL169" s="585"/>
      <c r="BM169" s="583"/>
      <c r="BN169" s="584"/>
      <c r="BO169" s="583"/>
      <c r="BP169" s="585"/>
      <c r="BQ169" s="583"/>
      <c r="BR169" s="584"/>
      <c r="BS169" s="583"/>
      <c r="BT169" s="586"/>
      <c r="BU169" s="540"/>
      <c r="BV169" s="540"/>
      <c r="BW169" s="540"/>
      <c r="BX169" s="538"/>
      <c r="BY169" s="538"/>
      <c r="BZ169" s="592"/>
      <c r="CA169" s="633"/>
      <c r="CB169" s="592" t="s">
        <v>365</v>
      </c>
      <c r="CC169" s="592">
        <v>0.0</v>
      </c>
      <c r="CD169" s="592" t="s">
        <v>365</v>
      </c>
      <c r="CE169" s="592">
        <v>0.0</v>
      </c>
      <c r="CF169" s="592"/>
      <c r="CG169" s="592">
        <v>0.0</v>
      </c>
      <c r="CH169" s="592"/>
      <c r="CI169" s="633"/>
      <c r="CJ169" s="592">
        <v>0.0</v>
      </c>
      <c r="CK169" s="479" t="s">
        <v>365</v>
      </c>
      <c r="CL169" s="592"/>
      <c r="CM169" s="593"/>
      <c r="CN169" s="538"/>
      <c r="CO169" s="538"/>
      <c r="CP169" s="538"/>
      <c r="CQ169" s="538"/>
      <c r="CR169" s="538"/>
      <c r="CS169" s="538"/>
      <c r="CT169" s="538"/>
      <c r="CU169" s="538"/>
      <c r="CV169" s="538"/>
      <c r="CW169" s="538"/>
      <c r="CX169" s="538"/>
      <c r="CY169" s="538"/>
      <c r="CZ169" s="538"/>
      <c r="DA169" s="538"/>
      <c r="DB169" s="538"/>
      <c r="DC169" s="538"/>
      <c r="DD169" s="538"/>
      <c r="DE169" s="538"/>
      <c r="DF169" s="538"/>
      <c r="DG169" s="538"/>
      <c r="DH169" s="538"/>
      <c r="DI169" s="538"/>
      <c r="DJ169" s="538"/>
      <c r="DK169" s="538"/>
      <c r="DL169" s="538"/>
      <c r="DM169" s="538"/>
      <c r="DN169" s="538"/>
      <c r="DO169" s="538"/>
      <c r="DP169" s="538"/>
      <c r="DQ169" s="538"/>
      <c r="DR169" s="538"/>
      <c r="DS169" s="538"/>
      <c r="DT169" s="538"/>
      <c r="DU169" s="538"/>
      <c r="DV169" s="538"/>
      <c r="DW169" s="538"/>
      <c r="DX169" s="538"/>
      <c r="DY169" s="538"/>
      <c r="DZ169" s="538"/>
      <c r="EA169" s="538"/>
      <c r="EB169" s="538"/>
      <c r="EC169" s="538"/>
      <c r="ED169" s="538"/>
      <c r="EE169" s="538"/>
      <c r="EF169" s="538"/>
      <c r="EG169" s="538"/>
      <c r="EH169" s="538"/>
      <c r="EI169" s="538"/>
      <c r="EJ169" s="538"/>
      <c r="EK169" s="538"/>
      <c r="EL169" s="538"/>
      <c r="EM169" s="538"/>
      <c r="EN169" s="538"/>
      <c r="EO169" s="538"/>
      <c r="EP169" s="538"/>
      <c r="EQ169" s="538"/>
      <c r="ER169" s="538"/>
      <c r="ES169" s="538"/>
      <c r="ET169" s="538"/>
      <c r="EU169" s="538"/>
      <c r="EV169" s="538"/>
      <c r="EW169" s="538"/>
      <c r="EX169" s="559"/>
      <c r="EY169" s="559"/>
      <c r="EZ169" s="559"/>
      <c r="FA169" s="559"/>
      <c r="FB169" s="559"/>
      <c r="FC169" s="559"/>
      <c r="FD169" s="559"/>
      <c r="FE169" s="559"/>
      <c r="FF169" s="559"/>
      <c r="FG169" s="559"/>
      <c r="FH169" s="559"/>
      <c r="FI169" s="559"/>
      <c r="FJ169" s="559"/>
      <c r="FK169" s="559"/>
      <c r="FL169" s="559"/>
      <c r="FM169" s="559"/>
      <c r="FN169" s="559"/>
      <c r="FO169" s="559"/>
      <c r="FP169" s="559"/>
      <c r="FQ169" s="559"/>
      <c r="FR169" s="559"/>
      <c r="FS169" s="559"/>
      <c r="FT169" s="559"/>
      <c r="FU169" s="559"/>
      <c r="FV169" s="559"/>
      <c r="FW169" s="559"/>
      <c r="FX169" s="559"/>
      <c r="FY169" s="559"/>
      <c r="FZ169" s="559"/>
      <c r="GA169" s="559"/>
      <c r="GB169" s="559"/>
      <c r="GC169" s="559"/>
      <c r="GD169" s="559"/>
      <c r="GE169" s="559"/>
      <c r="GF169" s="559"/>
      <c r="GG169" s="559"/>
      <c r="GH169" s="559"/>
    </row>
    <row r="170">
      <c r="A170" s="538"/>
      <c r="B170" s="156"/>
      <c r="C170" s="444"/>
      <c r="D170" s="614"/>
      <c r="E170" s="68"/>
      <c r="F170" s="644"/>
      <c r="G170" s="644"/>
      <c r="H170" s="627"/>
      <c r="I170" s="622" t="s">
        <v>365</v>
      </c>
      <c r="J170" s="607"/>
      <c r="K170" s="641"/>
      <c r="L170" s="628"/>
      <c r="M170" s="626"/>
      <c r="N170" s="619"/>
      <c r="O170" s="560"/>
      <c r="P170" s="47"/>
      <c r="Q170" s="47"/>
      <c r="S170" s="572"/>
      <c r="U170" s="573"/>
      <c r="V170" s="574"/>
      <c r="W170" s="618"/>
      <c r="X170" s="576">
        <v>0.0</v>
      </c>
      <c r="Y170" s="630">
        <v>0.0</v>
      </c>
      <c r="Z170" s="630" t="s">
        <v>365</v>
      </c>
      <c r="AA170" s="631" t="b">
        <v>0</v>
      </c>
      <c r="AB170" s="631"/>
      <c r="AC170" s="576"/>
      <c r="AD170" s="479">
        <v>0.0</v>
      </c>
      <c r="AE170" s="632"/>
      <c r="AF170" s="582" t="s">
        <v>365</v>
      </c>
      <c r="AG170" s="583"/>
      <c r="AH170" s="584"/>
      <c r="AI170" s="583"/>
      <c r="AJ170" s="585"/>
      <c r="AK170" s="583"/>
      <c r="AL170" s="584"/>
      <c r="AM170" s="583"/>
      <c r="AN170" s="585"/>
      <c r="AO170" s="583"/>
      <c r="AP170" s="584"/>
      <c r="AQ170" s="583"/>
      <c r="AR170" s="585"/>
      <c r="AS170" s="583"/>
      <c r="AT170" s="584"/>
      <c r="AU170" s="583"/>
      <c r="AV170" s="585"/>
      <c r="AW170" s="583"/>
      <c r="AX170" s="584"/>
      <c r="AY170" s="583"/>
      <c r="AZ170" s="585"/>
      <c r="BA170" s="583"/>
      <c r="BB170" s="584"/>
      <c r="BC170" s="583"/>
      <c r="BD170" s="585"/>
      <c r="BE170" s="583"/>
      <c r="BF170" s="584"/>
      <c r="BG170" s="583"/>
      <c r="BH170" s="585"/>
      <c r="BI170" s="583"/>
      <c r="BJ170" s="584"/>
      <c r="BK170" s="583"/>
      <c r="BL170" s="585"/>
      <c r="BM170" s="583"/>
      <c r="BN170" s="584"/>
      <c r="BO170" s="583"/>
      <c r="BP170" s="585"/>
      <c r="BQ170" s="583"/>
      <c r="BR170" s="584"/>
      <c r="BS170" s="583"/>
      <c r="BT170" s="586"/>
      <c r="BU170" s="540"/>
      <c r="BV170" s="540"/>
      <c r="BW170" s="540"/>
      <c r="BX170" s="538"/>
      <c r="BY170" s="538"/>
      <c r="BZ170" s="592"/>
      <c r="CA170" s="633"/>
      <c r="CB170" s="592" t="s">
        <v>365</v>
      </c>
      <c r="CC170" s="592">
        <v>0.0</v>
      </c>
      <c r="CD170" s="592" t="s">
        <v>365</v>
      </c>
      <c r="CE170" s="592">
        <v>0.0</v>
      </c>
      <c r="CF170" s="592"/>
      <c r="CG170" s="592">
        <v>0.0</v>
      </c>
      <c r="CH170" s="592"/>
      <c r="CI170" s="633"/>
      <c r="CJ170" s="592">
        <v>0.0</v>
      </c>
      <c r="CK170" s="479" t="s">
        <v>365</v>
      </c>
      <c r="CL170" s="592"/>
      <c r="CM170" s="593"/>
      <c r="CN170" s="538"/>
      <c r="CO170" s="538"/>
      <c r="CP170" s="538"/>
      <c r="CQ170" s="538"/>
      <c r="CR170" s="538"/>
      <c r="CS170" s="538"/>
      <c r="CT170" s="538"/>
      <c r="CU170" s="538"/>
      <c r="CV170" s="538"/>
      <c r="CW170" s="538"/>
      <c r="CX170" s="538"/>
      <c r="CY170" s="538"/>
      <c r="CZ170" s="538"/>
      <c r="DA170" s="538"/>
      <c r="DB170" s="538"/>
      <c r="DC170" s="538"/>
      <c r="DD170" s="538"/>
      <c r="DE170" s="538"/>
      <c r="DF170" s="538"/>
      <c r="DG170" s="538"/>
      <c r="DH170" s="538"/>
      <c r="DI170" s="538"/>
      <c r="DJ170" s="538"/>
      <c r="DK170" s="538"/>
      <c r="DL170" s="538"/>
      <c r="DM170" s="538"/>
      <c r="DN170" s="538"/>
      <c r="DO170" s="538"/>
      <c r="DP170" s="538"/>
      <c r="DQ170" s="538"/>
      <c r="DR170" s="538"/>
      <c r="DS170" s="538"/>
      <c r="DT170" s="538"/>
      <c r="DU170" s="538"/>
      <c r="DV170" s="538"/>
      <c r="DW170" s="538"/>
      <c r="DX170" s="538"/>
      <c r="DY170" s="538"/>
      <c r="DZ170" s="538"/>
      <c r="EA170" s="538"/>
      <c r="EB170" s="538"/>
      <c r="EC170" s="538"/>
      <c r="ED170" s="538"/>
      <c r="EE170" s="538"/>
      <c r="EF170" s="538"/>
      <c r="EG170" s="538"/>
      <c r="EH170" s="538"/>
      <c r="EI170" s="538"/>
      <c r="EJ170" s="538"/>
      <c r="EK170" s="538"/>
      <c r="EL170" s="538"/>
      <c r="EM170" s="538"/>
      <c r="EN170" s="538"/>
      <c r="EO170" s="538"/>
      <c r="EP170" s="538"/>
      <c r="EQ170" s="538"/>
      <c r="ER170" s="538"/>
      <c r="ES170" s="538"/>
      <c r="ET170" s="538"/>
      <c r="EU170" s="538"/>
      <c r="EV170" s="538"/>
      <c r="EW170" s="538"/>
      <c r="EX170" s="559"/>
      <c r="EY170" s="559"/>
      <c r="EZ170" s="559"/>
      <c r="FA170" s="559"/>
      <c r="FB170" s="559"/>
      <c r="FC170" s="559"/>
      <c r="FD170" s="559"/>
      <c r="FE170" s="559"/>
      <c r="FF170" s="559"/>
      <c r="FG170" s="559"/>
      <c r="FH170" s="559"/>
      <c r="FI170" s="559"/>
      <c r="FJ170" s="559"/>
      <c r="FK170" s="559"/>
      <c r="FL170" s="559"/>
      <c r="FM170" s="559"/>
      <c r="FN170" s="559"/>
      <c r="FO170" s="559"/>
      <c r="FP170" s="559"/>
      <c r="FQ170" s="559"/>
      <c r="FR170" s="559"/>
      <c r="FS170" s="559"/>
      <c r="FT170" s="559"/>
      <c r="FU170" s="559"/>
      <c r="FV170" s="559"/>
      <c r="FW170" s="559"/>
      <c r="FX170" s="559"/>
      <c r="FY170" s="559"/>
      <c r="FZ170" s="559"/>
      <c r="GA170" s="559"/>
      <c r="GB170" s="559"/>
      <c r="GC170" s="559"/>
      <c r="GD170" s="559"/>
      <c r="GE170" s="559"/>
      <c r="GF170" s="559"/>
      <c r="GG170" s="559"/>
      <c r="GH170" s="559"/>
    </row>
    <row r="171">
      <c r="A171" s="538"/>
      <c r="B171" s="156"/>
      <c r="C171" s="444"/>
      <c r="D171" s="614"/>
      <c r="E171" s="66"/>
      <c r="F171" s="642"/>
      <c r="G171" s="642"/>
      <c r="H171" s="615"/>
      <c r="I171" s="616" t="s">
        <v>365</v>
      </c>
      <c r="J171" s="624"/>
      <c r="K171" s="643"/>
      <c r="L171" s="640"/>
      <c r="M171" s="625"/>
      <c r="N171" s="617"/>
      <c r="O171" s="134"/>
      <c r="P171" s="57"/>
      <c r="Q171" s="57"/>
      <c r="S171" s="605"/>
      <c r="U171" s="573"/>
      <c r="V171" s="574"/>
      <c r="W171" s="618"/>
      <c r="X171" s="576">
        <v>0.0</v>
      </c>
      <c r="Y171" s="630">
        <v>0.0</v>
      </c>
      <c r="Z171" s="630" t="s">
        <v>365</v>
      </c>
      <c r="AA171" s="631" t="b">
        <v>0</v>
      </c>
      <c r="AB171" s="631"/>
      <c r="AC171" s="576"/>
      <c r="AD171" s="479">
        <v>0.0</v>
      </c>
      <c r="AE171" s="632"/>
      <c r="AF171" s="582" t="s">
        <v>365</v>
      </c>
      <c r="AG171" s="583"/>
      <c r="AH171" s="584"/>
      <c r="AI171" s="583"/>
      <c r="AJ171" s="585"/>
      <c r="AK171" s="583"/>
      <c r="AL171" s="584"/>
      <c r="AM171" s="583"/>
      <c r="AN171" s="585"/>
      <c r="AO171" s="583"/>
      <c r="AP171" s="584"/>
      <c r="AQ171" s="583"/>
      <c r="AR171" s="585"/>
      <c r="AS171" s="583"/>
      <c r="AT171" s="584"/>
      <c r="AU171" s="583"/>
      <c r="AV171" s="585"/>
      <c r="AW171" s="583"/>
      <c r="AX171" s="584"/>
      <c r="AY171" s="583"/>
      <c r="AZ171" s="585"/>
      <c r="BA171" s="583"/>
      <c r="BB171" s="584"/>
      <c r="BC171" s="583"/>
      <c r="BD171" s="585"/>
      <c r="BE171" s="583"/>
      <c r="BF171" s="584"/>
      <c r="BG171" s="583"/>
      <c r="BH171" s="585"/>
      <c r="BI171" s="583"/>
      <c r="BJ171" s="584"/>
      <c r="BK171" s="583"/>
      <c r="BL171" s="585"/>
      <c r="BM171" s="583"/>
      <c r="BN171" s="584"/>
      <c r="BO171" s="583"/>
      <c r="BP171" s="585"/>
      <c r="BQ171" s="583"/>
      <c r="BR171" s="584"/>
      <c r="BS171" s="583"/>
      <c r="BT171" s="586"/>
      <c r="BU171" s="540"/>
      <c r="BV171" s="540"/>
      <c r="BW171" s="540"/>
      <c r="BX171" s="538"/>
      <c r="BY171" s="538"/>
      <c r="BZ171" s="592"/>
      <c r="CA171" s="633"/>
      <c r="CB171" s="592" t="s">
        <v>365</v>
      </c>
      <c r="CC171" s="592">
        <v>0.0</v>
      </c>
      <c r="CD171" s="592" t="s">
        <v>365</v>
      </c>
      <c r="CE171" s="592">
        <v>0.0</v>
      </c>
      <c r="CF171" s="592"/>
      <c r="CG171" s="592">
        <v>0.0</v>
      </c>
      <c r="CH171" s="592"/>
      <c r="CI171" s="633"/>
      <c r="CJ171" s="592">
        <v>0.0</v>
      </c>
      <c r="CK171" s="479" t="s">
        <v>365</v>
      </c>
      <c r="CL171" s="592"/>
      <c r="CM171" s="593"/>
      <c r="CN171" s="538"/>
      <c r="CO171" s="538"/>
      <c r="CP171" s="538"/>
      <c r="CQ171" s="538"/>
      <c r="CR171" s="538"/>
      <c r="CS171" s="538"/>
      <c r="CT171" s="538"/>
      <c r="CU171" s="538"/>
      <c r="CV171" s="538"/>
      <c r="CW171" s="538"/>
      <c r="CX171" s="538"/>
      <c r="CY171" s="538"/>
      <c r="CZ171" s="538"/>
      <c r="DA171" s="538"/>
      <c r="DB171" s="538"/>
      <c r="DC171" s="538"/>
      <c r="DD171" s="538"/>
      <c r="DE171" s="538"/>
      <c r="DF171" s="538"/>
      <c r="DG171" s="538"/>
      <c r="DH171" s="538"/>
      <c r="DI171" s="538"/>
      <c r="DJ171" s="538"/>
      <c r="DK171" s="538"/>
      <c r="DL171" s="538"/>
      <c r="DM171" s="538"/>
      <c r="DN171" s="538"/>
      <c r="DO171" s="538"/>
      <c r="DP171" s="538"/>
      <c r="DQ171" s="538"/>
      <c r="DR171" s="538"/>
      <c r="DS171" s="538"/>
      <c r="DT171" s="538"/>
      <c r="DU171" s="538"/>
      <c r="DV171" s="538"/>
      <c r="DW171" s="538"/>
      <c r="DX171" s="538"/>
      <c r="DY171" s="538"/>
      <c r="DZ171" s="538"/>
      <c r="EA171" s="538"/>
      <c r="EB171" s="538"/>
      <c r="EC171" s="538"/>
      <c r="ED171" s="538"/>
      <c r="EE171" s="538"/>
      <c r="EF171" s="538"/>
      <c r="EG171" s="538"/>
      <c r="EH171" s="538"/>
      <c r="EI171" s="538"/>
      <c r="EJ171" s="538"/>
      <c r="EK171" s="538"/>
      <c r="EL171" s="538"/>
      <c r="EM171" s="538"/>
      <c r="EN171" s="538"/>
      <c r="EO171" s="538"/>
      <c r="EP171" s="538"/>
      <c r="EQ171" s="538"/>
      <c r="ER171" s="538"/>
      <c r="ES171" s="538"/>
      <c r="ET171" s="538"/>
      <c r="EU171" s="538"/>
      <c r="EV171" s="538"/>
      <c r="EW171" s="538"/>
      <c r="EX171" s="559"/>
      <c r="EY171" s="559"/>
      <c r="EZ171" s="559"/>
      <c r="FA171" s="559"/>
      <c r="FB171" s="559"/>
      <c r="FC171" s="559"/>
      <c r="FD171" s="559"/>
      <c r="FE171" s="559"/>
      <c r="FF171" s="559"/>
      <c r="FG171" s="559"/>
      <c r="FH171" s="559"/>
      <c r="FI171" s="559"/>
      <c r="FJ171" s="559"/>
      <c r="FK171" s="559"/>
      <c r="FL171" s="559"/>
      <c r="FM171" s="559"/>
      <c r="FN171" s="559"/>
      <c r="FO171" s="559"/>
      <c r="FP171" s="559"/>
      <c r="FQ171" s="559"/>
      <c r="FR171" s="559"/>
      <c r="FS171" s="559"/>
      <c r="FT171" s="559"/>
      <c r="FU171" s="559"/>
      <c r="FV171" s="559"/>
      <c r="FW171" s="559"/>
      <c r="FX171" s="559"/>
      <c r="FY171" s="559"/>
      <c r="FZ171" s="559"/>
      <c r="GA171" s="559"/>
      <c r="GB171" s="559"/>
      <c r="GC171" s="559"/>
      <c r="GD171" s="559"/>
      <c r="GE171" s="559"/>
      <c r="GF171" s="559"/>
      <c r="GG171" s="559"/>
      <c r="GH171" s="559"/>
    </row>
    <row r="172">
      <c r="A172" s="538"/>
      <c r="B172" s="156"/>
      <c r="C172" s="444"/>
      <c r="D172" s="614"/>
      <c r="E172" s="68"/>
      <c r="F172" s="644"/>
      <c r="G172" s="644"/>
      <c r="H172" s="627"/>
      <c r="I172" s="622" t="s">
        <v>365</v>
      </c>
      <c r="J172" s="607"/>
      <c r="K172" s="641"/>
      <c r="L172" s="628"/>
      <c r="M172" s="626"/>
      <c r="N172" s="619"/>
      <c r="O172" s="560"/>
      <c r="P172" s="47"/>
      <c r="Q172" s="47"/>
      <c r="S172" s="572"/>
      <c r="U172" s="573"/>
      <c r="V172" s="574"/>
      <c r="W172" s="618"/>
      <c r="X172" s="576">
        <v>0.0</v>
      </c>
      <c r="Y172" s="630">
        <v>0.0</v>
      </c>
      <c r="Z172" s="630" t="s">
        <v>365</v>
      </c>
      <c r="AA172" s="631" t="b">
        <v>0</v>
      </c>
      <c r="AB172" s="631"/>
      <c r="AC172" s="576"/>
      <c r="AD172" s="479">
        <v>0.0</v>
      </c>
      <c r="AE172" s="632"/>
      <c r="AF172" s="582" t="s">
        <v>365</v>
      </c>
      <c r="AG172" s="583"/>
      <c r="AH172" s="584"/>
      <c r="AI172" s="583"/>
      <c r="AJ172" s="585"/>
      <c r="AK172" s="583"/>
      <c r="AL172" s="584"/>
      <c r="AM172" s="583"/>
      <c r="AN172" s="585"/>
      <c r="AO172" s="583"/>
      <c r="AP172" s="584"/>
      <c r="AQ172" s="583"/>
      <c r="AR172" s="585"/>
      <c r="AS172" s="583"/>
      <c r="AT172" s="584"/>
      <c r="AU172" s="583"/>
      <c r="AV172" s="585"/>
      <c r="AW172" s="583"/>
      <c r="AX172" s="584"/>
      <c r="AY172" s="583"/>
      <c r="AZ172" s="585"/>
      <c r="BA172" s="583"/>
      <c r="BB172" s="584"/>
      <c r="BC172" s="583"/>
      <c r="BD172" s="585"/>
      <c r="BE172" s="583"/>
      <c r="BF172" s="584"/>
      <c r="BG172" s="583"/>
      <c r="BH172" s="585"/>
      <c r="BI172" s="583"/>
      <c r="BJ172" s="584"/>
      <c r="BK172" s="583"/>
      <c r="BL172" s="585"/>
      <c r="BM172" s="583"/>
      <c r="BN172" s="584"/>
      <c r="BO172" s="583"/>
      <c r="BP172" s="585"/>
      <c r="BQ172" s="583"/>
      <c r="BR172" s="584"/>
      <c r="BS172" s="583"/>
      <c r="BT172" s="586"/>
      <c r="BU172" s="540"/>
      <c r="BV172" s="540"/>
      <c r="BW172" s="540"/>
      <c r="BX172" s="538"/>
      <c r="BY172" s="538"/>
      <c r="BZ172" s="592"/>
      <c r="CA172" s="633"/>
      <c r="CB172" s="592" t="s">
        <v>365</v>
      </c>
      <c r="CC172" s="592">
        <v>0.0</v>
      </c>
      <c r="CD172" s="592" t="s">
        <v>365</v>
      </c>
      <c r="CE172" s="592">
        <v>0.0</v>
      </c>
      <c r="CF172" s="592"/>
      <c r="CG172" s="592">
        <v>0.0</v>
      </c>
      <c r="CH172" s="592"/>
      <c r="CI172" s="633"/>
      <c r="CJ172" s="592">
        <v>0.0</v>
      </c>
      <c r="CK172" s="479" t="s">
        <v>365</v>
      </c>
      <c r="CL172" s="592"/>
      <c r="CM172" s="593"/>
      <c r="CN172" s="538"/>
      <c r="CO172" s="538"/>
      <c r="CP172" s="538"/>
      <c r="CQ172" s="538"/>
      <c r="CR172" s="538"/>
      <c r="CS172" s="538"/>
      <c r="CT172" s="538"/>
      <c r="CU172" s="538"/>
      <c r="CV172" s="538"/>
      <c r="CW172" s="538"/>
      <c r="CX172" s="538"/>
      <c r="CY172" s="538"/>
      <c r="CZ172" s="538"/>
      <c r="DA172" s="538"/>
      <c r="DB172" s="538"/>
      <c r="DC172" s="538"/>
      <c r="DD172" s="538"/>
      <c r="DE172" s="538"/>
      <c r="DF172" s="538"/>
      <c r="DG172" s="538"/>
      <c r="DH172" s="538"/>
      <c r="DI172" s="538"/>
      <c r="DJ172" s="538"/>
      <c r="DK172" s="538"/>
      <c r="DL172" s="538"/>
      <c r="DM172" s="538"/>
      <c r="DN172" s="538"/>
      <c r="DO172" s="538"/>
      <c r="DP172" s="538"/>
      <c r="DQ172" s="538"/>
      <c r="DR172" s="538"/>
      <c r="DS172" s="538"/>
      <c r="DT172" s="538"/>
      <c r="DU172" s="538"/>
      <c r="DV172" s="538"/>
      <c r="DW172" s="538"/>
      <c r="DX172" s="538"/>
      <c r="DY172" s="538"/>
      <c r="DZ172" s="538"/>
      <c r="EA172" s="538"/>
      <c r="EB172" s="538"/>
      <c r="EC172" s="538"/>
      <c r="ED172" s="538"/>
      <c r="EE172" s="538"/>
      <c r="EF172" s="538"/>
      <c r="EG172" s="538"/>
      <c r="EH172" s="538"/>
      <c r="EI172" s="538"/>
      <c r="EJ172" s="538"/>
      <c r="EK172" s="538"/>
      <c r="EL172" s="538"/>
      <c r="EM172" s="538"/>
      <c r="EN172" s="538"/>
      <c r="EO172" s="538"/>
      <c r="EP172" s="538"/>
      <c r="EQ172" s="538"/>
      <c r="ER172" s="538"/>
      <c r="ES172" s="538"/>
      <c r="ET172" s="538"/>
      <c r="EU172" s="538"/>
      <c r="EV172" s="538"/>
      <c r="EW172" s="538"/>
      <c r="EX172" s="559"/>
      <c r="EY172" s="559"/>
      <c r="EZ172" s="559"/>
      <c r="FA172" s="559"/>
      <c r="FB172" s="559"/>
      <c r="FC172" s="559"/>
      <c r="FD172" s="559"/>
      <c r="FE172" s="559"/>
      <c r="FF172" s="559"/>
      <c r="FG172" s="559"/>
      <c r="FH172" s="559"/>
      <c r="FI172" s="559"/>
      <c r="FJ172" s="559"/>
      <c r="FK172" s="559"/>
      <c r="FL172" s="559"/>
      <c r="FM172" s="559"/>
      <c r="FN172" s="559"/>
      <c r="FO172" s="559"/>
      <c r="FP172" s="559"/>
      <c r="FQ172" s="559"/>
      <c r="FR172" s="559"/>
      <c r="FS172" s="559"/>
      <c r="FT172" s="559"/>
      <c r="FU172" s="559"/>
      <c r="FV172" s="559"/>
      <c r="FW172" s="559"/>
      <c r="FX172" s="559"/>
      <c r="FY172" s="559"/>
      <c r="FZ172" s="559"/>
      <c r="GA172" s="559"/>
      <c r="GB172" s="559"/>
      <c r="GC172" s="559"/>
      <c r="GD172" s="559"/>
      <c r="GE172" s="559"/>
      <c r="GF172" s="559"/>
      <c r="GG172" s="559"/>
      <c r="GH172" s="559"/>
    </row>
    <row r="173">
      <c r="A173" s="538"/>
      <c r="B173" s="156"/>
      <c r="C173" s="444"/>
      <c r="D173" s="614"/>
      <c r="E173" s="66"/>
      <c r="F173" s="642"/>
      <c r="G173" s="642"/>
      <c r="H173" s="615"/>
      <c r="I173" s="616" t="s">
        <v>365</v>
      </c>
      <c r="J173" s="624"/>
      <c r="K173" s="643"/>
      <c r="L173" s="640"/>
      <c r="M173" s="625"/>
      <c r="N173" s="617"/>
      <c r="O173" s="134"/>
      <c r="P173" s="57"/>
      <c r="Q173" s="57"/>
      <c r="S173" s="605"/>
      <c r="U173" s="573"/>
      <c r="V173" s="574"/>
      <c r="W173" s="618"/>
      <c r="X173" s="576">
        <v>0.0</v>
      </c>
      <c r="Y173" s="630">
        <v>0.0</v>
      </c>
      <c r="Z173" s="630" t="s">
        <v>365</v>
      </c>
      <c r="AA173" s="631" t="b">
        <v>0</v>
      </c>
      <c r="AB173" s="631"/>
      <c r="AC173" s="576"/>
      <c r="AD173" s="479">
        <v>0.0</v>
      </c>
      <c r="AE173" s="632"/>
      <c r="AF173" s="582" t="s">
        <v>365</v>
      </c>
      <c r="AG173" s="583"/>
      <c r="AH173" s="584"/>
      <c r="AI173" s="583"/>
      <c r="AJ173" s="585"/>
      <c r="AK173" s="583"/>
      <c r="AL173" s="584"/>
      <c r="AM173" s="583"/>
      <c r="AN173" s="585"/>
      <c r="AO173" s="583"/>
      <c r="AP173" s="584"/>
      <c r="AQ173" s="583"/>
      <c r="AR173" s="585"/>
      <c r="AS173" s="583"/>
      <c r="AT173" s="584"/>
      <c r="AU173" s="583"/>
      <c r="AV173" s="585"/>
      <c r="AW173" s="583"/>
      <c r="AX173" s="584"/>
      <c r="AY173" s="583"/>
      <c r="AZ173" s="585"/>
      <c r="BA173" s="583"/>
      <c r="BB173" s="584"/>
      <c r="BC173" s="583"/>
      <c r="BD173" s="585"/>
      <c r="BE173" s="583"/>
      <c r="BF173" s="584"/>
      <c r="BG173" s="583"/>
      <c r="BH173" s="585"/>
      <c r="BI173" s="583"/>
      <c r="BJ173" s="584"/>
      <c r="BK173" s="583"/>
      <c r="BL173" s="585"/>
      <c r="BM173" s="583"/>
      <c r="BN173" s="584"/>
      <c r="BO173" s="583"/>
      <c r="BP173" s="585"/>
      <c r="BQ173" s="583"/>
      <c r="BR173" s="584"/>
      <c r="BS173" s="583"/>
      <c r="BT173" s="586"/>
      <c r="BU173" s="540"/>
      <c r="BV173" s="540"/>
      <c r="BW173" s="540"/>
      <c r="BX173" s="538"/>
      <c r="BY173" s="538"/>
      <c r="BZ173" s="592"/>
      <c r="CA173" s="633"/>
      <c r="CB173" s="592" t="s">
        <v>365</v>
      </c>
      <c r="CC173" s="592">
        <v>0.0</v>
      </c>
      <c r="CD173" s="592" t="s">
        <v>365</v>
      </c>
      <c r="CE173" s="592">
        <v>0.0</v>
      </c>
      <c r="CF173" s="592"/>
      <c r="CG173" s="592">
        <v>0.0</v>
      </c>
      <c r="CH173" s="592"/>
      <c r="CI173" s="633"/>
      <c r="CJ173" s="592">
        <v>0.0</v>
      </c>
      <c r="CK173" s="479" t="s">
        <v>365</v>
      </c>
      <c r="CL173" s="592"/>
      <c r="CM173" s="593"/>
      <c r="CN173" s="538"/>
      <c r="CO173" s="538"/>
      <c r="CP173" s="538"/>
      <c r="CQ173" s="538"/>
      <c r="CR173" s="538"/>
      <c r="CS173" s="538"/>
      <c r="CT173" s="538"/>
      <c r="CU173" s="538"/>
      <c r="CV173" s="538"/>
      <c r="CW173" s="538"/>
      <c r="CX173" s="538"/>
      <c r="CY173" s="538"/>
      <c r="CZ173" s="538"/>
      <c r="DA173" s="538"/>
      <c r="DB173" s="538"/>
      <c r="DC173" s="538"/>
      <c r="DD173" s="538"/>
      <c r="DE173" s="538"/>
      <c r="DF173" s="538"/>
      <c r="DG173" s="538"/>
      <c r="DH173" s="538"/>
      <c r="DI173" s="538"/>
      <c r="DJ173" s="538"/>
      <c r="DK173" s="538"/>
      <c r="DL173" s="538"/>
      <c r="DM173" s="538"/>
      <c r="DN173" s="538"/>
      <c r="DO173" s="538"/>
      <c r="DP173" s="538"/>
      <c r="DQ173" s="538"/>
      <c r="DR173" s="538"/>
      <c r="DS173" s="538"/>
      <c r="DT173" s="538"/>
      <c r="DU173" s="538"/>
      <c r="DV173" s="538"/>
      <c r="DW173" s="538"/>
      <c r="DX173" s="538"/>
      <c r="DY173" s="538"/>
      <c r="DZ173" s="538"/>
      <c r="EA173" s="538"/>
      <c r="EB173" s="538"/>
      <c r="EC173" s="538"/>
      <c r="ED173" s="538"/>
      <c r="EE173" s="538"/>
      <c r="EF173" s="538"/>
      <c r="EG173" s="538"/>
      <c r="EH173" s="538"/>
      <c r="EI173" s="538"/>
      <c r="EJ173" s="538"/>
      <c r="EK173" s="538"/>
      <c r="EL173" s="538"/>
      <c r="EM173" s="538"/>
      <c r="EN173" s="538"/>
      <c r="EO173" s="538"/>
      <c r="EP173" s="538"/>
      <c r="EQ173" s="538"/>
      <c r="ER173" s="538"/>
      <c r="ES173" s="538"/>
      <c r="ET173" s="538"/>
      <c r="EU173" s="538"/>
      <c r="EV173" s="538"/>
      <c r="EW173" s="538"/>
      <c r="EX173" s="559"/>
      <c r="EY173" s="559"/>
      <c r="EZ173" s="559"/>
      <c r="FA173" s="559"/>
      <c r="FB173" s="559"/>
      <c r="FC173" s="559"/>
      <c r="FD173" s="559"/>
      <c r="FE173" s="559"/>
      <c r="FF173" s="559"/>
      <c r="FG173" s="559"/>
      <c r="FH173" s="559"/>
      <c r="FI173" s="559"/>
      <c r="FJ173" s="559"/>
      <c r="FK173" s="559"/>
      <c r="FL173" s="559"/>
      <c r="FM173" s="559"/>
      <c r="FN173" s="559"/>
      <c r="FO173" s="559"/>
      <c r="FP173" s="559"/>
      <c r="FQ173" s="559"/>
      <c r="FR173" s="559"/>
      <c r="FS173" s="559"/>
      <c r="FT173" s="559"/>
      <c r="FU173" s="559"/>
      <c r="FV173" s="559"/>
      <c r="FW173" s="559"/>
      <c r="FX173" s="559"/>
      <c r="FY173" s="559"/>
      <c r="FZ173" s="559"/>
      <c r="GA173" s="559"/>
      <c r="GB173" s="559"/>
      <c r="GC173" s="559"/>
      <c r="GD173" s="559"/>
      <c r="GE173" s="559"/>
      <c r="GF173" s="559"/>
      <c r="GG173" s="559"/>
      <c r="GH173" s="559"/>
    </row>
    <row r="174">
      <c r="A174" s="538"/>
      <c r="B174" s="156"/>
      <c r="C174" s="444"/>
      <c r="D174" s="614"/>
      <c r="E174" s="68"/>
      <c r="F174" s="644"/>
      <c r="G174" s="644"/>
      <c r="H174" s="627"/>
      <c r="I174" s="622" t="s">
        <v>365</v>
      </c>
      <c r="J174" s="607"/>
      <c r="K174" s="641"/>
      <c r="L174" s="628"/>
      <c r="M174" s="626"/>
      <c r="N174" s="619"/>
      <c r="O174" s="560"/>
      <c r="P174" s="47"/>
      <c r="Q174" s="47"/>
      <c r="S174" s="572"/>
      <c r="U174" s="573"/>
      <c r="V174" s="574"/>
      <c r="W174" s="618"/>
      <c r="X174" s="576">
        <v>0.0</v>
      </c>
      <c r="Y174" s="630">
        <v>0.0</v>
      </c>
      <c r="Z174" s="630" t="s">
        <v>365</v>
      </c>
      <c r="AA174" s="631" t="b">
        <v>0</v>
      </c>
      <c r="AB174" s="631"/>
      <c r="AC174" s="576"/>
      <c r="AD174" s="479">
        <v>0.0</v>
      </c>
      <c r="AE174" s="632"/>
      <c r="AF174" s="582" t="s">
        <v>365</v>
      </c>
      <c r="AG174" s="583"/>
      <c r="AH174" s="584"/>
      <c r="AI174" s="583"/>
      <c r="AJ174" s="585"/>
      <c r="AK174" s="583"/>
      <c r="AL174" s="584"/>
      <c r="AM174" s="583"/>
      <c r="AN174" s="585"/>
      <c r="AO174" s="583"/>
      <c r="AP174" s="584"/>
      <c r="AQ174" s="583"/>
      <c r="AR174" s="585"/>
      <c r="AS174" s="583"/>
      <c r="AT174" s="584"/>
      <c r="AU174" s="583"/>
      <c r="AV174" s="585"/>
      <c r="AW174" s="583"/>
      <c r="AX174" s="584"/>
      <c r="AY174" s="583"/>
      <c r="AZ174" s="585"/>
      <c r="BA174" s="583"/>
      <c r="BB174" s="584"/>
      <c r="BC174" s="583"/>
      <c r="BD174" s="585"/>
      <c r="BE174" s="583"/>
      <c r="BF174" s="584"/>
      <c r="BG174" s="583"/>
      <c r="BH174" s="585"/>
      <c r="BI174" s="583"/>
      <c r="BJ174" s="584"/>
      <c r="BK174" s="583"/>
      <c r="BL174" s="585"/>
      <c r="BM174" s="583"/>
      <c r="BN174" s="584"/>
      <c r="BO174" s="583"/>
      <c r="BP174" s="585"/>
      <c r="BQ174" s="583"/>
      <c r="BR174" s="584"/>
      <c r="BS174" s="583"/>
      <c r="BT174" s="586"/>
      <c r="BU174" s="540"/>
      <c r="BV174" s="540"/>
      <c r="BW174" s="540"/>
      <c r="BX174" s="538"/>
      <c r="BY174" s="538"/>
      <c r="BZ174" s="592"/>
      <c r="CA174" s="633"/>
      <c r="CB174" s="592" t="s">
        <v>365</v>
      </c>
      <c r="CC174" s="592">
        <v>0.0</v>
      </c>
      <c r="CD174" s="592" t="s">
        <v>365</v>
      </c>
      <c r="CE174" s="592">
        <v>0.0</v>
      </c>
      <c r="CF174" s="592"/>
      <c r="CG174" s="592">
        <v>0.0</v>
      </c>
      <c r="CH174" s="592"/>
      <c r="CI174" s="633"/>
      <c r="CJ174" s="592">
        <v>0.0</v>
      </c>
      <c r="CK174" s="479" t="s">
        <v>365</v>
      </c>
      <c r="CL174" s="592"/>
      <c r="CM174" s="593"/>
      <c r="CN174" s="538"/>
      <c r="CO174" s="538"/>
      <c r="CP174" s="538"/>
      <c r="CQ174" s="538"/>
      <c r="CR174" s="538"/>
      <c r="CS174" s="538"/>
      <c r="CT174" s="538"/>
      <c r="CU174" s="538"/>
      <c r="CV174" s="538"/>
      <c r="CW174" s="538"/>
      <c r="CX174" s="538"/>
      <c r="CY174" s="538"/>
      <c r="CZ174" s="538"/>
      <c r="DA174" s="538"/>
      <c r="DB174" s="538"/>
      <c r="DC174" s="538"/>
      <c r="DD174" s="538"/>
      <c r="DE174" s="538"/>
      <c r="DF174" s="538"/>
      <c r="DG174" s="538"/>
      <c r="DH174" s="538"/>
      <c r="DI174" s="538"/>
      <c r="DJ174" s="538"/>
      <c r="DK174" s="538"/>
      <c r="DL174" s="538"/>
      <c r="DM174" s="538"/>
      <c r="DN174" s="538"/>
      <c r="DO174" s="538"/>
      <c r="DP174" s="538"/>
      <c r="DQ174" s="538"/>
      <c r="DR174" s="538"/>
      <c r="DS174" s="538"/>
      <c r="DT174" s="538"/>
      <c r="DU174" s="538"/>
      <c r="DV174" s="538"/>
      <c r="DW174" s="538"/>
      <c r="DX174" s="538"/>
      <c r="DY174" s="538"/>
      <c r="DZ174" s="538"/>
      <c r="EA174" s="538"/>
      <c r="EB174" s="538"/>
      <c r="EC174" s="538"/>
      <c r="ED174" s="538"/>
      <c r="EE174" s="538"/>
      <c r="EF174" s="538"/>
      <c r="EG174" s="538"/>
      <c r="EH174" s="538"/>
      <c r="EI174" s="538"/>
      <c r="EJ174" s="538"/>
      <c r="EK174" s="538"/>
      <c r="EL174" s="538"/>
      <c r="EM174" s="538"/>
      <c r="EN174" s="538"/>
      <c r="EO174" s="538"/>
      <c r="EP174" s="538"/>
      <c r="EQ174" s="538"/>
      <c r="ER174" s="538"/>
      <c r="ES174" s="538"/>
      <c r="ET174" s="538"/>
      <c r="EU174" s="538"/>
      <c r="EV174" s="538"/>
      <c r="EW174" s="538"/>
      <c r="EX174" s="559"/>
      <c r="EY174" s="559"/>
      <c r="EZ174" s="559"/>
      <c r="FA174" s="559"/>
      <c r="FB174" s="559"/>
      <c r="FC174" s="559"/>
      <c r="FD174" s="559"/>
      <c r="FE174" s="559"/>
      <c r="FF174" s="559"/>
      <c r="FG174" s="559"/>
      <c r="FH174" s="559"/>
      <c r="FI174" s="559"/>
      <c r="FJ174" s="559"/>
      <c r="FK174" s="559"/>
      <c r="FL174" s="559"/>
      <c r="FM174" s="559"/>
      <c r="FN174" s="559"/>
      <c r="FO174" s="559"/>
      <c r="FP174" s="559"/>
      <c r="FQ174" s="559"/>
      <c r="FR174" s="559"/>
      <c r="FS174" s="559"/>
      <c r="FT174" s="559"/>
      <c r="FU174" s="559"/>
      <c r="FV174" s="559"/>
      <c r="FW174" s="559"/>
      <c r="FX174" s="559"/>
      <c r="FY174" s="559"/>
      <c r="FZ174" s="559"/>
      <c r="GA174" s="559"/>
      <c r="GB174" s="559"/>
      <c r="GC174" s="559"/>
      <c r="GD174" s="559"/>
      <c r="GE174" s="559"/>
      <c r="GF174" s="559"/>
      <c r="GG174" s="559"/>
      <c r="GH174" s="559"/>
    </row>
    <row r="175">
      <c r="A175" s="538"/>
      <c r="B175" s="156"/>
      <c r="C175" s="444"/>
      <c r="D175" s="614"/>
      <c r="E175" s="66"/>
      <c r="F175" s="642"/>
      <c r="G175" s="642"/>
      <c r="H175" s="615"/>
      <c r="I175" s="616" t="s">
        <v>365</v>
      </c>
      <c r="J175" s="624"/>
      <c r="K175" s="643"/>
      <c r="L175" s="640"/>
      <c r="M175" s="625"/>
      <c r="N175" s="617"/>
      <c r="O175" s="134"/>
      <c r="P175" s="57"/>
      <c r="Q175" s="57"/>
      <c r="S175" s="605"/>
      <c r="U175" s="573"/>
      <c r="V175" s="574"/>
      <c r="W175" s="618"/>
      <c r="X175" s="576">
        <v>0.0</v>
      </c>
      <c r="Y175" s="630">
        <v>0.0</v>
      </c>
      <c r="Z175" s="630" t="s">
        <v>365</v>
      </c>
      <c r="AA175" s="631" t="b">
        <v>0</v>
      </c>
      <c r="AB175" s="631"/>
      <c r="AC175" s="576"/>
      <c r="AD175" s="479">
        <v>0.0</v>
      </c>
      <c r="AE175" s="632"/>
      <c r="AF175" s="582" t="s">
        <v>365</v>
      </c>
      <c r="AG175" s="583"/>
      <c r="AH175" s="584"/>
      <c r="AI175" s="583"/>
      <c r="AJ175" s="585"/>
      <c r="AK175" s="583"/>
      <c r="AL175" s="584"/>
      <c r="AM175" s="583"/>
      <c r="AN175" s="585"/>
      <c r="AO175" s="583"/>
      <c r="AP175" s="584"/>
      <c r="AQ175" s="583"/>
      <c r="AR175" s="585"/>
      <c r="AS175" s="583"/>
      <c r="AT175" s="584"/>
      <c r="AU175" s="583"/>
      <c r="AV175" s="585"/>
      <c r="AW175" s="583"/>
      <c r="AX175" s="584"/>
      <c r="AY175" s="583"/>
      <c r="AZ175" s="585"/>
      <c r="BA175" s="583"/>
      <c r="BB175" s="584"/>
      <c r="BC175" s="583"/>
      <c r="BD175" s="585"/>
      <c r="BE175" s="583"/>
      <c r="BF175" s="584"/>
      <c r="BG175" s="583"/>
      <c r="BH175" s="585"/>
      <c r="BI175" s="583"/>
      <c r="BJ175" s="584"/>
      <c r="BK175" s="583"/>
      <c r="BL175" s="585"/>
      <c r="BM175" s="583"/>
      <c r="BN175" s="584"/>
      <c r="BO175" s="583"/>
      <c r="BP175" s="585"/>
      <c r="BQ175" s="583"/>
      <c r="BR175" s="584"/>
      <c r="BS175" s="583"/>
      <c r="BT175" s="586"/>
      <c r="BU175" s="540"/>
      <c r="BV175" s="540"/>
      <c r="BW175" s="540"/>
      <c r="BX175" s="538"/>
      <c r="BY175" s="538"/>
      <c r="BZ175" s="592"/>
      <c r="CA175" s="633"/>
      <c r="CB175" s="592" t="s">
        <v>365</v>
      </c>
      <c r="CC175" s="592">
        <v>0.0</v>
      </c>
      <c r="CD175" s="592" t="s">
        <v>365</v>
      </c>
      <c r="CE175" s="592">
        <v>0.0</v>
      </c>
      <c r="CF175" s="592"/>
      <c r="CG175" s="592">
        <v>0.0</v>
      </c>
      <c r="CH175" s="592"/>
      <c r="CI175" s="633"/>
      <c r="CJ175" s="592">
        <v>0.0</v>
      </c>
      <c r="CK175" s="479" t="s">
        <v>365</v>
      </c>
      <c r="CL175" s="592"/>
      <c r="CM175" s="593"/>
      <c r="CN175" s="538"/>
      <c r="CO175" s="538"/>
      <c r="CP175" s="538"/>
      <c r="CQ175" s="538"/>
      <c r="CR175" s="538"/>
      <c r="CS175" s="538"/>
      <c r="CT175" s="538"/>
      <c r="CU175" s="538"/>
      <c r="CV175" s="538"/>
      <c r="CW175" s="538"/>
      <c r="CX175" s="538"/>
      <c r="CY175" s="538"/>
      <c r="CZ175" s="538"/>
      <c r="DA175" s="538"/>
      <c r="DB175" s="538"/>
      <c r="DC175" s="538"/>
      <c r="DD175" s="538"/>
      <c r="DE175" s="538"/>
      <c r="DF175" s="538"/>
      <c r="DG175" s="538"/>
      <c r="DH175" s="538"/>
      <c r="DI175" s="538"/>
      <c r="DJ175" s="538"/>
      <c r="DK175" s="538"/>
      <c r="DL175" s="538"/>
      <c r="DM175" s="538"/>
      <c r="DN175" s="538"/>
      <c r="DO175" s="538"/>
      <c r="DP175" s="538"/>
      <c r="DQ175" s="538"/>
      <c r="DR175" s="538"/>
      <c r="DS175" s="538"/>
      <c r="DT175" s="538"/>
      <c r="DU175" s="538"/>
      <c r="DV175" s="538"/>
      <c r="DW175" s="538"/>
      <c r="DX175" s="538"/>
      <c r="DY175" s="538"/>
      <c r="DZ175" s="538"/>
      <c r="EA175" s="538"/>
      <c r="EB175" s="538"/>
      <c r="EC175" s="538"/>
      <c r="ED175" s="538"/>
      <c r="EE175" s="538"/>
      <c r="EF175" s="538"/>
      <c r="EG175" s="538"/>
      <c r="EH175" s="538"/>
      <c r="EI175" s="538"/>
      <c r="EJ175" s="538"/>
      <c r="EK175" s="538"/>
      <c r="EL175" s="538"/>
      <c r="EM175" s="538"/>
      <c r="EN175" s="538"/>
      <c r="EO175" s="538"/>
      <c r="EP175" s="538"/>
      <c r="EQ175" s="538"/>
      <c r="ER175" s="538"/>
      <c r="ES175" s="538"/>
      <c r="ET175" s="538"/>
      <c r="EU175" s="538"/>
      <c r="EV175" s="538"/>
      <c r="EW175" s="538"/>
      <c r="EX175" s="559"/>
      <c r="EY175" s="559"/>
      <c r="EZ175" s="559"/>
      <c r="FA175" s="559"/>
      <c r="FB175" s="559"/>
      <c r="FC175" s="559"/>
      <c r="FD175" s="559"/>
      <c r="FE175" s="559"/>
      <c r="FF175" s="559"/>
      <c r="FG175" s="559"/>
      <c r="FH175" s="559"/>
      <c r="FI175" s="559"/>
      <c r="FJ175" s="559"/>
      <c r="FK175" s="559"/>
      <c r="FL175" s="559"/>
      <c r="FM175" s="559"/>
      <c r="FN175" s="559"/>
      <c r="FO175" s="559"/>
      <c r="FP175" s="559"/>
      <c r="FQ175" s="559"/>
      <c r="FR175" s="559"/>
      <c r="FS175" s="559"/>
      <c r="FT175" s="559"/>
      <c r="FU175" s="559"/>
      <c r="FV175" s="559"/>
      <c r="FW175" s="559"/>
      <c r="FX175" s="559"/>
      <c r="FY175" s="559"/>
      <c r="FZ175" s="559"/>
      <c r="GA175" s="559"/>
      <c r="GB175" s="559"/>
      <c r="GC175" s="559"/>
      <c r="GD175" s="559"/>
      <c r="GE175" s="559"/>
      <c r="GF175" s="559"/>
      <c r="GG175" s="559"/>
      <c r="GH175" s="559"/>
    </row>
    <row r="176">
      <c r="A176" s="538"/>
      <c r="B176" s="156"/>
      <c r="C176" s="444"/>
      <c r="D176" s="614"/>
      <c r="E176" s="68"/>
      <c r="F176" s="644"/>
      <c r="G176" s="644"/>
      <c r="H176" s="627"/>
      <c r="I176" s="622" t="s">
        <v>365</v>
      </c>
      <c r="J176" s="607"/>
      <c r="K176" s="641"/>
      <c r="L176" s="628"/>
      <c r="M176" s="626"/>
      <c r="N176" s="619"/>
      <c r="O176" s="560"/>
      <c r="P176" s="47"/>
      <c r="Q176" s="47"/>
      <c r="S176" s="572"/>
      <c r="U176" s="573"/>
      <c r="V176" s="574"/>
      <c r="W176" s="618"/>
      <c r="X176" s="576">
        <v>0.0</v>
      </c>
      <c r="Y176" s="630">
        <v>0.0</v>
      </c>
      <c r="Z176" s="630" t="s">
        <v>365</v>
      </c>
      <c r="AA176" s="631" t="b">
        <v>0</v>
      </c>
      <c r="AB176" s="631"/>
      <c r="AC176" s="576"/>
      <c r="AD176" s="479">
        <v>0.0</v>
      </c>
      <c r="AE176" s="632"/>
      <c r="AF176" s="582" t="s">
        <v>365</v>
      </c>
      <c r="AG176" s="583"/>
      <c r="AH176" s="584"/>
      <c r="AI176" s="583"/>
      <c r="AJ176" s="585"/>
      <c r="AK176" s="583"/>
      <c r="AL176" s="584"/>
      <c r="AM176" s="583"/>
      <c r="AN176" s="585"/>
      <c r="AO176" s="583"/>
      <c r="AP176" s="584"/>
      <c r="AQ176" s="583"/>
      <c r="AR176" s="585"/>
      <c r="AS176" s="583"/>
      <c r="AT176" s="584"/>
      <c r="AU176" s="583"/>
      <c r="AV176" s="585"/>
      <c r="AW176" s="583"/>
      <c r="AX176" s="584"/>
      <c r="AY176" s="583"/>
      <c r="AZ176" s="585"/>
      <c r="BA176" s="583"/>
      <c r="BB176" s="584"/>
      <c r="BC176" s="583"/>
      <c r="BD176" s="585"/>
      <c r="BE176" s="583"/>
      <c r="BF176" s="584"/>
      <c r="BG176" s="583"/>
      <c r="BH176" s="585"/>
      <c r="BI176" s="583"/>
      <c r="BJ176" s="584"/>
      <c r="BK176" s="583"/>
      <c r="BL176" s="585"/>
      <c r="BM176" s="583"/>
      <c r="BN176" s="584"/>
      <c r="BO176" s="583"/>
      <c r="BP176" s="585"/>
      <c r="BQ176" s="583"/>
      <c r="BR176" s="584"/>
      <c r="BS176" s="583"/>
      <c r="BT176" s="586"/>
      <c r="BU176" s="540"/>
      <c r="BV176" s="540"/>
      <c r="BW176" s="540"/>
      <c r="BX176" s="538"/>
      <c r="BY176" s="538"/>
      <c r="BZ176" s="592"/>
      <c r="CA176" s="633"/>
      <c r="CB176" s="592" t="s">
        <v>365</v>
      </c>
      <c r="CC176" s="592">
        <v>0.0</v>
      </c>
      <c r="CD176" s="592" t="s">
        <v>365</v>
      </c>
      <c r="CE176" s="592">
        <v>0.0</v>
      </c>
      <c r="CF176" s="592"/>
      <c r="CG176" s="592">
        <v>0.0</v>
      </c>
      <c r="CH176" s="592"/>
      <c r="CI176" s="633"/>
      <c r="CJ176" s="592">
        <v>0.0</v>
      </c>
      <c r="CK176" s="479" t="s">
        <v>365</v>
      </c>
      <c r="CL176" s="592"/>
      <c r="CM176" s="593"/>
      <c r="CN176" s="538"/>
      <c r="CO176" s="538"/>
      <c r="CP176" s="538"/>
      <c r="CQ176" s="538"/>
      <c r="CR176" s="538"/>
      <c r="CS176" s="538"/>
      <c r="CT176" s="538"/>
      <c r="CU176" s="538"/>
      <c r="CV176" s="538"/>
      <c r="CW176" s="538"/>
      <c r="CX176" s="538"/>
      <c r="CY176" s="538"/>
      <c r="CZ176" s="538"/>
      <c r="DA176" s="538"/>
      <c r="DB176" s="538"/>
      <c r="DC176" s="538"/>
      <c r="DD176" s="538"/>
      <c r="DE176" s="538"/>
      <c r="DF176" s="538"/>
      <c r="DG176" s="538"/>
      <c r="DH176" s="538"/>
      <c r="DI176" s="538"/>
      <c r="DJ176" s="538"/>
      <c r="DK176" s="538"/>
      <c r="DL176" s="538"/>
      <c r="DM176" s="538"/>
      <c r="DN176" s="538"/>
      <c r="DO176" s="538"/>
      <c r="DP176" s="538"/>
      <c r="DQ176" s="538"/>
      <c r="DR176" s="538"/>
      <c r="DS176" s="538"/>
      <c r="DT176" s="538"/>
      <c r="DU176" s="538"/>
      <c r="DV176" s="538"/>
      <c r="DW176" s="538"/>
      <c r="DX176" s="538"/>
      <c r="DY176" s="538"/>
      <c r="DZ176" s="538"/>
      <c r="EA176" s="538"/>
      <c r="EB176" s="538"/>
      <c r="EC176" s="538"/>
      <c r="ED176" s="538"/>
      <c r="EE176" s="538"/>
      <c r="EF176" s="538"/>
      <c r="EG176" s="538"/>
      <c r="EH176" s="538"/>
      <c r="EI176" s="538"/>
      <c r="EJ176" s="538"/>
      <c r="EK176" s="538"/>
      <c r="EL176" s="538"/>
      <c r="EM176" s="538"/>
      <c r="EN176" s="538"/>
      <c r="EO176" s="538"/>
      <c r="EP176" s="538"/>
      <c r="EQ176" s="538"/>
      <c r="ER176" s="538"/>
      <c r="ES176" s="538"/>
      <c r="ET176" s="538"/>
      <c r="EU176" s="538"/>
      <c r="EV176" s="538"/>
      <c r="EW176" s="538"/>
      <c r="EX176" s="559"/>
      <c r="EY176" s="559"/>
      <c r="EZ176" s="559"/>
      <c r="FA176" s="559"/>
      <c r="FB176" s="559"/>
      <c r="FC176" s="559"/>
      <c r="FD176" s="559"/>
      <c r="FE176" s="559"/>
      <c r="FF176" s="559"/>
      <c r="FG176" s="559"/>
      <c r="FH176" s="559"/>
      <c r="FI176" s="559"/>
      <c r="FJ176" s="559"/>
      <c r="FK176" s="559"/>
      <c r="FL176" s="559"/>
      <c r="FM176" s="559"/>
      <c r="FN176" s="559"/>
      <c r="FO176" s="559"/>
      <c r="FP176" s="559"/>
      <c r="FQ176" s="559"/>
      <c r="FR176" s="559"/>
      <c r="FS176" s="559"/>
      <c r="FT176" s="559"/>
      <c r="FU176" s="559"/>
      <c r="FV176" s="559"/>
      <c r="FW176" s="559"/>
      <c r="FX176" s="559"/>
      <c r="FY176" s="559"/>
      <c r="FZ176" s="559"/>
      <c r="GA176" s="559"/>
      <c r="GB176" s="559"/>
      <c r="GC176" s="559"/>
      <c r="GD176" s="559"/>
      <c r="GE176" s="559"/>
      <c r="GF176" s="559"/>
      <c r="GG176" s="559"/>
      <c r="GH176" s="559"/>
    </row>
    <row r="177">
      <c r="A177" s="538"/>
      <c r="B177" s="156"/>
      <c r="C177" s="444"/>
      <c r="D177" s="614"/>
      <c r="E177" s="66"/>
      <c r="F177" s="642"/>
      <c r="G177" s="642"/>
      <c r="H177" s="615"/>
      <c r="I177" s="616" t="s">
        <v>365</v>
      </c>
      <c r="J177" s="624"/>
      <c r="K177" s="643"/>
      <c r="L177" s="640"/>
      <c r="M177" s="625"/>
      <c r="N177" s="617"/>
      <c r="O177" s="134"/>
      <c r="P177" s="57"/>
      <c r="Q177" s="57"/>
      <c r="S177" s="605"/>
      <c r="U177" s="573"/>
      <c r="V177" s="574"/>
      <c r="W177" s="618"/>
      <c r="X177" s="576">
        <v>0.0</v>
      </c>
      <c r="Y177" s="630">
        <v>0.0</v>
      </c>
      <c r="Z177" s="630" t="s">
        <v>365</v>
      </c>
      <c r="AA177" s="631" t="b">
        <v>0</v>
      </c>
      <c r="AB177" s="631"/>
      <c r="AC177" s="576"/>
      <c r="AD177" s="479">
        <v>0.0</v>
      </c>
      <c r="AE177" s="632"/>
      <c r="AF177" s="582" t="s">
        <v>365</v>
      </c>
      <c r="AG177" s="583"/>
      <c r="AH177" s="584"/>
      <c r="AI177" s="583"/>
      <c r="AJ177" s="585"/>
      <c r="AK177" s="583"/>
      <c r="AL177" s="584"/>
      <c r="AM177" s="583"/>
      <c r="AN177" s="585"/>
      <c r="AO177" s="583"/>
      <c r="AP177" s="584"/>
      <c r="AQ177" s="583"/>
      <c r="AR177" s="585"/>
      <c r="AS177" s="583"/>
      <c r="AT177" s="584"/>
      <c r="AU177" s="583"/>
      <c r="AV177" s="585"/>
      <c r="AW177" s="583"/>
      <c r="AX177" s="584"/>
      <c r="AY177" s="583"/>
      <c r="AZ177" s="585"/>
      <c r="BA177" s="583"/>
      <c r="BB177" s="584"/>
      <c r="BC177" s="583"/>
      <c r="BD177" s="585"/>
      <c r="BE177" s="583"/>
      <c r="BF177" s="584"/>
      <c r="BG177" s="583"/>
      <c r="BH177" s="585"/>
      <c r="BI177" s="583"/>
      <c r="BJ177" s="584"/>
      <c r="BK177" s="583"/>
      <c r="BL177" s="585"/>
      <c r="BM177" s="583"/>
      <c r="BN177" s="584"/>
      <c r="BO177" s="583"/>
      <c r="BP177" s="585"/>
      <c r="BQ177" s="583"/>
      <c r="BR177" s="584"/>
      <c r="BS177" s="583"/>
      <c r="BT177" s="586"/>
      <c r="BU177" s="540"/>
      <c r="BV177" s="540"/>
      <c r="BW177" s="540"/>
      <c r="BX177" s="538"/>
      <c r="BY177" s="538"/>
      <c r="BZ177" s="592"/>
      <c r="CA177" s="633"/>
      <c r="CB177" s="592" t="s">
        <v>365</v>
      </c>
      <c r="CC177" s="592">
        <v>0.0</v>
      </c>
      <c r="CD177" s="592" t="s">
        <v>365</v>
      </c>
      <c r="CE177" s="592">
        <v>0.0</v>
      </c>
      <c r="CF177" s="592"/>
      <c r="CG177" s="592">
        <v>0.0</v>
      </c>
      <c r="CH177" s="592"/>
      <c r="CI177" s="633"/>
      <c r="CJ177" s="592">
        <v>0.0</v>
      </c>
      <c r="CK177" s="479" t="s">
        <v>365</v>
      </c>
      <c r="CL177" s="592"/>
      <c r="CM177" s="593"/>
      <c r="CN177" s="538"/>
      <c r="CO177" s="538"/>
      <c r="CP177" s="538"/>
      <c r="CQ177" s="538"/>
      <c r="CR177" s="538"/>
      <c r="CS177" s="538"/>
      <c r="CT177" s="538"/>
      <c r="CU177" s="538"/>
      <c r="CV177" s="538"/>
      <c r="CW177" s="538"/>
      <c r="CX177" s="538"/>
      <c r="CY177" s="538"/>
      <c r="CZ177" s="538"/>
      <c r="DA177" s="538"/>
      <c r="DB177" s="538"/>
      <c r="DC177" s="538"/>
      <c r="DD177" s="538"/>
      <c r="DE177" s="538"/>
      <c r="DF177" s="538"/>
      <c r="DG177" s="538"/>
      <c r="DH177" s="538"/>
      <c r="DI177" s="538"/>
      <c r="DJ177" s="538"/>
      <c r="DK177" s="538"/>
      <c r="DL177" s="538"/>
      <c r="DM177" s="538"/>
      <c r="DN177" s="538"/>
      <c r="DO177" s="538"/>
      <c r="DP177" s="538"/>
      <c r="DQ177" s="538"/>
      <c r="DR177" s="538"/>
      <c r="DS177" s="538"/>
      <c r="DT177" s="538"/>
      <c r="DU177" s="538"/>
      <c r="DV177" s="538"/>
      <c r="DW177" s="538"/>
      <c r="DX177" s="538"/>
      <c r="DY177" s="538"/>
      <c r="DZ177" s="538"/>
      <c r="EA177" s="538"/>
      <c r="EB177" s="538"/>
      <c r="EC177" s="538"/>
      <c r="ED177" s="538"/>
      <c r="EE177" s="538"/>
      <c r="EF177" s="538"/>
      <c r="EG177" s="538"/>
      <c r="EH177" s="538"/>
      <c r="EI177" s="538"/>
      <c r="EJ177" s="538"/>
      <c r="EK177" s="538"/>
      <c r="EL177" s="538"/>
      <c r="EM177" s="538"/>
      <c r="EN177" s="538"/>
      <c r="EO177" s="538"/>
      <c r="EP177" s="538"/>
      <c r="EQ177" s="538"/>
      <c r="ER177" s="538"/>
      <c r="ES177" s="538"/>
      <c r="ET177" s="538"/>
      <c r="EU177" s="538"/>
      <c r="EV177" s="538"/>
      <c r="EW177" s="538"/>
      <c r="EX177" s="559"/>
      <c r="EY177" s="559"/>
      <c r="EZ177" s="559"/>
      <c r="FA177" s="559"/>
      <c r="FB177" s="559"/>
      <c r="FC177" s="559"/>
      <c r="FD177" s="559"/>
      <c r="FE177" s="559"/>
      <c r="FF177" s="559"/>
      <c r="FG177" s="559"/>
      <c r="FH177" s="559"/>
      <c r="FI177" s="559"/>
      <c r="FJ177" s="559"/>
      <c r="FK177" s="559"/>
      <c r="FL177" s="559"/>
      <c r="FM177" s="559"/>
      <c r="FN177" s="559"/>
      <c r="FO177" s="559"/>
      <c r="FP177" s="559"/>
      <c r="FQ177" s="559"/>
      <c r="FR177" s="559"/>
      <c r="FS177" s="559"/>
      <c r="FT177" s="559"/>
      <c r="FU177" s="559"/>
      <c r="FV177" s="559"/>
      <c r="FW177" s="559"/>
      <c r="FX177" s="559"/>
      <c r="FY177" s="559"/>
      <c r="FZ177" s="559"/>
      <c r="GA177" s="559"/>
      <c r="GB177" s="559"/>
      <c r="GC177" s="559"/>
      <c r="GD177" s="559"/>
      <c r="GE177" s="559"/>
      <c r="GF177" s="559"/>
      <c r="GG177" s="559"/>
      <c r="GH177" s="559"/>
    </row>
    <row r="178">
      <c r="A178" s="538"/>
      <c r="B178" s="156"/>
      <c r="C178" s="444"/>
      <c r="D178" s="614"/>
      <c r="E178" s="68"/>
      <c r="F178" s="644"/>
      <c r="G178" s="644"/>
      <c r="H178" s="627"/>
      <c r="I178" s="622" t="s">
        <v>365</v>
      </c>
      <c r="J178" s="607"/>
      <c r="K178" s="641"/>
      <c r="L178" s="628"/>
      <c r="M178" s="626"/>
      <c r="N178" s="619"/>
      <c r="O178" s="560"/>
      <c r="P178" s="47"/>
      <c r="Q178" s="47"/>
      <c r="S178" s="572"/>
      <c r="U178" s="573"/>
      <c r="V178" s="574"/>
      <c r="W178" s="618"/>
      <c r="X178" s="576">
        <v>0.0</v>
      </c>
      <c r="Y178" s="630">
        <v>0.0</v>
      </c>
      <c r="Z178" s="630" t="s">
        <v>365</v>
      </c>
      <c r="AA178" s="631" t="b">
        <v>0</v>
      </c>
      <c r="AB178" s="631"/>
      <c r="AC178" s="576"/>
      <c r="AD178" s="479">
        <v>0.0</v>
      </c>
      <c r="AE178" s="632"/>
      <c r="AF178" s="582" t="s">
        <v>365</v>
      </c>
      <c r="AG178" s="583"/>
      <c r="AH178" s="584"/>
      <c r="AI178" s="583"/>
      <c r="AJ178" s="585"/>
      <c r="AK178" s="583"/>
      <c r="AL178" s="584"/>
      <c r="AM178" s="583"/>
      <c r="AN178" s="585"/>
      <c r="AO178" s="583"/>
      <c r="AP178" s="584"/>
      <c r="AQ178" s="583"/>
      <c r="AR178" s="585"/>
      <c r="AS178" s="583"/>
      <c r="AT178" s="584"/>
      <c r="AU178" s="583"/>
      <c r="AV178" s="585"/>
      <c r="AW178" s="583"/>
      <c r="AX178" s="584"/>
      <c r="AY178" s="583"/>
      <c r="AZ178" s="585"/>
      <c r="BA178" s="583"/>
      <c r="BB178" s="584"/>
      <c r="BC178" s="583"/>
      <c r="BD178" s="585"/>
      <c r="BE178" s="583"/>
      <c r="BF178" s="584"/>
      <c r="BG178" s="583"/>
      <c r="BH178" s="585"/>
      <c r="BI178" s="583"/>
      <c r="BJ178" s="584"/>
      <c r="BK178" s="583"/>
      <c r="BL178" s="585"/>
      <c r="BM178" s="583"/>
      <c r="BN178" s="584"/>
      <c r="BO178" s="583"/>
      <c r="BP178" s="585"/>
      <c r="BQ178" s="583"/>
      <c r="BR178" s="584"/>
      <c r="BS178" s="583"/>
      <c r="BT178" s="586"/>
      <c r="BU178" s="540"/>
      <c r="BV178" s="540"/>
      <c r="BW178" s="540"/>
      <c r="BX178" s="538"/>
      <c r="BY178" s="538"/>
      <c r="BZ178" s="592"/>
      <c r="CA178" s="633"/>
      <c r="CB178" s="592" t="s">
        <v>365</v>
      </c>
      <c r="CC178" s="592">
        <v>0.0</v>
      </c>
      <c r="CD178" s="592" t="s">
        <v>365</v>
      </c>
      <c r="CE178" s="592">
        <v>0.0</v>
      </c>
      <c r="CF178" s="592"/>
      <c r="CG178" s="592">
        <v>0.0</v>
      </c>
      <c r="CH178" s="592"/>
      <c r="CI178" s="633"/>
      <c r="CJ178" s="592">
        <v>0.0</v>
      </c>
      <c r="CK178" s="479" t="s">
        <v>365</v>
      </c>
      <c r="CL178" s="592"/>
      <c r="CM178" s="593"/>
      <c r="CN178" s="538"/>
      <c r="CO178" s="538"/>
      <c r="CP178" s="538"/>
      <c r="CQ178" s="538"/>
      <c r="CR178" s="538"/>
      <c r="CS178" s="538"/>
      <c r="CT178" s="538"/>
      <c r="CU178" s="538"/>
      <c r="CV178" s="538"/>
      <c r="CW178" s="538"/>
      <c r="CX178" s="538"/>
      <c r="CY178" s="538"/>
      <c r="CZ178" s="538"/>
      <c r="DA178" s="538"/>
      <c r="DB178" s="538"/>
      <c r="DC178" s="538"/>
      <c r="DD178" s="538"/>
      <c r="DE178" s="538"/>
      <c r="DF178" s="538"/>
      <c r="DG178" s="538"/>
      <c r="DH178" s="538"/>
      <c r="DI178" s="538"/>
      <c r="DJ178" s="538"/>
      <c r="DK178" s="538"/>
      <c r="DL178" s="538"/>
      <c r="DM178" s="538"/>
      <c r="DN178" s="538"/>
      <c r="DO178" s="538"/>
      <c r="DP178" s="538"/>
      <c r="DQ178" s="538"/>
      <c r="DR178" s="538"/>
      <c r="DS178" s="538"/>
      <c r="DT178" s="538"/>
      <c r="DU178" s="538"/>
      <c r="DV178" s="538"/>
      <c r="DW178" s="538"/>
      <c r="DX178" s="538"/>
      <c r="DY178" s="538"/>
      <c r="DZ178" s="538"/>
      <c r="EA178" s="538"/>
      <c r="EB178" s="538"/>
      <c r="EC178" s="538"/>
      <c r="ED178" s="538"/>
      <c r="EE178" s="538"/>
      <c r="EF178" s="538"/>
      <c r="EG178" s="538"/>
      <c r="EH178" s="538"/>
      <c r="EI178" s="538"/>
      <c r="EJ178" s="538"/>
      <c r="EK178" s="538"/>
      <c r="EL178" s="538"/>
      <c r="EM178" s="538"/>
      <c r="EN178" s="538"/>
      <c r="EO178" s="538"/>
      <c r="EP178" s="538"/>
      <c r="EQ178" s="538"/>
      <c r="ER178" s="538"/>
      <c r="ES178" s="538"/>
      <c r="ET178" s="538"/>
      <c r="EU178" s="538"/>
      <c r="EV178" s="538"/>
      <c r="EW178" s="538"/>
      <c r="EX178" s="559"/>
      <c r="EY178" s="559"/>
      <c r="EZ178" s="559"/>
      <c r="FA178" s="559"/>
      <c r="FB178" s="559"/>
      <c r="FC178" s="559"/>
      <c r="FD178" s="559"/>
      <c r="FE178" s="559"/>
      <c r="FF178" s="559"/>
      <c r="FG178" s="559"/>
      <c r="FH178" s="559"/>
      <c r="FI178" s="559"/>
      <c r="FJ178" s="559"/>
      <c r="FK178" s="559"/>
      <c r="FL178" s="559"/>
      <c r="FM178" s="559"/>
      <c r="FN178" s="559"/>
      <c r="FO178" s="559"/>
      <c r="FP178" s="559"/>
      <c r="FQ178" s="559"/>
      <c r="FR178" s="559"/>
      <c r="FS178" s="559"/>
      <c r="FT178" s="559"/>
      <c r="FU178" s="559"/>
      <c r="FV178" s="559"/>
      <c r="FW178" s="559"/>
      <c r="FX178" s="559"/>
      <c r="FY178" s="559"/>
      <c r="FZ178" s="559"/>
      <c r="GA178" s="559"/>
      <c r="GB178" s="559"/>
      <c r="GC178" s="559"/>
      <c r="GD178" s="559"/>
      <c r="GE178" s="559"/>
      <c r="GF178" s="559"/>
      <c r="GG178" s="559"/>
      <c r="GH178" s="559"/>
    </row>
    <row r="179">
      <c r="A179" s="538"/>
      <c r="B179" s="156"/>
      <c r="C179" s="444"/>
      <c r="D179" s="614"/>
      <c r="E179" s="66"/>
      <c r="F179" s="642"/>
      <c r="G179" s="642"/>
      <c r="H179" s="615"/>
      <c r="I179" s="616" t="s">
        <v>365</v>
      </c>
      <c r="J179" s="624"/>
      <c r="K179" s="643"/>
      <c r="L179" s="640"/>
      <c r="M179" s="625"/>
      <c r="N179" s="617"/>
      <c r="O179" s="134"/>
      <c r="P179" s="57"/>
      <c r="Q179" s="57"/>
      <c r="S179" s="605"/>
      <c r="U179" s="573"/>
      <c r="V179" s="574"/>
      <c r="W179" s="618"/>
      <c r="X179" s="576">
        <v>0.0</v>
      </c>
      <c r="Y179" s="630">
        <v>0.0</v>
      </c>
      <c r="Z179" s="630" t="s">
        <v>365</v>
      </c>
      <c r="AA179" s="631" t="b">
        <v>0</v>
      </c>
      <c r="AB179" s="631"/>
      <c r="AC179" s="576"/>
      <c r="AD179" s="479">
        <v>0.0</v>
      </c>
      <c r="AE179" s="632"/>
      <c r="AF179" s="582" t="s">
        <v>365</v>
      </c>
      <c r="AG179" s="583"/>
      <c r="AH179" s="584"/>
      <c r="AI179" s="583"/>
      <c r="AJ179" s="585"/>
      <c r="AK179" s="583"/>
      <c r="AL179" s="584"/>
      <c r="AM179" s="583"/>
      <c r="AN179" s="585"/>
      <c r="AO179" s="583"/>
      <c r="AP179" s="584"/>
      <c r="AQ179" s="583"/>
      <c r="AR179" s="585"/>
      <c r="AS179" s="583"/>
      <c r="AT179" s="584"/>
      <c r="AU179" s="583"/>
      <c r="AV179" s="585"/>
      <c r="AW179" s="583"/>
      <c r="AX179" s="584"/>
      <c r="AY179" s="583"/>
      <c r="AZ179" s="585"/>
      <c r="BA179" s="583"/>
      <c r="BB179" s="584"/>
      <c r="BC179" s="583"/>
      <c r="BD179" s="585"/>
      <c r="BE179" s="583"/>
      <c r="BF179" s="584"/>
      <c r="BG179" s="583"/>
      <c r="BH179" s="585"/>
      <c r="BI179" s="583"/>
      <c r="BJ179" s="584"/>
      <c r="BK179" s="583"/>
      <c r="BL179" s="585"/>
      <c r="BM179" s="583"/>
      <c r="BN179" s="584"/>
      <c r="BO179" s="583"/>
      <c r="BP179" s="585"/>
      <c r="BQ179" s="583"/>
      <c r="BR179" s="584"/>
      <c r="BS179" s="583"/>
      <c r="BT179" s="586"/>
      <c r="BU179" s="540"/>
      <c r="BV179" s="540"/>
      <c r="BW179" s="540"/>
      <c r="BX179" s="538"/>
      <c r="BY179" s="538"/>
      <c r="BZ179" s="592"/>
      <c r="CA179" s="633"/>
      <c r="CB179" s="592" t="s">
        <v>365</v>
      </c>
      <c r="CC179" s="592">
        <v>0.0</v>
      </c>
      <c r="CD179" s="592" t="s">
        <v>365</v>
      </c>
      <c r="CE179" s="592">
        <v>0.0</v>
      </c>
      <c r="CF179" s="592"/>
      <c r="CG179" s="592">
        <v>0.0</v>
      </c>
      <c r="CH179" s="592"/>
      <c r="CI179" s="633"/>
      <c r="CJ179" s="592">
        <v>0.0</v>
      </c>
      <c r="CK179" s="479" t="s">
        <v>365</v>
      </c>
      <c r="CL179" s="592"/>
      <c r="CM179" s="593"/>
      <c r="CN179" s="538"/>
      <c r="CO179" s="538"/>
      <c r="CP179" s="538"/>
      <c r="CQ179" s="538"/>
      <c r="CR179" s="538"/>
      <c r="CS179" s="538"/>
      <c r="CT179" s="538"/>
      <c r="CU179" s="538"/>
      <c r="CV179" s="538"/>
      <c r="CW179" s="538"/>
      <c r="CX179" s="538"/>
      <c r="CY179" s="538"/>
      <c r="CZ179" s="538"/>
      <c r="DA179" s="538"/>
      <c r="DB179" s="538"/>
      <c r="DC179" s="538"/>
      <c r="DD179" s="538"/>
      <c r="DE179" s="538"/>
      <c r="DF179" s="538"/>
      <c r="DG179" s="538"/>
      <c r="DH179" s="538"/>
      <c r="DI179" s="538"/>
      <c r="DJ179" s="538"/>
      <c r="DK179" s="538"/>
      <c r="DL179" s="538"/>
      <c r="DM179" s="538"/>
      <c r="DN179" s="538"/>
      <c r="DO179" s="538"/>
      <c r="DP179" s="538"/>
      <c r="DQ179" s="538"/>
      <c r="DR179" s="538"/>
      <c r="DS179" s="538"/>
      <c r="DT179" s="538"/>
      <c r="DU179" s="538"/>
      <c r="DV179" s="538"/>
      <c r="DW179" s="538"/>
      <c r="DX179" s="538"/>
      <c r="DY179" s="538"/>
      <c r="DZ179" s="538"/>
      <c r="EA179" s="538"/>
      <c r="EB179" s="538"/>
      <c r="EC179" s="538"/>
      <c r="ED179" s="538"/>
      <c r="EE179" s="538"/>
      <c r="EF179" s="538"/>
      <c r="EG179" s="538"/>
      <c r="EH179" s="538"/>
      <c r="EI179" s="538"/>
      <c r="EJ179" s="538"/>
      <c r="EK179" s="538"/>
      <c r="EL179" s="538"/>
      <c r="EM179" s="538"/>
      <c r="EN179" s="538"/>
      <c r="EO179" s="538"/>
      <c r="EP179" s="538"/>
      <c r="EQ179" s="538"/>
      <c r="ER179" s="538"/>
      <c r="ES179" s="538"/>
      <c r="ET179" s="538"/>
      <c r="EU179" s="538"/>
      <c r="EV179" s="538"/>
      <c r="EW179" s="538"/>
      <c r="EX179" s="559"/>
      <c r="EY179" s="559"/>
      <c r="EZ179" s="559"/>
      <c r="FA179" s="559"/>
      <c r="FB179" s="559"/>
      <c r="FC179" s="559"/>
      <c r="FD179" s="559"/>
      <c r="FE179" s="559"/>
      <c r="FF179" s="559"/>
      <c r="FG179" s="559"/>
      <c r="FH179" s="559"/>
      <c r="FI179" s="559"/>
      <c r="FJ179" s="559"/>
      <c r="FK179" s="559"/>
      <c r="FL179" s="559"/>
      <c r="FM179" s="559"/>
      <c r="FN179" s="559"/>
      <c r="FO179" s="559"/>
      <c r="FP179" s="559"/>
      <c r="FQ179" s="559"/>
      <c r="FR179" s="559"/>
      <c r="FS179" s="559"/>
      <c r="FT179" s="559"/>
      <c r="FU179" s="559"/>
      <c r="FV179" s="559"/>
      <c r="FW179" s="559"/>
      <c r="FX179" s="559"/>
      <c r="FY179" s="559"/>
      <c r="FZ179" s="559"/>
      <c r="GA179" s="559"/>
      <c r="GB179" s="559"/>
      <c r="GC179" s="559"/>
      <c r="GD179" s="559"/>
      <c r="GE179" s="559"/>
      <c r="GF179" s="559"/>
      <c r="GG179" s="559"/>
      <c r="GH179" s="559"/>
    </row>
    <row r="180">
      <c r="A180" s="538"/>
      <c r="B180" s="156"/>
      <c r="C180" s="444"/>
      <c r="D180" s="614"/>
      <c r="E180" s="68"/>
      <c r="F180" s="644"/>
      <c r="G180" s="644"/>
      <c r="H180" s="627"/>
      <c r="I180" s="622" t="s">
        <v>365</v>
      </c>
      <c r="J180" s="607"/>
      <c r="K180" s="641"/>
      <c r="L180" s="628"/>
      <c r="M180" s="626"/>
      <c r="N180" s="619"/>
      <c r="O180" s="560"/>
      <c r="P180" s="47"/>
      <c r="Q180" s="47"/>
      <c r="S180" s="572"/>
      <c r="U180" s="573"/>
      <c r="V180" s="574"/>
      <c r="W180" s="618"/>
      <c r="X180" s="576">
        <v>0.0</v>
      </c>
      <c r="Y180" s="630">
        <v>0.0</v>
      </c>
      <c r="Z180" s="630" t="s">
        <v>365</v>
      </c>
      <c r="AA180" s="631" t="b">
        <v>0</v>
      </c>
      <c r="AB180" s="631"/>
      <c r="AC180" s="576"/>
      <c r="AD180" s="479">
        <v>0.0</v>
      </c>
      <c r="AE180" s="632"/>
      <c r="AF180" s="582" t="s">
        <v>365</v>
      </c>
      <c r="AG180" s="583"/>
      <c r="AH180" s="584"/>
      <c r="AI180" s="583"/>
      <c r="AJ180" s="585"/>
      <c r="AK180" s="583"/>
      <c r="AL180" s="584"/>
      <c r="AM180" s="583"/>
      <c r="AN180" s="585"/>
      <c r="AO180" s="583"/>
      <c r="AP180" s="584"/>
      <c r="AQ180" s="583"/>
      <c r="AR180" s="585"/>
      <c r="AS180" s="583"/>
      <c r="AT180" s="584"/>
      <c r="AU180" s="583"/>
      <c r="AV180" s="585"/>
      <c r="AW180" s="583"/>
      <c r="AX180" s="584"/>
      <c r="AY180" s="583"/>
      <c r="AZ180" s="585"/>
      <c r="BA180" s="583"/>
      <c r="BB180" s="584"/>
      <c r="BC180" s="583"/>
      <c r="BD180" s="585"/>
      <c r="BE180" s="583"/>
      <c r="BF180" s="584"/>
      <c r="BG180" s="583"/>
      <c r="BH180" s="585"/>
      <c r="BI180" s="583"/>
      <c r="BJ180" s="584"/>
      <c r="BK180" s="583"/>
      <c r="BL180" s="585"/>
      <c r="BM180" s="583"/>
      <c r="BN180" s="584"/>
      <c r="BO180" s="583"/>
      <c r="BP180" s="585"/>
      <c r="BQ180" s="583"/>
      <c r="BR180" s="584"/>
      <c r="BS180" s="583"/>
      <c r="BT180" s="586"/>
      <c r="BU180" s="540"/>
      <c r="BV180" s="540"/>
      <c r="BW180" s="540"/>
      <c r="BX180" s="538"/>
      <c r="BY180" s="538"/>
      <c r="BZ180" s="592"/>
      <c r="CA180" s="633"/>
      <c r="CB180" s="592" t="s">
        <v>365</v>
      </c>
      <c r="CC180" s="592">
        <v>0.0</v>
      </c>
      <c r="CD180" s="592" t="s">
        <v>365</v>
      </c>
      <c r="CE180" s="592">
        <v>0.0</v>
      </c>
      <c r="CF180" s="592"/>
      <c r="CG180" s="592">
        <v>0.0</v>
      </c>
      <c r="CH180" s="592"/>
      <c r="CI180" s="633"/>
      <c r="CJ180" s="592">
        <v>0.0</v>
      </c>
      <c r="CK180" s="479" t="s">
        <v>365</v>
      </c>
      <c r="CL180" s="592"/>
      <c r="CM180" s="593"/>
      <c r="CN180" s="538"/>
      <c r="CO180" s="538"/>
      <c r="CP180" s="538"/>
      <c r="CQ180" s="538"/>
      <c r="CR180" s="538"/>
      <c r="CS180" s="538"/>
      <c r="CT180" s="538"/>
      <c r="CU180" s="538"/>
      <c r="CV180" s="538"/>
      <c r="CW180" s="538"/>
      <c r="CX180" s="538"/>
      <c r="CY180" s="538"/>
      <c r="CZ180" s="538"/>
      <c r="DA180" s="538"/>
      <c r="DB180" s="538"/>
      <c r="DC180" s="538"/>
      <c r="DD180" s="538"/>
      <c r="DE180" s="538"/>
      <c r="DF180" s="538"/>
      <c r="DG180" s="538"/>
      <c r="DH180" s="538"/>
      <c r="DI180" s="538"/>
      <c r="DJ180" s="538"/>
      <c r="DK180" s="538"/>
      <c r="DL180" s="538"/>
      <c r="DM180" s="538"/>
      <c r="DN180" s="538"/>
      <c r="DO180" s="538"/>
      <c r="DP180" s="538"/>
      <c r="DQ180" s="538"/>
      <c r="DR180" s="538"/>
      <c r="DS180" s="538"/>
      <c r="DT180" s="538"/>
      <c r="DU180" s="538"/>
      <c r="DV180" s="538"/>
      <c r="DW180" s="538"/>
      <c r="DX180" s="538"/>
      <c r="DY180" s="538"/>
      <c r="DZ180" s="538"/>
      <c r="EA180" s="538"/>
      <c r="EB180" s="538"/>
      <c r="EC180" s="538"/>
      <c r="ED180" s="538"/>
      <c r="EE180" s="538"/>
      <c r="EF180" s="538"/>
      <c r="EG180" s="538"/>
      <c r="EH180" s="538"/>
      <c r="EI180" s="538"/>
      <c r="EJ180" s="538"/>
      <c r="EK180" s="538"/>
      <c r="EL180" s="538"/>
      <c r="EM180" s="538"/>
      <c r="EN180" s="538"/>
      <c r="EO180" s="538"/>
      <c r="EP180" s="538"/>
      <c r="EQ180" s="538"/>
      <c r="ER180" s="538"/>
      <c r="ES180" s="538"/>
      <c r="ET180" s="538"/>
      <c r="EU180" s="538"/>
      <c r="EV180" s="538"/>
      <c r="EW180" s="538"/>
      <c r="EX180" s="559"/>
      <c r="EY180" s="559"/>
      <c r="EZ180" s="559"/>
      <c r="FA180" s="559"/>
      <c r="FB180" s="559"/>
      <c r="FC180" s="559"/>
      <c r="FD180" s="559"/>
      <c r="FE180" s="559"/>
      <c r="FF180" s="559"/>
      <c r="FG180" s="559"/>
      <c r="FH180" s="559"/>
      <c r="FI180" s="559"/>
      <c r="FJ180" s="559"/>
      <c r="FK180" s="559"/>
      <c r="FL180" s="559"/>
      <c r="FM180" s="559"/>
      <c r="FN180" s="559"/>
      <c r="FO180" s="559"/>
      <c r="FP180" s="559"/>
      <c r="FQ180" s="559"/>
      <c r="FR180" s="559"/>
      <c r="FS180" s="559"/>
      <c r="FT180" s="559"/>
      <c r="FU180" s="559"/>
      <c r="FV180" s="559"/>
      <c r="FW180" s="559"/>
      <c r="FX180" s="559"/>
      <c r="FY180" s="559"/>
      <c r="FZ180" s="559"/>
      <c r="GA180" s="559"/>
      <c r="GB180" s="559"/>
      <c r="GC180" s="559"/>
      <c r="GD180" s="559"/>
      <c r="GE180" s="559"/>
      <c r="GF180" s="559"/>
      <c r="GG180" s="559"/>
      <c r="GH180" s="559"/>
    </row>
    <row r="181">
      <c r="A181" s="538"/>
      <c r="B181" s="156"/>
      <c r="C181" s="444"/>
      <c r="D181" s="614"/>
      <c r="E181" s="66"/>
      <c r="F181" s="642"/>
      <c r="G181" s="642"/>
      <c r="H181" s="615"/>
      <c r="I181" s="616" t="s">
        <v>365</v>
      </c>
      <c r="J181" s="624"/>
      <c r="K181" s="643"/>
      <c r="L181" s="640"/>
      <c r="M181" s="625"/>
      <c r="N181" s="617"/>
      <c r="O181" s="134"/>
      <c r="P181" s="57"/>
      <c r="Q181" s="57"/>
      <c r="S181" s="605"/>
      <c r="U181" s="573"/>
      <c r="V181" s="574"/>
      <c r="W181" s="618"/>
      <c r="X181" s="576">
        <v>0.0</v>
      </c>
      <c r="Y181" s="630">
        <v>0.0</v>
      </c>
      <c r="Z181" s="630" t="s">
        <v>365</v>
      </c>
      <c r="AA181" s="631" t="b">
        <v>0</v>
      </c>
      <c r="AB181" s="631"/>
      <c r="AC181" s="576"/>
      <c r="AD181" s="479">
        <v>0.0</v>
      </c>
      <c r="AE181" s="632"/>
      <c r="AF181" s="582" t="s">
        <v>365</v>
      </c>
      <c r="AG181" s="583"/>
      <c r="AH181" s="584"/>
      <c r="AI181" s="583"/>
      <c r="AJ181" s="585"/>
      <c r="AK181" s="583"/>
      <c r="AL181" s="584"/>
      <c r="AM181" s="583"/>
      <c r="AN181" s="585"/>
      <c r="AO181" s="583"/>
      <c r="AP181" s="584"/>
      <c r="AQ181" s="583"/>
      <c r="AR181" s="585"/>
      <c r="AS181" s="583"/>
      <c r="AT181" s="584"/>
      <c r="AU181" s="583"/>
      <c r="AV181" s="585"/>
      <c r="AW181" s="583"/>
      <c r="AX181" s="584"/>
      <c r="AY181" s="583"/>
      <c r="AZ181" s="585"/>
      <c r="BA181" s="583"/>
      <c r="BB181" s="584"/>
      <c r="BC181" s="583"/>
      <c r="BD181" s="585"/>
      <c r="BE181" s="583"/>
      <c r="BF181" s="584"/>
      <c r="BG181" s="583"/>
      <c r="BH181" s="585"/>
      <c r="BI181" s="583"/>
      <c r="BJ181" s="584"/>
      <c r="BK181" s="583"/>
      <c r="BL181" s="585"/>
      <c r="BM181" s="583"/>
      <c r="BN181" s="584"/>
      <c r="BO181" s="583"/>
      <c r="BP181" s="585"/>
      <c r="BQ181" s="583"/>
      <c r="BR181" s="584"/>
      <c r="BS181" s="583"/>
      <c r="BT181" s="586"/>
      <c r="BU181" s="540"/>
      <c r="BV181" s="540"/>
      <c r="BW181" s="540"/>
      <c r="BX181" s="538"/>
      <c r="BY181" s="538"/>
      <c r="BZ181" s="592"/>
      <c r="CA181" s="633"/>
      <c r="CB181" s="592" t="s">
        <v>365</v>
      </c>
      <c r="CC181" s="592">
        <v>0.0</v>
      </c>
      <c r="CD181" s="592" t="s">
        <v>365</v>
      </c>
      <c r="CE181" s="592">
        <v>0.0</v>
      </c>
      <c r="CF181" s="592"/>
      <c r="CG181" s="592">
        <v>0.0</v>
      </c>
      <c r="CH181" s="592"/>
      <c r="CI181" s="633"/>
      <c r="CJ181" s="592">
        <v>0.0</v>
      </c>
      <c r="CK181" s="479" t="s">
        <v>365</v>
      </c>
      <c r="CL181" s="592"/>
      <c r="CM181" s="593"/>
      <c r="CN181" s="538"/>
      <c r="CO181" s="538"/>
      <c r="CP181" s="538"/>
      <c r="CQ181" s="538"/>
      <c r="CR181" s="538"/>
      <c r="CS181" s="538"/>
      <c r="CT181" s="538"/>
      <c r="CU181" s="538"/>
      <c r="CV181" s="538"/>
      <c r="CW181" s="538"/>
      <c r="CX181" s="538"/>
      <c r="CY181" s="538"/>
      <c r="CZ181" s="538"/>
      <c r="DA181" s="538"/>
      <c r="DB181" s="538"/>
      <c r="DC181" s="538"/>
      <c r="DD181" s="538"/>
      <c r="DE181" s="538"/>
      <c r="DF181" s="538"/>
      <c r="DG181" s="538"/>
      <c r="DH181" s="538"/>
      <c r="DI181" s="538"/>
      <c r="DJ181" s="538"/>
      <c r="DK181" s="538"/>
      <c r="DL181" s="538"/>
      <c r="DM181" s="538"/>
      <c r="DN181" s="538"/>
      <c r="DO181" s="538"/>
      <c r="DP181" s="538"/>
      <c r="DQ181" s="538"/>
      <c r="DR181" s="538"/>
      <c r="DS181" s="538"/>
      <c r="DT181" s="538"/>
      <c r="DU181" s="538"/>
      <c r="DV181" s="538"/>
      <c r="DW181" s="538"/>
      <c r="DX181" s="538"/>
      <c r="DY181" s="538"/>
      <c r="DZ181" s="538"/>
      <c r="EA181" s="538"/>
      <c r="EB181" s="538"/>
      <c r="EC181" s="538"/>
      <c r="ED181" s="538"/>
      <c r="EE181" s="538"/>
      <c r="EF181" s="538"/>
      <c r="EG181" s="538"/>
      <c r="EH181" s="538"/>
      <c r="EI181" s="538"/>
      <c r="EJ181" s="538"/>
      <c r="EK181" s="538"/>
      <c r="EL181" s="538"/>
      <c r="EM181" s="538"/>
      <c r="EN181" s="538"/>
      <c r="EO181" s="538"/>
      <c r="EP181" s="538"/>
      <c r="EQ181" s="538"/>
      <c r="ER181" s="538"/>
      <c r="ES181" s="538"/>
      <c r="ET181" s="538"/>
      <c r="EU181" s="538"/>
      <c r="EV181" s="538"/>
      <c r="EW181" s="538"/>
      <c r="EX181" s="559"/>
      <c r="EY181" s="559"/>
      <c r="EZ181" s="559"/>
      <c r="FA181" s="559"/>
      <c r="FB181" s="559"/>
      <c r="FC181" s="559"/>
      <c r="FD181" s="559"/>
      <c r="FE181" s="559"/>
      <c r="FF181" s="559"/>
      <c r="FG181" s="559"/>
      <c r="FH181" s="559"/>
      <c r="FI181" s="559"/>
      <c r="FJ181" s="559"/>
      <c r="FK181" s="559"/>
      <c r="FL181" s="559"/>
      <c r="FM181" s="559"/>
      <c r="FN181" s="559"/>
      <c r="FO181" s="559"/>
      <c r="FP181" s="559"/>
      <c r="FQ181" s="559"/>
      <c r="FR181" s="559"/>
      <c r="FS181" s="559"/>
      <c r="FT181" s="559"/>
      <c r="FU181" s="559"/>
      <c r="FV181" s="559"/>
      <c r="FW181" s="559"/>
      <c r="FX181" s="559"/>
      <c r="FY181" s="559"/>
      <c r="FZ181" s="559"/>
      <c r="GA181" s="559"/>
      <c r="GB181" s="559"/>
      <c r="GC181" s="559"/>
      <c r="GD181" s="559"/>
      <c r="GE181" s="559"/>
      <c r="GF181" s="559"/>
      <c r="GG181" s="559"/>
      <c r="GH181" s="559"/>
    </row>
    <row r="182">
      <c r="A182" s="538"/>
      <c r="B182" s="156"/>
      <c r="C182" s="444"/>
      <c r="D182" s="614"/>
      <c r="E182" s="68"/>
      <c r="F182" s="644"/>
      <c r="G182" s="644"/>
      <c r="H182" s="627"/>
      <c r="I182" s="622" t="s">
        <v>365</v>
      </c>
      <c r="J182" s="607"/>
      <c r="K182" s="641"/>
      <c r="L182" s="628"/>
      <c r="M182" s="626"/>
      <c r="N182" s="619"/>
      <c r="O182" s="560"/>
      <c r="P182" s="47"/>
      <c r="Q182" s="47"/>
      <c r="S182" s="572"/>
      <c r="U182" s="573"/>
      <c r="V182" s="574"/>
      <c r="W182" s="618"/>
      <c r="X182" s="576">
        <v>0.0</v>
      </c>
      <c r="Y182" s="630">
        <v>0.0</v>
      </c>
      <c r="Z182" s="630" t="s">
        <v>365</v>
      </c>
      <c r="AA182" s="631" t="b">
        <v>0</v>
      </c>
      <c r="AB182" s="631"/>
      <c r="AC182" s="576"/>
      <c r="AD182" s="479">
        <v>0.0</v>
      </c>
      <c r="AE182" s="632"/>
      <c r="AF182" s="582" t="s">
        <v>365</v>
      </c>
      <c r="AG182" s="583"/>
      <c r="AH182" s="584"/>
      <c r="AI182" s="583"/>
      <c r="AJ182" s="585"/>
      <c r="AK182" s="583"/>
      <c r="AL182" s="584"/>
      <c r="AM182" s="583"/>
      <c r="AN182" s="585"/>
      <c r="AO182" s="583"/>
      <c r="AP182" s="584"/>
      <c r="AQ182" s="583"/>
      <c r="AR182" s="585"/>
      <c r="AS182" s="583"/>
      <c r="AT182" s="584"/>
      <c r="AU182" s="583"/>
      <c r="AV182" s="585"/>
      <c r="AW182" s="583"/>
      <c r="AX182" s="584"/>
      <c r="AY182" s="583"/>
      <c r="AZ182" s="585"/>
      <c r="BA182" s="583"/>
      <c r="BB182" s="584"/>
      <c r="BC182" s="583"/>
      <c r="BD182" s="585"/>
      <c r="BE182" s="583"/>
      <c r="BF182" s="584"/>
      <c r="BG182" s="583"/>
      <c r="BH182" s="585"/>
      <c r="BI182" s="583"/>
      <c r="BJ182" s="584"/>
      <c r="BK182" s="583"/>
      <c r="BL182" s="585"/>
      <c r="BM182" s="583"/>
      <c r="BN182" s="584"/>
      <c r="BO182" s="583"/>
      <c r="BP182" s="585"/>
      <c r="BQ182" s="583"/>
      <c r="BR182" s="584"/>
      <c r="BS182" s="583"/>
      <c r="BT182" s="586"/>
      <c r="BU182" s="540"/>
      <c r="BV182" s="540"/>
      <c r="BW182" s="540"/>
      <c r="BX182" s="538"/>
      <c r="BY182" s="538"/>
      <c r="BZ182" s="592"/>
      <c r="CA182" s="633"/>
      <c r="CB182" s="592" t="s">
        <v>365</v>
      </c>
      <c r="CC182" s="592">
        <v>0.0</v>
      </c>
      <c r="CD182" s="592" t="s">
        <v>365</v>
      </c>
      <c r="CE182" s="592">
        <v>0.0</v>
      </c>
      <c r="CF182" s="592"/>
      <c r="CG182" s="592">
        <v>0.0</v>
      </c>
      <c r="CH182" s="592"/>
      <c r="CI182" s="633"/>
      <c r="CJ182" s="592">
        <v>0.0</v>
      </c>
      <c r="CK182" s="479" t="s">
        <v>365</v>
      </c>
      <c r="CL182" s="592"/>
      <c r="CM182" s="593"/>
      <c r="CN182" s="538"/>
      <c r="CO182" s="538"/>
      <c r="CP182" s="538"/>
      <c r="CQ182" s="538"/>
      <c r="CR182" s="538"/>
      <c r="CS182" s="538"/>
      <c r="CT182" s="538"/>
      <c r="CU182" s="538"/>
      <c r="CV182" s="538"/>
      <c r="CW182" s="538"/>
      <c r="CX182" s="538"/>
      <c r="CY182" s="538"/>
      <c r="CZ182" s="538"/>
      <c r="DA182" s="538"/>
      <c r="DB182" s="538"/>
      <c r="DC182" s="538"/>
      <c r="DD182" s="538"/>
      <c r="DE182" s="538"/>
      <c r="DF182" s="538"/>
      <c r="DG182" s="538"/>
      <c r="DH182" s="538"/>
      <c r="DI182" s="538"/>
      <c r="DJ182" s="538"/>
      <c r="DK182" s="538"/>
      <c r="DL182" s="538"/>
      <c r="DM182" s="538"/>
      <c r="DN182" s="538"/>
      <c r="DO182" s="538"/>
      <c r="DP182" s="538"/>
      <c r="DQ182" s="538"/>
      <c r="DR182" s="538"/>
      <c r="DS182" s="538"/>
      <c r="DT182" s="538"/>
      <c r="DU182" s="538"/>
      <c r="DV182" s="538"/>
      <c r="DW182" s="538"/>
      <c r="DX182" s="538"/>
      <c r="DY182" s="538"/>
      <c r="DZ182" s="538"/>
      <c r="EA182" s="538"/>
      <c r="EB182" s="538"/>
      <c r="EC182" s="538"/>
      <c r="ED182" s="538"/>
      <c r="EE182" s="538"/>
      <c r="EF182" s="538"/>
      <c r="EG182" s="538"/>
      <c r="EH182" s="538"/>
      <c r="EI182" s="538"/>
      <c r="EJ182" s="538"/>
      <c r="EK182" s="538"/>
      <c r="EL182" s="538"/>
      <c r="EM182" s="538"/>
      <c r="EN182" s="538"/>
      <c r="EO182" s="538"/>
      <c r="EP182" s="538"/>
      <c r="EQ182" s="538"/>
      <c r="ER182" s="538"/>
      <c r="ES182" s="538"/>
      <c r="ET182" s="538"/>
      <c r="EU182" s="538"/>
      <c r="EV182" s="538"/>
      <c r="EW182" s="538"/>
      <c r="EX182" s="559"/>
      <c r="EY182" s="559"/>
      <c r="EZ182" s="559"/>
      <c r="FA182" s="559"/>
      <c r="FB182" s="559"/>
      <c r="FC182" s="559"/>
      <c r="FD182" s="559"/>
      <c r="FE182" s="559"/>
      <c r="FF182" s="559"/>
      <c r="FG182" s="559"/>
      <c r="FH182" s="559"/>
      <c r="FI182" s="559"/>
      <c r="FJ182" s="559"/>
      <c r="FK182" s="559"/>
      <c r="FL182" s="559"/>
      <c r="FM182" s="559"/>
      <c r="FN182" s="559"/>
      <c r="FO182" s="559"/>
      <c r="FP182" s="559"/>
      <c r="FQ182" s="559"/>
      <c r="FR182" s="559"/>
      <c r="FS182" s="559"/>
      <c r="FT182" s="559"/>
      <c r="FU182" s="559"/>
      <c r="FV182" s="559"/>
      <c r="FW182" s="559"/>
      <c r="FX182" s="559"/>
      <c r="FY182" s="559"/>
      <c r="FZ182" s="559"/>
      <c r="GA182" s="559"/>
      <c r="GB182" s="559"/>
      <c r="GC182" s="559"/>
      <c r="GD182" s="559"/>
      <c r="GE182" s="559"/>
      <c r="GF182" s="559"/>
      <c r="GG182" s="559"/>
      <c r="GH182" s="559"/>
    </row>
    <row r="183">
      <c r="A183" s="538"/>
      <c r="B183" s="156"/>
      <c r="C183" s="444"/>
      <c r="D183" s="614"/>
      <c r="E183" s="66"/>
      <c r="F183" s="642"/>
      <c r="G183" s="642"/>
      <c r="H183" s="615"/>
      <c r="I183" s="616" t="s">
        <v>365</v>
      </c>
      <c r="J183" s="624"/>
      <c r="K183" s="643"/>
      <c r="L183" s="640"/>
      <c r="M183" s="625"/>
      <c r="N183" s="617"/>
      <c r="O183" s="134"/>
      <c r="P183" s="57"/>
      <c r="Q183" s="57"/>
      <c r="S183" s="605"/>
      <c r="U183" s="573"/>
      <c r="V183" s="574"/>
      <c r="W183" s="618"/>
      <c r="X183" s="576">
        <v>0.0</v>
      </c>
      <c r="Y183" s="630">
        <v>0.0</v>
      </c>
      <c r="Z183" s="630" t="s">
        <v>365</v>
      </c>
      <c r="AA183" s="631" t="b">
        <v>0</v>
      </c>
      <c r="AB183" s="631"/>
      <c r="AC183" s="576"/>
      <c r="AD183" s="479">
        <v>0.0</v>
      </c>
      <c r="AE183" s="632"/>
      <c r="AF183" s="582" t="s">
        <v>365</v>
      </c>
      <c r="AG183" s="583"/>
      <c r="AH183" s="584"/>
      <c r="AI183" s="583"/>
      <c r="AJ183" s="585"/>
      <c r="AK183" s="583"/>
      <c r="AL183" s="584"/>
      <c r="AM183" s="583"/>
      <c r="AN183" s="585"/>
      <c r="AO183" s="583"/>
      <c r="AP183" s="584"/>
      <c r="AQ183" s="583"/>
      <c r="AR183" s="585"/>
      <c r="AS183" s="583"/>
      <c r="AT183" s="584"/>
      <c r="AU183" s="583"/>
      <c r="AV183" s="585"/>
      <c r="AW183" s="583"/>
      <c r="AX183" s="584"/>
      <c r="AY183" s="583"/>
      <c r="AZ183" s="585"/>
      <c r="BA183" s="583"/>
      <c r="BB183" s="584"/>
      <c r="BC183" s="583"/>
      <c r="BD183" s="585"/>
      <c r="BE183" s="583"/>
      <c r="BF183" s="584"/>
      <c r="BG183" s="583"/>
      <c r="BH183" s="585"/>
      <c r="BI183" s="583"/>
      <c r="BJ183" s="584"/>
      <c r="BK183" s="583"/>
      <c r="BL183" s="585"/>
      <c r="BM183" s="583"/>
      <c r="BN183" s="584"/>
      <c r="BO183" s="583"/>
      <c r="BP183" s="585"/>
      <c r="BQ183" s="583"/>
      <c r="BR183" s="584"/>
      <c r="BS183" s="583"/>
      <c r="BT183" s="586"/>
      <c r="BU183" s="540"/>
      <c r="BV183" s="540"/>
      <c r="BW183" s="540"/>
      <c r="BX183" s="538"/>
      <c r="BY183" s="538"/>
      <c r="BZ183" s="592"/>
      <c r="CA183" s="633"/>
      <c r="CB183" s="592" t="s">
        <v>365</v>
      </c>
      <c r="CC183" s="592">
        <v>0.0</v>
      </c>
      <c r="CD183" s="592" t="s">
        <v>365</v>
      </c>
      <c r="CE183" s="592">
        <v>0.0</v>
      </c>
      <c r="CF183" s="592"/>
      <c r="CG183" s="592">
        <v>0.0</v>
      </c>
      <c r="CH183" s="592"/>
      <c r="CI183" s="633"/>
      <c r="CJ183" s="592">
        <v>0.0</v>
      </c>
      <c r="CK183" s="479" t="s">
        <v>365</v>
      </c>
      <c r="CL183" s="592"/>
      <c r="CM183" s="593"/>
      <c r="CN183" s="538"/>
      <c r="CO183" s="538"/>
      <c r="CP183" s="538"/>
      <c r="CQ183" s="538"/>
      <c r="CR183" s="538"/>
      <c r="CS183" s="538"/>
      <c r="CT183" s="538"/>
      <c r="CU183" s="538"/>
      <c r="CV183" s="538"/>
      <c r="CW183" s="538"/>
      <c r="CX183" s="538"/>
      <c r="CY183" s="538"/>
      <c r="CZ183" s="538"/>
      <c r="DA183" s="538"/>
      <c r="DB183" s="538"/>
      <c r="DC183" s="538"/>
      <c r="DD183" s="538"/>
      <c r="DE183" s="538"/>
      <c r="DF183" s="538"/>
      <c r="DG183" s="538"/>
      <c r="DH183" s="538"/>
      <c r="DI183" s="538"/>
      <c r="DJ183" s="538"/>
      <c r="DK183" s="538"/>
      <c r="DL183" s="538"/>
      <c r="DM183" s="538"/>
      <c r="DN183" s="538"/>
      <c r="DO183" s="538"/>
      <c r="DP183" s="538"/>
      <c r="DQ183" s="538"/>
      <c r="DR183" s="538"/>
      <c r="DS183" s="538"/>
      <c r="DT183" s="538"/>
      <c r="DU183" s="538"/>
      <c r="DV183" s="538"/>
      <c r="DW183" s="538"/>
      <c r="DX183" s="538"/>
      <c r="DY183" s="538"/>
      <c r="DZ183" s="538"/>
      <c r="EA183" s="538"/>
      <c r="EB183" s="538"/>
      <c r="EC183" s="538"/>
      <c r="ED183" s="538"/>
      <c r="EE183" s="538"/>
      <c r="EF183" s="538"/>
      <c r="EG183" s="538"/>
      <c r="EH183" s="538"/>
      <c r="EI183" s="538"/>
      <c r="EJ183" s="538"/>
      <c r="EK183" s="538"/>
      <c r="EL183" s="538"/>
      <c r="EM183" s="538"/>
      <c r="EN183" s="538"/>
      <c r="EO183" s="538"/>
      <c r="EP183" s="538"/>
      <c r="EQ183" s="538"/>
      <c r="ER183" s="538"/>
      <c r="ES183" s="538"/>
      <c r="ET183" s="538"/>
      <c r="EU183" s="538"/>
      <c r="EV183" s="538"/>
      <c r="EW183" s="538"/>
      <c r="EX183" s="559"/>
      <c r="EY183" s="559"/>
      <c r="EZ183" s="559"/>
      <c r="FA183" s="559"/>
      <c r="FB183" s="559"/>
      <c r="FC183" s="559"/>
      <c r="FD183" s="559"/>
      <c r="FE183" s="559"/>
      <c r="FF183" s="559"/>
      <c r="FG183" s="559"/>
      <c r="FH183" s="559"/>
      <c r="FI183" s="559"/>
      <c r="FJ183" s="559"/>
      <c r="FK183" s="559"/>
      <c r="FL183" s="559"/>
      <c r="FM183" s="559"/>
      <c r="FN183" s="559"/>
      <c r="FO183" s="559"/>
      <c r="FP183" s="559"/>
      <c r="FQ183" s="559"/>
      <c r="FR183" s="559"/>
      <c r="FS183" s="559"/>
      <c r="FT183" s="559"/>
      <c r="FU183" s="559"/>
      <c r="FV183" s="559"/>
      <c r="FW183" s="559"/>
      <c r="FX183" s="559"/>
      <c r="FY183" s="559"/>
      <c r="FZ183" s="559"/>
      <c r="GA183" s="559"/>
      <c r="GB183" s="559"/>
      <c r="GC183" s="559"/>
      <c r="GD183" s="559"/>
      <c r="GE183" s="559"/>
      <c r="GF183" s="559"/>
      <c r="GG183" s="559"/>
      <c r="GH183" s="559"/>
    </row>
    <row r="184">
      <c r="A184" s="538"/>
      <c r="B184" s="156"/>
      <c r="C184" s="444"/>
      <c r="D184" s="614"/>
      <c r="E184" s="68"/>
      <c r="F184" s="644"/>
      <c r="G184" s="644"/>
      <c r="H184" s="627"/>
      <c r="I184" s="622" t="s">
        <v>365</v>
      </c>
      <c r="J184" s="607"/>
      <c r="K184" s="641"/>
      <c r="L184" s="628"/>
      <c r="M184" s="626"/>
      <c r="N184" s="619"/>
      <c r="O184" s="560"/>
      <c r="P184" s="47"/>
      <c r="Q184" s="47"/>
      <c r="S184" s="572"/>
      <c r="U184" s="573"/>
      <c r="V184" s="574"/>
      <c r="W184" s="618"/>
      <c r="X184" s="576">
        <v>0.0</v>
      </c>
      <c r="Y184" s="630">
        <v>0.0</v>
      </c>
      <c r="Z184" s="630" t="s">
        <v>365</v>
      </c>
      <c r="AA184" s="631" t="b">
        <v>0</v>
      </c>
      <c r="AB184" s="631"/>
      <c r="AC184" s="576"/>
      <c r="AD184" s="479">
        <v>0.0</v>
      </c>
      <c r="AE184" s="632"/>
      <c r="AF184" s="582" t="s">
        <v>365</v>
      </c>
      <c r="AG184" s="583"/>
      <c r="AH184" s="584"/>
      <c r="AI184" s="583"/>
      <c r="AJ184" s="585"/>
      <c r="AK184" s="583"/>
      <c r="AL184" s="584"/>
      <c r="AM184" s="583"/>
      <c r="AN184" s="585"/>
      <c r="AO184" s="583"/>
      <c r="AP184" s="584"/>
      <c r="AQ184" s="583"/>
      <c r="AR184" s="585"/>
      <c r="AS184" s="583"/>
      <c r="AT184" s="584"/>
      <c r="AU184" s="583"/>
      <c r="AV184" s="585"/>
      <c r="AW184" s="583"/>
      <c r="AX184" s="584"/>
      <c r="AY184" s="583"/>
      <c r="AZ184" s="585"/>
      <c r="BA184" s="583"/>
      <c r="BB184" s="584"/>
      <c r="BC184" s="583"/>
      <c r="BD184" s="585"/>
      <c r="BE184" s="583"/>
      <c r="BF184" s="584"/>
      <c r="BG184" s="583"/>
      <c r="BH184" s="585"/>
      <c r="BI184" s="583"/>
      <c r="BJ184" s="584"/>
      <c r="BK184" s="583"/>
      <c r="BL184" s="585"/>
      <c r="BM184" s="583"/>
      <c r="BN184" s="584"/>
      <c r="BO184" s="583"/>
      <c r="BP184" s="585"/>
      <c r="BQ184" s="583"/>
      <c r="BR184" s="584"/>
      <c r="BS184" s="583"/>
      <c r="BT184" s="586"/>
      <c r="BU184" s="540"/>
      <c r="BV184" s="540"/>
      <c r="BW184" s="540"/>
      <c r="BX184" s="538"/>
      <c r="BY184" s="538"/>
      <c r="BZ184" s="592"/>
      <c r="CA184" s="633"/>
      <c r="CB184" s="592" t="s">
        <v>365</v>
      </c>
      <c r="CC184" s="592">
        <v>0.0</v>
      </c>
      <c r="CD184" s="592" t="s">
        <v>365</v>
      </c>
      <c r="CE184" s="592">
        <v>0.0</v>
      </c>
      <c r="CF184" s="592"/>
      <c r="CG184" s="592">
        <v>0.0</v>
      </c>
      <c r="CH184" s="592"/>
      <c r="CI184" s="633"/>
      <c r="CJ184" s="592">
        <v>0.0</v>
      </c>
      <c r="CK184" s="479" t="s">
        <v>365</v>
      </c>
      <c r="CL184" s="592"/>
      <c r="CM184" s="593"/>
      <c r="CN184" s="538"/>
      <c r="CO184" s="538"/>
      <c r="CP184" s="538"/>
      <c r="CQ184" s="538"/>
      <c r="CR184" s="538"/>
      <c r="CS184" s="538"/>
      <c r="CT184" s="538"/>
      <c r="CU184" s="538"/>
      <c r="CV184" s="538"/>
      <c r="CW184" s="538"/>
      <c r="CX184" s="538"/>
      <c r="CY184" s="538"/>
      <c r="CZ184" s="538"/>
      <c r="DA184" s="538"/>
      <c r="DB184" s="538"/>
      <c r="DC184" s="538"/>
      <c r="DD184" s="538"/>
      <c r="DE184" s="538"/>
      <c r="DF184" s="538"/>
      <c r="DG184" s="538"/>
      <c r="DH184" s="538"/>
      <c r="DI184" s="538"/>
      <c r="DJ184" s="538"/>
      <c r="DK184" s="538"/>
      <c r="DL184" s="538"/>
      <c r="DM184" s="538"/>
      <c r="DN184" s="538"/>
      <c r="DO184" s="538"/>
      <c r="DP184" s="538"/>
      <c r="DQ184" s="538"/>
      <c r="DR184" s="538"/>
      <c r="DS184" s="538"/>
      <c r="DT184" s="538"/>
      <c r="DU184" s="538"/>
      <c r="DV184" s="538"/>
      <c r="DW184" s="538"/>
      <c r="DX184" s="538"/>
      <c r="DY184" s="538"/>
      <c r="DZ184" s="538"/>
      <c r="EA184" s="538"/>
      <c r="EB184" s="538"/>
      <c r="EC184" s="538"/>
      <c r="ED184" s="538"/>
      <c r="EE184" s="538"/>
      <c r="EF184" s="538"/>
      <c r="EG184" s="538"/>
      <c r="EH184" s="538"/>
      <c r="EI184" s="538"/>
      <c r="EJ184" s="538"/>
      <c r="EK184" s="538"/>
      <c r="EL184" s="538"/>
      <c r="EM184" s="538"/>
      <c r="EN184" s="538"/>
      <c r="EO184" s="538"/>
      <c r="EP184" s="538"/>
      <c r="EQ184" s="538"/>
      <c r="ER184" s="538"/>
      <c r="ES184" s="538"/>
      <c r="ET184" s="538"/>
      <c r="EU184" s="538"/>
      <c r="EV184" s="538"/>
      <c r="EW184" s="538"/>
      <c r="EX184" s="559"/>
      <c r="EY184" s="559"/>
      <c r="EZ184" s="559"/>
      <c r="FA184" s="559"/>
      <c r="FB184" s="559"/>
      <c r="FC184" s="559"/>
      <c r="FD184" s="559"/>
      <c r="FE184" s="559"/>
      <c r="FF184" s="559"/>
      <c r="FG184" s="559"/>
      <c r="FH184" s="559"/>
      <c r="FI184" s="559"/>
      <c r="FJ184" s="559"/>
      <c r="FK184" s="559"/>
      <c r="FL184" s="559"/>
      <c r="FM184" s="559"/>
      <c r="FN184" s="559"/>
      <c r="FO184" s="559"/>
      <c r="FP184" s="559"/>
      <c r="FQ184" s="559"/>
      <c r="FR184" s="559"/>
      <c r="FS184" s="559"/>
      <c r="FT184" s="559"/>
      <c r="FU184" s="559"/>
      <c r="FV184" s="559"/>
      <c r="FW184" s="559"/>
      <c r="FX184" s="559"/>
      <c r="FY184" s="559"/>
      <c r="FZ184" s="559"/>
      <c r="GA184" s="559"/>
      <c r="GB184" s="559"/>
      <c r="GC184" s="559"/>
      <c r="GD184" s="559"/>
      <c r="GE184" s="559"/>
      <c r="GF184" s="559"/>
      <c r="GG184" s="559"/>
      <c r="GH184" s="559"/>
    </row>
    <row r="185">
      <c r="A185" s="538"/>
      <c r="B185" s="156"/>
      <c r="C185" s="444"/>
      <c r="D185" s="614"/>
      <c r="E185" s="66"/>
      <c r="F185" s="642"/>
      <c r="G185" s="642"/>
      <c r="H185" s="615"/>
      <c r="I185" s="616" t="s">
        <v>365</v>
      </c>
      <c r="J185" s="624"/>
      <c r="K185" s="643"/>
      <c r="L185" s="640"/>
      <c r="M185" s="625"/>
      <c r="N185" s="617"/>
      <c r="O185" s="134"/>
      <c r="P185" s="57"/>
      <c r="Q185" s="57"/>
      <c r="S185" s="605"/>
      <c r="U185" s="573"/>
      <c r="V185" s="574"/>
      <c r="W185" s="618"/>
      <c r="X185" s="576">
        <v>0.0</v>
      </c>
      <c r="Y185" s="630">
        <v>0.0</v>
      </c>
      <c r="Z185" s="630" t="s">
        <v>365</v>
      </c>
      <c r="AA185" s="631" t="b">
        <v>0</v>
      </c>
      <c r="AB185" s="631"/>
      <c r="AC185" s="576"/>
      <c r="AD185" s="479">
        <v>0.0</v>
      </c>
      <c r="AE185" s="632"/>
      <c r="AF185" s="582" t="s">
        <v>365</v>
      </c>
      <c r="AG185" s="583"/>
      <c r="AH185" s="584"/>
      <c r="AI185" s="583"/>
      <c r="AJ185" s="585"/>
      <c r="AK185" s="583"/>
      <c r="AL185" s="584"/>
      <c r="AM185" s="583"/>
      <c r="AN185" s="585"/>
      <c r="AO185" s="583"/>
      <c r="AP185" s="584"/>
      <c r="AQ185" s="583"/>
      <c r="AR185" s="585"/>
      <c r="AS185" s="583"/>
      <c r="AT185" s="584"/>
      <c r="AU185" s="583"/>
      <c r="AV185" s="585"/>
      <c r="AW185" s="583"/>
      <c r="AX185" s="584"/>
      <c r="AY185" s="583"/>
      <c r="AZ185" s="585"/>
      <c r="BA185" s="583"/>
      <c r="BB185" s="584"/>
      <c r="BC185" s="583"/>
      <c r="BD185" s="585"/>
      <c r="BE185" s="583"/>
      <c r="BF185" s="584"/>
      <c r="BG185" s="583"/>
      <c r="BH185" s="585"/>
      <c r="BI185" s="583"/>
      <c r="BJ185" s="584"/>
      <c r="BK185" s="583"/>
      <c r="BL185" s="585"/>
      <c r="BM185" s="583"/>
      <c r="BN185" s="584"/>
      <c r="BO185" s="583"/>
      <c r="BP185" s="585"/>
      <c r="BQ185" s="583"/>
      <c r="BR185" s="584"/>
      <c r="BS185" s="583"/>
      <c r="BT185" s="586"/>
      <c r="BU185" s="540"/>
      <c r="BV185" s="540"/>
      <c r="BW185" s="540"/>
      <c r="BX185" s="538"/>
      <c r="BY185" s="538"/>
      <c r="BZ185" s="592"/>
      <c r="CA185" s="633"/>
      <c r="CB185" s="592" t="s">
        <v>365</v>
      </c>
      <c r="CC185" s="592">
        <v>0.0</v>
      </c>
      <c r="CD185" s="592" t="s">
        <v>365</v>
      </c>
      <c r="CE185" s="592">
        <v>0.0</v>
      </c>
      <c r="CF185" s="592"/>
      <c r="CG185" s="592">
        <v>0.0</v>
      </c>
      <c r="CH185" s="592"/>
      <c r="CI185" s="633"/>
      <c r="CJ185" s="592">
        <v>0.0</v>
      </c>
      <c r="CK185" s="479" t="s">
        <v>365</v>
      </c>
      <c r="CL185" s="592"/>
      <c r="CM185" s="593"/>
      <c r="CN185" s="538"/>
      <c r="CO185" s="538"/>
      <c r="CP185" s="538"/>
      <c r="CQ185" s="538"/>
      <c r="CR185" s="538"/>
      <c r="CS185" s="538"/>
      <c r="CT185" s="538"/>
      <c r="CU185" s="538"/>
      <c r="CV185" s="538"/>
      <c r="CW185" s="538"/>
      <c r="CX185" s="538"/>
      <c r="CY185" s="538"/>
      <c r="CZ185" s="538"/>
      <c r="DA185" s="538"/>
      <c r="DB185" s="538"/>
      <c r="DC185" s="538"/>
      <c r="DD185" s="538"/>
      <c r="DE185" s="538"/>
      <c r="DF185" s="538"/>
      <c r="DG185" s="538"/>
      <c r="DH185" s="538"/>
      <c r="DI185" s="538"/>
      <c r="DJ185" s="538"/>
      <c r="DK185" s="538"/>
      <c r="DL185" s="538"/>
      <c r="DM185" s="538"/>
      <c r="DN185" s="538"/>
      <c r="DO185" s="538"/>
      <c r="DP185" s="538"/>
      <c r="DQ185" s="538"/>
      <c r="DR185" s="538"/>
      <c r="DS185" s="538"/>
      <c r="DT185" s="538"/>
      <c r="DU185" s="538"/>
      <c r="DV185" s="538"/>
      <c r="DW185" s="538"/>
      <c r="DX185" s="538"/>
      <c r="DY185" s="538"/>
      <c r="DZ185" s="538"/>
      <c r="EA185" s="538"/>
      <c r="EB185" s="538"/>
      <c r="EC185" s="538"/>
      <c r="ED185" s="538"/>
      <c r="EE185" s="538"/>
      <c r="EF185" s="538"/>
      <c r="EG185" s="538"/>
      <c r="EH185" s="538"/>
      <c r="EI185" s="538"/>
      <c r="EJ185" s="538"/>
      <c r="EK185" s="538"/>
      <c r="EL185" s="538"/>
      <c r="EM185" s="538"/>
      <c r="EN185" s="538"/>
      <c r="EO185" s="538"/>
      <c r="EP185" s="538"/>
      <c r="EQ185" s="538"/>
      <c r="ER185" s="538"/>
      <c r="ES185" s="538"/>
      <c r="ET185" s="538"/>
      <c r="EU185" s="538"/>
      <c r="EV185" s="538"/>
      <c r="EW185" s="538"/>
      <c r="EX185" s="559"/>
      <c r="EY185" s="559"/>
      <c r="EZ185" s="559"/>
      <c r="FA185" s="559"/>
      <c r="FB185" s="559"/>
      <c r="FC185" s="559"/>
      <c r="FD185" s="559"/>
      <c r="FE185" s="559"/>
      <c r="FF185" s="559"/>
      <c r="FG185" s="559"/>
      <c r="FH185" s="559"/>
      <c r="FI185" s="559"/>
      <c r="FJ185" s="559"/>
      <c r="FK185" s="559"/>
      <c r="FL185" s="559"/>
      <c r="FM185" s="559"/>
      <c r="FN185" s="559"/>
      <c r="FO185" s="559"/>
      <c r="FP185" s="559"/>
      <c r="FQ185" s="559"/>
      <c r="FR185" s="559"/>
      <c r="FS185" s="559"/>
      <c r="FT185" s="559"/>
      <c r="FU185" s="559"/>
      <c r="FV185" s="559"/>
      <c r="FW185" s="559"/>
      <c r="FX185" s="559"/>
      <c r="FY185" s="559"/>
      <c r="FZ185" s="559"/>
      <c r="GA185" s="559"/>
      <c r="GB185" s="559"/>
      <c r="GC185" s="559"/>
      <c r="GD185" s="559"/>
      <c r="GE185" s="559"/>
      <c r="GF185" s="559"/>
      <c r="GG185" s="559"/>
      <c r="GH185" s="559"/>
    </row>
    <row r="186">
      <c r="A186" s="538"/>
      <c r="B186" s="156"/>
      <c r="C186" s="444"/>
      <c r="D186" s="614"/>
      <c r="E186" s="645"/>
      <c r="F186" s="646"/>
      <c r="G186" s="646"/>
      <c r="H186" s="647"/>
      <c r="I186" s="648" t="s">
        <v>365</v>
      </c>
      <c r="J186" s="649"/>
      <c r="K186" s="650"/>
      <c r="L186" s="651"/>
      <c r="M186" s="652"/>
      <c r="N186" s="653"/>
      <c r="O186" s="654"/>
      <c r="P186" s="655"/>
      <c r="Q186" s="655"/>
      <c r="S186" s="572"/>
      <c r="U186" s="573"/>
      <c r="V186" s="574"/>
      <c r="W186" s="618"/>
      <c r="X186" s="576">
        <v>0.0</v>
      </c>
      <c r="Y186" s="630">
        <v>0.0</v>
      </c>
      <c r="Z186" s="630" t="s">
        <v>365</v>
      </c>
      <c r="AA186" s="631" t="b">
        <v>0</v>
      </c>
      <c r="AB186" s="631"/>
      <c r="AC186" s="576"/>
      <c r="AD186" s="479">
        <v>0.0</v>
      </c>
      <c r="AE186" s="632"/>
      <c r="AF186" s="656" t="s">
        <v>365</v>
      </c>
      <c r="AG186" s="583"/>
      <c r="AH186" s="584"/>
      <c r="AI186" s="583"/>
      <c r="AJ186" s="585"/>
      <c r="AK186" s="583"/>
      <c r="AL186" s="584"/>
      <c r="AM186" s="583"/>
      <c r="AN186" s="585"/>
      <c r="AO186" s="583"/>
      <c r="AP186" s="584"/>
      <c r="AQ186" s="583"/>
      <c r="AR186" s="585"/>
      <c r="AS186" s="583"/>
      <c r="AT186" s="584"/>
      <c r="AU186" s="583"/>
      <c r="AV186" s="585"/>
      <c r="AW186" s="583"/>
      <c r="AX186" s="584"/>
      <c r="AY186" s="583"/>
      <c r="AZ186" s="585"/>
      <c r="BA186" s="583"/>
      <c r="BB186" s="584"/>
      <c r="BC186" s="583"/>
      <c r="BD186" s="585"/>
      <c r="BE186" s="583"/>
      <c r="BF186" s="584"/>
      <c r="BG186" s="583"/>
      <c r="BH186" s="585"/>
      <c r="BI186" s="583"/>
      <c r="BJ186" s="584"/>
      <c r="BK186" s="583"/>
      <c r="BL186" s="585"/>
      <c r="BM186" s="583"/>
      <c r="BN186" s="584"/>
      <c r="BO186" s="583"/>
      <c r="BP186" s="585"/>
      <c r="BQ186" s="583"/>
      <c r="BR186" s="584"/>
      <c r="BS186" s="583"/>
      <c r="BT186" s="586"/>
      <c r="BU186" s="540"/>
      <c r="BV186" s="540"/>
      <c r="BW186" s="540"/>
      <c r="BX186" s="538"/>
      <c r="BY186" s="538"/>
      <c r="BZ186" s="592"/>
      <c r="CA186" s="633"/>
      <c r="CB186" s="592" t="s">
        <v>365</v>
      </c>
      <c r="CC186" s="592">
        <v>0.0</v>
      </c>
      <c r="CD186" s="592" t="s">
        <v>365</v>
      </c>
      <c r="CE186" s="592">
        <v>0.0</v>
      </c>
      <c r="CF186" s="592"/>
      <c r="CG186" s="592">
        <v>0.0</v>
      </c>
      <c r="CH186" s="592"/>
      <c r="CI186" s="633"/>
      <c r="CJ186" s="592">
        <v>0.0</v>
      </c>
      <c r="CK186" s="479" t="s">
        <v>365</v>
      </c>
      <c r="CL186" s="657"/>
      <c r="CM186" s="658"/>
      <c r="CN186" s="538"/>
      <c r="CO186" s="538"/>
      <c r="CP186" s="538"/>
      <c r="CQ186" s="538"/>
      <c r="CR186" s="538"/>
      <c r="CS186" s="538"/>
      <c r="CT186" s="538"/>
      <c r="CU186" s="538"/>
      <c r="CV186" s="538"/>
      <c r="CW186" s="538"/>
      <c r="CX186" s="538"/>
      <c r="CY186" s="538"/>
      <c r="CZ186" s="538"/>
      <c r="DA186" s="538"/>
      <c r="DB186" s="538"/>
      <c r="DC186" s="538"/>
      <c r="DD186" s="538"/>
      <c r="DE186" s="538"/>
      <c r="DF186" s="538"/>
      <c r="DG186" s="538"/>
      <c r="DH186" s="538"/>
      <c r="DI186" s="538"/>
      <c r="DJ186" s="538"/>
      <c r="DK186" s="538"/>
      <c r="DL186" s="538"/>
      <c r="DM186" s="538"/>
      <c r="DN186" s="538"/>
      <c r="DO186" s="538"/>
      <c r="DP186" s="538"/>
      <c r="DQ186" s="538"/>
      <c r="DR186" s="538"/>
      <c r="DS186" s="538"/>
      <c r="DT186" s="538"/>
      <c r="DU186" s="538"/>
      <c r="DV186" s="538"/>
      <c r="DW186" s="538"/>
      <c r="DX186" s="538"/>
      <c r="DY186" s="538"/>
      <c r="DZ186" s="538"/>
      <c r="EA186" s="538"/>
      <c r="EB186" s="538"/>
      <c r="EC186" s="538"/>
      <c r="ED186" s="538"/>
      <c r="EE186" s="538"/>
      <c r="EF186" s="538"/>
      <c r="EG186" s="538"/>
      <c r="EH186" s="538"/>
      <c r="EI186" s="538"/>
      <c r="EJ186" s="538"/>
      <c r="EK186" s="538"/>
      <c r="EL186" s="538"/>
      <c r="EM186" s="538"/>
      <c r="EN186" s="538"/>
      <c r="EO186" s="538"/>
      <c r="EP186" s="538"/>
      <c r="EQ186" s="538"/>
      <c r="ER186" s="538"/>
      <c r="ES186" s="538"/>
      <c r="ET186" s="538"/>
      <c r="EU186" s="538"/>
      <c r="EV186" s="538"/>
      <c r="EW186" s="538"/>
      <c r="EX186" s="559"/>
      <c r="EY186" s="559"/>
      <c r="EZ186" s="559"/>
      <c r="FA186" s="559"/>
      <c r="FB186" s="559"/>
      <c r="FC186" s="559"/>
      <c r="FD186" s="559"/>
      <c r="FE186" s="559"/>
      <c r="FF186" s="559"/>
      <c r="FG186" s="559"/>
      <c r="FH186" s="559"/>
      <c r="FI186" s="559"/>
      <c r="FJ186" s="559"/>
      <c r="FK186" s="559"/>
      <c r="FL186" s="559"/>
      <c r="FM186" s="559"/>
      <c r="FN186" s="559"/>
      <c r="FO186" s="559"/>
      <c r="FP186" s="559"/>
      <c r="FQ186" s="559"/>
      <c r="FR186" s="559"/>
      <c r="FS186" s="559"/>
      <c r="FT186" s="559"/>
      <c r="FU186" s="559"/>
      <c r="FV186" s="559"/>
      <c r="FW186" s="559"/>
      <c r="FX186" s="559"/>
      <c r="FY186" s="559"/>
      <c r="FZ186" s="559"/>
      <c r="GA186" s="559"/>
      <c r="GB186" s="559"/>
      <c r="GC186" s="559"/>
      <c r="GD186" s="559"/>
      <c r="GE186" s="559"/>
      <c r="GF186" s="559"/>
      <c r="GG186" s="559"/>
      <c r="GH186" s="559"/>
    </row>
  </sheetData>
  <mergeCells count="479">
    <mergeCell ref="AW8:AZ8"/>
    <mergeCell ref="BA8:BD8"/>
    <mergeCell ref="BE8:BH8"/>
    <mergeCell ref="BI8:BL8"/>
    <mergeCell ref="BM8:BQ8"/>
    <mergeCell ref="BR8:BT8"/>
    <mergeCell ref="BE9:BH9"/>
    <mergeCell ref="BI9:BL9"/>
    <mergeCell ref="BU8:BV8"/>
    <mergeCell ref="AG9:AJ9"/>
    <mergeCell ref="AK9:AN9"/>
    <mergeCell ref="AO9:AR9"/>
    <mergeCell ref="AS9:AV9"/>
    <mergeCell ref="AW9:AZ9"/>
    <mergeCell ref="BA9:BD9"/>
    <mergeCell ref="BM9:BQ9"/>
    <mergeCell ref="BS9:BT9"/>
    <mergeCell ref="AG10:AJ10"/>
    <mergeCell ref="AK10:AN10"/>
    <mergeCell ref="AO8:AR8"/>
    <mergeCell ref="AS8:AV8"/>
    <mergeCell ref="AO10:AR10"/>
    <mergeCell ref="AS10:AV10"/>
    <mergeCell ref="AW10:AZ10"/>
    <mergeCell ref="BA10:BD10"/>
    <mergeCell ref="BE10:BH10"/>
    <mergeCell ref="AG8:AJ8"/>
    <mergeCell ref="AK8:AN8"/>
    <mergeCell ref="AG11:AJ11"/>
    <mergeCell ref="AK11:AN11"/>
    <mergeCell ref="AO11:AR11"/>
    <mergeCell ref="AS11:AV11"/>
    <mergeCell ref="AW11:AZ11"/>
    <mergeCell ref="AG3:BW4"/>
    <mergeCell ref="AG5:BW5"/>
    <mergeCell ref="BE15:BH15"/>
    <mergeCell ref="BI15:BL15"/>
    <mergeCell ref="BS14:BT14"/>
    <mergeCell ref="AG15:AJ15"/>
    <mergeCell ref="AK15:AN15"/>
    <mergeCell ref="AO15:AR15"/>
    <mergeCell ref="AS15:AV15"/>
    <mergeCell ref="AW15:AZ15"/>
    <mergeCell ref="BA15:BD15"/>
    <mergeCell ref="BM15:BQ15"/>
    <mergeCell ref="BS15:BT15"/>
    <mergeCell ref="X1:AD15"/>
    <mergeCell ref="BZ1:CT5"/>
    <mergeCell ref="FZ1:GB1"/>
    <mergeCell ref="GC1:GE1"/>
    <mergeCell ref="GF1:GH1"/>
    <mergeCell ref="E2:F11"/>
    <mergeCell ref="GF2:GH2"/>
    <mergeCell ref="BI11:BL11"/>
    <mergeCell ref="BM11:BQ11"/>
    <mergeCell ref="BE12:BH12"/>
    <mergeCell ref="BI12:BL12"/>
    <mergeCell ref="BS11:BT11"/>
    <mergeCell ref="AG12:AJ12"/>
    <mergeCell ref="AK12:AN12"/>
    <mergeCell ref="AO12:AR12"/>
    <mergeCell ref="AS12:AV12"/>
    <mergeCell ref="AW12:AZ12"/>
    <mergeCell ref="BA12:BD12"/>
    <mergeCell ref="BM12:BQ12"/>
    <mergeCell ref="BS12:BT12"/>
    <mergeCell ref="AG13:AJ13"/>
    <mergeCell ref="AK13:AN13"/>
    <mergeCell ref="AO13:AR13"/>
    <mergeCell ref="AS13:AV13"/>
    <mergeCell ref="AW13:AZ13"/>
    <mergeCell ref="BA13:BD13"/>
    <mergeCell ref="AG1:BW1"/>
    <mergeCell ref="AG2:BW2"/>
    <mergeCell ref="FZ2:GB2"/>
    <mergeCell ref="GC2:GE2"/>
    <mergeCell ref="AG6:BQ7"/>
    <mergeCell ref="BR6:BW7"/>
    <mergeCell ref="CO6:CT6"/>
    <mergeCell ref="BZ7:CF7"/>
    <mergeCell ref="BI10:BL10"/>
    <mergeCell ref="BM10:BQ10"/>
    <mergeCell ref="BS10:BT10"/>
    <mergeCell ref="BA11:BD11"/>
    <mergeCell ref="BE11:BH11"/>
    <mergeCell ref="BE13:BH13"/>
    <mergeCell ref="BI13:BL13"/>
    <mergeCell ref="BM13:BQ13"/>
    <mergeCell ref="BS13:BT13"/>
    <mergeCell ref="BZ13:CB13"/>
    <mergeCell ref="AW16:AX16"/>
    <mergeCell ref="BA16:BB16"/>
    <mergeCell ref="BE16:BF16"/>
    <mergeCell ref="BI16:BJ16"/>
    <mergeCell ref="BM16:BO16"/>
    <mergeCell ref="J2:T2"/>
    <mergeCell ref="J3:T16"/>
    <mergeCell ref="X16:AC16"/>
    <mergeCell ref="AG16:AI16"/>
    <mergeCell ref="AK16:AL16"/>
    <mergeCell ref="AO16:AP16"/>
    <mergeCell ref="AS16:AT16"/>
    <mergeCell ref="BI14:BL14"/>
    <mergeCell ref="BM14:BQ14"/>
    <mergeCell ref="AG14:AJ14"/>
    <mergeCell ref="AK14:AN14"/>
    <mergeCell ref="AO14:AR14"/>
    <mergeCell ref="AS14:AV14"/>
    <mergeCell ref="AW14:AZ14"/>
    <mergeCell ref="BA14:BD14"/>
    <mergeCell ref="BE14:BH14"/>
    <mergeCell ref="AG17:AI17"/>
    <mergeCell ref="AK17:AL17"/>
    <mergeCell ref="E18:T18"/>
    <mergeCell ref="AG18:BW18"/>
    <mergeCell ref="E19:T20"/>
    <mergeCell ref="AG19:BW19"/>
    <mergeCell ref="BZ19:CF19"/>
    <mergeCell ref="AG20:BW20"/>
    <mergeCell ref="BZ20:CB20"/>
    <mergeCell ref="AM21:AP21"/>
    <mergeCell ref="AQ21:AT21"/>
    <mergeCell ref="AU21:AX21"/>
    <mergeCell ref="AY21:BB21"/>
    <mergeCell ref="BF21:BI21"/>
    <mergeCell ref="BZ21:CB21"/>
    <mergeCell ref="AU22:AX22"/>
    <mergeCell ref="AY22:BB22"/>
    <mergeCell ref="BC22:BE22"/>
    <mergeCell ref="BF22:BI22"/>
    <mergeCell ref="BJ22:BM22"/>
    <mergeCell ref="BN22:BQ22"/>
    <mergeCell ref="BZ22:CB22"/>
    <mergeCell ref="E28:E35"/>
    <mergeCell ref="F28:I35"/>
    <mergeCell ref="J28:M35"/>
    <mergeCell ref="N28:Q35"/>
    <mergeCell ref="R28:R35"/>
    <mergeCell ref="S28:S35"/>
    <mergeCell ref="T28:T35"/>
    <mergeCell ref="AS38:AV38"/>
    <mergeCell ref="AW38:AZ38"/>
    <mergeCell ref="BA38:BD38"/>
    <mergeCell ref="BE38:BH38"/>
    <mergeCell ref="BI38:BL38"/>
    <mergeCell ref="BM38:BP38"/>
    <mergeCell ref="BQ38:BT38"/>
    <mergeCell ref="CJ38:CM38"/>
    <mergeCell ref="E37:V37"/>
    <mergeCell ref="F38:P38"/>
    <mergeCell ref="U38:V38"/>
    <mergeCell ref="X38:AD38"/>
    <mergeCell ref="AG38:AJ38"/>
    <mergeCell ref="AK38:AN38"/>
    <mergeCell ref="AO38:AR38"/>
    <mergeCell ref="S184:T184"/>
    <mergeCell ref="S185:T185"/>
    <mergeCell ref="S177:T177"/>
    <mergeCell ref="S178:T178"/>
    <mergeCell ref="S179:T179"/>
    <mergeCell ref="S180:T180"/>
    <mergeCell ref="S181:T181"/>
    <mergeCell ref="S182:T182"/>
    <mergeCell ref="S183:T183"/>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BZ30:CB30"/>
    <mergeCell ref="BZ31:CB31"/>
    <mergeCell ref="BF27:BT27"/>
    <mergeCell ref="BF28:BT28"/>
    <mergeCell ref="BZ28:CB28"/>
    <mergeCell ref="BF29:BT29"/>
    <mergeCell ref="BZ29:CB29"/>
    <mergeCell ref="BF30:BT30"/>
    <mergeCell ref="BF31:BT31"/>
    <mergeCell ref="AM23:AP23"/>
    <mergeCell ref="AQ23:AT23"/>
    <mergeCell ref="AU23:AX23"/>
    <mergeCell ref="AY23:BB23"/>
    <mergeCell ref="BZ23:CB23"/>
    <mergeCell ref="BJ21:BM21"/>
    <mergeCell ref="BN21:BQ21"/>
    <mergeCell ref="E22:T24"/>
    <mergeCell ref="AG22:AH22"/>
    <mergeCell ref="AJ22:AL22"/>
    <mergeCell ref="AM22:AP22"/>
    <mergeCell ref="AQ22:AT22"/>
    <mergeCell ref="BC24:BE24"/>
    <mergeCell ref="AG24:AH24"/>
    <mergeCell ref="AJ24:AL24"/>
    <mergeCell ref="E25:T25"/>
    <mergeCell ref="E26:T26"/>
    <mergeCell ref="F27:I27"/>
    <mergeCell ref="K27:M27"/>
    <mergeCell ref="N27:Q27"/>
    <mergeCell ref="AU24:AX24"/>
    <mergeCell ref="AY24:BB24"/>
    <mergeCell ref="BZ24:CB24"/>
    <mergeCell ref="BZ25:CB25"/>
    <mergeCell ref="BF26:BT26"/>
    <mergeCell ref="BZ26:CB26"/>
    <mergeCell ref="BZ27:CB27"/>
    <mergeCell ref="AM24:AP24"/>
    <mergeCell ref="AQ24:AT24"/>
    <mergeCell ref="AM26:BB26"/>
    <mergeCell ref="AM27:BB27"/>
    <mergeCell ref="AM28:BB28"/>
    <mergeCell ref="AM29:BB29"/>
    <mergeCell ref="AM30:BB30"/>
    <mergeCell ref="AM31:BB31"/>
    <mergeCell ref="AM32:BT32"/>
    <mergeCell ref="BZ32:CB32"/>
    <mergeCell ref="AM33:BT34"/>
    <mergeCell ref="BZ33:CB33"/>
    <mergeCell ref="AF37:BS37"/>
    <mergeCell ref="BZ37:CM37"/>
    <mergeCell ref="K39:L39"/>
    <mergeCell ref="M39:N39"/>
    <mergeCell ref="Q39:R39"/>
    <mergeCell ref="S39:T39"/>
    <mergeCell ref="Q43:R43"/>
    <mergeCell ref="S43:T43"/>
    <mergeCell ref="S44:T44"/>
    <mergeCell ref="Q44:R44"/>
    <mergeCell ref="Q45:R45"/>
    <mergeCell ref="S45:T45"/>
    <mergeCell ref="Q46:R46"/>
    <mergeCell ref="S46:T46"/>
    <mergeCell ref="Q48:R48"/>
    <mergeCell ref="S48:T48"/>
    <mergeCell ref="Q49:R49"/>
    <mergeCell ref="S49:T49"/>
    <mergeCell ref="Q50:R50"/>
    <mergeCell ref="S50:T50"/>
    <mergeCell ref="Q51:R51"/>
    <mergeCell ref="S51:T51"/>
    <mergeCell ref="S52:T52"/>
    <mergeCell ref="S53:T53"/>
    <mergeCell ref="Q52:R52"/>
    <mergeCell ref="Q53:R53"/>
    <mergeCell ref="Q59:R59"/>
    <mergeCell ref="S59:T59"/>
    <mergeCell ref="Q61:R61"/>
    <mergeCell ref="S61:T61"/>
    <mergeCell ref="S62:T62"/>
    <mergeCell ref="Q62:R62"/>
    <mergeCell ref="Q63:R63"/>
    <mergeCell ref="Q64:R64"/>
    <mergeCell ref="Q66:R66"/>
    <mergeCell ref="Q68:R68"/>
    <mergeCell ref="Q69:R69"/>
    <mergeCell ref="Q70:R70"/>
    <mergeCell ref="S63:T63"/>
    <mergeCell ref="S64:T64"/>
    <mergeCell ref="S66:T66"/>
    <mergeCell ref="S68:T68"/>
    <mergeCell ref="S69:T69"/>
    <mergeCell ref="S70:T70"/>
    <mergeCell ref="S71:T71"/>
    <mergeCell ref="S72:T72"/>
    <mergeCell ref="S73:T73"/>
    <mergeCell ref="S74:T74"/>
    <mergeCell ref="S75:T75"/>
    <mergeCell ref="S76:T76"/>
    <mergeCell ref="S77:T77"/>
    <mergeCell ref="S78:T78"/>
    <mergeCell ref="Q71:R71"/>
    <mergeCell ref="Q72:R72"/>
    <mergeCell ref="Q73:R73"/>
    <mergeCell ref="Q74:R74"/>
    <mergeCell ref="Q75:R75"/>
    <mergeCell ref="Q76:R76"/>
    <mergeCell ref="Q77:R77"/>
    <mergeCell ref="Q78:R78"/>
    <mergeCell ref="Q79:R79"/>
    <mergeCell ref="Q80:R80"/>
    <mergeCell ref="Q81:R81"/>
    <mergeCell ref="Q82:R8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Q105:R105"/>
    <mergeCell ref="Q106:R106"/>
    <mergeCell ref="Q107:R107"/>
    <mergeCell ref="Q108:R108"/>
    <mergeCell ref="Q109:R109"/>
    <mergeCell ref="Q110:R110"/>
    <mergeCell ref="Q111:R111"/>
    <mergeCell ref="Q112:R112"/>
    <mergeCell ref="Q113:R113"/>
    <mergeCell ref="Q114:R114"/>
    <mergeCell ref="Q115:R115"/>
    <mergeCell ref="Q116:R116"/>
    <mergeCell ref="Q117:R117"/>
    <mergeCell ref="Q118:R118"/>
    <mergeCell ref="Q119:R119"/>
    <mergeCell ref="S79:T79"/>
    <mergeCell ref="S80:T80"/>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Q169:R169"/>
    <mergeCell ref="Q170:R170"/>
    <mergeCell ref="Q171:R171"/>
    <mergeCell ref="Q172:R172"/>
    <mergeCell ref="Q173:R173"/>
    <mergeCell ref="Q174:R174"/>
    <mergeCell ref="Q175:R175"/>
    <mergeCell ref="Q183:R183"/>
    <mergeCell ref="Q184:R184"/>
    <mergeCell ref="Q185:R185"/>
    <mergeCell ref="Q186:R186"/>
    <mergeCell ref="S186:T186"/>
    <mergeCell ref="Q176:R176"/>
    <mergeCell ref="Q177:R177"/>
    <mergeCell ref="Q178:R178"/>
    <mergeCell ref="Q179:R179"/>
    <mergeCell ref="Q180:R180"/>
    <mergeCell ref="Q181:R181"/>
    <mergeCell ref="Q182:R182"/>
    <mergeCell ref="Q120:R120"/>
    <mergeCell ref="Q121:R121"/>
    <mergeCell ref="Q122:R122"/>
    <mergeCell ref="Q123:R123"/>
    <mergeCell ref="Q124:R124"/>
    <mergeCell ref="Q125:R125"/>
    <mergeCell ref="Q126:R126"/>
    <mergeCell ref="Q127:R127"/>
    <mergeCell ref="Q128:R128"/>
    <mergeCell ref="Q129:R129"/>
    <mergeCell ref="Q130:R130"/>
    <mergeCell ref="Q131:R131"/>
    <mergeCell ref="Q132:R132"/>
    <mergeCell ref="Q133:R133"/>
    <mergeCell ref="Q134:R134"/>
    <mergeCell ref="Q135:R135"/>
    <mergeCell ref="Q136:R136"/>
    <mergeCell ref="Q137:R137"/>
    <mergeCell ref="Q138:R138"/>
    <mergeCell ref="Q139:R139"/>
    <mergeCell ref="Q140:R140"/>
    <mergeCell ref="Q141:R141"/>
    <mergeCell ref="Q142:R142"/>
    <mergeCell ref="Q143:R143"/>
    <mergeCell ref="Q144:R144"/>
    <mergeCell ref="Q145:R145"/>
    <mergeCell ref="Q146:R146"/>
    <mergeCell ref="Q147:R147"/>
    <mergeCell ref="Q148:R148"/>
    <mergeCell ref="Q149:R149"/>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s>
  <conditionalFormatting sqref="BI16:BJ16">
    <cfRule type="colorScale" priority="1">
      <colorScale>
        <cfvo type="formula" val="1"/>
        <cfvo type="formula" val="5"/>
        <cfvo type="formula" val="10"/>
        <color rgb="FFEA4335"/>
        <color rgb="FFFBBC04"/>
        <color rgb="FF34A853"/>
      </colorScale>
    </cfRule>
  </conditionalFormatting>
  <conditionalFormatting sqref="AG9:AG18 AI9:BH18 BI16:BJ18">
    <cfRule type="colorScale" priority="2">
      <colorScale>
        <cfvo type="formula" val="1"/>
        <cfvo type="formula" val="4"/>
        <cfvo type="formula" val="7"/>
        <color rgb="FF34A853"/>
        <color rgb="FFFBBC04"/>
        <color rgb="FFFF0000"/>
      </colorScale>
    </cfRule>
  </conditionalFormatting>
  <conditionalFormatting sqref="AG9:AG18 AI9:BH18 BI16:BJ18">
    <cfRule type="colorScale" priority="3">
      <colorScale>
        <cfvo type="formula" val="1"/>
        <cfvo type="formula" val="4"/>
        <cfvo type="formula" val="7"/>
        <color rgb="FF34A853"/>
        <color rgb="FFFBBC04"/>
        <color rgb="FFEA4335"/>
      </colorScale>
    </cfRule>
  </conditionalFormatting>
  <conditionalFormatting sqref="BM9:BR15 BI16 BK16:BL16 BM17:BR17">
    <cfRule type="colorScale" priority="4">
      <colorScale>
        <cfvo type="formula" val="1"/>
        <cfvo type="formula" val="5"/>
        <cfvo type="formula" val="10"/>
        <color rgb="FFEA4335"/>
        <color rgb="FFFBBC04"/>
        <color rgb="FF34A853"/>
      </colorScale>
    </cfRule>
  </conditionalFormatting>
  <conditionalFormatting sqref="AK16:BE16">
    <cfRule type="colorScale" priority="5">
      <colorScale>
        <cfvo type="formula" val="1"/>
        <cfvo type="formula" val="4"/>
        <cfvo type="formula" val="7"/>
        <color rgb="FF34A853"/>
        <color rgb="FFFBBC04"/>
        <color rgb="FFFF0000"/>
      </colorScale>
    </cfRule>
  </conditionalFormatting>
  <conditionalFormatting sqref="B39:B186">
    <cfRule type="notContainsBlanks" dxfId="9" priority="6">
      <formula>LEN(TRIM(B39))&gt;0</formula>
    </cfRule>
  </conditionalFormatting>
  <conditionalFormatting sqref="AG40:AG186 AK40:AK186 AO40:AO186 AS40:AS186 AW40:AW43 BA40:BA186 BE40:BE186 BI40:BI186 BM40:BM186 BQ40:BQ186 AW45:AW186 AP51 AT51">
    <cfRule type="notContainsBlanks" dxfId="17" priority="7">
      <formula>LEN(TRIM(AG40))&gt;0</formula>
    </cfRule>
  </conditionalFormatting>
  <conditionalFormatting sqref="AH40:AH186 AL40:AL186 AP40:AP186 AT40:AT186 AX40:AX186 BB40:BB186 BF40:BF186 BJ40:BJ186 BN40:BN186 BR40:BR186 AQ51 AU51">
    <cfRule type="notContainsBlanks" dxfId="16" priority="8">
      <formula>LEN(TRIM(AH40))&gt;0</formula>
    </cfRule>
  </conditionalFormatting>
  <conditionalFormatting sqref="I40:I186">
    <cfRule type="cellIs" dxfId="41" priority="9" operator="equal">
      <formula>0</formula>
    </cfRule>
  </conditionalFormatting>
  <conditionalFormatting sqref="B39:B186 C40:V186 AF40:BT186">
    <cfRule type="expression" dxfId="9" priority="10">
      <formula>ArrayFormula(NOT(ISBLANK(B39:$B186)))</formula>
    </cfRule>
  </conditionalFormatting>
  <conditionalFormatting sqref="BZ40:CM186">
    <cfRule type="containsBlanks" dxfId="42" priority="11">
      <formula>LEN(TRIM(BZ40))=0</formula>
    </cfRule>
  </conditionalFormatting>
  <conditionalFormatting sqref="BZ40:CM186">
    <cfRule type="cellIs" dxfId="42" priority="12" operator="equal">
      <formula>0</formula>
    </cfRule>
  </conditionalFormatting>
  <conditionalFormatting sqref="X40:AF186">
    <cfRule type="cellIs" dxfId="42" priority="13" operator="equal">
      <formula>0</formula>
    </cfRule>
  </conditionalFormatting>
  <conditionalFormatting sqref="CC21:CE33 CF21:CG32 CH30:CH32">
    <cfRule type="cellIs" dxfId="19" priority="14" operator="equal">
      <formula>0</formula>
    </cfRule>
  </conditionalFormatting>
  <conditionalFormatting sqref="BI9:BN15">
    <cfRule type="colorScale" priority="15">
      <colorScale>
        <cfvo type="formula" val="1"/>
        <cfvo type="formula" val="5"/>
        <cfvo type="formula" val="10"/>
        <color rgb="FFEA4335"/>
        <color rgb="FFFBBC04"/>
        <color rgb="FF34A853"/>
      </colorScale>
    </cfRule>
  </conditionalFormatting>
  <conditionalFormatting sqref="BM16:BR16">
    <cfRule type="colorScale" priority="16">
      <colorScale>
        <cfvo type="formula" val="0"/>
        <cfvo type="formula" val="5"/>
        <cfvo type="formula" val="10"/>
        <color rgb="FF57BB8A"/>
        <color rgb="FFFBBC04"/>
        <color rgb="FFCC4125"/>
      </colorScale>
    </cfRule>
  </conditionalFormatting>
  <conditionalFormatting sqref="AE38:AF38">
    <cfRule type="notContainsBlanks" dxfId="43" priority="17">
      <formula>LEN(TRIM(AE38))&gt;0</formula>
    </cfRule>
  </conditionalFormatting>
  <conditionalFormatting sqref="X40:AD186">
    <cfRule type="containsBlanks" dxfId="42" priority="18">
      <formula>LEN(TRIM(X40))=0</formula>
    </cfRule>
  </conditionalFormatting>
  <conditionalFormatting sqref="AE1:AF1">
    <cfRule type="notContainsBlanks" dxfId="43" priority="19">
      <formula>LEN(TRIM(AE1))&gt;0</formula>
    </cfRule>
  </conditionalFormatting>
  <conditionalFormatting sqref="AJ39:AJ186 AN39:AN186 AR40:AR186 AV40:AV186 AZ40:AZ186 BD40:BD186 BH40:BH186 BL40:BL186 AS51 AW51">
    <cfRule type="notContainsBlanks" dxfId="44" priority="20">
      <formula>LEN(TRIM(AJ39))&gt;0</formula>
    </cfRule>
  </conditionalFormatting>
  <conditionalFormatting sqref="AI40:AJ186 AM40:AN186 AQ40:AR186 AU40:AV186 AY40:AZ186 BC40:BD186 BG40:BH186 BK40:BL186 BO40:BP186 BS40:BT186 AP44 AS44:AT44 AW44 AS51 AW51">
    <cfRule type="notContainsBlanks" dxfId="15" priority="21">
      <formula>LEN(TRIM(AI40))&gt;0</formula>
    </cfRule>
  </conditionalFormatting>
  <conditionalFormatting sqref="X40:AF186">
    <cfRule type="cellIs" dxfId="42" priority="22" operator="equal">
      <formula>0</formula>
    </cfRule>
  </conditionalFormatting>
  <conditionalFormatting sqref="AA40:AB186">
    <cfRule type="expression" dxfId="45" priority="23" operator="containsText">
      <formula>NOT(ISERROR(SEARCH((FALSE),(AA40))))</formula>
    </cfRule>
  </conditionalFormatting>
  <conditionalFormatting sqref="Y19:AC21 Y24:AD36">
    <cfRule type="cellIs" dxfId="46" priority="24" operator="equal">
      <formula>0</formula>
    </cfRule>
  </conditionalFormatting>
  <dataValidations>
    <dataValidation type="list" allowBlank="1" showErrorMessage="1" sqref="BZ10">
      <formula1>"BP1,BP2,BP3,BP4,BP5"</formula1>
    </dataValidation>
    <dataValidation type="list" allowBlank="1" showInputMessage="1" showErrorMessage="1" prompt="Haz clic e introduce un valor de la lista de elementos" sqref="AK9:AK15 AO9:AO15 AS9:AS15 AW9:AW15 BA9:BA15">
      <formula1>"1 .- Muy, muy bien,2 .- Muy bien,3 .- Bien,4 .- Regular,5 .- Mal,6 .- Muy mal,7 .- Muy, muy mal"</formula1>
    </dataValidation>
    <dataValidation type="list" allowBlank="1" showErrorMessage="1" sqref="BZ9">
      <formula1>"SQ1,SQ2,SQ3,SQ4,SQ5"</formula1>
    </dataValidation>
    <dataValidation type="list" allowBlank="1" showInputMessage="1" showErrorMessage="1" prompt="Haz clic e introduce un valor de la lista de elementos" sqref="B39:B186">
      <formula1>"Día 1,Día 2,Día 3,Día 4,Día 5,Día 6,Día 7,Día 8"</formula1>
    </dataValidation>
    <dataValidation type="list" allowBlank="1" showErrorMessage="1" sqref="AI40:AI186 AM40:AM186 AQ40:AQ186 AU40:AU186 AY40:AY186 BC40:BC186 BG40:BG186 BK40:BK186 BO40:BO186 BS40:BS186">
      <formula1>"0,1,2,3,4,5,6,7,8,9,10"</formula1>
    </dataValidation>
    <dataValidation type="list" allowBlank="1" showErrorMessage="1" sqref="CE8 CE14">
      <formula1>"e1RM Bryzcki,e1RM Steve Denovi F1,e1RM Steve Denovi F2"</formula1>
    </dataValidation>
    <dataValidation type="list" allowBlank="1" showErrorMessage="1" sqref="E25">
      <formula1>"HIPERTROFIA,FUERZA BASE,VOLUMEN,PEAKING,TAPERING,COMPETICIÓN,BLOQUE DE VOLUMEN  (HIPERTROFIA),BLOQUE DE FUERZA  (HIPERTROFIA),BLOQUE DE INTENSIFICACIÓN  (HIPERTROFIA),PIVOT"</formula1>
    </dataValidation>
    <dataValidation type="list" allowBlank="1" showErrorMessage="1" sqref="P40:P186">
      <formula1>"Bajo,Medio,Alta"</formula1>
    </dataValidation>
    <dataValidation type="list" allowBlank="1" showErrorMessage="1" sqref="CH7">
      <formula1>"SQ1 Top Set,SQ2 Top Set,SQ3 Top Set,SQ4 Top Set,SQ5 Top Set,BP1 Top Set,BP2 Top Set,BP3 Top Set,BP4 Top Set,BP5 Top Set,DL1 Top Set,DL2 Top Set,DL3 Top Set,DL4 Top Set,DL5 Top Set"</formula1>
    </dataValidation>
    <dataValidation type="list" allowBlank="1" showErrorMessage="1" sqref="AJ40:AJ186 AN40:AN186 AR40:AR186 AV40:AV186 AZ40:AZ186 BD40:BD186 BH40:BH186 BL40:BL186 BP40:BP186 BT40:BT186">
      <formula1>"1,1,5,2,2,5,3,3,5,4,4,5,5,5,5,6,6,5,7,7,5,8,8,5,9,9,5,10"</formula1>
    </dataValidation>
    <dataValidation type="list" allowBlank="1" sqref="AW40:AW43 AG40:AG186 AK40:AK186 AO40:AO186 AS40:AS186 AW45:AW186 BA40:BA186 BE40:BE186 BI40:BI186 BM40:BM186 BQ40:BQ186">
      <formula1>"1,2,3,4,5,6,7,8,9,10,11,12,13,14,15,16,17,18,19,20,21,22,23,24,25,26,27,28,29,30,31,32,33,34,35,36,37,38,39,40,41,42,43,44,45,46,47,48,49,50"</formula1>
    </dataValidation>
    <dataValidation type="list" allowBlank="1" showInputMessage="1" showErrorMessage="1" prompt="Selecciona una opción." sqref="AM22 AQ22 AU22 AY22 BF22 BJ22 BN22 AM24 AQ24 AU24 AY24">
      <formula1>"1.- Nada de agujetas/tensión,2.- Pocas agujetas casi imperceptibles.,3.- Algo de agujetas/tensión.,4.- Agujetas/tensión muscular no incapacitantes,5.- Aumento del dolor muscular por agujetas molesto.,6.- Bastante dolor/agujetas y me incapacitan un poco mi"&amp;" día a día,7.- Zona muy dolorida por agujetas"</formula1>
    </dataValidation>
    <dataValidation type="list" allowBlank="1" showErrorMessage="1" sqref="CQ8">
      <formula1>"1RM PROYECTADA MEJOR A REPS,1RM PROYECTADA MEJOR A 1 REP"</formula1>
    </dataValidation>
    <dataValidation type="list" allowBlank="1" showErrorMessage="1" sqref="BM9:BM15">
      <formula1>"0 .- Descanso,1 .- Sesión muy fácil,2 .- Sesión fácil,3 .- Sesión moderada,4 .- Algo dificil,5 .- Sesión complicada,6 .- Sesión dificil,7 .- Sesión muy dificil,8 .- Sesión muy, muy dificil,9 .- Sesión extremadamente dificil,10 .- Sesión de máxima dificult"&amp;"ad"</formula1>
    </dataValidation>
    <dataValidation type="list" allowBlank="1" showErrorMessage="1" sqref="BZ11">
      <formula1>"DL1,DL2,DL3,DL4,DL5"</formula1>
    </dataValidation>
    <dataValidation type="list" allowBlank="1" showErrorMessage="1" sqref="BI9:BI15">
      <formula1>"1 .- Muy, muy poco recuperado,2 .- Muy poco recuperado,3 .- Poco recuperado,4 .- Algo recuperado,5 .- Recuperado moderadamente,6 .- Bien recuperado,7 .- Bastante recuperado,8 .- Muy bien recuperado,9 .- Muy, muy bien recuperado,10 .- Excepcionalmente recu"&amp;"perado"</formula1>
    </dataValidation>
    <dataValidation type="list" allowBlank="1" showErrorMessage="1" sqref="D40:D51 D54:D72 D185:D186">
      <formula1>"SQ1,SQ2,SQ3,SQ4,SQ5,BP1,BP2,BP3,BP4,BP5,DL1,DL2,DL3,DL4,DL5,Dominante de Rodilla,Bisagra de Cadera,Empuje Horizontal,Empuje Vertical,Tracción Horizontal,Tracción Vertical,Bíceps,Tríceps,Deltoides Lateral,Gémelo/Sóleo,Trasladar/Trineo,CORE,Aductor de cader"&amp;"a,SQ1 Top Set,SQ2 Top Set,SQ3 Top Set,SQ4 Top Set,SQ5 Top Set,BP1 Top Set,BP2 Top Set,BP3 Top Set,BP4 Top Set,BP5 Top Set,DL1 Top Set,DL2 Top Set,DL3 Top Set,DL4 Top Set,DL5 Top Set"</formula1>
    </dataValidation>
  </dataValidations>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4.63"/>
    <col customWidth="1" min="2" max="2" width="10.13"/>
    <col customWidth="1" min="3" max="3" width="10.0" outlineLevel="1"/>
    <col customWidth="1" min="4" max="4" width="14.88" outlineLevel="1"/>
    <col customWidth="1" min="5" max="5" width="35.25"/>
    <col customWidth="1" min="6" max="6" width="8.5"/>
    <col customWidth="1" min="7" max="7" width="9.88"/>
    <col customWidth="1" min="8" max="8" width="8.13" outlineLevel="1"/>
    <col customWidth="1" min="9" max="9" width="11.88"/>
    <col customWidth="1" min="10" max="10" width="9.63" outlineLevel="1"/>
    <col customWidth="1" min="11" max="11" width="8.88"/>
    <col customWidth="1" min="12" max="12" width="6.13"/>
    <col customWidth="1" min="13" max="13" width="10.13"/>
    <col customWidth="1" min="14" max="14" width="6.25"/>
    <col customWidth="1" min="15" max="15" width="12.0"/>
    <col customWidth="1" min="16" max="16" width="10.13"/>
    <col customWidth="1" min="17" max="17" width="13.38"/>
    <col customWidth="1" min="18" max="18" width="30.25"/>
    <col customWidth="1" min="19" max="19" width="31.63"/>
    <col customWidth="1" min="20" max="20" width="29.25"/>
    <col collapsed="1" customWidth="1" min="21" max="21" width="37.25"/>
    <col customWidth="1" hidden="1" min="22" max="22" width="41.75" outlineLevel="1"/>
    <col collapsed="1" customWidth="1" min="23" max="23" width="2.25"/>
    <col customWidth="1" hidden="1" min="24" max="24" width="20.0" outlineLevel="1"/>
    <col customWidth="1" hidden="1" min="25" max="25" width="19.63" outlineLevel="1"/>
    <col customWidth="1" hidden="1" min="26" max="26" width="15.25" outlineLevel="1"/>
    <col customWidth="1" hidden="1" min="27" max="27" width="9.88" outlineLevel="1"/>
    <col customWidth="1" hidden="1" min="28" max="28" width="9.25" outlineLevel="1"/>
    <col customWidth="1" hidden="1" min="29" max="29" width="8.0" outlineLevel="1"/>
    <col customWidth="1" hidden="1" min="30" max="30" width="15.13" outlineLevel="1"/>
    <col customWidth="1" min="31" max="31" width="2.13"/>
    <col customWidth="1" min="32" max="32" width="30.63" outlineLevel="1"/>
    <col customWidth="1" min="33" max="33" width="4.5" outlineLevel="1"/>
    <col customWidth="1" min="34" max="34" width="8.0" outlineLevel="1"/>
    <col customWidth="1" min="35" max="35" width="4.5" outlineLevel="1"/>
    <col customWidth="1" min="36" max="36" width="5.38" outlineLevel="1"/>
    <col customWidth="1" min="37" max="37" width="4.5" outlineLevel="1"/>
    <col customWidth="1" min="38" max="38" width="6.88" outlineLevel="1"/>
    <col customWidth="1" min="39" max="41" width="4.5" outlineLevel="1"/>
    <col customWidth="1" min="42" max="42" width="7.0" outlineLevel="1"/>
    <col customWidth="1" min="43" max="45" width="4.5" outlineLevel="1"/>
    <col customWidth="1" min="46" max="46" width="7.0" outlineLevel="1"/>
    <col customWidth="1" min="47" max="49" width="4.5" outlineLevel="1"/>
    <col customWidth="1" min="50" max="50" width="6.75" outlineLevel="1"/>
    <col customWidth="1" min="51" max="51" width="5.88" outlineLevel="1"/>
    <col customWidth="1" min="52" max="53" width="4.5" outlineLevel="1"/>
    <col customWidth="1" min="54" max="54" width="6.75" outlineLevel="1"/>
    <col customWidth="1" min="55" max="56" width="5.5" outlineLevel="1"/>
    <col customWidth="1" min="57" max="57" width="4.5" outlineLevel="1"/>
    <col customWidth="1" min="58" max="58" width="7.0" outlineLevel="1"/>
    <col customWidth="1" min="59" max="59" width="5.63" outlineLevel="1"/>
    <col customWidth="1" min="60" max="60" width="4.88" outlineLevel="1"/>
    <col customWidth="1" min="61" max="61" width="4.5" outlineLevel="1"/>
    <col customWidth="1" min="62" max="62" width="7.25" outlineLevel="1"/>
    <col customWidth="1" min="63" max="65" width="4.5" outlineLevel="1"/>
    <col customWidth="1" min="66" max="66" width="7.63" outlineLevel="1"/>
    <col customWidth="1" min="67" max="69" width="4.5" outlineLevel="1"/>
    <col customWidth="1" min="70" max="70" width="6.88" outlineLevel="1"/>
    <col customWidth="1" min="71" max="71" width="5.88" outlineLevel="1"/>
    <col customWidth="1" min="72" max="72" width="6.63" outlineLevel="1"/>
    <col customWidth="1" min="73" max="73" width="5.38" outlineLevel="1"/>
    <col customWidth="1" min="74" max="74" width="10.88" outlineLevel="1"/>
    <col customWidth="1" min="75" max="75" width="13.75" outlineLevel="1"/>
    <col customWidth="1" min="76" max="76" width="8.0"/>
    <col collapsed="1" customWidth="1" min="77" max="77" width="9.5"/>
    <col customWidth="1" hidden="1" min="78" max="78" width="8.0" outlineLevel="1"/>
    <col customWidth="1" hidden="1" min="79" max="79" width="7.5" outlineLevel="1"/>
    <col customWidth="1" hidden="1" min="80" max="80" width="7.75" outlineLevel="1"/>
    <col customWidth="1" hidden="1" min="81" max="81" width="7.88" outlineLevel="1"/>
    <col customWidth="1" hidden="1" min="82" max="82" width="8.88" outlineLevel="1"/>
    <col customWidth="1" hidden="1" min="83" max="83" width="15.38" outlineLevel="1"/>
    <col customWidth="1" hidden="1" min="84" max="84" width="9.0" outlineLevel="1"/>
    <col customWidth="1" hidden="1" min="85" max="85" width="6.63" outlineLevel="1"/>
    <col customWidth="1" hidden="1" min="86" max="86" width="16.63" outlineLevel="1"/>
    <col customWidth="1" hidden="1" min="87" max="87" width="22.13" outlineLevel="1"/>
    <col customWidth="1" hidden="1" min="88" max="88" width="14.63" outlineLevel="1"/>
    <col customWidth="1" hidden="1" min="89" max="89" width="10.63" outlineLevel="1"/>
    <col customWidth="1" hidden="1" min="90" max="90" width="13.38" outlineLevel="1"/>
    <col customWidth="1" hidden="1" min="91" max="91" width="12.63" outlineLevel="1"/>
    <col customWidth="1" hidden="1" min="92" max="93" width="13.63" outlineLevel="1"/>
    <col customWidth="1" hidden="1" min="94" max="94" width="13.38" outlineLevel="1"/>
    <col customWidth="1" hidden="1" min="95" max="95" width="17.88" outlineLevel="1"/>
    <col customWidth="1" hidden="1" min="96" max="96" width="13.25" outlineLevel="1"/>
    <col customWidth="1" hidden="1" min="97" max="97" width="17.13" outlineLevel="1"/>
    <col customWidth="1" hidden="1" min="98" max="98" width="9.88" outlineLevel="1"/>
    <col customWidth="1" min="99" max="112" width="9.88"/>
    <col collapsed="1" customWidth="1" min="113" max="113" width="9.88"/>
    <col customWidth="1" hidden="1" min="114" max="153" width="9.88" outlineLevel="1"/>
    <col customWidth="1" hidden="1" min="154" max="154" width="23.0" outlineLevel="1"/>
    <col customWidth="1" hidden="1" min="155" max="190" width="9.88" outlineLevel="1"/>
  </cols>
  <sheetData>
    <row r="1">
      <c r="B1" s="199"/>
      <c r="K1" s="200"/>
      <c r="L1" s="200"/>
      <c r="M1" s="200"/>
      <c r="N1" s="200"/>
      <c r="W1" s="201"/>
      <c r="X1" s="202" t="s">
        <v>210</v>
      </c>
      <c r="AE1" s="203"/>
      <c r="AF1" s="204"/>
      <c r="AG1" s="205" t="str">
        <f>"SEGUIMIENTO DE BIENESTAR DE "&amp;'Introducción'!B19&amp;" "&amp;'Introducción'!B20 </f>
        <v>#REF!</v>
      </c>
      <c r="BZ1" s="206" t="s">
        <v>211</v>
      </c>
      <c r="DK1" s="207" t="s">
        <v>51</v>
      </c>
      <c r="DL1" s="207" t="s">
        <v>52</v>
      </c>
      <c r="DM1" s="207" t="s">
        <v>53</v>
      </c>
      <c r="DN1" s="207" t="s">
        <v>54</v>
      </c>
      <c r="DO1" s="207" t="s">
        <v>55</v>
      </c>
      <c r="DP1" s="207" t="s">
        <v>56</v>
      </c>
      <c r="DQ1" s="207" t="s">
        <v>57</v>
      </c>
      <c r="DR1" s="207" t="s">
        <v>58</v>
      </c>
      <c r="DS1" s="207" t="s">
        <v>59</v>
      </c>
      <c r="DT1" s="207" t="s">
        <v>60</v>
      </c>
      <c r="DU1" s="207" t="s">
        <v>61</v>
      </c>
      <c r="DV1" s="207" t="s">
        <v>62</v>
      </c>
      <c r="DW1" s="207" t="s">
        <v>63</v>
      </c>
      <c r="DX1" s="207" t="s">
        <v>64</v>
      </c>
      <c r="DY1" s="207" t="s">
        <v>65</v>
      </c>
      <c r="DZ1" s="207" t="s">
        <v>66</v>
      </c>
      <c r="EA1" s="207" t="s">
        <v>67</v>
      </c>
      <c r="EB1" s="207" t="s">
        <v>68</v>
      </c>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9" t="s">
        <v>21</v>
      </c>
      <c r="GA1" s="210"/>
      <c r="GB1" s="210"/>
      <c r="GC1" s="209" t="s">
        <v>36</v>
      </c>
      <c r="GD1" s="210"/>
      <c r="GE1" s="210"/>
      <c r="GF1" s="209" t="s">
        <v>42</v>
      </c>
      <c r="GG1" s="210"/>
      <c r="GH1" s="210"/>
    </row>
    <row r="2">
      <c r="B2" s="211"/>
      <c r="E2" s="212"/>
      <c r="I2" s="106"/>
      <c r="J2" s="213" t="s">
        <v>212</v>
      </c>
      <c r="K2" s="214"/>
      <c r="L2" s="214"/>
      <c r="M2" s="214"/>
      <c r="N2" s="214"/>
      <c r="O2" s="214"/>
      <c r="P2" s="214"/>
      <c r="Q2" s="214"/>
      <c r="R2" s="214"/>
      <c r="S2" s="214"/>
      <c r="T2" s="215"/>
      <c r="W2" s="201"/>
      <c r="AE2" s="203"/>
      <c r="AF2" s="204"/>
      <c r="AG2" s="216" t="s">
        <v>213</v>
      </c>
      <c r="BZ2" s="217"/>
      <c r="DJ2" s="144" t="s">
        <v>214</v>
      </c>
      <c r="DK2" s="108"/>
      <c r="DL2" s="108"/>
      <c r="DM2" s="108"/>
      <c r="DN2" s="108"/>
      <c r="DO2" s="108"/>
      <c r="DP2" s="108"/>
      <c r="DQ2" s="108"/>
      <c r="DR2" s="108"/>
      <c r="DS2" s="108"/>
      <c r="DT2" s="108"/>
      <c r="DU2" s="108"/>
      <c r="DV2" s="108"/>
      <c r="DW2" s="108"/>
      <c r="DX2" s="108"/>
      <c r="DY2" s="108"/>
      <c r="DZ2" s="108"/>
      <c r="EA2" s="108"/>
      <c r="EB2" s="108"/>
      <c r="EX2" s="218" t="s">
        <v>215</v>
      </c>
      <c r="EY2" s="218"/>
      <c r="EZ2" s="218" t="s">
        <v>216</v>
      </c>
      <c r="FA2" s="218"/>
      <c r="FB2" s="218"/>
      <c r="FC2" s="218"/>
      <c r="FD2" s="218"/>
      <c r="FE2" s="218"/>
      <c r="FF2" s="218"/>
      <c r="FG2" s="218"/>
      <c r="FH2" s="218"/>
      <c r="FI2" s="218"/>
      <c r="FJ2" s="218"/>
      <c r="FK2" s="208"/>
      <c r="FL2" s="218" t="s">
        <v>215</v>
      </c>
      <c r="FM2" s="208"/>
      <c r="FN2" s="208" t="s">
        <v>217</v>
      </c>
      <c r="FO2" s="208"/>
      <c r="FP2" s="208"/>
      <c r="FQ2" s="208"/>
      <c r="FR2" s="208"/>
      <c r="FS2" s="208"/>
      <c r="FT2" s="208"/>
      <c r="FU2" s="208"/>
      <c r="FV2" s="208"/>
      <c r="FW2" s="208"/>
      <c r="FX2" s="208"/>
      <c r="FY2" s="208"/>
      <c r="FZ2" s="219" t="s">
        <v>218</v>
      </c>
      <c r="GC2" s="219" t="s">
        <v>218</v>
      </c>
      <c r="GF2" s="219" t="s">
        <v>218</v>
      </c>
    </row>
    <row r="3">
      <c r="B3" s="199"/>
      <c r="I3" s="106"/>
      <c r="J3" s="220" t="s">
        <v>219</v>
      </c>
      <c r="K3" s="221"/>
      <c r="L3" s="221"/>
      <c r="M3" s="221"/>
      <c r="N3" s="221"/>
      <c r="O3" s="221"/>
      <c r="P3" s="221"/>
      <c r="Q3" s="221"/>
      <c r="R3" s="221"/>
      <c r="S3" s="221"/>
      <c r="T3" s="222"/>
      <c r="W3" s="201"/>
      <c r="AE3" s="203"/>
      <c r="AF3" s="204"/>
      <c r="AG3" s="223" t="s">
        <v>220</v>
      </c>
      <c r="BZ3" s="217"/>
      <c r="DJ3" s="83"/>
      <c r="DK3" s="207" t="str">
        <f t="array" ref="DK3">IF(NOT($D$37=1),IFERROR(INDIRECT("'Bloque "&amp;$D$38&amp;" Semana "&amp;"1"&amp;"'"&amp;"!"&amp;"E37"),""),"S1")</f>
        <v>S1</v>
      </c>
      <c r="DL3" s="207" t="str">
        <f t="array" ref="DL3">IF(NOT($D$37=2),IFERROR(INDIRECT("'Bloque "&amp;$D$38&amp;" Semana "&amp;"2"&amp;"'"&amp;"!"&amp;"E37"),""),"S2")</f>
        <v/>
      </c>
      <c r="DM3" s="207" t="str">
        <f t="array" ref="DM3">IF(NOT($D$37=3),IFERROR(INDIRECT("'Bloque "&amp;$D$38&amp;" Semana "&amp;"3"&amp;"'"&amp;"!"&amp;"E37"),""),"S3")</f>
        <v/>
      </c>
      <c r="DN3" s="207" t="str">
        <f t="array" ref="DN3">IF(NOT($D$37=4),IFERROR(INDIRECT("'Bloque "&amp;$D$38&amp;" Semana "&amp;"4"&amp;"'"&amp;"!"&amp;"E37"),""),"S4")</f>
        <v/>
      </c>
      <c r="DO3" s="207" t="str">
        <f t="array" ref="DO3">IF(NOT($D$37=5),IFERROR(INDIRECT("'Bloque "&amp;$D$38&amp;" Semana "&amp;"5"&amp;"'"&amp;"!"&amp;"E37"),""),"S5")</f>
        <v/>
      </c>
      <c r="DP3" s="207" t="str">
        <f t="array" ref="DP3">IF(NOT($D$37=6),IFERROR(INDIRECT("'Bloque "&amp;$D$38&amp;" Semana "&amp;"6"&amp;"'"&amp;"!"&amp;"E37"),""),"S6")</f>
        <v/>
      </c>
      <c r="DQ3" s="207" t="str">
        <f t="array" ref="DQ3">IF(NOT($D$37=7),IFERROR(INDIRECT("'Bloque "&amp;$D$38&amp;" Semana "&amp;"7"&amp;"'"&amp;"!"&amp;"E37"),""),"S7")</f>
        <v/>
      </c>
      <c r="DR3" s="207" t="str">
        <f t="array" ref="DR3">IF(NOT($D$37=8),IFERROR(INDIRECT("'Bloque "&amp;$D$38&amp;" Semana "&amp;"8"&amp;"'"&amp;"!"&amp;"E37"),""),"S8")</f>
        <v/>
      </c>
      <c r="DS3" s="207" t="str">
        <f t="array" ref="DS3">IF(NOT($D$37=9),IFERROR(INDIRECT("'Bloque "&amp;$D$38&amp;" Semana "&amp;"9"&amp;"'"&amp;"!"&amp;"E37"),""),"S9")</f>
        <v/>
      </c>
      <c r="DT3" s="207" t="str">
        <f t="array" ref="DT3">IF(NOT($D$37=10),IFERROR(INDIRECT("'Bloque "&amp;$D$38&amp;" Semana "&amp;"10"&amp;"'"&amp;"!"&amp;"E37"),""),"S10")</f>
        <v/>
      </c>
      <c r="DU3" s="207" t="str">
        <f t="array" ref="DU3">IF(NOT($D$37=11),IFERROR(INDIRECT("'Bloque "&amp;$D$38&amp;" Semana "&amp;"11"&amp;"'"&amp;"!"&amp;"E37"),""),"S11")</f>
        <v/>
      </c>
      <c r="DV3" s="207" t="str">
        <f t="array" ref="DV3">IF(NOT($D$37=12),IFERROR(INDIRECT("'Bloque "&amp;$D$38&amp;" Semana "&amp;"12"&amp;"'"&amp;"!"&amp;"E37"),""),"S12")</f>
        <v/>
      </c>
      <c r="DW3" s="207" t="str">
        <f t="array" ref="DW3">IF(NOT($D$37=13),IFERROR(INDIRECT("'Bloque "&amp;$D$38&amp;" Semana "&amp;"13"&amp;"'"&amp;"!"&amp;"E37"),""),"S13")</f>
        <v/>
      </c>
      <c r="DX3" s="207" t="str">
        <f t="array" ref="DX3">IF(NOT($D$37=14),IFERROR(INDIRECT("'Bloque "&amp;$D$38&amp;" Semana "&amp;"14"&amp;"'"&amp;"!"&amp;"E37"),""),"S14")</f>
        <v/>
      </c>
      <c r="DY3" s="207" t="str">
        <f t="array" ref="DY3">IF(NOT($D$37=15),IFERROR(INDIRECT("'Bloque "&amp;$D$38&amp;" Semana "&amp;"15"&amp;"'"&amp;"!"&amp;"E37"),""),"S15")</f>
        <v/>
      </c>
      <c r="DZ3" s="207" t="str">
        <f t="array" ref="DZ3">IF(NOT($D$37=16),IFERROR(INDIRECT("'Bloque "&amp;$D$38&amp;" Semana "&amp;"16"&amp;"'"&amp;"!"&amp;"E37"),""),"S16")</f>
        <v/>
      </c>
      <c r="EA3" s="207" t="str">
        <f t="array" ref="EA3">IF(NOT($D$37=17),IFERROR(INDIRECT("'Bloque "&amp;$D$38&amp;" Semana "&amp;"17"&amp;"'"&amp;"!"&amp;"E37"),""),"S17")</f>
        <v/>
      </c>
      <c r="EB3" s="207" t="str">
        <f t="array" ref="EB3">IF(NOT($D$37=18),IFERROR(INDIRECT("'Bloque "&amp;$D$38&amp;" Semana "&amp;"18"&amp;"'"&amp;"!"&amp;"E37"),""),"S18")</f>
        <v/>
      </c>
      <c r="ED3" s="144" t="s">
        <v>221</v>
      </c>
      <c r="EE3" s="108"/>
      <c r="EF3" s="108"/>
      <c r="EG3" s="108"/>
      <c r="EH3" s="108"/>
      <c r="EI3" s="108"/>
      <c r="EJ3" s="108"/>
      <c r="EK3" s="108"/>
      <c r="EL3" s="108"/>
      <c r="EM3" s="108"/>
      <c r="EN3" s="108"/>
      <c r="EO3" s="108"/>
      <c r="EP3" s="108"/>
      <c r="EQ3" s="108"/>
      <c r="ER3" s="108"/>
      <c r="ES3" s="108"/>
      <c r="ET3" s="108"/>
      <c r="EU3" s="108"/>
      <c r="EV3" s="108"/>
      <c r="EX3" s="218" t="s">
        <v>222</v>
      </c>
      <c r="EY3" s="218">
        <v>1.0</v>
      </c>
      <c r="EZ3" s="218">
        <v>2.0</v>
      </c>
      <c r="FA3" s="218">
        <v>3.0</v>
      </c>
      <c r="FB3" s="218">
        <v>4.0</v>
      </c>
      <c r="FC3" s="218">
        <v>5.0</v>
      </c>
      <c r="FD3" s="218">
        <v>6.0</v>
      </c>
      <c r="FE3" s="218">
        <v>7.0</v>
      </c>
      <c r="FF3" s="218">
        <v>8.0</v>
      </c>
      <c r="FG3" s="218">
        <v>9.0</v>
      </c>
      <c r="FH3" s="218">
        <v>10.0</v>
      </c>
      <c r="FI3" s="218">
        <v>11.0</v>
      </c>
      <c r="FJ3" s="218">
        <v>12.0</v>
      </c>
      <c r="FK3" s="208"/>
      <c r="FL3" s="218" t="s">
        <v>222</v>
      </c>
      <c r="FM3" s="218">
        <v>1.0</v>
      </c>
      <c r="FN3" s="218">
        <v>2.0</v>
      </c>
      <c r="FO3" s="218">
        <v>3.0</v>
      </c>
      <c r="FP3" s="218">
        <v>4.0</v>
      </c>
      <c r="FQ3" s="218">
        <v>5.0</v>
      </c>
      <c r="FR3" s="218">
        <v>6.0</v>
      </c>
      <c r="FS3" s="218">
        <v>7.0</v>
      </c>
      <c r="FT3" s="218">
        <v>8.0</v>
      </c>
      <c r="FU3" s="218">
        <v>9.0</v>
      </c>
      <c r="FV3" s="218">
        <v>10.0</v>
      </c>
      <c r="FW3" s="218">
        <v>11.0</v>
      </c>
      <c r="FX3" s="218">
        <v>12.0</v>
      </c>
      <c r="FY3" s="218"/>
      <c r="FZ3" s="212"/>
      <c r="GA3" s="224" t="s">
        <v>223</v>
      </c>
      <c r="GB3" s="224" t="s">
        <v>224</v>
      </c>
      <c r="GC3" s="212"/>
      <c r="GD3" s="224" t="s">
        <v>223</v>
      </c>
      <c r="GE3" s="224" t="s">
        <v>224</v>
      </c>
      <c r="GF3" s="212"/>
      <c r="GG3" s="224" t="s">
        <v>223</v>
      </c>
      <c r="GH3" s="224" t="s">
        <v>224</v>
      </c>
    </row>
    <row r="4" ht="27.0" customHeight="1">
      <c r="B4" s="199"/>
      <c r="I4" s="106"/>
      <c r="J4" s="225"/>
      <c r="T4" s="226"/>
      <c r="W4" s="201"/>
      <c r="AE4" s="203"/>
      <c r="AF4" s="204"/>
      <c r="BZ4" s="217"/>
      <c r="DJ4" s="120" t="s">
        <v>21</v>
      </c>
      <c r="DK4" s="172" t="str">
        <f t="shared" ref="DK4:EB4" si="1">IFERROR(INDIRECT("'Bloque "&amp;$D$38&amp;" Semana "&amp;MID(DK3,2,2)&amp;"'"&amp;"!"&amp;"CC15"),"")</f>
        <v/>
      </c>
      <c r="DL4" s="172" t="str">
        <f t="shared" si="1"/>
        <v/>
      </c>
      <c r="DM4" s="172" t="str">
        <f t="shared" si="1"/>
        <v/>
      </c>
      <c r="DN4" s="172" t="str">
        <f t="shared" si="1"/>
        <v/>
      </c>
      <c r="DO4" s="172" t="str">
        <f t="shared" si="1"/>
        <v/>
      </c>
      <c r="DP4" s="172" t="str">
        <f t="shared" si="1"/>
        <v/>
      </c>
      <c r="DQ4" s="172" t="str">
        <f t="shared" si="1"/>
        <v/>
      </c>
      <c r="DR4" s="172" t="str">
        <f t="shared" si="1"/>
        <v/>
      </c>
      <c r="DS4" s="172" t="str">
        <f t="shared" si="1"/>
        <v/>
      </c>
      <c r="DT4" s="172" t="str">
        <f t="shared" si="1"/>
        <v/>
      </c>
      <c r="DU4" s="172" t="str">
        <f t="shared" si="1"/>
        <v/>
      </c>
      <c r="DV4" s="172" t="str">
        <f t="shared" si="1"/>
        <v/>
      </c>
      <c r="DW4" s="172" t="str">
        <f t="shared" si="1"/>
        <v/>
      </c>
      <c r="DX4" s="172" t="str">
        <f t="shared" si="1"/>
        <v/>
      </c>
      <c r="DY4" s="172" t="str">
        <f t="shared" si="1"/>
        <v/>
      </c>
      <c r="DZ4" s="172" t="str">
        <f t="shared" si="1"/>
        <v/>
      </c>
      <c r="EA4" s="172" t="str">
        <f t="shared" si="1"/>
        <v/>
      </c>
      <c r="EB4" s="172" t="str">
        <f t="shared" si="1"/>
        <v/>
      </c>
      <c r="ED4" s="83"/>
      <c r="EE4" s="227" t="str">
        <f t="array" ref="EE4">IF(NOT($D$37=1),IFERROR(INDIRECT("'Bloque "&amp;$D$38&amp;" Semana "&amp;"1"&amp;"'"&amp;"!"&amp;"E37"),""),"S1")</f>
        <v>S1</v>
      </c>
      <c r="EF4" s="227" t="str">
        <f t="array" ref="EF4">IF(NOT($D$37=2),IFERROR(INDIRECT("'Bloque "&amp;$D$38&amp;" Semana "&amp;"2"&amp;"'"&amp;"!"&amp;"E37"),""),"S2")</f>
        <v/>
      </c>
      <c r="EG4" s="227" t="str">
        <f t="array" ref="EG4">IF(NOT($D$37=3),IFERROR(INDIRECT("'Bloque "&amp;$D$38&amp;" Semana "&amp;"3"&amp;"'"&amp;"!"&amp;"E37"),""),"S3")</f>
        <v/>
      </c>
      <c r="EH4" s="227" t="str">
        <f t="array" ref="EH4">IF(NOT($D$37=4),IFERROR(INDIRECT("'Bloque "&amp;$D$38&amp;" Semana "&amp;"4"&amp;"'"&amp;"!"&amp;"E37"),""),"S4")</f>
        <v/>
      </c>
      <c r="EI4" s="227" t="str">
        <f t="array" ref="EI4">IF(NOT($D$37=5),IFERROR(INDIRECT("'Bloque "&amp;$D$38&amp;" Semana "&amp;"5"&amp;"'"&amp;"!"&amp;"E37"),""),"S5")</f>
        <v/>
      </c>
      <c r="EJ4" s="227" t="str">
        <f t="array" ref="EJ4">IF(NOT($D$37=6),IFERROR(INDIRECT("'Bloque "&amp;$D$38&amp;" Semana "&amp;"6"&amp;"'"&amp;"!"&amp;"E37"),""),"S6")</f>
        <v/>
      </c>
      <c r="EK4" s="227" t="str">
        <f t="array" ref="EK4">IF(NOT($D$37=7),IFERROR(INDIRECT("'Bloque "&amp;$D$38&amp;" Semana "&amp;"7"&amp;"'"&amp;"!"&amp;"E37"),""),"S7")</f>
        <v/>
      </c>
      <c r="EL4" s="227" t="str">
        <f t="array" ref="EL4">IF(NOT($D$37=8),IFERROR(INDIRECT("'Bloque "&amp;$D$38&amp;" Semana "&amp;"8"&amp;"'"&amp;"!"&amp;"E37"),""),"S8")</f>
        <v/>
      </c>
      <c r="EM4" s="227" t="str">
        <f t="array" ref="EM4">IF(NOT($D$37=9),IFERROR(INDIRECT("'Bloque "&amp;$D$38&amp;" Semana "&amp;"9"&amp;"'"&amp;"!"&amp;"E37"),""),"S9")</f>
        <v/>
      </c>
      <c r="EN4" s="227" t="str">
        <f t="array" ref="EN4">IF(NOT($D$37=10),IFERROR(INDIRECT("'Bloque "&amp;$D$38&amp;" Semana "&amp;"10"&amp;"'"&amp;"!"&amp;"E37"),""),"S10")</f>
        <v/>
      </c>
      <c r="EO4" s="227" t="str">
        <f t="array" ref="EO4">IF(NOT($D$37=11),IFERROR(INDIRECT("'Bloque "&amp;$D$38&amp;" Semana "&amp;"11"&amp;"'"&amp;"!"&amp;"E37"),""),"S11")</f>
        <v/>
      </c>
      <c r="EP4" s="227" t="str">
        <f t="array" ref="EP4">IF(NOT($D$37=12),IFERROR(INDIRECT("'Bloque "&amp;$D$38&amp;" Semana "&amp;"12"&amp;"'"&amp;"!"&amp;"E37"),""),"S12")</f>
        <v/>
      </c>
      <c r="EQ4" s="227" t="str">
        <f t="array" ref="EQ4">IF(NOT($D$37=13),IFERROR(INDIRECT("'Bloque "&amp;$D$38&amp;" Semana "&amp;"13"&amp;"'"&amp;"!"&amp;"E37"),""),"S13")</f>
        <v/>
      </c>
      <c r="ER4" s="227" t="str">
        <f t="array" ref="ER4">IF(NOT($D$37=14),IFERROR(INDIRECT("'Bloque "&amp;$D$38&amp;" Semana "&amp;"14"&amp;"'"&amp;"!"&amp;"E37"),""),"S14")</f>
        <v/>
      </c>
      <c r="ES4" s="227" t="str">
        <f t="array" ref="ES4">IF(NOT($D$37=15),IFERROR(INDIRECT("'Bloque "&amp;$D$38&amp;" Semana "&amp;"15"&amp;"'"&amp;"!"&amp;"E37"),""),"S15")</f>
        <v/>
      </c>
      <c r="ET4" s="227" t="str">
        <f t="array" ref="ET4">IF(NOT($D$37=16),IFERROR(INDIRECT("'Bloque "&amp;$D$38&amp;" Semana "&amp;"16"&amp;"'"&amp;"!"&amp;"E37"),""),"S16")</f>
        <v/>
      </c>
      <c r="EU4" s="227" t="str">
        <f t="array" ref="EU4">IF(NOT($D$37=17),IFERROR(INDIRECT("'Bloque "&amp;$D$38&amp;" Semana "&amp;"17"&amp;"'"&amp;"!"&amp;"E37"),""),"S17")</f>
        <v/>
      </c>
      <c r="EV4" s="227" t="str">
        <f t="array" ref="EV4">IF(NOT($D$37=18),IFERROR(INDIRECT("'Bloque "&amp;$D$38&amp;" Semana "&amp;"18"&amp;"'"&amp;"!"&amp;"E37"),""),"S18")</f>
        <v/>
      </c>
      <c r="EX4" s="218">
        <v>10.0</v>
      </c>
      <c r="EY4" s="228">
        <v>1.0</v>
      </c>
      <c r="EZ4" s="228">
        <v>0.955</v>
      </c>
      <c r="FA4" s="228">
        <v>0.922</v>
      </c>
      <c r="FB4" s="228">
        <v>0.892</v>
      </c>
      <c r="FC4" s="228">
        <v>0.863</v>
      </c>
      <c r="FD4" s="228">
        <v>0.837</v>
      </c>
      <c r="FE4" s="228">
        <v>0.811</v>
      </c>
      <c r="FF4" s="228">
        <v>0.786</v>
      </c>
      <c r="FG4" s="228">
        <v>0.762</v>
      </c>
      <c r="FH4" s="228">
        <v>0.739</v>
      </c>
      <c r="FI4" s="228">
        <v>0.707</v>
      </c>
      <c r="FJ4" s="228">
        <v>0.68</v>
      </c>
      <c r="FK4" s="208"/>
      <c r="FL4" s="218">
        <v>10.0</v>
      </c>
      <c r="FM4" s="228">
        <v>1.0</v>
      </c>
      <c r="FN4" s="228">
        <v>0.965</v>
      </c>
      <c r="FO4" s="228">
        <v>0.942</v>
      </c>
      <c r="FP4" s="228">
        <v>0.919</v>
      </c>
      <c r="FQ4" s="228">
        <v>0.897</v>
      </c>
      <c r="FR4" s="228">
        <v>0.875</v>
      </c>
      <c r="FS4" s="228">
        <v>0.854</v>
      </c>
      <c r="FT4" s="228">
        <v>0.834</v>
      </c>
      <c r="FU4" s="228">
        <v>0.814</v>
      </c>
      <c r="FV4" s="228">
        <v>0.794</v>
      </c>
      <c r="FW4" s="228">
        <v>0.775</v>
      </c>
      <c r="FX4" s="228">
        <v>0.756</v>
      </c>
      <c r="FY4" s="228"/>
      <c r="FZ4" s="84" t="str">
        <f t="array" ref="FZ4">IF(NOT($D$37=1),IFERROR(INDIRECT("'Bloque "&amp;$D$38&amp;" Semana "&amp;"1"&amp;"'"&amp;"!"&amp;"E37"),""),"S1")</f>
        <v>S1</v>
      </c>
      <c r="GA4" s="229" t="str">
        <f t="shared" ref="GA4:GA21" si="4">IFERROR(INDIRECT("'Bloque "&amp;$D$38&amp;" Semana "&amp;MID(FZ4,2,2)&amp;"'"&amp;"!"&amp;"CD15"),"")</f>
        <v/>
      </c>
      <c r="GB4" s="212" t="str">
        <f t="shared" ref="GB4:GB21" si="5">IFERROR(INDIRECT("'Bloque "&amp;$D$38&amp;" Semana "&amp;MID(FZ4,2,2)&amp;"'"&amp;"!"&amp;"CC15"),"")</f>
        <v/>
      </c>
      <c r="GC4" s="84" t="str">
        <f t="array" ref="GC4">IF(NOT($D$37=1),IFERROR(INDIRECT("'Bloque "&amp;$D$38&amp;" Semana "&amp;"1"&amp;"'"&amp;"!"&amp;"E37"),""),"S1")</f>
        <v>S1</v>
      </c>
      <c r="GD4" s="229" t="str">
        <f t="shared" ref="GD4:GD21" si="6">IFERROR(INDIRECT("'Bloque "&amp;$D$38&amp;" Semana "&amp;MID(GC4,2,2)&amp;"'"&amp;"!"&amp;"CD16"),"")</f>
        <v/>
      </c>
      <c r="GE4" s="212" t="str">
        <f t="shared" ref="GE4:GE21" si="7">IFERROR(INDIRECT("'Bloque "&amp;$D$38&amp;" Semana "&amp;MID(GC4,2,2)&amp;"'"&amp;"!"&amp;"CC16"),"")</f>
        <v/>
      </c>
      <c r="GF4" s="84" t="str">
        <f t="array" ref="GF4">IF(NOT($D$37=1),IFERROR(INDIRECT("'Bloque "&amp;$D$38&amp;" Semana "&amp;"1"&amp;"'"&amp;"!"&amp;"E37"),""),"S1")</f>
        <v>S1</v>
      </c>
      <c r="GG4" s="229" t="str">
        <f t="shared" ref="GG4:GG21" si="8">IFERROR(INDIRECT("'Bloque "&amp;$D$38&amp;" Semana "&amp;MID(GF4,2,2)&amp;"'"&amp;"!"&amp;"CD17"),"")</f>
        <v/>
      </c>
      <c r="GH4" s="212" t="str">
        <f t="shared" ref="GH4:GH21" si="9">IFERROR(INDIRECT("'Bloque "&amp;$D$38&amp;" Semana "&amp;MID(GF4,2,2)&amp;"'"&amp;"!"&amp;"CC17"),"")</f>
        <v/>
      </c>
    </row>
    <row r="5">
      <c r="B5" s="199"/>
      <c r="I5" s="106"/>
      <c r="J5" s="225"/>
      <c r="T5" s="226"/>
      <c r="W5" s="201"/>
      <c r="AE5" s="203"/>
      <c r="AF5" s="204"/>
      <c r="AG5" s="230" t="s">
        <v>225</v>
      </c>
      <c r="BZ5" s="217"/>
      <c r="CU5" s="4"/>
      <c r="DJ5" s="120" t="s">
        <v>36</v>
      </c>
      <c r="DK5" s="172" t="str">
        <f t="shared" ref="DK5:EB5" si="2">IFERROR(INDIRECT("'Bloque "&amp;$D$38&amp;" Semana "&amp;MID(DK3,2,2)&amp;"'"&amp;"!"&amp;"CC16"),"")</f>
        <v/>
      </c>
      <c r="DL5" s="172" t="str">
        <f t="shared" si="2"/>
        <v/>
      </c>
      <c r="DM5" s="172" t="str">
        <f t="shared" si="2"/>
        <v/>
      </c>
      <c r="DN5" s="172" t="str">
        <f t="shared" si="2"/>
        <v/>
      </c>
      <c r="DO5" s="172" t="str">
        <f t="shared" si="2"/>
        <v/>
      </c>
      <c r="DP5" s="172" t="str">
        <f t="shared" si="2"/>
        <v/>
      </c>
      <c r="DQ5" s="172" t="str">
        <f t="shared" si="2"/>
        <v/>
      </c>
      <c r="DR5" s="172" t="str">
        <f t="shared" si="2"/>
        <v/>
      </c>
      <c r="DS5" s="172" t="str">
        <f t="shared" si="2"/>
        <v/>
      </c>
      <c r="DT5" s="172" t="str">
        <f t="shared" si="2"/>
        <v/>
      </c>
      <c r="DU5" s="172" t="str">
        <f t="shared" si="2"/>
        <v/>
      </c>
      <c r="DV5" s="172" t="str">
        <f t="shared" si="2"/>
        <v/>
      </c>
      <c r="DW5" s="172" t="str">
        <f t="shared" si="2"/>
        <v/>
      </c>
      <c r="DX5" s="172" t="str">
        <f t="shared" si="2"/>
        <v/>
      </c>
      <c r="DY5" s="172" t="str">
        <f t="shared" si="2"/>
        <v/>
      </c>
      <c r="DZ5" s="172" t="str">
        <f t="shared" si="2"/>
        <v/>
      </c>
      <c r="EA5" s="172" t="str">
        <f t="shared" si="2"/>
        <v/>
      </c>
      <c r="EB5" s="172" t="str">
        <f t="shared" si="2"/>
        <v/>
      </c>
      <c r="ED5" s="120" t="str">
        <f t="shared" ref="ED5:ED10" si="11">BZ21</f>
        <v>Dominante de Rodilla</v>
      </c>
      <c r="EE5" s="231" t="str">
        <f t="shared" ref="EE5:EV5" si="3">IFERROR(INDIRECT("'Bloque "&amp;$D$38&amp;" Semana "&amp;MID(EE4,2,2)&amp;"'"&amp;"!"&amp;"CC21"),"")</f>
        <v/>
      </c>
      <c r="EF5" s="231" t="str">
        <f t="shared" si="3"/>
        <v/>
      </c>
      <c r="EG5" s="231" t="str">
        <f t="shared" si="3"/>
        <v/>
      </c>
      <c r="EH5" s="231" t="str">
        <f t="shared" si="3"/>
        <v/>
      </c>
      <c r="EI5" s="231" t="str">
        <f t="shared" si="3"/>
        <v/>
      </c>
      <c r="EJ5" s="231" t="str">
        <f t="shared" si="3"/>
        <v/>
      </c>
      <c r="EK5" s="231" t="str">
        <f t="shared" si="3"/>
        <v/>
      </c>
      <c r="EL5" s="231" t="str">
        <f t="shared" si="3"/>
        <v/>
      </c>
      <c r="EM5" s="231" t="str">
        <f t="shared" si="3"/>
        <v/>
      </c>
      <c r="EN5" s="231" t="str">
        <f t="shared" si="3"/>
        <v/>
      </c>
      <c r="EO5" s="231" t="str">
        <f t="shared" si="3"/>
        <v/>
      </c>
      <c r="EP5" s="231" t="str">
        <f t="shared" si="3"/>
        <v/>
      </c>
      <c r="EQ5" s="231" t="str">
        <f t="shared" si="3"/>
        <v/>
      </c>
      <c r="ER5" s="231" t="str">
        <f t="shared" si="3"/>
        <v/>
      </c>
      <c r="ES5" s="231" t="str">
        <f t="shared" si="3"/>
        <v/>
      </c>
      <c r="ET5" s="231" t="str">
        <f t="shared" si="3"/>
        <v/>
      </c>
      <c r="EU5" s="231" t="str">
        <f t="shared" si="3"/>
        <v/>
      </c>
      <c r="EV5" s="231" t="str">
        <f t="shared" si="3"/>
        <v/>
      </c>
      <c r="EX5" s="218">
        <v>9.5</v>
      </c>
      <c r="EY5" s="228">
        <v>0.978</v>
      </c>
      <c r="EZ5" s="228">
        <v>0.939</v>
      </c>
      <c r="FA5" s="228">
        <v>0.907</v>
      </c>
      <c r="FB5" s="228">
        <v>0.878</v>
      </c>
      <c r="FC5" s="228">
        <v>0.85</v>
      </c>
      <c r="FD5" s="228">
        <v>0.824</v>
      </c>
      <c r="FE5" s="228">
        <v>0.799</v>
      </c>
      <c r="FF5" s="228">
        <v>0.774</v>
      </c>
      <c r="FG5" s="228">
        <v>0.751</v>
      </c>
      <c r="FH5" s="228">
        <v>0.723</v>
      </c>
      <c r="FI5" s="228">
        <v>0.694</v>
      </c>
      <c r="FJ5" s="228">
        <v>0.667</v>
      </c>
      <c r="FK5" s="208"/>
      <c r="FL5" s="218">
        <v>9.5</v>
      </c>
      <c r="FM5" s="228">
        <v>0.989</v>
      </c>
      <c r="FN5" s="228">
        <v>0.955</v>
      </c>
      <c r="FO5" s="228">
        <v>0.932</v>
      </c>
      <c r="FP5" s="228">
        <v>0.909</v>
      </c>
      <c r="FQ5" s="228">
        <v>0.887</v>
      </c>
      <c r="FR5" s="228">
        <v>0.866</v>
      </c>
      <c r="FS5" s="228">
        <v>0.845</v>
      </c>
      <c r="FT5" s="228">
        <v>0.825</v>
      </c>
      <c r="FU5" s="228">
        <v>0.805</v>
      </c>
      <c r="FV5" s="228">
        <v>0.756</v>
      </c>
      <c r="FW5" s="228">
        <v>0.767</v>
      </c>
      <c r="FX5" s="228">
        <v>0.748</v>
      </c>
      <c r="FY5" s="228"/>
      <c r="FZ5" s="84" t="str">
        <f t="array" ref="FZ5">IF(NOT($D$37=2),IFERROR(INDIRECT("'Bloque "&amp;$D$38&amp;" Semana "&amp;"2"&amp;"'"&amp;"!"&amp;"E37"),""),"S2")</f>
        <v/>
      </c>
      <c r="GA5" s="229" t="str">
        <f t="shared" si="4"/>
        <v/>
      </c>
      <c r="GB5" s="212" t="str">
        <f t="shared" si="5"/>
        <v/>
      </c>
      <c r="GC5" s="84" t="str">
        <f t="array" ref="GC5">IF(NOT($D$37=2),IFERROR(INDIRECT("'Bloque "&amp;$D$38&amp;" Semana "&amp;"2"&amp;"'"&amp;"!"&amp;"E37"),""),"S2")</f>
        <v/>
      </c>
      <c r="GD5" s="229" t="str">
        <f t="shared" si="6"/>
        <v/>
      </c>
      <c r="GE5" s="212" t="str">
        <f t="shared" si="7"/>
        <v/>
      </c>
      <c r="GF5" s="84" t="str">
        <f t="array" ref="GF5">IF(NOT($D$37=2),IFERROR(INDIRECT("'Bloque "&amp;$D$38&amp;" Semana "&amp;"2"&amp;"'"&amp;"!"&amp;"E37"),""),"S2")</f>
        <v/>
      </c>
      <c r="GG5" s="229" t="str">
        <f t="shared" si="8"/>
        <v/>
      </c>
      <c r="GH5" s="212" t="str">
        <f t="shared" si="9"/>
        <v/>
      </c>
    </row>
    <row r="6" ht="30.75" customHeight="1">
      <c r="B6" s="199"/>
      <c r="I6" s="106"/>
      <c r="J6" s="225"/>
      <c r="T6" s="226"/>
      <c r="W6" s="201"/>
      <c r="AE6" s="203"/>
      <c r="AF6" s="204"/>
      <c r="AG6" s="232" t="s">
        <v>226</v>
      </c>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33" t="s">
        <v>227</v>
      </c>
      <c r="BS6" s="221"/>
      <c r="BT6" s="221"/>
      <c r="BU6" s="221"/>
      <c r="BV6" s="221"/>
      <c r="BW6" s="221"/>
      <c r="BX6" s="106"/>
      <c r="BY6" s="106"/>
      <c r="BZ6" s="234" t="s">
        <v>228</v>
      </c>
      <c r="CA6" s="235"/>
      <c r="CB6" s="235"/>
      <c r="CC6" s="235"/>
      <c r="CD6" s="235"/>
      <c r="CE6" s="235"/>
      <c r="CF6" s="236"/>
      <c r="CG6" s="236"/>
      <c r="CH6" s="237" t="s">
        <v>229</v>
      </c>
      <c r="CI6" s="238"/>
      <c r="CJ6" s="239"/>
      <c r="CK6" s="237"/>
      <c r="CL6" s="239"/>
      <c r="CM6" s="239"/>
      <c r="CN6" s="239"/>
      <c r="CO6" s="240" t="s">
        <v>230</v>
      </c>
      <c r="CP6" s="210"/>
      <c r="CQ6" s="210"/>
      <c r="CR6" s="210"/>
      <c r="CS6" s="210"/>
      <c r="CT6" s="241"/>
      <c r="DJ6" s="120" t="s">
        <v>42</v>
      </c>
      <c r="DK6" s="172" t="str">
        <f t="shared" ref="DK6:EB6" si="10">IFERROR(INDIRECT("'Bloque "&amp;$D$38&amp;" Semana "&amp;MID(DK3,2,2)&amp;"'"&amp;"!"&amp;"CC17"),"")</f>
        <v/>
      </c>
      <c r="DL6" s="172" t="str">
        <f t="shared" si="10"/>
        <v/>
      </c>
      <c r="DM6" s="172" t="str">
        <f t="shared" si="10"/>
        <v/>
      </c>
      <c r="DN6" s="172" t="str">
        <f t="shared" si="10"/>
        <v/>
      </c>
      <c r="DO6" s="172" t="str">
        <f t="shared" si="10"/>
        <v/>
      </c>
      <c r="DP6" s="172" t="str">
        <f t="shared" si="10"/>
        <v/>
      </c>
      <c r="DQ6" s="172" t="str">
        <f t="shared" si="10"/>
        <v/>
      </c>
      <c r="DR6" s="172" t="str">
        <f t="shared" si="10"/>
        <v/>
      </c>
      <c r="DS6" s="172" t="str">
        <f t="shared" si="10"/>
        <v/>
      </c>
      <c r="DT6" s="172" t="str">
        <f t="shared" si="10"/>
        <v/>
      </c>
      <c r="DU6" s="172" t="str">
        <f t="shared" si="10"/>
        <v/>
      </c>
      <c r="DV6" s="172" t="str">
        <f t="shared" si="10"/>
        <v/>
      </c>
      <c r="DW6" s="172" t="str">
        <f t="shared" si="10"/>
        <v/>
      </c>
      <c r="DX6" s="172" t="str">
        <f t="shared" si="10"/>
        <v/>
      </c>
      <c r="DY6" s="172" t="str">
        <f t="shared" si="10"/>
        <v/>
      </c>
      <c r="DZ6" s="172" t="str">
        <f t="shared" si="10"/>
        <v/>
      </c>
      <c r="EA6" s="172" t="str">
        <f t="shared" si="10"/>
        <v/>
      </c>
      <c r="EB6" s="172" t="str">
        <f t="shared" si="10"/>
        <v/>
      </c>
      <c r="ED6" s="120" t="str">
        <f t="shared" si="11"/>
        <v>Bisagra de Cadera</v>
      </c>
      <c r="EE6" s="231" t="str">
        <f t="shared" ref="EE6:EV6" si="12">IFERROR(INDIRECT("'Bloque "&amp;$D$38&amp;" Semana "&amp;MID(EE4,2,2)&amp;"'"&amp;"!"&amp;"CC22"),"")</f>
        <v/>
      </c>
      <c r="EF6" s="231" t="str">
        <f t="shared" si="12"/>
        <v/>
      </c>
      <c r="EG6" s="231" t="str">
        <f t="shared" si="12"/>
        <v/>
      </c>
      <c r="EH6" s="231" t="str">
        <f t="shared" si="12"/>
        <v/>
      </c>
      <c r="EI6" s="231" t="str">
        <f t="shared" si="12"/>
        <v/>
      </c>
      <c r="EJ6" s="231" t="str">
        <f t="shared" si="12"/>
        <v/>
      </c>
      <c r="EK6" s="231" t="str">
        <f t="shared" si="12"/>
        <v/>
      </c>
      <c r="EL6" s="231" t="str">
        <f t="shared" si="12"/>
        <v/>
      </c>
      <c r="EM6" s="231" t="str">
        <f t="shared" si="12"/>
        <v/>
      </c>
      <c r="EN6" s="231" t="str">
        <f t="shared" si="12"/>
        <v/>
      </c>
      <c r="EO6" s="231" t="str">
        <f t="shared" si="12"/>
        <v/>
      </c>
      <c r="EP6" s="231" t="str">
        <f t="shared" si="12"/>
        <v/>
      </c>
      <c r="EQ6" s="231" t="str">
        <f t="shared" si="12"/>
        <v/>
      </c>
      <c r="ER6" s="231" t="str">
        <f t="shared" si="12"/>
        <v/>
      </c>
      <c r="ES6" s="231" t="str">
        <f t="shared" si="12"/>
        <v/>
      </c>
      <c r="ET6" s="231" t="str">
        <f t="shared" si="12"/>
        <v/>
      </c>
      <c r="EU6" s="231" t="str">
        <f t="shared" si="12"/>
        <v/>
      </c>
      <c r="EV6" s="231" t="str">
        <f t="shared" si="12"/>
        <v/>
      </c>
      <c r="EX6" s="218">
        <v>9.0</v>
      </c>
      <c r="EY6" s="228">
        <v>0.955</v>
      </c>
      <c r="EZ6" s="228">
        <v>0.922</v>
      </c>
      <c r="FA6" s="228">
        <v>0.892</v>
      </c>
      <c r="FB6" s="228">
        <v>0.863</v>
      </c>
      <c r="FC6" s="228">
        <v>0.837</v>
      </c>
      <c r="FD6" s="228">
        <v>0.811</v>
      </c>
      <c r="FE6" s="228">
        <v>0.786</v>
      </c>
      <c r="FF6" s="228">
        <v>0.762</v>
      </c>
      <c r="FG6" s="228">
        <v>0.739</v>
      </c>
      <c r="FH6" s="228">
        <v>0.707</v>
      </c>
      <c r="FI6" s="228">
        <v>0.68</v>
      </c>
      <c r="FJ6" s="228">
        <v>0.653</v>
      </c>
      <c r="FK6" s="208"/>
      <c r="FL6" s="218">
        <v>9.0</v>
      </c>
      <c r="FM6" s="228">
        <v>0.979</v>
      </c>
      <c r="FN6" s="228">
        <v>0.944</v>
      </c>
      <c r="FO6" s="228">
        <v>0.922</v>
      </c>
      <c r="FP6" s="228">
        <v>0.9</v>
      </c>
      <c r="FQ6" s="228">
        <v>0.878</v>
      </c>
      <c r="FR6" s="228">
        <v>0.857</v>
      </c>
      <c r="FS6" s="228">
        <v>0.836</v>
      </c>
      <c r="FT6" s="228">
        <v>0.816</v>
      </c>
      <c r="FU6" s="228">
        <v>0.796</v>
      </c>
      <c r="FV6" s="228">
        <v>0.777</v>
      </c>
      <c r="FW6" s="228">
        <v>0.758</v>
      </c>
      <c r="FX6" s="228">
        <v>0.74</v>
      </c>
      <c r="FY6" s="228"/>
      <c r="FZ6" s="84" t="str">
        <f t="array" ref="FZ6">IF(NOT($D$37=3),IFERROR(INDIRECT("'Bloque "&amp;$D$38&amp;" Semana "&amp;"3"&amp;"'"&amp;"!"&amp;"E37"),""),"S3")</f>
        <v/>
      </c>
      <c r="GA6" s="229" t="str">
        <f t="shared" si="4"/>
        <v/>
      </c>
      <c r="GB6" s="212" t="str">
        <f t="shared" si="5"/>
        <v/>
      </c>
      <c r="GC6" s="84" t="str">
        <f t="array" ref="GC6">IF(NOT($D$37=3),IFERROR(INDIRECT("'Bloque "&amp;$D$38&amp;" Semana "&amp;"3"&amp;"'"&amp;"!"&amp;"E37"),""),"S3")</f>
        <v/>
      </c>
      <c r="GD6" s="229" t="str">
        <f t="shared" si="6"/>
        <v/>
      </c>
      <c r="GE6" s="212" t="str">
        <f t="shared" si="7"/>
        <v/>
      </c>
      <c r="GF6" s="84" t="str">
        <f t="array" ref="GF6">IF(NOT($D$37=3),IFERROR(INDIRECT("'Bloque "&amp;$D$38&amp;" Semana "&amp;"3"&amp;"'"&amp;"!"&amp;"E37"),""),"S3")</f>
        <v/>
      </c>
      <c r="GG6" s="229" t="str">
        <f t="shared" si="8"/>
        <v/>
      </c>
      <c r="GH6" s="212" t="str">
        <f t="shared" si="9"/>
        <v/>
      </c>
    </row>
    <row r="7" ht="41.25" customHeight="1">
      <c r="B7" s="199"/>
      <c r="I7" s="106"/>
      <c r="J7" s="225"/>
      <c r="T7" s="226"/>
      <c r="W7" s="201"/>
      <c r="AE7" s="203"/>
      <c r="AF7" s="204"/>
      <c r="AG7" s="225"/>
      <c r="BX7" s="106"/>
      <c r="BY7" s="106"/>
      <c r="BZ7" s="242" t="s">
        <v>231</v>
      </c>
      <c r="CA7" s="243"/>
      <c r="CB7" s="243"/>
      <c r="CC7" s="243"/>
      <c r="CD7" s="243"/>
      <c r="CE7" s="243"/>
      <c r="CF7" s="244"/>
      <c r="CG7" s="245"/>
      <c r="CH7" s="246" t="s">
        <v>232</v>
      </c>
      <c r="CI7" s="247" t="s">
        <v>233</v>
      </c>
      <c r="CJ7" s="248"/>
      <c r="CK7" s="248"/>
      <c r="CL7" s="249"/>
      <c r="CM7" s="249"/>
      <c r="CN7" s="250"/>
      <c r="CO7" s="251"/>
      <c r="CP7" s="251"/>
      <c r="CQ7" s="251"/>
      <c r="CR7" s="251"/>
      <c r="CS7" s="251"/>
      <c r="CT7" s="252"/>
      <c r="ED7" s="120" t="str">
        <f t="shared" si="11"/>
        <v>Empuje Horizontal</v>
      </c>
      <c r="EE7" s="231" t="str">
        <f t="shared" ref="EE7:EV7" si="13">IFERROR(INDIRECT("'Bloque "&amp;$D$38&amp;" Semana "&amp;MID(EE4,2,2)&amp;"'"&amp;"!"&amp;"CC23"),"")</f>
        <v/>
      </c>
      <c r="EF7" s="231" t="str">
        <f t="shared" si="13"/>
        <v/>
      </c>
      <c r="EG7" s="231" t="str">
        <f t="shared" si="13"/>
        <v/>
      </c>
      <c r="EH7" s="231" t="str">
        <f t="shared" si="13"/>
        <v/>
      </c>
      <c r="EI7" s="231" t="str">
        <f t="shared" si="13"/>
        <v/>
      </c>
      <c r="EJ7" s="231" t="str">
        <f t="shared" si="13"/>
        <v/>
      </c>
      <c r="EK7" s="231" t="str">
        <f t="shared" si="13"/>
        <v/>
      </c>
      <c r="EL7" s="231" t="str">
        <f t="shared" si="13"/>
        <v/>
      </c>
      <c r="EM7" s="231" t="str">
        <f t="shared" si="13"/>
        <v/>
      </c>
      <c r="EN7" s="231" t="str">
        <f t="shared" si="13"/>
        <v/>
      </c>
      <c r="EO7" s="231" t="str">
        <f t="shared" si="13"/>
        <v/>
      </c>
      <c r="EP7" s="231" t="str">
        <f t="shared" si="13"/>
        <v/>
      </c>
      <c r="EQ7" s="231" t="str">
        <f t="shared" si="13"/>
        <v/>
      </c>
      <c r="ER7" s="231" t="str">
        <f t="shared" si="13"/>
        <v/>
      </c>
      <c r="ES7" s="231" t="str">
        <f t="shared" si="13"/>
        <v/>
      </c>
      <c r="ET7" s="231" t="str">
        <f t="shared" si="13"/>
        <v/>
      </c>
      <c r="EU7" s="231" t="str">
        <f t="shared" si="13"/>
        <v/>
      </c>
      <c r="EV7" s="231" t="str">
        <f t="shared" si="13"/>
        <v/>
      </c>
      <c r="EX7" s="218">
        <v>8.5</v>
      </c>
      <c r="EY7" s="228">
        <v>0.939</v>
      </c>
      <c r="EZ7" s="228">
        <v>0.907</v>
      </c>
      <c r="FA7" s="228">
        <v>0.878</v>
      </c>
      <c r="FB7" s="228">
        <v>0.85</v>
      </c>
      <c r="FC7" s="228">
        <v>0.824</v>
      </c>
      <c r="FD7" s="228">
        <v>0.799</v>
      </c>
      <c r="FE7" s="228">
        <v>0.774</v>
      </c>
      <c r="FF7" s="228">
        <v>0.751</v>
      </c>
      <c r="FG7" s="228">
        <v>0.723</v>
      </c>
      <c r="FH7" s="228">
        <v>0.694</v>
      </c>
      <c r="FI7" s="228">
        <v>0.667</v>
      </c>
      <c r="FJ7" s="228">
        <v>0.64</v>
      </c>
      <c r="FK7" s="208"/>
      <c r="FL7" s="218">
        <v>8.5</v>
      </c>
      <c r="FM7" s="228">
        <v>0.968</v>
      </c>
      <c r="FN7" s="228">
        <v>0.934</v>
      </c>
      <c r="FO7" s="228">
        <v>0.912</v>
      </c>
      <c r="FP7" s="228">
        <v>0.89</v>
      </c>
      <c r="FQ7" s="228">
        <v>0.868</v>
      </c>
      <c r="FR7" s="228">
        <v>0.848</v>
      </c>
      <c r="FS7" s="228">
        <v>0.827</v>
      </c>
      <c r="FT7" s="228">
        <v>0.807</v>
      </c>
      <c r="FU7" s="228">
        <v>0.788</v>
      </c>
      <c r="FV7" s="228">
        <v>0.769</v>
      </c>
      <c r="FW7" s="228">
        <v>0.75</v>
      </c>
      <c r="FX7" s="228">
        <v>0.732</v>
      </c>
      <c r="FY7" s="228"/>
      <c r="FZ7" s="84" t="str">
        <f t="array" ref="FZ7">IF(NOT($D$37=4),IFERROR(INDIRECT("'Bloque "&amp;$D$38&amp;" Semana "&amp;"4"&amp;"'"&amp;"!"&amp;"E37"),""),"S4")</f>
        <v/>
      </c>
      <c r="GA7" s="229" t="str">
        <f t="shared" si="4"/>
        <v/>
      </c>
      <c r="GB7" s="212" t="str">
        <f t="shared" si="5"/>
        <v/>
      </c>
      <c r="GC7" s="84" t="str">
        <f t="array" ref="GC7">IF(NOT($D$37=4),IFERROR(INDIRECT("'Bloque "&amp;$D$38&amp;" Semana "&amp;"4"&amp;"'"&amp;"!"&amp;"E37"),""),"S4")</f>
        <v/>
      </c>
      <c r="GD7" s="229" t="str">
        <f t="shared" si="6"/>
        <v/>
      </c>
      <c r="GE7" s="212" t="str">
        <f t="shared" si="7"/>
        <v/>
      </c>
      <c r="GF7" s="84" t="str">
        <f t="array" ref="GF7">IF(NOT($D$37=4),IFERROR(INDIRECT("'Bloque "&amp;$D$38&amp;" Semana "&amp;"4"&amp;"'"&amp;"!"&amp;"E37"),""),"S4")</f>
        <v/>
      </c>
      <c r="GG7" s="229" t="str">
        <f t="shared" si="8"/>
        <v/>
      </c>
      <c r="GH7" s="212" t="str">
        <f t="shared" si="9"/>
        <v/>
      </c>
    </row>
    <row r="8" ht="49.5" customHeight="1">
      <c r="B8" s="211"/>
      <c r="I8" s="253"/>
      <c r="J8" s="225"/>
      <c r="T8" s="226"/>
      <c r="W8" s="201"/>
      <c r="AE8" s="203"/>
      <c r="AF8" s="204"/>
      <c r="AG8" s="254" t="s">
        <v>234</v>
      </c>
      <c r="AH8" s="210"/>
      <c r="AI8" s="210"/>
      <c r="AJ8" s="210"/>
      <c r="AK8" s="255" t="s">
        <v>235</v>
      </c>
      <c r="AL8" s="210"/>
      <c r="AM8" s="210"/>
      <c r="AN8" s="210"/>
      <c r="AO8" s="255" t="s">
        <v>236</v>
      </c>
      <c r="AP8" s="210"/>
      <c r="AQ8" s="210"/>
      <c r="AR8" s="210"/>
      <c r="AS8" s="255" t="s">
        <v>237</v>
      </c>
      <c r="AT8" s="210"/>
      <c r="AU8" s="210"/>
      <c r="AV8" s="210"/>
      <c r="AW8" s="255" t="s">
        <v>238</v>
      </c>
      <c r="AX8" s="210"/>
      <c r="AY8" s="210"/>
      <c r="AZ8" s="210"/>
      <c r="BA8" s="255" t="s">
        <v>239</v>
      </c>
      <c r="BB8" s="210"/>
      <c r="BC8" s="210"/>
      <c r="BD8" s="210"/>
      <c r="BE8" s="256" t="s">
        <v>240</v>
      </c>
      <c r="BF8" s="210"/>
      <c r="BG8" s="210"/>
      <c r="BH8" s="257"/>
      <c r="BI8" s="255" t="s">
        <v>241</v>
      </c>
      <c r="BJ8" s="210"/>
      <c r="BK8" s="210"/>
      <c r="BL8" s="257"/>
      <c r="BM8" s="256" t="s">
        <v>242</v>
      </c>
      <c r="BN8" s="210"/>
      <c r="BO8" s="210"/>
      <c r="BP8" s="210"/>
      <c r="BQ8" s="258"/>
      <c r="BR8" s="259" t="s">
        <v>243</v>
      </c>
      <c r="BS8" s="210"/>
      <c r="BT8" s="210"/>
      <c r="BU8" s="259" t="s">
        <v>244</v>
      </c>
      <c r="BV8" s="210"/>
      <c r="BW8" s="260" t="s">
        <v>245</v>
      </c>
      <c r="BX8" s="106"/>
      <c r="BY8" s="106"/>
      <c r="BZ8" s="261" t="s">
        <v>246</v>
      </c>
      <c r="CA8" s="83" t="s">
        <v>247</v>
      </c>
      <c r="CB8" s="83" t="s">
        <v>248</v>
      </c>
      <c r="CC8" s="83" t="s">
        <v>224</v>
      </c>
      <c r="CD8" s="83" t="s">
        <v>249</v>
      </c>
      <c r="CE8" s="83" t="s">
        <v>250</v>
      </c>
      <c r="CF8" s="262" t="s">
        <v>251</v>
      </c>
      <c r="CH8" s="263" t="s">
        <v>252</v>
      </c>
      <c r="CI8" s="264" t="s">
        <v>253</v>
      </c>
      <c r="CJ8" s="264" t="s">
        <v>254</v>
      </c>
      <c r="CK8" s="264" t="s">
        <v>255</v>
      </c>
      <c r="CL8" s="264" t="s">
        <v>256</v>
      </c>
      <c r="CM8" s="264" t="s">
        <v>257</v>
      </c>
      <c r="CN8" s="264" t="s">
        <v>258</v>
      </c>
      <c r="CO8" s="265" t="s">
        <v>255</v>
      </c>
      <c r="CP8" s="266" t="s">
        <v>259</v>
      </c>
      <c r="CQ8" s="267" t="s">
        <v>260</v>
      </c>
      <c r="CR8" s="265" t="s">
        <v>261</v>
      </c>
      <c r="CS8" s="266" t="s">
        <v>262</v>
      </c>
      <c r="CT8" s="268" t="s">
        <v>263</v>
      </c>
      <c r="DJ8" s="107" t="s">
        <v>264</v>
      </c>
      <c r="DK8" s="108"/>
      <c r="DL8" s="108"/>
      <c r="DM8" s="108"/>
      <c r="DN8" s="108"/>
      <c r="DO8" s="108"/>
      <c r="DP8" s="108"/>
      <c r="DQ8" s="108"/>
      <c r="DR8" s="108"/>
      <c r="DS8" s="108"/>
      <c r="DT8" s="108"/>
      <c r="DU8" s="108"/>
      <c r="DV8" s="108"/>
      <c r="DW8" s="108"/>
      <c r="DX8" s="108"/>
      <c r="DY8" s="108"/>
      <c r="DZ8" s="108"/>
      <c r="EA8" s="108"/>
      <c r="EB8" s="108"/>
      <c r="ED8" s="120" t="str">
        <f t="shared" si="11"/>
        <v>Empuje Vertical</v>
      </c>
      <c r="EE8" s="269" t="str">
        <f t="shared" ref="EE8:EV8" si="14">IFERROR(INDIRECT("'Bloque "&amp;$D$38&amp;" Semana "&amp;MID(EE4,2,2)&amp;"'"&amp;"!"&amp;"CC24"),"")</f>
        <v/>
      </c>
      <c r="EF8" s="269" t="str">
        <f t="shared" si="14"/>
        <v/>
      </c>
      <c r="EG8" s="269" t="str">
        <f t="shared" si="14"/>
        <v/>
      </c>
      <c r="EH8" s="269" t="str">
        <f t="shared" si="14"/>
        <v/>
      </c>
      <c r="EI8" s="269" t="str">
        <f t="shared" si="14"/>
        <v/>
      </c>
      <c r="EJ8" s="269" t="str">
        <f t="shared" si="14"/>
        <v/>
      </c>
      <c r="EK8" s="269" t="str">
        <f t="shared" si="14"/>
        <v/>
      </c>
      <c r="EL8" s="269" t="str">
        <f t="shared" si="14"/>
        <v/>
      </c>
      <c r="EM8" s="269" t="str">
        <f t="shared" si="14"/>
        <v/>
      </c>
      <c r="EN8" s="269" t="str">
        <f t="shared" si="14"/>
        <v/>
      </c>
      <c r="EO8" s="269" t="str">
        <f t="shared" si="14"/>
        <v/>
      </c>
      <c r="EP8" s="269" t="str">
        <f t="shared" si="14"/>
        <v/>
      </c>
      <c r="EQ8" s="269" t="str">
        <f t="shared" si="14"/>
        <v/>
      </c>
      <c r="ER8" s="269" t="str">
        <f t="shared" si="14"/>
        <v/>
      </c>
      <c r="ES8" s="269" t="str">
        <f t="shared" si="14"/>
        <v/>
      </c>
      <c r="ET8" s="269" t="str">
        <f t="shared" si="14"/>
        <v/>
      </c>
      <c r="EU8" s="269" t="str">
        <f t="shared" si="14"/>
        <v/>
      </c>
      <c r="EV8" s="269" t="str">
        <f t="shared" si="14"/>
        <v/>
      </c>
      <c r="EX8" s="218">
        <v>8.0</v>
      </c>
      <c r="EY8" s="228">
        <v>0.922</v>
      </c>
      <c r="EZ8" s="228">
        <v>0.892</v>
      </c>
      <c r="FA8" s="228">
        <v>0.863</v>
      </c>
      <c r="FB8" s="228">
        <v>0.837</v>
      </c>
      <c r="FC8" s="228">
        <v>0.811</v>
      </c>
      <c r="FD8" s="228">
        <v>0.786</v>
      </c>
      <c r="FE8" s="228">
        <v>0.762</v>
      </c>
      <c r="FF8" s="228">
        <v>0.739</v>
      </c>
      <c r="FG8" s="228">
        <v>0.707</v>
      </c>
      <c r="FH8" s="228">
        <v>0.68</v>
      </c>
      <c r="FI8" s="228">
        <v>0.653</v>
      </c>
      <c r="FJ8" s="228">
        <v>0.626</v>
      </c>
      <c r="FK8" s="208"/>
      <c r="FL8" s="218">
        <v>8.0</v>
      </c>
      <c r="FM8" s="228">
        <v>0.958</v>
      </c>
      <c r="FN8" s="228">
        <v>0.924</v>
      </c>
      <c r="FO8" s="228">
        <v>0.902</v>
      </c>
      <c r="FP8" s="228">
        <v>0.88</v>
      </c>
      <c r="FQ8" s="228">
        <v>0.859</v>
      </c>
      <c r="FR8" s="228">
        <v>0.838</v>
      </c>
      <c r="FS8" s="228">
        <v>0.818</v>
      </c>
      <c r="FT8" s="228">
        <v>0.799</v>
      </c>
      <c r="FU8" s="228">
        <v>0.779</v>
      </c>
      <c r="FV8" s="228">
        <v>0.761</v>
      </c>
      <c r="FW8" s="228">
        <v>0.742</v>
      </c>
      <c r="FX8" s="228">
        <v>0.724</v>
      </c>
      <c r="FY8" s="228"/>
      <c r="FZ8" s="84" t="str">
        <f t="array" ref="FZ8">IF(NOT($D$37=5),IFERROR(INDIRECT("'Bloque "&amp;$D$38&amp;" Semana "&amp;"5"&amp;"'"&amp;"!"&amp;"E37"),""),"S5")</f>
        <v/>
      </c>
      <c r="GA8" s="229" t="str">
        <f t="shared" si="4"/>
        <v/>
      </c>
      <c r="GB8" s="212" t="str">
        <f t="shared" si="5"/>
        <v/>
      </c>
      <c r="GC8" s="84" t="str">
        <f t="array" ref="GC8">IF(NOT($D$37=5),IFERROR(INDIRECT("'Bloque "&amp;$D$38&amp;" Semana "&amp;"5"&amp;"'"&amp;"!"&amp;"E37"),""),"S5")</f>
        <v/>
      </c>
      <c r="GD8" s="229" t="str">
        <f t="shared" si="6"/>
        <v/>
      </c>
      <c r="GE8" s="212" t="str">
        <f t="shared" si="7"/>
        <v/>
      </c>
      <c r="GF8" s="84" t="str">
        <f t="array" ref="GF8">IF(NOT($D$37=5),IFERROR(INDIRECT("'Bloque "&amp;$D$38&amp;" Semana "&amp;"5"&amp;"'"&amp;"!"&amp;"E37"),""),"S5")</f>
        <v/>
      </c>
      <c r="GG8" s="229" t="str">
        <f t="shared" si="8"/>
        <v/>
      </c>
      <c r="GH8" s="212" t="str">
        <f t="shared" si="9"/>
        <v/>
      </c>
    </row>
    <row r="9" ht="30.0" customHeight="1">
      <c r="B9" s="199"/>
      <c r="I9" s="106"/>
      <c r="J9" s="225"/>
      <c r="T9" s="226"/>
      <c r="W9" s="201"/>
      <c r="AE9" s="203"/>
      <c r="AF9" s="204"/>
      <c r="AG9" s="270" t="s">
        <v>265</v>
      </c>
      <c r="AJ9" s="271"/>
      <c r="AK9" s="272" t="s">
        <v>483</v>
      </c>
      <c r="AN9" s="273"/>
      <c r="AO9" s="272" t="s">
        <v>483</v>
      </c>
      <c r="AR9" s="273"/>
      <c r="AS9" s="272" t="s">
        <v>483</v>
      </c>
      <c r="AV9" s="273"/>
      <c r="AW9" s="272" t="s">
        <v>484</v>
      </c>
      <c r="AZ9" s="273"/>
      <c r="BA9" s="272" t="s">
        <v>484</v>
      </c>
      <c r="BD9" s="273"/>
      <c r="BE9" s="274">
        <f t="shared" ref="BE9:BE15" si="17">IFERROR( IFERROR(IF(NOT(ISBLANK(AK9)),MID(AK9,1,2),"")+IF(NOT(ISBLANK(AO9)),MID(AO9,1,2),"")+IF(NOT(ISBLANK(AS9)),MID(AS9,1,2),"")+IF(NOT(ISBLANK(AW9)),MID(AW9,1,2),"")+IF(NOT(ISBLANK(BA9)),MID(BA9,1,2),""),"")/COUNTA(AK9:BC9)*10/7,"")</f>
        <v>3.714285714</v>
      </c>
      <c r="BH9" s="275"/>
      <c r="BI9" s="276"/>
      <c r="BL9" s="275"/>
      <c r="BM9" s="277"/>
      <c r="BQ9" s="278"/>
      <c r="BR9" s="279" t="b">
        <v>0</v>
      </c>
      <c r="BS9" s="280" t="str">
        <f t="shared" ref="BS9:BS15" si="18">IFS(BR9=FALSE,"",BS9&lt;&gt;"",BS9,TRUE,NOW())</f>
        <v/>
      </c>
      <c r="BT9" s="273"/>
      <c r="BU9" s="281" t="b">
        <v>0</v>
      </c>
      <c r="BV9" s="280" t="str">
        <f t="shared" ref="BV9:BV15" si="19">IFS(BU9=FALSE,"",BV9&lt;&gt;"",BV9,TRUE,NOW())</f>
        <v/>
      </c>
      <c r="BW9" s="282" t="str">
        <f t="shared" ref="BW9:BW15" si="20">IF(OR(BS9="",BV9=""),"",BV9-BS9)</f>
        <v/>
      </c>
      <c r="BZ9" s="283" t="s">
        <v>266</v>
      </c>
      <c r="CA9" s="284">
        <f>IFERROR(IFS(BZ9="SQ1", SUMIF($D$40:$D186,"SQ1*",AD40:AD186),BZ9="SQ2",SUMIF($D$40:$D186,"SQ2*",AD40:AD186),$BZ$9="SQ3",SUMIF($D$40:$D186,"SQ3*",AD40:AD186),BZ9="SQ4",SUMIF($D$40:$D186,"SQ4*",AD40:AD186),BZ9="SQ5",SUMIF($D$40:$D186,"SQ5*",AD40:AD186)),"")</f>
        <v>6</v>
      </c>
      <c r="CB9" s="284">
        <f>IFERROR(IFS(BZ9="SQ1", SUMIF($D$40:$D186,"SQ1*",CC40:CC186),BZ9="SQ2",SUMIF($D$40:$D186,"SQ2*",CC40:CC186),$BZ$9="SQ3",SUMIF($D$40:$D186,"SQ3*",CC40:CC186),BZ9="SQ4",SUMIF($D$40:$D186,"SQ4*",CC40:CC186),BZ9="SQ5",SUMIF($D$40:$D186,"SQ5*",CC40:CC186)),"")</f>
        <v>26</v>
      </c>
      <c r="CC9" s="285" t="str">
        <f>IFERROR(IFS($BZ$9="SQ1", SUMIF($D$40:$D186,"SQ1*",CE40:CE186),$BZ$9="SQ2",SUMIF($D$40:$D186,"SQ2*",CE40:CE186),$BZ$9="SQ3",SUMIF($D$40:$D186,"SQ3*",CE40:CE186),$BZ$9="SQ4",SUMIF($D$40:$D186,"SQ4*",CE40:CE186),$BZ$9="SQ5",SUMIF($D$40:$D186,"SQ5*",CE40:CE186)),"")</f>
        <v/>
      </c>
      <c r="CD9" s="286" t="str">
        <f>IFERROR(IFS(BZ9="SQ1",AVERAGEIF(D40:D186,"SQ1*",CA40:CA186),BZ9="SQ2",AVERAGEIF(D40:D186,"SQ2*",CA40:CA186),BZ9="SQ3",AVERAGEIF(D40:D186,"SQ3*",CA40:CA186),BZ9="SQ4",AVERAGEIF(D40:D186,"SQ4*",CA40:CA186),BZ9="SQ5",AVERAGEIF(D40:D186,"SQ5*",CA40:CA186)),"")</f>
        <v/>
      </c>
      <c r="CE9" s="287" t="str">
        <f>IFERROR( IFS($CE$8="e1RM Bryzcki", IFS(BZ9="SQ1",AVERAGEIF(D40:D186,"SQ1*",CH40:CH186),BZ9="SQ2",AVERAGEIF(D40:D186,"SQ2*",CH40:CH186),BZ9="SQ3",AVERAGEIF(D40:D186,"SQ3*",CH40:CH186),BZ9="SQ4*",AVERAGEIF(D40:D186,"SQ4*",CH40:CH186),BZ9="SQ5",AVERAGEIF(D40:D186,"SQ5*",CH40:CH186)),$CE$8="e1RM Steve Denovi F1", IFS(BZ9="SQ1",AVERAGEIF(D40:D186,"SQ1*",CL40:CL186),BZ9="SQ2",AVERAGEIF(D40:D186,"SQ2*",CL40:CL186),BZ9="SQ3",AVERAGEIF(D40:D186,"SQ3*",CL40:CL186),BZ9="SQ4*",AVERAGEIF(D40:D186,"SQ4*",CL40:CL186),BZ9="SQ5",AVERAGEIF(D40:D186,"SQ5*",CL40:CL186)),$CE$8="e1RM Steve Denovi F2", IFS(BZ9="SQ1",AVERAGEIF(D40:D186,"SQ1*",CM40:CM186),BZ9="SQ2",AVERAGEIF(D40:D186,"SQ2*",CM40:CM186),BZ9="SQ3",AVERAGEIF(D40:D186,"SQ3*",CM40:CM186),BZ9="SQ4*",AVERAGEIF(D40:D186,"SQ4*",CM40:CM186),BZ9="SQ5",AVERAGEIF(D40:D186,"SQ5*",CM40:CM186))),"")</f>
        <v/>
      </c>
      <c r="CF9" s="288">
        <f>IFERROR(IFS($BZ$9="SQ1",AVERAGEIF($D$40:$D186,"SQ1*",$CK$40:$CK186),$BZ$9="SQ2",AVERAGEIF($D$40:$D186,"SQ2*",$CK$40:$CK186),$BZ$9="SQ3",AVERAGEIF($D$40:$D186,"SQ3*",$CK$40:$CK186),$BZ$9="SQ4",AVERAGEIF($D$40:$D186,"SQ4*",$CK$40:$CK186),$BZ$9="SQ5",AVERAGEIF($D$40:$D186,"SQ5*",$CK$40:$CK186)),"")</f>
        <v>5.875</v>
      </c>
      <c r="CH9" s="289" t="str">
        <f t="array" ref="CH9">IF(NOT($D$37=1),IFERROR(INDIRECT("'Bloque "&amp;$D$38&amp;" Semana "&amp;"1"&amp;"'"&amp;"!"&amp;"E37"),""),"S1")</f>
        <v>S1</v>
      </c>
      <c r="CI9" s="290" t="str">
        <f t="shared" ref="CI9:CI26" si="21">IFERROR(INDIRECT("'Bloque "&amp;$D$38&amp;" Semana "&amp;MID(CH9,2,2)&amp;"'"&amp;"!"&amp;"AF"&amp;MATCH($CH$7,$D:$D,0)),"")</f>
        <v/>
      </c>
      <c r="CJ9" s="224" t="str">
        <f t="shared" ref="CJ9:CJ26" si="22">IFERROR(INDIRECT("'Bloque "&amp;$D$38&amp;" Semana "&amp;MID(CH9,2,2)&amp;"'"&amp;"!"&amp;"AG"&amp;MATCH($CH$7,$D:$D,0)),"")</f>
        <v/>
      </c>
      <c r="CK9" s="85" t="str">
        <f t="shared" ref="CK9:CK26" si="23">IFERROR(INDIRECT("'Bloque "&amp;$D$38&amp;" Semana "&amp;MID(CH9,2,2)&amp;"'"&amp;"!"&amp;"CB"&amp;MATCH($CH$7,$D:$D,0)),"")</f>
        <v/>
      </c>
      <c r="CL9" s="291">
        <v>0.0</v>
      </c>
      <c r="CM9" s="168" t="str">
        <f t="shared" ref="CM9:CM26" si="24">IFERROR(INDIRECT("'Bloque "&amp;$D$38&amp;" Semana "&amp;MID(CH9,2,2)&amp;"'"&amp;"!"&amp;"CK"&amp;MATCH($CH$7,$D:$D,0)),"")</f>
        <v/>
      </c>
      <c r="CN9" s="292">
        <v>0.0</v>
      </c>
      <c r="CO9" s="168" t="str">
        <f t="shared" ref="CO9:CO26" si="25">IFERROR(INDIRECT("'Bloque "&amp;$D$38&amp;" Semana "&amp;MID(CH9,2,2)&amp;"'"&amp;"!"&amp;"CB"&amp;MATCH($CH$7,$D:$D,0)),"")</f>
        <v/>
      </c>
      <c r="CP9" s="293" t="str">
        <f t="shared" ref="CP9:CP26" si="26">IFERROR( IF(CH9=0,"",CO9/CQ9),"")</f>
        <v/>
      </c>
      <c r="CQ9" s="294" t="str">
        <f t="shared" ref="CQ9:CQ26" si="27">IFERROR( IF(NOT( $CQ$8="1RM PROYECTADA MEJOR A REPS"),VLOOKUP(CM9,$EX$3:$FJ$16,CJ9+1,0),VLOOKUP(CM9,$FL$3:$FX$16,CJ9+1,0)),"")</f>
        <v/>
      </c>
      <c r="CR9" s="295">
        <v>0.0</v>
      </c>
      <c r="CS9" s="296">
        <f t="shared" ref="CS9:CT9" si="15">MAX(CP9:CP26)-MIN(CP9:CP26)</f>
        <v>0</v>
      </c>
      <c r="CT9" s="297">
        <f t="shared" si="15"/>
        <v>0</v>
      </c>
      <c r="DJ9" s="83"/>
      <c r="DK9" s="207" t="str">
        <f t="array" ref="DK9">IF(NOT($D$37=1),IFERROR(INDIRECT("'Bloque "&amp;$D$38&amp;" Semana "&amp;"1"&amp;"'"&amp;"!"&amp;"E37"),""),"S1")</f>
        <v>S1</v>
      </c>
      <c r="DL9" s="207" t="str">
        <f t="array" ref="DL9">IF(NOT($D$37=2),IFERROR(INDIRECT("'Bloque "&amp;$D$38&amp;" Semana "&amp;"2"&amp;"'"&amp;"!"&amp;"E37"),""),"S2")</f>
        <v/>
      </c>
      <c r="DM9" s="207" t="str">
        <f t="array" ref="DM9">IF(NOT($D$37=3),IFERROR(INDIRECT("'Bloque "&amp;$D$38&amp;" Semana "&amp;"3"&amp;"'"&amp;"!"&amp;"E37"),""),"S3")</f>
        <v/>
      </c>
      <c r="DN9" s="207" t="str">
        <f t="array" ref="DN9">IF(NOT($D$37=4),IFERROR(INDIRECT("'Bloque "&amp;$D$38&amp;" Semana "&amp;"4"&amp;"'"&amp;"!"&amp;"E37"),""),"S4")</f>
        <v/>
      </c>
      <c r="DO9" s="207" t="str">
        <f t="array" ref="DO9">IF(NOT($D$37=5),IFERROR(INDIRECT("'Bloque "&amp;$D$38&amp;" Semana "&amp;"5"&amp;"'"&amp;"!"&amp;"E37"),""),"S5")</f>
        <v/>
      </c>
      <c r="DP9" s="207" t="str">
        <f t="array" ref="DP9">IF(NOT($D$37=6),IFERROR(INDIRECT("'Bloque "&amp;$D$38&amp;" Semana "&amp;"6"&amp;"'"&amp;"!"&amp;"E37"),""),"S6")</f>
        <v/>
      </c>
      <c r="DQ9" s="207" t="str">
        <f t="array" ref="DQ9">IF(NOT($D$37=7),IFERROR(INDIRECT("'Bloque "&amp;$D$38&amp;" Semana "&amp;"7"&amp;"'"&amp;"!"&amp;"E37"),""),"S7")</f>
        <v/>
      </c>
      <c r="DR9" s="207" t="str">
        <f t="array" ref="DR9">IF(NOT($D$37=8),IFERROR(INDIRECT("'Bloque "&amp;$D$38&amp;" Semana "&amp;"8"&amp;"'"&amp;"!"&amp;"E37"),""),"S8")</f>
        <v/>
      </c>
      <c r="DS9" s="207" t="str">
        <f t="array" ref="DS9">IF(NOT($D$37=9),IFERROR(INDIRECT("'Bloque "&amp;$D$38&amp;" Semana "&amp;"9"&amp;"'"&amp;"!"&amp;"E37"),""),"S9")</f>
        <v/>
      </c>
      <c r="DT9" s="207" t="str">
        <f t="array" ref="DT9">IF(NOT($D$37=10),IFERROR(INDIRECT("'Bloque "&amp;$D$38&amp;" Semana "&amp;"10"&amp;"'"&amp;"!"&amp;"E37"),""),"S10")</f>
        <v/>
      </c>
      <c r="DU9" s="207" t="str">
        <f t="array" ref="DU9">IF(NOT($D$37=11),IFERROR(INDIRECT("'Bloque "&amp;$D$38&amp;" Semana "&amp;"11"&amp;"'"&amp;"!"&amp;"E37"),""),"S11")</f>
        <v/>
      </c>
      <c r="DV9" s="207" t="str">
        <f t="array" ref="DV9">IF(NOT($D$37=12),IFERROR(INDIRECT("'Bloque "&amp;$D$38&amp;" Semana "&amp;"12"&amp;"'"&amp;"!"&amp;"E37"),""),"S12")</f>
        <v/>
      </c>
      <c r="DW9" s="207" t="str">
        <f t="array" ref="DW9">IF(NOT($D$37=13),IFERROR(INDIRECT("'Bloque "&amp;$D$38&amp;" Semana "&amp;"13"&amp;"'"&amp;"!"&amp;"E37"),""),"S13")</f>
        <v/>
      </c>
      <c r="DX9" s="207" t="str">
        <f t="array" ref="DX9">IF(NOT($D$37=14),IFERROR(INDIRECT("'Bloque "&amp;$D$38&amp;" Semana "&amp;"14"&amp;"'"&amp;"!"&amp;"E37"),""),"S14")</f>
        <v/>
      </c>
      <c r="DY9" s="207" t="str">
        <f t="array" ref="DY9">IF(NOT($D$37=15),IFERROR(INDIRECT("'Bloque "&amp;$D$38&amp;" Semana "&amp;"15"&amp;"'"&amp;"!"&amp;"E37"),""),"S15")</f>
        <v/>
      </c>
      <c r="DZ9" s="207" t="str">
        <f t="array" ref="DZ9">IF(NOT($D$37=16),IFERROR(INDIRECT("'Bloque "&amp;$D$38&amp;" Semana "&amp;"16"&amp;"'"&amp;"!"&amp;"E37"),""),"S16")</f>
        <v/>
      </c>
      <c r="EA9" s="207" t="str">
        <f t="array" ref="EA9">IF(NOT($D$37=17),IFERROR(INDIRECT("'Bloque "&amp;$D$38&amp;" Semana "&amp;"17"&amp;"'"&amp;"!"&amp;"E37"),""),"S17")</f>
        <v/>
      </c>
      <c r="EB9" s="207" t="str">
        <f t="array" ref="EB9">IF(NOT($D$37=18),IFERROR(INDIRECT("'Bloque "&amp;$D$38&amp;" Semana "&amp;"18"&amp;"'"&amp;"!"&amp;"E37"),""),"S18")</f>
        <v/>
      </c>
      <c r="ED9" s="120" t="str">
        <f t="shared" si="11"/>
        <v>Tracción Horizontal</v>
      </c>
      <c r="EE9" s="269" t="str">
        <f t="shared" ref="EE9:EV9" si="16">IFERROR(INDIRECT("'Bloque "&amp;$D$38&amp;" Semana "&amp;MID(EE4,2,2)&amp;"'"&amp;"!"&amp;"CC25"),"")</f>
        <v/>
      </c>
      <c r="EF9" s="269" t="str">
        <f t="shared" si="16"/>
        <v/>
      </c>
      <c r="EG9" s="269" t="str">
        <f t="shared" si="16"/>
        <v/>
      </c>
      <c r="EH9" s="269" t="str">
        <f t="shared" si="16"/>
        <v/>
      </c>
      <c r="EI9" s="269" t="str">
        <f t="shared" si="16"/>
        <v/>
      </c>
      <c r="EJ9" s="269" t="str">
        <f t="shared" si="16"/>
        <v/>
      </c>
      <c r="EK9" s="269" t="str">
        <f t="shared" si="16"/>
        <v/>
      </c>
      <c r="EL9" s="269" t="str">
        <f t="shared" si="16"/>
        <v/>
      </c>
      <c r="EM9" s="269" t="str">
        <f t="shared" si="16"/>
        <v/>
      </c>
      <c r="EN9" s="269" t="str">
        <f t="shared" si="16"/>
        <v/>
      </c>
      <c r="EO9" s="269" t="str">
        <f t="shared" si="16"/>
        <v/>
      </c>
      <c r="EP9" s="269" t="str">
        <f t="shared" si="16"/>
        <v/>
      </c>
      <c r="EQ9" s="269" t="str">
        <f t="shared" si="16"/>
        <v/>
      </c>
      <c r="ER9" s="269" t="str">
        <f t="shared" si="16"/>
        <v/>
      </c>
      <c r="ES9" s="269" t="str">
        <f t="shared" si="16"/>
        <v/>
      </c>
      <c r="ET9" s="269" t="str">
        <f t="shared" si="16"/>
        <v/>
      </c>
      <c r="EU9" s="269" t="str">
        <f t="shared" si="16"/>
        <v/>
      </c>
      <c r="EV9" s="269" t="str">
        <f t="shared" si="16"/>
        <v/>
      </c>
      <c r="EX9" s="218">
        <v>7.5</v>
      </c>
      <c r="EY9" s="228">
        <v>0.907</v>
      </c>
      <c r="EZ9" s="228">
        <v>0.878</v>
      </c>
      <c r="FA9" s="228">
        <v>0.85</v>
      </c>
      <c r="FB9" s="228">
        <v>0.824</v>
      </c>
      <c r="FC9" s="228">
        <v>0.799</v>
      </c>
      <c r="FD9" s="228">
        <v>0.774</v>
      </c>
      <c r="FE9" s="228">
        <v>0.751</v>
      </c>
      <c r="FF9" s="228">
        <v>0.723</v>
      </c>
      <c r="FG9" s="228">
        <v>0.694</v>
      </c>
      <c r="FH9" s="228">
        <v>0.667</v>
      </c>
      <c r="FI9" s="228">
        <v>0.64</v>
      </c>
      <c r="FJ9" s="228">
        <v>0.613</v>
      </c>
      <c r="FK9" s="208"/>
      <c r="FL9" s="218">
        <v>7.5</v>
      </c>
      <c r="FM9" s="228">
        <v>0.948</v>
      </c>
      <c r="FN9" s="228">
        <v>0.914</v>
      </c>
      <c r="FO9" s="228">
        <v>0.892</v>
      </c>
      <c r="FP9" s="228">
        <v>0.871</v>
      </c>
      <c r="FQ9" s="228">
        <v>0.85</v>
      </c>
      <c r="FR9" s="228">
        <v>0.83</v>
      </c>
      <c r="FS9" s="228">
        <v>0.81</v>
      </c>
      <c r="FT9" s="228">
        <v>0.79</v>
      </c>
      <c r="FU9" s="228">
        <v>0.771</v>
      </c>
      <c r="FV9" s="228">
        <v>0.752</v>
      </c>
      <c r="FW9" s="228">
        <v>0.734</v>
      </c>
      <c r="FX9" s="228">
        <v>0.717</v>
      </c>
      <c r="FY9" s="228"/>
      <c r="FZ9" s="84" t="str">
        <f t="array" ref="FZ9">IF(NOT($D$37=6),IFERROR(INDIRECT("'Bloque "&amp;$D$38&amp;" Semana "&amp;"6"&amp;"'"&amp;"!"&amp;"E37"),""),"S6")</f>
        <v/>
      </c>
      <c r="GA9" s="229" t="str">
        <f t="shared" si="4"/>
        <v/>
      </c>
      <c r="GB9" s="212" t="str">
        <f t="shared" si="5"/>
        <v/>
      </c>
      <c r="GC9" s="84" t="str">
        <f t="array" ref="GC9">IF(NOT($D$37=6),IFERROR(INDIRECT("'Bloque "&amp;$D$38&amp;" Semana "&amp;"6"&amp;"'"&amp;"!"&amp;"E37"),""),"S6")</f>
        <v/>
      </c>
      <c r="GD9" s="229" t="str">
        <f t="shared" si="6"/>
        <v/>
      </c>
      <c r="GE9" s="212" t="str">
        <f t="shared" si="7"/>
        <v/>
      </c>
      <c r="GF9" s="84" t="str">
        <f t="array" ref="GF9">IF(NOT($D$37=6),IFERROR(INDIRECT("'Bloque "&amp;$D$38&amp;" Semana "&amp;"6"&amp;"'"&amp;"!"&amp;"E37"),""),"S6")</f>
        <v/>
      </c>
      <c r="GG9" s="229" t="str">
        <f t="shared" si="8"/>
        <v/>
      </c>
      <c r="GH9" s="212" t="str">
        <f t="shared" si="9"/>
        <v/>
      </c>
    </row>
    <row r="10" ht="15.0" customHeight="1">
      <c r="B10" s="199"/>
      <c r="I10" s="106"/>
      <c r="J10" s="225"/>
      <c r="T10" s="226"/>
      <c r="W10" s="201"/>
      <c r="AE10" s="203"/>
      <c r="AF10" s="204"/>
      <c r="AG10" s="298" t="s">
        <v>267</v>
      </c>
      <c r="AJ10" s="299"/>
      <c r="AK10" s="300" t="s">
        <v>483</v>
      </c>
      <c r="AN10" s="301"/>
      <c r="AO10" s="300" t="s">
        <v>483</v>
      </c>
      <c r="AR10" s="301"/>
      <c r="AS10" s="300" t="s">
        <v>447</v>
      </c>
      <c r="AV10" s="301"/>
      <c r="AW10" s="300" t="s">
        <v>447</v>
      </c>
      <c r="AZ10" s="301"/>
      <c r="BA10" s="300" t="s">
        <v>447</v>
      </c>
      <c r="BD10" s="301"/>
      <c r="BE10" s="302">
        <f t="shared" si="17"/>
        <v>5.142857143</v>
      </c>
      <c r="BH10" s="303"/>
      <c r="BI10" s="304"/>
      <c r="BL10" s="303"/>
      <c r="BM10" s="305"/>
      <c r="BQ10" s="306"/>
      <c r="BR10" s="307" t="b">
        <v>0</v>
      </c>
      <c r="BS10" s="308" t="str">
        <f t="shared" si="18"/>
        <v/>
      </c>
      <c r="BT10" s="301"/>
      <c r="BU10" s="309" t="b">
        <v>0</v>
      </c>
      <c r="BV10" s="308" t="str">
        <f t="shared" si="19"/>
        <v/>
      </c>
      <c r="BW10" s="310" t="str">
        <f t="shared" si="20"/>
        <v/>
      </c>
      <c r="BZ10" s="283" t="s">
        <v>268</v>
      </c>
      <c r="CA10" s="311">
        <f>IFERROR(IFS(BZ10="BP1", SUMIF($D$40:$D186,"BP1*",AD40:AD186),BZ10="BP2",SUMIF($D$40:$D186,"BP2*",AD40:AD186),$BZ$10="BP3",SUMIF($D$40:$D186,"BP3*",AD40:AD186),BZ10="BP4",SUMIF($D$40:$D186,"BP4*",AD40:AD186),BZ10="BP5",SUMIF($D$40:$D186,"BP5*",AD40:AD186)),"")</f>
        <v>0</v>
      </c>
      <c r="CB10" s="311">
        <f>IFERROR(IFS(BZ10="BP1", SUMIF($D$40:$D186,"BP1*",CC40:CC186),BZ10="BP2",SUMIF($D$40:$D186,"BP2*",CC40:CC186),$BZ$10="BP3",SUMIF($D$40:$D186,"BP3*",CC40:CC186),BZ10="BP4",SUMIF($D$40:$D186,"BP4*",CC40:CC186),BZ10="BP5",SUMIF($D$40:$D186,"BP5*",CC40:CC186)),"")</f>
        <v>0</v>
      </c>
      <c r="CC10" s="312">
        <f>IFERROR(IFS(BZ10="BP1", SUMIF($D$40:$D186,"BP1*",CE40:CE186),BZ10="BP2",SUMIF($D$40:$D186,"BP2*",CE40:CE186),$BZ$10="BP3",SUMIF($D$40:$D186,"BP3*",CE40:CE186),BZ10="BP4",SUMIF($D$40:$D186,"BP4*",CE40:CE186),BZ10="BP5",SUMIF($D$40:$D186,"BP5*",CE40:CE186)),"")</f>
        <v>0</v>
      </c>
      <c r="CD10" s="313" t="str">
        <f>IFERROR(IFS(BZ10="BP1",AVERAGEIF(D40:D186,BZ10,CA40:CH186),BZ10="BP2",AVERAGEIF(D40:D186,BZ10,CA40:CH186),BZ10="BP3",AVERAGEIF(D40:D186,BZ10,CA40:CH186),BZ10="BP4",AVERAGEIF(D40:D186,BZ10,CA40:CH186),BZ10="BP5",AVERAGEIF(D40:D186,BZ10,CA40:CH186)),"")</f>
        <v/>
      </c>
      <c r="CE10" s="314" t="str">
        <f>IFERROR( IFS($CE$8="e1RM Bryzcki", IFS(BZ10="BP1",AVERAGEIF(D40:D186,"SQ1*",CH40:CH186),BZ10="BP2",AVERAGEIF(D40:D186,"BP2*",CH40:CH186),BZ10="BP3",AVERAGEIF(D40:D186,"BP3*",CH40:CH186),BZ10="BP4*",AVERAGEIF(D40:D186,"BP4*",CH40:CH186),BZ10="BP5",AVERAGEIF(D40:D186,"BP5*",CH40:CH186)),$CE$8="e1RM Steve Denovi F1", IFS(BZ10="BP1",AVERAGEIF(D40:D186,"BP1*",CL40:CL186),BZ10="BP2",AVERAGEIF(D40:D186,"BP2*",CL40:CL186),BZ10="BP3",AVERAGEIF(D40:D186,"BP3*",CL40:CL186),BZ10="BP4*",AVERAGEIF(D40:D186,"BP4*",CL40:CL186),BZ10="BP5",AVERAGEIF(D40:D186,"BP5*",CL40:CL186)),$CE$8="e1RM Steve Denovi F2", IFS(BZ10="BP1",AVERAGEIF(D40:D186,"BP1*",CM40:CM186),BZ10="BP2",AVERAGEIF(D40:D186,"BP2*",CM40:CM186),BZ10="BP3",AVERAGEIF(D40:D186,"BP3*",CM40:CM186),BZ10="BP4*",AVERAGEIF(D40:D186,"BP4*",CM40:CM186),BZ10="BP5",AVERAGEIF(D40:D186,"BP5*",CM40:CM186))),"")</f>
        <v/>
      </c>
      <c r="CF10" s="315" t="str">
        <f>IFERROR(IFS($BZ$10="SQ1",AVERAGEIF($D$40:$D186,"BP1*",$CK$40:$CK186),$BZ$10="BP2",AVERAGEIF($D$40:$D186,"BP2*",$CK$40:$CK186),$BZ$10="BP3",AVERAGEIF($D$40:$D186,"BP3*",$CK$40:$CK186),$BZ$10="BP4",AVERAGEIF($D$40:$D186,"BP4*",$CK$40:$CK186),$BZ$10="BP5",AVERAGEIF($D$40:$D186,"BP5*",$CK$40:$CK186)),"")</f>
        <v/>
      </c>
      <c r="CH10" s="289" t="str">
        <f t="array" ref="CH10">IF(NOT($D$37=2),IFERROR(INDIRECT("'Bloque "&amp;$D$38&amp;" Semana "&amp;"2"&amp;"'"&amp;"!"&amp;"E37"),""),"S2")</f>
        <v/>
      </c>
      <c r="CI10" s="316" t="str">
        <f t="shared" si="21"/>
        <v/>
      </c>
      <c r="CJ10" s="224" t="str">
        <f t="shared" si="22"/>
        <v/>
      </c>
      <c r="CK10" s="85" t="str">
        <f t="shared" si="23"/>
        <v/>
      </c>
      <c r="CL10" s="85" t="str">
        <f t="shared" ref="CL10:CL26" si="30">IF(CH10="","", CK10-CK9)</f>
        <v/>
      </c>
      <c r="CM10" s="168" t="str">
        <f t="shared" si="24"/>
        <v/>
      </c>
      <c r="CN10" s="327" t="str">
        <f t="shared" ref="CN10:CN26" si="31">IF(CH10="","", CM10-CM9)</f>
        <v/>
      </c>
      <c r="CO10" s="168" t="str">
        <f t="shared" si="25"/>
        <v/>
      </c>
      <c r="CP10" s="168" t="str">
        <f t="shared" si="26"/>
        <v/>
      </c>
      <c r="CQ10" s="294" t="str">
        <f t="shared" si="27"/>
        <v/>
      </c>
      <c r="CR10" s="328" t="str">
        <f t="shared" ref="CR10:CR26" si="32">IF(CH10="","", CQ10-CQ9)</f>
        <v/>
      </c>
      <c r="CS10" s="212"/>
      <c r="CT10" s="319"/>
      <c r="DJ10" s="120" t="s">
        <v>21</v>
      </c>
      <c r="DK10" s="320" t="str">
        <f t="shared" ref="DK10:EB10" si="28">IFERROR(INDIRECT("'Bloque "&amp;$D$38&amp;" Semana "&amp;MID(DK9,2,2)&amp;"'"&amp;"!"&amp;"CD15"),"")</f>
        <v/>
      </c>
      <c r="DL10" s="320" t="str">
        <f t="shared" si="28"/>
        <v/>
      </c>
      <c r="DM10" s="320" t="str">
        <f t="shared" si="28"/>
        <v/>
      </c>
      <c r="DN10" s="320" t="str">
        <f t="shared" si="28"/>
        <v/>
      </c>
      <c r="DO10" s="320" t="str">
        <f t="shared" si="28"/>
        <v/>
      </c>
      <c r="DP10" s="320" t="str">
        <f t="shared" si="28"/>
        <v/>
      </c>
      <c r="DQ10" s="320" t="str">
        <f t="shared" si="28"/>
        <v/>
      </c>
      <c r="DR10" s="320" t="str">
        <f t="shared" si="28"/>
        <v/>
      </c>
      <c r="DS10" s="320" t="str">
        <f t="shared" si="28"/>
        <v/>
      </c>
      <c r="DT10" s="320" t="str">
        <f t="shared" si="28"/>
        <v/>
      </c>
      <c r="DU10" s="320" t="str">
        <f t="shared" si="28"/>
        <v/>
      </c>
      <c r="DV10" s="320" t="str">
        <f t="shared" si="28"/>
        <v/>
      </c>
      <c r="DW10" s="320" t="str">
        <f t="shared" si="28"/>
        <v/>
      </c>
      <c r="DX10" s="320" t="str">
        <f t="shared" si="28"/>
        <v/>
      </c>
      <c r="DY10" s="320" t="str">
        <f t="shared" si="28"/>
        <v/>
      </c>
      <c r="DZ10" s="320" t="str">
        <f t="shared" si="28"/>
        <v/>
      </c>
      <c r="EA10" s="320" t="str">
        <f t="shared" si="28"/>
        <v/>
      </c>
      <c r="EB10" s="320" t="str">
        <f t="shared" si="28"/>
        <v/>
      </c>
      <c r="ED10" s="120" t="str">
        <f t="shared" si="11"/>
        <v>Tracción Vertical</v>
      </c>
      <c r="EE10" s="269" t="str">
        <f t="shared" ref="EE10:EV10" si="29">IFERROR(INDIRECT("'Bloque "&amp;$D$38&amp;" Semana "&amp;MID(EE4,2,2)&amp;"'"&amp;"!"&amp;"CC26"),"")</f>
        <v/>
      </c>
      <c r="EF10" s="269" t="str">
        <f t="shared" si="29"/>
        <v/>
      </c>
      <c r="EG10" s="269" t="str">
        <f t="shared" si="29"/>
        <v/>
      </c>
      <c r="EH10" s="269" t="str">
        <f t="shared" si="29"/>
        <v/>
      </c>
      <c r="EI10" s="269" t="str">
        <f t="shared" si="29"/>
        <v/>
      </c>
      <c r="EJ10" s="269" t="str">
        <f t="shared" si="29"/>
        <v/>
      </c>
      <c r="EK10" s="269" t="str">
        <f t="shared" si="29"/>
        <v/>
      </c>
      <c r="EL10" s="269" t="str">
        <f t="shared" si="29"/>
        <v/>
      </c>
      <c r="EM10" s="269" t="str">
        <f t="shared" si="29"/>
        <v/>
      </c>
      <c r="EN10" s="269" t="str">
        <f t="shared" si="29"/>
        <v/>
      </c>
      <c r="EO10" s="269" t="str">
        <f t="shared" si="29"/>
        <v/>
      </c>
      <c r="EP10" s="269" t="str">
        <f t="shared" si="29"/>
        <v/>
      </c>
      <c r="EQ10" s="269" t="str">
        <f t="shared" si="29"/>
        <v/>
      </c>
      <c r="ER10" s="269" t="str">
        <f t="shared" si="29"/>
        <v/>
      </c>
      <c r="ES10" s="269" t="str">
        <f t="shared" si="29"/>
        <v/>
      </c>
      <c r="ET10" s="269" t="str">
        <f t="shared" si="29"/>
        <v/>
      </c>
      <c r="EU10" s="269" t="str">
        <f t="shared" si="29"/>
        <v/>
      </c>
      <c r="EV10" s="269" t="str">
        <f t="shared" si="29"/>
        <v/>
      </c>
      <c r="EX10" s="218">
        <v>7.0</v>
      </c>
      <c r="EY10" s="228">
        <v>0.892</v>
      </c>
      <c r="EZ10" s="228">
        <v>0.863</v>
      </c>
      <c r="FA10" s="228">
        <v>0.837</v>
      </c>
      <c r="FB10" s="228">
        <v>0.811</v>
      </c>
      <c r="FC10" s="228">
        <v>0.786</v>
      </c>
      <c r="FD10" s="228">
        <v>0.762</v>
      </c>
      <c r="FE10" s="228">
        <v>0.739</v>
      </c>
      <c r="FF10" s="228">
        <v>0.707</v>
      </c>
      <c r="FG10" s="228">
        <v>0.68</v>
      </c>
      <c r="FH10" s="228">
        <v>0.653</v>
      </c>
      <c r="FI10" s="228">
        <v>0.626</v>
      </c>
      <c r="FJ10" s="228">
        <v>0.599</v>
      </c>
      <c r="FK10" s="208"/>
      <c r="FL10" s="218">
        <v>7.0</v>
      </c>
      <c r="FM10" s="228">
        <v>0.937</v>
      </c>
      <c r="FN10" s="228">
        <v>0.905</v>
      </c>
      <c r="FO10" s="228">
        <v>0.883</v>
      </c>
      <c r="FP10" s="228">
        <v>0.862</v>
      </c>
      <c r="FQ10" s="228">
        <v>0.841</v>
      </c>
      <c r="FR10" s="228">
        <v>0.821</v>
      </c>
      <c r="FS10" s="228">
        <v>0.801</v>
      </c>
      <c r="FT10" s="228">
        <v>0.782</v>
      </c>
      <c r="FU10" s="228">
        <v>0.763</v>
      </c>
      <c r="FV10" s="228">
        <v>0.744</v>
      </c>
      <c r="FW10" s="228">
        <v>0.726</v>
      </c>
      <c r="FX10" s="228">
        <v>0.709</v>
      </c>
      <c r="FY10" s="228"/>
      <c r="FZ10" s="84" t="str">
        <f t="array" ref="FZ10">IF(NOT($D$37=7),IFERROR(INDIRECT("'Bloque "&amp;$D$38&amp;" Semana "&amp;"7"&amp;"'"&amp;"!"&amp;"E37"),""),"S7")</f>
        <v/>
      </c>
      <c r="GA10" s="229" t="str">
        <f t="shared" si="4"/>
        <v/>
      </c>
      <c r="GB10" s="212" t="str">
        <f t="shared" si="5"/>
        <v/>
      </c>
      <c r="GC10" s="84" t="str">
        <f t="array" ref="GC10">IF(NOT($D$37=7),IFERROR(INDIRECT("'Bloque "&amp;$D$38&amp;" Semana "&amp;"7"&amp;"'"&amp;"!"&amp;"E37"),""),"S7")</f>
        <v/>
      </c>
      <c r="GD10" s="229" t="str">
        <f t="shared" si="6"/>
        <v/>
      </c>
      <c r="GE10" s="212" t="str">
        <f t="shared" si="7"/>
        <v/>
      </c>
      <c r="GF10" s="84" t="str">
        <f t="array" ref="GF10">IF(NOT($D$37=7),IFERROR(INDIRECT("'Bloque "&amp;$D$38&amp;" Semana "&amp;"7"&amp;"'"&amp;"!"&amp;"E37"),""),"S7")</f>
        <v/>
      </c>
      <c r="GG10" s="229" t="str">
        <f t="shared" si="8"/>
        <v/>
      </c>
      <c r="GH10" s="212" t="str">
        <f t="shared" si="9"/>
        <v/>
      </c>
    </row>
    <row r="11" ht="21.75" customHeight="1">
      <c r="B11" s="199"/>
      <c r="I11" s="106"/>
      <c r="J11" s="225"/>
      <c r="T11" s="226"/>
      <c r="W11" s="201"/>
      <c r="AE11" s="203"/>
      <c r="AF11" s="204"/>
      <c r="AG11" s="270" t="s">
        <v>269</v>
      </c>
      <c r="AJ11" s="271"/>
      <c r="AK11" s="272" t="s">
        <v>483</v>
      </c>
      <c r="AN11" s="273"/>
      <c r="AO11" s="272"/>
      <c r="AR11" s="273"/>
      <c r="AS11" s="272"/>
      <c r="AV11" s="273"/>
      <c r="AW11" s="272"/>
      <c r="AZ11" s="273"/>
      <c r="BA11" s="272"/>
      <c r="BD11" s="273"/>
      <c r="BE11" s="274">
        <f t="shared" si="17"/>
        <v>4.285714286</v>
      </c>
      <c r="BH11" s="275"/>
      <c r="BI11" s="321"/>
      <c r="BL11" s="275"/>
      <c r="BM11" s="277"/>
      <c r="BQ11" s="278"/>
      <c r="BR11" s="279" t="b">
        <v>0</v>
      </c>
      <c r="BS11" s="280" t="str">
        <f t="shared" si="18"/>
        <v/>
      </c>
      <c r="BT11" s="273"/>
      <c r="BU11" s="281" t="b">
        <v>0</v>
      </c>
      <c r="BV11" s="280" t="str">
        <f t="shared" si="19"/>
        <v/>
      </c>
      <c r="BW11" s="282" t="str">
        <f t="shared" si="20"/>
        <v/>
      </c>
      <c r="BZ11" s="283" t="s">
        <v>270</v>
      </c>
      <c r="CA11" s="322">
        <f>IFERROR(IFS(BZ11="DL1", SUMIF($D$40:$D186,"DL1*",AD40:AD186),BZ11="DL2",SUMIF($D$40:$D186,"DL2*",AD40:AD186),$BZ$11="DL3",SUMIF($D$40:$D186,"DL3*",AD40:AD186),BZ11="DL4",SUMIF($D$40:$D186,"DL4*",AD40:AD186),BZ11="DL5",SUMIF($D$40:$D186,"DL5*",AD40:AD186)),"")</f>
        <v>2</v>
      </c>
      <c r="CB11" s="322">
        <f>IFERROR(IFS(BZ11="DL1", SUMIF($D$40:$D186,"DL1*",CC40:CC186),BZ11="DL2",SUMIF($D$40:$D186,"DL2*",CC40:CC186),$BZ$11="DL3",SUMIF($D$40:$D186,"DL3*",CC40:CC186),BZ11="DL4",SUMIF($D$40:$D186,"DL4*",CC40:CC186),BZ11="DL5",SUMIF($D$40:$D186,"DL5*",CC40:CC186)),"")</f>
        <v>9</v>
      </c>
      <c r="CC11" s="323" t="str">
        <f>IFERROR(IFS(BZ11="DL1", SUMIF($D$40:$D186,"DL1*",CE40:CE186),BZ11="DL2",SUMIF($D$40:$D186,"DL2*",CE40:CE186),$BZ$11="DL3",SUMIF($D$40:$D186,"DL3*",CE40:CE186),BZ11="DL4",SUMIF($D$40:$D186,"DL4*",CE40:CE186),BZ11="DL5",SUMIF($D$40:$D186,"DL5*",CE40:CE186)),"")</f>
        <v/>
      </c>
      <c r="CD11" s="324">
        <f>IFERROR(IFS(BZ11="DL1",AVERAGEIF(D40:D186,"DL1*",CA40:CH186),BZ11="DL2",AVERAGEIF(D40:D186,"DL2*",CA40:CH186),BZ11="DL3",AVERAGEIF(D40:D186,"DL3*",CA40:CH186),BZ11="DL4",AVERAGEIF(D40:D186,"DL4*",CA40:CH186),BZ11="DL5",AVERAGEIF(D40:D186,"DL5*",CA40:CH186)),"")</f>
        <v>0.8333333333</v>
      </c>
      <c r="CE11" s="325" t="str">
        <f>IFERROR( IFS($CE$8="e1RM Bryzcki", IFS(BZ11="DL1",AVERAGEIF(D40:D186,"DL1*",CH40:CH186),BZ11="DL2",AVERAGEIF(D40:D186,"DL2*",CH40:CH186),BZ11="DL3",AVERAGEIF(D40:D186,"DL3*",CH40:CH186),BZ11="DL4*",AVERAGEIF(D40:D186,"DL4*",CH40:CH186),BZ11="DL5",AVERAGEIF(D40:D186,"DL5*",CH40:CH186)),$CE$8="e1RM Steve Denovi F1", IFS(BZ11="DL1",AVERAGEIF(D40:D186,"DL1*",CL40:CL186),BZ11="DL2",AVERAGEIF(D40:D186,"DL2*",CL40:CL186),BZ11="DL3",AVERAGEIF(D40:D186,"DL3*",CL40:CL186),BZ11="DL4*",AVERAGEIF(D40:D186,"DL4*",CL40:CL186),BZ11="DL5",AVERAGEIF(D40:D186,"DL5*",CL40:CL186)),$CE$8="e1RM Steve Denovi F2", IFS(BZ11="DL1",AVERAGEIF(D40:D186,"DL1*",CM40:CM186),BZ11="DL2",AVERAGEIF(D40:D186,"DL2*",CM40:CM186),BZ11="DL3",AVERAGEIF(D40:D186,"DL3*",CM40:CM186),BZ11="DL4*",AVERAGEIF(D40:D186,"DL4*",CM40:CM186),BZ11="DL5",AVERAGEIF(D40:D186,"DL5*",CM40:CM186))),"")</f>
        <v/>
      </c>
      <c r="CF11" s="326">
        <f>IFERROR(IFS($BZ$11="DL1",AVERAGEIF($D$40:$D186,"DL1*",$CK$40:$CK186),$BZ$11="DL2",AVERAGEIF($D$40:$D186,"DL2*",$CK$40:$CK186),$BZ$11="DL3",AVERAGEIF($D$40:$D186,"DL3*",$CK$40:$CK186),$BZ$11="DL4",AVERAGEIF($D$40:$D186,"DL4*",$CK$40:$CK186),$BZ$11="DL5",AVERAGEIF($D$40:$D186,"DL5*",$CK$40:$CK186)),"")</f>
        <v>8</v>
      </c>
      <c r="CH11" s="289" t="str">
        <f t="array" ref="CH11">IF(NOT($D$37=3),IFERROR(INDIRECT("'Bloque "&amp;$D$38&amp;" Semana "&amp;"3"&amp;"'"&amp;"!"&amp;"E37"),""),"S3")</f>
        <v/>
      </c>
      <c r="CI11" s="316" t="str">
        <f t="shared" si="21"/>
        <v/>
      </c>
      <c r="CJ11" s="224" t="str">
        <f t="shared" si="22"/>
        <v/>
      </c>
      <c r="CK11" s="85" t="str">
        <f t="shared" si="23"/>
        <v/>
      </c>
      <c r="CL11" s="85" t="str">
        <f t="shared" si="30"/>
        <v/>
      </c>
      <c r="CM11" s="168" t="str">
        <f t="shared" si="24"/>
        <v/>
      </c>
      <c r="CN11" s="327" t="str">
        <f t="shared" si="31"/>
        <v/>
      </c>
      <c r="CO11" s="168" t="str">
        <f t="shared" si="25"/>
        <v/>
      </c>
      <c r="CP11" s="168" t="str">
        <f t="shared" si="26"/>
        <v/>
      </c>
      <c r="CQ11" s="294" t="str">
        <f t="shared" si="27"/>
        <v/>
      </c>
      <c r="CR11" s="328" t="str">
        <f t="shared" si="32"/>
        <v/>
      </c>
      <c r="CS11" s="212"/>
      <c r="CT11" s="319"/>
      <c r="DJ11" s="120" t="s">
        <v>36</v>
      </c>
      <c r="DK11" s="320" t="str">
        <f t="shared" ref="DK11:EB11" si="33">IFERROR(INDIRECT("'Bloque "&amp;$D$38&amp;" Semana "&amp;MID(DK9,2,2)&amp;"'"&amp;"!"&amp;"CD16"),"")</f>
        <v/>
      </c>
      <c r="DL11" s="320" t="str">
        <f t="shared" si="33"/>
        <v/>
      </c>
      <c r="DM11" s="320" t="str">
        <f t="shared" si="33"/>
        <v/>
      </c>
      <c r="DN11" s="320" t="str">
        <f t="shared" si="33"/>
        <v/>
      </c>
      <c r="DO11" s="320" t="str">
        <f t="shared" si="33"/>
        <v/>
      </c>
      <c r="DP11" s="320" t="str">
        <f t="shared" si="33"/>
        <v/>
      </c>
      <c r="DQ11" s="320" t="str">
        <f t="shared" si="33"/>
        <v/>
      </c>
      <c r="DR11" s="320" t="str">
        <f t="shared" si="33"/>
        <v/>
      </c>
      <c r="DS11" s="320" t="str">
        <f t="shared" si="33"/>
        <v/>
      </c>
      <c r="DT11" s="320" t="str">
        <f t="shared" si="33"/>
        <v/>
      </c>
      <c r="DU11" s="320" t="str">
        <f t="shared" si="33"/>
        <v/>
      </c>
      <c r="DV11" s="320" t="str">
        <f t="shared" si="33"/>
        <v/>
      </c>
      <c r="DW11" s="320" t="str">
        <f t="shared" si="33"/>
        <v/>
      </c>
      <c r="DX11" s="320" t="str">
        <f t="shared" si="33"/>
        <v/>
      </c>
      <c r="DY11" s="320" t="str">
        <f t="shared" si="33"/>
        <v/>
      </c>
      <c r="DZ11" s="320" t="str">
        <f t="shared" si="33"/>
        <v/>
      </c>
      <c r="EA11" s="320" t="str">
        <f t="shared" si="33"/>
        <v/>
      </c>
      <c r="EB11" s="320" t="str">
        <f t="shared" si="33"/>
        <v/>
      </c>
      <c r="ED11" s="120"/>
      <c r="EE11" s="269"/>
      <c r="EF11" s="269"/>
      <c r="EG11" s="269"/>
      <c r="EH11" s="269"/>
      <c r="EI11" s="269"/>
      <c r="EJ11" s="269"/>
      <c r="EK11" s="269"/>
      <c r="EL11" s="269"/>
      <c r="EM11" s="269"/>
      <c r="EN11" s="269"/>
      <c r="EO11" s="269"/>
      <c r="EP11" s="269"/>
      <c r="EQ11" s="269"/>
      <c r="ER11" s="269"/>
      <c r="ES11" s="269"/>
      <c r="ET11" s="269"/>
      <c r="EU11" s="269"/>
      <c r="EV11" s="269"/>
      <c r="EX11" s="218">
        <v>6.5</v>
      </c>
      <c r="EY11" s="228">
        <v>0.878</v>
      </c>
      <c r="EZ11" s="228">
        <v>0.85</v>
      </c>
      <c r="FA11" s="228">
        <v>0.824</v>
      </c>
      <c r="FB11" s="228">
        <v>0.799</v>
      </c>
      <c r="FC11" s="228">
        <v>0.774</v>
      </c>
      <c r="FD11" s="228">
        <v>0.751</v>
      </c>
      <c r="FE11" s="228">
        <v>0.723</v>
      </c>
      <c r="FF11" s="228">
        <v>0.694</v>
      </c>
      <c r="FG11" s="228">
        <v>0.667</v>
      </c>
      <c r="FH11" s="228">
        <v>0.64</v>
      </c>
      <c r="FI11" s="228">
        <v>0.613</v>
      </c>
      <c r="FJ11" s="228">
        <v>0.586</v>
      </c>
      <c r="FK11" s="208"/>
      <c r="FL11" s="218">
        <v>6.5</v>
      </c>
      <c r="FM11" s="228">
        <v>0.927</v>
      </c>
      <c r="FN11" s="228">
        <v>0.895</v>
      </c>
      <c r="FO11" s="228">
        <v>0.873</v>
      </c>
      <c r="FP11" s="228">
        <v>0.852</v>
      </c>
      <c r="FQ11" s="228">
        <v>0.832</v>
      </c>
      <c r="FR11" s="228">
        <v>0.812</v>
      </c>
      <c r="FS11" s="228">
        <v>0.792</v>
      </c>
      <c r="FT11" s="228">
        <v>0.773</v>
      </c>
      <c r="FU11" s="228">
        <v>0.755</v>
      </c>
      <c r="FV11" s="228">
        <v>0.736</v>
      </c>
      <c r="FW11" s="228">
        <v>0.719</v>
      </c>
      <c r="FX11" s="228">
        <v>0.701</v>
      </c>
      <c r="FY11" s="228"/>
      <c r="FZ11" s="84" t="str">
        <f t="array" ref="FZ11">IF(NOT($D$37=8),IFERROR(INDIRECT("'Bloque "&amp;$D$38&amp;" Semana "&amp;"8"&amp;"'"&amp;"!"&amp;"E37"),""),"S8")</f>
        <v/>
      </c>
      <c r="GA11" s="229" t="str">
        <f t="shared" si="4"/>
        <v/>
      </c>
      <c r="GB11" s="212" t="str">
        <f t="shared" si="5"/>
        <v/>
      </c>
      <c r="GC11" s="84" t="str">
        <f t="array" ref="GC11">IF(NOT($D$37=8),IFERROR(INDIRECT("'Bloque "&amp;$D$38&amp;" Semana "&amp;"8"&amp;"'"&amp;"!"&amp;"E37"),""),"S8")</f>
        <v/>
      </c>
      <c r="GD11" s="229" t="str">
        <f t="shared" si="6"/>
        <v/>
      </c>
      <c r="GE11" s="212" t="str">
        <f t="shared" si="7"/>
        <v/>
      </c>
      <c r="GF11" s="84" t="str">
        <f t="array" ref="GF11">IF(NOT($D$37=8),IFERROR(INDIRECT("'Bloque "&amp;$D$38&amp;" Semana "&amp;"8"&amp;"'"&amp;"!"&amp;"E37"),""),"S8")</f>
        <v/>
      </c>
      <c r="GG11" s="229" t="str">
        <f t="shared" si="8"/>
        <v/>
      </c>
      <c r="GH11" s="212" t="str">
        <f t="shared" si="9"/>
        <v/>
      </c>
    </row>
    <row r="12" ht="15.0" customHeight="1">
      <c r="B12" s="199"/>
      <c r="H12" s="106"/>
      <c r="I12" s="106"/>
      <c r="J12" s="225"/>
      <c r="T12" s="226"/>
      <c r="W12" s="201"/>
      <c r="AE12" s="203"/>
      <c r="AF12" s="204"/>
      <c r="AG12" s="298" t="s">
        <v>271</v>
      </c>
      <c r="AJ12" s="299"/>
      <c r="AK12" s="300" t="s">
        <v>484</v>
      </c>
      <c r="AN12" s="301"/>
      <c r="AO12" s="300"/>
      <c r="AR12" s="301"/>
      <c r="AS12" s="300"/>
      <c r="AV12" s="301"/>
      <c r="AW12" s="300"/>
      <c r="AZ12" s="301"/>
      <c r="BA12" s="300"/>
      <c r="BD12" s="301"/>
      <c r="BE12" s="302">
        <f t="shared" si="17"/>
        <v>2.857142857</v>
      </c>
      <c r="BH12" s="303"/>
      <c r="BI12" s="304"/>
      <c r="BL12" s="303"/>
      <c r="BM12" s="305"/>
      <c r="BQ12" s="306"/>
      <c r="BR12" s="307" t="b">
        <v>0</v>
      </c>
      <c r="BS12" s="308" t="str">
        <f t="shared" si="18"/>
        <v/>
      </c>
      <c r="BT12" s="301"/>
      <c r="BU12" s="309" t="b">
        <v>0</v>
      </c>
      <c r="BV12" s="308" t="str">
        <f t="shared" si="19"/>
        <v/>
      </c>
      <c r="BW12" s="310" t="str">
        <f t="shared" si="20"/>
        <v/>
      </c>
      <c r="BZ12" s="329"/>
      <c r="CF12" s="330"/>
      <c r="CH12" s="289" t="str">
        <f t="array" ref="CH12">IF(NOT($D$37=4),IFERROR(INDIRECT("'Bloque "&amp;$D$38&amp;" Semana "&amp;"4"&amp;"'"&amp;"!"&amp;"E37"),""),"S4")</f>
        <v/>
      </c>
      <c r="CI12" s="316" t="str">
        <f t="shared" si="21"/>
        <v/>
      </c>
      <c r="CJ12" s="224" t="str">
        <f t="shared" si="22"/>
        <v/>
      </c>
      <c r="CK12" s="85" t="str">
        <f t="shared" si="23"/>
        <v/>
      </c>
      <c r="CL12" s="85" t="str">
        <f t="shared" si="30"/>
        <v/>
      </c>
      <c r="CM12" s="168" t="str">
        <f t="shared" si="24"/>
        <v/>
      </c>
      <c r="CN12" s="327" t="str">
        <f t="shared" si="31"/>
        <v/>
      </c>
      <c r="CO12" s="168" t="str">
        <f t="shared" si="25"/>
        <v/>
      </c>
      <c r="CP12" s="168" t="str">
        <f t="shared" si="26"/>
        <v/>
      </c>
      <c r="CQ12" s="294" t="str">
        <f t="shared" si="27"/>
        <v/>
      </c>
      <c r="CR12" s="328" t="str">
        <f t="shared" si="32"/>
        <v/>
      </c>
      <c r="CS12" s="212"/>
      <c r="CT12" s="319"/>
      <c r="DJ12" s="120" t="s">
        <v>42</v>
      </c>
      <c r="DK12" s="320" t="str">
        <f t="shared" ref="DK12:EB12" si="34">IFERROR(INDIRECT("'Bloque "&amp;$D$38&amp;" Semana "&amp;MID(DK9,2,2)&amp;"'"&amp;"!"&amp;"CD17"),"")</f>
        <v/>
      </c>
      <c r="DL12" s="320" t="str">
        <f t="shared" si="34"/>
        <v/>
      </c>
      <c r="DM12" s="320" t="str">
        <f t="shared" si="34"/>
        <v/>
      </c>
      <c r="DN12" s="320" t="str">
        <f t="shared" si="34"/>
        <v/>
      </c>
      <c r="DO12" s="320" t="str">
        <f t="shared" si="34"/>
        <v/>
      </c>
      <c r="DP12" s="320" t="str">
        <f t="shared" si="34"/>
        <v/>
      </c>
      <c r="DQ12" s="320" t="str">
        <f t="shared" si="34"/>
        <v/>
      </c>
      <c r="DR12" s="320" t="str">
        <f t="shared" si="34"/>
        <v/>
      </c>
      <c r="DS12" s="320" t="str">
        <f t="shared" si="34"/>
        <v/>
      </c>
      <c r="DT12" s="320" t="str">
        <f t="shared" si="34"/>
        <v/>
      </c>
      <c r="DU12" s="320" t="str">
        <f t="shared" si="34"/>
        <v/>
      </c>
      <c r="DV12" s="320" t="str">
        <f t="shared" si="34"/>
        <v/>
      </c>
      <c r="DW12" s="320" t="str">
        <f t="shared" si="34"/>
        <v/>
      </c>
      <c r="DX12" s="320" t="str">
        <f t="shared" si="34"/>
        <v/>
      </c>
      <c r="DY12" s="320" t="str">
        <f t="shared" si="34"/>
        <v/>
      </c>
      <c r="DZ12" s="320" t="str">
        <f t="shared" si="34"/>
        <v/>
      </c>
      <c r="EA12" s="320" t="str">
        <f t="shared" si="34"/>
        <v/>
      </c>
      <c r="EB12" s="320" t="str">
        <f t="shared" si="34"/>
        <v/>
      </c>
      <c r="ED12" s="120"/>
      <c r="EE12" s="269"/>
      <c r="EF12" s="269"/>
      <c r="EG12" s="269"/>
      <c r="EH12" s="269"/>
      <c r="EI12" s="269"/>
      <c r="EJ12" s="269"/>
      <c r="EK12" s="269"/>
      <c r="EL12" s="269"/>
      <c r="EM12" s="269"/>
      <c r="EN12" s="269"/>
      <c r="EO12" s="269"/>
      <c r="EP12" s="269"/>
      <c r="EQ12" s="269"/>
      <c r="ER12" s="269"/>
      <c r="ES12" s="269"/>
      <c r="ET12" s="269"/>
      <c r="EU12" s="269"/>
      <c r="EV12" s="269"/>
      <c r="EX12" s="218">
        <v>6.0</v>
      </c>
      <c r="EY12" s="228">
        <v>0.863</v>
      </c>
      <c r="EZ12" s="228">
        <v>0.837</v>
      </c>
      <c r="FA12" s="228">
        <v>0.811</v>
      </c>
      <c r="FB12" s="228">
        <v>0.786</v>
      </c>
      <c r="FC12" s="228">
        <v>0.762</v>
      </c>
      <c r="FD12" s="228">
        <v>0.739</v>
      </c>
      <c r="FE12" s="228">
        <v>0.707</v>
      </c>
      <c r="FF12" s="228">
        <v>0.68</v>
      </c>
      <c r="FG12" s="228">
        <v>0.653</v>
      </c>
      <c r="FH12" s="228">
        <v>0.626</v>
      </c>
      <c r="FI12" s="228">
        <v>0.599</v>
      </c>
      <c r="FJ12" s="228">
        <v>0.572</v>
      </c>
      <c r="FK12" s="208"/>
      <c r="FL12" s="218">
        <v>6.0</v>
      </c>
      <c r="FM12" s="228">
        <v>0.918</v>
      </c>
      <c r="FN12" s="228">
        <v>0.885</v>
      </c>
      <c r="FO12" s="228">
        <v>0.864</v>
      </c>
      <c r="FP12" s="228">
        <v>0.843</v>
      </c>
      <c r="FQ12" s="228">
        <v>0.823</v>
      </c>
      <c r="FR12" s="228">
        <v>0.803</v>
      </c>
      <c r="FS12" s="228">
        <v>0.784</v>
      </c>
      <c r="FT12" s="228">
        <v>0.765</v>
      </c>
      <c r="FU12" s="228">
        <v>0.747</v>
      </c>
      <c r="FV12" s="228">
        <v>0.729</v>
      </c>
      <c r="FW12" s="228">
        <v>0.711</v>
      </c>
      <c r="FX12" s="228">
        <v>0.694</v>
      </c>
      <c r="FY12" s="228"/>
      <c r="FZ12" s="84" t="str">
        <f t="array" ref="FZ12">IF(NOT($D$37=9),IFERROR(INDIRECT("'Bloque "&amp;$D$38&amp;" Semana "&amp;"9"&amp;"'"&amp;"!"&amp;"E37"),""),"S9")</f>
        <v/>
      </c>
      <c r="GA12" s="229" t="str">
        <f t="shared" si="4"/>
        <v/>
      </c>
      <c r="GB12" s="212" t="str">
        <f t="shared" si="5"/>
        <v/>
      </c>
      <c r="GC12" s="84" t="str">
        <f t="array" ref="GC12">IF(NOT($D$37=9),IFERROR(INDIRECT("'Bloque "&amp;$D$38&amp;" Semana "&amp;"9"&amp;"'"&amp;"!"&amp;"E37"),""),"S9")</f>
        <v/>
      </c>
      <c r="GD12" s="229" t="str">
        <f t="shared" si="6"/>
        <v/>
      </c>
      <c r="GE12" s="212" t="str">
        <f t="shared" si="7"/>
        <v/>
      </c>
      <c r="GF12" s="84" t="str">
        <f t="array" ref="GF12">IF(NOT($D$37=9),IFERROR(INDIRECT("'Bloque "&amp;$D$38&amp;" Semana "&amp;"9"&amp;"'"&amp;"!"&amp;"E37"),""),"S9")</f>
        <v/>
      </c>
      <c r="GG12" s="229" t="str">
        <f t="shared" si="8"/>
        <v/>
      </c>
      <c r="GH12" s="212" t="str">
        <f t="shared" si="9"/>
        <v/>
      </c>
    </row>
    <row r="13" ht="25.5" customHeight="1">
      <c r="B13" s="199"/>
      <c r="E13" s="331" t="s">
        <v>272</v>
      </c>
      <c r="F13" s="332" t="s">
        <v>3</v>
      </c>
      <c r="H13" s="106"/>
      <c r="I13" s="106"/>
      <c r="J13" s="225"/>
      <c r="T13" s="226"/>
      <c r="W13" s="201"/>
      <c r="AE13" s="203"/>
      <c r="AF13" s="204"/>
      <c r="AG13" s="270" t="s">
        <v>273</v>
      </c>
      <c r="AJ13" s="271"/>
      <c r="AK13" s="272" t="s">
        <v>447</v>
      </c>
      <c r="AN13" s="273"/>
      <c r="AO13" s="272" t="s">
        <v>447</v>
      </c>
      <c r="AR13" s="273"/>
      <c r="AS13" s="272" t="s">
        <v>483</v>
      </c>
      <c r="AV13" s="273"/>
      <c r="AW13" s="272" t="s">
        <v>483</v>
      </c>
      <c r="AZ13" s="273"/>
      <c r="BA13" s="272" t="s">
        <v>483</v>
      </c>
      <c r="BD13" s="273"/>
      <c r="BE13" s="274">
        <f t="shared" si="17"/>
        <v>4.857142857</v>
      </c>
      <c r="BH13" s="275"/>
      <c r="BI13" s="321"/>
      <c r="BL13" s="275"/>
      <c r="BM13" s="277"/>
      <c r="BQ13" s="278"/>
      <c r="BR13" s="279" t="b">
        <v>0</v>
      </c>
      <c r="BS13" s="280" t="str">
        <f t="shared" si="18"/>
        <v/>
      </c>
      <c r="BT13" s="273"/>
      <c r="BU13" s="281" t="b">
        <v>0</v>
      </c>
      <c r="BV13" s="280" t="str">
        <f t="shared" si="19"/>
        <v/>
      </c>
      <c r="BW13" s="282" t="str">
        <f t="shared" si="20"/>
        <v/>
      </c>
      <c r="BZ13" s="333" t="s">
        <v>274</v>
      </c>
      <c r="CA13" s="210"/>
      <c r="CB13" s="210"/>
      <c r="CC13" s="334"/>
      <c r="CD13" s="334"/>
      <c r="CE13" s="334"/>
      <c r="CF13" s="335"/>
      <c r="CG13" s="245"/>
      <c r="CH13" s="289" t="str">
        <f t="array" ref="CH13">IF(NOT($D$37=5),IFERROR(INDIRECT("'Bloque "&amp;$D$38&amp;" Semana "&amp;"5"&amp;"'"&amp;"!"&amp;"E37"),""),"S5")</f>
        <v/>
      </c>
      <c r="CI13" s="316" t="str">
        <f t="shared" si="21"/>
        <v/>
      </c>
      <c r="CJ13" s="224" t="str">
        <f t="shared" si="22"/>
        <v/>
      </c>
      <c r="CK13" s="85" t="str">
        <f t="shared" si="23"/>
        <v/>
      </c>
      <c r="CL13" s="85" t="str">
        <f t="shared" si="30"/>
        <v/>
      </c>
      <c r="CM13" s="168" t="str">
        <f t="shared" si="24"/>
        <v/>
      </c>
      <c r="CN13" s="327" t="str">
        <f t="shared" si="31"/>
        <v/>
      </c>
      <c r="CO13" s="168" t="str">
        <f t="shared" si="25"/>
        <v/>
      </c>
      <c r="CP13" s="168" t="str">
        <f t="shared" si="26"/>
        <v/>
      </c>
      <c r="CQ13" s="294" t="str">
        <f t="shared" si="27"/>
        <v/>
      </c>
      <c r="CR13" s="328" t="str">
        <f t="shared" si="32"/>
        <v/>
      </c>
      <c r="CS13" s="212"/>
      <c r="CT13" s="319"/>
      <c r="ED13" s="120"/>
      <c r="EE13" s="269"/>
      <c r="EF13" s="269"/>
      <c r="EG13" s="269"/>
      <c r="EH13" s="269"/>
      <c r="EI13" s="269"/>
      <c r="EJ13" s="269"/>
      <c r="EK13" s="269"/>
      <c r="EL13" s="269"/>
      <c r="EM13" s="269"/>
      <c r="EN13" s="269"/>
      <c r="EO13" s="269"/>
      <c r="EP13" s="269"/>
      <c r="EQ13" s="269"/>
      <c r="ER13" s="269"/>
      <c r="ES13" s="269"/>
      <c r="ET13" s="269"/>
      <c r="EU13" s="269"/>
      <c r="EV13" s="269"/>
      <c r="EX13" s="218">
        <v>5.5</v>
      </c>
      <c r="EY13" s="228">
        <v>0.85</v>
      </c>
      <c r="EZ13" s="228">
        <v>0.824</v>
      </c>
      <c r="FA13" s="228">
        <v>0.799</v>
      </c>
      <c r="FB13" s="228">
        <v>0.774</v>
      </c>
      <c r="FC13" s="228">
        <v>0.751</v>
      </c>
      <c r="FD13" s="228">
        <v>0.723</v>
      </c>
      <c r="FE13" s="228">
        <v>0.694</v>
      </c>
      <c r="FF13" s="228">
        <v>0.667</v>
      </c>
      <c r="FG13" s="228">
        <v>0.64</v>
      </c>
      <c r="FH13" s="228">
        <v>0.613</v>
      </c>
      <c r="FI13" s="228">
        <v>0.586</v>
      </c>
      <c r="FJ13" s="228">
        <v>0.558</v>
      </c>
      <c r="FK13" s="208"/>
      <c r="FL13" s="218">
        <v>5.5</v>
      </c>
      <c r="FM13" s="228">
        <v>0.908</v>
      </c>
      <c r="FN13" s="228">
        <v>0.876</v>
      </c>
      <c r="FO13" s="228">
        <v>0.855</v>
      </c>
      <c r="FP13" s="228">
        <v>0.834</v>
      </c>
      <c r="FQ13" s="228">
        <v>0.814</v>
      </c>
      <c r="FR13" s="228">
        <v>0.795</v>
      </c>
      <c r="FS13" s="228">
        <v>0.775</v>
      </c>
      <c r="FT13" s="228">
        <v>0.757</v>
      </c>
      <c r="FU13" s="228">
        <v>0.739</v>
      </c>
      <c r="FV13" s="228">
        <v>0.721</v>
      </c>
      <c r="FW13" s="228">
        <v>0.703</v>
      </c>
      <c r="FX13" s="228">
        <v>0.686</v>
      </c>
      <c r="FY13" s="228"/>
      <c r="FZ13" s="84" t="str">
        <f t="array" ref="FZ13">IF(NOT($D$37=10),IFERROR(INDIRECT("'Bloque "&amp;$D$38&amp;" Semana "&amp;"10"&amp;"'"&amp;"!"&amp;"E37"),""),"S10")</f>
        <v/>
      </c>
      <c r="GA13" s="229" t="str">
        <f t="shared" si="4"/>
        <v/>
      </c>
      <c r="GB13" s="212" t="str">
        <f t="shared" si="5"/>
        <v/>
      </c>
      <c r="GC13" s="84" t="str">
        <f t="array" ref="GC13">IF(NOT($D$37=10),IFERROR(INDIRECT("'Bloque "&amp;$D$38&amp;" Semana "&amp;"10"&amp;"'"&amp;"!"&amp;"E37"),""),"S10")</f>
        <v/>
      </c>
      <c r="GD13" s="229" t="str">
        <f t="shared" si="6"/>
        <v/>
      </c>
      <c r="GE13" s="212" t="str">
        <f t="shared" si="7"/>
        <v/>
      </c>
      <c r="GF13" s="84" t="str">
        <f t="array" ref="GF13">IF(NOT($D$37=10),IFERROR(INDIRECT("'Bloque "&amp;$D$38&amp;" Semana "&amp;"10"&amp;"'"&amp;"!"&amp;"E37"),""),"S10")</f>
        <v/>
      </c>
      <c r="GG13" s="229" t="str">
        <f t="shared" si="8"/>
        <v/>
      </c>
      <c r="GH13" s="212" t="str">
        <f t="shared" si="9"/>
        <v/>
      </c>
    </row>
    <row r="14" ht="27.75" customHeight="1">
      <c r="B14" s="199"/>
      <c r="E14" s="336" t="s">
        <v>21</v>
      </c>
      <c r="F14" s="337">
        <v>180.0</v>
      </c>
      <c r="H14" s="106"/>
      <c r="I14" s="106"/>
      <c r="J14" s="225"/>
      <c r="T14" s="226"/>
      <c r="W14" s="338"/>
      <c r="AE14" s="203"/>
      <c r="AF14" s="204"/>
      <c r="AG14" s="298" t="s">
        <v>275</v>
      </c>
      <c r="AJ14" s="299"/>
      <c r="AK14" s="300"/>
      <c r="AN14" s="301"/>
      <c r="AO14" s="300"/>
      <c r="AR14" s="301"/>
      <c r="AS14" s="300"/>
      <c r="AV14" s="301"/>
      <c r="AW14" s="300"/>
      <c r="AZ14" s="301"/>
      <c r="BA14" s="300"/>
      <c r="BD14" s="301"/>
      <c r="BE14" s="302" t="str">
        <f t="shared" si="17"/>
        <v/>
      </c>
      <c r="BH14" s="303"/>
      <c r="BI14" s="304"/>
      <c r="BL14" s="303"/>
      <c r="BM14" s="305"/>
      <c r="BQ14" s="306"/>
      <c r="BR14" s="307" t="b">
        <v>0</v>
      </c>
      <c r="BS14" s="308" t="str">
        <f t="shared" si="18"/>
        <v/>
      </c>
      <c r="BT14" s="301"/>
      <c r="BU14" s="309" t="b">
        <v>0</v>
      </c>
      <c r="BV14" s="308" t="str">
        <f t="shared" si="19"/>
        <v/>
      </c>
      <c r="BW14" s="310" t="str">
        <f t="shared" si="20"/>
        <v/>
      </c>
      <c r="BZ14" s="261" t="s">
        <v>246</v>
      </c>
      <c r="CA14" s="83" t="s">
        <v>247</v>
      </c>
      <c r="CB14" s="83" t="s">
        <v>248</v>
      </c>
      <c r="CC14" s="83" t="s">
        <v>224</v>
      </c>
      <c r="CD14" s="83" t="s">
        <v>249</v>
      </c>
      <c r="CE14" s="83" t="s">
        <v>276</v>
      </c>
      <c r="CF14" s="339" t="s">
        <v>251</v>
      </c>
      <c r="CH14" s="289" t="str">
        <f t="array" ref="CH14">IF(NOT($D$37=6),IFERROR(INDIRECT("'Bloque "&amp;$D$38&amp;" Semana "&amp;"6"&amp;"'"&amp;"!"&amp;"E37"),""),"S6")</f>
        <v/>
      </c>
      <c r="CI14" s="316" t="str">
        <f t="shared" si="21"/>
        <v/>
      </c>
      <c r="CJ14" s="224" t="str">
        <f t="shared" si="22"/>
        <v/>
      </c>
      <c r="CK14" s="85" t="str">
        <f t="shared" si="23"/>
        <v/>
      </c>
      <c r="CL14" s="85" t="str">
        <f t="shared" si="30"/>
        <v/>
      </c>
      <c r="CM14" s="168" t="str">
        <f t="shared" si="24"/>
        <v/>
      </c>
      <c r="CN14" s="327" t="str">
        <f t="shared" si="31"/>
        <v/>
      </c>
      <c r="CO14" s="168" t="str">
        <f t="shared" si="25"/>
        <v/>
      </c>
      <c r="CP14" s="168" t="str">
        <f t="shared" si="26"/>
        <v/>
      </c>
      <c r="CQ14" s="294" t="str">
        <f t="shared" si="27"/>
        <v/>
      </c>
      <c r="CR14" s="328" t="str">
        <f t="shared" si="32"/>
        <v/>
      </c>
      <c r="CS14" s="212"/>
      <c r="CT14" s="319"/>
      <c r="DJ14" s="107" t="s">
        <v>111</v>
      </c>
      <c r="DK14" s="108"/>
      <c r="DL14" s="108"/>
      <c r="DM14" s="108"/>
      <c r="DN14" s="108"/>
      <c r="DO14" s="108"/>
      <c r="DP14" s="108"/>
      <c r="DQ14" s="108"/>
      <c r="DR14" s="108"/>
      <c r="DS14" s="108"/>
      <c r="DT14" s="108"/>
      <c r="DU14" s="108"/>
      <c r="DV14" s="108"/>
      <c r="DW14" s="108"/>
      <c r="DX14" s="108"/>
      <c r="DY14" s="108"/>
      <c r="DZ14" s="108"/>
      <c r="EA14" s="108"/>
      <c r="EB14" s="108"/>
      <c r="ED14" s="120"/>
      <c r="EE14" s="269"/>
      <c r="EF14" s="269"/>
      <c r="EG14" s="269"/>
      <c r="EH14" s="269"/>
      <c r="EI14" s="269"/>
      <c r="EJ14" s="269"/>
      <c r="EK14" s="269"/>
      <c r="EL14" s="269"/>
      <c r="EM14" s="269"/>
      <c r="EN14" s="269"/>
      <c r="EO14" s="269"/>
      <c r="EP14" s="269"/>
      <c r="EQ14" s="269"/>
      <c r="ER14" s="269"/>
      <c r="ES14" s="269"/>
      <c r="ET14" s="269"/>
      <c r="EU14" s="269"/>
      <c r="EV14" s="269"/>
      <c r="EX14" s="218">
        <v>5.0</v>
      </c>
      <c r="EY14" s="228">
        <v>0.837</v>
      </c>
      <c r="EZ14" s="228">
        <v>0.511</v>
      </c>
      <c r="FA14" s="228">
        <v>0.786</v>
      </c>
      <c r="FB14" s="228">
        <v>0.762</v>
      </c>
      <c r="FC14" s="228">
        <v>0.739</v>
      </c>
      <c r="FD14" s="228">
        <v>0.707</v>
      </c>
      <c r="FE14" s="228">
        <v>0.68</v>
      </c>
      <c r="FF14" s="228">
        <v>0.653</v>
      </c>
      <c r="FG14" s="228">
        <v>0.626</v>
      </c>
      <c r="FH14" s="228">
        <v>0.599</v>
      </c>
      <c r="FI14" s="228">
        <v>0.572</v>
      </c>
      <c r="FJ14" s="228">
        <v>0.544</v>
      </c>
      <c r="FK14" s="208"/>
      <c r="FL14" s="218">
        <v>5.0</v>
      </c>
      <c r="FM14" s="228">
        <v>0.898</v>
      </c>
      <c r="FN14" s="228">
        <v>0.867</v>
      </c>
      <c r="FO14" s="228">
        <v>0.846</v>
      </c>
      <c r="FP14" s="228">
        <v>0.825</v>
      </c>
      <c r="FQ14" s="228">
        <v>0.805</v>
      </c>
      <c r="FR14" s="228">
        <v>0.786</v>
      </c>
      <c r="FS14" s="228">
        <v>0.767</v>
      </c>
      <c r="FT14" s="228">
        <v>0.749</v>
      </c>
      <c r="FU14" s="228">
        <v>0.731</v>
      </c>
      <c r="FV14" s="228">
        <v>0.713</v>
      </c>
      <c r="FW14" s="228">
        <v>0.696</v>
      </c>
      <c r="FX14" s="228">
        <v>0.679</v>
      </c>
      <c r="FY14" s="228"/>
      <c r="FZ14" s="84" t="str">
        <f t="array" ref="FZ14">IF(NOT($D$37=11),IFERROR(INDIRECT("'Bloque "&amp;$D$38&amp;" Semana "&amp;"11"&amp;"'"&amp;"!"&amp;"E37"),""),"S11")</f>
        <v/>
      </c>
      <c r="GA14" s="229" t="str">
        <f t="shared" si="4"/>
        <v/>
      </c>
      <c r="GB14" s="212" t="str">
        <f t="shared" si="5"/>
        <v/>
      </c>
      <c r="GC14" s="84" t="str">
        <f t="array" ref="GC14">IF(NOT($D$37=11),IFERROR(INDIRECT("'Bloque "&amp;$D$38&amp;" Semana "&amp;"11"&amp;"'"&amp;"!"&amp;"E37"),""),"S11")</f>
        <v/>
      </c>
      <c r="GD14" s="229" t="str">
        <f t="shared" si="6"/>
        <v/>
      </c>
      <c r="GE14" s="212" t="str">
        <f t="shared" si="7"/>
        <v/>
      </c>
      <c r="GF14" s="84" t="str">
        <f t="array" ref="GF14">IF(NOT($D$37=11),IFERROR(INDIRECT("'Bloque "&amp;$D$38&amp;" Semana "&amp;"11"&amp;"'"&amp;"!"&amp;"E37"),""),"S11")</f>
        <v/>
      </c>
      <c r="GG14" s="229" t="str">
        <f t="shared" si="8"/>
        <v/>
      </c>
      <c r="GH14" s="212" t="str">
        <f t="shared" si="9"/>
        <v/>
      </c>
    </row>
    <row r="15" ht="32.25" customHeight="1">
      <c r="B15" s="199"/>
      <c r="E15" s="336" t="s">
        <v>36</v>
      </c>
      <c r="F15" s="337">
        <v>115.0</v>
      </c>
      <c r="H15" s="106"/>
      <c r="I15" s="106"/>
      <c r="J15" s="225"/>
      <c r="T15" s="226"/>
      <c r="W15" s="201"/>
      <c r="AE15" s="203"/>
      <c r="AF15" s="204"/>
      <c r="AG15" s="270" t="s">
        <v>277</v>
      </c>
      <c r="AJ15" s="271"/>
      <c r="AK15" s="272" t="s">
        <v>446</v>
      </c>
      <c r="AN15" s="273"/>
      <c r="AO15" s="272"/>
      <c r="AR15" s="273"/>
      <c r="AS15" s="272"/>
      <c r="AV15" s="273"/>
      <c r="AW15" s="272"/>
      <c r="AZ15" s="273"/>
      <c r="BA15" s="272"/>
      <c r="BD15" s="273"/>
      <c r="BE15" s="274">
        <f t="shared" si="17"/>
        <v>10</v>
      </c>
      <c r="BH15" s="275"/>
      <c r="BI15" s="321"/>
      <c r="BL15" s="275"/>
      <c r="BM15" s="277"/>
      <c r="BQ15" s="278"/>
      <c r="BR15" s="340" t="b">
        <v>0</v>
      </c>
      <c r="BS15" s="341" t="str">
        <f t="shared" si="18"/>
        <v/>
      </c>
      <c r="BT15" s="342"/>
      <c r="BU15" s="343" t="b">
        <v>0</v>
      </c>
      <c r="BV15" s="341" t="str">
        <f t="shared" si="19"/>
        <v/>
      </c>
      <c r="BW15" s="344" t="str">
        <f t="shared" si="20"/>
        <v/>
      </c>
      <c r="BZ15" s="345" t="s">
        <v>21</v>
      </c>
      <c r="CA15" s="284">
        <f>SUMIF(D40:D186,"SQ*",AD40:AD186)</f>
        <v>6</v>
      </c>
      <c r="CB15" s="284">
        <f>SUMIF(D40:D186,"SQ*",CC40:CC186)</f>
        <v>26</v>
      </c>
      <c r="CC15" s="285" t="str">
        <f>SUMIF(D40:D186,"SQ*",CE40:CE186)</f>
        <v>#VALUE!</v>
      </c>
      <c r="CD15" s="286" t="str">
        <f>IFERROR( AVERAGEIF(D40:D186,"SQ*",CA40:CA186),"")</f>
        <v/>
      </c>
      <c r="CE15" s="287">
        <f>IFERROR( IFS($CE$14="e1RM Bryzcki",MAXIFS(CH40:CH186,D40:D186,"SQ*"),$CE$14="e1RM Steve Denovi F1",MAXIFS(CL40:CL186,D40:D186,"SQ*"),$CE$14="e1RM Steve Denovi F2",MAXIFS(CM40:CM186,D40:D186,"SQ*")),"")</f>
        <v>0</v>
      </c>
      <c r="CF15" s="346">
        <f>IFERROR( AVERAGEIF($D$40:$D186,"SQ*",$CK$40:$CK186),"")</f>
        <v>5.875</v>
      </c>
      <c r="CH15" s="289" t="str">
        <f t="array" ref="CH15">IF(NOT($D$37=7),IFERROR(INDIRECT("'Bloque "&amp;$D$38&amp;" Semana "&amp;"7"&amp;"'"&amp;"!"&amp;"E37"),""),"S7")</f>
        <v/>
      </c>
      <c r="CI15" s="316" t="str">
        <f t="shared" si="21"/>
        <v/>
      </c>
      <c r="CJ15" s="224" t="str">
        <f t="shared" si="22"/>
        <v/>
      </c>
      <c r="CK15" s="85" t="str">
        <f t="shared" si="23"/>
        <v/>
      </c>
      <c r="CL15" s="85" t="str">
        <f t="shared" si="30"/>
        <v/>
      </c>
      <c r="CM15" s="168" t="str">
        <f t="shared" si="24"/>
        <v/>
      </c>
      <c r="CN15" s="327" t="str">
        <f t="shared" si="31"/>
        <v/>
      </c>
      <c r="CO15" s="168" t="str">
        <f t="shared" si="25"/>
        <v/>
      </c>
      <c r="CP15" s="168" t="str">
        <f t="shared" si="26"/>
        <v/>
      </c>
      <c r="CQ15" s="294" t="str">
        <f t="shared" si="27"/>
        <v/>
      </c>
      <c r="CR15" s="328" t="str">
        <f t="shared" si="32"/>
        <v/>
      </c>
      <c r="CS15" s="212"/>
      <c r="CT15" s="319"/>
      <c r="DJ15" s="83"/>
      <c r="DK15" s="227" t="str">
        <f t="array" ref="DK15">IF(NOT($D$37=1),IFERROR(INDIRECT("'Bloque "&amp;$D$38&amp;" Semana "&amp;"1"&amp;"'"&amp;"!"&amp;"E37"),""),"S1")</f>
        <v>S1</v>
      </c>
      <c r="DL15" s="227" t="str">
        <f t="array" ref="DL15">IF(NOT($D$37=2),IFERROR(INDIRECT("'Bloque "&amp;$D$38&amp;" Semana "&amp;"2"&amp;"'"&amp;"!"&amp;"E37"),""),"S2")</f>
        <v/>
      </c>
      <c r="DM15" s="227" t="str">
        <f t="array" ref="DM15">IF(NOT($D$37=3),IFERROR(INDIRECT("'Bloque "&amp;$D$38&amp;" Semana "&amp;"3"&amp;"'"&amp;"!"&amp;"E37"),""),"S3")</f>
        <v/>
      </c>
      <c r="DN15" s="227" t="str">
        <f t="array" ref="DN15">IF(NOT($D$37=4),IFERROR(INDIRECT("'Bloque "&amp;$D$38&amp;" Semana "&amp;"4"&amp;"'"&amp;"!"&amp;"E37"),""),"S4")</f>
        <v/>
      </c>
      <c r="DO15" s="227" t="str">
        <f t="array" ref="DO15">IF(NOT($D$37=5),IFERROR(INDIRECT("'Bloque "&amp;$D$38&amp;" Semana "&amp;"5"&amp;"'"&amp;"!"&amp;"E37"),""),"S5")</f>
        <v/>
      </c>
      <c r="DP15" s="227" t="str">
        <f t="array" ref="DP15">IF(NOT($D$37=6),IFERROR(INDIRECT("'Bloque "&amp;$D$38&amp;" Semana "&amp;"6"&amp;"'"&amp;"!"&amp;"E37"),""),"S6")</f>
        <v/>
      </c>
      <c r="DQ15" s="227" t="str">
        <f t="array" ref="DQ15">IF(NOT($D$37=7),IFERROR(INDIRECT("'Bloque "&amp;$D$38&amp;" Semana "&amp;"7"&amp;"'"&amp;"!"&amp;"E37"),""),"S7")</f>
        <v/>
      </c>
      <c r="DR15" s="227" t="str">
        <f t="array" ref="DR15">IF(NOT($D$37=8),IFERROR(INDIRECT("'Bloque "&amp;$D$38&amp;" Semana "&amp;"8"&amp;"'"&amp;"!"&amp;"E37"),""),"S8")</f>
        <v/>
      </c>
      <c r="DS15" s="227" t="str">
        <f t="array" ref="DS15">IF(NOT($D$37=9),IFERROR(INDIRECT("'Bloque "&amp;$D$38&amp;" Semana "&amp;"9"&amp;"'"&amp;"!"&amp;"E37"),""),"S9")</f>
        <v/>
      </c>
      <c r="DT15" s="227" t="str">
        <f t="array" ref="DT15">IF(NOT($D$37=10),IFERROR(INDIRECT("'Bloque "&amp;$D$38&amp;" Semana "&amp;"10"&amp;"'"&amp;"!"&amp;"E37"),""),"S10")</f>
        <v/>
      </c>
      <c r="DU15" s="227" t="str">
        <f t="array" ref="DU15">IF(NOT($D$37=11),IFERROR(INDIRECT("'Bloque "&amp;$D$38&amp;" Semana "&amp;"11"&amp;"'"&amp;"!"&amp;"E37"),""),"S11")</f>
        <v/>
      </c>
      <c r="DV15" s="227" t="str">
        <f t="array" ref="DV15">IF(NOT($D$37=12),IFERROR(INDIRECT("'Bloque "&amp;$D$38&amp;" Semana "&amp;"12"&amp;"'"&amp;"!"&amp;"E37"),""),"S12")</f>
        <v/>
      </c>
      <c r="DW15" s="227" t="str">
        <f t="array" ref="DW15">IF(NOT($D$37=13),IFERROR(INDIRECT("'Bloque "&amp;$D$38&amp;" Semana "&amp;"13"&amp;"'"&amp;"!"&amp;"E37"),""),"S13")</f>
        <v/>
      </c>
      <c r="DX15" s="227" t="str">
        <f t="array" ref="DX15">IF(NOT($D$37=14),IFERROR(INDIRECT("'Bloque "&amp;$D$38&amp;" Semana "&amp;"14"&amp;"'"&amp;"!"&amp;"E37"),""),"S14")</f>
        <v/>
      </c>
      <c r="DY15" s="227" t="str">
        <f t="array" ref="DY15">IF(NOT($D$37=15),IFERROR(INDIRECT("'Bloque "&amp;$D$38&amp;" Semana "&amp;"15"&amp;"'"&amp;"!"&amp;"E37"),""),"S15")</f>
        <v/>
      </c>
      <c r="DZ15" s="227" t="str">
        <f t="array" ref="DZ15">IF(NOT($D$37=16),IFERROR(INDIRECT("'Bloque "&amp;$D$38&amp;" Semana "&amp;"16"&amp;"'"&amp;"!"&amp;"E37"),""),"S16")</f>
        <v/>
      </c>
      <c r="EA15" s="227" t="str">
        <f t="array" ref="EA15">IF(NOT($D$37=17),IFERROR(INDIRECT("'Bloque "&amp;$D$38&amp;" Semana "&amp;"17"&amp;"'"&amp;"!"&amp;"E37"),""),"S17")</f>
        <v/>
      </c>
      <c r="EB15" s="227" t="str">
        <f t="array" ref="EB15">IF(NOT($D$37=18),IFERROR(INDIRECT("'Bloque "&amp;$D$38&amp;" Semana "&amp;"18"&amp;"'"&amp;"!"&amp;"E37"),""),"S18")</f>
        <v/>
      </c>
      <c r="ED15" s="120"/>
      <c r="EE15" s="269"/>
      <c r="EF15" s="269"/>
      <c r="EG15" s="269"/>
      <c r="EH15" s="269"/>
      <c r="EI15" s="269"/>
      <c r="EJ15" s="269"/>
      <c r="EK15" s="269"/>
      <c r="EL15" s="269"/>
      <c r="EM15" s="269"/>
      <c r="EN15" s="269"/>
      <c r="EO15" s="269"/>
      <c r="EP15" s="269"/>
      <c r="EQ15" s="269"/>
      <c r="ER15" s="269"/>
      <c r="ES15" s="269"/>
      <c r="ET15" s="269"/>
      <c r="EU15" s="269"/>
      <c r="EV15" s="269"/>
      <c r="EX15" s="218">
        <v>4.5</v>
      </c>
      <c r="EY15" s="228">
        <v>0.824</v>
      </c>
      <c r="EZ15" s="228">
        <v>0.799</v>
      </c>
      <c r="FA15" s="228">
        <v>0.774</v>
      </c>
      <c r="FB15" s="228">
        <v>0.751</v>
      </c>
      <c r="FC15" s="228">
        <v>0.723</v>
      </c>
      <c r="FD15" s="228">
        <v>0.694</v>
      </c>
      <c r="FE15" s="228">
        <v>0.667</v>
      </c>
      <c r="FF15" s="228">
        <v>0.64</v>
      </c>
      <c r="FG15" s="228">
        <v>0.613</v>
      </c>
      <c r="FH15" s="228">
        <v>0.586</v>
      </c>
      <c r="FI15" s="228">
        <v>0.558</v>
      </c>
      <c r="FJ15" s="228">
        <v>0.53</v>
      </c>
      <c r="FK15" s="208"/>
      <c r="FL15" s="218">
        <v>4.5</v>
      </c>
      <c r="FM15" s="228">
        <v>0.888</v>
      </c>
      <c r="FN15" s="228">
        <v>0.857</v>
      </c>
      <c r="FO15" s="228">
        <v>0.837</v>
      </c>
      <c r="FP15" s="228">
        <v>0.816</v>
      </c>
      <c r="FQ15" s="228">
        <v>0.797</v>
      </c>
      <c r="FR15" s="228">
        <v>0.778</v>
      </c>
      <c r="FS15" s="228">
        <v>0.759</v>
      </c>
      <c r="FT15" s="228">
        <v>0.741</v>
      </c>
      <c r="FU15" s="228">
        <v>0.723</v>
      </c>
      <c r="FV15" s="228">
        <v>0.705</v>
      </c>
      <c r="FW15" s="228">
        <v>0.688</v>
      </c>
      <c r="FX15" s="228">
        <v>0.672</v>
      </c>
      <c r="FY15" s="228"/>
      <c r="FZ15" s="84" t="str">
        <f t="array" ref="FZ15">IF(NOT($D$37=12),IFERROR(INDIRECT("'Bloque "&amp;$D$38&amp;" Semana "&amp;"12"&amp;"'"&amp;"!"&amp;"E37"),""),"S12")</f>
        <v/>
      </c>
      <c r="GA15" s="229" t="str">
        <f t="shared" si="4"/>
        <v/>
      </c>
      <c r="GB15" s="212" t="str">
        <f t="shared" si="5"/>
        <v/>
      </c>
      <c r="GC15" s="84" t="str">
        <f t="array" ref="GC15">IF(NOT($D$37=12),IFERROR(INDIRECT("'Bloque "&amp;$D$38&amp;" Semana "&amp;"12"&amp;"'"&amp;"!"&amp;"E37"),""),"S12")</f>
        <v/>
      </c>
      <c r="GD15" s="229" t="str">
        <f t="shared" si="6"/>
        <v/>
      </c>
      <c r="GE15" s="212" t="str">
        <f t="shared" si="7"/>
        <v/>
      </c>
      <c r="GF15" s="84" t="str">
        <f t="array" ref="GF15">IF(NOT($D$37=12),IFERROR(INDIRECT("'Bloque "&amp;$D$38&amp;" Semana "&amp;"12"&amp;"'"&amp;"!"&amp;"E37"),""),"S12")</f>
        <v/>
      </c>
      <c r="GG15" s="229" t="str">
        <f t="shared" si="8"/>
        <v/>
      </c>
      <c r="GH15" s="212" t="str">
        <f t="shared" si="9"/>
        <v/>
      </c>
    </row>
    <row r="16" ht="37.5" customHeight="1">
      <c r="B16" s="199"/>
      <c r="E16" s="336" t="s">
        <v>42</v>
      </c>
      <c r="F16" s="337">
        <v>240.0</v>
      </c>
      <c r="H16" s="106"/>
      <c r="I16" s="106"/>
      <c r="J16" s="347"/>
      <c r="K16" s="348"/>
      <c r="L16" s="348"/>
      <c r="M16" s="348"/>
      <c r="N16" s="348"/>
      <c r="O16" s="348"/>
      <c r="P16" s="348"/>
      <c r="Q16" s="348"/>
      <c r="R16" s="348"/>
      <c r="S16" s="348"/>
      <c r="T16" s="349"/>
      <c r="W16" s="201"/>
      <c r="X16" s="350" t="s">
        <v>278</v>
      </c>
      <c r="Y16" s="210"/>
      <c r="Z16" s="210"/>
      <c r="AA16" s="210"/>
      <c r="AB16" s="210"/>
      <c r="AC16" s="210"/>
      <c r="AD16" s="351"/>
      <c r="AE16" s="203"/>
      <c r="AF16" s="204"/>
      <c r="AG16" s="352" t="s">
        <v>279</v>
      </c>
      <c r="AJ16" s="353"/>
      <c r="AK16" s="354">
        <f>IFERROR( IFERROR(IF(NOT(ISBLANK(AK9)),MID(AK9,1,2),"")+IF(NOT(ISBLANK(AK10)),MID(AK10,1,2),"")+IF(NOT(ISBLANK(AK11)),MID(AK11,1,2),"")+IF(NOT(ISBLANK(AK12)),MID(AK12,1,2),"")+IF(NOT(ISBLANK(AK13)),MID(AK13,1,2),"")+IF(NOT(ISBLANK(AK14)),MID(AK14,1,2),"")+IF(NOT(ISBLANK(AK15)),MID(AK15,1,2),""),"")/COUNTA(AK9:AK15),"")</f>
        <v>3.666666667</v>
      </c>
      <c r="AM16" s="355" t="s">
        <v>280</v>
      </c>
      <c r="AN16" s="355"/>
      <c r="AO16" s="354">
        <f>IFERROR( IFERROR(IF(NOT(ISBLANK(AO9)),MID(AO9,1,2),"")+IF(NOT(ISBLANK(AO10)),MID(AO10,1,2),"")+IF(NOT(ISBLANK(AO11)),MID(AO11,1,2),"")+IF(NOT(ISBLANK(AO12)),MID(AO12,1,2),"")+IF(NOT(ISBLANK(AO13)),MID(AO13,1,2),"")+IF(NOT(ISBLANK(AO14)),MID(AO14,1,2),"")+IF(NOT(ISBLANK(AO15)),MID(AO15,1,2),""),"")/COUNTA(AO9:AO15),"")</f>
        <v>3.333333333</v>
      </c>
      <c r="AQ16" s="355" t="s">
        <v>280</v>
      </c>
      <c r="AR16" s="355"/>
      <c r="AS16" s="354">
        <f>IFERROR( IFERROR(IF(NOT(ISBLANK(AS9)),MID(AS9,1,2),"")+IF(NOT(ISBLANK(AS10)),MID(AS10,1,2),"")+IF(NOT(ISBLANK(AS11)),MID(AS11,1,2),"")+IF(NOT(ISBLANK(AS12)),MID(AS12,1,2),"")+IF(NOT(ISBLANK(AS13)),MID(AS13,1,2),"")+IF(NOT(ISBLANK(AS14)),MID(AS14,1,2),"")+IF(NOT(ISBLANK(AS15)),MID(AS15,1,2),""),"")/COUNTA(AS9:AS15),"")</f>
        <v>3.333333333</v>
      </c>
      <c r="AU16" s="355" t="s">
        <v>280</v>
      </c>
      <c r="AV16" s="355"/>
      <c r="AW16" s="354">
        <f>IFERROR( IFERROR(IF(NOT(ISBLANK(AW9)),MID(AW9,1,2),"")+IF(NOT(ISBLANK(AW10)),MID(AW10,1,2),"")+IF(NOT(ISBLANK(AW11)),MID(AW11,1,2),"")+IF(NOT(ISBLANK(AW12)),MID(AW12,1,2),"")+IF(NOT(ISBLANK(AW13)),MID(AW13,1,2),"")+IF(NOT(ISBLANK(AW14)),MID(AW14,1,2),"")+IF(NOT(ISBLANK(AW15)),MID(AW15,1,2),""),"")/COUNTA(AW9:AW15),"")</f>
        <v>3</v>
      </c>
      <c r="AY16" s="355" t="s">
        <v>280</v>
      </c>
      <c r="AZ16" s="355"/>
      <c r="BA16" s="354">
        <f>IFERROR( IFERROR(IF(NOT(ISBLANK(BA9)),MID(BA9,1,2),"")+IF(NOT(ISBLANK(BA10)),MID(BA10,1,2),"")+IF(NOT(ISBLANK(BA11)),MID(BA11,1,2),"")+IF(NOT(ISBLANK(BA12)),MID(BA12,1,2),"")+IF(NOT(ISBLANK(BA13)),MID(BA13,1,2),"")+IF(NOT(ISBLANK(BA14)),MID(BA14,1,2),"")+IF(NOT(ISBLANK(BA15)),MID(BA15,1,2),""),"")/COUNTA(BA9:BA15),"")</f>
        <v>3</v>
      </c>
      <c r="BC16" s="355" t="s">
        <v>280</v>
      </c>
      <c r="BD16" s="355"/>
      <c r="BE16" s="128"/>
      <c r="BG16" s="356"/>
      <c r="BH16" s="356"/>
      <c r="BI16" s="357" t="str">
        <f>IFERROR( IFERROR(IF(NOT(ISBLANK(BI9)),MID(BI9,1,2),"")+IF(NOT(ISBLANK(BI10)),MID(BI10,1,2),"")+IF(NOT(ISBLANK(BI11)),MID(BI11,1,2),"")+IF(NOT(ISBLANK(BI12)),MID(BI12,1,2),"")+IF(NOT(ISBLANK(BI13)),MID(BI13,1,2),"")+IF(NOT(ISBLANK(BI14)),MID(BI14,1,2),"")+IF(NOT(ISBLANK(BI15)),MID(BI15,1,2),""),"")/COUNTA(BI9:BK15),"")</f>
        <v/>
      </c>
      <c r="BJ16" s="215"/>
      <c r="BK16" s="358" t="s">
        <v>281</v>
      </c>
      <c r="BL16" s="355"/>
      <c r="BM16" s="359" t="str">
        <f>IFERROR( IFERROR(IF(NOT(ISBLANK(BM9)),MID(BM9,1,2),"")+IF(NOT(ISBLANK(BM10)),MID(BM10,1,2),"")+IF(NOT(ISBLANK(BM11)),MID(BM11,1,2),"")+IF(NOT(ISBLANK(BM12)),MID(BM12,1,2),"")+IF(NOT(ISBLANK(BM13)),MID(BM13,1,2),"")+IF(NOT(ISBLANK(BM14)),MID(BM14,1,2),"")+IF(NOT(ISBLANK(BM15)),MID(BM15,1,2),""),"")/COUNTA(BM9:BQ15),"")</f>
        <v/>
      </c>
      <c r="BP16" s="359"/>
      <c r="BQ16" s="358" t="s">
        <v>281</v>
      </c>
      <c r="BR16" s="128"/>
      <c r="BS16" s="128"/>
      <c r="BT16" s="128"/>
      <c r="BU16" s="128"/>
      <c r="BV16" s="360" t="s">
        <v>282</v>
      </c>
      <c r="BW16" s="361" t="str">
        <f>IFERROR( AVERAGE(BW9:BW15),"")</f>
        <v/>
      </c>
      <c r="BZ16" s="362" t="s">
        <v>36</v>
      </c>
      <c r="CA16" s="311">
        <f>SUMIF(D40:D186,"BP*",AD40:AD186)</f>
        <v>10</v>
      </c>
      <c r="CB16" s="311">
        <f>SUMIF(D40:D186,"BP*",CC40:CC186)</f>
        <v>44</v>
      </c>
      <c r="CC16" s="312" t="str">
        <f>SUMIF(D40:D186,"BP*",CE40:CE186)</f>
        <v>#VALUE!</v>
      </c>
      <c r="CD16" s="313">
        <f>IFERROR( AVERAGEIF(D40:D186,"BP*",CA40:CA186),"")</f>
        <v>0</v>
      </c>
      <c r="CE16" s="363">
        <f>IFERROR( IFS($CE$14="e1RM Bryzcki",MAXIFS(CH40:CH186,D40:D186,"BP*"),$CE$14="e1RM Steve Denovi F1",MAXIFS(CL40:CL186,D40:D186,"BP*"),$CE$14="e1RM Steve Denovi F2",MAXIFS(CM40:CM186,D40:D186,"BP*")),"")</f>
        <v>0</v>
      </c>
      <c r="CF16" s="364">
        <f>IFERROR( AVERAGEIF($D$40:$D186,"BP*",$CK$40:$CK186),"")</f>
        <v>3.861111111</v>
      </c>
      <c r="CH16" s="289" t="str">
        <f t="array" ref="CH16">IF(NOT($D$37=8),IFERROR(INDIRECT("'Bloque "&amp;$D$38&amp;" Semana "&amp;"8"&amp;"'"&amp;"!"&amp;"E37"),""),"S8")</f>
        <v/>
      </c>
      <c r="CI16" s="316" t="str">
        <f t="shared" si="21"/>
        <v/>
      </c>
      <c r="CJ16" s="224" t="str">
        <f t="shared" si="22"/>
        <v/>
      </c>
      <c r="CK16" s="85" t="str">
        <f t="shared" si="23"/>
        <v/>
      </c>
      <c r="CL16" s="85" t="str">
        <f t="shared" si="30"/>
        <v/>
      </c>
      <c r="CM16" s="168" t="str">
        <f t="shared" si="24"/>
        <v/>
      </c>
      <c r="CN16" s="327" t="str">
        <f t="shared" si="31"/>
        <v/>
      </c>
      <c r="CO16" s="168" t="str">
        <f t="shared" si="25"/>
        <v/>
      </c>
      <c r="CP16" s="168" t="str">
        <f t="shared" si="26"/>
        <v/>
      </c>
      <c r="CQ16" s="294" t="str">
        <f t="shared" si="27"/>
        <v/>
      </c>
      <c r="CR16" s="328" t="str">
        <f t="shared" si="32"/>
        <v/>
      </c>
      <c r="CS16" s="212"/>
      <c r="CT16" s="319"/>
      <c r="DJ16" s="120" t="s">
        <v>21</v>
      </c>
      <c r="DK16" s="172" t="str">
        <f t="shared" ref="DK16:EB16" si="35">IFERROR(INDIRECT("'Bloque "&amp;$D$38&amp;" Semana "&amp;MID(DK15,2,2)&amp;"'"&amp;"!"&amp;"CB15"),"")</f>
        <v/>
      </c>
      <c r="DL16" s="172" t="str">
        <f t="shared" si="35"/>
        <v/>
      </c>
      <c r="DM16" s="172" t="str">
        <f t="shared" si="35"/>
        <v/>
      </c>
      <c r="DN16" s="172" t="str">
        <f t="shared" si="35"/>
        <v/>
      </c>
      <c r="DO16" s="172" t="str">
        <f t="shared" si="35"/>
        <v/>
      </c>
      <c r="DP16" s="172" t="str">
        <f t="shared" si="35"/>
        <v/>
      </c>
      <c r="DQ16" s="172" t="str">
        <f t="shared" si="35"/>
        <v/>
      </c>
      <c r="DR16" s="172" t="str">
        <f t="shared" si="35"/>
        <v/>
      </c>
      <c r="DS16" s="172" t="str">
        <f t="shared" si="35"/>
        <v/>
      </c>
      <c r="DT16" s="172" t="str">
        <f t="shared" si="35"/>
        <v/>
      </c>
      <c r="DU16" s="172" t="str">
        <f t="shared" si="35"/>
        <v/>
      </c>
      <c r="DV16" s="172" t="str">
        <f t="shared" si="35"/>
        <v/>
      </c>
      <c r="DW16" s="172" t="str">
        <f t="shared" si="35"/>
        <v/>
      </c>
      <c r="DX16" s="172" t="str">
        <f t="shared" si="35"/>
        <v/>
      </c>
      <c r="DY16" s="172" t="str">
        <f t="shared" si="35"/>
        <v/>
      </c>
      <c r="DZ16" s="172" t="str">
        <f t="shared" si="35"/>
        <v/>
      </c>
      <c r="EA16" s="172" t="str">
        <f t="shared" si="35"/>
        <v/>
      </c>
      <c r="EB16" s="172" t="str">
        <f t="shared" si="35"/>
        <v/>
      </c>
      <c r="ED16" s="120"/>
      <c r="EE16" s="269"/>
      <c r="EF16" s="269"/>
      <c r="EG16" s="269"/>
      <c r="EH16" s="269"/>
      <c r="EI16" s="269"/>
      <c r="EJ16" s="269"/>
      <c r="EK16" s="269"/>
      <c r="EL16" s="269"/>
      <c r="EM16" s="269"/>
      <c r="EN16" s="269"/>
      <c r="EO16" s="269"/>
      <c r="EP16" s="269"/>
      <c r="EQ16" s="269"/>
      <c r="ER16" s="269"/>
      <c r="ES16" s="269"/>
      <c r="ET16" s="269"/>
      <c r="EU16" s="269"/>
      <c r="EV16" s="269"/>
      <c r="EX16" s="218">
        <v>4.0</v>
      </c>
      <c r="EY16" s="228">
        <v>0.811</v>
      </c>
      <c r="EZ16" s="228">
        <v>0.786</v>
      </c>
      <c r="FA16" s="228">
        <v>0.762</v>
      </c>
      <c r="FB16" s="228">
        <v>0.739</v>
      </c>
      <c r="FC16" s="228">
        <v>0.707</v>
      </c>
      <c r="FD16" s="228">
        <v>0.68</v>
      </c>
      <c r="FE16" s="228">
        <v>0.653</v>
      </c>
      <c r="FF16" s="228">
        <v>0.626</v>
      </c>
      <c r="FG16" s="228">
        <v>0.599</v>
      </c>
      <c r="FH16" s="228">
        <v>0.572</v>
      </c>
      <c r="FI16" s="228">
        <v>0.544</v>
      </c>
      <c r="FJ16" s="228">
        <v>0.516</v>
      </c>
      <c r="FK16" s="208"/>
      <c r="FL16" s="218">
        <v>4.0</v>
      </c>
      <c r="FM16" s="228">
        <v>0.879</v>
      </c>
      <c r="FN16" s="228">
        <v>0.848</v>
      </c>
      <c r="FO16" s="228">
        <v>0.828</v>
      </c>
      <c r="FP16" s="228">
        <v>0.808</v>
      </c>
      <c r="FQ16" s="228">
        <v>0.788</v>
      </c>
      <c r="FR16" s="228">
        <v>0.769</v>
      </c>
      <c r="FS16" s="228">
        <v>0.751</v>
      </c>
      <c r="FT16" s="228">
        <v>0.733</v>
      </c>
      <c r="FU16" s="228">
        <v>0.715</v>
      </c>
      <c r="FV16" s="228">
        <v>0.698</v>
      </c>
      <c r="FW16" s="228">
        <v>0.681</v>
      </c>
      <c r="FX16" s="228">
        <v>0.665</v>
      </c>
      <c r="FY16" s="228"/>
      <c r="FZ16" s="84" t="str">
        <f t="array" ref="FZ16">IF(NOT($D$37=13),IFERROR(INDIRECT("'Bloque "&amp;$D$38&amp;" Semana "&amp;"13"&amp;"'"&amp;"!"&amp;"E37"),""),"S13")</f>
        <v/>
      </c>
      <c r="GA16" s="229" t="str">
        <f t="shared" si="4"/>
        <v/>
      </c>
      <c r="GB16" s="212" t="str">
        <f t="shared" si="5"/>
        <v/>
      </c>
      <c r="GC16" s="84" t="str">
        <f t="array" ref="GC16">IF(NOT($D$37=13),IFERROR(INDIRECT("'Bloque "&amp;$D$38&amp;" Semana "&amp;"13"&amp;"'"&amp;"!"&amp;"E37"),""),"S13")</f>
        <v/>
      </c>
      <c r="GD16" s="229" t="str">
        <f t="shared" si="6"/>
        <v/>
      </c>
      <c r="GE16" s="212" t="str">
        <f t="shared" si="7"/>
        <v/>
      </c>
      <c r="GF16" s="84" t="str">
        <f t="array" ref="GF16">IF(NOT($D$37=13),IFERROR(INDIRECT("'Bloque "&amp;$D$38&amp;" Semana "&amp;"13"&amp;"'"&amp;"!"&amp;"E37"),""),"S13")</f>
        <v/>
      </c>
      <c r="GG16" s="229" t="str">
        <f t="shared" si="8"/>
        <v/>
      </c>
      <c r="GH16" s="212" t="str">
        <f t="shared" si="9"/>
        <v/>
      </c>
    </row>
    <row r="17" ht="36.0" customHeight="1">
      <c r="B17" s="199"/>
      <c r="D17" s="365"/>
      <c r="E17" s="366" t="str">
        <f>"BIENVENIDO A RV STRENGTH "&amp;'Introducción'!B19&amp;" "&amp;'Introducción'!B20</f>
        <v>#REF!</v>
      </c>
      <c r="F17" s="367"/>
      <c r="K17" s="200"/>
      <c r="L17" s="200"/>
      <c r="T17" s="368">
        <f>NOW()</f>
        <v>46052.88071</v>
      </c>
      <c r="W17" s="201"/>
      <c r="X17" s="369" t="s">
        <v>274</v>
      </c>
      <c r="Y17" s="334"/>
      <c r="Z17" s="334"/>
      <c r="AA17" s="334"/>
      <c r="AB17" s="334"/>
      <c r="AC17" s="334"/>
      <c r="AD17" s="370"/>
      <c r="AE17" s="203"/>
      <c r="AF17" s="204"/>
      <c r="AG17" s="371" t="s">
        <v>283</v>
      </c>
      <c r="AH17" s="348"/>
      <c r="AI17" s="348"/>
      <c r="AJ17" s="372"/>
      <c r="AK17" s="373">
        <f>IFERROR(AVERAGE(AK16,AO16,AS16,AW16,BA16)*10/7,"")</f>
        <v>4.666666667</v>
      </c>
      <c r="AL17" s="348"/>
      <c r="AM17" s="374" t="s">
        <v>281</v>
      </c>
      <c r="AN17" s="374"/>
      <c r="AO17" s="375"/>
      <c r="AP17" s="375"/>
      <c r="AQ17" s="375"/>
      <c r="AR17" s="375"/>
      <c r="AS17" s="375"/>
      <c r="AT17" s="375"/>
      <c r="AU17" s="375"/>
      <c r="AV17" s="375"/>
      <c r="AW17" s="375"/>
      <c r="AX17" s="375"/>
      <c r="AY17" s="375"/>
      <c r="AZ17" s="375"/>
      <c r="BA17" s="375"/>
      <c r="BB17" s="375"/>
      <c r="BC17" s="375"/>
      <c r="BD17" s="375"/>
      <c r="BE17" s="375"/>
      <c r="BF17" s="375"/>
      <c r="BG17" s="376"/>
      <c r="BH17" s="375"/>
      <c r="BI17" s="377"/>
      <c r="BJ17" s="377"/>
      <c r="BK17" s="378"/>
      <c r="BL17" s="378"/>
      <c r="BM17" s="378"/>
      <c r="BN17" s="378"/>
      <c r="BO17" s="378"/>
      <c r="BP17" s="378"/>
      <c r="BQ17" s="378"/>
      <c r="BR17" s="128"/>
      <c r="BS17" s="128"/>
      <c r="BT17" s="128"/>
      <c r="BU17" s="128"/>
      <c r="BV17" s="128"/>
      <c r="BW17" s="128"/>
      <c r="BZ17" s="379" t="s">
        <v>42</v>
      </c>
      <c r="CA17" s="322">
        <f>SUMIF(D40:D186,"DL*",AD40:AD186)</f>
        <v>2</v>
      </c>
      <c r="CB17" s="322">
        <f>SUMIF(D40:D186,"DL*",CC40:CC186)</f>
        <v>9</v>
      </c>
      <c r="CC17" s="323" t="str">
        <f>SUMIF(D40:D186,"DL*",CE40:CE186)</f>
        <v>#VALUE!</v>
      </c>
      <c r="CD17" s="324">
        <f>IFERROR( AVERAGEIF(D40:D186,"DL*",CA40:CA186),"")</f>
        <v>0.8333333333</v>
      </c>
      <c r="CE17" s="325">
        <f>IFERROR( IFS($CE$14="e1RM Bryzcki",MAXIFS(CH40:CH186,D40:D186,"DL*"),$CE$14="e1RM Steve Denovi F1",MAXIFS(CL40:CL186,D40:D186,"DL*"),$CE$14="e1RM Steve Denovi F2",MAXIFS(CM40:CM186,D40:D186,"DL*")),"")</f>
        <v>0</v>
      </c>
      <c r="CF17" s="380">
        <f>IFERROR( AVERAGEIF($D$40:$D186,"DL*",$CK$40:$CK186),"")</f>
        <v>8</v>
      </c>
      <c r="CH17" s="289" t="str">
        <f t="array" ref="CH17">IF(NOT($D$37=9),IFERROR(INDIRECT("'Bloque "&amp;$D$38&amp;" Semana "&amp;"9"&amp;"'"&amp;"!"&amp;"E37"),""),"S9")</f>
        <v/>
      </c>
      <c r="CI17" s="316" t="str">
        <f t="shared" si="21"/>
        <v/>
      </c>
      <c r="CJ17" s="224" t="str">
        <f t="shared" si="22"/>
        <v/>
      </c>
      <c r="CK17" s="85" t="str">
        <f t="shared" si="23"/>
        <v/>
      </c>
      <c r="CL17" s="85" t="str">
        <f t="shared" si="30"/>
        <v/>
      </c>
      <c r="CM17" s="168" t="str">
        <f t="shared" si="24"/>
        <v/>
      </c>
      <c r="CN17" s="327" t="str">
        <f t="shared" si="31"/>
        <v/>
      </c>
      <c r="CO17" s="168" t="str">
        <f t="shared" si="25"/>
        <v/>
      </c>
      <c r="CP17" s="168" t="str">
        <f t="shared" si="26"/>
        <v/>
      </c>
      <c r="CQ17" s="294" t="str">
        <f t="shared" si="27"/>
        <v/>
      </c>
      <c r="CR17" s="328" t="str">
        <f t="shared" si="32"/>
        <v/>
      </c>
      <c r="CS17" s="212"/>
      <c r="CT17" s="319"/>
      <c r="DJ17" s="120" t="s">
        <v>36</v>
      </c>
      <c r="DK17" s="172" t="str">
        <f t="shared" ref="DK17:EB17" si="36">IFERROR(INDIRECT("'Bloque "&amp;$D$38&amp;" Semana "&amp;MID(DK15,2,2)&amp;"'"&amp;"!"&amp;"CB16"),"")</f>
        <v/>
      </c>
      <c r="DL17" s="172" t="str">
        <f t="shared" si="36"/>
        <v/>
      </c>
      <c r="DM17" s="172" t="str">
        <f t="shared" si="36"/>
        <v/>
      </c>
      <c r="DN17" s="172" t="str">
        <f t="shared" si="36"/>
        <v/>
      </c>
      <c r="DO17" s="172" t="str">
        <f t="shared" si="36"/>
        <v/>
      </c>
      <c r="DP17" s="172" t="str">
        <f t="shared" si="36"/>
        <v/>
      </c>
      <c r="DQ17" s="172" t="str">
        <f t="shared" si="36"/>
        <v/>
      </c>
      <c r="DR17" s="172" t="str">
        <f t="shared" si="36"/>
        <v/>
      </c>
      <c r="DS17" s="172" t="str">
        <f t="shared" si="36"/>
        <v/>
      </c>
      <c r="DT17" s="172" t="str">
        <f t="shared" si="36"/>
        <v/>
      </c>
      <c r="DU17" s="172" t="str">
        <f t="shared" si="36"/>
        <v/>
      </c>
      <c r="DV17" s="172" t="str">
        <f t="shared" si="36"/>
        <v/>
      </c>
      <c r="DW17" s="172" t="str">
        <f t="shared" si="36"/>
        <v/>
      </c>
      <c r="DX17" s="172" t="str">
        <f t="shared" si="36"/>
        <v/>
      </c>
      <c r="DY17" s="172" t="str">
        <f t="shared" si="36"/>
        <v/>
      </c>
      <c r="DZ17" s="172" t="str">
        <f t="shared" si="36"/>
        <v/>
      </c>
      <c r="EA17" s="172" t="str">
        <f t="shared" si="36"/>
        <v/>
      </c>
      <c r="EB17" s="172" t="str">
        <f t="shared" si="36"/>
        <v/>
      </c>
      <c r="ED17" s="144" t="s">
        <v>284</v>
      </c>
      <c r="EE17" s="108"/>
      <c r="EF17" s="108"/>
      <c r="EG17" s="108"/>
      <c r="EH17" s="108"/>
      <c r="EI17" s="108"/>
      <c r="EJ17" s="108"/>
      <c r="EK17" s="108"/>
      <c r="EL17" s="108"/>
      <c r="EM17" s="108"/>
      <c r="EN17" s="108"/>
      <c r="EO17" s="108"/>
      <c r="EP17" s="108"/>
      <c r="EQ17" s="108"/>
      <c r="ER17" s="108"/>
      <c r="ES17" s="108"/>
      <c r="ET17" s="108"/>
      <c r="EU17" s="108"/>
      <c r="EV17" s="108"/>
      <c r="EX17" s="208"/>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84" t="str">
        <f t="array" ref="FZ17">IF(NOT($D$37=14),IFERROR(INDIRECT("'Bloque "&amp;$D$38&amp;" Semana "&amp;"14"&amp;"'"&amp;"!"&amp;"E37"),""),"S14")</f>
        <v/>
      </c>
      <c r="GA17" s="229" t="str">
        <f t="shared" si="4"/>
        <v/>
      </c>
      <c r="GB17" s="212" t="str">
        <f t="shared" si="5"/>
        <v/>
      </c>
      <c r="GC17" s="84" t="str">
        <f t="array" ref="GC17">IF(NOT($D$37=14),IFERROR(INDIRECT("'Bloque "&amp;$D$38&amp;" Semana "&amp;"14"&amp;"'"&amp;"!"&amp;"E37"),""),"S14")</f>
        <v/>
      </c>
      <c r="GD17" s="229" t="str">
        <f t="shared" si="6"/>
        <v/>
      </c>
      <c r="GE17" s="212" t="str">
        <f t="shared" si="7"/>
        <v/>
      </c>
      <c r="GF17" s="84" t="str">
        <f t="array" ref="GF17">IF(NOT($D$37=14),IFERROR(INDIRECT("'Bloque "&amp;$D$38&amp;" Semana "&amp;"14"&amp;"'"&amp;"!"&amp;"E37"),""),"S14")</f>
        <v/>
      </c>
      <c r="GG17" s="229" t="str">
        <f t="shared" si="8"/>
        <v/>
      </c>
      <c r="GH17" s="212" t="str">
        <f t="shared" si="9"/>
        <v/>
      </c>
    </row>
    <row r="18" ht="48.0" customHeight="1">
      <c r="B18" s="199"/>
      <c r="E18" s="381" t="s">
        <v>285</v>
      </c>
      <c r="F18" s="382"/>
      <c r="G18" s="383"/>
      <c r="H18" s="383"/>
      <c r="I18" s="383"/>
      <c r="J18" s="383"/>
      <c r="K18" s="383"/>
      <c r="L18" s="383"/>
      <c r="M18" s="383"/>
      <c r="N18" s="383"/>
      <c r="O18" s="383"/>
      <c r="P18" s="383"/>
      <c r="Q18" s="383"/>
      <c r="R18" s="383"/>
      <c r="S18" s="383"/>
      <c r="T18" s="384"/>
      <c r="U18" s="385"/>
      <c r="W18" s="201"/>
      <c r="X18" s="197" t="s">
        <v>246</v>
      </c>
      <c r="Y18" s="197" t="s">
        <v>286</v>
      </c>
      <c r="Z18" s="197" t="s">
        <v>224</v>
      </c>
      <c r="AA18" s="197" t="s">
        <v>200</v>
      </c>
      <c r="AB18" s="197" t="s">
        <v>248</v>
      </c>
      <c r="AC18" s="197" t="s">
        <v>251</v>
      </c>
      <c r="AD18" s="386"/>
      <c r="AE18" s="203"/>
      <c r="AF18" s="204"/>
      <c r="AG18" s="387" t="s">
        <v>287</v>
      </c>
      <c r="BZ18" s="388" t="s">
        <v>105</v>
      </c>
      <c r="CA18" s="389">
        <f t="shared" ref="CA18:CB18" si="37">SUM(CA15:CA17)</f>
        <v>18</v>
      </c>
      <c r="CB18" s="389">
        <f t="shared" si="37"/>
        <v>79</v>
      </c>
      <c r="CC18" s="390"/>
      <c r="CD18" s="391"/>
      <c r="CE18" s="392">
        <f>SUM(CE15:CE17)</f>
        <v>0</v>
      </c>
      <c r="CF18" s="393"/>
      <c r="CH18" s="289" t="str">
        <f t="array" ref="CH18">IF(NOT($D$37=10),IFERROR(INDIRECT("'Bloque "&amp;$D$38&amp;" Semana "&amp;"10"&amp;"'"&amp;"!"&amp;"E37"),""),"S10")</f>
        <v/>
      </c>
      <c r="CI18" s="316" t="str">
        <f t="shared" si="21"/>
        <v/>
      </c>
      <c r="CJ18" s="224" t="str">
        <f t="shared" si="22"/>
        <v/>
      </c>
      <c r="CK18" s="85" t="str">
        <f t="shared" si="23"/>
        <v/>
      </c>
      <c r="CL18" s="85" t="str">
        <f t="shared" si="30"/>
        <v/>
      </c>
      <c r="CM18" s="168" t="str">
        <f t="shared" si="24"/>
        <v/>
      </c>
      <c r="CN18" s="327" t="str">
        <f t="shared" si="31"/>
        <v/>
      </c>
      <c r="CO18" s="168" t="str">
        <f t="shared" si="25"/>
        <v/>
      </c>
      <c r="CP18" s="168" t="str">
        <f t="shared" si="26"/>
        <v/>
      </c>
      <c r="CQ18" s="294" t="str">
        <f t="shared" si="27"/>
        <v/>
      </c>
      <c r="CR18" s="328" t="str">
        <f t="shared" si="32"/>
        <v/>
      </c>
      <c r="CS18" s="212"/>
      <c r="CT18" s="319"/>
      <c r="DJ18" s="120" t="s">
        <v>42</v>
      </c>
      <c r="DK18" s="172" t="str">
        <f t="shared" ref="DK18:EB18" si="38">IFERROR(INDIRECT("'Bloque "&amp;$D$38&amp;" Semana "&amp;MID(DK15,2,2)&amp;"'"&amp;"!"&amp;"CB17"),"")</f>
        <v/>
      </c>
      <c r="DL18" s="172" t="str">
        <f t="shared" si="38"/>
        <v/>
      </c>
      <c r="DM18" s="172" t="str">
        <f t="shared" si="38"/>
        <v/>
      </c>
      <c r="DN18" s="172" t="str">
        <f t="shared" si="38"/>
        <v/>
      </c>
      <c r="DO18" s="172" t="str">
        <f t="shared" si="38"/>
        <v/>
      </c>
      <c r="DP18" s="172" t="str">
        <f t="shared" si="38"/>
        <v/>
      </c>
      <c r="DQ18" s="172" t="str">
        <f t="shared" si="38"/>
        <v/>
      </c>
      <c r="DR18" s="172" t="str">
        <f t="shared" si="38"/>
        <v/>
      </c>
      <c r="DS18" s="172" t="str">
        <f t="shared" si="38"/>
        <v/>
      </c>
      <c r="DT18" s="172" t="str">
        <f t="shared" si="38"/>
        <v/>
      </c>
      <c r="DU18" s="172" t="str">
        <f t="shared" si="38"/>
        <v/>
      </c>
      <c r="DV18" s="172" t="str">
        <f t="shared" si="38"/>
        <v/>
      </c>
      <c r="DW18" s="172" t="str">
        <f t="shared" si="38"/>
        <v/>
      </c>
      <c r="DX18" s="172" t="str">
        <f t="shared" si="38"/>
        <v/>
      </c>
      <c r="DY18" s="172" t="str">
        <f t="shared" si="38"/>
        <v/>
      </c>
      <c r="DZ18" s="172" t="str">
        <f t="shared" si="38"/>
        <v/>
      </c>
      <c r="EA18" s="172" t="str">
        <f t="shared" si="38"/>
        <v/>
      </c>
      <c r="EB18" s="172" t="str">
        <f t="shared" si="38"/>
        <v/>
      </c>
      <c r="ED18" s="83"/>
      <c r="EE18" s="227" t="str">
        <f t="array" ref="EE18">IF(NOT($D$37=1),IFERROR(INDIRECT("'Bloque "&amp;$D$38&amp;" Semana "&amp;"1"&amp;"'"&amp;"!"&amp;"E37"),""),"S1")</f>
        <v>S1</v>
      </c>
      <c r="EF18" s="227" t="str">
        <f t="array" ref="EF18">IF(NOT($D$37=2),IFERROR(INDIRECT("'Bloque "&amp;$D$38&amp;" Semana "&amp;"2"&amp;"'"&amp;"!"&amp;"E37"),""),"S2")</f>
        <v/>
      </c>
      <c r="EG18" s="227" t="str">
        <f t="array" ref="EG18">IF(NOT($D$37=3),IFERROR(INDIRECT("'Bloque "&amp;$D$38&amp;" Semana "&amp;"3"&amp;"'"&amp;"!"&amp;"E37"),""),"S3")</f>
        <v/>
      </c>
      <c r="EH18" s="227" t="str">
        <f t="array" ref="EH18">IF(NOT($D$37=4),IFERROR(INDIRECT("'Bloque "&amp;$D$38&amp;" Semana "&amp;"4"&amp;"'"&amp;"!"&amp;"E37"),""),"S4")</f>
        <v/>
      </c>
      <c r="EI18" s="227" t="str">
        <f t="array" ref="EI18">IF(NOT($D$37=5),IFERROR(INDIRECT("'Bloque "&amp;$D$38&amp;" Semana "&amp;"5"&amp;"'"&amp;"!"&amp;"E37"),""),"S5")</f>
        <v/>
      </c>
      <c r="EJ18" s="227" t="str">
        <f t="array" ref="EJ18">IF(NOT($D$37=6),IFERROR(INDIRECT("'Bloque "&amp;$D$38&amp;" Semana "&amp;"6"&amp;"'"&amp;"!"&amp;"E37"),""),"S6")</f>
        <v/>
      </c>
      <c r="EK18" s="227" t="str">
        <f t="array" ref="EK18">IF(NOT($D$37=7),IFERROR(INDIRECT("'Bloque "&amp;$D$38&amp;" Semana "&amp;"7"&amp;"'"&amp;"!"&amp;"E37"),""),"S7")</f>
        <v/>
      </c>
      <c r="EL18" s="227" t="str">
        <f t="array" ref="EL18">IF(NOT($D$37=8),IFERROR(INDIRECT("'Bloque "&amp;$D$38&amp;" Semana "&amp;"8"&amp;"'"&amp;"!"&amp;"E37"),""),"S8")</f>
        <v/>
      </c>
      <c r="EM18" s="227" t="str">
        <f t="array" ref="EM18">IF(NOT($D$37=9),IFERROR(INDIRECT("'Bloque "&amp;$D$38&amp;" Semana "&amp;"9"&amp;"'"&amp;"!"&amp;"E37"),""),"S9")</f>
        <v/>
      </c>
      <c r="EN18" s="227" t="str">
        <f t="array" ref="EN18">IF(NOT($D$37=10),IFERROR(INDIRECT("'Bloque "&amp;$D$38&amp;" Semana "&amp;"10"&amp;"'"&amp;"!"&amp;"E37"),""),"S10")</f>
        <v/>
      </c>
      <c r="EO18" s="227" t="str">
        <f t="array" ref="EO18">IF(NOT($D$37=11),IFERROR(INDIRECT("'Bloque "&amp;$D$38&amp;" Semana "&amp;"11"&amp;"'"&amp;"!"&amp;"E37"),""),"S11")</f>
        <v/>
      </c>
      <c r="EP18" s="227" t="str">
        <f t="array" ref="EP18">IF(NOT($D$37=12),IFERROR(INDIRECT("'Bloque "&amp;$D$38&amp;" Semana "&amp;"12"&amp;"'"&amp;"!"&amp;"E37"),""),"S12")</f>
        <v/>
      </c>
      <c r="EQ18" s="227" t="str">
        <f t="array" ref="EQ18">IF(NOT($D$37=13),IFERROR(INDIRECT("'Bloque "&amp;$D$38&amp;" Semana "&amp;"13"&amp;"'"&amp;"!"&amp;"E37"),""),"S13")</f>
        <v/>
      </c>
      <c r="ER18" s="227" t="str">
        <f t="array" ref="ER18">IF(NOT($D$37=14),IFERROR(INDIRECT("'Bloque "&amp;$D$38&amp;" Semana "&amp;"14"&amp;"'"&amp;"!"&amp;"E37"),""),"S14")</f>
        <v/>
      </c>
      <c r="ES18" s="227" t="str">
        <f t="array" ref="ES18">IF(NOT($D$37=15),IFERROR(INDIRECT("'Bloque "&amp;$D$38&amp;" Semana "&amp;"15"&amp;"'"&amp;"!"&amp;"E37"),""),"S15")</f>
        <v/>
      </c>
      <c r="ET18" s="227" t="str">
        <f t="array" ref="ET18">IF(NOT($D$37=16),IFERROR(INDIRECT("'Bloque "&amp;$D$38&amp;" Semana "&amp;"16"&amp;"'"&amp;"!"&amp;"E37"),""),"S16")</f>
        <v/>
      </c>
      <c r="EU18" s="227" t="str">
        <f t="array" ref="EU18">IF(NOT($D$37=17),IFERROR(INDIRECT("'Bloque "&amp;$D$38&amp;" Semana "&amp;"17"&amp;"'"&amp;"!"&amp;"E37"),""),"S17")</f>
        <v/>
      </c>
      <c r="EV18" s="227" t="str">
        <f t="array" ref="EV18">IF(NOT($D$37=18),IFERROR(INDIRECT("'Bloque "&amp;$D$38&amp;" Semana "&amp;"18"&amp;"'"&amp;"!"&amp;"E37"),""),"S18")</f>
        <v/>
      </c>
      <c r="EX18" s="144" t="s">
        <v>288</v>
      </c>
      <c r="EY18" s="108"/>
      <c r="EZ18" s="108"/>
      <c r="FA18" s="108"/>
      <c r="FB18" s="108"/>
      <c r="FC18" s="108"/>
      <c r="FD18" s="108"/>
      <c r="FE18" s="108"/>
      <c r="FF18" s="108"/>
      <c r="FG18" s="108"/>
      <c r="FH18" s="108"/>
      <c r="FI18" s="108"/>
      <c r="FJ18" s="108"/>
      <c r="FK18" s="108"/>
      <c r="FL18" s="108"/>
      <c r="FM18" s="108"/>
      <c r="FN18" s="108"/>
      <c r="FO18" s="108"/>
      <c r="FP18" s="108"/>
      <c r="FQ18" s="208"/>
      <c r="FR18" s="208"/>
      <c r="FS18" s="208"/>
      <c r="FT18" s="208"/>
      <c r="FU18" s="208"/>
      <c r="FV18" s="208"/>
      <c r="FW18" s="208"/>
      <c r="FX18" s="208"/>
      <c r="FY18" s="208"/>
      <c r="FZ18" s="84" t="str">
        <f t="array" ref="FZ18">IF(NOT($D$37=15),IFERROR(INDIRECT("'Bloque "&amp;$D$38&amp;" Semana "&amp;"15"&amp;"'"&amp;"!"&amp;"E37"),""),"S15")</f>
        <v/>
      </c>
      <c r="GA18" s="229" t="str">
        <f t="shared" si="4"/>
        <v/>
      </c>
      <c r="GB18" s="212" t="str">
        <f t="shared" si="5"/>
        <v/>
      </c>
      <c r="GC18" s="84" t="str">
        <f t="array" ref="GC18">IF(NOT($D$37=15),IFERROR(INDIRECT("'Bloque "&amp;$D$38&amp;" Semana "&amp;"15"&amp;"'"&amp;"!"&amp;"E37"),""),"S15")</f>
        <v/>
      </c>
      <c r="GD18" s="229" t="str">
        <f t="shared" si="6"/>
        <v/>
      </c>
      <c r="GE18" s="212" t="str">
        <f t="shared" si="7"/>
        <v/>
      </c>
      <c r="GF18" s="84" t="str">
        <f t="array" ref="GF18">IF(NOT($D$37=15),IFERROR(INDIRECT("'Bloque "&amp;$D$38&amp;" Semana "&amp;"15"&amp;"'"&amp;"!"&amp;"E37"),""),"S15")</f>
        <v/>
      </c>
      <c r="GG18" s="229" t="str">
        <f t="shared" si="8"/>
        <v/>
      </c>
      <c r="GH18" s="212" t="str">
        <f t="shared" si="9"/>
        <v/>
      </c>
    </row>
    <row r="19" ht="27.75" customHeight="1">
      <c r="B19" s="199"/>
      <c r="D19" s="106"/>
      <c r="E19" s="394"/>
      <c r="T19" s="34"/>
      <c r="W19" s="201"/>
      <c r="X19" s="395" t="s">
        <v>21</v>
      </c>
      <c r="Y19" s="396">
        <f>SUMIF(D40:D186,"SQ*",F40:F186)</f>
        <v>7</v>
      </c>
      <c r="Z19" s="396">
        <f>SUMIF(D40:D186,"SQ*",X40:X186)</f>
        <v>4360</v>
      </c>
      <c r="AA19" s="397" t="str">
        <f>IFERROR( AVERAGEIF($D$40:$D186,"SQ*",$AB$40:$AB186),"")</f>
        <v/>
      </c>
      <c r="AB19" s="398">
        <f>SUMIF(D40:D186,"SQ*",Z40:Z186)</f>
        <v>31</v>
      </c>
      <c r="AC19" s="399" t="str">
        <f>IFERROR( AVERAGEIF($D$40:$D186,"SQ*",$M$40:$M186),"")</f>
        <v/>
      </c>
      <c r="AE19" s="203"/>
      <c r="AF19" s="204"/>
      <c r="AG19" s="400" t="s">
        <v>289</v>
      </c>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4"/>
      <c r="BZ19" s="333" t="s">
        <v>290</v>
      </c>
      <c r="CA19" s="210"/>
      <c r="CB19" s="210"/>
      <c r="CC19" s="210"/>
      <c r="CD19" s="210"/>
      <c r="CE19" s="210"/>
      <c r="CF19" s="241"/>
      <c r="CG19" s="245"/>
      <c r="CH19" s="289" t="str">
        <f t="array" ref="CH19">IF(NOT($D$37=11),IFERROR(INDIRECT("'Bloque "&amp;$D$38&amp;" Semana "&amp;"11"&amp;"'"&amp;"!"&amp;"E37"),""),"S11")</f>
        <v/>
      </c>
      <c r="CI19" s="316" t="str">
        <f t="shared" si="21"/>
        <v/>
      </c>
      <c r="CJ19" s="224" t="str">
        <f t="shared" si="22"/>
        <v/>
      </c>
      <c r="CK19" s="85" t="str">
        <f t="shared" si="23"/>
        <v/>
      </c>
      <c r="CL19" s="85" t="str">
        <f t="shared" si="30"/>
        <v/>
      </c>
      <c r="CM19" s="168" t="str">
        <f t="shared" si="24"/>
        <v/>
      </c>
      <c r="CN19" s="327" t="str">
        <f t="shared" si="31"/>
        <v/>
      </c>
      <c r="CO19" s="168" t="str">
        <f t="shared" si="25"/>
        <v/>
      </c>
      <c r="CP19" s="168" t="str">
        <f t="shared" si="26"/>
        <v/>
      </c>
      <c r="CQ19" s="294" t="str">
        <f t="shared" si="27"/>
        <v/>
      </c>
      <c r="CR19" s="328" t="str">
        <f t="shared" si="32"/>
        <v/>
      </c>
      <c r="CS19" s="212"/>
      <c r="CT19" s="319"/>
      <c r="DJ19" s="4"/>
      <c r="DK19" s="4"/>
      <c r="DL19" s="4"/>
      <c r="DM19" s="4"/>
      <c r="DN19" s="4"/>
      <c r="DO19" s="4"/>
      <c r="DP19" s="4"/>
      <c r="DQ19" s="4"/>
      <c r="DR19" s="4"/>
      <c r="DS19" s="4"/>
      <c r="DT19" s="4"/>
      <c r="DU19" s="4"/>
      <c r="DV19" s="4"/>
      <c r="DW19" s="4"/>
      <c r="DX19" s="4"/>
      <c r="DY19" s="4"/>
      <c r="DZ19" s="4"/>
      <c r="EA19" s="4"/>
      <c r="EB19" s="4"/>
      <c r="ED19" s="120" t="str">
        <f t="shared" ref="ED19:ED24" si="40">BZ21</f>
        <v>Dominante de Rodilla</v>
      </c>
      <c r="EE19" s="231" t="str">
        <f t="shared" ref="EE19:EV19" si="39">IFERROR(INDIRECT("'Bloque "&amp;$D$38&amp;" Semana "&amp;MID(EE18,2,2)&amp;"'"&amp;"!"&amp;"CE21"),"")</f>
        <v/>
      </c>
      <c r="EF19" s="231" t="str">
        <f t="shared" si="39"/>
        <v/>
      </c>
      <c r="EG19" s="231" t="str">
        <f t="shared" si="39"/>
        <v/>
      </c>
      <c r="EH19" s="231" t="str">
        <f t="shared" si="39"/>
        <v/>
      </c>
      <c r="EI19" s="231" t="str">
        <f t="shared" si="39"/>
        <v/>
      </c>
      <c r="EJ19" s="231" t="str">
        <f t="shared" si="39"/>
        <v/>
      </c>
      <c r="EK19" s="231" t="str">
        <f t="shared" si="39"/>
        <v/>
      </c>
      <c r="EL19" s="231" t="str">
        <f t="shared" si="39"/>
        <v/>
      </c>
      <c r="EM19" s="231" t="str">
        <f t="shared" si="39"/>
        <v/>
      </c>
      <c r="EN19" s="231" t="str">
        <f t="shared" si="39"/>
        <v/>
      </c>
      <c r="EO19" s="231" t="str">
        <f t="shared" si="39"/>
        <v/>
      </c>
      <c r="EP19" s="231" t="str">
        <f t="shared" si="39"/>
        <v/>
      </c>
      <c r="EQ19" s="231" t="str">
        <f t="shared" si="39"/>
        <v/>
      </c>
      <c r="ER19" s="231" t="str">
        <f t="shared" si="39"/>
        <v/>
      </c>
      <c r="ES19" s="231" t="str">
        <f t="shared" si="39"/>
        <v/>
      </c>
      <c r="ET19" s="231" t="str">
        <f t="shared" si="39"/>
        <v/>
      </c>
      <c r="EU19" s="231" t="str">
        <f t="shared" si="39"/>
        <v/>
      </c>
      <c r="EV19" s="231" t="str">
        <f t="shared" si="39"/>
        <v/>
      </c>
      <c r="EX19" s="83"/>
      <c r="EY19" s="227" t="str">
        <f t="array" ref="EY19">IF(NOT($D$37=1),IFERROR(INDIRECT("'Bloque "&amp;$D$38&amp;" Semana "&amp;"1"&amp;"'"&amp;"!"&amp;"E37"),""),"S1")</f>
        <v>S1</v>
      </c>
      <c r="EZ19" s="227" t="str">
        <f t="array" ref="EZ19">IF(NOT($D$37=2),IFERROR(INDIRECT("'Bloque "&amp;$D$38&amp;" Semana "&amp;"2"&amp;"'"&amp;"!"&amp;"E37"),""),"S2")</f>
        <v/>
      </c>
      <c r="FA19" s="227" t="str">
        <f t="array" ref="FA19">IF(NOT($D$37=3),IFERROR(INDIRECT("'Bloque "&amp;$D$38&amp;" Semana "&amp;"3"&amp;"'"&amp;"!"&amp;"E37"),""),"S3")</f>
        <v/>
      </c>
      <c r="FB19" s="227" t="str">
        <f t="array" ref="FB19">IF(NOT($D$37=4),IFERROR(INDIRECT("'Bloque "&amp;$D$38&amp;" Semana "&amp;"4"&amp;"'"&amp;"!"&amp;"E37"),""),"S4")</f>
        <v/>
      </c>
      <c r="FC19" s="227" t="str">
        <f t="array" ref="FC19">IF(NOT($D$37=5),IFERROR(INDIRECT("'Bloque "&amp;$D$38&amp;" Semana "&amp;"5"&amp;"'"&amp;"!"&amp;"E37"),""),"S5")</f>
        <v/>
      </c>
      <c r="FD19" s="227" t="str">
        <f t="array" ref="FD19">IF(NOT($D$37=6),IFERROR(INDIRECT("'Bloque "&amp;$D$38&amp;" Semana "&amp;"6"&amp;"'"&amp;"!"&amp;"E37"),""),"S6")</f>
        <v/>
      </c>
      <c r="FE19" s="227" t="str">
        <f t="array" ref="FE19">IF(NOT($D$37=7),IFERROR(INDIRECT("'Bloque "&amp;$D$38&amp;" Semana "&amp;"7"&amp;"'"&amp;"!"&amp;"E37"),""),"S7")</f>
        <v/>
      </c>
      <c r="FF19" s="227" t="str">
        <f t="array" ref="FF19">IF(NOT($D$37=8),IFERROR(INDIRECT("'Bloque "&amp;$D$38&amp;" Semana "&amp;"8"&amp;"'"&amp;"!"&amp;"E37"),""),"S8")</f>
        <v/>
      </c>
      <c r="FG19" s="227" t="str">
        <f t="array" ref="FG19">IF(NOT($D$37=9),IFERROR(INDIRECT("'Bloque "&amp;$D$38&amp;" Semana "&amp;"9"&amp;"'"&amp;"!"&amp;"E37"),""),"S9")</f>
        <v/>
      </c>
      <c r="FH19" s="227" t="str">
        <f t="array" ref="FH19">IF(NOT($D$37=10),IFERROR(INDIRECT("'Bloque "&amp;$D$38&amp;" Semana "&amp;"10"&amp;"'"&amp;"!"&amp;"E37"),""),"S10")</f>
        <v/>
      </c>
      <c r="FI19" s="227" t="str">
        <f t="array" ref="FI19">IF(NOT($D$37=11),IFERROR(INDIRECT("'Bloque "&amp;$D$38&amp;" Semana "&amp;"11"&amp;"'"&amp;"!"&amp;"E37"),""),"S11")</f>
        <v/>
      </c>
      <c r="FJ19" s="227" t="str">
        <f t="array" ref="FJ19">IF(NOT($D$37=12),IFERROR(INDIRECT("'Bloque "&amp;$D$38&amp;" Semana "&amp;"12"&amp;"'"&amp;"!"&amp;"E37"),""),"S12")</f>
        <v/>
      </c>
      <c r="FK19" s="227" t="str">
        <f t="array" ref="FK19">IF(NOT($D$37=13),IFERROR(INDIRECT("'Bloque "&amp;$D$38&amp;" Semana "&amp;"13"&amp;"'"&amp;"!"&amp;"E37"),""),"S13")</f>
        <v/>
      </c>
      <c r="FL19" s="227" t="str">
        <f t="array" ref="FL19">IF(NOT($D$37=14),IFERROR(INDIRECT("'Bloque "&amp;$D$38&amp;" Semana "&amp;"14"&amp;"'"&amp;"!"&amp;"E37"),""),"S14")</f>
        <v/>
      </c>
      <c r="FM19" s="227" t="str">
        <f t="array" ref="FM19">IF(NOT($D$37=15),IFERROR(INDIRECT("'Bloque "&amp;$D$38&amp;" Semana "&amp;"15"&amp;"'"&amp;"!"&amp;"E37"),""),"S15")</f>
        <v/>
      </c>
      <c r="FN19" s="227" t="str">
        <f t="array" ref="FN19">IF(NOT($D$37=16),IFERROR(INDIRECT("'Bloque "&amp;$D$38&amp;" Semana "&amp;"16"&amp;"'"&amp;"!"&amp;"E37"),""),"S16")</f>
        <v/>
      </c>
      <c r="FO19" s="227" t="str">
        <f t="array" ref="FO19">IF(NOT($D$37=17),IFERROR(INDIRECT("'Bloque "&amp;$D$38&amp;" Semana "&amp;"17"&amp;"'"&amp;"!"&amp;"E37"),""),"S17")</f>
        <v/>
      </c>
      <c r="FP19" s="227" t="str">
        <f t="array" ref="FP19">IF(NOT($D$37=18),IFERROR(INDIRECT("'Bloque "&amp;$D$38&amp;" Semana "&amp;"18"&amp;"'"&amp;"!"&amp;"E37"),""),"S18")</f>
        <v/>
      </c>
      <c r="FQ19" s="208"/>
      <c r="FR19" s="208"/>
      <c r="FS19" s="208"/>
      <c r="FT19" s="208"/>
      <c r="FU19" s="208"/>
      <c r="FV19" s="208"/>
      <c r="FW19" s="208"/>
      <c r="FX19" s="208"/>
      <c r="FY19" s="208"/>
      <c r="FZ19" s="84" t="str">
        <f t="array" ref="FZ19">IF(NOT($D$37=16),IFERROR(INDIRECT("'Bloque "&amp;$D$38&amp;" Semana "&amp;"16"&amp;"'"&amp;"!"&amp;"E37"),""),"S16")</f>
        <v/>
      </c>
      <c r="GA19" s="229" t="str">
        <f t="shared" si="4"/>
        <v/>
      </c>
      <c r="GB19" s="212" t="str">
        <f t="shared" si="5"/>
        <v/>
      </c>
      <c r="GC19" s="84" t="str">
        <f t="array" ref="GC19">IF(NOT($D$37=16),IFERROR(INDIRECT("'Bloque "&amp;$D$38&amp;" Semana "&amp;"16"&amp;"'"&amp;"!"&amp;"E37"),""),"S16")</f>
        <v/>
      </c>
      <c r="GD19" s="229" t="str">
        <f t="shared" si="6"/>
        <v/>
      </c>
      <c r="GE19" s="212" t="str">
        <f t="shared" si="7"/>
        <v/>
      </c>
      <c r="GF19" s="84" t="str">
        <f t="array" ref="GF19">IF(NOT($D$37=16),IFERROR(INDIRECT("'Bloque "&amp;$D$38&amp;" Semana "&amp;"16"&amp;"'"&amp;"!"&amp;"E37"),""),"S16")</f>
        <v/>
      </c>
      <c r="GG19" s="229" t="str">
        <f t="shared" si="8"/>
        <v/>
      </c>
      <c r="GH19" s="212" t="str">
        <f t="shared" si="9"/>
        <v/>
      </c>
    </row>
    <row r="20" ht="27.75" customHeight="1">
      <c r="B20" s="199"/>
      <c r="D20" s="106"/>
      <c r="E20" s="401"/>
      <c r="F20" s="402"/>
      <c r="G20" s="403"/>
      <c r="H20" s="403"/>
      <c r="I20" s="403"/>
      <c r="J20" s="403"/>
      <c r="K20" s="403"/>
      <c r="L20" s="403"/>
      <c r="M20" s="403"/>
      <c r="N20" s="403"/>
      <c r="O20" s="403"/>
      <c r="P20" s="403"/>
      <c r="Q20" s="403"/>
      <c r="R20" s="403"/>
      <c r="S20" s="403"/>
      <c r="T20" s="404"/>
      <c r="W20" s="201"/>
      <c r="X20" s="405" t="s">
        <v>36</v>
      </c>
      <c r="Y20" s="396">
        <f>SUMIF(D40:D186,"BP*",F40:F186)</f>
        <v>11</v>
      </c>
      <c r="Z20" s="396">
        <f>SUMIF(D40:D186,"BP*",X40:X186)</f>
        <v>4000</v>
      </c>
      <c r="AA20" s="397" t="str">
        <f>IFERROR( AVERAGEIF($D$40:$D186,"BP*",$AB$40:$AB186),"")</f>
        <v/>
      </c>
      <c r="AB20" s="396">
        <f>SUMIF(D40:D186,"BP*",Z40:Z186)</f>
        <v>47</v>
      </c>
      <c r="AC20" s="399" t="str">
        <f>IFERROR( AVERAGEIF($D$40:$D186,"BP*",$M$40:$M186),"")</f>
        <v/>
      </c>
      <c r="AE20" s="203"/>
      <c r="AF20" s="204"/>
      <c r="AG20" s="406" t="s">
        <v>291</v>
      </c>
      <c r="BW20" s="34"/>
      <c r="BZ20" s="261" t="s">
        <v>292</v>
      </c>
      <c r="CC20" s="83" t="s">
        <v>293</v>
      </c>
      <c r="CD20" s="83" t="s">
        <v>248</v>
      </c>
      <c r="CE20" s="83" t="s">
        <v>294</v>
      </c>
      <c r="CF20" s="262"/>
      <c r="CG20" s="83"/>
      <c r="CH20" s="289" t="str">
        <f t="array" ref="CH20">IF(NOT($D$37=12),IFERROR(INDIRECT("'Bloque "&amp;$D$38&amp;" Semana "&amp;"12"&amp;"'"&amp;"!"&amp;"E37"),""),"S12")</f>
        <v/>
      </c>
      <c r="CI20" s="316" t="str">
        <f t="shared" si="21"/>
        <v/>
      </c>
      <c r="CJ20" s="224" t="str">
        <f t="shared" si="22"/>
        <v/>
      </c>
      <c r="CK20" s="85" t="str">
        <f t="shared" si="23"/>
        <v/>
      </c>
      <c r="CL20" s="85" t="str">
        <f t="shared" si="30"/>
        <v/>
      </c>
      <c r="CM20" s="168" t="str">
        <f t="shared" si="24"/>
        <v/>
      </c>
      <c r="CN20" s="327" t="str">
        <f t="shared" si="31"/>
        <v/>
      </c>
      <c r="CO20" s="168" t="str">
        <f t="shared" si="25"/>
        <v/>
      </c>
      <c r="CP20" s="168" t="str">
        <f t="shared" si="26"/>
        <v/>
      </c>
      <c r="CQ20" s="294" t="str">
        <f t="shared" si="27"/>
        <v/>
      </c>
      <c r="CR20" s="328" t="str">
        <f t="shared" si="32"/>
        <v/>
      </c>
      <c r="CS20" s="212"/>
      <c r="CT20" s="319"/>
      <c r="DE20" s="407"/>
      <c r="DF20" s="407"/>
      <c r="DG20" s="407"/>
      <c r="DH20" s="407"/>
      <c r="DI20" s="407"/>
      <c r="DJ20" s="144" t="s">
        <v>156</v>
      </c>
      <c r="DK20" s="108"/>
      <c r="DL20" s="108"/>
      <c r="DM20" s="108"/>
      <c r="DN20" s="108"/>
      <c r="DO20" s="108"/>
      <c r="DP20" s="108"/>
      <c r="DQ20" s="108"/>
      <c r="DR20" s="108"/>
      <c r="DS20" s="108"/>
      <c r="DT20" s="108"/>
      <c r="DU20" s="108"/>
      <c r="DV20" s="108"/>
      <c r="DW20" s="108"/>
      <c r="DX20" s="108"/>
      <c r="DY20" s="108"/>
      <c r="DZ20" s="108"/>
      <c r="EA20" s="108"/>
      <c r="EB20" s="108"/>
      <c r="EC20" s="407"/>
      <c r="ED20" s="120" t="str">
        <f t="shared" si="40"/>
        <v>Bisagra de Cadera</v>
      </c>
      <c r="EE20" s="231" t="str">
        <f t="shared" ref="EE20:EV20" si="41">IFERROR(INDIRECT("'Bloque "&amp;$D$38&amp;" Semana "&amp;MID(EE18,2,2)&amp;"'"&amp;"!"&amp;"CE22"),"")</f>
        <v/>
      </c>
      <c r="EF20" s="231" t="str">
        <f t="shared" si="41"/>
        <v/>
      </c>
      <c r="EG20" s="231" t="str">
        <f t="shared" si="41"/>
        <v/>
      </c>
      <c r="EH20" s="231" t="str">
        <f t="shared" si="41"/>
        <v/>
      </c>
      <c r="EI20" s="231" t="str">
        <f t="shared" si="41"/>
        <v/>
      </c>
      <c r="EJ20" s="231" t="str">
        <f t="shared" si="41"/>
        <v/>
      </c>
      <c r="EK20" s="231" t="str">
        <f t="shared" si="41"/>
        <v/>
      </c>
      <c r="EL20" s="231" t="str">
        <f t="shared" si="41"/>
        <v/>
      </c>
      <c r="EM20" s="231" t="str">
        <f t="shared" si="41"/>
        <v/>
      </c>
      <c r="EN20" s="231" t="str">
        <f t="shared" si="41"/>
        <v/>
      </c>
      <c r="EO20" s="231" t="str">
        <f t="shared" si="41"/>
        <v/>
      </c>
      <c r="EP20" s="231" t="str">
        <f t="shared" si="41"/>
        <v/>
      </c>
      <c r="EQ20" s="231" t="str">
        <f t="shared" si="41"/>
        <v/>
      </c>
      <c r="ER20" s="231" t="str">
        <f t="shared" si="41"/>
        <v/>
      </c>
      <c r="ES20" s="231" t="str">
        <f t="shared" si="41"/>
        <v/>
      </c>
      <c r="ET20" s="231" t="str">
        <f t="shared" si="41"/>
        <v/>
      </c>
      <c r="EU20" s="231" t="str">
        <f t="shared" si="41"/>
        <v/>
      </c>
      <c r="EV20" s="231" t="str">
        <f t="shared" si="41"/>
        <v/>
      </c>
      <c r="EX20" s="208" t="s">
        <v>4</v>
      </c>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208"/>
      <c r="FU20" s="208"/>
      <c r="FV20" s="208"/>
      <c r="FW20" s="208"/>
      <c r="FX20" s="208"/>
      <c r="FY20" s="208"/>
      <c r="FZ20" s="84" t="str">
        <f t="array" ref="FZ20">IF(NOT($D$37=17),IFERROR(INDIRECT("'Bloque "&amp;$D$38&amp;" Semana "&amp;"17"&amp;"'"&amp;"!"&amp;"E37"),""),"S17")</f>
        <v/>
      </c>
      <c r="GA20" s="229" t="str">
        <f t="shared" si="4"/>
        <v/>
      </c>
      <c r="GB20" s="212" t="str">
        <f t="shared" si="5"/>
        <v/>
      </c>
      <c r="GC20" s="84" t="str">
        <f t="array" ref="GC20">IF(NOT($D$37=17),IFERROR(INDIRECT("'Bloque "&amp;$D$38&amp;" Semana "&amp;"17"&amp;"'"&amp;"!"&amp;"E37"),""),"S17")</f>
        <v/>
      </c>
      <c r="GD20" s="229" t="str">
        <f t="shared" si="6"/>
        <v/>
      </c>
      <c r="GE20" s="212" t="str">
        <f t="shared" si="7"/>
        <v/>
      </c>
      <c r="GF20" s="84" t="str">
        <f t="array" ref="GF20">IF(NOT($D$37=17),IFERROR(INDIRECT("'Bloque "&amp;$D$38&amp;" Semana "&amp;"17"&amp;"'"&amp;"!"&amp;"E37"),""),"S17")</f>
        <v/>
      </c>
      <c r="GG20" s="229" t="str">
        <f t="shared" si="8"/>
        <v/>
      </c>
      <c r="GH20" s="212" t="str">
        <f t="shared" si="9"/>
        <v/>
      </c>
    </row>
    <row r="21" ht="21.75" customHeight="1">
      <c r="B21" s="199"/>
      <c r="D21" s="106"/>
      <c r="E21" s="4"/>
      <c r="F21" s="193"/>
      <c r="U21" s="408"/>
      <c r="V21" s="408"/>
      <c r="W21" s="201"/>
      <c r="X21" s="409" t="s">
        <v>42</v>
      </c>
      <c r="Y21" s="396">
        <f>SUMIF(D40:D186,"DL*",F40:F186)</f>
        <v>7</v>
      </c>
      <c r="Z21" s="396">
        <f>SUMIF(D40:D186,"DL*",X40:X186)</f>
        <v>5300</v>
      </c>
      <c r="AA21" s="397" t="str">
        <f>IFERROR( AVERAGEIF($D$40:$D186,"DL*",$AB$40:$AB186),"")</f>
        <v/>
      </c>
      <c r="AB21" s="396">
        <f>SUMIF(D40:D186,"DL*",Z40:Z186)</f>
        <v>31</v>
      </c>
      <c r="AC21" s="399" t="str">
        <f>IFERROR( AVERAGEIF($D$40:$D186,"DL*",$M$40:$M186),"")</f>
        <v/>
      </c>
      <c r="AE21" s="203"/>
      <c r="AF21" s="204"/>
      <c r="AG21" s="410"/>
      <c r="AH21" s="411"/>
      <c r="AI21" s="391"/>
      <c r="AJ21" s="391"/>
      <c r="AK21" s="391"/>
      <c r="AL21" s="391"/>
      <c r="AM21" s="412" t="s">
        <v>295</v>
      </c>
      <c r="AQ21" s="412" t="s">
        <v>296</v>
      </c>
      <c r="AU21" s="412" t="s">
        <v>297</v>
      </c>
      <c r="AY21" s="412" t="s">
        <v>298</v>
      </c>
      <c r="BC21" s="391"/>
      <c r="BD21" s="391"/>
      <c r="BE21" s="391"/>
      <c r="BF21" s="412" t="s">
        <v>299</v>
      </c>
      <c r="BJ21" s="412" t="s">
        <v>300</v>
      </c>
      <c r="BN21" s="412" t="s">
        <v>301</v>
      </c>
      <c r="BR21" s="391"/>
      <c r="BS21" s="391"/>
      <c r="BT21" s="391"/>
      <c r="BU21" s="413"/>
      <c r="BV21" s="414"/>
      <c r="BW21" s="415"/>
      <c r="BZ21" s="416" t="s">
        <v>302</v>
      </c>
      <c r="CC21" s="417">
        <f t="shared" ref="CC21:CC33" si="44">SUMIF($D$40:$D186,BZ21,$AD$40:$AD186)</f>
        <v>6</v>
      </c>
      <c r="CD21" s="417">
        <f t="shared" ref="CD21:CD33" si="45">SUMIF($D$40:$D186,BZ21,$CC$40:$CC186)</f>
        <v>53</v>
      </c>
      <c r="CE21" s="418">
        <f t="shared" ref="CE21:CE33" si="46">IFERROR( AVERAGEIF($D$40:$D186,BZ21,$CD$40:$CD186),"")</f>
        <v>0.125</v>
      </c>
      <c r="CF21" s="419"/>
      <c r="CG21" s="418"/>
      <c r="CH21" s="289" t="str">
        <f t="array" ref="CH21">IF(NOT($D$37=13),IFERROR(INDIRECT("'Bloque "&amp;$D$38&amp;" Semana "&amp;"13"&amp;"'"&amp;"!"&amp;"E37"),""),"S13")</f>
        <v/>
      </c>
      <c r="CI21" s="316" t="str">
        <f t="shared" si="21"/>
        <v/>
      </c>
      <c r="CJ21" s="224" t="str">
        <f t="shared" si="22"/>
        <v/>
      </c>
      <c r="CK21" s="85" t="str">
        <f t="shared" si="23"/>
        <v/>
      </c>
      <c r="CL21" s="85" t="str">
        <f t="shared" si="30"/>
        <v/>
      </c>
      <c r="CM21" s="168" t="str">
        <f t="shared" si="24"/>
        <v/>
      </c>
      <c r="CN21" s="327" t="str">
        <f t="shared" si="31"/>
        <v/>
      </c>
      <c r="CO21" s="168" t="str">
        <f t="shared" si="25"/>
        <v/>
      </c>
      <c r="CP21" s="168" t="str">
        <f t="shared" si="26"/>
        <v/>
      </c>
      <c r="CQ21" s="294" t="str">
        <f t="shared" si="27"/>
        <v/>
      </c>
      <c r="CR21" s="328" t="str">
        <f t="shared" si="32"/>
        <v/>
      </c>
      <c r="CS21" s="212"/>
      <c r="CT21" s="319"/>
      <c r="DE21" s="4"/>
      <c r="DJ21" s="83"/>
      <c r="DK21" s="227" t="str">
        <f t="array" ref="DK21">IF(NOT($D$37=1),IFERROR(INDIRECT("'Bloque "&amp;$D$38&amp;" Semana "&amp;"1"&amp;"'"&amp;"!"&amp;"E37"),""),"S1")</f>
        <v>S1</v>
      </c>
      <c r="DL21" s="227" t="str">
        <f t="array" ref="DL21">IF(NOT($D$37=2),IFERROR(INDIRECT("'Bloque "&amp;$D$38&amp;" Semana "&amp;"2"&amp;"'"&amp;"!"&amp;"E37"),""),"S2")</f>
        <v/>
      </c>
      <c r="DM21" s="227" t="str">
        <f t="array" ref="DM21">IF(NOT($D$37=3),IFERROR(INDIRECT("'Bloque "&amp;$D$38&amp;" Semana "&amp;"3"&amp;"'"&amp;"!"&amp;"E37"),""),"S3")</f>
        <v/>
      </c>
      <c r="DN21" s="227" t="str">
        <f t="array" ref="DN21">IF(NOT($D$37=4),IFERROR(INDIRECT("'Bloque "&amp;$D$38&amp;" Semana "&amp;"4"&amp;"'"&amp;"!"&amp;"E37"),""),"S4")</f>
        <v/>
      </c>
      <c r="DO21" s="227" t="str">
        <f t="array" ref="DO21">IF(NOT($D$37=5),IFERROR(INDIRECT("'Bloque "&amp;$D$38&amp;" Semana "&amp;"5"&amp;"'"&amp;"!"&amp;"E37"),""),"S5")</f>
        <v/>
      </c>
      <c r="DP21" s="227" t="str">
        <f t="array" ref="DP21">IF(NOT($D$37=6),IFERROR(INDIRECT("'Bloque "&amp;$D$38&amp;" Semana "&amp;"6"&amp;"'"&amp;"!"&amp;"E37"),""),"S6")</f>
        <v/>
      </c>
      <c r="DQ21" s="227" t="str">
        <f t="array" ref="DQ21">IF(NOT($D$37=7),IFERROR(INDIRECT("'Bloque "&amp;$D$38&amp;" Semana "&amp;"7"&amp;"'"&amp;"!"&amp;"E37"),""),"S7")</f>
        <v/>
      </c>
      <c r="DR21" s="227" t="str">
        <f t="array" ref="DR21">IF(NOT($D$37=8),IFERROR(INDIRECT("'Bloque "&amp;$D$38&amp;" Semana "&amp;"8"&amp;"'"&amp;"!"&amp;"E37"),""),"S8")</f>
        <v/>
      </c>
      <c r="DS21" s="227" t="str">
        <f t="array" ref="DS21">IF(NOT($D$37=9),IFERROR(INDIRECT("'Bloque "&amp;$D$38&amp;" Semana "&amp;"9"&amp;"'"&amp;"!"&amp;"E37"),""),"S9")</f>
        <v/>
      </c>
      <c r="DT21" s="227" t="str">
        <f t="array" ref="DT21">IF(NOT($D$37=10),IFERROR(INDIRECT("'Bloque "&amp;$D$38&amp;" Semana "&amp;"10"&amp;"'"&amp;"!"&amp;"E37"),""),"S10")</f>
        <v/>
      </c>
      <c r="DU21" s="227" t="str">
        <f t="array" ref="DU21">IF(NOT($D$37=11),IFERROR(INDIRECT("'Bloque "&amp;$D$38&amp;" Semana "&amp;"11"&amp;"'"&amp;"!"&amp;"E37"),""),"S11")</f>
        <v/>
      </c>
      <c r="DV21" s="227" t="str">
        <f t="array" ref="DV21">IF(NOT($D$37=12),IFERROR(INDIRECT("'Bloque "&amp;$D$38&amp;" Semana "&amp;"12"&amp;"'"&amp;"!"&amp;"E37"),""),"S12")</f>
        <v/>
      </c>
      <c r="DW21" s="227" t="str">
        <f t="array" ref="DW21">IF(NOT($D$37=13),IFERROR(INDIRECT("'Bloque "&amp;$D$38&amp;" Semana "&amp;"13"&amp;"'"&amp;"!"&amp;"E37"),""),"S13")</f>
        <v/>
      </c>
      <c r="DX21" s="227" t="str">
        <f t="array" ref="DX21">IF(NOT($D$37=14),IFERROR(INDIRECT("'Bloque "&amp;$D$38&amp;" Semana "&amp;"14"&amp;"'"&amp;"!"&amp;"E37"),""),"S14")</f>
        <v/>
      </c>
      <c r="DY21" s="227" t="str">
        <f t="array" ref="DY21">IF(NOT($D$37=15),IFERROR(INDIRECT("'Bloque "&amp;$D$38&amp;" Semana "&amp;"15"&amp;"'"&amp;"!"&amp;"E37"),""),"S15")</f>
        <v/>
      </c>
      <c r="DZ21" s="227" t="str">
        <f t="array" ref="DZ21">IF(NOT($D$37=16),IFERROR(INDIRECT("'Bloque "&amp;$D$38&amp;" Semana "&amp;"16"&amp;"'"&amp;"!"&amp;"E37"),""),"S16")</f>
        <v/>
      </c>
      <c r="EA21" s="227" t="str">
        <f t="array" ref="EA21">IF(NOT($D$37=17),IFERROR(INDIRECT("'Bloque "&amp;$D$38&amp;" Semana "&amp;"17"&amp;"'"&amp;"!"&amp;"E37"),""),"S17")</f>
        <v/>
      </c>
      <c r="EB21" s="227" t="str">
        <f t="array" ref="EB21">IF(NOT($D$37=18),IFERROR(INDIRECT("'Bloque "&amp;$D$38&amp;" Semana "&amp;"18"&amp;"'"&amp;"!"&amp;"E37"),""),"S18")</f>
        <v/>
      </c>
      <c r="ED21" s="120" t="str">
        <f t="shared" si="40"/>
        <v>Empuje Horizontal</v>
      </c>
      <c r="EE21" s="231" t="str">
        <f t="shared" ref="EE21:EV21" si="42">IFERROR(INDIRECT("'Bloque "&amp;$D$38&amp;" Semana "&amp;MID(EE18,2,2)&amp;"'"&amp;"!"&amp;"CE23"),"")</f>
        <v/>
      </c>
      <c r="EF21" s="231" t="str">
        <f t="shared" si="42"/>
        <v/>
      </c>
      <c r="EG21" s="231" t="str">
        <f t="shared" si="42"/>
        <v/>
      </c>
      <c r="EH21" s="231" t="str">
        <f t="shared" si="42"/>
        <v/>
      </c>
      <c r="EI21" s="231" t="str">
        <f t="shared" si="42"/>
        <v/>
      </c>
      <c r="EJ21" s="231" t="str">
        <f t="shared" si="42"/>
        <v/>
      </c>
      <c r="EK21" s="231" t="str">
        <f t="shared" si="42"/>
        <v/>
      </c>
      <c r="EL21" s="231" t="str">
        <f t="shared" si="42"/>
        <v/>
      </c>
      <c r="EM21" s="231" t="str">
        <f t="shared" si="42"/>
        <v/>
      </c>
      <c r="EN21" s="231" t="str">
        <f t="shared" si="42"/>
        <v/>
      </c>
      <c r="EO21" s="231" t="str">
        <f t="shared" si="42"/>
        <v/>
      </c>
      <c r="EP21" s="231" t="str">
        <f t="shared" si="42"/>
        <v/>
      </c>
      <c r="EQ21" s="231" t="str">
        <f t="shared" si="42"/>
        <v/>
      </c>
      <c r="ER21" s="231" t="str">
        <f t="shared" si="42"/>
        <v/>
      </c>
      <c r="ES21" s="231" t="str">
        <f t="shared" si="42"/>
        <v/>
      </c>
      <c r="ET21" s="231" t="str">
        <f t="shared" si="42"/>
        <v/>
      </c>
      <c r="EU21" s="231" t="str">
        <f t="shared" si="42"/>
        <v/>
      </c>
      <c r="EV21" s="231" t="str">
        <f t="shared" si="42"/>
        <v/>
      </c>
      <c r="EX21" s="208" t="s">
        <v>303</v>
      </c>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420" t="str">
        <f t="array" ref="FZ21">IF(NOT($D$37=18),IFERROR(INDIRECT("'Bloque "&amp;$D$38&amp;" Semana "&amp;"18"&amp;"'"&amp;"!"&amp;"E37"),""),"S18")</f>
        <v/>
      </c>
      <c r="GA21" s="229" t="str">
        <f t="shared" si="4"/>
        <v/>
      </c>
      <c r="GB21" s="212" t="str">
        <f t="shared" si="5"/>
        <v/>
      </c>
      <c r="GC21" s="420" t="str">
        <f t="array" ref="GC21">IF(NOT($D$37=18),IFERROR(INDIRECT("'Bloque "&amp;$D$38&amp;" Semana "&amp;"18"&amp;"'"&amp;"!"&amp;"E37"),""),"S18")</f>
        <v/>
      </c>
      <c r="GD21" s="229" t="str">
        <f t="shared" si="6"/>
        <v/>
      </c>
      <c r="GE21" s="212" t="str">
        <f t="shared" si="7"/>
        <v/>
      </c>
      <c r="GF21" s="420" t="str">
        <f t="array" ref="GF21">IF(NOT($D$37=18),IFERROR(INDIRECT("'Bloque "&amp;$D$38&amp;" Semana "&amp;"18"&amp;"'"&amp;"!"&amp;"E37"),""),"S18")</f>
        <v/>
      </c>
      <c r="GG21" s="229" t="str">
        <f t="shared" si="8"/>
        <v/>
      </c>
      <c r="GH21" s="212" t="str">
        <f t="shared" si="9"/>
        <v/>
      </c>
    </row>
    <row r="22">
      <c r="B22" s="199"/>
      <c r="D22" s="106"/>
      <c r="E22" s="421" t="s">
        <v>304</v>
      </c>
      <c r="U22" s="408"/>
      <c r="V22" s="408"/>
      <c r="W22" s="201"/>
      <c r="X22" s="422" t="s">
        <v>105</v>
      </c>
      <c r="Y22" s="423">
        <f t="shared" ref="Y22:Z22" si="43">SUM(Y19:Y21)</f>
        <v>25</v>
      </c>
      <c r="Z22" s="423">
        <f t="shared" si="43"/>
        <v>13660</v>
      </c>
      <c r="AA22" s="424" t="str">
        <f>IFERROR( AVERAGE(AA19:AA21),"")</f>
        <v/>
      </c>
      <c r="AB22" s="425">
        <f>SUM(AB19:AB21)</f>
        <v>109</v>
      </c>
      <c r="AC22" s="426" t="str">
        <f>IFERROR( AVERAGE(AC19:AC21),"")</f>
        <v/>
      </c>
      <c r="AD22" s="427"/>
      <c r="AE22" s="203"/>
      <c r="AF22" s="204"/>
      <c r="AG22" s="428"/>
      <c r="AI22" s="391"/>
      <c r="AJ22" s="412" t="s">
        <v>305</v>
      </c>
      <c r="AM22" s="85"/>
      <c r="AQ22" s="429"/>
      <c r="AU22" s="429"/>
      <c r="AY22" s="429"/>
      <c r="BC22" s="412" t="s">
        <v>306</v>
      </c>
      <c r="BF22" s="429"/>
      <c r="BJ22" s="429"/>
      <c r="BN22" s="429"/>
      <c r="BR22" s="391"/>
      <c r="BS22" s="391"/>
      <c r="BT22" s="391"/>
      <c r="BU22" s="430"/>
      <c r="BV22" s="391"/>
      <c r="BW22" s="431"/>
      <c r="BZ22" s="432" t="s">
        <v>307</v>
      </c>
      <c r="CC22" s="417">
        <f t="shared" si="44"/>
        <v>0</v>
      </c>
      <c r="CD22" s="417">
        <f t="shared" si="45"/>
        <v>0</v>
      </c>
      <c r="CE22" s="418" t="str">
        <f t="shared" si="46"/>
        <v/>
      </c>
      <c r="CF22" s="419"/>
      <c r="CG22" s="418"/>
      <c r="CH22" s="289" t="str">
        <f t="array" ref="CH22">IF(NOT($D$37=14),IFERROR(INDIRECT("'Bloque "&amp;$D$38&amp;" Semana "&amp;"14"&amp;"'"&amp;"!"&amp;"E37"),""),"S14")</f>
        <v/>
      </c>
      <c r="CI22" s="316" t="str">
        <f t="shared" si="21"/>
        <v/>
      </c>
      <c r="CJ22" s="224" t="str">
        <f t="shared" si="22"/>
        <v/>
      </c>
      <c r="CK22" s="85" t="str">
        <f t="shared" si="23"/>
        <v/>
      </c>
      <c r="CL22" s="85" t="str">
        <f t="shared" si="30"/>
        <v/>
      </c>
      <c r="CM22" s="168" t="str">
        <f t="shared" si="24"/>
        <v/>
      </c>
      <c r="CN22" s="327" t="str">
        <f t="shared" si="31"/>
        <v/>
      </c>
      <c r="CO22" s="168" t="str">
        <f t="shared" si="25"/>
        <v/>
      </c>
      <c r="CP22" s="168" t="str">
        <f t="shared" si="26"/>
        <v/>
      </c>
      <c r="CQ22" s="294" t="str">
        <f t="shared" si="27"/>
        <v/>
      </c>
      <c r="CR22" s="328" t="str">
        <f t="shared" si="32"/>
        <v/>
      </c>
      <c r="CS22" s="212"/>
      <c r="CT22" s="319"/>
      <c r="DE22" s="4"/>
      <c r="DJ22" s="120" t="s">
        <v>21</v>
      </c>
      <c r="DK22" s="93" t="str">
        <f t="shared" ref="DK22:EB22" si="47">IFERROR(INDIRECT("'Bloque "&amp;$D$38&amp;" Semana "&amp;MID(DK15,2,2)&amp;"'"&amp;"!"&amp;"CE15"),"")</f>
        <v/>
      </c>
      <c r="DL22" s="93" t="str">
        <f t="shared" si="47"/>
        <v/>
      </c>
      <c r="DM22" s="93" t="str">
        <f t="shared" si="47"/>
        <v/>
      </c>
      <c r="DN22" s="93" t="str">
        <f t="shared" si="47"/>
        <v/>
      </c>
      <c r="DO22" s="93" t="str">
        <f t="shared" si="47"/>
        <v/>
      </c>
      <c r="DP22" s="93" t="str">
        <f t="shared" si="47"/>
        <v/>
      </c>
      <c r="DQ22" s="93" t="str">
        <f t="shared" si="47"/>
        <v/>
      </c>
      <c r="DR22" s="93" t="str">
        <f t="shared" si="47"/>
        <v/>
      </c>
      <c r="DS22" s="93" t="str">
        <f t="shared" si="47"/>
        <v/>
      </c>
      <c r="DT22" s="93" t="str">
        <f t="shared" si="47"/>
        <v/>
      </c>
      <c r="DU22" s="93" t="str">
        <f t="shared" si="47"/>
        <v/>
      </c>
      <c r="DV22" s="93" t="str">
        <f t="shared" si="47"/>
        <v/>
      </c>
      <c r="DW22" s="93" t="str">
        <f t="shared" si="47"/>
        <v/>
      </c>
      <c r="DX22" s="93" t="str">
        <f t="shared" si="47"/>
        <v/>
      </c>
      <c r="DY22" s="93" t="str">
        <f t="shared" si="47"/>
        <v/>
      </c>
      <c r="DZ22" s="93" t="str">
        <f t="shared" si="47"/>
        <v/>
      </c>
      <c r="EA22" s="93" t="str">
        <f t="shared" si="47"/>
        <v/>
      </c>
      <c r="EB22" s="93" t="str">
        <f t="shared" si="47"/>
        <v/>
      </c>
      <c r="ED22" s="120" t="str">
        <f t="shared" si="40"/>
        <v>Empuje Vertical</v>
      </c>
      <c r="EE22" s="269" t="str">
        <f t="shared" ref="EE22:EV22" si="48">IFERROR(INDIRECT("'Bloque "&amp;$D$38&amp;" Semana "&amp;MID(EE18,2,2)&amp;"'"&amp;"!"&amp;"CE24"),"")</f>
        <v/>
      </c>
      <c r="EF22" s="269" t="str">
        <f t="shared" si="48"/>
        <v/>
      </c>
      <c r="EG22" s="269" t="str">
        <f t="shared" si="48"/>
        <v/>
      </c>
      <c r="EH22" s="269" t="str">
        <f t="shared" si="48"/>
        <v/>
      </c>
      <c r="EI22" s="269" t="str">
        <f t="shared" si="48"/>
        <v/>
      </c>
      <c r="EJ22" s="269" t="str">
        <f t="shared" si="48"/>
        <v/>
      </c>
      <c r="EK22" s="269" t="str">
        <f t="shared" si="48"/>
        <v/>
      </c>
      <c r="EL22" s="269" t="str">
        <f t="shared" si="48"/>
        <v/>
      </c>
      <c r="EM22" s="269" t="str">
        <f t="shared" si="48"/>
        <v/>
      </c>
      <c r="EN22" s="269" t="str">
        <f t="shared" si="48"/>
        <v/>
      </c>
      <c r="EO22" s="269" t="str">
        <f t="shared" si="48"/>
        <v/>
      </c>
      <c r="EP22" s="269" t="str">
        <f t="shared" si="48"/>
        <v/>
      </c>
      <c r="EQ22" s="269" t="str">
        <f t="shared" si="48"/>
        <v/>
      </c>
      <c r="ER22" s="269" t="str">
        <f t="shared" si="48"/>
        <v/>
      </c>
      <c r="ES22" s="269" t="str">
        <f t="shared" si="48"/>
        <v/>
      </c>
      <c r="ET22" s="269" t="str">
        <f t="shared" si="48"/>
        <v/>
      </c>
      <c r="EU22" s="269" t="str">
        <f t="shared" si="48"/>
        <v/>
      </c>
      <c r="EV22" s="269" t="str">
        <f t="shared" si="48"/>
        <v/>
      </c>
      <c r="EX22" s="208" t="s">
        <v>308</v>
      </c>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row>
    <row r="23">
      <c r="B23" s="199"/>
      <c r="D23" s="106"/>
      <c r="U23" s="408"/>
      <c r="V23" s="408"/>
      <c r="W23" s="201"/>
      <c r="X23" s="433" t="s">
        <v>290</v>
      </c>
      <c r="Y23" s="434" t="s">
        <v>286</v>
      </c>
      <c r="Z23" s="435" t="s">
        <v>294</v>
      </c>
      <c r="AA23" s="436" t="s">
        <v>248</v>
      </c>
      <c r="AB23" s="437"/>
      <c r="AC23" s="438"/>
      <c r="AD23" s="439"/>
      <c r="AE23" s="203"/>
      <c r="AF23" s="204"/>
      <c r="AG23" s="440"/>
      <c r="AH23" s="413"/>
      <c r="AI23" s="391"/>
      <c r="AJ23" s="391"/>
      <c r="AK23" s="441"/>
      <c r="AL23" s="441"/>
      <c r="AM23" s="412" t="s">
        <v>309</v>
      </c>
      <c r="AQ23" s="412" t="s">
        <v>310</v>
      </c>
      <c r="AU23" s="412" t="s">
        <v>311</v>
      </c>
      <c r="AY23" s="412" t="s">
        <v>312</v>
      </c>
      <c r="BC23" s="411"/>
      <c r="BD23" s="411"/>
      <c r="BE23" s="411"/>
      <c r="BF23" s="411"/>
      <c r="BG23" s="411"/>
      <c r="BH23" s="411"/>
      <c r="BI23" s="411"/>
      <c r="BJ23" s="411"/>
      <c r="BK23" s="411"/>
      <c r="BL23" s="411"/>
      <c r="BM23" s="411"/>
      <c r="BN23" s="391"/>
      <c r="BO23" s="391"/>
      <c r="BP23" s="391"/>
      <c r="BQ23" s="391"/>
      <c r="BR23" s="391"/>
      <c r="BS23" s="391"/>
      <c r="BT23" s="391"/>
      <c r="BU23" s="430"/>
      <c r="BV23" s="391"/>
      <c r="BW23" s="431"/>
      <c r="BZ23" s="442" t="s">
        <v>313</v>
      </c>
      <c r="CC23" s="417">
        <f t="shared" si="44"/>
        <v>7</v>
      </c>
      <c r="CD23" s="417">
        <f t="shared" si="45"/>
        <v>79</v>
      </c>
      <c r="CE23" s="418">
        <f t="shared" si="46"/>
        <v>0.25</v>
      </c>
      <c r="CF23" s="419"/>
      <c r="CG23" s="418"/>
      <c r="CH23" s="289" t="str">
        <f t="array" ref="CH23">IF(NOT($D$37=15),IFERROR(INDIRECT("'Bloque "&amp;$D$38&amp;" Semana "&amp;"15"&amp;"'"&amp;"!"&amp;"E37"),""),"S15")</f>
        <v/>
      </c>
      <c r="CI23" s="316" t="str">
        <f t="shared" si="21"/>
        <v/>
      </c>
      <c r="CJ23" s="224" t="str">
        <f t="shared" si="22"/>
        <v/>
      </c>
      <c r="CK23" s="85" t="str">
        <f t="shared" si="23"/>
        <v/>
      </c>
      <c r="CL23" s="85" t="str">
        <f t="shared" si="30"/>
        <v/>
      </c>
      <c r="CM23" s="168" t="str">
        <f t="shared" si="24"/>
        <v/>
      </c>
      <c r="CN23" s="327" t="str">
        <f t="shared" si="31"/>
        <v/>
      </c>
      <c r="CO23" s="168" t="str">
        <f t="shared" si="25"/>
        <v/>
      </c>
      <c r="CP23" s="168" t="str">
        <f t="shared" si="26"/>
        <v/>
      </c>
      <c r="CQ23" s="294" t="str">
        <f t="shared" si="27"/>
        <v/>
      </c>
      <c r="CR23" s="328" t="str">
        <f t="shared" si="32"/>
        <v/>
      </c>
      <c r="CS23" s="212"/>
      <c r="CT23" s="319"/>
      <c r="DE23" s="4"/>
      <c r="DJ23" s="120" t="s">
        <v>36</v>
      </c>
      <c r="DK23" s="93" t="str">
        <f t="shared" ref="DK23:EB23" si="49">IFERROR(INDIRECT("'Bloque "&amp;$D$38&amp;" Semana "&amp;MID(DK15,2,2)&amp;"'"&amp;"!"&amp;"CE16"),"")</f>
        <v/>
      </c>
      <c r="DL23" s="93" t="str">
        <f t="shared" si="49"/>
        <v/>
      </c>
      <c r="DM23" s="93" t="str">
        <f t="shared" si="49"/>
        <v/>
      </c>
      <c r="DN23" s="93" t="str">
        <f t="shared" si="49"/>
        <v/>
      </c>
      <c r="DO23" s="93" t="str">
        <f t="shared" si="49"/>
        <v/>
      </c>
      <c r="DP23" s="93" t="str">
        <f t="shared" si="49"/>
        <v/>
      </c>
      <c r="DQ23" s="93" t="str">
        <f t="shared" si="49"/>
        <v/>
      </c>
      <c r="DR23" s="93" t="str">
        <f t="shared" si="49"/>
        <v/>
      </c>
      <c r="DS23" s="93" t="str">
        <f t="shared" si="49"/>
        <v/>
      </c>
      <c r="DT23" s="93" t="str">
        <f t="shared" si="49"/>
        <v/>
      </c>
      <c r="DU23" s="93" t="str">
        <f t="shared" si="49"/>
        <v/>
      </c>
      <c r="DV23" s="93" t="str">
        <f t="shared" si="49"/>
        <v/>
      </c>
      <c r="DW23" s="93" t="str">
        <f t="shared" si="49"/>
        <v/>
      </c>
      <c r="DX23" s="93" t="str">
        <f t="shared" si="49"/>
        <v/>
      </c>
      <c r="DY23" s="93" t="str">
        <f t="shared" si="49"/>
        <v/>
      </c>
      <c r="DZ23" s="93" t="str">
        <f t="shared" si="49"/>
        <v/>
      </c>
      <c r="EA23" s="93" t="str">
        <f t="shared" si="49"/>
        <v/>
      </c>
      <c r="EB23" s="93" t="str">
        <f t="shared" si="49"/>
        <v/>
      </c>
      <c r="ED23" s="120" t="str">
        <f t="shared" si="40"/>
        <v>Tracción Horizontal</v>
      </c>
      <c r="EE23" s="269" t="str">
        <f t="shared" ref="EE23:EV23" si="50">IFERROR(INDIRECT("'Bloque "&amp;$D$38&amp;" Semana "&amp;MID(EE18,2,2)&amp;"'"&amp;"!"&amp;"CE25"),"")</f>
        <v/>
      </c>
      <c r="EF23" s="269" t="str">
        <f t="shared" si="50"/>
        <v/>
      </c>
      <c r="EG23" s="269" t="str">
        <f t="shared" si="50"/>
        <v/>
      </c>
      <c r="EH23" s="269" t="str">
        <f t="shared" si="50"/>
        <v/>
      </c>
      <c r="EI23" s="269" t="str">
        <f t="shared" si="50"/>
        <v/>
      </c>
      <c r="EJ23" s="269" t="str">
        <f t="shared" si="50"/>
        <v/>
      </c>
      <c r="EK23" s="269" t="str">
        <f t="shared" si="50"/>
        <v/>
      </c>
      <c r="EL23" s="269" t="str">
        <f t="shared" si="50"/>
        <v/>
      </c>
      <c r="EM23" s="269" t="str">
        <f t="shared" si="50"/>
        <v/>
      </c>
      <c r="EN23" s="269" t="str">
        <f t="shared" si="50"/>
        <v/>
      </c>
      <c r="EO23" s="269" t="str">
        <f t="shared" si="50"/>
        <v/>
      </c>
      <c r="EP23" s="269" t="str">
        <f t="shared" si="50"/>
        <v/>
      </c>
      <c r="EQ23" s="269" t="str">
        <f t="shared" si="50"/>
        <v/>
      </c>
      <c r="ER23" s="269" t="str">
        <f t="shared" si="50"/>
        <v/>
      </c>
      <c r="ES23" s="269" t="str">
        <f t="shared" si="50"/>
        <v/>
      </c>
      <c r="ET23" s="269" t="str">
        <f t="shared" si="50"/>
        <v/>
      </c>
      <c r="EU23" s="269" t="str">
        <f t="shared" si="50"/>
        <v/>
      </c>
      <c r="EV23" s="269" t="str">
        <f t="shared" si="50"/>
        <v/>
      </c>
      <c r="EX23" s="208" t="s">
        <v>314</v>
      </c>
      <c r="EY23" s="208"/>
      <c r="EZ23" s="208"/>
      <c r="FA23" s="208"/>
      <c r="FB23" s="208"/>
      <c r="FC23" s="208"/>
      <c r="FD23" s="208"/>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row>
    <row r="24">
      <c r="B24" s="199"/>
      <c r="D24" s="106"/>
      <c r="U24" s="408"/>
      <c r="V24" s="408"/>
      <c r="W24" s="201"/>
      <c r="X24" s="443" t="s">
        <v>302</v>
      </c>
      <c r="Y24" s="444">
        <f t="shared" ref="Y24:Y36" si="53">SUMIF($D$40:$D186,X24,$F$40:$F186)</f>
        <v>14</v>
      </c>
      <c r="Z24" s="398">
        <f t="shared" ref="Z24:Z36" si="54">IFERROR( AVERAGEIF($D$40:$D186,X24,$K$40:$K186),"")</f>
        <v>1.75</v>
      </c>
      <c r="AA24" s="445">
        <f t="shared" ref="AA24:AA36" si="55">SUMIF($D$40:$D186,X24,$Z$40:$Z186)</f>
        <v>177</v>
      </c>
      <c r="AB24" s="446"/>
      <c r="AC24" s="212"/>
      <c r="AE24" s="203"/>
      <c r="AF24" s="204"/>
      <c r="AG24" s="428"/>
      <c r="AI24" s="391"/>
      <c r="AJ24" s="412" t="s">
        <v>315</v>
      </c>
      <c r="AM24" s="85"/>
      <c r="AQ24" s="85"/>
      <c r="AU24" s="429" t="s">
        <v>485</v>
      </c>
      <c r="AY24" s="429"/>
      <c r="BC24" s="412"/>
      <c r="BF24" s="411"/>
      <c r="BG24" s="411"/>
      <c r="BH24" s="411"/>
      <c r="BI24" s="411"/>
      <c r="BJ24" s="411"/>
      <c r="BK24" s="411"/>
      <c r="BL24" s="411"/>
      <c r="BM24" s="411"/>
      <c r="BN24" s="391"/>
      <c r="BO24" s="391"/>
      <c r="BP24" s="391"/>
      <c r="BQ24" s="391"/>
      <c r="BR24" s="391"/>
      <c r="BS24" s="391"/>
      <c r="BT24" s="391"/>
      <c r="BU24" s="430"/>
      <c r="BV24" s="391"/>
      <c r="BW24" s="431"/>
      <c r="BZ24" s="447" t="s">
        <v>316</v>
      </c>
      <c r="CC24" s="417">
        <f t="shared" si="44"/>
        <v>7</v>
      </c>
      <c r="CD24" s="417">
        <f t="shared" si="45"/>
        <v>67</v>
      </c>
      <c r="CE24" s="418">
        <f t="shared" si="46"/>
        <v>0.2857142857</v>
      </c>
      <c r="CF24" s="419"/>
      <c r="CG24" s="418"/>
      <c r="CH24" s="289" t="str">
        <f t="array" ref="CH24">IF(NOT($D$37=16),IFERROR(INDIRECT("'Bloque "&amp;$D$38&amp;" Semana "&amp;"16"&amp;"'"&amp;"!"&amp;"E37"),""),"S16")</f>
        <v/>
      </c>
      <c r="CI24" s="316" t="str">
        <f t="shared" si="21"/>
        <v/>
      </c>
      <c r="CJ24" s="224" t="str">
        <f t="shared" si="22"/>
        <v/>
      </c>
      <c r="CK24" s="85" t="str">
        <f t="shared" si="23"/>
        <v/>
      </c>
      <c r="CL24" s="85" t="str">
        <f t="shared" si="30"/>
        <v/>
      </c>
      <c r="CM24" s="168" t="str">
        <f t="shared" si="24"/>
        <v/>
      </c>
      <c r="CN24" s="327" t="str">
        <f t="shared" si="31"/>
        <v/>
      </c>
      <c r="CO24" s="168" t="str">
        <f t="shared" si="25"/>
        <v/>
      </c>
      <c r="CP24" s="168" t="str">
        <f t="shared" si="26"/>
        <v/>
      </c>
      <c r="CQ24" s="294" t="str">
        <f t="shared" si="27"/>
        <v/>
      </c>
      <c r="CR24" s="328" t="str">
        <f t="shared" si="32"/>
        <v/>
      </c>
      <c r="CS24" s="212"/>
      <c r="CT24" s="319"/>
      <c r="DE24" s="4"/>
      <c r="DJ24" s="120" t="s">
        <v>42</v>
      </c>
      <c r="DK24" s="93" t="str">
        <f t="shared" ref="DK24:EB24" si="51">IFERROR(INDIRECT("'Bloque "&amp;$D$38&amp;" Semana "&amp;MID(DK15,2,2)&amp;"'"&amp;"!"&amp;"CE17"),"")</f>
        <v/>
      </c>
      <c r="DL24" s="93" t="str">
        <f t="shared" si="51"/>
        <v/>
      </c>
      <c r="DM24" s="93" t="str">
        <f t="shared" si="51"/>
        <v/>
      </c>
      <c r="DN24" s="93" t="str">
        <f t="shared" si="51"/>
        <v/>
      </c>
      <c r="DO24" s="93" t="str">
        <f t="shared" si="51"/>
        <v/>
      </c>
      <c r="DP24" s="93" t="str">
        <f t="shared" si="51"/>
        <v/>
      </c>
      <c r="DQ24" s="93" t="str">
        <f t="shared" si="51"/>
        <v/>
      </c>
      <c r="DR24" s="93" t="str">
        <f t="shared" si="51"/>
        <v/>
      </c>
      <c r="DS24" s="93" t="str">
        <f t="shared" si="51"/>
        <v/>
      </c>
      <c r="DT24" s="93" t="str">
        <f t="shared" si="51"/>
        <v/>
      </c>
      <c r="DU24" s="93" t="str">
        <f t="shared" si="51"/>
        <v/>
      </c>
      <c r="DV24" s="93" t="str">
        <f t="shared" si="51"/>
        <v/>
      </c>
      <c r="DW24" s="93" t="str">
        <f t="shared" si="51"/>
        <v/>
      </c>
      <c r="DX24" s="93" t="str">
        <f t="shared" si="51"/>
        <v/>
      </c>
      <c r="DY24" s="93" t="str">
        <f t="shared" si="51"/>
        <v/>
      </c>
      <c r="DZ24" s="93" t="str">
        <f t="shared" si="51"/>
        <v/>
      </c>
      <c r="EA24" s="93" t="str">
        <f t="shared" si="51"/>
        <v/>
      </c>
      <c r="EB24" s="93" t="str">
        <f t="shared" si="51"/>
        <v/>
      </c>
      <c r="ED24" s="120" t="str">
        <f t="shared" si="40"/>
        <v>Tracción Vertical</v>
      </c>
      <c r="EE24" s="269" t="str">
        <f t="shared" ref="EE24:EV24" si="52">IFERROR(INDIRECT("'Bloque "&amp;$D$38&amp;" Semana "&amp;MID(EE18,2,2)&amp;"'"&amp;"!"&amp;"CE26"),"")</f>
        <v/>
      </c>
      <c r="EF24" s="269" t="str">
        <f t="shared" si="52"/>
        <v/>
      </c>
      <c r="EG24" s="269" t="str">
        <f t="shared" si="52"/>
        <v/>
      </c>
      <c r="EH24" s="269" t="str">
        <f t="shared" si="52"/>
        <v/>
      </c>
      <c r="EI24" s="269" t="str">
        <f t="shared" si="52"/>
        <v/>
      </c>
      <c r="EJ24" s="269" t="str">
        <f t="shared" si="52"/>
        <v/>
      </c>
      <c r="EK24" s="269" t="str">
        <f t="shared" si="52"/>
        <v/>
      </c>
      <c r="EL24" s="269" t="str">
        <f t="shared" si="52"/>
        <v/>
      </c>
      <c r="EM24" s="269" t="str">
        <f t="shared" si="52"/>
        <v/>
      </c>
      <c r="EN24" s="269" t="str">
        <f t="shared" si="52"/>
        <v/>
      </c>
      <c r="EO24" s="269" t="str">
        <f t="shared" si="52"/>
        <v/>
      </c>
      <c r="EP24" s="269" t="str">
        <f t="shared" si="52"/>
        <v/>
      </c>
      <c r="EQ24" s="269" t="str">
        <f t="shared" si="52"/>
        <v/>
      </c>
      <c r="ER24" s="269" t="str">
        <f t="shared" si="52"/>
        <v/>
      </c>
      <c r="ES24" s="269" t="str">
        <f t="shared" si="52"/>
        <v/>
      </c>
      <c r="ET24" s="269" t="str">
        <f t="shared" si="52"/>
        <v/>
      </c>
      <c r="EU24" s="269" t="str">
        <f t="shared" si="52"/>
        <v/>
      </c>
      <c r="EV24" s="269" t="str">
        <f t="shared" si="52"/>
        <v/>
      </c>
      <c r="EX24" s="208"/>
      <c r="EY24" s="208"/>
      <c r="EZ24" s="208"/>
      <c r="FA24" s="208"/>
      <c r="FB24" s="208"/>
      <c r="FC24" s="208"/>
      <c r="FD24" s="208"/>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row>
    <row r="25">
      <c r="B25" s="199"/>
      <c r="D25" s="106"/>
      <c r="E25" s="448" t="s">
        <v>148</v>
      </c>
      <c r="U25" s="408"/>
      <c r="V25" s="408"/>
      <c r="W25" s="201"/>
      <c r="X25" s="449" t="s">
        <v>307</v>
      </c>
      <c r="Y25" s="444">
        <f t="shared" si="53"/>
        <v>0</v>
      </c>
      <c r="Z25" s="398" t="str">
        <f t="shared" si="54"/>
        <v/>
      </c>
      <c r="AA25" s="445">
        <f t="shared" si="55"/>
        <v>0</v>
      </c>
      <c r="AB25" s="446"/>
      <c r="AC25" s="212"/>
      <c r="AE25" s="203"/>
      <c r="AF25" s="204"/>
      <c r="AG25" s="450"/>
      <c r="AH25" s="451"/>
      <c r="AI25" s="414"/>
      <c r="AJ25" s="414"/>
      <c r="AK25" s="414"/>
      <c r="AL25" s="414"/>
      <c r="AM25" s="414"/>
      <c r="AN25" s="414"/>
      <c r="AO25" s="414"/>
      <c r="AP25" s="414"/>
      <c r="AQ25" s="414"/>
      <c r="AR25" s="414"/>
      <c r="AS25" s="414"/>
      <c r="AT25" s="414"/>
      <c r="AU25" s="414"/>
      <c r="AV25" s="414"/>
      <c r="AW25" s="414"/>
      <c r="AX25" s="414"/>
      <c r="AY25" s="391"/>
      <c r="AZ25" s="391"/>
      <c r="BA25" s="391"/>
      <c r="BB25" s="391"/>
      <c r="BC25" s="391"/>
      <c r="BD25" s="391"/>
      <c r="BE25" s="391"/>
      <c r="BF25" s="391"/>
      <c r="BG25" s="391"/>
      <c r="BH25" s="391"/>
      <c r="BI25" s="391"/>
      <c r="BJ25" s="391"/>
      <c r="BK25" s="391"/>
      <c r="BL25" s="391"/>
      <c r="BM25" s="391"/>
      <c r="BN25" s="391"/>
      <c r="BO25" s="391"/>
      <c r="BP25" s="391"/>
      <c r="BQ25" s="391"/>
      <c r="BR25" s="391"/>
      <c r="BS25" s="391"/>
      <c r="BT25" s="391"/>
      <c r="BU25" s="391"/>
      <c r="BV25" s="391"/>
      <c r="BW25" s="431"/>
      <c r="BZ25" s="452" t="s">
        <v>317</v>
      </c>
      <c r="CC25" s="417">
        <f t="shared" si="44"/>
        <v>10</v>
      </c>
      <c r="CD25" s="417">
        <f t="shared" si="45"/>
        <v>119</v>
      </c>
      <c r="CE25" s="418">
        <f t="shared" si="46"/>
        <v>0.4444444444</v>
      </c>
      <c r="CF25" s="419"/>
      <c r="CG25" s="418"/>
      <c r="CH25" s="289" t="str">
        <f t="array" ref="CH25">IF(NOT($D$37=17),IFERROR(INDIRECT("'Bloque "&amp;$D$38&amp;" Semana "&amp;"17"&amp;"'"&amp;"!"&amp;"E37"),""),"S17")</f>
        <v/>
      </c>
      <c r="CI25" s="316" t="str">
        <f t="shared" si="21"/>
        <v/>
      </c>
      <c r="CJ25" s="224" t="str">
        <f t="shared" si="22"/>
        <v/>
      </c>
      <c r="CK25" s="85" t="str">
        <f t="shared" si="23"/>
        <v/>
      </c>
      <c r="CL25" s="85" t="str">
        <f t="shared" si="30"/>
        <v/>
      </c>
      <c r="CM25" s="168" t="str">
        <f t="shared" si="24"/>
        <v/>
      </c>
      <c r="CN25" s="327" t="str">
        <f t="shared" si="31"/>
        <v/>
      </c>
      <c r="CO25" s="168" t="str">
        <f t="shared" si="25"/>
        <v/>
      </c>
      <c r="CP25" s="168" t="str">
        <f t="shared" si="26"/>
        <v/>
      </c>
      <c r="CQ25" s="294" t="str">
        <f t="shared" si="27"/>
        <v/>
      </c>
      <c r="CR25" s="328" t="str">
        <f t="shared" si="32"/>
        <v/>
      </c>
      <c r="CS25" s="212"/>
      <c r="CT25" s="319"/>
      <c r="DE25" s="4"/>
      <c r="DJ25" s="453" t="s">
        <v>105</v>
      </c>
      <c r="DK25" s="454" t="str">
        <f t="shared" ref="DK25:EB25" si="56">IFERROR(INDIRECT("'Bloque "&amp;$D$38&amp;" Semana "&amp;MID(DK15,2,2)&amp;"'"&amp;"!"&amp;"CE18"),"")</f>
        <v/>
      </c>
      <c r="DL25" s="454" t="str">
        <f t="shared" si="56"/>
        <v/>
      </c>
      <c r="DM25" s="454" t="str">
        <f t="shared" si="56"/>
        <v/>
      </c>
      <c r="DN25" s="454" t="str">
        <f t="shared" si="56"/>
        <v/>
      </c>
      <c r="DO25" s="454" t="str">
        <f t="shared" si="56"/>
        <v/>
      </c>
      <c r="DP25" s="454" t="str">
        <f t="shared" si="56"/>
        <v/>
      </c>
      <c r="DQ25" s="454" t="str">
        <f t="shared" si="56"/>
        <v/>
      </c>
      <c r="DR25" s="454" t="str">
        <f t="shared" si="56"/>
        <v/>
      </c>
      <c r="DS25" s="454" t="str">
        <f t="shared" si="56"/>
        <v/>
      </c>
      <c r="DT25" s="454" t="str">
        <f t="shared" si="56"/>
        <v/>
      </c>
      <c r="DU25" s="454" t="str">
        <f t="shared" si="56"/>
        <v/>
      </c>
      <c r="DV25" s="454" t="str">
        <f t="shared" si="56"/>
        <v/>
      </c>
      <c r="DW25" s="454" t="str">
        <f t="shared" si="56"/>
        <v/>
      </c>
      <c r="DX25" s="454" t="str">
        <f t="shared" si="56"/>
        <v/>
      </c>
      <c r="DY25" s="454" t="str">
        <f t="shared" si="56"/>
        <v/>
      </c>
      <c r="DZ25" s="454" t="str">
        <f t="shared" si="56"/>
        <v/>
      </c>
      <c r="EA25" s="454" t="str">
        <f t="shared" si="56"/>
        <v/>
      </c>
      <c r="EB25" s="454" t="str">
        <f t="shared" si="56"/>
        <v/>
      </c>
      <c r="ED25" s="120"/>
      <c r="EE25" s="269"/>
      <c r="EF25" s="269"/>
      <c r="EG25" s="269"/>
      <c r="EH25" s="269"/>
      <c r="EI25" s="269"/>
      <c r="EJ25" s="269"/>
      <c r="EK25" s="269"/>
      <c r="EL25" s="269"/>
      <c r="EM25" s="269"/>
      <c r="EN25" s="269"/>
      <c r="EO25" s="269"/>
      <c r="EP25" s="269"/>
      <c r="EQ25" s="269"/>
      <c r="ER25" s="269"/>
      <c r="ES25" s="269"/>
      <c r="ET25" s="269"/>
      <c r="EU25" s="269"/>
      <c r="EV25" s="269"/>
      <c r="EX25" s="208"/>
      <c r="EY25" s="208"/>
      <c r="EZ25" s="208"/>
      <c r="FA25" s="208"/>
      <c r="FB25" s="208"/>
      <c r="FC25" s="208"/>
      <c r="FD25" s="208"/>
      <c r="FE25" s="208"/>
      <c r="FF25" s="208"/>
      <c r="FG25" s="208"/>
      <c r="FH25" s="208"/>
      <c r="FI25" s="208"/>
      <c r="FJ25" s="208"/>
      <c r="FK25" s="208"/>
      <c r="FL25" s="208"/>
      <c r="FM25" s="208"/>
      <c r="FN25" s="208"/>
      <c r="FO25" s="208"/>
      <c r="FP25" s="208"/>
      <c r="FQ25" s="208"/>
      <c r="FR25" s="208"/>
      <c r="FS25" s="208"/>
      <c r="FT25" s="208"/>
      <c r="FU25" s="208"/>
      <c r="FV25" s="208"/>
      <c r="FW25" s="208"/>
      <c r="FX25" s="208"/>
      <c r="FY25" s="208"/>
      <c r="FZ25" s="208"/>
      <c r="GA25" s="208"/>
      <c r="GB25" s="208"/>
      <c r="GC25" s="208"/>
      <c r="GD25" s="208"/>
      <c r="GE25" s="208"/>
      <c r="GF25" s="208"/>
      <c r="GG25" s="208"/>
      <c r="GH25" s="208"/>
    </row>
    <row r="26">
      <c r="B26" s="199"/>
      <c r="D26" s="106"/>
      <c r="E26" s="455" t="s">
        <v>318</v>
      </c>
      <c r="T26" s="34"/>
      <c r="U26" s="208"/>
      <c r="W26" s="201"/>
      <c r="X26" s="456" t="s">
        <v>313</v>
      </c>
      <c r="Y26" s="444">
        <f t="shared" si="53"/>
        <v>7</v>
      </c>
      <c r="Z26" s="398">
        <f t="shared" si="54"/>
        <v>2</v>
      </c>
      <c r="AA26" s="445">
        <f t="shared" si="55"/>
        <v>70</v>
      </c>
      <c r="AB26" s="446"/>
      <c r="AC26" s="212"/>
      <c r="AE26" s="203"/>
      <c r="AF26" s="204"/>
      <c r="AG26" s="457"/>
      <c r="AH26" s="391"/>
      <c r="AI26" s="391"/>
      <c r="AJ26" s="391"/>
      <c r="AK26" s="391"/>
      <c r="AL26" s="391"/>
      <c r="AM26" s="412" t="s">
        <v>319</v>
      </c>
      <c r="BC26" s="391"/>
      <c r="BD26" s="391"/>
      <c r="BE26" s="391"/>
      <c r="BF26" s="458" t="s">
        <v>320</v>
      </c>
      <c r="BU26" s="391"/>
      <c r="BV26" s="391"/>
      <c r="BW26" s="431"/>
      <c r="BX26" s="106"/>
      <c r="BY26" s="106"/>
      <c r="BZ26" s="459" t="s">
        <v>321</v>
      </c>
      <c r="CC26" s="417">
        <f t="shared" si="44"/>
        <v>0</v>
      </c>
      <c r="CD26" s="417">
        <f t="shared" si="45"/>
        <v>0</v>
      </c>
      <c r="CE26" s="418" t="str">
        <f t="shared" si="46"/>
        <v/>
      </c>
      <c r="CF26" s="419"/>
      <c r="CG26" s="418"/>
      <c r="CH26" s="460" t="str">
        <f t="array" ref="CH26">IF(NOT($D$37=18),IFERROR(INDIRECT("'Bloque "&amp;$D$38&amp;" Semana "&amp;"18"&amp;"'"&amp;"!"&amp;"E37"),""),"S18")</f>
        <v/>
      </c>
      <c r="CI26" s="461" t="str">
        <f t="shared" si="21"/>
        <v/>
      </c>
      <c r="CJ26" s="462" t="str">
        <f t="shared" si="22"/>
        <v/>
      </c>
      <c r="CK26" s="463" t="str">
        <f t="shared" si="23"/>
        <v/>
      </c>
      <c r="CL26" s="463" t="str">
        <f t="shared" si="30"/>
        <v/>
      </c>
      <c r="CM26" s="464" t="str">
        <f t="shared" si="24"/>
        <v/>
      </c>
      <c r="CN26" s="465" t="str">
        <f t="shared" si="31"/>
        <v/>
      </c>
      <c r="CO26" s="464" t="str">
        <f t="shared" si="25"/>
        <v/>
      </c>
      <c r="CP26" s="464" t="str">
        <f t="shared" si="26"/>
        <v/>
      </c>
      <c r="CQ26" s="466" t="str">
        <f t="shared" si="27"/>
        <v/>
      </c>
      <c r="CR26" s="467" t="str">
        <f t="shared" si="32"/>
        <v/>
      </c>
      <c r="CS26" s="468"/>
      <c r="CT26" s="469"/>
      <c r="DE26" s="4"/>
      <c r="DJ26" s="144" t="s">
        <v>166</v>
      </c>
      <c r="DK26" s="108"/>
      <c r="DL26" s="108"/>
      <c r="DM26" s="108"/>
      <c r="DN26" s="108"/>
      <c r="DO26" s="108"/>
      <c r="DP26" s="108"/>
      <c r="DQ26" s="108"/>
      <c r="DR26" s="108"/>
      <c r="DS26" s="108"/>
      <c r="DT26" s="108"/>
      <c r="DU26" s="108"/>
      <c r="DV26" s="108"/>
      <c r="DW26" s="108"/>
      <c r="DX26" s="108"/>
      <c r="DY26" s="108"/>
      <c r="DZ26" s="108"/>
      <c r="EA26" s="108"/>
      <c r="EB26" s="108"/>
      <c r="ED26" s="120"/>
      <c r="EE26" s="269"/>
      <c r="EF26" s="269"/>
      <c r="EG26" s="269"/>
      <c r="EH26" s="269"/>
      <c r="EI26" s="269"/>
      <c r="EJ26" s="269"/>
      <c r="EK26" s="269"/>
      <c r="EL26" s="269"/>
      <c r="EM26" s="269"/>
      <c r="EN26" s="269"/>
      <c r="EO26" s="269"/>
      <c r="EP26" s="269"/>
      <c r="EQ26" s="269"/>
      <c r="ER26" s="269"/>
      <c r="ES26" s="269"/>
      <c r="ET26" s="269"/>
      <c r="EU26" s="269"/>
      <c r="EV26" s="269"/>
      <c r="EX26" s="208"/>
      <c r="EY26" s="208"/>
      <c r="EZ26" s="208"/>
      <c r="FA26" s="208"/>
      <c r="FB26" s="208"/>
      <c r="FC26" s="208"/>
      <c r="FD26" s="208"/>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row>
    <row r="27">
      <c r="B27" s="199"/>
      <c r="E27" s="470" t="s">
        <v>265</v>
      </c>
      <c r="F27" s="471" t="s">
        <v>267</v>
      </c>
      <c r="G27" s="37"/>
      <c r="H27" s="37"/>
      <c r="I27" s="37"/>
      <c r="J27" s="471"/>
      <c r="K27" s="471" t="s">
        <v>269</v>
      </c>
      <c r="L27" s="37"/>
      <c r="M27" s="37"/>
      <c r="N27" s="471" t="s">
        <v>271</v>
      </c>
      <c r="O27" s="37"/>
      <c r="P27" s="37"/>
      <c r="Q27" s="37"/>
      <c r="R27" s="471" t="s">
        <v>273</v>
      </c>
      <c r="S27" s="471" t="s">
        <v>275</v>
      </c>
      <c r="T27" s="472" t="s">
        <v>277</v>
      </c>
      <c r="U27" s="208"/>
      <c r="V27" s="106"/>
      <c r="W27" s="201"/>
      <c r="X27" s="473" t="s">
        <v>316</v>
      </c>
      <c r="Y27" s="444">
        <f t="shared" si="53"/>
        <v>4</v>
      </c>
      <c r="Z27" s="398">
        <f t="shared" si="54"/>
        <v>2</v>
      </c>
      <c r="AA27" s="445">
        <f t="shared" si="55"/>
        <v>24</v>
      </c>
      <c r="AB27" s="446"/>
      <c r="AC27" s="212"/>
      <c r="AE27" s="203"/>
      <c r="AF27" s="204"/>
      <c r="AG27" s="474"/>
      <c r="AH27" s="391"/>
      <c r="AI27" s="391"/>
      <c r="AJ27" s="391"/>
      <c r="AK27" s="391"/>
      <c r="AL27" s="391"/>
      <c r="AM27" s="475"/>
      <c r="BC27" s="391"/>
      <c r="BD27" s="391"/>
      <c r="BE27" s="391"/>
      <c r="BF27" s="476"/>
      <c r="BU27" s="391"/>
      <c r="BV27" s="391"/>
      <c r="BW27" s="431"/>
      <c r="BZ27" s="477" t="s">
        <v>312</v>
      </c>
      <c r="CC27" s="417">
        <f t="shared" si="44"/>
        <v>0</v>
      </c>
      <c r="CD27" s="417">
        <f t="shared" si="45"/>
        <v>0</v>
      </c>
      <c r="CE27" s="418" t="str">
        <f t="shared" si="46"/>
        <v/>
      </c>
      <c r="CF27" s="419"/>
      <c r="CG27" s="418"/>
      <c r="CH27" s="83" t="s">
        <v>251</v>
      </c>
      <c r="CI27" s="290" t="s">
        <v>322</v>
      </c>
      <c r="CJ27" s="290" t="s">
        <v>323</v>
      </c>
      <c r="CK27" s="478"/>
      <c r="CL27" s="479"/>
      <c r="CM27" s="479"/>
      <c r="CN27" s="479"/>
      <c r="CO27" s="479"/>
      <c r="CP27" s="479"/>
      <c r="CT27" s="330"/>
      <c r="DE27" s="4"/>
      <c r="DJ27" s="83"/>
      <c r="DK27" s="227" t="str">
        <f t="array" ref="DK27">IF(NOT($D$37=1),IFERROR(INDIRECT("'Bloque "&amp;$D$38&amp;" Semana "&amp;"1"&amp;"'"&amp;"!"&amp;"E37"),""),"S1")</f>
        <v>S1</v>
      </c>
      <c r="DL27" s="227" t="str">
        <f t="array" ref="DL27">IF(NOT($D$37=2),IFERROR(INDIRECT("'Bloque "&amp;$D$38&amp;" Semana "&amp;"2"&amp;"'"&amp;"!"&amp;"E37"),""),"S2")</f>
        <v/>
      </c>
      <c r="DM27" s="227" t="str">
        <f t="array" ref="DM27">IF(NOT($D$37=3),IFERROR(INDIRECT("'Bloque "&amp;$D$38&amp;" Semana "&amp;"3"&amp;"'"&amp;"!"&amp;"E37"),""),"S3")</f>
        <v/>
      </c>
      <c r="DN27" s="227" t="str">
        <f t="array" ref="DN27">IF(NOT($D$37=4),IFERROR(INDIRECT("'Bloque "&amp;$D$38&amp;" Semana "&amp;"4"&amp;"'"&amp;"!"&amp;"E37"),""),"S4")</f>
        <v/>
      </c>
      <c r="DO27" s="227" t="str">
        <f t="array" ref="DO27">IF(NOT($D$37=5),IFERROR(INDIRECT("'Bloque "&amp;$D$38&amp;" Semana "&amp;"5"&amp;"'"&amp;"!"&amp;"E37"),""),"S5")</f>
        <v/>
      </c>
      <c r="DP27" s="227" t="str">
        <f t="array" ref="DP27">IF(NOT($D$37=6),IFERROR(INDIRECT("'Bloque "&amp;$D$38&amp;" Semana "&amp;"6"&amp;"'"&amp;"!"&amp;"E37"),""),"S6")</f>
        <v/>
      </c>
      <c r="DQ27" s="227" t="str">
        <f t="array" ref="DQ27">IF(NOT($D$37=7),IFERROR(INDIRECT("'Bloque "&amp;$D$38&amp;" Semana "&amp;"7"&amp;"'"&amp;"!"&amp;"E37"),""),"S7")</f>
        <v/>
      </c>
      <c r="DR27" s="227" t="str">
        <f t="array" ref="DR27">IF(NOT($D$37=8),IFERROR(INDIRECT("'Bloque "&amp;$D$38&amp;" Semana "&amp;"8"&amp;"'"&amp;"!"&amp;"E37"),""),"S8")</f>
        <v/>
      </c>
      <c r="DS27" s="227" t="str">
        <f t="array" ref="DS27">IF(NOT($D$37=9),IFERROR(INDIRECT("'Bloque "&amp;$D$38&amp;" Semana "&amp;"9"&amp;"'"&amp;"!"&amp;"E37"),""),"S9")</f>
        <v/>
      </c>
      <c r="DT27" s="227" t="str">
        <f t="array" ref="DT27">IF(NOT($D$37=10),IFERROR(INDIRECT("'Bloque "&amp;$D$38&amp;" Semana "&amp;"10"&amp;"'"&amp;"!"&amp;"E37"),""),"S10")</f>
        <v/>
      </c>
      <c r="DU27" s="227" t="str">
        <f t="array" ref="DU27">IF(NOT($D$37=11),IFERROR(INDIRECT("'Bloque "&amp;$D$38&amp;" Semana "&amp;"11"&amp;"'"&amp;"!"&amp;"E37"),""),"S11")</f>
        <v/>
      </c>
      <c r="DV27" s="227" t="str">
        <f t="array" ref="DV27">IF(NOT($D$37=12),IFERROR(INDIRECT("'Bloque "&amp;$D$38&amp;" Semana "&amp;"12"&amp;"'"&amp;"!"&amp;"E37"),""),"S12")</f>
        <v/>
      </c>
      <c r="DW27" s="227" t="str">
        <f t="array" ref="DW27">IF(NOT($D$37=13),IFERROR(INDIRECT("'Bloque "&amp;$D$38&amp;" Semana "&amp;"13"&amp;"'"&amp;"!"&amp;"E37"),""),"S13")</f>
        <v/>
      </c>
      <c r="DX27" s="227" t="str">
        <f t="array" ref="DX27">IF(NOT($D$37=14),IFERROR(INDIRECT("'Bloque "&amp;$D$38&amp;" Semana "&amp;"14"&amp;"'"&amp;"!"&amp;"E37"),""),"S14")</f>
        <v/>
      </c>
      <c r="DY27" s="227" t="str">
        <f t="array" ref="DY27">IF(NOT($D$37=15),IFERROR(INDIRECT("'Bloque "&amp;$D$38&amp;" Semana "&amp;"15"&amp;"'"&amp;"!"&amp;"E37"),""),"S15")</f>
        <v/>
      </c>
      <c r="DZ27" s="227" t="str">
        <f t="array" ref="DZ27">IF(NOT($D$37=16),IFERROR(INDIRECT("'Bloque "&amp;$D$38&amp;" Semana "&amp;"16"&amp;"'"&amp;"!"&amp;"E37"),""),"S16")</f>
        <v/>
      </c>
      <c r="EA27" s="227" t="str">
        <f t="array" ref="EA27">IF(NOT($D$37=17),IFERROR(INDIRECT("'Bloque "&amp;$D$38&amp;" Semana "&amp;"17"&amp;"'"&amp;"!"&amp;"E37"),""),"S17")</f>
        <v/>
      </c>
      <c r="EB27" s="227" t="str">
        <f t="array" ref="EB27">IF(NOT($D$37=18),IFERROR(INDIRECT("'Bloque "&amp;$D$38&amp;" Semana "&amp;"18"&amp;"'"&amp;"!"&amp;"E37"),""),"S18")</f>
        <v/>
      </c>
      <c r="ED27" s="120"/>
      <c r="EE27" s="269"/>
      <c r="EF27" s="269"/>
      <c r="EG27" s="269"/>
      <c r="EH27" s="269"/>
      <c r="EI27" s="269"/>
      <c r="EJ27" s="269"/>
      <c r="EK27" s="269"/>
      <c r="EL27" s="269"/>
      <c r="EM27" s="269"/>
      <c r="EN27" s="269"/>
      <c r="EO27" s="269"/>
      <c r="EP27" s="269"/>
      <c r="EQ27" s="269"/>
      <c r="ER27" s="269"/>
      <c r="ES27" s="269"/>
      <c r="ET27" s="269"/>
      <c r="EU27" s="269"/>
      <c r="EV27" s="269"/>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row>
    <row r="28">
      <c r="B28" s="199"/>
      <c r="D28" s="106"/>
      <c r="E28" s="480" t="str">
        <f t="array" ref="E28">SUBSTITUTE(TEXTJOIN(CHAR(10),TRUE,IFERROR(INDIRECT("AF"&amp;MATCH("Día 1",B:B,0)+1&amp;":AF"&amp;MATCH("Día 2",B:B,0)-1),"")),".",";") </f>
        <v>SQ pausa ct3: 3 x 5 x 120 kg 
DL deficit 4cm: 3 x 5 x 140 kg 
KTB swing: 4 x 12 x  kg RIR 2 
Extension cuadriceps : 3 x 12 x  kg RIR 2 
Plate crunch: 3 x 15 x  kg RIR 2 </v>
      </c>
      <c r="F28" s="481" t="str">
        <f t="array" ref="F28">SUBSTITUTE(TEXTJOIN(CHAR(10),TRUE,IFERROR(INDIRECT("AF"&amp;MATCH("Día 2",B:B,0)+1&amp;":AF"&amp;MATCH("Día 3",B:B,0)-1),"")),".",";") </f>
        <v>BP Kodama: 4 x 4 x 85 kg 
Fondos : 3 x 10 x  kg RIR 2-3 
Dominadas: 3 x 8 x  kg RIR 2 
Remo con barra: 3 x 10 x  kg RIR 2 
Arnold press: 3 x 15 x  kg RIR 2 
Press frances mancuerna: 3 x 15 x  kg RIR 2 </v>
      </c>
      <c r="I28" s="482"/>
      <c r="J28" s="481" t="str">
        <f t="array" ref="J28">SUBSTITUTE(TEXTJOIN(CHAR(10),TRUE,IFERROR(INDIRECT("AF"&amp;MATCH("Día 3",B:B,0)+1&amp;":AF"&amp;MATCH("Día 4",B:B,0)-1),"")),".",";") </f>
        <v/>
      </c>
      <c r="M28" s="482"/>
      <c r="N28" s="481" t="str">
        <f t="array" ref="N28">SUBSTITUTE(TEXTJOIN(CHAR(10),TRUE,IFERROR(INDIRECT("AF"&amp;MATCH("Día 4",B:B,0)+1&amp;":AF"&amp;MATCH("Día 5",B:B,0)-1),"")),".",";") </f>
        <v>BP : 4 x 4 x 90 kg 
Floor press cg: 4 x 10 x  kg RIR 2-3 
Press militar sentado : 4 x 6 x  kg RIR 2-3 
Bench pisol sq : 3 x 15 x  kg RIR 2-3 
Pajaro polea baja : 3 x 12 x  kg RIR 1-2 </v>
      </c>
      <c r="Q28" s="482"/>
      <c r="R28" s="483" t="str">
        <f t="array" ref="R28">SUBSTITUTE(TEXTJOIN(CHAR(10),TRUE,IFERROR(INDIRECT("AF"&amp;MATCH("Día 5",B:B,0)+1&amp;":AF"&amp;MATCH("Día 6",B:B,0)-1),"")),".",";") </f>
        <v>SQ : 4 x 4 x 160 kg 
BP larsen: 3 x 5 x 80 kg 
DL : 4 x 4 x 200 kg 
aductor en paquina : 4 x 12 x  kg RIR 1-2 
Plancha de gluteo : 3 x 20s x  kg RIR 1-2 </v>
      </c>
      <c r="S28" s="484" t="str">
        <f t="array" ref="S28">SUBSTITUTE(TEXTJOIN(CHAR(10),TRUE,IFERROR(INDIRECT("AF"&amp;MATCH("Día 6",B:B,0)+1&amp;":AF"&amp;MATCH("Día 7",B:B,0)-1),"")),".",";") </f>
        <v/>
      </c>
      <c r="T28" s="485" t="str">
        <f t="array" ref="T28">SUBSTITUTE(TEXTJOIN(CHAR(10),TRUE,IFERROR(INDIRECT("AF"&amp;MATCH("Día 7",B:B,0)+1&amp;":AF"&amp;MATCH("Día 8",B:B,0)-1),"")),".",";") </f>
        <v/>
      </c>
      <c r="V28" s="106"/>
      <c r="W28" s="338"/>
      <c r="X28" s="486" t="s">
        <v>317</v>
      </c>
      <c r="Y28" s="444">
        <f t="shared" si="53"/>
        <v>9</v>
      </c>
      <c r="Z28" s="398">
        <f t="shared" si="54"/>
        <v>2</v>
      </c>
      <c r="AA28" s="445">
        <f t="shared" si="55"/>
        <v>99</v>
      </c>
      <c r="AB28" s="446"/>
      <c r="AC28" s="224"/>
      <c r="AE28" s="487"/>
      <c r="AF28" s="291"/>
      <c r="AG28" s="474"/>
      <c r="AH28" s="391"/>
      <c r="AI28" s="391"/>
      <c r="AJ28" s="391"/>
      <c r="AK28" s="391"/>
      <c r="AL28" s="391"/>
      <c r="AM28" s="412" t="s">
        <v>324</v>
      </c>
      <c r="BC28" s="391"/>
      <c r="BD28" s="391"/>
      <c r="BE28" s="391"/>
      <c r="BF28" s="412" t="s">
        <v>325</v>
      </c>
      <c r="BU28" s="391"/>
      <c r="BV28" s="391"/>
      <c r="BW28" s="431"/>
      <c r="BZ28" s="477" t="s">
        <v>301</v>
      </c>
      <c r="CC28" s="417">
        <f t="shared" si="44"/>
        <v>0</v>
      </c>
      <c r="CD28" s="417">
        <f t="shared" si="45"/>
        <v>0</v>
      </c>
      <c r="CE28" s="418" t="str">
        <f t="shared" si="46"/>
        <v/>
      </c>
      <c r="CF28" s="419"/>
      <c r="CG28" s="418"/>
      <c r="CH28" s="488" t="str">
        <f>IFERROR( AVERAGE(CM9:CM26),"")</f>
        <v/>
      </c>
      <c r="CI28" s="489">
        <f>SUM(CL9:CL26)</f>
        <v>0</v>
      </c>
      <c r="CJ28" s="490">
        <f>SUM(CN9:CN26)</f>
        <v>0</v>
      </c>
      <c r="CK28" s="120"/>
      <c r="CT28" s="330"/>
      <c r="DE28" s="4"/>
      <c r="DJ28" s="120" t="s">
        <v>194</v>
      </c>
      <c r="DK28" s="231" t="str">
        <f t="shared" ref="DK28:EB28" si="57">IFERROR(INDIRECT("'Bloque "&amp;$D$38&amp;" Semana "&amp;MID(DK15,2,2)&amp;"'"&amp;"!"&amp;"AK17"),"")</f>
        <v/>
      </c>
      <c r="DL28" s="231" t="str">
        <f t="shared" si="57"/>
        <v/>
      </c>
      <c r="DM28" s="231" t="str">
        <f t="shared" si="57"/>
        <v/>
      </c>
      <c r="DN28" s="231" t="str">
        <f t="shared" si="57"/>
        <v/>
      </c>
      <c r="DO28" s="231" t="str">
        <f t="shared" si="57"/>
        <v/>
      </c>
      <c r="DP28" s="231" t="str">
        <f t="shared" si="57"/>
        <v/>
      </c>
      <c r="DQ28" s="231" t="str">
        <f t="shared" si="57"/>
        <v/>
      </c>
      <c r="DR28" s="231" t="str">
        <f t="shared" si="57"/>
        <v/>
      </c>
      <c r="DS28" s="231" t="str">
        <f t="shared" si="57"/>
        <v/>
      </c>
      <c r="DT28" s="231" t="str">
        <f t="shared" si="57"/>
        <v/>
      </c>
      <c r="DU28" s="231" t="str">
        <f t="shared" si="57"/>
        <v/>
      </c>
      <c r="DV28" s="231" t="str">
        <f t="shared" si="57"/>
        <v/>
      </c>
      <c r="DW28" s="231" t="str">
        <f t="shared" si="57"/>
        <v/>
      </c>
      <c r="DX28" s="231" t="str">
        <f t="shared" si="57"/>
        <v/>
      </c>
      <c r="DY28" s="231" t="str">
        <f t="shared" si="57"/>
        <v/>
      </c>
      <c r="DZ28" s="231" t="str">
        <f t="shared" si="57"/>
        <v/>
      </c>
      <c r="EA28" s="231" t="str">
        <f t="shared" si="57"/>
        <v/>
      </c>
      <c r="EB28" s="231" t="str">
        <f t="shared" si="57"/>
        <v/>
      </c>
      <c r="ED28" s="120"/>
      <c r="EE28" s="269"/>
      <c r="EF28" s="269"/>
      <c r="EG28" s="269"/>
      <c r="EH28" s="269"/>
      <c r="EI28" s="269"/>
      <c r="EJ28" s="269"/>
      <c r="EK28" s="269"/>
      <c r="EL28" s="269"/>
      <c r="EM28" s="269"/>
      <c r="EN28" s="269"/>
      <c r="EO28" s="269"/>
      <c r="EP28" s="269"/>
      <c r="EQ28" s="269"/>
      <c r="ER28" s="269"/>
      <c r="ES28" s="269"/>
      <c r="ET28" s="269"/>
      <c r="EU28" s="269"/>
      <c r="EV28" s="269"/>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row>
    <row r="29">
      <c r="B29" s="199"/>
      <c r="D29" s="106"/>
      <c r="E29" s="491"/>
      <c r="I29" s="482"/>
      <c r="M29" s="482"/>
      <c r="Q29" s="482"/>
      <c r="R29" s="482"/>
      <c r="S29" s="482"/>
      <c r="T29" s="492"/>
      <c r="U29" s="106"/>
      <c r="V29" s="106"/>
      <c r="W29" s="338"/>
      <c r="X29" s="493" t="s">
        <v>321</v>
      </c>
      <c r="Y29" s="444">
        <f t="shared" si="53"/>
        <v>0</v>
      </c>
      <c r="Z29" s="398" t="str">
        <f t="shared" si="54"/>
        <v/>
      </c>
      <c r="AA29" s="445">
        <f t="shared" si="55"/>
        <v>0</v>
      </c>
      <c r="AB29" s="446"/>
      <c r="AC29" s="224"/>
      <c r="AE29" s="487"/>
      <c r="AF29" s="291"/>
      <c r="AG29" s="474"/>
      <c r="AH29" s="391"/>
      <c r="AI29" s="391"/>
      <c r="AJ29" s="391"/>
      <c r="AK29" s="391"/>
      <c r="AL29" s="391"/>
      <c r="AM29" s="475"/>
      <c r="BC29" s="391"/>
      <c r="BD29" s="391"/>
      <c r="BE29" s="391"/>
      <c r="BF29" s="475"/>
      <c r="BU29" s="391"/>
      <c r="BV29" s="391"/>
      <c r="BW29" s="431"/>
      <c r="BZ29" s="477" t="s">
        <v>326</v>
      </c>
      <c r="CC29" s="417">
        <f t="shared" si="44"/>
        <v>3</v>
      </c>
      <c r="CD29" s="417">
        <f t="shared" si="45"/>
        <v>48</v>
      </c>
      <c r="CE29" s="418">
        <f t="shared" si="46"/>
        <v>0</v>
      </c>
      <c r="CF29" s="419"/>
      <c r="CG29" s="418"/>
      <c r="CK29" s="120"/>
      <c r="CT29" s="330"/>
      <c r="DE29" s="4"/>
      <c r="DJ29" s="120" t="s">
        <v>195</v>
      </c>
      <c r="DK29" s="494" t="str">
        <f t="shared" ref="DK29:EB29" si="58">IFERROR(INDIRECT("'Bloque "&amp;$D$38&amp;" Semana "&amp;MID(DK15,2,2)&amp;"'"&amp;"!"&amp;"BI16"),"")</f>
        <v/>
      </c>
      <c r="DL29" s="494" t="str">
        <f t="shared" si="58"/>
        <v/>
      </c>
      <c r="DM29" s="494" t="str">
        <f t="shared" si="58"/>
        <v/>
      </c>
      <c r="DN29" s="494" t="str">
        <f t="shared" si="58"/>
        <v/>
      </c>
      <c r="DO29" s="494" t="str">
        <f t="shared" si="58"/>
        <v/>
      </c>
      <c r="DP29" s="494" t="str">
        <f t="shared" si="58"/>
        <v/>
      </c>
      <c r="DQ29" s="494" t="str">
        <f t="shared" si="58"/>
        <v/>
      </c>
      <c r="DR29" s="494" t="str">
        <f t="shared" si="58"/>
        <v/>
      </c>
      <c r="DS29" s="494" t="str">
        <f t="shared" si="58"/>
        <v/>
      </c>
      <c r="DT29" s="494" t="str">
        <f t="shared" si="58"/>
        <v/>
      </c>
      <c r="DU29" s="494" t="str">
        <f t="shared" si="58"/>
        <v/>
      </c>
      <c r="DV29" s="494" t="str">
        <f t="shared" si="58"/>
        <v/>
      </c>
      <c r="DW29" s="494" t="str">
        <f t="shared" si="58"/>
        <v/>
      </c>
      <c r="DX29" s="494" t="str">
        <f t="shared" si="58"/>
        <v/>
      </c>
      <c r="DY29" s="494" t="str">
        <f t="shared" si="58"/>
        <v/>
      </c>
      <c r="DZ29" s="494" t="str">
        <f t="shared" si="58"/>
        <v/>
      </c>
      <c r="EA29" s="494" t="str">
        <f t="shared" si="58"/>
        <v/>
      </c>
      <c r="EB29" s="494" t="str">
        <f t="shared" si="58"/>
        <v/>
      </c>
      <c r="ED29" s="120"/>
      <c r="EE29" s="269"/>
      <c r="EF29" s="269"/>
      <c r="EG29" s="269"/>
      <c r="EH29" s="269"/>
      <c r="EI29" s="269"/>
      <c r="EJ29" s="269"/>
      <c r="EK29" s="269"/>
      <c r="EL29" s="269"/>
      <c r="EM29" s="269"/>
      <c r="EN29" s="269"/>
      <c r="EO29" s="269"/>
      <c r="EP29" s="269"/>
      <c r="EQ29" s="269"/>
      <c r="ER29" s="269"/>
      <c r="ES29" s="269"/>
      <c r="ET29" s="269"/>
      <c r="EU29" s="269"/>
      <c r="EV29" s="269"/>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row>
    <row r="30">
      <c r="B30" s="199"/>
      <c r="D30" s="106"/>
      <c r="E30" s="491"/>
      <c r="I30" s="482"/>
      <c r="M30" s="482"/>
      <c r="Q30" s="482"/>
      <c r="R30" s="482"/>
      <c r="S30" s="482"/>
      <c r="T30" s="492"/>
      <c r="U30" s="106"/>
      <c r="V30" s="106"/>
      <c r="W30" s="338"/>
      <c r="X30" s="156" t="s">
        <v>312</v>
      </c>
      <c r="Y30" s="444">
        <f t="shared" si="53"/>
        <v>0</v>
      </c>
      <c r="Z30" s="398" t="str">
        <f t="shared" si="54"/>
        <v/>
      </c>
      <c r="AA30" s="445">
        <f t="shared" si="55"/>
        <v>0</v>
      </c>
      <c r="AB30" s="446"/>
      <c r="AC30" s="224"/>
      <c r="AE30" s="487"/>
      <c r="AF30" s="291"/>
      <c r="AG30" s="474"/>
      <c r="AH30" s="391"/>
      <c r="AI30" s="391"/>
      <c r="AJ30" s="391"/>
      <c r="AK30" s="391"/>
      <c r="AL30" s="391"/>
      <c r="AM30" s="412" t="s">
        <v>327</v>
      </c>
      <c r="BC30" s="391"/>
      <c r="BD30" s="391"/>
      <c r="BE30" s="391"/>
      <c r="BF30" s="412" t="s">
        <v>328</v>
      </c>
      <c r="BU30" s="391"/>
      <c r="BV30" s="391"/>
      <c r="BW30" s="431"/>
      <c r="BZ30" s="477" t="s">
        <v>329</v>
      </c>
      <c r="CC30" s="417">
        <f t="shared" si="44"/>
        <v>0</v>
      </c>
      <c r="CD30" s="417">
        <f t="shared" si="45"/>
        <v>0</v>
      </c>
      <c r="CE30" s="418" t="str">
        <f t="shared" si="46"/>
        <v/>
      </c>
      <c r="CF30" s="419"/>
      <c r="CG30" s="418"/>
      <c r="CH30" s="418"/>
      <c r="CK30" s="495"/>
      <c r="CT30" s="330"/>
      <c r="DJ30" s="83" t="s">
        <v>196</v>
      </c>
      <c r="DK30" s="496" t="str">
        <f t="shared" ref="DK30:EB30" si="59">IFERROR(INDIRECT("'Bloque "&amp;$D$38&amp;" Semana "&amp;MID(DK15,2,2)&amp;"'"&amp;"!"&amp;"BM16"),"")</f>
        <v/>
      </c>
      <c r="DL30" s="496" t="str">
        <f t="shared" si="59"/>
        <v/>
      </c>
      <c r="DM30" s="496" t="str">
        <f t="shared" si="59"/>
        <v/>
      </c>
      <c r="DN30" s="496" t="str">
        <f t="shared" si="59"/>
        <v/>
      </c>
      <c r="DO30" s="496" t="str">
        <f t="shared" si="59"/>
        <v/>
      </c>
      <c r="DP30" s="496" t="str">
        <f t="shared" si="59"/>
        <v/>
      </c>
      <c r="DQ30" s="496" t="str">
        <f t="shared" si="59"/>
        <v/>
      </c>
      <c r="DR30" s="496" t="str">
        <f t="shared" si="59"/>
        <v/>
      </c>
      <c r="DS30" s="496" t="str">
        <f t="shared" si="59"/>
        <v/>
      </c>
      <c r="DT30" s="496" t="str">
        <f t="shared" si="59"/>
        <v/>
      </c>
      <c r="DU30" s="496" t="str">
        <f t="shared" si="59"/>
        <v/>
      </c>
      <c r="DV30" s="496" t="str">
        <f t="shared" si="59"/>
        <v/>
      </c>
      <c r="DW30" s="496" t="str">
        <f t="shared" si="59"/>
        <v/>
      </c>
      <c r="DX30" s="496" t="str">
        <f t="shared" si="59"/>
        <v/>
      </c>
      <c r="DY30" s="496" t="str">
        <f t="shared" si="59"/>
        <v/>
      </c>
      <c r="DZ30" s="496" t="str">
        <f t="shared" si="59"/>
        <v/>
      </c>
      <c r="EA30" s="496" t="str">
        <f t="shared" si="59"/>
        <v/>
      </c>
      <c r="EB30" s="496" t="str">
        <f t="shared" si="59"/>
        <v/>
      </c>
      <c r="ED30" s="120"/>
      <c r="EE30" s="269"/>
      <c r="EF30" s="269"/>
      <c r="EG30" s="269"/>
      <c r="EH30" s="269"/>
      <c r="EI30" s="269"/>
      <c r="EJ30" s="269"/>
      <c r="EK30" s="269"/>
      <c r="EL30" s="269"/>
      <c r="EM30" s="269"/>
      <c r="EN30" s="269"/>
      <c r="EO30" s="269"/>
      <c r="EP30" s="269"/>
      <c r="EQ30" s="269"/>
      <c r="ER30" s="269"/>
      <c r="ES30" s="269"/>
      <c r="ET30" s="269"/>
      <c r="EU30" s="269"/>
      <c r="EV30" s="269"/>
      <c r="EX30" s="208"/>
      <c r="EY30" s="208"/>
      <c r="EZ30" s="208"/>
      <c r="FA30" s="208"/>
      <c r="FB30" s="208"/>
      <c r="FC30" s="208"/>
      <c r="FD30" s="208"/>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row>
    <row r="31">
      <c r="B31" s="199"/>
      <c r="E31" s="491"/>
      <c r="I31" s="482"/>
      <c r="M31" s="482"/>
      <c r="Q31" s="482"/>
      <c r="R31" s="482"/>
      <c r="S31" s="482"/>
      <c r="T31" s="492"/>
      <c r="U31" s="106"/>
      <c r="V31" s="106"/>
      <c r="W31" s="338"/>
      <c r="X31" s="156" t="s">
        <v>301</v>
      </c>
      <c r="Y31" s="444">
        <f t="shared" si="53"/>
        <v>3</v>
      </c>
      <c r="Z31" s="398">
        <f t="shared" si="54"/>
        <v>1</v>
      </c>
      <c r="AA31" s="445">
        <f t="shared" si="55"/>
        <v>36</v>
      </c>
      <c r="AB31" s="446"/>
      <c r="AC31" s="224"/>
      <c r="AE31" s="487"/>
      <c r="AF31" s="291"/>
      <c r="AG31" s="474"/>
      <c r="AH31" s="391"/>
      <c r="AI31" s="391"/>
      <c r="AJ31" s="391"/>
      <c r="AK31" s="391"/>
      <c r="AL31" s="391"/>
      <c r="AM31" s="475"/>
      <c r="BC31" s="391"/>
      <c r="BD31" s="391"/>
      <c r="BE31" s="391"/>
      <c r="BF31" s="475"/>
      <c r="BU31" s="391"/>
      <c r="BV31" s="391"/>
      <c r="BW31" s="431"/>
      <c r="BZ31" s="477" t="s">
        <v>330</v>
      </c>
      <c r="CC31" s="417">
        <f t="shared" si="44"/>
        <v>0</v>
      </c>
      <c r="CD31" s="417">
        <f t="shared" si="45"/>
        <v>0</v>
      </c>
      <c r="CE31" s="418" t="str">
        <f t="shared" si="46"/>
        <v/>
      </c>
      <c r="CF31" s="419"/>
      <c r="CG31" s="418"/>
      <c r="CH31" s="418"/>
      <c r="CK31" s="83"/>
      <c r="CT31" s="330"/>
      <c r="EX31" s="208"/>
      <c r="EY31" s="208"/>
      <c r="EZ31" s="208"/>
      <c r="FA31" s="208"/>
      <c r="FB31" s="208"/>
      <c r="FC31" s="208"/>
      <c r="FD31" s="208"/>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row>
    <row r="32">
      <c r="B32" s="199"/>
      <c r="E32" s="491"/>
      <c r="I32" s="482"/>
      <c r="M32" s="482"/>
      <c r="Q32" s="482"/>
      <c r="R32" s="482"/>
      <c r="S32" s="482"/>
      <c r="T32" s="492"/>
      <c r="V32" s="106"/>
      <c r="W32" s="338"/>
      <c r="X32" s="156" t="s">
        <v>326</v>
      </c>
      <c r="Y32" s="444">
        <f t="shared" si="53"/>
        <v>3</v>
      </c>
      <c r="Z32" s="398">
        <f t="shared" si="54"/>
        <v>2</v>
      </c>
      <c r="AA32" s="445">
        <f t="shared" si="55"/>
        <v>45</v>
      </c>
      <c r="AB32" s="446"/>
      <c r="AC32" s="224"/>
      <c r="AE32" s="487"/>
      <c r="AF32" s="291"/>
      <c r="AG32" s="497"/>
      <c r="AH32" s="391"/>
      <c r="AI32" s="391"/>
      <c r="AJ32" s="391"/>
      <c r="AK32" s="391"/>
      <c r="AL32" s="391"/>
      <c r="AM32" s="498" t="s">
        <v>331</v>
      </c>
      <c r="BU32" s="391"/>
      <c r="BV32" s="391"/>
      <c r="BW32" s="431"/>
      <c r="BZ32" s="477" t="s">
        <v>332</v>
      </c>
      <c r="CC32" s="417">
        <f t="shared" si="44"/>
        <v>0</v>
      </c>
      <c r="CD32" s="417">
        <f t="shared" si="45"/>
        <v>0</v>
      </c>
      <c r="CE32" s="418" t="str">
        <f t="shared" si="46"/>
        <v/>
      </c>
      <c r="CF32" s="419"/>
      <c r="CG32" s="418"/>
      <c r="CH32" s="418"/>
      <c r="CK32" s="120"/>
      <c r="CT32" s="330"/>
      <c r="EX32" s="208"/>
      <c r="EY32" s="208"/>
      <c r="EZ32" s="208"/>
      <c r="FA32" s="208"/>
      <c r="FB32" s="208"/>
      <c r="FC32" s="208"/>
      <c r="FD32" s="208"/>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row>
    <row r="33">
      <c r="B33" s="199"/>
      <c r="E33" s="491"/>
      <c r="I33" s="482"/>
      <c r="M33" s="482"/>
      <c r="Q33" s="482"/>
      <c r="R33" s="482"/>
      <c r="S33" s="482"/>
      <c r="T33" s="492"/>
      <c r="U33" s="106"/>
      <c r="V33" s="106"/>
      <c r="W33" s="338"/>
      <c r="X33" s="156" t="s">
        <v>333</v>
      </c>
      <c r="Y33" s="444">
        <f t="shared" si="53"/>
        <v>0</v>
      </c>
      <c r="Z33" s="398" t="str">
        <f t="shared" si="54"/>
        <v/>
      </c>
      <c r="AA33" s="445">
        <f t="shared" si="55"/>
        <v>0</v>
      </c>
      <c r="AB33" s="446"/>
      <c r="AC33" s="224"/>
      <c r="AE33" s="487"/>
      <c r="AF33" s="291"/>
      <c r="AG33" s="428"/>
      <c r="AH33" s="499"/>
      <c r="AI33" s="499"/>
      <c r="AJ33" s="499"/>
      <c r="AK33" s="499"/>
      <c r="AL33" s="499"/>
      <c r="AM33" s="500"/>
      <c r="BU33" s="499"/>
      <c r="BV33" s="499"/>
      <c r="BW33" s="501"/>
      <c r="BZ33" s="502" t="s">
        <v>334</v>
      </c>
      <c r="CC33" s="417">
        <f t="shared" si="44"/>
        <v>0</v>
      </c>
      <c r="CD33" s="417">
        <f t="shared" si="45"/>
        <v>0</v>
      </c>
      <c r="CE33" s="418" t="str">
        <f t="shared" si="46"/>
        <v/>
      </c>
      <c r="CF33" s="330"/>
      <c r="CK33" s="120"/>
      <c r="CT33" s="330"/>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row>
    <row r="34">
      <c r="B34" s="199"/>
      <c r="E34" s="491"/>
      <c r="I34" s="482"/>
      <c r="M34" s="482"/>
      <c r="Q34" s="482"/>
      <c r="R34" s="482"/>
      <c r="S34" s="482"/>
      <c r="T34" s="492"/>
      <c r="U34" s="106"/>
      <c r="V34" s="106"/>
      <c r="W34" s="338"/>
      <c r="X34" s="156" t="s">
        <v>330</v>
      </c>
      <c r="Y34" s="444">
        <f t="shared" si="53"/>
        <v>0</v>
      </c>
      <c r="Z34" s="398" t="str">
        <f t="shared" si="54"/>
        <v/>
      </c>
      <c r="AA34" s="445">
        <f t="shared" si="55"/>
        <v>0</v>
      </c>
      <c r="AB34" s="446"/>
      <c r="AC34" s="224"/>
      <c r="AE34" s="487"/>
      <c r="AF34" s="291"/>
      <c r="AG34" s="497"/>
      <c r="AH34" s="503"/>
      <c r="AI34" s="503"/>
      <c r="AJ34" s="503"/>
      <c r="AK34" s="503"/>
      <c r="AL34" s="503"/>
      <c r="BU34" s="391"/>
      <c r="BV34" s="391"/>
      <c r="BW34" s="431"/>
      <c r="BZ34" s="504"/>
      <c r="CA34" s="505"/>
      <c r="CB34" s="505"/>
      <c r="CC34" s="505"/>
      <c r="CD34" s="505"/>
      <c r="CE34" s="505"/>
      <c r="CF34" s="506"/>
      <c r="CG34" s="505"/>
      <c r="CH34" s="505"/>
      <c r="CI34" s="505"/>
      <c r="CJ34" s="505"/>
      <c r="CK34" s="507"/>
      <c r="CL34" s="505"/>
      <c r="CM34" s="505"/>
      <c r="CN34" s="505"/>
      <c r="CO34" s="505"/>
      <c r="CP34" s="505"/>
      <c r="CQ34" s="505"/>
      <c r="CR34" s="505"/>
      <c r="CS34" s="505"/>
      <c r="CT34" s="506"/>
      <c r="EX34" s="208"/>
      <c r="EY34" s="208"/>
      <c r="EZ34" s="208"/>
      <c r="FA34" s="208"/>
      <c r="FB34" s="208"/>
      <c r="FC34" s="208"/>
      <c r="FD34" s="208"/>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row>
    <row r="35" ht="88.5" customHeight="1">
      <c r="B35" s="199"/>
      <c r="E35" s="508"/>
      <c r="F35" s="509"/>
      <c r="G35" s="509"/>
      <c r="H35" s="509"/>
      <c r="I35" s="510"/>
      <c r="J35" s="509"/>
      <c r="K35" s="509"/>
      <c r="L35" s="509"/>
      <c r="M35" s="510"/>
      <c r="N35" s="509"/>
      <c r="O35" s="509"/>
      <c r="P35" s="509"/>
      <c r="Q35" s="510"/>
      <c r="R35" s="510"/>
      <c r="S35" s="510"/>
      <c r="T35" s="511"/>
      <c r="V35" s="106"/>
      <c r="W35" s="338"/>
      <c r="X35" s="512" t="s">
        <v>332</v>
      </c>
      <c r="Y35" s="444">
        <f t="shared" si="53"/>
        <v>6</v>
      </c>
      <c r="Z35" s="398">
        <f t="shared" si="54"/>
        <v>1.5</v>
      </c>
      <c r="AA35" s="445">
        <f t="shared" si="55"/>
        <v>105</v>
      </c>
      <c r="AB35" s="446"/>
      <c r="AC35" s="224"/>
      <c r="AE35" s="487"/>
      <c r="AF35" s="291"/>
      <c r="AG35" s="513"/>
      <c r="AH35" s="514"/>
      <c r="AI35" s="514"/>
      <c r="AJ35" s="514"/>
      <c r="AK35" s="514"/>
      <c r="AL35" s="514"/>
      <c r="AM35" s="514"/>
      <c r="AN35" s="514"/>
      <c r="AO35" s="514"/>
      <c r="AP35" s="514"/>
      <c r="AQ35" s="514"/>
      <c r="AR35" s="514"/>
      <c r="AS35" s="514"/>
      <c r="AT35" s="514"/>
      <c r="AU35" s="514"/>
      <c r="AV35" s="514"/>
      <c r="AW35" s="514"/>
      <c r="AX35" s="514"/>
      <c r="AY35" s="514"/>
      <c r="AZ35" s="514"/>
      <c r="BA35" s="514"/>
      <c r="BB35" s="515"/>
      <c r="BC35" s="515"/>
      <c r="BD35" s="515"/>
      <c r="BE35" s="515"/>
      <c r="BF35" s="515"/>
      <c r="BG35" s="515"/>
      <c r="BH35" s="515"/>
      <c r="BI35" s="515"/>
      <c r="BJ35" s="515"/>
      <c r="BK35" s="515"/>
      <c r="BL35" s="515"/>
      <c r="BM35" s="515"/>
      <c r="BN35" s="515"/>
      <c r="BO35" s="515"/>
      <c r="BP35" s="515"/>
      <c r="BQ35" s="514"/>
      <c r="BR35" s="514"/>
      <c r="BS35" s="514"/>
      <c r="BT35" s="514"/>
      <c r="BU35" s="514"/>
      <c r="BV35" s="514"/>
      <c r="BW35" s="516"/>
      <c r="EX35" s="208"/>
      <c r="EY35" s="208"/>
      <c r="EZ35" s="208"/>
      <c r="FA35" s="208"/>
      <c r="FB35" s="208"/>
      <c r="FC35" s="208"/>
      <c r="FD35" s="208"/>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row>
    <row r="36">
      <c r="B36" s="199"/>
      <c r="K36" s="200"/>
      <c r="L36" s="200"/>
      <c r="U36" s="106"/>
      <c r="V36" s="106"/>
      <c r="W36" s="338"/>
      <c r="X36" s="517" t="s">
        <v>334</v>
      </c>
      <c r="Y36" s="444">
        <f t="shared" si="53"/>
        <v>0</v>
      </c>
      <c r="Z36" s="398" t="str">
        <f t="shared" si="54"/>
        <v/>
      </c>
      <c r="AA36" s="445">
        <f t="shared" si="55"/>
        <v>0</v>
      </c>
      <c r="AB36" s="518"/>
      <c r="AC36" s="224"/>
      <c r="AE36" s="487"/>
      <c r="AF36" s="291"/>
      <c r="BE36" s="519"/>
      <c r="BF36" s="519"/>
      <c r="BG36" s="519"/>
      <c r="BH36" s="519"/>
      <c r="BI36" s="519"/>
      <c r="BJ36" s="519"/>
      <c r="BK36" s="519"/>
      <c r="BL36" s="519"/>
      <c r="BM36" s="519"/>
      <c r="BN36" s="519"/>
      <c r="BO36" s="519"/>
      <c r="BP36" s="519"/>
      <c r="BQ36" s="519"/>
      <c r="BR36" s="519"/>
      <c r="EX36" s="208"/>
      <c r="EY36" s="208"/>
      <c r="EZ36" s="208"/>
      <c r="FA36" s="208"/>
      <c r="FB36" s="208"/>
      <c r="FC36" s="208"/>
      <c r="FD36" s="208"/>
      <c r="FE36" s="208"/>
      <c r="FF36" s="208"/>
      <c r="FG36" s="208"/>
      <c r="FH36" s="208"/>
      <c r="FI36" s="208"/>
      <c r="FJ36" s="208"/>
      <c r="FK36" s="208"/>
      <c r="FL36" s="208"/>
      <c r="FM36" s="208"/>
      <c r="FN36" s="208"/>
      <c r="FO36" s="208"/>
      <c r="FP36" s="208"/>
      <c r="FQ36" s="208"/>
      <c r="FR36" s="208"/>
      <c r="FS36" s="208"/>
      <c r="FT36" s="208"/>
      <c r="FU36" s="208"/>
      <c r="FV36" s="208"/>
      <c r="FW36" s="208"/>
      <c r="FX36" s="208"/>
      <c r="FY36" s="208"/>
      <c r="FZ36" s="208"/>
      <c r="GA36" s="208"/>
      <c r="GB36" s="208"/>
      <c r="GC36" s="208"/>
      <c r="GD36" s="208"/>
      <c r="GE36" s="208"/>
      <c r="GF36" s="208"/>
      <c r="GG36" s="208"/>
      <c r="GH36" s="208"/>
    </row>
    <row r="37">
      <c r="B37" s="199"/>
      <c r="C37" s="520" t="s">
        <v>335</v>
      </c>
      <c r="D37" s="360">
        <v>1.0</v>
      </c>
      <c r="E37" s="521" t="str">
        <f>"S"&amp;D37</f>
        <v>S1</v>
      </c>
      <c r="W37" s="201"/>
      <c r="X37" s="522"/>
      <c r="Y37" s="523"/>
      <c r="Z37" s="523"/>
      <c r="AA37" s="523"/>
      <c r="AB37" s="523"/>
      <c r="AC37" s="523"/>
      <c r="AD37" s="524"/>
      <c r="AE37" s="525"/>
      <c r="AF37" s="526" t="s">
        <v>336</v>
      </c>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527"/>
      <c r="BU37" s="528"/>
      <c r="BV37" s="528"/>
      <c r="BW37" s="528"/>
      <c r="BX37" s="106"/>
      <c r="BY37" s="106"/>
      <c r="BZ37" s="529" t="s">
        <v>337</v>
      </c>
      <c r="CA37" s="221"/>
      <c r="CB37" s="221"/>
      <c r="CC37" s="221"/>
      <c r="CD37" s="221"/>
      <c r="CE37" s="221"/>
      <c r="CF37" s="221"/>
      <c r="CG37" s="221"/>
      <c r="CH37" s="221"/>
      <c r="CI37" s="221"/>
      <c r="CJ37" s="221"/>
      <c r="CK37" s="221"/>
      <c r="CL37" s="221"/>
      <c r="CM37" s="222"/>
      <c r="DE37" s="106"/>
      <c r="DF37" s="106"/>
      <c r="DG37" s="106"/>
      <c r="DH37" s="106"/>
      <c r="DI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X37" s="208"/>
      <c r="EY37" s="208"/>
      <c r="EZ37" s="208"/>
      <c r="FA37" s="208"/>
      <c r="FB37" s="208"/>
      <c r="FC37" s="208"/>
      <c r="FD37" s="208"/>
      <c r="FE37" s="208"/>
      <c r="FF37" s="208"/>
      <c r="FG37" s="208"/>
      <c r="FH37" s="208"/>
      <c r="FI37" s="208"/>
      <c r="FJ37" s="208"/>
      <c r="FK37" s="208"/>
      <c r="FL37" s="208"/>
      <c r="FM37" s="208"/>
      <c r="FN37" s="208"/>
      <c r="FO37" s="208"/>
      <c r="FP37" s="208"/>
      <c r="FQ37" s="208"/>
      <c r="FR37" s="208"/>
      <c r="FS37" s="208"/>
      <c r="FT37" s="208"/>
      <c r="FU37" s="208"/>
      <c r="FV37" s="208"/>
      <c r="FW37" s="208"/>
      <c r="FX37" s="208"/>
      <c r="FY37" s="208"/>
      <c r="FZ37" s="208"/>
      <c r="GA37" s="208"/>
      <c r="GB37" s="208"/>
      <c r="GC37" s="208"/>
      <c r="GD37" s="208"/>
      <c r="GE37" s="208"/>
      <c r="GF37" s="208"/>
      <c r="GG37" s="208"/>
      <c r="GH37" s="208"/>
    </row>
    <row r="38">
      <c r="B38" s="199"/>
      <c r="C38" s="520" t="s">
        <v>338</v>
      </c>
      <c r="D38" s="360">
        <v>7.0</v>
      </c>
      <c r="E38" s="128"/>
      <c r="F38" s="530" t="s">
        <v>339</v>
      </c>
      <c r="Q38" s="531"/>
      <c r="R38" s="532"/>
      <c r="S38" s="532"/>
      <c r="T38" s="532"/>
      <c r="U38" s="128"/>
      <c r="W38" s="201"/>
      <c r="X38" s="360" t="s">
        <v>340</v>
      </c>
      <c r="AE38" s="533"/>
      <c r="AF38" s="360"/>
      <c r="AG38" s="534" t="s">
        <v>341</v>
      </c>
      <c r="AJ38" s="226"/>
      <c r="AK38" s="534" t="s">
        <v>342</v>
      </c>
      <c r="AO38" s="534" t="s">
        <v>343</v>
      </c>
      <c r="AS38" s="534" t="s">
        <v>344</v>
      </c>
      <c r="AW38" s="534" t="s">
        <v>345</v>
      </c>
      <c r="BA38" s="534" t="s">
        <v>346</v>
      </c>
      <c r="BE38" s="534" t="s">
        <v>347</v>
      </c>
      <c r="BI38" s="534" t="s">
        <v>348</v>
      </c>
      <c r="BM38" s="534" t="s">
        <v>349</v>
      </c>
      <c r="BQ38" s="534" t="s">
        <v>350</v>
      </c>
      <c r="BT38" s="492"/>
      <c r="BU38" s="535"/>
      <c r="BV38" s="535"/>
      <c r="BW38" s="535"/>
      <c r="BX38" s="106"/>
      <c r="BY38" s="106"/>
      <c r="BZ38" s="536"/>
      <c r="CA38" s="537"/>
      <c r="CB38" s="537"/>
      <c r="CC38" s="537"/>
      <c r="CD38" s="537"/>
      <c r="CE38" s="537"/>
      <c r="CF38" s="537"/>
      <c r="CG38" s="537"/>
      <c r="CH38" s="537"/>
      <c r="CI38" s="537"/>
      <c r="CJ38" s="537"/>
      <c r="CM38" s="226"/>
      <c r="DE38" s="106"/>
      <c r="DF38" s="106"/>
      <c r="DG38" s="106"/>
      <c r="DH38" s="106"/>
      <c r="DI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X38" s="208"/>
      <c r="EY38" s="208"/>
      <c r="EZ38" s="208"/>
      <c r="FA38" s="208"/>
      <c r="FB38" s="208"/>
      <c r="FC38" s="208"/>
      <c r="FD38" s="208"/>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row>
    <row r="39">
      <c r="A39" s="538"/>
      <c r="B39" s="539" t="s">
        <v>351</v>
      </c>
      <c r="C39" s="540"/>
      <c r="D39" s="537" t="s">
        <v>352</v>
      </c>
      <c r="E39" s="541" t="s">
        <v>353</v>
      </c>
      <c r="F39" s="537" t="s">
        <v>293</v>
      </c>
      <c r="G39" s="542" t="s">
        <v>254</v>
      </c>
      <c r="H39" s="537" t="s">
        <v>354</v>
      </c>
      <c r="I39" s="537" t="str">
        <f t="array" ref="I39:I186">{"KG (%)";IFERROR(MROUND(IFS(MID($D$40:$D186,1,2)=$E$14,$F$14*$H$40:$H186,MID($D$40:$D186,1,2)=$E$15,$F$15*$H$40:$H186,MID($D$40:$D186,1,2)=$E$16,$F$16*$H$40:$H186),2.5),"")}</f>
        <v>KG (%)</v>
      </c>
      <c r="J39" s="360" t="s">
        <v>355</v>
      </c>
      <c r="K39" s="537" t="s">
        <v>356</v>
      </c>
      <c r="M39" s="537" t="s">
        <v>257</v>
      </c>
      <c r="O39" s="537" t="s">
        <v>357</v>
      </c>
      <c r="P39" s="537" t="s">
        <v>358</v>
      </c>
      <c r="Q39" s="537" t="s">
        <v>359</v>
      </c>
      <c r="S39" s="542" t="s">
        <v>18</v>
      </c>
      <c r="U39" s="542" t="str">
        <f>"NOTAS DE "&amp;'Introducción'!B19&amp;" "&amp;'Introducción'!B20</f>
        <v>#REF!</v>
      </c>
      <c r="V39" s="542" t="s">
        <v>360</v>
      </c>
      <c r="W39" s="543"/>
      <c r="X39" s="360" t="str">
        <f t="array" ref="X39:X186">{"Tonelaje pre-establecido";IFERROR(F40:F186*G40:G186*I40:I186,"")+IFERROR(F40:F186*G40:G186*J40:J186,"")}</f>
        <v>Tonelaje pre-establecido</v>
      </c>
      <c r="Y39" s="360" t="str">
        <f t="array" ref="Y39:Y186">{"Tonelaje Realizado";CE40:CE186}</f>
        <v>Tonelaje Realizado</v>
      </c>
      <c r="Z39" s="360" t="str">
        <f t="array" ref="Z39:Z186">{"NL pre-establecido";IFERROR( IF(LEN(F40:F186),LEFT(G40:G186,2)*F40:F186,""),"")}</f>
        <v>NL pre-establecido</v>
      </c>
      <c r="AA39" s="360" t="str">
        <f t="array" ref="AA39:AA186">{"% (M)";IF(LEFT($D$40:$D186,2)="SQ",$J$40:$J186/$F$14,IF(LEFT($D$40:$D186,2)="BP",$J$40:$J186/$F$15,IF(LEFT($D$40:D186,2)="DL",$J$40:$J186/$F$16)))}</f>
        <v>% (M)</v>
      </c>
      <c r="AB39" s="360" t="s">
        <v>263</v>
      </c>
      <c r="AC39" s="360"/>
      <c r="AD39" s="360" t="str">
        <f t="array" ref="AD39:AD186">{"Series realizadas";IF(NOT(ISBLANK(AG40:AG186)),1,"")+IF(NOT(ISBLANK(AK40:AK186)),1,"")+IF(NOT(ISBLANK(AO40:AO186)),1,"")+IF(NOT(ISBLANK(AS40:AS186)),1,"")+IF(NOT(ISBLANK(AW40:AW186)),1,"")+IF(NOT(ISBLANK(BA40:BA186)),1,"")+IF(NOT(ISBLANK(BE40:BE186)),1,"")+IF(NOT(ISBLANK(BI40:BI186)),1,"")+IF(NOT(ISBLANK(BM40:BM186)),1,"")+IF(NOT(ISBLANK(BQ40:BQ186)),1,"")}</f>
        <v>Series realizadas</v>
      </c>
      <c r="AE39" s="533"/>
      <c r="AF39" s="360" t="str">
        <f t="array" ref="AF39:AF186">{"EJERCICIOS";IF(ISBLANK($D$40:$D186),"",$E$40:$E186&amp;": "&amp;$F$40:$F186&amp;" x "&amp;$G$40:$G186&amp;" x "&amp;IF(NOT(ISBLANK($H$40:$H186)),$I$40:$I186&amp;" kg",J40:J186&amp;" kg")&amp;IF(NOT(ISBLANK($K$40:$K186))," RIR "&amp;$K$40:$K186,"")&amp;IF(NOT(ISBLANK($L$40:$L186)),"-"&amp;$L$40:$L186,"")&amp;" "&amp;IF(NOT(ISBLANK($M$40:$M186)),"x RPE "&amp;$M$40:$M186,"")&amp;IF(NOT(ISBLANK($N$40:$N186)),"-"&amp;$N$40:$N186,""))}</f>
        <v>EJERCICIOS</v>
      </c>
      <c r="AG39" s="544" t="s">
        <v>254</v>
      </c>
      <c r="AH39" s="545" t="s">
        <v>262</v>
      </c>
      <c r="AI39" s="546" t="s">
        <v>356</v>
      </c>
      <c r="AJ39" s="547" t="s">
        <v>257</v>
      </c>
      <c r="AK39" s="548" t="s">
        <v>254</v>
      </c>
      <c r="AL39" s="545" t="s">
        <v>262</v>
      </c>
      <c r="AM39" s="546" t="s">
        <v>356</v>
      </c>
      <c r="AN39" s="547" t="s">
        <v>257</v>
      </c>
      <c r="AO39" s="548" t="s">
        <v>254</v>
      </c>
      <c r="AP39" s="549" t="s">
        <v>262</v>
      </c>
      <c r="AQ39" s="546" t="s">
        <v>356</v>
      </c>
      <c r="AR39" s="550" t="s">
        <v>257</v>
      </c>
      <c r="AS39" s="548" t="s">
        <v>254</v>
      </c>
      <c r="AT39" s="545" t="s">
        <v>262</v>
      </c>
      <c r="AU39" s="546" t="s">
        <v>356</v>
      </c>
      <c r="AV39" s="550" t="s">
        <v>257</v>
      </c>
      <c r="AW39" s="548" t="s">
        <v>254</v>
      </c>
      <c r="AX39" s="545" t="s">
        <v>262</v>
      </c>
      <c r="AY39" s="546" t="s">
        <v>356</v>
      </c>
      <c r="AZ39" s="550" t="s">
        <v>257</v>
      </c>
      <c r="BA39" s="548" t="s">
        <v>254</v>
      </c>
      <c r="BB39" s="545" t="s">
        <v>262</v>
      </c>
      <c r="BC39" s="546" t="s">
        <v>356</v>
      </c>
      <c r="BD39" s="550" t="s">
        <v>257</v>
      </c>
      <c r="BE39" s="548" t="s">
        <v>254</v>
      </c>
      <c r="BF39" s="545" t="s">
        <v>262</v>
      </c>
      <c r="BG39" s="546" t="s">
        <v>356</v>
      </c>
      <c r="BH39" s="550" t="s">
        <v>257</v>
      </c>
      <c r="BI39" s="548" t="s">
        <v>254</v>
      </c>
      <c r="BJ39" s="545" t="s">
        <v>262</v>
      </c>
      <c r="BK39" s="546" t="s">
        <v>356</v>
      </c>
      <c r="BL39" s="550" t="s">
        <v>257</v>
      </c>
      <c r="BM39" s="548" t="s">
        <v>254</v>
      </c>
      <c r="BN39" s="545" t="s">
        <v>262</v>
      </c>
      <c r="BO39" s="546" t="s">
        <v>356</v>
      </c>
      <c r="BP39" s="550" t="s">
        <v>257</v>
      </c>
      <c r="BQ39" s="548" t="s">
        <v>254</v>
      </c>
      <c r="BR39" s="545" t="s">
        <v>262</v>
      </c>
      <c r="BS39" s="546" t="s">
        <v>356</v>
      </c>
      <c r="BT39" s="551" t="s">
        <v>257</v>
      </c>
      <c r="BU39" s="552"/>
      <c r="BV39" s="540"/>
      <c r="BW39" s="552"/>
      <c r="BX39" s="553"/>
      <c r="BY39" s="553"/>
      <c r="BZ39" s="554" t="str">
        <f t="array" ref="BZ39:BZ186">{"1RM";IFERROR(IFS(MID(D40:D186,1,2)=$E$14,$F$14,MID(D40:D186,1,2)=$E$15,$F$15,MID(D40:D186,1,2)=$E$16,$F$16),)}</f>
        <v>1RM</v>
      </c>
      <c r="CA39" s="555" t="str">
        <f t="array" ref="CA39:CA186">{"aRI";IFERROR(IF(COUNTIF(D40:D186,E14)+COUNTIF(D40:D186,E15)+COUNTIF(D40:D186,E16)=0, IFS(MID(D40:D186,1,2)=E14, IF(MID(D40:D186,1,2)=E14, ((AH40:AH186)+(AL40:AL186)+(AP40:AP186)+(AT40:AT186)+(AX40:AX186)+(BB40:BB186)+(BF40:BF186)+(BJ40:BJ186)+(BN40:BN186)+(BR40:BR186))/AD40:AD186*100%/$F$14,((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15,IF(MID(D40:D186,1,2)=E15, ((AH40:AH186)+(AL40:AL186)+(AP40:AP186)+(AT40:AT186)+(AX40:AX186)+(BB40:BB186)+(BF40:BF186)+(BJ40:BJ186)+(BN40:BN186)+(BR40:BR186))/AD40:AD186*100%/$F$15,((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16,IF(MID(D40:D186,1,2)=E16, ((AH40:AH186)+(AL40:AL186)+(AP40:AP186)+(AT40:AT186)+(AX40:AX186)+(BB40:BB186)+(BF40:BF186)+(BJ40:BJ186)+(BN40:BN186)+(BR40:BR186))/AD40:AD186*100%/$F$16,((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f>
        <v>aRI</v>
      </c>
      <c r="CB39" s="555" t="str">
        <f t="array" ref="CB39:CB186">{"aI";IFERROR(((AH40:AH186)+(AL40:AL186)+(AP40:AP186)+(AT40:AT186)+(AX40:AX186)+(BB40:BB186)+(BF40:BF186)+(BJ40:BJ186)+(BN40:BN186)+(BR40:BR186))/(AD40:AD186),"")}</f>
        <v>aI</v>
      </c>
      <c r="CC39" s="556" t="str">
        <f t="array" ref="CC39:CC186">{"NL";AG40:AG186+AK40:AK186+AO40:AO186+AS40:AS186+AW40:AW186+BA40:BA186+BE40:BE186+BI40:BI186+BM40:BM186+BQ40:BQ186}</f>
        <v>NL</v>
      </c>
      <c r="CD39" s="555" t="str">
        <f t="array" ref="CD39:CD186">{"avg_RIR";IFERROR(((AI40:AI186)+(AM40:AM186)+(AQ40:AQ186)+(AU40:AU186)+(AY40:AY186)+(BC40:BC186)+(BG40:BG186)+(BK40:BK186)+(BO40:BO186)+(BS40:BS186))/(AD40:AD186),"")}</f>
        <v>avg_RIR</v>
      </c>
      <c r="CE39" s="555" t="str">
        <f t="array" ref="CE39:CE186">{"TONELAJE";(AG40:AG186*AH40:AH186)+(AK40:AK186*AL40:AL186)+(AO40:AO186*AP40:AP186)+(AS40:AS186*AT40:AT186)+(AW40:AW186*AX40:AX186)+(BA40:BA186*BB40:BB186)*(BE40:BE186*BF40:BF186)+(BI40:BI186*BJ40:BJ186)+(BM40:BM186*BN40:BN186)+(BQ40:BQ186*BR40:BR186)}</f>
        <v>TONELAJE</v>
      </c>
      <c r="CF39" s="556" t="str">
        <f t="array" ref="CF39:CF186">{"IMPULSO";IFERROR((CE40:CE186/BZ40:BZ186),"")}</f>
        <v>IMPULSO</v>
      </c>
      <c r="CG39" s="556" t="str">
        <f t="array" ref="CG39:CG186">{"INOL";(CC40:CC186)/(100-100*(CA40:CA186))}</f>
        <v>INOL</v>
      </c>
      <c r="CH39" s="555" t="str">
        <f t="array" ref="CH39:CH186">{"pred1RM";IFERROR(((AH40:AH186+AL40:AL186+AP40:AP186+AT40:AT186+AX40:AX186+BB40:BB186+BF40:BF186+BJ40:BJ186+BN40:BN186+BR40:BR186)/AD40:AD186*(((AG40:AG186+AK40:AK186+AO40:AO186+AS40:AS186+AW40:AW186+BA40:BA186+BC40:BC186+BE40:BE186+BI40:BI186+BM40:BM186+BQ40:BQ186)/AD40:AD186+(-(AJ40:AJ186+AN40:AN186+AR40:AR186+AV40:AV186+AZ40:AZ186+BD40:BD186+BH40:BH186+BL40:BL186+BP40:BP186+BT40:BT186)/#REF!)+10)*0.0333)+(AH40:AH186+AL40:AL186+AP40:AP186+AT40:AT186+AX40:AX186+BB40:BB186+BF40:BF186+BJ40:BJ186+BN40:BN186+BR40:BR186)/AD40:AD186),"")}</f>
        <v>pred1RM</v>
      </c>
      <c r="CI39" s="555" t="str">
        <f t="array" ref="CI39:CI186">{"prox1RM";IFERROR(((AH40:AH186+AL40:AL186+AP40:AP186+AT40:AT186+AX40:AX186+BB40:BB186+BF40:BF186+BJ40:BJ186+BN40:BN186+BR40:BR186)/AD40:AD186*(((AG40:AG186+AK40:AK186+AO40:AO186+AS40:AS186+AW40:AW186+BA40:BA186+BC40:BC186+BE40:BE186+BI40:BI186+BM40:BM186+BQ40:BQ186)/AD40:AD186)*0.0333)+(AH40:AH186+AL40:AL186+AP40:AP186+AT40:AT186+AX40:AX186+BB40:BB186+BF40:BF186+BJ40:BJ186+BN40:BN186+BR40:BR186)/AD40:AD186)/IFS(MID(D40:D186,1,2)=$E$14,$F$14,MID(D40:D186,1,2)=$E$15,$F$15,MID(D40:D186,1,2)=$E$16,$F$16),"")}</f>
        <v>prox1RM</v>
      </c>
      <c r="CJ39" s="557" t="str">
        <f t="array" ref="CJ39:CJ186">{"S.I.";IFERROR(IF(ISBLANK(AI40:AI186),"", IFS(AI40:AI186=0,1.6,AI40:AI186=1,1.2,AI40:AI186=2,1,AI40:AI186=3,0.8,AI40:AI186=4,0.6))+IF(ISBLANK(AM40:AM186),"", IFS(AM40:AM186=0,1.6,AM40:AM186=1,1.2,AM40:AM186=2,1,AM40:AM186=3,0.8,AM40:AM186=4,0.6))+IF(ISBLANK(AQ40:AQ186),"", IFS(AQ40:AQ186=0,1.6,AQ40:AQ186=1,1.2,AQ40:AQ186=2,1,AQ40:AQ186=3,0.8,AQ40:AQ186=4,0.6))+IF(ISBLANK(AU40:AU186),"", IFS(AU40:AU186=0,1.6,AU40:AU186=1,1.2,AU40:AU186=2,1,AU40:AU186=3,0.8,AU40:AU186=4,0.6))+IF(ISBLANK(AY40:AY186),"", IFS(AY40:AY186=0,1.6,AY40:AY186=1,1.2,AY40:AY186=2,1,AY40:AY186=3,0.8,AY40:AY186=4,0.6))+IF(ISBLANK(BC40:BC186),"", IFS(BC40:BC186=0,1.6,BC40:BC186=1,1.2,BC40:BC186=2,1,BC40:BC186=3,0.8,BC40:BC186=4,0.6))+IF(ISBLANK(BG40:BG186),"", IFS(BG40:BG186=0,1.6,BG40:BG186=1,1.2,BG40:BG186=2,1,BG40:BG186=3,0.8,BG40:BG186=4,0.6))+IF(ISBLANK(BK40:BK186),"", IFS(BK40:BK186=0,1.6,BK40:BK186=1,1.2,BK40:BK186=2,1,BK40:BK186=3,0.8,BK40:BK186=4,0.6))+IF(ISBLANK(BO40:BO186),"", IFS(BO40:BO186=0,1.6,BO40:BO186=1,1.2,BO40:BO186=2,1,BO40:BO186=3,0.8,BO40:BO186=4,0.6))+IF(ISBLANK(BS40:BS186),"", IFS(BS40:BS186=0,1.6,BS40:BS186=1,1.2,BS40:BS186=2,1,BS40:BS186=3,0.8,BS40:BS186=4,0.6)),"")}</f>
        <v>S.I.</v>
      </c>
      <c r="CK39" s="556" t="str">
        <f t="array" ref="CK39:CK186">{"avg_RPE";IFERROR(((AJ40:AJ186)+(AN40:AN186)+(AR40:AR186)+(AV40:AV186)+(AZ40:AZ186)+(BD40:BD186)+(BH40:BH186)+(BL40:BL186)+(BP40:BP186)+(BT40:BT186))/(AD40:AD186),"")}</f>
        <v>avg_RPE</v>
      </c>
      <c r="CL39" s="556" t="str">
        <f t="array" ref="CL39:CL186">{"e1RM Steve Denovi F1";IFERROR((AH40:AH186+AL40:AL186+AP40:AP186+AT40:AT186+AX40:AX186+BB40:BB186+BF40:BF186+BJ40:BJ186+BN40:BN186+BR40:BR186)/AD40:AD186/((VLOOKUP(AJ40:AJ186,$EX$3:$FJ$16,AG40:AG186+1,0))+IFERROR( VLOOKUP(AN40:AN186,$EX$3:$FJ$16,AK40:AK186+1,0),"")+IFERROR( VLOOKUP(AR40:AR186,$EX$3:$FJ$16,AO40:AO186+1,0),"")+IFERROR( VLOOKUP(AV40:AV186,$EX$3:$FJ$16,AS40:AS186+1,0),"")+IFERROR( VLOOKUP(AZ40:AZ186,$EX$3:$FJ$16,AW40:AW186+1,0),"")+IFERROR( VLOOKUP(BD40:BD186,$EX$3:$FJ$16,BA40:BA186+1,0),"")+IFERROR( VLOOKUP(BH40:BH186,$EX$3:$FJ$16,BE40:BE186+1,0),"")+IFERROR( VLOOKUP(BL40:BL186,$EX$3:$FJ$16,BI40:BI186+1,0),"")+IFERROR( VLOOKUP(BP40:BP186,$EX$3:$FJ$16,BM40:BM186+1,0),"")+IFERROR( VLOOKUP(BT40:BT186,$EX$3:$FJ$16,BQ40:BQ186+1,0),""))*AD40:AD186,"")}</f>
        <v>e1RM Steve Denovi F1</v>
      </c>
      <c r="CM39" s="558" t="str">
        <f t="array" ref="CM39:CM186">{"e1RM Steve Denovi F2";IFERROR((AH40:AH186+AL40:AL186+AP40:AP186+AT40:AT186+AX40:AX186+BB40:BB186+BF40:BF186+BJ40:BJ186+BN40:BN186+BR40:BR186)/AD40:AD186/((VLOOKUP(AJ40:AJ186,$FL$3:$FX$16,AG40:AG186+1,0))+IFERROR( VLOOKUP(AN40:AN186,$FL$3:$FX$16,AK40:AK186+1,0),"")+IFERROR( VLOOKUP(AR40:AR186,$FL$3:$FX$16,AO40:AO186+1,0),"")+IFERROR( VLOOKUP(AV40:AV186,$FL$3:$FX$16,AS40:AS186+1,0),"")+IFERROR( VLOOKUP(AZ40:AZ186,$FL$3:$FX$16,AW40:AW186+1,0),"")+IFERROR( VLOOKUP(BD40:BD186,$FL$3:$FX$16,BA40:BA186+1,0),"")+IFERROR( VLOOKUP(BH40:BH186,$FL$3:$FX$16,BE40:BE186+1,0),"")+IFERROR( VLOOKUP(BL40:BL186,$FL$3:$FX$16,BI40:BI186+1,0),"")+IFERROR( VLOOKUP(BP40:BP186,$FL$3:$FX$16,BM40:BM186+1,0),"")+IFERROR( VLOOKUP(BT40:BT186,$FL$3:$FX$16,BQ40:BQ186+1,0),""))*AD40:AD186,"")}</f>
        <v>e1RM Steve Denovi F2</v>
      </c>
      <c r="CN39" s="538"/>
      <c r="CO39" s="538"/>
      <c r="CP39" s="538"/>
      <c r="CQ39" s="538"/>
      <c r="CR39" s="538"/>
      <c r="CS39" s="538"/>
      <c r="CT39" s="538"/>
      <c r="CU39" s="538"/>
      <c r="CV39" s="538"/>
      <c r="CW39" s="538"/>
      <c r="CX39" s="538"/>
      <c r="CY39" s="538"/>
      <c r="CZ39" s="538"/>
      <c r="DA39" s="538"/>
      <c r="DB39" s="538"/>
      <c r="DC39" s="538"/>
      <c r="DD39" s="538"/>
      <c r="DE39" s="553"/>
      <c r="DF39" s="553"/>
      <c r="DG39" s="553"/>
      <c r="DH39" s="553"/>
      <c r="DI39" s="553"/>
      <c r="DJ39" s="538"/>
      <c r="DK39" s="538"/>
      <c r="DL39" s="538"/>
      <c r="DM39" s="538"/>
      <c r="DN39" s="538"/>
      <c r="DO39" s="538"/>
      <c r="DP39" s="538"/>
      <c r="DQ39" s="538"/>
      <c r="DR39" s="538"/>
      <c r="DS39" s="553"/>
      <c r="DT39" s="553"/>
      <c r="DU39" s="553"/>
      <c r="DV39" s="553"/>
      <c r="DW39" s="553"/>
      <c r="DX39" s="553"/>
      <c r="DY39" s="553"/>
      <c r="DZ39" s="553"/>
      <c r="EA39" s="553"/>
      <c r="EB39" s="553"/>
      <c r="EC39" s="553"/>
      <c r="ED39" s="553"/>
      <c r="EE39" s="553"/>
      <c r="EF39" s="553"/>
      <c r="EG39" s="553"/>
      <c r="EH39" s="553"/>
      <c r="EI39" s="553"/>
      <c r="EJ39" s="553"/>
      <c r="EK39" s="553"/>
      <c r="EL39" s="553"/>
      <c r="EM39" s="553"/>
      <c r="EN39" s="553"/>
      <c r="EO39" s="553"/>
      <c r="EP39" s="553"/>
      <c r="EQ39" s="553"/>
      <c r="ER39" s="553"/>
      <c r="ES39" s="553"/>
      <c r="ET39" s="553"/>
      <c r="EU39" s="553"/>
      <c r="EV39" s="553"/>
      <c r="EW39" s="538"/>
      <c r="EX39" s="559"/>
      <c r="EY39" s="559"/>
      <c r="EZ39" s="559"/>
      <c r="FA39" s="559"/>
      <c r="FB39" s="559"/>
      <c r="FC39" s="559"/>
      <c r="FD39" s="559"/>
      <c r="FE39" s="559"/>
      <c r="FF39" s="559"/>
      <c r="FG39" s="559"/>
      <c r="FH39" s="559"/>
      <c r="FI39" s="559"/>
      <c r="FJ39" s="559"/>
      <c r="FK39" s="559"/>
      <c r="FL39" s="559"/>
      <c r="FM39" s="559"/>
      <c r="FN39" s="559"/>
      <c r="FO39" s="559"/>
      <c r="FP39" s="559"/>
      <c r="FQ39" s="559"/>
      <c r="FR39" s="559"/>
      <c r="FS39" s="559"/>
      <c r="FT39" s="559"/>
      <c r="FU39" s="559"/>
      <c r="FV39" s="559"/>
      <c r="FW39" s="559"/>
      <c r="FX39" s="559"/>
      <c r="FY39" s="559"/>
      <c r="FZ39" s="559"/>
      <c r="GA39" s="559"/>
      <c r="GB39" s="559"/>
      <c r="GC39" s="559"/>
      <c r="GD39" s="559"/>
      <c r="GE39" s="559"/>
      <c r="GF39" s="559"/>
      <c r="GG39" s="559"/>
      <c r="GH39" s="559"/>
    </row>
    <row r="40">
      <c r="A40" s="538"/>
      <c r="B40" s="560"/>
      <c r="C40" s="47"/>
      <c r="D40" s="561" t="s">
        <v>266</v>
      </c>
      <c r="E40" s="562" t="s">
        <v>486</v>
      </c>
      <c r="F40" s="563">
        <v>3.0</v>
      </c>
      <c r="G40" s="560">
        <v>5.0</v>
      </c>
      <c r="H40" s="564"/>
      <c r="I40" s="565">
        <v>0.0</v>
      </c>
      <c r="J40" s="566">
        <v>120.0</v>
      </c>
      <c r="K40" s="567"/>
      <c r="L40" s="568"/>
      <c r="M40" s="569"/>
      <c r="N40" s="570"/>
      <c r="O40" s="571"/>
      <c r="P40" s="571"/>
      <c r="Q40" s="47"/>
      <c r="R40" s="47"/>
      <c r="S40" s="572"/>
      <c r="T40" s="572"/>
      <c r="U40" s="573"/>
      <c r="V40" s="574"/>
      <c r="W40" s="575"/>
      <c r="X40" s="576">
        <v>1800.0</v>
      </c>
      <c r="Y40" s="577" t="e">
        <v>#VALUE!</v>
      </c>
      <c r="Z40" s="577">
        <v>15.0</v>
      </c>
      <c r="AA40" s="578">
        <v>0.6666666666666666</v>
      </c>
      <c r="AB40" s="578"/>
      <c r="AC40" s="579"/>
      <c r="AD40" s="580">
        <v>2.0</v>
      </c>
      <c r="AE40" s="581"/>
      <c r="AF40" s="582" t="s">
        <v>487</v>
      </c>
      <c r="AG40" s="583">
        <v>5.0</v>
      </c>
      <c r="AH40" s="584" t="s">
        <v>488</v>
      </c>
      <c r="AI40" s="583">
        <v>2.0</v>
      </c>
      <c r="AJ40" s="585">
        <v>8.0</v>
      </c>
      <c r="AK40" s="583">
        <v>5.0</v>
      </c>
      <c r="AL40" s="584">
        <v>120.0</v>
      </c>
      <c r="AM40" s="583">
        <v>3.0</v>
      </c>
      <c r="AN40" s="585"/>
      <c r="AO40" s="583"/>
      <c r="AP40" s="584">
        <v>120.0</v>
      </c>
      <c r="AQ40" s="583">
        <v>3.0</v>
      </c>
      <c r="AR40" s="585">
        <v>7.0</v>
      </c>
      <c r="AS40" s="583"/>
      <c r="AT40" s="584"/>
      <c r="AU40" s="583"/>
      <c r="AV40" s="585"/>
      <c r="AW40" s="583"/>
      <c r="AX40" s="584"/>
      <c r="AY40" s="583"/>
      <c r="AZ40" s="585"/>
      <c r="BA40" s="583"/>
      <c r="BB40" s="584"/>
      <c r="BC40" s="583"/>
      <c r="BD40" s="585"/>
      <c r="BE40" s="583"/>
      <c r="BF40" s="584"/>
      <c r="BG40" s="583"/>
      <c r="BH40" s="585"/>
      <c r="BI40" s="583"/>
      <c r="BJ40" s="584"/>
      <c r="BK40" s="583"/>
      <c r="BL40" s="585"/>
      <c r="BM40" s="583"/>
      <c r="BN40" s="584"/>
      <c r="BO40" s="583"/>
      <c r="BP40" s="585"/>
      <c r="BQ40" s="583"/>
      <c r="BR40" s="584"/>
      <c r="BS40" s="583"/>
      <c r="BT40" s="586"/>
      <c r="BU40" s="540"/>
      <c r="BV40" s="540"/>
      <c r="BW40" s="540"/>
      <c r="BX40" s="538"/>
      <c r="BY40" s="538"/>
      <c r="BZ40" s="587">
        <v>180.0</v>
      </c>
      <c r="CA40" s="588"/>
      <c r="CB40" s="589" t="s">
        <v>365</v>
      </c>
      <c r="CC40" s="590">
        <v>10.0</v>
      </c>
      <c r="CD40" s="590">
        <v>4.0</v>
      </c>
      <c r="CE40" s="590" t="e">
        <v>#VALUE!</v>
      </c>
      <c r="CF40" s="590"/>
      <c r="CG40" s="590">
        <v>0.1</v>
      </c>
      <c r="CH40" s="590"/>
      <c r="CI40" s="591"/>
      <c r="CJ40" s="590">
        <v>2.6</v>
      </c>
      <c r="CK40" s="478">
        <v>7.5</v>
      </c>
      <c r="CL40" s="592"/>
      <c r="CM40" s="593"/>
      <c r="CN40" s="538"/>
      <c r="CO40" s="538"/>
      <c r="CP40" s="538"/>
      <c r="CQ40" s="538"/>
      <c r="CR40" s="538"/>
      <c r="CS40" s="538"/>
      <c r="CT40" s="538"/>
      <c r="CU40" s="538"/>
      <c r="CV40" s="538"/>
      <c r="CW40" s="538"/>
      <c r="CX40" s="538"/>
      <c r="CY40" s="538"/>
      <c r="CZ40" s="538"/>
      <c r="DA40" s="538"/>
      <c r="DB40" s="538"/>
      <c r="DC40" s="538"/>
      <c r="DD40" s="538"/>
      <c r="DE40" s="538"/>
      <c r="DF40" s="538"/>
      <c r="DG40" s="538"/>
      <c r="DH40" s="538"/>
      <c r="DI40" s="538"/>
      <c r="DJ40" s="538"/>
      <c r="DK40" s="538"/>
      <c r="DL40" s="538"/>
      <c r="DM40" s="538"/>
      <c r="DN40" s="538"/>
      <c r="DO40" s="538"/>
      <c r="DP40" s="538"/>
      <c r="DQ40" s="538"/>
      <c r="DR40" s="538"/>
      <c r="DS40" s="538"/>
      <c r="DT40" s="538"/>
      <c r="DU40" s="538"/>
      <c r="DV40" s="538"/>
      <c r="DW40" s="538"/>
      <c r="DX40" s="538"/>
      <c r="DY40" s="538"/>
      <c r="DZ40" s="538"/>
      <c r="EA40" s="538"/>
      <c r="EB40" s="538"/>
      <c r="EC40" s="538"/>
      <c r="ED40" s="538"/>
      <c r="EE40" s="538"/>
      <c r="EF40" s="538"/>
      <c r="EG40" s="538"/>
      <c r="EH40" s="538"/>
      <c r="EI40" s="538"/>
      <c r="EJ40" s="538"/>
      <c r="EK40" s="538"/>
      <c r="EL40" s="538"/>
      <c r="EM40" s="538"/>
      <c r="EN40" s="538"/>
      <c r="EO40" s="538"/>
      <c r="EP40" s="538"/>
      <c r="EQ40" s="538"/>
      <c r="ER40" s="538"/>
      <c r="ES40" s="538"/>
      <c r="ET40" s="538"/>
      <c r="EU40" s="538"/>
      <c r="EV40" s="538"/>
      <c r="EW40" s="538"/>
      <c r="EX40" s="559"/>
      <c r="EY40" s="559"/>
      <c r="EZ40" s="559"/>
      <c r="FA40" s="559"/>
      <c r="FB40" s="559"/>
      <c r="FC40" s="559"/>
      <c r="FD40" s="559"/>
      <c r="FE40" s="559"/>
      <c r="FF40" s="559"/>
      <c r="FG40" s="559"/>
      <c r="FH40" s="559"/>
      <c r="FI40" s="559"/>
      <c r="FJ40" s="559"/>
      <c r="FK40" s="559"/>
      <c r="FL40" s="559"/>
      <c r="FM40" s="559"/>
      <c r="FN40" s="559"/>
      <c r="FO40" s="559"/>
      <c r="FP40" s="559"/>
      <c r="FQ40" s="559"/>
      <c r="FR40" s="559"/>
      <c r="FS40" s="559"/>
      <c r="FT40" s="559"/>
      <c r="FU40" s="559"/>
      <c r="FV40" s="559"/>
      <c r="FW40" s="559"/>
      <c r="FX40" s="559"/>
      <c r="FY40" s="559"/>
      <c r="FZ40" s="559"/>
      <c r="GA40" s="559"/>
      <c r="GB40" s="559"/>
      <c r="GC40" s="559"/>
      <c r="GD40" s="559"/>
      <c r="GE40" s="559"/>
      <c r="GF40" s="559"/>
      <c r="GG40" s="559"/>
      <c r="GH40" s="559"/>
    </row>
    <row r="41">
      <c r="A41" s="538"/>
      <c r="B41" s="134"/>
      <c r="C41" s="57"/>
      <c r="D41" s="594" t="s">
        <v>270</v>
      </c>
      <c r="E41" s="562" t="s">
        <v>489</v>
      </c>
      <c r="F41" s="596">
        <v>3.0</v>
      </c>
      <c r="G41" s="134">
        <v>5.0</v>
      </c>
      <c r="H41" s="597"/>
      <c r="I41" s="598">
        <v>0.0</v>
      </c>
      <c r="J41" s="599">
        <v>140.0</v>
      </c>
      <c r="K41" s="600"/>
      <c r="L41" s="601"/>
      <c r="M41" s="602"/>
      <c r="N41" s="603"/>
      <c r="O41" s="604"/>
      <c r="P41" s="604"/>
      <c r="Q41" s="57"/>
      <c r="R41" s="57"/>
      <c r="S41" s="605"/>
      <c r="T41" s="605"/>
      <c r="U41" s="573"/>
      <c r="V41" s="574"/>
      <c r="W41" s="575"/>
      <c r="X41" s="576">
        <v>2100.0</v>
      </c>
      <c r="Y41" s="577" t="e">
        <v>#VALUE!</v>
      </c>
      <c r="Z41" s="577">
        <v>15.0</v>
      </c>
      <c r="AA41" s="578">
        <v>0.5833333333333334</v>
      </c>
      <c r="AB41" s="578"/>
      <c r="AC41" s="579"/>
      <c r="AD41" s="580">
        <v>1.0</v>
      </c>
      <c r="AE41" s="581"/>
      <c r="AF41" s="582" t="s">
        <v>490</v>
      </c>
      <c r="AG41" s="583">
        <v>5.0</v>
      </c>
      <c r="AH41" s="584" t="s">
        <v>491</v>
      </c>
      <c r="AI41" s="583"/>
      <c r="AJ41" s="585">
        <v>6.5</v>
      </c>
      <c r="AK41" s="583"/>
      <c r="AL41" s="584"/>
      <c r="AM41" s="583"/>
      <c r="AN41" s="585">
        <v>5.0</v>
      </c>
      <c r="AO41" s="583"/>
      <c r="AP41" s="584"/>
      <c r="AQ41" s="583"/>
      <c r="AR41" s="585">
        <v>4.5</v>
      </c>
      <c r="AS41" s="583"/>
      <c r="AT41" s="584"/>
      <c r="AU41" s="583"/>
      <c r="AV41" s="585"/>
      <c r="AW41" s="583"/>
      <c r="AX41" s="584"/>
      <c r="AY41" s="583"/>
      <c r="AZ41" s="585"/>
      <c r="BA41" s="583"/>
      <c r="BB41" s="584"/>
      <c r="BC41" s="583"/>
      <c r="BD41" s="585"/>
      <c r="BE41" s="583"/>
      <c r="BF41" s="584"/>
      <c r="BG41" s="583"/>
      <c r="BH41" s="585"/>
      <c r="BI41" s="583"/>
      <c r="BJ41" s="584"/>
      <c r="BK41" s="583"/>
      <c r="BL41" s="585"/>
      <c r="BM41" s="583"/>
      <c r="BN41" s="584"/>
      <c r="BO41" s="583"/>
      <c r="BP41" s="585"/>
      <c r="BQ41" s="583"/>
      <c r="BR41" s="584"/>
      <c r="BS41" s="583"/>
      <c r="BT41" s="586"/>
      <c r="BU41" s="540"/>
      <c r="BV41" s="540"/>
      <c r="BW41" s="540"/>
      <c r="BX41" s="538"/>
      <c r="BY41" s="538"/>
      <c r="BZ41" s="587">
        <v>240.0</v>
      </c>
      <c r="CA41" s="588"/>
      <c r="CB41" s="589" t="s">
        <v>365</v>
      </c>
      <c r="CC41" s="590">
        <v>5.0</v>
      </c>
      <c r="CD41" s="590">
        <v>0.0</v>
      </c>
      <c r="CE41" s="590" t="e">
        <v>#VALUE!</v>
      </c>
      <c r="CF41" s="590"/>
      <c r="CG41" s="590">
        <v>0.05</v>
      </c>
      <c r="CH41" s="590"/>
      <c r="CI41" s="591"/>
      <c r="CJ41" s="590">
        <v>0.0</v>
      </c>
      <c r="CK41" s="478">
        <v>16.0</v>
      </c>
      <c r="CL41" s="592"/>
      <c r="CM41" s="593"/>
      <c r="CN41" s="538"/>
      <c r="CO41" s="538"/>
      <c r="CP41" s="538"/>
      <c r="CQ41" s="538"/>
      <c r="CR41" s="538"/>
      <c r="CS41" s="538"/>
      <c r="CT41" s="538"/>
      <c r="CU41" s="538"/>
      <c r="CV41" s="538"/>
      <c r="CW41" s="538"/>
      <c r="CX41" s="538"/>
      <c r="CY41" s="538"/>
      <c r="CZ41" s="538"/>
      <c r="DA41" s="538"/>
      <c r="DB41" s="538"/>
      <c r="DC41" s="538"/>
      <c r="DD41" s="538"/>
      <c r="DE41" s="538"/>
      <c r="DF41" s="538"/>
      <c r="DG41" s="538"/>
      <c r="DH41" s="538"/>
      <c r="DI41" s="538"/>
      <c r="DJ41" s="538"/>
      <c r="DK41" s="538"/>
      <c r="DL41" s="538"/>
      <c r="DM41" s="538"/>
      <c r="DN41" s="538"/>
      <c r="DO41" s="538"/>
      <c r="DP41" s="538"/>
      <c r="DQ41" s="538"/>
      <c r="DR41" s="538"/>
      <c r="DS41" s="538"/>
      <c r="DT41" s="538"/>
      <c r="DU41" s="538"/>
      <c r="DV41" s="538"/>
      <c r="DW41" s="538"/>
      <c r="DX41" s="538"/>
      <c r="DY41" s="538"/>
      <c r="DZ41" s="538"/>
      <c r="EA41" s="538"/>
      <c r="EB41" s="538"/>
      <c r="EC41" s="538"/>
      <c r="ED41" s="538"/>
      <c r="EE41" s="538"/>
      <c r="EF41" s="538"/>
      <c r="EG41" s="538"/>
      <c r="EH41" s="538"/>
      <c r="EI41" s="538"/>
      <c r="EJ41" s="538"/>
      <c r="EK41" s="538"/>
      <c r="EL41" s="538"/>
      <c r="EM41" s="538"/>
      <c r="EN41" s="538"/>
      <c r="EO41" s="538"/>
      <c r="EP41" s="538"/>
      <c r="EQ41" s="538"/>
      <c r="ER41" s="538"/>
      <c r="ES41" s="538"/>
      <c r="ET41" s="538"/>
      <c r="EU41" s="538"/>
      <c r="EV41" s="538"/>
      <c r="EW41" s="538"/>
      <c r="EX41" s="559"/>
      <c r="EY41" s="559"/>
      <c r="EZ41" s="559"/>
      <c r="FA41" s="559"/>
      <c r="FB41" s="559"/>
      <c r="FC41" s="559"/>
      <c r="FD41" s="559"/>
      <c r="FE41" s="559"/>
      <c r="FF41" s="559"/>
      <c r="FG41" s="559"/>
      <c r="FH41" s="559"/>
      <c r="FI41" s="559"/>
      <c r="FJ41" s="559"/>
      <c r="FK41" s="559"/>
      <c r="FL41" s="559"/>
      <c r="FM41" s="559"/>
      <c r="FN41" s="559"/>
      <c r="FO41" s="559"/>
      <c r="FP41" s="559"/>
      <c r="FQ41" s="559"/>
      <c r="FR41" s="559"/>
      <c r="FS41" s="559"/>
      <c r="FT41" s="559"/>
      <c r="FU41" s="559"/>
      <c r="FV41" s="559"/>
      <c r="FW41" s="559"/>
      <c r="FX41" s="559"/>
      <c r="FY41" s="559"/>
      <c r="FZ41" s="559"/>
      <c r="GA41" s="559"/>
      <c r="GB41" s="559"/>
      <c r="GC41" s="559"/>
      <c r="GD41" s="559"/>
      <c r="GE41" s="559"/>
      <c r="GF41" s="559"/>
      <c r="GG41" s="559"/>
      <c r="GH41" s="559"/>
    </row>
    <row r="42">
      <c r="A42" s="538"/>
      <c r="B42" s="560"/>
      <c r="C42" s="47"/>
      <c r="D42" s="561" t="s">
        <v>302</v>
      </c>
      <c r="E42" s="606" t="s">
        <v>492</v>
      </c>
      <c r="F42" s="563">
        <v>4.0</v>
      </c>
      <c r="G42" s="560">
        <v>12.0</v>
      </c>
      <c r="H42" s="564"/>
      <c r="I42" s="565" t="s">
        <v>365</v>
      </c>
      <c r="J42" s="566"/>
      <c r="K42" s="567">
        <v>2.0</v>
      </c>
      <c r="L42" s="568"/>
      <c r="M42" s="569"/>
      <c r="N42" s="570"/>
      <c r="O42" s="571"/>
      <c r="P42" s="571"/>
      <c r="Q42" s="47"/>
      <c r="R42" s="47"/>
      <c r="S42" s="572"/>
      <c r="T42" s="572"/>
      <c r="U42" s="573"/>
      <c r="V42" s="574"/>
      <c r="W42" s="575"/>
      <c r="X42" s="576">
        <v>0.0</v>
      </c>
      <c r="Y42" s="577" t="e">
        <v>#VALUE!</v>
      </c>
      <c r="Z42" s="577">
        <v>48.0</v>
      </c>
      <c r="AA42" s="578" t="b">
        <v>0</v>
      </c>
      <c r="AB42" s="578"/>
      <c r="AC42" s="579"/>
      <c r="AD42" s="580">
        <v>1.0</v>
      </c>
      <c r="AE42" s="581"/>
      <c r="AF42" s="582" t="s">
        <v>493</v>
      </c>
      <c r="AG42" s="583">
        <v>8.0</v>
      </c>
      <c r="AH42" s="584" t="s">
        <v>494</v>
      </c>
      <c r="AI42" s="583"/>
      <c r="AJ42" s="585"/>
      <c r="AK42" s="583"/>
      <c r="AL42" s="584"/>
      <c r="AM42" s="583"/>
      <c r="AN42" s="585"/>
      <c r="AO42" s="583"/>
      <c r="AP42" s="584"/>
      <c r="AQ42" s="583"/>
      <c r="AR42" s="585"/>
      <c r="AS42" s="583"/>
      <c r="AT42" s="584"/>
      <c r="AU42" s="583"/>
      <c r="AV42" s="585"/>
      <c r="AW42" s="583"/>
      <c r="AX42" s="584"/>
      <c r="AY42" s="583"/>
      <c r="AZ42" s="585"/>
      <c r="BA42" s="583"/>
      <c r="BB42" s="584"/>
      <c r="BC42" s="583"/>
      <c r="BD42" s="585"/>
      <c r="BE42" s="583"/>
      <c r="BF42" s="584"/>
      <c r="BG42" s="583"/>
      <c r="BH42" s="585"/>
      <c r="BI42" s="583"/>
      <c r="BJ42" s="584"/>
      <c r="BK42" s="583"/>
      <c r="BL42" s="585"/>
      <c r="BM42" s="583"/>
      <c r="BN42" s="584"/>
      <c r="BO42" s="583"/>
      <c r="BP42" s="585"/>
      <c r="BQ42" s="583"/>
      <c r="BR42" s="584"/>
      <c r="BS42" s="583"/>
      <c r="BT42" s="586"/>
      <c r="BU42" s="540"/>
      <c r="BV42" s="540"/>
      <c r="BW42" s="540"/>
      <c r="BX42" s="538"/>
      <c r="BY42" s="538"/>
      <c r="BZ42" s="587"/>
      <c r="CA42" s="588"/>
      <c r="CB42" s="589" t="s">
        <v>365</v>
      </c>
      <c r="CC42" s="590">
        <v>8.0</v>
      </c>
      <c r="CD42" s="590">
        <v>0.0</v>
      </c>
      <c r="CE42" s="590" t="e">
        <v>#VALUE!</v>
      </c>
      <c r="CF42" s="590"/>
      <c r="CG42" s="590">
        <v>0.08</v>
      </c>
      <c r="CH42" s="590"/>
      <c r="CI42" s="591"/>
      <c r="CJ42" s="590">
        <v>0.0</v>
      </c>
      <c r="CK42" s="478">
        <v>0.0</v>
      </c>
      <c r="CL42" s="592"/>
      <c r="CM42" s="593"/>
      <c r="CN42" s="538"/>
      <c r="CO42" s="538"/>
      <c r="CP42" s="538"/>
      <c r="CQ42" s="538"/>
      <c r="CR42" s="538"/>
      <c r="CS42" s="538"/>
      <c r="CT42" s="538"/>
      <c r="CU42" s="538"/>
      <c r="CV42" s="538"/>
      <c r="CW42" s="538"/>
      <c r="CX42" s="538"/>
      <c r="CY42" s="538"/>
      <c r="CZ42" s="538"/>
      <c r="DA42" s="538"/>
      <c r="DB42" s="538"/>
      <c r="DC42" s="538"/>
      <c r="DD42" s="538"/>
      <c r="DE42" s="538"/>
      <c r="DF42" s="538"/>
      <c r="DG42" s="538"/>
      <c r="DH42" s="538"/>
      <c r="DI42" s="538"/>
      <c r="DJ42" s="538"/>
      <c r="DK42" s="538"/>
      <c r="DL42" s="538"/>
      <c r="DM42" s="538"/>
      <c r="DN42" s="538"/>
      <c r="DO42" s="538"/>
      <c r="DP42" s="538"/>
      <c r="DQ42" s="538"/>
      <c r="DR42" s="538"/>
      <c r="DS42" s="538"/>
      <c r="DT42" s="538"/>
      <c r="DU42" s="538"/>
      <c r="DV42" s="538"/>
      <c r="DW42" s="538"/>
      <c r="DX42" s="538"/>
      <c r="DY42" s="538"/>
      <c r="DZ42" s="538"/>
      <c r="EA42" s="538"/>
      <c r="EB42" s="538"/>
      <c r="EC42" s="538"/>
      <c r="ED42" s="538"/>
      <c r="EE42" s="538"/>
      <c r="EF42" s="538"/>
      <c r="EG42" s="538"/>
      <c r="EH42" s="538"/>
      <c r="EI42" s="538"/>
      <c r="EJ42" s="538"/>
      <c r="EK42" s="538"/>
      <c r="EL42" s="538"/>
      <c r="EM42" s="538"/>
      <c r="EN42" s="538"/>
      <c r="EO42" s="538"/>
      <c r="EP42" s="538"/>
      <c r="EQ42" s="538"/>
      <c r="ER42" s="538"/>
      <c r="ES42" s="538"/>
      <c r="ET42" s="538"/>
      <c r="EU42" s="538"/>
      <c r="EV42" s="538"/>
      <c r="EW42" s="538"/>
      <c r="EX42" s="559"/>
      <c r="EY42" s="559"/>
      <c r="EZ42" s="559"/>
      <c r="FA42" s="559"/>
      <c r="FB42" s="559"/>
      <c r="FC42" s="559"/>
      <c r="FD42" s="559"/>
      <c r="FE42" s="559"/>
      <c r="FF42" s="559"/>
      <c r="FG42" s="559"/>
      <c r="FH42" s="559"/>
      <c r="FI42" s="559"/>
      <c r="FJ42" s="559"/>
      <c r="FK42" s="559"/>
      <c r="FL42" s="559"/>
      <c r="FM42" s="559"/>
      <c r="FN42" s="559"/>
      <c r="FO42" s="559"/>
      <c r="FP42" s="559"/>
      <c r="FQ42" s="559"/>
      <c r="FR42" s="559"/>
      <c r="FS42" s="559"/>
      <c r="FT42" s="559"/>
      <c r="FU42" s="559"/>
      <c r="FV42" s="559"/>
      <c r="FW42" s="559"/>
      <c r="FX42" s="559"/>
      <c r="FY42" s="559"/>
      <c r="FZ42" s="559"/>
      <c r="GA42" s="559"/>
      <c r="GB42" s="559"/>
      <c r="GC42" s="559"/>
      <c r="GD42" s="559"/>
      <c r="GE42" s="559"/>
      <c r="GF42" s="559"/>
      <c r="GG42" s="559"/>
      <c r="GH42" s="559"/>
    </row>
    <row r="43">
      <c r="A43" s="538"/>
      <c r="B43" s="134"/>
      <c r="C43" s="57"/>
      <c r="D43" s="594" t="s">
        <v>302</v>
      </c>
      <c r="E43" s="595" t="s">
        <v>495</v>
      </c>
      <c r="F43" s="596">
        <v>3.0</v>
      </c>
      <c r="G43" s="134">
        <v>12.0</v>
      </c>
      <c r="H43" s="597"/>
      <c r="I43" s="598" t="s">
        <v>365</v>
      </c>
      <c r="J43" s="599"/>
      <c r="K43" s="600">
        <v>2.0</v>
      </c>
      <c r="L43" s="601"/>
      <c r="M43" s="602"/>
      <c r="N43" s="603"/>
      <c r="O43" s="604"/>
      <c r="P43" s="604"/>
      <c r="Q43" s="57"/>
      <c r="S43" s="605"/>
      <c r="U43" s="573"/>
      <c r="V43" s="574"/>
      <c r="W43" s="575"/>
      <c r="X43" s="576">
        <v>0.0</v>
      </c>
      <c r="Y43" s="577" t="e">
        <v>#VALUE!</v>
      </c>
      <c r="Z43" s="577">
        <v>36.0</v>
      </c>
      <c r="AA43" s="578" t="b">
        <v>0</v>
      </c>
      <c r="AB43" s="578"/>
      <c r="AC43" s="579"/>
      <c r="AD43" s="580">
        <v>2.0</v>
      </c>
      <c r="AE43" s="581"/>
      <c r="AF43" s="582" t="s">
        <v>496</v>
      </c>
      <c r="AG43" s="583"/>
      <c r="AH43" s="584" t="s">
        <v>497</v>
      </c>
      <c r="AI43" s="583"/>
      <c r="AJ43" s="585"/>
      <c r="AK43" s="583">
        <v>12.0</v>
      </c>
      <c r="AL43" s="584" t="s">
        <v>498</v>
      </c>
      <c r="AM43" s="583"/>
      <c r="AN43" s="585"/>
      <c r="AO43" s="583">
        <v>10.0</v>
      </c>
      <c r="AP43" s="584">
        <v>68.0</v>
      </c>
      <c r="AQ43" s="583"/>
      <c r="AR43" s="585"/>
      <c r="AS43" s="583"/>
      <c r="AT43" s="584"/>
      <c r="AU43" s="583"/>
      <c r="AV43" s="585"/>
      <c r="AW43" s="583"/>
      <c r="AX43" s="584"/>
      <c r="AY43" s="583"/>
      <c r="AZ43" s="585"/>
      <c r="BA43" s="583"/>
      <c r="BB43" s="584"/>
      <c r="BC43" s="583"/>
      <c r="BD43" s="585"/>
      <c r="BE43" s="583"/>
      <c r="BF43" s="584"/>
      <c r="BG43" s="583"/>
      <c r="BH43" s="585"/>
      <c r="BI43" s="583"/>
      <c r="BJ43" s="584"/>
      <c r="BK43" s="583"/>
      <c r="BL43" s="585"/>
      <c r="BM43" s="583"/>
      <c r="BN43" s="584"/>
      <c r="BO43" s="583"/>
      <c r="BP43" s="585"/>
      <c r="BQ43" s="583"/>
      <c r="BR43" s="584"/>
      <c r="BS43" s="583"/>
      <c r="BT43" s="586"/>
      <c r="BU43" s="540"/>
      <c r="BV43" s="540"/>
      <c r="BW43" s="540"/>
      <c r="BX43" s="538"/>
      <c r="BY43" s="538"/>
      <c r="BZ43" s="587"/>
      <c r="CA43" s="588"/>
      <c r="CB43" s="589" t="s">
        <v>365</v>
      </c>
      <c r="CC43" s="590">
        <v>22.0</v>
      </c>
      <c r="CD43" s="590">
        <v>0.0</v>
      </c>
      <c r="CE43" s="590" t="e">
        <v>#VALUE!</v>
      </c>
      <c r="CF43" s="590"/>
      <c r="CG43" s="590">
        <v>0.22</v>
      </c>
      <c r="CH43" s="590"/>
      <c r="CI43" s="591"/>
      <c r="CJ43" s="590">
        <v>0.0</v>
      </c>
      <c r="CK43" s="478">
        <v>0.0</v>
      </c>
      <c r="CL43" s="592"/>
      <c r="CM43" s="593"/>
      <c r="CN43" s="538"/>
      <c r="CO43" s="538"/>
      <c r="CP43" s="538"/>
      <c r="CQ43" s="538"/>
      <c r="CR43" s="538"/>
      <c r="CS43" s="538"/>
      <c r="CT43" s="538"/>
      <c r="CU43" s="538"/>
      <c r="CV43" s="538"/>
      <c r="CW43" s="538"/>
      <c r="CX43" s="538"/>
      <c r="CY43" s="538"/>
      <c r="CZ43" s="538"/>
      <c r="DA43" s="538"/>
      <c r="DB43" s="538"/>
      <c r="DC43" s="538"/>
      <c r="DD43" s="538"/>
      <c r="DE43" s="538"/>
      <c r="DF43" s="538"/>
      <c r="DG43" s="538"/>
      <c r="DH43" s="538"/>
      <c r="DI43" s="538"/>
      <c r="DJ43" s="538"/>
      <c r="DK43" s="538"/>
      <c r="DL43" s="538"/>
      <c r="DM43" s="538"/>
      <c r="DN43" s="538"/>
      <c r="DO43" s="538"/>
      <c r="DP43" s="538"/>
      <c r="DQ43" s="538"/>
      <c r="DR43" s="538"/>
      <c r="DS43" s="538"/>
      <c r="DT43" s="538"/>
      <c r="DU43" s="538"/>
      <c r="DV43" s="538"/>
      <c r="DW43" s="538"/>
      <c r="DX43" s="538"/>
      <c r="DY43" s="538"/>
      <c r="DZ43" s="538"/>
      <c r="EA43" s="538"/>
      <c r="EB43" s="538"/>
      <c r="EC43" s="538"/>
      <c r="ED43" s="538"/>
      <c r="EE43" s="538"/>
      <c r="EF43" s="538"/>
      <c r="EG43" s="538"/>
      <c r="EH43" s="538"/>
      <c r="EI43" s="538"/>
      <c r="EJ43" s="538"/>
      <c r="EK43" s="538"/>
      <c r="EL43" s="538"/>
      <c r="EM43" s="538"/>
      <c r="EN43" s="538"/>
      <c r="EO43" s="538"/>
      <c r="EP43" s="538"/>
      <c r="EQ43" s="538"/>
      <c r="ER43" s="538"/>
      <c r="ES43" s="538"/>
      <c r="ET43" s="538"/>
      <c r="EU43" s="538"/>
      <c r="EV43" s="538"/>
      <c r="EW43" s="538"/>
      <c r="EX43" s="559"/>
      <c r="EY43" s="559"/>
      <c r="EZ43" s="559"/>
      <c r="FA43" s="559"/>
      <c r="FB43" s="559"/>
      <c r="FC43" s="559"/>
      <c r="FD43" s="559"/>
      <c r="FE43" s="559"/>
      <c r="FF43" s="559"/>
      <c r="FG43" s="559"/>
      <c r="FH43" s="559"/>
      <c r="FI43" s="559"/>
      <c r="FJ43" s="559"/>
      <c r="FK43" s="559"/>
      <c r="FL43" s="559"/>
      <c r="FM43" s="559"/>
      <c r="FN43" s="559"/>
      <c r="FO43" s="559"/>
      <c r="FP43" s="559"/>
      <c r="FQ43" s="559"/>
      <c r="FR43" s="559"/>
      <c r="FS43" s="559"/>
      <c r="FT43" s="559"/>
      <c r="FU43" s="559"/>
      <c r="FV43" s="559"/>
      <c r="FW43" s="559"/>
      <c r="FX43" s="559"/>
      <c r="FY43" s="559"/>
      <c r="FZ43" s="559"/>
      <c r="GA43" s="559"/>
      <c r="GB43" s="559"/>
      <c r="GC43" s="559"/>
      <c r="GD43" s="559"/>
      <c r="GE43" s="559"/>
      <c r="GF43" s="559"/>
      <c r="GG43" s="559"/>
      <c r="GH43" s="559"/>
    </row>
    <row r="44">
      <c r="A44" s="538"/>
      <c r="B44" s="560"/>
      <c r="C44" s="47"/>
      <c r="D44" s="561" t="s">
        <v>332</v>
      </c>
      <c r="E44" s="606" t="s">
        <v>499</v>
      </c>
      <c r="F44" s="563">
        <v>3.0</v>
      </c>
      <c r="G44" s="563">
        <v>15.0</v>
      </c>
      <c r="H44" s="564"/>
      <c r="I44" s="565" t="s">
        <v>365</v>
      </c>
      <c r="J44" s="607"/>
      <c r="K44" s="567">
        <v>2.0</v>
      </c>
      <c r="L44" s="568"/>
      <c r="M44" s="569"/>
      <c r="N44" s="570"/>
      <c r="O44" s="571"/>
      <c r="P44" s="571"/>
      <c r="Q44" s="47"/>
      <c r="S44" s="572"/>
      <c r="U44" s="573"/>
      <c r="V44" s="574"/>
      <c r="W44" s="575"/>
      <c r="X44" s="576">
        <v>0.0</v>
      </c>
      <c r="Y44" s="577">
        <v>0.0</v>
      </c>
      <c r="Z44" s="577">
        <v>45.0</v>
      </c>
      <c r="AA44" s="578" t="b">
        <v>0</v>
      </c>
      <c r="AB44" s="578"/>
      <c r="AC44" s="579"/>
      <c r="AD44" s="608">
        <v>0.0</v>
      </c>
      <c r="AE44" s="609"/>
      <c r="AF44" s="582" t="s">
        <v>500</v>
      </c>
      <c r="AG44" s="583"/>
      <c r="AH44" s="584"/>
      <c r="AI44" s="583"/>
      <c r="AJ44" s="585"/>
      <c r="AK44" s="610"/>
      <c r="AL44" s="611"/>
      <c r="AM44" s="612"/>
      <c r="AN44" s="613"/>
      <c r="AO44" s="610"/>
      <c r="AP44" s="611"/>
      <c r="AQ44" s="612"/>
      <c r="AR44" s="613"/>
      <c r="AS44" s="583"/>
      <c r="AT44" s="584"/>
      <c r="AU44" s="583"/>
      <c r="AV44" s="585"/>
      <c r="AX44" s="584"/>
      <c r="AY44" s="583"/>
      <c r="AZ44" s="585"/>
      <c r="BA44" s="583"/>
      <c r="BB44" s="584"/>
      <c r="BC44" s="583"/>
      <c r="BD44" s="585"/>
      <c r="BE44" s="583"/>
      <c r="BF44" s="584"/>
      <c r="BG44" s="583"/>
      <c r="BH44" s="585"/>
      <c r="BI44" s="583"/>
      <c r="BJ44" s="584"/>
      <c r="BK44" s="583"/>
      <c r="BL44" s="585"/>
      <c r="BM44" s="583"/>
      <c r="BN44" s="584"/>
      <c r="BO44" s="583"/>
      <c r="BP44" s="585"/>
      <c r="BQ44" s="583"/>
      <c r="BR44" s="584"/>
      <c r="BS44" s="583"/>
      <c r="BT44" s="586"/>
      <c r="BU44" s="540"/>
      <c r="BV44" s="540"/>
      <c r="BW44" s="540"/>
      <c r="BX44" s="538"/>
      <c r="BY44" s="538"/>
      <c r="BZ44" s="587"/>
      <c r="CA44" s="591"/>
      <c r="CB44" s="590" t="s">
        <v>365</v>
      </c>
      <c r="CC44" s="590">
        <v>0.0</v>
      </c>
      <c r="CD44" s="590" t="s">
        <v>365</v>
      </c>
      <c r="CE44" s="590">
        <v>0.0</v>
      </c>
      <c r="CF44" s="590"/>
      <c r="CG44" s="590">
        <v>0.0</v>
      </c>
      <c r="CH44" s="590"/>
      <c r="CI44" s="591"/>
      <c r="CJ44" s="590">
        <v>0.0</v>
      </c>
      <c r="CK44" s="478" t="s">
        <v>365</v>
      </c>
      <c r="CL44" s="592"/>
      <c r="CM44" s="593"/>
      <c r="CN44" s="538"/>
      <c r="CO44" s="538"/>
      <c r="CP44" s="538"/>
      <c r="CQ44" s="538"/>
      <c r="CR44" s="538"/>
      <c r="CS44" s="538"/>
      <c r="CT44" s="538"/>
      <c r="CU44" s="538"/>
      <c r="CV44" s="538"/>
      <c r="CW44" s="538"/>
      <c r="CX44" s="538"/>
      <c r="CY44" s="538"/>
      <c r="CZ44" s="538"/>
      <c r="DA44" s="538"/>
      <c r="DB44" s="538"/>
      <c r="DC44" s="538"/>
      <c r="DD44" s="538"/>
      <c r="DE44" s="538"/>
      <c r="DF44" s="538"/>
      <c r="DG44" s="538"/>
      <c r="DH44" s="538"/>
      <c r="DI44" s="538"/>
      <c r="DJ44" s="538"/>
      <c r="DK44" s="538"/>
      <c r="DL44" s="538"/>
      <c r="DM44" s="538"/>
      <c r="DN44" s="538"/>
      <c r="DO44" s="538"/>
      <c r="DP44" s="538"/>
      <c r="DQ44" s="538"/>
      <c r="DR44" s="538"/>
      <c r="DS44" s="538"/>
      <c r="DT44" s="538"/>
      <c r="DU44" s="538"/>
      <c r="DV44" s="538"/>
      <c r="DW44" s="538"/>
      <c r="DX44" s="538"/>
      <c r="DY44" s="538"/>
      <c r="DZ44" s="538"/>
      <c r="EA44" s="538"/>
      <c r="EB44" s="538"/>
      <c r="EC44" s="538"/>
      <c r="ED44" s="538"/>
      <c r="EE44" s="538"/>
      <c r="EF44" s="538"/>
      <c r="EG44" s="538"/>
      <c r="EH44" s="538"/>
      <c r="EI44" s="538"/>
      <c r="EJ44" s="538"/>
      <c r="EK44" s="538"/>
      <c r="EL44" s="538"/>
      <c r="EM44" s="538"/>
      <c r="EN44" s="538"/>
      <c r="EO44" s="538"/>
      <c r="EP44" s="538"/>
      <c r="EQ44" s="538"/>
      <c r="ER44" s="538"/>
      <c r="ES44" s="538"/>
      <c r="ET44" s="538"/>
      <c r="EU44" s="538"/>
      <c r="EV44" s="538"/>
      <c r="EW44" s="538"/>
      <c r="EX44" s="559"/>
      <c r="EY44" s="559"/>
      <c r="EZ44" s="559"/>
      <c r="FA44" s="559"/>
      <c r="FB44" s="559"/>
      <c r="FC44" s="559"/>
      <c r="FD44" s="559"/>
      <c r="FE44" s="559"/>
      <c r="FF44" s="559"/>
      <c r="FG44" s="559"/>
      <c r="FH44" s="559"/>
      <c r="FI44" s="559"/>
      <c r="FJ44" s="559"/>
      <c r="FK44" s="559"/>
      <c r="FL44" s="559"/>
      <c r="FM44" s="559"/>
      <c r="FN44" s="559"/>
      <c r="FO44" s="559"/>
      <c r="FP44" s="559"/>
      <c r="FQ44" s="559"/>
      <c r="FR44" s="559"/>
      <c r="FS44" s="559"/>
      <c r="FT44" s="559"/>
      <c r="FU44" s="559"/>
      <c r="FV44" s="559"/>
      <c r="FW44" s="559"/>
      <c r="FX44" s="559"/>
      <c r="FY44" s="559"/>
      <c r="FZ44" s="559"/>
      <c r="GA44" s="559"/>
      <c r="GB44" s="559"/>
      <c r="GC44" s="559"/>
      <c r="GD44" s="559"/>
      <c r="GE44" s="559"/>
      <c r="GF44" s="559"/>
      <c r="GG44" s="559"/>
      <c r="GH44" s="559"/>
    </row>
    <row r="45">
      <c r="A45" s="538"/>
      <c r="B45" s="156" t="s">
        <v>379</v>
      </c>
      <c r="C45" s="444"/>
      <c r="D45" s="614"/>
      <c r="E45" s="595"/>
      <c r="F45" s="596"/>
      <c r="G45" s="596"/>
      <c r="H45" s="615"/>
      <c r="I45" s="616" t="s">
        <v>365</v>
      </c>
      <c r="J45" s="599"/>
      <c r="K45" s="600"/>
      <c r="L45" s="601"/>
      <c r="M45" s="602"/>
      <c r="N45" s="617"/>
      <c r="O45" s="604"/>
      <c r="P45" s="57"/>
      <c r="Q45" s="57"/>
      <c r="S45" s="605"/>
      <c r="U45" s="573"/>
      <c r="V45" s="574"/>
      <c r="W45" s="618"/>
      <c r="X45" s="576">
        <v>0.0</v>
      </c>
      <c r="Y45" s="577">
        <v>0.0</v>
      </c>
      <c r="Z45" s="577" t="s">
        <v>365</v>
      </c>
      <c r="AA45" s="578" t="b">
        <v>0</v>
      </c>
      <c r="AB45" s="578"/>
      <c r="AC45" s="579"/>
      <c r="AD45" s="608">
        <v>0.0</v>
      </c>
      <c r="AE45" s="609"/>
      <c r="AF45" s="582" t="s">
        <v>365</v>
      </c>
      <c r="AG45" s="583"/>
      <c r="AH45" s="584"/>
      <c r="AI45" s="583"/>
      <c r="AJ45" s="585"/>
      <c r="AK45" s="583"/>
      <c r="AL45" s="584"/>
      <c r="AM45" s="583"/>
      <c r="AN45" s="585"/>
      <c r="AO45" s="583"/>
      <c r="AP45" s="584"/>
      <c r="AQ45" s="583"/>
      <c r="AR45" s="585"/>
      <c r="AS45" s="583"/>
      <c r="AT45" s="584"/>
      <c r="AU45" s="583"/>
      <c r="AV45" s="585"/>
      <c r="AW45" s="583"/>
      <c r="AX45" s="584"/>
      <c r="AY45" s="583"/>
      <c r="AZ45" s="585"/>
      <c r="BA45" s="583"/>
      <c r="BB45" s="584"/>
      <c r="BC45" s="583"/>
      <c r="BD45" s="585"/>
      <c r="BE45" s="583"/>
      <c r="BF45" s="584"/>
      <c r="BG45" s="583"/>
      <c r="BH45" s="585"/>
      <c r="BI45" s="583"/>
      <c r="BJ45" s="584"/>
      <c r="BK45" s="583"/>
      <c r="BL45" s="585"/>
      <c r="BM45" s="583"/>
      <c r="BN45" s="584"/>
      <c r="BO45" s="583"/>
      <c r="BP45" s="585"/>
      <c r="BQ45" s="583"/>
      <c r="BR45" s="584"/>
      <c r="BS45" s="583"/>
      <c r="BT45" s="586"/>
      <c r="BU45" s="540"/>
      <c r="BV45" s="540"/>
      <c r="BW45" s="540"/>
      <c r="BX45" s="538"/>
      <c r="BY45" s="538"/>
      <c r="BZ45" s="587"/>
      <c r="CA45" s="591"/>
      <c r="CB45" s="590" t="s">
        <v>365</v>
      </c>
      <c r="CC45" s="590">
        <v>0.0</v>
      </c>
      <c r="CD45" s="590" t="s">
        <v>365</v>
      </c>
      <c r="CE45" s="590">
        <v>0.0</v>
      </c>
      <c r="CF45" s="590"/>
      <c r="CG45" s="590">
        <v>0.0</v>
      </c>
      <c r="CH45" s="590"/>
      <c r="CI45" s="591"/>
      <c r="CJ45" s="590">
        <v>0.0</v>
      </c>
      <c r="CK45" s="479" t="s">
        <v>365</v>
      </c>
      <c r="CL45" s="592"/>
      <c r="CM45" s="593"/>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59"/>
      <c r="EY45" s="559"/>
      <c r="EZ45" s="559"/>
      <c r="FA45" s="559"/>
      <c r="FB45" s="559"/>
      <c r="FC45" s="559"/>
      <c r="FD45" s="559"/>
      <c r="FE45" s="559"/>
      <c r="FF45" s="559"/>
      <c r="FG45" s="559"/>
      <c r="FH45" s="559"/>
      <c r="FI45" s="559"/>
      <c r="FJ45" s="559"/>
      <c r="FK45" s="559"/>
      <c r="FL45" s="559"/>
      <c r="FM45" s="559"/>
      <c r="FN45" s="559"/>
      <c r="FO45" s="559"/>
      <c r="FP45" s="559"/>
      <c r="FQ45" s="559"/>
      <c r="FR45" s="559"/>
      <c r="FS45" s="559"/>
      <c r="FT45" s="559"/>
      <c r="FU45" s="559"/>
      <c r="FV45" s="559"/>
      <c r="FW45" s="559"/>
      <c r="FX45" s="559"/>
      <c r="FY45" s="559"/>
      <c r="FZ45" s="559"/>
      <c r="GA45" s="559"/>
      <c r="GB45" s="559"/>
      <c r="GC45" s="559"/>
      <c r="GD45" s="559"/>
      <c r="GE45" s="559"/>
      <c r="GF45" s="559"/>
      <c r="GG45" s="559"/>
      <c r="GH45" s="559"/>
    </row>
    <row r="46">
      <c r="A46" s="538"/>
      <c r="B46" s="156"/>
      <c r="C46" s="444"/>
      <c r="D46" s="614" t="s">
        <v>380</v>
      </c>
      <c r="E46" s="562" t="s">
        <v>501</v>
      </c>
      <c r="F46" s="563">
        <v>4.0</v>
      </c>
      <c r="G46" s="563">
        <v>4.0</v>
      </c>
      <c r="H46" s="564"/>
      <c r="I46" s="565">
        <v>0.0</v>
      </c>
      <c r="J46" s="566">
        <v>85.0</v>
      </c>
      <c r="K46" s="567"/>
      <c r="L46" s="568"/>
      <c r="M46" s="569"/>
      <c r="N46" s="619"/>
      <c r="O46" s="571"/>
      <c r="P46" s="560"/>
      <c r="Q46" s="47"/>
      <c r="S46" s="572"/>
      <c r="U46" s="573"/>
      <c r="V46" s="574"/>
      <c r="W46" s="618"/>
      <c r="X46" s="576">
        <v>1360.0</v>
      </c>
      <c r="Y46" s="577" t="e">
        <v>#VALUE!</v>
      </c>
      <c r="Z46" s="577">
        <v>16.0</v>
      </c>
      <c r="AA46" s="578">
        <v>0.7391304347826086</v>
      </c>
      <c r="AB46" s="578"/>
      <c r="AC46" s="579"/>
      <c r="AD46" s="608">
        <v>3.0</v>
      </c>
      <c r="AE46" s="609"/>
      <c r="AF46" s="582" t="s">
        <v>502</v>
      </c>
      <c r="AG46" s="583">
        <v>4.0</v>
      </c>
      <c r="AH46" s="584" t="s">
        <v>503</v>
      </c>
      <c r="AI46" s="583">
        <v>1.0</v>
      </c>
      <c r="AJ46" s="585"/>
      <c r="AK46" s="583">
        <v>5.0</v>
      </c>
      <c r="AL46" s="584" t="s">
        <v>504</v>
      </c>
      <c r="AM46" s="583">
        <v>1.0</v>
      </c>
      <c r="AN46" s="585"/>
      <c r="AO46" s="583">
        <v>4.0</v>
      </c>
      <c r="AP46" s="584">
        <v>85.0</v>
      </c>
      <c r="AQ46" s="583"/>
      <c r="AR46" s="585">
        <v>7.5</v>
      </c>
      <c r="AS46" s="610"/>
      <c r="AT46" s="620"/>
      <c r="AU46" s="612"/>
      <c r="AV46" s="613"/>
      <c r="AW46" s="610"/>
      <c r="AX46" s="620"/>
      <c r="AY46" s="612"/>
      <c r="AZ46" s="613"/>
      <c r="BA46" s="583"/>
      <c r="BB46" s="584"/>
      <c r="BC46" s="583"/>
      <c r="BD46" s="585"/>
      <c r="BE46" s="583"/>
      <c r="BF46" s="584"/>
      <c r="BG46" s="583"/>
      <c r="BH46" s="585"/>
      <c r="BI46" s="583"/>
      <c r="BJ46" s="584"/>
      <c r="BK46" s="583"/>
      <c r="BL46" s="585"/>
      <c r="BM46" s="583"/>
      <c r="BN46" s="584"/>
      <c r="BO46" s="583"/>
      <c r="BP46" s="585"/>
      <c r="BQ46" s="583"/>
      <c r="BR46" s="584"/>
      <c r="BS46" s="583"/>
      <c r="BT46" s="586"/>
      <c r="BU46" s="540"/>
      <c r="BV46" s="540"/>
      <c r="BW46" s="540"/>
      <c r="BX46" s="538"/>
      <c r="BY46" s="538"/>
      <c r="BZ46" s="587">
        <v>115.0</v>
      </c>
      <c r="CA46" s="591"/>
      <c r="CB46" s="590" t="s">
        <v>365</v>
      </c>
      <c r="CC46" s="590">
        <v>13.0</v>
      </c>
      <c r="CD46" s="590">
        <v>0.6666666666666666</v>
      </c>
      <c r="CE46" s="590" t="e">
        <v>#VALUE!</v>
      </c>
      <c r="CF46" s="590"/>
      <c r="CG46" s="590">
        <v>0.13</v>
      </c>
      <c r="CH46" s="590"/>
      <c r="CI46" s="591"/>
      <c r="CJ46" s="590">
        <v>2.4</v>
      </c>
      <c r="CK46" s="479">
        <v>2.5</v>
      </c>
      <c r="CL46" s="592"/>
      <c r="CM46" s="593"/>
      <c r="CN46" s="538"/>
      <c r="CO46" s="538"/>
      <c r="CP46" s="538"/>
      <c r="CQ46" s="538"/>
      <c r="CR46" s="538"/>
      <c r="CS46" s="538"/>
      <c r="CT46" s="538"/>
      <c r="CU46" s="538"/>
      <c r="CV46" s="538"/>
      <c r="CW46" s="538"/>
      <c r="CX46" s="538"/>
      <c r="CY46" s="538"/>
      <c r="CZ46" s="538"/>
      <c r="DA46" s="538"/>
      <c r="DB46" s="538"/>
      <c r="DC46" s="538"/>
      <c r="DD46" s="538"/>
      <c r="DE46" s="538"/>
      <c r="DF46" s="538"/>
      <c r="DG46" s="538"/>
      <c r="DH46" s="538"/>
      <c r="DI46" s="538"/>
      <c r="DJ46" s="538"/>
      <c r="DK46" s="538"/>
      <c r="DL46" s="538"/>
      <c r="DM46" s="538"/>
      <c r="DN46" s="538"/>
      <c r="DO46" s="538"/>
      <c r="DP46" s="538"/>
      <c r="DQ46" s="538"/>
      <c r="DR46" s="538"/>
      <c r="DS46" s="538"/>
      <c r="DT46" s="538"/>
      <c r="DU46" s="538"/>
      <c r="DV46" s="538"/>
      <c r="DW46" s="538"/>
      <c r="DX46" s="538"/>
      <c r="DY46" s="538"/>
      <c r="DZ46" s="538"/>
      <c r="EA46" s="538"/>
      <c r="EB46" s="538"/>
      <c r="EC46" s="538"/>
      <c r="ED46" s="538"/>
      <c r="EE46" s="538"/>
      <c r="EF46" s="538"/>
      <c r="EG46" s="538"/>
      <c r="EH46" s="538"/>
      <c r="EI46" s="538"/>
      <c r="EJ46" s="538"/>
      <c r="EK46" s="538"/>
      <c r="EL46" s="538"/>
      <c r="EM46" s="538"/>
      <c r="EN46" s="538"/>
      <c r="EO46" s="538"/>
      <c r="EP46" s="538"/>
      <c r="EQ46" s="538"/>
      <c r="ER46" s="538"/>
      <c r="ES46" s="538"/>
      <c r="ET46" s="538"/>
      <c r="EU46" s="538"/>
      <c r="EV46" s="538"/>
      <c r="EW46" s="538"/>
      <c r="EX46" s="559"/>
      <c r="EY46" s="559"/>
      <c r="EZ46" s="559"/>
      <c r="FA46" s="559"/>
      <c r="FB46" s="559"/>
      <c r="FC46" s="559"/>
      <c r="FD46" s="559"/>
      <c r="FE46" s="559"/>
      <c r="FF46" s="559"/>
      <c r="FG46" s="559"/>
      <c r="FH46" s="559"/>
      <c r="FI46" s="559"/>
      <c r="FJ46" s="559"/>
      <c r="FK46" s="559"/>
      <c r="FL46" s="559"/>
      <c r="FM46" s="559"/>
      <c r="FN46" s="559"/>
      <c r="FO46" s="559"/>
      <c r="FP46" s="559"/>
      <c r="FQ46" s="559"/>
      <c r="FR46" s="559"/>
      <c r="FS46" s="559"/>
      <c r="FT46" s="559"/>
      <c r="FU46" s="559"/>
      <c r="FV46" s="559"/>
      <c r="FW46" s="559"/>
      <c r="FX46" s="559"/>
      <c r="FY46" s="559"/>
      <c r="FZ46" s="559"/>
      <c r="GA46" s="559"/>
      <c r="GB46" s="559"/>
      <c r="GC46" s="559"/>
      <c r="GD46" s="559"/>
      <c r="GE46" s="559"/>
      <c r="GF46" s="559"/>
      <c r="GG46" s="559"/>
      <c r="GH46" s="559"/>
    </row>
    <row r="47">
      <c r="A47" s="538"/>
      <c r="B47" s="156"/>
      <c r="C47" s="444"/>
      <c r="D47" s="614" t="s">
        <v>313</v>
      </c>
      <c r="E47" s="595" t="s">
        <v>505</v>
      </c>
      <c r="F47" s="596">
        <v>3.0</v>
      </c>
      <c r="G47" s="596">
        <v>10.0</v>
      </c>
      <c r="H47" s="597"/>
      <c r="I47" s="616" t="s">
        <v>365</v>
      </c>
      <c r="J47" s="599"/>
      <c r="K47" s="600">
        <v>2.0</v>
      </c>
      <c r="L47" s="601">
        <v>3.0</v>
      </c>
      <c r="M47" s="602"/>
      <c r="N47" s="603"/>
      <c r="O47" s="621"/>
      <c r="P47" s="57"/>
      <c r="Q47" s="57"/>
      <c r="R47" s="57"/>
      <c r="S47" s="605"/>
      <c r="T47" s="605"/>
      <c r="U47" s="573"/>
      <c r="V47" s="574"/>
      <c r="W47" s="618"/>
      <c r="X47" s="576">
        <v>0.0</v>
      </c>
      <c r="Y47" s="577" t="e">
        <v>#VALUE!</v>
      </c>
      <c r="Z47" s="577">
        <v>30.0</v>
      </c>
      <c r="AA47" s="578" t="b">
        <v>0</v>
      </c>
      <c r="AB47" s="578"/>
      <c r="AC47" s="579"/>
      <c r="AD47" s="608">
        <v>3.0</v>
      </c>
      <c r="AE47" s="609"/>
      <c r="AF47" s="582" t="s">
        <v>506</v>
      </c>
      <c r="AG47" s="583">
        <v>20.0</v>
      </c>
      <c r="AH47" s="584" t="s">
        <v>507</v>
      </c>
      <c r="AI47" s="583"/>
      <c r="AJ47" s="585"/>
      <c r="AK47" s="583"/>
      <c r="AL47" s="584" t="s">
        <v>508</v>
      </c>
      <c r="AM47" s="583"/>
      <c r="AN47" s="585"/>
      <c r="AO47" s="583">
        <v>15.0</v>
      </c>
      <c r="AP47" s="584" t="s">
        <v>509</v>
      </c>
      <c r="AQ47" s="583"/>
      <c r="AR47" s="585"/>
      <c r="AS47" s="583">
        <v>12.0</v>
      </c>
      <c r="AT47" s="584" t="s">
        <v>510</v>
      </c>
      <c r="AU47" s="583"/>
      <c r="AV47" s="585"/>
      <c r="AW47" s="583"/>
      <c r="AX47" s="584"/>
      <c r="AY47" s="583"/>
      <c r="AZ47" s="585"/>
      <c r="BA47" s="583"/>
      <c r="BB47" s="584"/>
      <c r="BC47" s="583"/>
      <c r="BD47" s="585"/>
      <c r="BE47" s="583"/>
      <c r="BF47" s="584"/>
      <c r="BG47" s="583"/>
      <c r="BH47" s="585"/>
      <c r="BI47" s="583"/>
      <c r="BJ47" s="584"/>
      <c r="BK47" s="583"/>
      <c r="BL47" s="585"/>
      <c r="BM47" s="583"/>
      <c r="BN47" s="584"/>
      <c r="BO47" s="583"/>
      <c r="BP47" s="585"/>
      <c r="BQ47" s="583"/>
      <c r="BR47" s="584"/>
      <c r="BS47" s="583"/>
      <c r="BT47" s="586"/>
      <c r="BU47" s="540"/>
      <c r="BV47" s="540"/>
      <c r="BW47" s="540"/>
      <c r="BX47" s="538"/>
      <c r="BY47" s="538"/>
      <c r="BZ47" s="587"/>
      <c r="CA47" s="591"/>
      <c r="CB47" s="590" t="s">
        <v>365</v>
      </c>
      <c r="CC47" s="590">
        <v>47.0</v>
      </c>
      <c r="CD47" s="590">
        <v>0.0</v>
      </c>
      <c r="CE47" s="590" t="e">
        <v>#VALUE!</v>
      </c>
      <c r="CF47" s="590"/>
      <c r="CG47" s="590">
        <v>0.47</v>
      </c>
      <c r="CH47" s="590"/>
      <c r="CI47" s="591"/>
      <c r="CJ47" s="590">
        <v>0.0</v>
      </c>
      <c r="CK47" s="479">
        <v>0.0</v>
      </c>
      <c r="CL47" s="592"/>
      <c r="CM47" s="593"/>
      <c r="CN47" s="538"/>
      <c r="CO47" s="538"/>
      <c r="CP47" s="538"/>
      <c r="CQ47" s="538"/>
      <c r="CR47" s="538"/>
      <c r="CS47" s="538"/>
      <c r="CT47" s="538"/>
      <c r="CU47" s="538"/>
      <c r="CV47" s="538"/>
      <c r="CW47" s="538"/>
      <c r="CX47" s="538"/>
      <c r="CY47" s="538"/>
      <c r="CZ47" s="538"/>
      <c r="DA47" s="538"/>
      <c r="DB47" s="538"/>
      <c r="DC47" s="538"/>
      <c r="DD47" s="538"/>
      <c r="DE47" s="538"/>
      <c r="DF47" s="538"/>
      <c r="DG47" s="538"/>
      <c r="DH47" s="538"/>
      <c r="DI47" s="538"/>
      <c r="DJ47" s="538"/>
      <c r="DK47" s="538"/>
      <c r="DL47" s="538"/>
      <c r="DM47" s="538"/>
      <c r="DN47" s="538"/>
      <c r="DO47" s="538"/>
      <c r="DP47" s="538"/>
      <c r="DQ47" s="538"/>
      <c r="DR47" s="538"/>
      <c r="DS47" s="538"/>
      <c r="DT47" s="538"/>
      <c r="DU47" s="538"/>
      <c r="DV47" s="538"/>
      <c r="DW47" s="538"/>
      <c r="DX47" s="538"/>
      <c r="DY47" s="538"/>
      <c r="DZ47" s="538"/>
      <c r="EA47" s="538"/>
      <c r="EB47" s="538"/>
      <c r="EC47" s="538"/>
      <c r="ED47" s="538"/>
      <c r="EE47" s="538"/>
      <c r="EF47" s="538"/>
      <c r="EG47" s="538"/>
      <c r="EH47" s="538"/>
      <c r="EI47" s="538"/>
      <c r="EJ47" s="538"/>
      <c r="EK47" s="538"/>
      <c r="EL47" s="538"/>
      <c r="EM47" s="538"/>
      <c r="EN47" s="538"/>
      <c r="EO47" s="538"/>
      <c r="EP47" s="538"/>
      <c r="EQ47" s="538"/>
      <c r="ER47" s="538"/>
      <c r="ES47" s="538"/>
      <c r="ET47" s="538"/>
      <c r="EU47" s="538"/>
      <c r="EV47" s="538"/>
      <c r="EW47" s="538"/>
      <c r="EX47" s="559"/>
      <c r="EY47" s="559"/>
      <c r="EZ47" s="559"/>
      <c r="FA47" s="559"/>
      <c r="FB47" s="559"/>
      <c r="FC47" s="559"/>
      <c r="FD47" s="559"/>
      <c r="FE47" s="559"/>
      <c r="FF47" s="559"/>
      <c r="FG47" s="559"/>
      <c r="FH47" s="559"/>
      <c r="FI47" s="559"/>
      <c r="FJ47" s="559"/>
      <c r="FK47" s="559"/>
      <c r="FL47" s="559"/>
      <c r="FM47" s="559"/>
      <c r="FN47" s="559"/>
      <c r="FO47" s="559"/>
      <c r="FP47" s="559"/>
      <c r="FQ47" s="559"/>
      <c r="FR47" s="559"/>
      <c r="FS47" s="559"/>
      <c r="FT47" s="559"/>
      <c r="FU47" s="559"/>
      <c r="FV47" s="559"/>
      <c r="FW47" s="559"/>
      <c r="FX47" s="559"/>
      <c r="FY47" s="559"/>
      <c r="FZ47" s="559"/>
      <c r="GA47" s="559"/>
      <c r="GB47" s="559"/>
      <c r="GC47" s="559"/>
      <c r="GD47" s="559"/>
      <c r="GE47" s="559"/>
      <c r="GF47" s="559"/>
      <c r="GG47" s="559"/>
      <c r="GH47" s="559"/>
    </row>
    <row r="48">
      <c r="A48" s="538"/>
      <c r="B48" s="156"/>
      <c r="C48" s="444"/>
      <c r="D48" s="614" t="s">
        <v>317</v>
      </c>
      <c r="E48" s="606" t="s">
        <v>511</v>
      </c>
      <c r="F48" s="563">
        <v>3.0</v>
      </c>
      <c r="G48" s="560">
        <v>8.0</v>
      </c>
      <c r="H48" s="564"/>
      <c r="I48" s="622" t="s">
        <v>365</v>
      </c>
      <c r="J48" s="566"/>
      <c r="K48" s="567">
        <v>2.0</v>
      </c>
      <c r="L48" s="568"/>
      <c r="M48" s="569"/>
      <c r="N48" s="570"/>
      <c r="O48" s="623"/>
      <c r="P48" s="47"/>
      <c r="Q48" s="47"/>
      <c r="S48" s="572"/>
      <c r="U48" s="573"/>
      <c r="V48" s="574"/>
      <c r="W48" s="618"/>
      <c r="X48" s="576">
        <v>0.0</v>
      </c>
      <c r="Y48" s="577" t="e">
        <v>#VALUE!</v>
      </c>
      <c r="Z48" s="577">
        <v>24.0</v>
      </c>
      <c r="AA48" s="578" t="b">
        <v>0</v>
      </c>
      <c r="AB48" s="578"/>
      <c r="AC48" s="579"/>
      <c r="AD48" s="608">
        <v>3.0</v>
      </c>
      <c r="AE48" s="609"/>
      <c r="AF48" s="582" t="s">
        <v>512</v>
      </c>
      <c r="AG48" s="583">
        <v>8.0</v>
      </c>
      <c r="AH48" s="584" t="s">
        <v>513</v>
      </c>
      <c r="AI48" s="583">
        <v>1.0</v>
      </c>
      <c r="AJ48" s="585"/>
      <c r="AK48" s="583">
        <v>8.0</v>
      </c>
      <c r="AL48" s="584" t="s">
        <v>514</v>
      </c>
      <c r="AM48" s="583">
        <v>2.0</v>
      </c>
      <c r="AN48" s="585"/>
      <c r="AO48" s="583">
        <v>8.0</v>
      </c>
      <c r="AP48" s="584"/>
      <c r="AQ48" s="583">
        <v>1.0</v>
      </c>
      <c r="AR48" s="585"/>
      <c r="AS48" s="583"/>
      <c r="AT48" s="584"/>
      <c r="AU48" s="583"/>
      <c r="AV48" s="585"/>
      <c r="AW48" s="583"/>
      <c r="AX48" s="584"/>
      <c r="AY48" s="583"/>
      <c r="AZ48" s="585"/>
      <c r="BA48" s="583"/>
      <c r="BB48" s="584"/>
      <c r="BC48" s="583"/>
      <c r="BD48" s="585"/>
      <c r="BE48" s="583"/>
      <c r="BF48" s="584"/>
      <c r="BG48" s="583"/>
      <c r="BH48" s="585"/>
      <c r="BI48" s="583"/>
      <c r="BJ48" s="584"/>
      <c r="BK48" s="583"/>
      <c r="BL48" s="585"/>
      <c r="BM48" s="583"/>
      <c r="BN48" s="584"/>
      <c r="BO48" s="583"/>
      <c r="BP48" s="585"/>
      <c r="BQ48" s="583"/>
      <c r="BR48" s="584"/>
      <c r="BS48" s="583"/>
      <c r="BT48" s="586"/>
      <c r="BU48" s="540"/>
      <c r="BV48" s="540"/>
      <c r="BW48" s="540"/>
      <c r="BX48" s="538"/>
      <c r="BY48" s="538"/>
      <c r="BZ48" s="587"/>
      <c r="CA48" s="591"/>
      <c r="CB48" s="590" t="s">
        <v>365</v>
      </c>
      <c r="CC48" s="590">
        <v>24.0</v>
      </c>
      <c r="CD48" s="590">
        <v>1.3333333333333333</v>
      </c>
      <c r="CE48" s="590" t="e">
        <v>#VALUE!</v>
      </c>
      <c r="CF48" s="590"/>
      <c r="CG48" s="590">
        <v>0.24</v>
      </c>
      <c r="CH48" s="590"/>
      <c r="CI48" s="591"/>
      <c r="CJ48" s="590">
        <v>3.4000000000000004</v>
      </c>
      <c r="CK48" s="479">
        <v>0.0</v>
      </c>
      <c r="CL48" s="592"/>
      <c r="CM48" s="593"/>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59"/>
      <c r="EY48" s="559"/>
      <c r="EZ48" s="559"/>
      <c r="FA48" s="559"/>
      <c r="FB48" s="559"/>
      <c r="FC48" s="559"/>
      <c r="FD48" s="559"/>
      <c r="FE48" s="559"/>
      <c r="FF48" s="559"/>
      <c r="FG48" s="559"/>
      <c r="FH48" s="559"/>
      <c r="FI48" s="559"/>
      <c r="FJ48" s="559"/>
      <c r="FK48" s="559"/>
      <c r="FL48" s="559"/>
      <c r="FM48" s="559"/>
      <c r="FN48" s="559"/>
      <c r="FO48" s="559"/>
      <c r="FP48" s="559"/>
      <c r="FQ48" s="559"/>
      <c r="FR48" s="559"/>
      <c r="FS48" s="559"/>
      <c r="FT48" s="559"/>
      <c r="FU48" s="559"/>
      <c r="FV48" s="559"/>
      <c r="FW48" s="559"/>
      <c r="FX48" s="559"/>
      <c r="FY48" s="559"/>
      <c r="FZ48" s="559"/>
      <c r="GA48" s="559"/>
      <c r="GB48" s="559"/>
      <c r="GC48" s="559"/>
      <c r="GD48" s="559"/>
      <c r="GE48" s="559"/>
      <c r="GF48" s="559"/>
      <c r="GG48" s="559"/>
      <c r="GH48" s="559"/>
    </row>
    <row r="49">
      <c r="A49" s="538"/>
      <c r="B49" s="156"/>
      <c r="C49" s="444"/>
      <c r="D49" s="614" t="s">
        <v>317</v>
      </c>
      <c r="E49" s="595" t="s">
        <v>515</v>
      </c>
      <c r="F49" s="596">
        <v>3.0</v>
      </c>
      <c r="G49" s="596">
        <v>10.0</v>
      </c>
      <c r="H49" s="597"/>
      <c r="I49" s="616" t="s">
        <v>365</v>
      </c>
      <c r="J49" s="624"/>
      <c r="K49" s="600">
        <v>2.0</v>
      </c>
      <c r="L49" s="601"/>
      <c r="M49" s="625"/>
      <c r="N49" s="617"/>
      <c r="O49" s="621"/>
      <c r="P49" s="57"/>
      <c r="Q49" s="57"/>
      <c r="S49" s="605"/>
      <c r="U49" s="573"/>
      <c r="V49" s="574"/>
      <c r="W49" s="618"/>
      <c r="X49" s="576">
        <v>0.0</v>
      </c>
      <c r="Y49" s="577" t="e">
        <v>#VALUE!</v>
      </c>
      <c r="Z49" s="577">
        <v>30.0</v>
      </c>
      <c r="AA49" s="578" t="b">
        <v>0</v>
      </c>
      <c r="AB49" s="578"/>
      <c r="AC49" s="579"/>
      <c r="AD49" s="608">
        <v>4.0</v>
      </c>
      <c r="AE49" s="609"/>
      <c r="AF49" s="582" t="s">
        <v>516</v>
      </c>
      <c r="AG49" s="583">
        <v>20.0</v>
      </c>
      <c r="AH49" s="584" t="s">
        <v>517</v>
      </c>
      <c r="AI49" s="583"/>
      <c r="AJ49" s="585"/>
      <c r="AK49" s="583">
        <v>15.0</v>
      </c>
      <c r="AL49" s="584" t="s">
        <v>518</v>
      </c>
      <c r="AM49" s="583"/>
      <c r="AN49" s="585"/>
      <c r="AO49" s="583">
        <v>14.0</v>
      </c>
      <c r="AP49" s="584">
        <v>50.0</v>
      </c>
      <c r="AQ49" s="583"/>
      <c r="AR49" s="585"/>
      <c r="AS49" s="583"/>
      <c r="AT49" s="584" t="s">
        <v>519</v>
      </c>
      <c r="AU49" s="583"/>
      <c r="AV49" s="585"/>
      <c r="AW49" s="583">
        <v>13.0</v>
      </c>
      <c r="AX49" s="584" t="s">
        <v>520</v>
      </c>
      <c r="AY49" s="583"/>
      <c r="AZ49" s="585"/>
      <c r="BA49" s="583"/>
      <c r="BB49" s="584"/>
      <c r="BC49" s="583"/>
      <c r="BD49" s="585"/>
      <c r="BE49" s="583"/>
      <c r="BF49" s="584"/>
      <c r="BG49" s="583"/>
      <c r="BH49" s="585"/>
      <c r="BI49" s="583"/>
      <c r="BJ49" s="584"/>
      <c r="BK49" s="583"/>
      <c r="BL49" s="585"/>
      <c r="BM49" s="583"/>
      <c r="BN49" s="584"/>
      <c r="BO49" s="583"/>
      <c r="BP49" s="585"/>
      <c r="BQ49" s="583"/>
      <c r="BR49" s="584"/>
      <c r="BS49" s="583"/>
      <c r="BT49" s="586"/>
      <c r="BU49" s="540"/>
      <c r="BV49" s="540"/>
      <c r="BW49" s="540"/>
      <c r="BX49" s="538"/>
      <c r="BY49" s="538"/>
      <c r="BZ49" s="587"/>
      <c r="CA49" s="591"/>
      <c r="CB49" s="590" t="s">
        <v>365</v>
      </c>
      <c r="CC49" s="590">
        <v>62.0</v>
      </c>
      <c r="CD49" s="590">
        <v>0.0</v>
      </c>
      <c r="CE49" s="590" t="e">
        <v>#VALUE!</v>
      </c>
      <c r="CF49" s="590"/>
      <c r="CG49" s="590">
        <v>0.62</v>
      </c>
      <c r="CH49" s="590"/>
      <c r="CI49" s="591"/>
      <c r="CJ49" s="590">
        <v>0.0</v>
      </c>
      <c r="CK49" s="479">
        <v>0.0</v>
      </c>
      <c r="CL49" s="592"/>
      <c r="CM49" s="593"/>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59"/>
      <c r="EY49" s="559"/>
      <c r="EZ49" s="559"/>
      <c r="FA49" s="559"/>
      <c r="FB49" s="559"/>
      <c r="FC49" s="559"/>
      <c r="FD49" s="559"/>
      <c r="FE49" s="559"/>
      <c r="FF49" s="559"/>
      <c r="FG49" s="559"/>
      <c r="FH49" s="559"/>
      <c r="FI49" s="559"/>
      <c r="FJ49" s="559"/>
      <c r="FK49" s="559"/>
      <c r="FL49" s="559"/>
      <c r="FM49" s="559"/>
      <c r="FN49" s="559"/>
      <c r="FO49" s="559"/>
      <c r="FP49" s="559"/>
      <c r="FQ49" s="559"/>
      <c r="FR49" s="559"/>
      <c r="FS49" s="559"/>
      <c r="FT49" s="559"/>
      <c r="FU49" s="559"/>
      <c r="FV49" s="559"/>
      <c r="FW49" s="559"/>
      <c r="FX49" s="559"/>
      <c r="FY49" s="559"/>
      <c r="FZ49" s="559"/>
      <c r="GA49" s="559"/>
      <c r="GB49" s="559"/>
      <c r="GC49" s="559"/>
      <c r="GD49" s="559"/>
      <c r="GE49" s="559"/>
      <c r="GF49" s="559"/>
      <c r="GG49" s="559"/>
      <c r="GH49" s="559"/>
    </row>
    <row r="50">
      <c r="A50" s="538"/>
      <c r="B50" s="156"/>
      <c r="C50" s="444"/>
      <c r="D50" s="614" t="s">
        <v>317</v>
      </c>
      <c r="E50" s="606" t="s">
        <v>521</v>
      </c>
      <c r="F50" s="563">
        <v>3.0</v>
      </c>
      <c r="G50" s="563">
        <v>15.0</v>
      </c>
      <c r="H50" s="564"/>
      <c r="I50" s="622" t="s">
        <v>365</v>
      </c>
      <c r="J50" s="607"/>
      <c r="K50" s="567">
        <v>2.0</v>
      </c>
      <c r="L50" s="568"/>
      <c r="M50" s="626"/>
      <c r="N50" s="619"/>
      <c r="O50" s="623"/>
      <c r="P50" s="47"/>
      <c r="Q50" s="47"/>
      <c r="S50" s="572"/>
      <c r="U50" s="573"/>
      <c r="V50" s="574"/>
      <c r="W50" s="618"/>
      <c r="X50" s="576">
        <v>0.0</v>
      </c>
      <c r="Y50" s="577" t="e">
        <v>#VALUE!</v>
      </c>
      <c r="Z50" s="577">
        <v>45.0</v>
      </c>
      <c r="AA50" s="578" t="b">
        <v>0</v>
      </c>
      <c r="AB50" s="578"/>
      <c r="AC50" s="579"/>
      <c r="AD50" s="608">
        <v>3.0</v>
      </c>
      <c r="AE50" s="609"/>
      <c r="AF50" s="582" t="s">
        <v>522</v>
      </c>
      <c r="AG50" s="583">
        <v>11.0</v>
      </c>
      <c r="AH50" s="584" t="s">
        <v>523</v>
      </c>
      <c r="AI50" s="583"/>
      <c r="AJ50" s="585"/>
      <c r="AK50" s="583">
        <v>10.0</v>
      </c>
      <c r="AL50" s="584">
        <v>64.0</v>
      </c>
      <c r="AM50" s="583"/>
      <c r="AN50" s="585"/>
      <c r="AO50" s="583">
        <v>12.0</v>
      </c>
      <c r="AP50" s="584">
        <v>59.0</v>
      </c>
      <c r="AQ50" s="583"/>
      <c r="AR50" s="585"/>
      <c r="AS50" s="583"/>
      <c r="AT50" s="584"/>
      <c r="AU50" s="583"/>
      <c r="AV50" s="585"/>
      <c r="AW50" s="583"/>
      <c r="AX50" s="584"/>
      <c r="AY50" s="583"/>
      <c r="AZ50" s="585"/>
      <c r="BA50" s="583"/>
      <c r="BB50" s="584"/>
      <c r="BC50" s="583"/>
      <c r="BD50" s="585"/>
      <c r="BE50" s="583"/>
      <c r="BF50" s="584"/>
      <c r="BG50" s="583"/>
      <c r="BH50" s="585"/>
      <c r="BI50" s="583"/>
      <c r="BJ50" s="584"/>
      <c r="BK50" s="583"/>
      <c r="BL50" s="585"/>
      <c r="BM50" s="583"/>
      <c r="BN50" s="584"/>
      <c r="BO50" s="583"/>
      <c r="BP50" s="585"/>
      <c r="BQ50" s="583"/>
      <c r="BR50" s="584"/>
      <c r="BS50" s="583"/>
      <c r="BT50" s="586"/>
      <c r="BU50" s="540"/>
      <c r="BV50" s="540"/>
      <c r="BW50" s="540"/>
      <c r="BX50" s="538"/>
      <c r="BY50" s="538"/>
      <c r="BZ50" s="587"/>
      <c r="CA50" s="591"/>
      <c r="CB50" s="590" t="s">
        <v>365</v>
      </c>
      <c r="CC50" s="590">
        <v>33.0</v>
      </c>
      <c r="CD50" s="590">
        <v>0.0</v>
      </c>
      <c r="CE50" s="590" t="e">
        <v>#VALUE!</v>
      </c>
      <c r="CF50" s="590"/>
      <c r="CG50" s="590">
        <v>0.33</v>
      </c>
      <c r="CH50" s="590"/>
      <c r="CI50" s="591"/>
      <c r="CJ50" s="590">
        <v>0.0</v>
      </c>
      <c r="CK50" s="479">
        <v>0.0</v>
      </c>
      <c r="CL50" s="592"/>
      <c r="CM50" s="593"/>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59"/>
      <c r="EY50" s="559"/>
      <c r="EZ50" s="559"/>
      <c r="FA50" s="559"/>
      <c r="FB50" s="559"/>
      <c r="FC50" s="559"/>
      <c r="FD50" s="559"/>
      <c r="FE50" s="559"/>
      <c r="FF50" s="559"/>
      <c r="FG50" s="559"/>
      <c r="FH50" s="559"/>
      <c r="FI50" s="559"/>
      <c r="FJ50" s="559"/>
      <c r="FK50" s="559"/>
      <c r="FL50" s="559"/>
      <c r="FM50" s="559"/>
      <c r="FN50" s="559"/>
      <c r="FO50" s="559"/>
      <c r="FP50" s="559"/>
      <c r="FQ50" s="559"/>
      <c r="FR50" s="559"/>
      <c r="FS50" s="559"/>
      <c r="FT50" s="559"/>
      <c r="FU50" s="559"/>
      <c r="FV50" s="559"/>
      <c r="FW50" s="559"/>
      <c r="FX50" s="559"/>
      <c r="FY50" s="559"/>
      <c r="FZ50" s="559"/>
      <c r="GA50" s="559"/>
      <c r="GB50" s="559"/>
      <c r="GC50" s="559"/>
      <c r="GD50" s="559"/>
      <c r="GE50" s="559"/>
      <c r="GF50" s="559"/>
      <c r="GG50" s="559"/>
      <c r="GH50" s="559"/>
    </row>
    <row r="51">
      <c r="A51" s="538"/>
      <c r="B51" s="156"/>
      <c r="C51" s="444"/>
      <c r="D51" s="614" t="s">
        <v>326</v>
      </c>
      <c r="E51" s="595" t="s">
        <v>524</v>
      </c>
      <c r="F51" s="596">
        <v>3.0</v>
      </c>
      <c r="G51" s="596">
        <v>15.0</v>
      </c>
      <c r="H51" s="615"/>
      <c r="I51" s="616" t="s">
        <v>365</v>
      </c>
      <c r="J51" s="624"/>
      <c r="K51" s="600">
        <v>2.0</v>
      </c>
      <c r="L51" s="601"/>
      <c r="M51" s="625"/>
      <c r="N51" s="617"/>
      <c r="O51" s="621"/>
      <c r="P51" s="57"/>
      <c r="Q51" s="57"/>
      <c r="S51" s="605"/>
      <c r="U51" s="573"/>
      <c r="V51" s="574"/>
      <c r="W51" s="618"/>
      <c r="X51" s="576">
        <v>0.0</v>
      </c>
      <c r="Y51" s="577" t="e">
        <v>#VALUE!</v>
      </c>
      <c r="Z51" s="577">
        <v>45.0</v>
      </c>
      <c r="AA51" s="578" t="b">
        <v>0</v>
      </c>
      <c r="AB51" s="578"/>
      <c r="AC51" s="579"/>
      <c r="AD51" s="608">
        <v>3.0</v>
      </c>
      <c r="AE51" s="609"/>
      <c r="AF51" s="582" t="s">
        <v>525</v>
      </c>
      <c r="AG51" s="583">
        <v>20.0</v>
      </c>
      <c r="AH51" s="584" t="s">
        <v>526</v>
      </c>
      <c r="AI51" s="583"/>
      <c r="AJ51" s="585"/>
      <c r="AK51" s="583">
        <v>15.0</v>
      </c>
      <c r="AL51" s="584" t="s">
        <v>527</v>
      </c>
      <c r="AM51" s="583"/>
      <c r="AN51" s="585"/>
      <c r="AO51" s="583">
        <v>13.0</v>
      </c>
      <c r="AP51" s="584" t="s">
        <v>528</v>
      </c>
      <c r="AQ51" s="583"/>
      <c r="AR51" s="585"/>
      <c r="AS51" s="583"/>
      <c r="AT51" s="584" t="s">
        <v>529</v>
      </c>
      <c r="AU51" s="583"/>
      <c r="AV51" s="585"/>
      <c r="AW51" s="583"/>
      <c r="AX51" s="584" t="s">
        <v>530</v>
      </c>
      <c r="AY51" s="583"/>
      <c r="AZ51" s="585"/>
      <c r="BA51" s="583"/>
      <c r="BB51" s="584" t="s">
        <v>531</v>
      </c>
      <c r="BC51" s="583"/>
      <c r="BD51" s="585"/>
      <c r="BE51" s="583"/>
      <c r="BF51" s="584"/>
      <c r="BG51" s="583"/>
      <c r="BH51" s="585"/>
      <c r="BI51" s="583"/>
      <c r="BJ51" s="584"/>
      <c r="BK51" s="583"/>
      <c r="BL51" s="585"/>
      <c r="BM51" s="583"/>
      <c r="BN51" s="584"/>
      <c r="BO51" s="583"/>
      <c r="BP51" s="585"/>
      <c r="BQ51" s="583"/>
      <c r="BR51" s="584"/>
      <c r="BS51" s="583"/>
      <c r="BT51" s="586"/>
      <c r="BU51" s="540"/>
      <c r="BV51" s="540"/>
      <c r="BW51" s="540"/>
      <c r="BX51" s="538"/>
      <c r="BY51" s="538"/>
      <c r="BZ51" s="587"/>
      <c r="CA51" s="591"/>
      <c r="CB51" s="590" t="s">
        <v>365</v>
      </c>
      <c r="CC51" s="590">
        <v>48.0</v>
      </c>
      <c r="CD51" s="590">
        <v>0.0</v>
      </c>
      <c r="CE51" s="590" t="e">
        <v>#VALUE!</v>
      </c>
      <c r="CF51" s="590"/>
      <c r="CG51" s="590">
        <v>0.48</v>
      </c>
      <c r="CH51" s="590"/>
      <c r="CI51" s="591"/>
      <c r="CJ51" s="590">
        <v>0.0</v>
      </c>
      <c r="CK51" s="479">
        <v>0.0</v>
      </c>
      <c r="CL51" s="592"/>
      <c r="CM51" s="593"/>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59"/>
      <c r="EY51" s="559"/>
      <c r="EZ51" s="559"/>
      <c r="FA51" s="559"/>
      <c r="FB51" s="559"/>
      <c r="FC51" s="559"/>
      <c r="FD51" s="559"/>
      <c r="FE51" s="559"/>
      <c r="FF51" s="559"/>
      <c r="FG51" s="559"/>
      <c r="FH51" s="559"/>
      <c r="FI51" s="559"/>
      <c r="FJ51" s="559"/>
      <c r="FK51" s="559"/>
      <c r="FL51" s="559"/>
      <c r="FM51" s="559"/>
      <c r="FN51" s="559"/>
      <c r="FO51" s="559"/>
      <c r="FP51" s="559"/>
      <c r="FQ51" s="559"/>
      <c r="FR51" s="559"/>
      <c r="FS51" s="559"/>
      <c r="FT51" s="559"/>
      <c r="FU51" s="559"/>
      <c r="FV51" s="559"/>
      <c r="FW51" s="559"/>
      <c r="FX51" s="559"/>
      <c r="FY51" s="559"/>
      <c r="FZ51" s="559"/>
      <c r="GA51" s="559"/>
      <c r="GB51" s="559"/>
      <c r="GC51" s="559"/>
      <c r="GD51" s="559"/>
      <c r="GE51" s="559"/>
      <c r="GF51" s="559"/>
      <c r="GG51" s="559"/>
      <c r="GH51" s="559"/>
    </row>
    <row r="52">
      <c r="A52" s="538"/>
      <c r="B52" s="156" t="s">
        <v>410</v>
      </c>
      <c r="C52" s="444"/>
      <c r="D52" s="614"/>
      <c r="E52" s="606"/>
      <c r="F52" s="563"/>
      <c r="G52" s="563"/>
      <c r="H52" s="627"/>
      <c r="I52" s="622" t="s">
        <v>365</v>
      </c>
      <c r="J52" s="607"/>
      <c r="K52" s="567"/>
      <c r="L52" s="628"/>
      <c r="M52" s="626"/>
      <c r="N52" s="619"/>
      <c r="O52" s="623"/>
      <c r="P52" s="47"/>
      <c r="Q52" s="47"/>
      <c r="S52" s="572"/>
      <c r="U52" s="573"/>
      <c r="V52" s="574"/>
      <c r="W52" s="618"/>
      <c r="X52" s="576">
        <v>0.0</v>
      </c>
      <c r="Y52" s="577">
        <v>0.0</v>
      </c>
      <c r="Z52" s="577" t="s">
        <v>365</v>
      </c>
      <c r="AA52" s="578" t="b">
        <v>0</v>
      </c>
      <c r="AB52" s="578"/>
      <c r="AC52" s="579"/>
      <c r="AD52" s="608">
        <v>0.0</v>
      </c>
      <c r="AE52" s="609"/>
      <c r="AF52" s="582" t="s">
        <v>365</v>
      </c>
      <c r="AG52" s="583"/>
      <c r="AH52" s="584"/>
      <c r="AI52" s="583"/>
      <c r="AJ52" s="585"/>
      <c r="AK52" s="583"/>
      <c r="AL52" s="584"/>
      <c r="AM52" s="583"/>
      <c r="AN52" s="585"/>
      <c r="AO52" s="583"/>
      <c r="AP52" s="584"/>
      <c r="AQ52" s="583"/>
      <c r="AR52" s="585"/>
      <c r="AS52" s="583"/>
      <c r="AT52" s="584"/>
      <c r="AU52" s="583"/>
      <c r="AV52" s="585"/>
      <c r="AW52" s="583"/>
      <c r="AX52" s="584"/>
      <c r="AY52" s="583"/>
      <c r="AZ52" s="585"/>
      <c r="BA52" s="583"/>
      <c r="BB52" s="584"/>
      <c r="BC52" s="583"/>
      <c r="BD52" s="585"/>
      <c r="BE52" s="583"/>
      <c r="BF52" s="584"/>
      <c r="BG52" s="583"/>
      <c r="BH52" s="585"/>
      <c r="BI52" s="583"/>
      <c r="BJ52" s="584"/>
      <c r="BK52" s="583"/>
      <c r="BL52" s="585"/>
      <c r="BM52" s="583"/>
      <c r="BN52" s="584"/>
      <c r="BO52" s="583"/>
      <c r="BP52" s="585"/>
      <c r="BQ52" s="583"/>
      <c r="BR52" s="584"/>
      <c r="BS52" s="583"/>
      <c r="BT52" s="586"/>
      <c r="BU52" s="540"/>
      <c r="BV52" s="540"/>
      <c r="BW52" s="540"/>
      <c r="BX52" s="538"/>
      <c r="BY52" s="538"/>
      <c r="BZ52" s="587"/>
      <c r="CA52" s="591"/>
      <c r="CB52" s="590" t="s">
        <v>365</v>
      </c>
      <c r="CC52" s="590">
        <v>0.0</v>
      </c>
      <c r="CD52" s="590" t="s">
        <v>365</v>
      </c>
      <c r="CE52" s="590">
        <v>0.0</v>
      </c>
      <c r="CF52" s="590"/>
      <c r="CG52" s="590">
        <v>0.0</v>
      </c>
      <c r="CH52" s="590"/>
      <c r="CI52" s="591"/>
      <c r="CJ52" s="590">
        <v>0.0</v>
      </c>
      <c r="CK52" s="479" t="s">
        <v>365</v>
      </c>
      <c r="CL52" s="592"/>
      <c r="CM52" s="593"/>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59"/>
      <c r="EY52" s="559"/>
      <c r="EZ52" s="559"/>
      <c r="FA52" s="559"/>
      <c r="FB52" s="559"/>
      <c r="FC52" s="559"/>
      <c r="FD52" s="559"/>
      <c r="FE52" s="559"/>
      <c r="FF52" s="559"/>
      <c r="FG52" s="559"/>
      <c r="FH52" s="559"/>
      <c r="FI52" s="559"/>
      <c r="FJ52" s="559"/>
      <c r="FK52" s="559"/>
      <c r="FL52" s="559"/>
      <c r="FM52" s="559"/>
      <c r="FN52" s="559"/>
      <c r="FO52" s="559"/>
      <c r="FP52" s="559"/>
      <c r="FQ52" s="559"/>
      <c r="FR52" s="559"/>
      <c r="FS52" s="559"/>
      <c r="FT52" s="559"/>
      <c r="FU52" s="559"/>
      <c r="FV52" s="559"/>
      <c r="FW52" s="559"/>
      <c r="FX52" s="559"/>
      <c r="FY52" s="559"/>
      <c r="FZ52" s="559"/>
      <c r="GA52" s="559"/>
      <c r="GB52" s="559"/>
      <c r="GC52" s="559"/>
      <c r="GD52" s="559"/>
      <c r="GE52" s="559"/>
      <c r="GF52" s="559"/>
      <c r="GG52" s="559"/>
      <c r="GH52" s="559"/>
    </row>
    <row r="53">
      <c r="A53" s="538"/>
      <c r="B53" s="156" t="s">
        <v>411</v>
      </c>
      <c r="C53" s="444"/>
      <c r="D53" s="614"/>
      <c r="E53" s="595"/>
      <c r="F53" s="596"/>
      <c r="G53" s="596"/>
      <c r="H53" s="615"/>
      <c r="I53" s="616" t="s">
        <v>365</v>
      </c>
      <c r="J53" s="624"/>
      <c r="K53" s="600"/>
      <c r="L53" s="601"/>
      <c r="M53" s="625"/>
      <c r="N53" s="617"/>
      <c r="O53" s="621"/>
      <c r="P53" s="57"/>
      <c r="Q53" s="57"/>
      <c r="S53" s="605"/>
      <c r="U53" s="573"/>
      <c r="V53" s="574"/>
      <c r="W53" s="618"/>
      <c r="X53" s="576">
        <v>0.0</v>
      </c>
      <c r="Y53" s="577">
        <v>0.0</v>
      </c>
      <c r="Z53" s="577" t="s">
        <v>365</v>
      </c>
      <c r="AA53" s="578" t="b">
        <v>0</v>
      </c>
      <c r="AB53" s="578"/>
      <c r="AC53" s="579"/>
      <c r="AD53" s="608">
        <v>0.0</v>
      </c>
      <c r="AE53" s="609"/>
      <c r="AF53" s="582" t="s">
        <v>365</v>
      </c>
      <c r="AG53" s="583"/>
      <c r="AH53" s="584"/>
      <c r="AI53" s="583"/>
      <c r="AJ53" s="585"/>
      <c r="AK53" s="583"/>
      <c r="AL53" s="584"/>
      <c r="AM53" s="583"/>
      <c r="AN53" s="585"/>
      <c r="AO53" s="583"/>
      <c r="AP53" s="584"/>
      <c r="AQ53" s="583"/>
      <c r="AR53" s="585"/>
      <c r="AS53" s="583"/>
      <c r="AT53" s="584"/>
      <c r="AU53" s="583"/>
      <c r="AV53" s="585"/>
      <c r="AW53" s="583"/>
      <c r="AX53" s="584"/>
      <c r="AY53" s="583"/>
      <c r="AZ53" s="585"/>
      <c r="BA53" s="583"/>
      <c r="BB53" s="584"/>
      <c r="BC53" s="583"/>
      <c r="BD53" s="585"/>
      <c r="BE53" s="583"/>
      <c r="BF53" s="584"/>
      <c r="BG53" s="583"/>
      <c r="BH53" s="585"/>
      <c r="BI53" s="583"/>
      <c r="BJ53" s="584"/>
      <c r="BK53" s="583"/>
      <c r="BL53" s="585"/>
      <c r="BM53" s="583"/>
      <c r="BN53" s="584"/>
      <c r="BO53" s="583"/>
      <c r="BP53" s="585"/>
      <c r="BQ53" s="583"/>
      <c r="BR53" s="584"/>
      <c r="BS53" s="583"/>
      <c r="BT53" s="586"/>
      <c r="BU53" s="540"/>
      <c r="BV53" s="540"/>
      <c r="BW53" s="540"/>
      <c r="BX53" s="538"/>
      <c r="BY53" s="538"/>
      <c r="BZ53" s="587"/>
      <c r="CA53" s="591"/>
      <c r="CB53" s="590" t="s">
        <v>365</v>
      </c>
      <c r="CC53" s="590">
        <v>0.0</v>
      </c>
      <c r="CD53" s="590" t="s">
        <v>365</v>
      </c>
      <c r="CE53" s="590">
        <v>0.0</v>
      </c>
      <c r="CF53" s="590"/>
      <c r="CG53" s="590">
        <v>0.0</v>
      </c>
      <c r="CH53" s="590"/>
      <c r="CI53" s="591"/>
      <c r="CJ53" s="590">
        <v>0.0</v>
      </c>
      <c r="CK53" s="479" t="s">
        <v>365</v>
      </c>
      <c r="CL53" s="592"/>
      <c r="CM53" s="593"/>
      <c r="CN53" s="538"/>
      <c r="CO53" s="538"/>
      <c r="CP53" s="538"/>
      <c r="CQ53" s="538"/>
      <c r="CR53" s="538"/>
      <c r="CS53" s="538"/>
      <c r="CT53" s="538"/>
      <c r="CU53" s="538"/>
      <c r="CV53" s="538"/>
      <c r="CW53" s="538"/>
      <c r="CX53" s="538"/>
      <c r="CY53" s="538"/>
      <c r="CZ53" s="538"/>
      <c r="DA53" s="538"/>
      <c r="DB53" s="538"/>
      <c r="DC53" s="538"/>
      <c r="DD53" s="538"/>
      <c r="DE53" s="538"/>
      <c r="DF53" s="538"/>
      <c r="DG53" s="538"/>
      <c r="DH53" s="538"/>
      <c r="DI53" s="538"/>
      <c r="DJ53" s="538"/>
      <c r="DK53" s="538"/>
      <c r="DL53" s="538"/>
      <c r="DM53" s="538"/>
      <c r="DN53" s="538"/>
      <c r="DO53" s="538"/>
      <c r="DP53" s="538"/>
      <c r="DQ53" s="538"/>
      <c r="DR53" s="538"/>
      <c r="DS53" s="538"/>
      <c r="DT53" s="538"/>
      <c r="DU53" s="538"/>
      <c r="DV53" s="538"/>
      <c r="DW53" s="538"/>
      <c r="DX53" s="538"/>
      <c r="DY53" s="538"/>
      <c r="DZ53" s="538"/>
      <c r="EA53" s="538"/>
      <c r="EB53" s="538"/>
      <c r="EC53" s="538"/>
      <c r="ED53" s="538"/>
      <c r="EE53" s="538"/>
      <c r="EF53" s="538"/>
      <c r="EG53" s="538"/>
      <c r="EH53" s="538"/>
      <c r="EI53" s="538"/>
      <c r="EJ53" s="538"/>
      <c r="EK53" s="538"/>
      <c r="EL53" s="538"/>
      <c r="EM53" s="538"/>
      <c r="EN53" s="538"/>
      <c r="EO53" s="538"/>
      <c r="EP53" s="538"/>
      <c r="EQ53" s="538"/>
      <c r="ER53" s="538"/>
      <c r="ES53" s="538"/>
      <c r="ET53" s="538"/>
      <c r="EU53" s="538"/>
      <c r="EV53" s="538"/>
      <c r="EW53" s="538"/>
      <c r="EX53" s="559"/>
      <c r="EY53" s="559"/>
      <c r="EZ53" s="559"/>
      <c r="FA53" s="559"/>
      <c r="FB53" s="559"/>
      <c r="FC53" s="559"/>
      <c r="FD53" s="559"/>
      <c r="FE53" s="559"/>
      <c r="FF53" s="559"/>
      <c r="FG53" s="559"/>
      <c r="FH53" s="559"/>
      <c r="FI53" s="559"/>
      <c r="FJ53" s="559"/>
      <c r="FK53" s="559"/>
      <c r="FL53" s="559"/>
      <c r="FM53" s="559"/>
      <c r="FN53" s="559"/>
      <c r="FO53" s="559"/>
      <c r="FP53" s="559"/>
      <c r="FQ53" s="559"/>
      <c r="FR53" s="559"/>
      <c r="FS53" s="559"/>
      <c r="FT53" s="559"/>
      <c r="FU53" s="559"/>
      <c r="FV53" s="559"/>
      <c r="FW53" s="559"/>
      <c r="FX53" s="559"/>
      <c r="FY53" s="559"/>
      <c r="FZ53" s="559"/>
      <c r="GA53" s="559"/>
      <c r="GB53" s="559"/>
      <c r="GC53" s="559"/>
      <c r="GD53" s="559"/>
      <c r="GE53" s="559"/>
      <c r="GF53" s="559"/>
      <c r="GG53" s="559"/>
      <c r="GH53" s="559"/>
    </row>
    <row r="54">
      <c r="A54" s="538"/>
      <c r="B54" s="134"/>
      <c r="C54" s="57"/>
      <c r="D54" s="594" t="s">
        <v>380</v>
      </c>
      <c r="E54" s="629" t="s">
        <v>412</v>
      </c>
      <c r="F54" s="596">
        <v>4.0</v>
      </c>
      <c r="G54" s="596">
        <v>4.0</v>
      </c>
      <c r="H54" s="597"/>
      <c r="I54" s="598">
        <v>0.0</v>
      </c>
      <c r="J54" s="599">
        <v>90.0</v>
      </c>
      <c r="K54" s="600"/>
      <c r="L54" s="568"/>
      <c r="M54" s="569"/>
      <c r="N54" s="619"/>
      <c r="O54" s="623"/>
      <c r="P54" s="47"/>
      <c r="Q54" s="47"/>
      <c r="R54" s="47"/>
      <c r="S54" s="572"/>
      <c r="T54" s="572"/>
      <c r="U54" s="573"/>
      <c r="V54" s="574"/>
      <c r="W54" s="618"/>
      <c r="X54" s="576">
        <v>1440.0</v>
      </c>
      <c r="Y54" s="630" t="e">
        <v>#VALUE!</v>
      </c>
      <c r="Z54" s="630">
        <v>16.0</v>
      </c>
      <c r="AA54" s="631">
        <v>0.782608695652174</v>
      </c>
      <c r="AB54" s="631"/>
      <c r="AC54" s="576"/>
      <c r="AD54" s="479">
        <v>4.0</v>
      </c>
      <c r="AE54" s="632"/>
      <c r="AF54" s="582" t="s">
        <v>532</v>
      </c>
      <c r="AG54" s="583">
        <v>4.0</v>
      </c>
      <c r="AH54" s="584">
        <v>90.0</v>
      </c>
      <c r="AI54" s="583">
        <v>2.0</v>
      </c>
      <c r="AJ54" s="585"/>
      <c r="AK54" s="583">
        <v>4.0</v>
      </c>
      <c r="AL54" s="584"/>
      <c r="AM54" s="583">
        <v>2.0</v>
      </c>
      <c r="AN54" s="585"/>
      <c r="AO54" s="583">
        <v>4.0</v>
      </c>
      <c r="AP54" s="584" t="s">
        <v>533</v>
      </c>
      <c r="AQ54" s="583">
        <v>3.0</v>
      </c>
      <c r="AR54" s="585">
        <v>7.0</v>
      </c>
      <c r="AS54" s="583">
        <v>4.0</v>
      </c>
      <c r="AT54" s="584"/>
      <c r="AU54" s="583">
        <v>3.0</v>
      </c>
      <c r="AV54" s="585"/>
      <c r="AW54" s="583"/>
      <c r="AX54" s="584"/>
      <c r="AY54" s="583"/>
      <c r="AZ54" s="585"/>
      <c r="BA54" s="583"/>
      <c r="BB54" s="584"/>
      <c r="BC54" s="583"/>
      <c r="BD54" s="585"/>
      <c r="BE54" s="583"/>
      <c r="BF54" s="584"/>
      <c r="BG54" s="583"/>
      <c r="BH54" s="585"/>
      <c r="BI54" s="583"/>
      <c r="BJ54" s="584"/>
      <c r="BK54" s="583"/>
      <c r="BL54" s="585"/>
      <c r="BM54" s="583"/>
      <c r="BN54" s="584"/>
      <c r="BO54" s="583"/>
      <c r="BP54" s="585"/>
      <c r="BQ54" s="583"/>
      <c r="BR54" s="584"/>
      <c r="BS54" s="583"/>
      <c r="BT54" s="586"/>
      <c r="BU54" s="540"/>
      <c r="BV54" s="540"/>
      <c r="BW54" s="540"/>
      <c r="BX54" s="538"/>
      <c r="BY54" s="538"/>
      <c r="BZ54" s="592">
        <v>115.0</v>
      </c>
      <c r="CA54" s="633"/>
      <c r="CB54" s="592" t="s">
        <v>365</v>
      </c>
      <c r="CC54" s="592">
        <v>16.0</v>
      </c>
      <c r="CD54" s="592">
        <v>2.5</v>
      </c>
      <c r="CE54" s="592" t="e">
        <v>#VALUE!</v>
      </c>
      <c r="CF54" s="592"/>
      <c r="CG54" s="592">
        <v>0.16</v>
      </c>
      <c r="CH54" s="592"/>
      <c r="CI54" s="633"/>
      <c r="CJ54" s="592">
        <v>3.5999999999999996</v>
      </c>
      <c r="CK54" s="479">
        <v>1.75</v>
      </c>
      <c r="CL54" s="592"/>
      <c r="CM54" s="593"/>
      <c r="CN54" s="538"/>
      <c r="CO54" s="538"/>
      <c r="CP54" s="538"/>
      <c r="CQ54" s="538"/>
      <c r="CR54" s="538"/>
      <c r="CS54" s="538"/>
      <c r="CT54" s="538"/>
      <c r="CU54" s="538"/>
      <c r="CV54" s="538"/>
      <c r="CW54" s="538"/>
      <c r="CX54" s="538"/>
      <c r="CY54" s="538"/>
      <c r="CZ54" s="538"/>
      <c r="DA54" s="538"/>
      <c r="DB54" s="538"/>
      <c r="DC54" s="538"/>
      <c r="DD54" s="538"/>
      <c r="DE54" s="538"/>
      <c r="DF54" s="538"/>
      <c r="DG54" s="538"/>
      <c r="DH54" s="538"/>
      <c r="DI54" s="538"/>
      <c r="DJ54" s="84"/>
      <c r="DK54" s="538"/>
      <c r="DL54" s="538"/>
      <c r="DM54" s="538"/>
      <c r="DN54" s="538"/>
      <c r="DO54" s="538"/>
      <c r="DP54" s="538"/>
      <c r="DQ54" s="538"/>
      <c r="DR54" s="538"/>
      <c r="DS54" s="538"/>
      <c r="DT54" s="538"/>
      <c r="DU54" s="538"/>
      <c r="DV54" s="538"/>
      <c r="DW54" s="538"/>
      <c r="DX54" s="538"/>
      <c r="DY54" s="538"/>
      <c r="DZ54" s="538"/>
      <c r="EA54" s="538"/>
      <c r="EB54" s="538"/>
      <c r="EC54" s="538"/>
      <c r="ED54" s="538"/>
      <c r="EE54" s="538"/>
      <c r="EF54" s="538"/>
      <c r="EG54" s="538"/>
      <c r="EH54" s="538"/>
      <c r="EI54" s="538"/>
      <c r="EJ54" s="538"/>
      <c r="EK54" s="538"/>
      <c r="EL54" s="538"/>
      <c r="EM54" s="538"/>
      <c r="EN54" s="538"/>
      <c r="EO54" s="538"/>
      <c r="EP54" s="538"/>
      <c r="EQ54" s="538"/>
      <c r="ER54" s="538"/>
      <c r="ES54" s="538"/>
      <c r="ET54" s="538"/>
      <c r="EU54" s="538"/>
      <c r="EV54" s="538"/>
      <c r="EW54" s="538"/>
      <c r="EX54" s="559"/>
      <c r="EY54" s="559"/>
      <c r="EZ54" s="559"/>
      <c r="FA54" s="559"/>
      <c r="FB54" s="559"/>
      <c r="FC54" s="559"/>
      <c r="FD54" s="559"/>
      <c r="FE54" s="559"/>
      <c r="FF54" s="559"/>
      <c r="FG54" s="559"/>
      <c r="FH54" s="559"/>
      <c r="FI54" s="559"/>
      <c r="FJ54" s="559"/>
      <c r="FK54" s="559"/>
      <c r="FL54" s="559"/>
      <c r="FM54" s="559"/>
      <c r="FN54" s="559"/>
      <c r="FO54" s="559"/>
      <c r="FP54" s="559"/>
      <c r="FQ54" s="559"/>
      <c r="FR54" s="559"/>
      <c r="FS54" s="559"/>
      <c r="FT54" s="559"/>
      <c r="FU54" s="559"/>
      <c r="FV54" s="559"/>
      <c r="FW54" s="559"/>
      <c r="FX54" s="559"/>
      <c r="FY54" s="559"/>
      <c r="FZ54" s="559"/>
      <c r="GA54" s="559"/>
      <c r="GB54" s="559"/>
      <c r="GC54" s="559"/>
      <c r="GD54" s="559"/>
      <c r="GE54" s="559"/>
      <c r="GF54" s="559"/>
      <c r="GG54" s="559"/>
      <c r="GH54" s="559"/>
    </row>
    <row r="55">
      <c r="A55" s="538"/>
      <c r="B55" s="134"/>
      <c r="C55" s="57"/>
      <c r="D55" s="594" t="s">
        <v>313</v>
      </c>
      <c r="E55" s="606" t="s">
        <v>534</v>
      </c>
      <c r="F55" s="563">
        <v>4.0</v>
      </c>
      <c r="G55" s="563">
        <v>10.0</v>
      </c>
      <c r="H55" s="564"/>
      <c r="I55" s="622" t="s">
        <v>365</v>
      </c>
      <c r="J55" s="566"/>
      <c r="K55" s="567">
        <v>2.0</v>
      </c>
      <c r="L55" s="568">
        <v>3.0</v>
      </c>
      <c r="M55" s="626"/>
      <c r="N55" s="617"/>
      <c r="O55" s="621"/>
      <c r="P55" s="57"/>
      <c r="Q55" s="57"/>
      <c r="R55" s="57"/>
      <c r="S55" s="605"/>
      <c r="T55" s="605"/>
      <c r="U55" s="573"/>
      <c r="V55" s="574"/>
      <c r="W55" s="618"/>
      <c r="X55" s="576">
        <v>0.0</v>
      </c>
      <c r="Y55" s="630" t="e">
        <v>#VALUE!</v>
      </c>
      <c r="Z55" s="630">
        <v>40.0</v>
      </c>
      <c r="AA55" s="631" t="b">
        <v>0</v>
      </c>
      <c r="AB55" s="631"/>
      <c r="AC55" s="576"/>
      <c r="AD55" s="479">
        <v>4.0</v>
      </c>
      <c r="AE55" s="632"/>
      <c r="AF55" s="582" t="s">
        <v>535</v>
      </c>
      <c r="AG55" s="583">
        <v>3.0</v>
      </c>
      <c r="AH55" s="584" t="s">
        <v>536</v>
      </c>
      <c r="AI55" s="583"/>
      <c r="AJ55" s="585"/>
      <c r="AK55" s="583">
        <v>8.0</v>
      </c>
      <c r="AL55" s="584">
        <v>80.0</v>
      </c>
      <c r="AM55" s="583"/>
      <c r="AN55" s="585"/>
      <c r="AO55" s="583">
        <v>10.0</v>
      </c>
      <c r="AP55" s="584">
        <v>70.0</v>
      </c>
      <c r="AQ55" s="583">
        <v>2.0</v>
      </c>
      <c r="AR55" s="585">
        <v>8.5</v>
      </c>
      <c r="AS55" s="583">
        <v>11.0</v>
      </c>
      <c r="AT55" s="584">
        <v>60.0</v>
      </c>
      <c r="AU55" s="583"/>
      <c r="AV55" s="585"/>
      <c r="AW55" s="583"/>
      <c r="AX55" s="584"/>
      <c r="AY55" s="583"/>
      <c r="AZ55" s="585"/>
      <c r="BA55" s="583"/>
      <c r="BB55" s="584"/>
      <c r="BC55" s="583"/>
      <c r="BD55" s="585"/>
      <c r="BE55" s="583"/>
      <c r="BF55" s="584"/>
      <c r="BG55" s="583"/>
      <c r="BH55" s="585"/>
      <c r="BI55" s="583"/>
      <c r="BJ55" s="584"/>
      <c r="BK55" s="583"/>
      <c r="BL55" s="585"/>
      <c r="BM55" s="583"/>
      <c r="BN55" s="584"/>
      <c r="BO55" s="583"/>
      <c r="BP55" s="585"/>
      <c r="BQ55" s="583"/>
      <c r="BR55" s="584"/>
      <c r="BS55" s="583"/>
      <c r="BT55" s="586"/>
      <c r="BU55" s="540"/>
      <c r="BV55" s="540"/>
      <c r="BW55" s="540"/>
      <c r="BX55" s="538"/>
      <c r="BY55" s="538"/>
      <c r="BZ55" s="592"/>
      <c r="CA55" s="633"/>
      <c r="CB55" s="592" t="s">
        <v>365</v>
      </c>
      <c r="CC55" s="592">
        <v>32.0</v>
      </c>
      <c r="CD55" s="592">
        <v>0.5</v>
      </c>
      <c r="CE55" s="592" t="e">
        <v>#VALUE!</v>
      </c>
      <c r="CF55" s="592"/>
      <c r="CG55" s="592">
        <v>0.32</v>
      </c>
      <c r="CH55" s="592"/>
      <c r="CI55" s="633"/>
      <c r="CJ55" s="592">
        <v>1.0</v>
      </c>
      <c r="CK55" s="479">
        <v>2.125</v>
      </c>
      <c r="CL55" s="592"/>
      <c r="CM55" s="593"/>
      <c r="CN55" s="538"/>
      <c r="CO55" s="538"/>
      <c r="CP55" s="538"/>
      <c r="CQ55" s="538"/>
      <c r="CR55" s="538"/>
      <c r="CS55" s="538"/>
      <c r="CT55" s="538"/>
      <c r="CU55" s="538"/>
      <c r="CV55" s="538"/>
      <c r="CW55" s="538"/>
      <c r="CX55" s="538"/>
      <c r="CY55" s="538"/>
      <c r="CZ55" s="538"/>
      <c r="DA55" s="538"/>
      <c r="DB55" s="538"/>
      <c r="DC55" s="538"/>
      <c r="DD55" s="538"/>
      <c r="DE55" s="538"/>
      <c r="DF55" s="538"/>
      <c r="DG55" s="538"/>
      <c r="DH55" s="538"/>
      <c r="DI55" s="538"/>
      <c r="DJ55" s="84"/>
      <c r="DK55" s="538"/>
      <c r="DL55" s="538"/>
      <c r="DM55" s="538"/>
      <c r="DN55" s="538"/>
      <c r="DO55" s="538"/>
      <c r="DP55" s="538"/>
      <c r="DQ55" s="538"/>
      <c r="DR55" s="538"/>
      <c r="DS55" s="538"/>
      <c r="DT55" s="538"/>
      <c r="DU55" s="538"/>
      <c r="DV55" s="538"/>
      <c r="DW55" s="538"/>
      <c r="DX55" s="538"/>
      <c r="DY55" s="538"/>
      <c r="DZ55" s="538"/>
      <c r="EA55" s="538"/>
      <c r="EB55" s="538"/>
      <c r="EC55" s="538"/>
      <c r="ED55" s="538"/>
      <c r="EE55" s="538"/>
      <c r="EF55" s="538"/>
      <c r="EG55" s="538"/>
      <c r="EH55" s="538"/>
      <c r="EI55" s="538"/>
      <c r="EJ55" s="538"/>
      <c r="EK55" s="538"/>
      <c r="EL55" s="538"/>
      <c r="EM55" s="538"/>
      <c r="EN55" s="538"/>
      <c r="EO55" s="538"/>
      <c r="EP55" s="538"/>
      <c r="EQ55" s="538"/>
      <c r="ER55" s="538"/>
      <c r="ES55" s="538"/>
      <c r="ET55" s="538"/>
      <c r="EU55" s="538"/>
      <c r="EV55" s="538"/>
      <c r="EW55" s="538"/>
      <c r="EX55" s="559"/>
      <c r="EY55" s="559"/>
      <c r="EZ55" s="559"/>
      <c r="FA55" s="559"/>
      <c r="FB55" s="559"/>
      <c r="FC55" s="559"/>
      <c r="FD55" s="559"/>
      <c r="FE55" s="559"/>
      <c r="FF55" s="559"/>
      <c r="FG55" s="559"/>
      <c r="FH55" s="559"/>
      <c r="FI55" s="559"/>
      <c r="FJ55" s="559"/>
      <c r="FK55" s="559"/>
      <c r="FL55" s="559"/>
      <c r="FM55" s="559"/>
      <c r="FN55" s="559"/>
      <c r="FO55" s="559"/>
      <c r="FP55" s="559"/>
      <c r="FQ55" s="559"/>
      <c r="FR55" s="559"/>
      <c r="FS55" s="559"/>
      <c r="FT55" s="559"/>
      <c r="FU55" s="559"/>
      <c r="FV55" s="559"/>
      <c r="FW55" s="559"/>
      <c r="FX55" s="559"/>
      <c r="FY55" s="559"/>
      <c r="FZ55" s="559"/>
      <c r="GA55" s="559"/>
      <c r="GB55" s="559"/>
      <c r="GC55" s="559"/>
      <c r="GD55" s="559"/>
      <c r="GE55" s="559"/>
      <c r="GF55" s="559"/>
      <c r="GG55" s="559"/>
      <c r="GH55" s="559"/>
    </row>
    <row r="56">
      <c r="A56" s="538"/>
      <c r="B56" s="134"/>
      <c r="C56" s="57"/>
      <c r="D56" s="594" t="s">
        <v>316</v>
      </c>
      <c r="E56" s="606" t="s">
        <v>537</v>
      </c>
      <c r="F56" s="563">
        <v>4.0</v>
      </c>
      <c r="G56" s="563">
        <v>6.0</v>
      </c>
      <c r="H56" s="564"/>
      <c r="I56" s="622" t="s">
        <v>365</v>
      </c>
      <c r="J56" s="566"/>
      <c r="K56" s="567">
        <v>2.0</v>
      </c>
      <c r="L56" s="568">
        <v>3.0</v>
      </c>
      <c r="M56" s="626"/>
      <c r="N56" s="619"/>
      <c r="O56" s="623"/>
      <c r="P56" s="47"/>
      <c r="Q56" s="47"/>
      <c r="R56" s="47"/>
      <c r="S56" s="572"/>
      <c r="T56" s="572"/>
      <c r="U56" s="573"/>
      <c r="V56" s="574"/>
      <c r="W56" s="618"/>
      <c r="X56" s="576">
        <v>0.0</v>
      </c>
      <c r="Y56" s="630" t="e">
        <v>#VALUE!</v>
      </c>
      <c r="Z56" s="630">
        <v>24.0</v>
      </c>
      <c r="AA56" s="631" t="b">
        <v>0</v>
      </c>
      <c r="AB56" s="631"/>
      <c r="AC56" s="576"/>
      <c r="AD56" s="479">
        <v>7.0</v>
      </c>
      <c r="AE56" s="632"/>
      <c r="AF56" s="582" t="s">
        <v>538</v>
      </c>
      <c r="AG56" s="583">
        <v>7.0</v>
      </c>
      <c r="AH56" s="584" t="s">
        <v>539</v>
      </c>
      <c r="AI56" s="583">
        <v>1.0</v>
      </c>
      <c r="AJ56" s="585"/>
      <c r="AK56" s="583">
        <v>6.0</v>
      </c>
      <c r="AL56" s="584">
        <v>35.0</v>
      </c>
      <c r="AM56" s="583">
        <v>0.0</v>
      </c>
      <c r="AN56" s="585"/>
      <c r="AO56" s="583">
        <v>6.0</v>
      </c>
      <c r="AP56" s="584" t="s">
        <v>540</v>
      </c>
      <c r="AQ56" s="583">
        <v>1.0</v>
      </c>
      <c r="AR56" s="585"/>
      <c r="AS56" s="583">
        <v>7.0</v>
      </c>
      <c r="AT56" s="584">
        <v>30.0</v>
      </c>
      <c r="AU56" s="583"/>
      <c r="AV56" s="585"/>
      <c r="AW56" s="583">
        <v>9.0</v>
      </c>
      <c r="AX56" s="584" t="s">
        <v>541</v>
      </c>
      <c r="AY56" s="583"/>
      <c r="AZ56" s="585"/>
      <c r="BA56" s="583">
        <v>12.0</v>
      </c>
      <c r="BB56" s="584" t="s">
        <v>542</v>
      </c>
      <c r="BC56" s="583"/>
      <c r="BD56" s="585"/>
      <c r="BE56" s="583">
        <v>20.0</v>
      </c>
      <c r="BF56" s="584" t="s">
        <v>543</v>
      </c>
      <c r="BG56" s="583"/>
      <c r="BH56" s="585"/>
      <c r="BI56" s="583"/>
      <c r="BJ56" s="584"/>
      <c r="BK56" s="583"/>
      <c r="BL56" s="585"/>
      <c r="BM56" s="583"/>
      <c r="BN56" s="584"/>
      <c r="BO56" s="583"/>
      <c r="BP56" s="585"/>
      <c r="BQ56" s="583"/>
      <c r="BR56" s="584"/>
      <c r="BS56" s="583"/>
      <c r="BT56" s="586"/>
      <c r="BU56" s="540"/>
      <c r="BV56" s="540"/>
      <c r="BW56" s="540"/>
      <c r="BX56" s="538"/>
      <c r="BY56" s="538"/>
      <c r="BZ56" s="592"/>
      <c r="CA56" s="633"/>
      <c r="CB56" s="592" t="s">
        <v>365</v>
      </c>
      <c r="CC56" s="592">
        <v>67.0</v>
      </c>
      <c r="CD56" s="592">
        <v>0.2857142857142857</v>
      </c>
      <c r="CE56" s="592" t="e">
        <v>#VALUE!</v>
      </c>
      <c r="CF56" s="592"/>
      <c r="CG56" s="592">
        <v>0.67</v>
      </c>
      <c r="CH56" s="592"/>
      <c r="CI56" s="633"/>
      <c r="CJ56" s="592">
        <v>4.0</v>
      </c>
      <c r="CK56" s="479">
        <v>0.0</v>
      </c>
      <c r="CL56" s="592"/>
      <c r="CM56" s="593"/>
      <c r="CN56" s="538"/>
      <c r="CO56" s="538"/>
      <c r="CP56" s="538"/>
      <c r="CQ56" s="538"/>
      <c r="CR56" s="538"/>
      <c r="CS56" s="538"/>
      <c r="CT56" s="538"/>
      <c r="CU56" s="538"/>
      <c r="CV56" s="538"/>
      <c r="CW56" s="538"/>
      <c r="CX56" s="538"/>
      <c r="CY56" s="538"/>
      <c r="CZ56" s="538"/>
      <c r="DA56" s="538"/>
      <c r="DB56" s="538"/>
      <c r="DC56" s="538"/>
      <c r="DD56" s="538"/>
      <c r="DE56" s="538"/>
      <c r="DF56" s="538"/>
      <c r="DG56" s="538"/>
      <c r="DH56" s="538"/>
      <c r="DI56" s="538"/>
      <c r="DJ56" s="84"/>
      <c r="DK56" s="538"/>
      <c r="DL56" s="538"/>
      <c r="DM56" s="538"/>
      <c r="DN56" s="538"/>
      <c r="DO56" s="538"/>
      <c r="DP56" s="538"/>
      <c r="DQ56" s="538"/>
      <c r="DR56" s="538"/>
      <c r="DS56" s="538"/>
      <c r="DT56" s="538"/>
      <c r="DU56" s="538"/>
      <c r="DV56" s="538"/>
      <c r="DW56" s="538"/>
      <c r="DX56" s="538"/>
      <c r="DY56" s="538"/>
      <c r="DZ56" s="538"/>
      <c r="EA56" s="538"/>
      <c r="EB56" s="538"/>
      <c r="EC56" s="538"/>
      <c r="ED56" s="538"/>
      <c r="EE56" s="538"/>
      <c r="EF56" s="538"/>
      <c r="EG56" s="538"/>
      <c r="EH56" s="538"/>
      <c r="EI56" s="538"/>
      <c r="EJ56" s="538"/>
      <c r="EK56" s="538"/>
      <c r="EL56" s="538"/>
      <c r="EM56" s="538"/>
      <c r="EN56" s="538"/>
      <c r="EO56" s="538"/>
      <c r="EP56" s="538"/>
      <c r="EQ56" s="538"/>
      <c r="ER56" s="538"/>
      <c r="ES56" s="538"/>
      <c r="ET56" s="538"/>
      <c r="EU56" s="538"/>
      <c r="EV56" s="538"/>
      <c r="EW56" s="538"/>
      <c r="EX56" s="559"/>
      <c r="EY56" s="559"/>
      <c r="EZ56" s="559"/>
      <c r="FA56" s="559"/>
      <c r="FB56" s="559"/>
      <c r="FC56" s="559"/>
      <c r="FD56" s="559"/>
      <c r="FE56" s="559"/>
      <c r="FF56" s="559"/>
      <c r="FG56" s="559"/>
      <c r="FH56" s="559"/>
      <c r="FI56" s="559"/>
      <c r="FJ56" s="559"/>
      <c r="FK56" s="559"/>
      <c r="FL56" s="559"/>
      <c r="FM56" s="559"/>
      <c r="FN56" s="559"/>
      <c r="FO56" s="559"/>
      <c r="FP56" s="559"/>
      <c r="FQ56" s="559"/>
      <c r="FR56" s="559"/>
      <c r="FS56" s="559"/>
      <c r="FT56" s="559"/>
      <c r="FU56" s="559"/>
      <c r="FV56" s="559"/>
      <c r="FW56" s="559"/>
      <c r="FX56" s="559"/>
      <c r="FY56" s="559"/>
      <c r="FZ56" s="559"/>
      <c r="GA56" s="559"/>
      <c r="GB56" s="559"/>
      <c r="GC56" s="559"/>
      <c r="GD56" s="559"/>
      <c r="GE56" s="559"/>
      <c r="GF56" s="559"/>
      <c r="GG56" s="559"/>
      <c r="GH56" s="559"/>
    </row>
    <row r="57">
      <c r="A57" s="538"/>
      <c r="B57" s="134"/>
      <c r="C57" s="57"/>
      <c r="D57" s="594" t="s">
        <v>302</v>
      </c>
      <c r="E57" s="595" t="s">
        <v>544</v>
      </c>
      <c r="F57" s="596">
        <v>3.0</v>
      </c>
      <c r="G57" s="596">
        <v>15.0</v>
      </c>
      <c r="H57" s="597"/>
      <c r="I57" s="616" t="s">
        <v>365</v>
      </c>
      <c r="J57" s="599"/>
      <c r="K57" s="600">
        <v>2.0</v>
      </c>
      <c r="L57" s="601">
        <v>3.0</v>
      </c>
      <c r="M57" s="625"/>
      <c r="N57" s="617"/>
      <c r="O57" s="134" t="s">
        <v>425</v>
      </c>
      <c r="P57" s="57"/>
      <c r="Q57" s="57"/>
      <c r="R57" s="57"/>
      <c r="S57" s="605"/>
      <c r="T57" s="605"/>
      <c r="U57" s="573"/>
      <c r="V57" s="574"/>
      <c r="W57" s="618"/>
      <c r="X57" s="576">
        <v>0.0</v>
      </c>
      <c r="Y57" s="630" t="e">
        <v>#VALUE!</v>
      </c>
      <c r="Z57" s="630">
        <v>45.0</v>
      </c>
      <c r="AA57" s="631" t="b">
        <v>0</v>
      </c>
      <c r="AB57" s="631"/>
      <c r="AC57" s="576"/>
      <c r="AD57" s="479">
        <v>1.0</v>
      </c>
      <c r="AE57" s="632"/>
      <c r="AF57" s="582" t="s">
        <v>545</v>
      </c>
      <c r="AG57" s="583">
        <v>15.0</v>
      </c>
      <c r="AH57" s="584" t="s">
        <v>546</v>
      </c>
      <c r="AI57" s="583"/>
      <c r="AJ57" s="585"/>
      <c r="AK57" s="583"/>
      <c r="AL57" s="584"/>
      <c r="AM57" s="583"/>
      <c r="AN57" s="585"/>
      <c r="AO57" s="583"/>
      <c r="AP57" s="584"/>
      <c r="AQ57" s="583"/>
      <c r="AR57" s="585"/>
      <c r="AS57" s="583"/>
      <c r="AT57" s="584"/>
      <c r="AU57" s="583"/>
      <c r="AV57" s="585"/>
      <c r="AW57" s="583"/>
      <c r="AX57" s="584"/>
      <c r="AY57" s="583"/>
      <c r="AZ57" s="585"/>
      <c r="BA57" s="583"/>
      <c r="BB57" s="584"/>
      <c r="BC57" s="583"/>
      <c r="BD57" s="585"/>
      <c r="BE57" s="583"/>
      <c r="BF57" s="584"/>
      <c r="BG57" s="583"/>
      <c r="BH57" s="585"/>
      <c r="BI57" s="583"/>
      <c r="BJ57" s="584"/>
      <c r="BK57" s="583"/>
      <c r="BL57" s="585"/>
      <c r="BM57" s="583"/>
      <c r="BN57" s="584"/>
      <c r="BO57" s="583"/>
      <c r="BP57" s="585"/>
      <c r="BQ57" s="583"/>
      <c r="BR57" s="584"/>
      <c r="BS57" s="583"/>
      <c r="BT57" s="586"/>
      <c r="BU57" s="540"/>
      <c r="BV57" s="540"/>
      <c r="BW57" s="540"/>
      <c r="BX57" s="538"/>
      <c r="BY57" s="538"/>
      <c r="BZ57" s="592"/>
      <c r="CA57" s="633"/>
      <c r="CB57" s="592" t="s">
        <v>365</v>
      </c>
      <c r="CC57" s="592">
        <v>15.0</v>
      </c>
      <c r="CD57" s="592">
        <v>0.0</v>
      </c>
      <c r="CE57" s="592" t="e">
        <v>#VALUE!</v>
      </c>
      <c r="CF57" s="592"/>
      <c r="CG57" s="592">
        <v>0.15</v>
      </c>
      <c r="CH57" s="592"/>
      <c r="CI57" s="633"/>
      <c r="CJ57" s="592">
        <v>0.0</v>
      </c>
      <c r="CK57" s="479">
        <v>0.0</v>
      </c>
      <c r="CL57" s="592"/>
      <c r="CM57" s="593"/>
      <c r="CN57" s="538"/>
      <c r="CO57" s="538"/>
      <c r="CP57" s="538"/>
      <c r="CQ57" s="538"/>
      <c r="CR57" s="538"/>
      <c r="CS57" s="538"/>
      <c r="CT57" s="538"/>
      <c r="CU57" s="538"/>
      <c r="CV57" s="538"/>
      <c r="CW57" s="538"/>
      <c r="CX57" s="538"/>
      <c r="CY57" s="538"/>
      <c r="CZ57" s="538"/>
      <c r="DA57" s="538"/>
      <c r="DB57" s="538"/>
      <c r="DC57" s="538"/>
      <c r="DD57" s="538"/>
      <c r="DE57" s="538"/>
      <c r="DF57" s="538"/>
      <c r="DG57" s="538"/>
      <c r="DH57" s="538"/>
      <c r="DI57" s="538"/>
      <c r="DJ57" s="84"/>
      <c r="DK57" s="538"/>
      <c r="DL57" s="538"/>
      <c r="DM57" s="538"/>
      <c r="DN57" s="538"/>
      <c r="DO57" s="538"/>
      <c r="DP57" s="538"/>
      <c r="DQ57" s="538"/>
      <c r="DR57" s="538"/>
      <c r="DS57" s="538"/>
      <c r="DT57" s="538"/>
      <c r="DU57" s="538"/>
      <c r="DV57" s="538"/>
      <c r="DW57" s="538"/>
      <c r="DX57" s="538"/>
      <c r="DY57" s="538"/>
      <c r="DZ57" s="538"/>
      <c r="EA57" s="538"/>
      <c r="EB57" s="538"/>
      <c r="EC57" s="538"/>
      <c r="ED57" s="538"/>
      <c r="EE57" s="538"/>
      <c r="EF57" s="538"/>
      <c r="EG57" s="538"/>
      <c r="EH57" s="538"/>
      <c r="EI57" s="538"/>
      <c r="EJ57" s="538"/>
      <c r="EK57" s="538"/>
      <c r="EL57" s="538"/>
      <c r="EM57" s="538"/>
      <c r="EN57" s="538"/>
      <c r="EO57" s="538"/>
      <c r="EP57" s="538"/>
      <c r="EQ57" s="538"/>
      <c r="ER57" s="538"/>
      <c r="ES57" s="538"/>
      <c r="ET57" s="538"/>
      <c r="EU57" s="538"/>
      <c r="EV57" s="538"/>
      <c r="EW57" s="538"/>
      <c r="EX57" s="559"/>
      <c r="EY57" s="559"/>
      <c r="EZ57" s="559"/>
      <c r="FA57" s="559"/>
      <c r="FB57" s="559"/>
      <c r="FC57" s="559"/>
      <c r="FD57" s="559"/>
      <c r="FE57" s="559"/>
      <c r="FF57" s="559"/>
      <c r="FG57" s="559"/>
      <c r="FH57" s="559"/>
      <c r="FI57" s="559"/>
      <c r="FJ57" s="559"/>
      <c r="FK57" s="559"/>
      <c r="FL57" s="559"/>
      <c r="FM57" s="559"/>
      <c r="FN57" s="559"/>
      <c r="FO57" s="559"/>
      <c r="FP57" s="559"/>
      <c r="FQ57" s="559"/>
      <c r="FR57" s="559"/>
      <c r="FS57" s="559"/>
      <c r="FT57" s="559"/>
      <c r="FU57" s="559"/>
      <c r="FV57" s="559"/>
      <c r="FW57" s="559"/>
      <c r="FX57" s="559"/>
      <c r="FY57" s="559"/>
      <c r="FZ57" s="559"/>
      <c r="GA57" s="559"/>
      <c r="GB57" s="559"/>
      <c r="GC57" s="559"/>
      <c r="GD57" s="559"/>
      <c r="GE57" s="559"/>
      <c r="GF57" s="559"/>
      <c r="GG57" s="559"/>
      <c r="GH57" s="559"/>
    </row>
    <row r="58">
      <c r="A58" s="538"/>
      <c r="B58" s="134"/>
      <c r="C58" s="57"/>
      <c r="D58" s="594" t="s">
        <v>301</v>
      </c>
      <c r="E58" s="595" t="s">
        <v>547</v>
      </c>
      <c r="F58" s="596">
        <v>3.0</v>
      </c>
      <c r="G58" s="596">
        <v>12.0</v>
      </c>
      <c r="H58" s="597"/>
      <c r="I58" s="616" t="s">
        <v>365</v>
      </c>
      <c r="J58" s="599"/>
      <c r="K58" s="600">
        <v>1.0</v>
      </c>
      <c r="L58" s="568">
        <v>2.0</v>
      </c>
      <c r="M58" s="626"/>
      <c r="N58" s="619"/>
      <c r="O58" s="623"/>
      <c r="P58" s="47"/>
      <c r="Q58" s="47"/>
      <c r="R58" s="47"/>
      <c r="S58" s="572"/>
      <c r="T58" s="572"/>
      <c r="U58" s="573"/>
      <c r="V58" s="574"/>
      <c r="W58" s="618"/>
      <c r="X58" s="576">
        <v>0.0</v>
      </c>
      <c r="Y58" s="630">
        <v>0.0</v>
      </c>
      <c r="Z58" s="630">
        <v>36.0</v>
      </c>
      <c r="AA58" s="631" t="b">
        <v>0</v>
      </c>
      <c r="AB58" s="631"/>
      <c r="AC58" s="576"/>
      <c r="AD58" s="479">
        <v>0.0</v>
      </c>
      <c r="AE58" s="632"/>
      <c r="AF58" s="582" t="s">
        <v>548</v>
      </c>
      <c r="AG58" s="583"/>
      <c r="AH58" s="584"/>
      <c r="AI58" s="583"/>
      <c r="AJ58" s="585"/>
      <c r="AK58" s="583"/>
      <c r="AL58" s="584"/>
      <c r="AM58" s="583"/>
      <c r="AN58" s="585"/>
      <c r="AO58" s="583"/>
      <c r="AP58" s="584"/>
      <c r="AQ58" s="583"/>
      <c r="AR58" s="585"/>
      <c r="AS58" s="583"/>
      <c r="AT58" s="584"/>
      <c r="AU58" s="583"/>
      <c r="AV58" s="585"/>
      <c r="AW58" s="583"/>
      <c r="AX58" s="584"/>
      <c r="AY58" s="583"/>
      <c r="AZ58" s="585"/>
      <c r="BA58" s="583"/>
      <c r="BB58" s="584"/>
      <c r="BC58" s="583"/>
      <c r="BD58" s="585"/>
      <c r="BE58" s="583"/>
      <c r="BF58" s="584"/>
      <c r="BG58" s="583"/>
      <c r="BH58" s="585"/>
      <c r="BI58" s="583"/>
      <c r="BJ58" s="584"/>
      <c r="BK58" s="583"/>
      <c r="BL58" s="585"/>
      <c r="BM58" s="583"/>
      <c r="BN58" s="584"/>
      <c r="BO58" s="583"/>
      <c r="BP58" s="585"/>
      <c r="BQ58" s="583"/>
      <c r="BR58" s="584"/>
      <c r="BS58" s="583"/>
      <c r="BT58" s="586"/>
      <c r="BU58" s="540"/>
      <c r="BV58" s="540"/>
      <c r="BW58" s="540"/>
      <c r="BX58" s="538"/>
      <c r="BY58" s="538"/>
      <c r="BZ58" s="592"/>
      <c r="CA58" s="633"/>
      <c r="CB58" s="592" t="s">
        <v>365</v>
      </c>
      <c r="CC58" s="592">
        <v>0.0</v>
      </c>
      <c r="CD58" s="592" t="s">
        <v>365</v>
      </c>
      <c r="CE58" s="592">
        <v>0.0</v>
      </c>
      <c r="CF58" s="592"/>
      <c r="CG58" s="592">
        <v>0.0</v>
      </c>
      <c r="CH58" s="592"/>
      <c r="CI58" s="633"/>
      <c r="CJ58" s="592">
        <v>0.0</v>
      </c>
      <c r="CK58" s="479" t="s">
        <v>365</v>
      </c>
      <c r="CL58" s="592"/>
      <c r="CM58" s="593"/>
      <c r="CN58" s="538"/>
      <c r="CO58" s="538"/>
      <c r="CP58" s="538"/>
      <c r="CQ58" s="538"/>
      <c r="CR58" s="538"/>
      <c r="CS58" s="538"/>
      <c r="CT58" s="538"/>
      <c r="CU58" s="538"/>
      <c r="CV58" s="538"/>
      <c r="CW58" s="538"/>
      <c r="CX58" s="538"/>
      <c r="CY58" s="538"/>
      <c r="CZ58" s="538"/>
      <c r="DA58" s="538"/>
      <c r="DB58" s="538"/>
      <c r="DC58" s="538"/>
      <c r="DD58" s="538"/>
      <c r="DE58" s="538"/>
      <c r="DF58" s="538"/>
      <c r="DG58" s="538"/>
      <c r="DH58" s="538"/>
      <c r="DI58" s="538"/>
      <c r="DJ58" s="84"/>
      <c r="DK58" s="538"/>
      <c r="DL58" s="538"/>
      <c r="DM58" s="538"/>
      <c r="DN58" s="538"/>
      <c r="DO58" s="538"/>
      <c r="DP58" s="538"/>
      <c r="DQ58" s="538"/>
      <c r="DR58" s="538"/>
      <c r="DS58" s="538"/>
      <c r="DT58" s="538"/>
      <c r="DU58" s="538"/>
      <c r="DV58" s="538"/>
      <c r="DW58" s="538"/>
      <c r="DX58" s="538"/>
      <c r="DY58" s="538"/>
      <c r="DZ58" s="538"/>
      <c r="EA58" s="538"/>
      <c r="EB58" s="538"/>
      <c r="EC58" s="538"/>
      <c r="ED58" s="538"/>
      <c r="EE58" s="538"/>
      <c r="EF58" s="538"/>
      <c r="EG58" s="538"/>
      <c r="EH58" s="538"/>
      <c r="EI58" s="538"/>
      <c r="EJ58" s="538"/>
      <c r="EK58" s="538"/>
      <c r="EL58" s="538"/>
      <c r="EM58" s="538"/>
      <c r="EN58" s="538"/>
      <c r="EO58" s="538"/>
      <c r="EP58" s="538"/>
      <c r="EQ58" s="538"/>
      <c r="ER58" s="538"/>
      <c r="ES58" s="538"/>
      <c r="ET58" s="538"/>
      <c r="EU58" s="538"/>
      <c r="EV58" s="538"/>
      <c r="EW58" s="538"/>
      <c r="EX58" s="559"/>
      <c r="EY58" s="559"/>
      <c r="EZ58" s="559"/>
      <c r="FA58" s="559"/>
      <c r="FB58" s="559"/>
      <c r="FC58" s="559"/>
      <c r="FD58" s="559"/>
      <c r="FE58" s="559"/>
      <c r="FF58" s="559"/>
      <c r="FG58" s="559"/>
      <c r="FH58" s="559"/>
      <c r="FI58" s="559"/>
      <c r="FJ58" s="559"/>
      <c r="FK58" s="559"/>
      <c r="FL58" s="559"/>
      <c r="FM58" s="559"/>
      <c r="FN58" s="559"/>
      <c r="FO58" s="559"/>
      <c r="FP58" s="559"/>
      <c r="FQ58" s="559"/>
      <c r="FR58" s="559"/>
      <c r="FS58" s="559"/>
      <c r="FT58" s="559"/>
      <c r="FU58" s="559"/>
      <c r="FV58" s="559"/>
      <c r="FW58" s="559"/>
      <c r="FX58" s="559"/>
      <c r="FY58" s="559"/>
      <c r="FZ58" s="559"/>
      <c r="GA58" s="559"/>
      <c r="GB58" s="559"/>
      <c r="GC58" s="559"/>
      <c r="GD58" s="559"/>
      <c r="GE58" s="559"/>
      <c r="GF58" s="559"/>
      <c r="GG58" s="559"/>
      <c r="GH58" s="559"/>
    </row>
    <row r="59">
      <c r="A59" s="538"/>
      <c r="B59" s="134" t="s">
        <v>430</v>
      </c>
      <c r="C59" s="57"/>
      <c r="D59" s="594"/>
      <c r="E59" s="595"/>
      <c r="F59" s="596"/>
      <c r="G59" s="596"/>
      <c r="H59" s="597"/>
      <c r="I59" s="616" t="s">
        <v>365</v>
      </c>
      <c r="J59" s="599"/>
      <c r="K59" s="600"/>
      <c r="L59" s="601"/>
      <c r="M59" s="625"/>
      <c r="N59" s="617"/>
      <c r="O59" s="621"/>
      <c r="P59" s="57"/>
      <c r="Q59" s="57"/>
      <c r="S59" s="605"/>
      <c r="U59" s="573"/>
      <c r="V59" s="574"/>
      <c r="W59" s="618"/>
      <c r="X59" s="576">
        <v>0.0</v>
      </c>
      <c r="Y59" s="630">
        <v>0.0</v>
      </c>
      <c r="Z59" s="630" t="s">
        <v>365</v>
      </c>
      <c r="AA59" s="631" t="b">
        <v>0</v>
      </c>
      <c r="AB59" s="631"/>
      <c r="AC59" s="576"/>
      <c r="AD59" s="479">
        <v>0.0</v>
      </c>
      <c r="AE59" s="632"/>
      <c r="AF59" s="582" t="s">
        <v>365</v>
      </c>
      <c r="AG59" s="583"/>
      <c r="AH59" s="584"/>
      <c r="AI59" s="583"/>
      <c r="AJ59" s="585"/>
      <c r="AK59" s="583"/>
      <c r="AL59" s="584"/>
      <c r="AM59" s="583"/>
      <c r="AN59" s="585"/>
      <c r="AO59" s="583"/>
      <c r="AP59" s="584"/>
      <c r="AQ59" s="583"/>
      <c r="AR59" s="585"/>
      <c r="AS59" s="583"/>
      <c r="AT59" s="584"/>
      <c r="AU59" s="583"/>
      <c r="AV59" s="585"/>
      <c r="AW59" s="583"/>
      <c r="AX59" s="584"/>
      <c r="AY59" s="583"/>
      <c r="AZ59" s="585"/>
      <c r="BA59" s="583"/>
      <c r="BB59" s="584"/>
      <c r="BC59" s="583"/>
      <c r="BD59" s="585"/>
      <c r="BE59" s="583"/>
      <c r="BF59" s="584"/>
      <c r="BG59" s="583"/>
      <c r="BH59" s="585"/>
      <c r="BI59" s="583"/>
      <c r="BJ59" s="584"/>
      <c r="BK59" s="583"/>
      <c r="BL59" s="585"/>
      <c r="BM59" s="583"/>
      <c r="BN59" s="584"/>
      <c r="BO59" s="583"/>
      <c r="BP59" s="585"/>
      <c r="BQ59" s="583"/>
      <c r="BR59" s="584"/>
      <c r="BS59" s="583"/>
      <c r="BT59" s="586"/>
      <c r="BU59" s="540"/>
      <c r="BV59" s="540"/>
      <c r="BW59" s="540"/>
      <c r="BX59" s="538"/>
      <c r="BY59" s="538"/>
      <c r="BZ59" s="592"/>
      <c r="CA59" s="633"/>
      <c r="CB59" s="592" t="s">
        <v>365</v>
      </c>
      <c r="CC59" s="592">
        <v>0.0</v>
      </c>
      <c r="CD59" s="592" t="s">
        <v>365</v>
      </c>
      <c r="CE59" s="592">
        <v>0.0</v>
      </c>
      <c r="CF59" s="592"/>
      <c r="CG59" s="592">
        <v>0.0</v>
      </c>
      <c r="CH59" s="592"/>
      <c r="CI59" s="633"/>
      <c r="CJ59" s="592">
        <v>0.0</v>
      </c>
      <c r="CK59" s="479" t="s">
        <v>365</v>
      </c>
      <c r="CL59" s="592"/>
      <c r="CM59" s="593"/>
      <c r="CN59" s="538"/>
      <c r="CO59" s="538"/>
      <c r="CP59" s="538"/>
      <c r="CQ59" s="538"/>
      <c r="CR59" s="538"/>
      <c r="CS59" s="538"/>
      <c r="CT59" s="538"/>
      <c r="CU59" s="538"/>
      <c r="CV59" s="538"/>
      <c r="CW59" s="538"/>
      <c r="CX59" s="538"/>
      <c r="CY59" s="538"/>
      <c r="CZ59" s="538"/>
      <c r="DA59" s="538"/>
      <c r="DB59" s="538"/>
      <c r="DC59" s="538"/>
      <c r="DD59" s="538"/>
      <c r="DE59" s="538"/>
      <c r="DF59" s="538"/>
      <c r="DG59" s="538"/>
      <c r="DH59" s="538"/>
      <c r="DI59" s="538"/>
      <c r="DJ59" s="84"/>
      <c r="DK59" s="538"/>
      <c r="DL59" s="538"/>
      <c r="DM59" s="538"/>
      <c r="DN59" s="538"/>
      <c r="DO59" s="538"/>
      <c r="DP59" s="538"/>
      <c r="DQ59" s="538"/>
      <c r="DR59" s="538"/>
      <c r="DS59" s="538"/>
      <c r="DT59" s="538"/>
      <c r="DU59" s="538"/>
      <c r="DV59" s="538"/>
      <c r="DW59" s="538"/>
      <c r="DX59" s="538"/>
      <c r="DY59" s="538"/>
      <c r="DZ59" s="538"/>
      <c r="EA59" s="538"/>
      <c r="EB59" s="538"/>
      <c r="EC59" s="538"/>
      <c r="ED59" s="538"/>
      <c r="EE59" s="538"/>
      <c r="EF59" s="538"/>
      <c r="EG59" s="538"/>
      <c r="EH59" s="538"/>
      <c r="EI59" s="538"/>
      <c r="EJ59" s="538"/>
      <c r="EK59" s="538"/>
      <c r="EL59" s="538"/>
      <c r="EM59" s="538"/>
      <c r="EN59" s="538"/>
      <c r="EO59" s="538"/>
      <c r="EP59" s="538"/>
      <c r="EQ59" s="538"/>
      <c r="ER59" s="538"/>
      <c r="ES59" s="538"/>
      <c r="ET59" s="538"/>
      <c r="EU59" s="538"/>
      <c r="EV59" s="538"/>
      <c r="EW59" s="538"/>
      <c r="EX59" s="559"/>
      <c r="EY59" s="559"/>
      <c r="EZ59" s="559"/>
      <c r="FA59" s="559"/>
      <c r="FB59" s="559"/>
      <c r="FC59" s="559"/>
      <c r="FD59" s="559"/>
      <c r="FE59" s="559"/>
      <c r="FF59" s="559"/>
      <c r="FG59" s="559"/>
      <c r="FH59" s="559"/>
      <c r="FI59" s="559"/>
      <c r="FJ59" s="559"/>
      <c r="FK59" s="559"/>
      <c r="FL59" s="559"/>
      <c r="FM59" s="559"/>
      <c r="FN59" s="559"/>
      <c r="FO59" s="559"/>
      <c r="FP59" s="559"/>
      <c r="FQ59" s="559"/>
      <c r="FR59" s="559"/>
      <c r="FS59" s="559"/>
      <c r="FT59" s="559"/>
      <c r="FU59" s="559"/>
      <c r="FV59" s="559"/>
      <c r="FW59" s="559"/>
      <c r="FX59" s="559"/>
      <c r="FY59" s="559"/>
      <c r="FZ59" s="559"/>
      <c r="GA59" s="559"/>
      <c r="GB59" s="559"/>
      <c r="GC59" s="559"/>
      <c r="GD59" s="559"/>
      <c r="GE59" s="559"/>
      <c r="GF59" s="559"/>
      <c r="GG59" s="559"/>
      <c r="GH59" s="559"/>
    </row>
    <row r="60">
      <c r="A60" s="538"/>
      <c r="B60" s="134"/>
      <c r="C60" s="57"/>
      <c r="D60" s="594" t="s">
        <v>266</v>
      </c>
      <c r="E60" s="629" t="s">
        <v>431</v>
      </c>
      <c r="F60" s="563">
        <v>4.0</v>
      </c>
      <c r="G60" s="563">
        <v>4.0</v>
      </c>
      <c r="H60" s="564"/>
      <c r="I60" s="622">
        <v>0.0</v>
      </c>
      <c r="J60" s="566">
        <v>160.0</v>
      </c>
      <c r="K60" s="567"/>
      <c r="L60" s="568"/>
      <c r="M60" s="626"/>
      <c r="N60" s="619"/>
      <c r="O60" s="623"/>
      <c r="P60" s="47"/>
      <c r="Q60" s="47"/>
      <c r="R60" s="47"/>
      <c r="S60" s="572"/>
      <c r="T60" s="572"/>
      <c r="U60" s="573"/>
      <c r="V60" s="574"/>
      <c r="W60" s="618"/>
      <c r="X60" s="576">
        <v>2560.0</v>
      </c>
      <c r="Y60" s="630" t="e">
        <v>#VALUE!</v>
      </c>
      <c r="Z60" s="630">
        <v>16.0</v>
      </c>
      <c r="AA60" s="631">
        <v>0.8888888888888888</v>
      </c>
      <c r="AB60" s="631"/>
      <c r="AC60" s="576"/>
      <c r="AD60" s="479">
        <v>4.0</v>
      </c>
      <c r="AE60" s="632"/>
      <c r="AF60" s="582" t="s">
        <v>549</v>
      </c>
      <c r="AG60" s="583">
        <v>4.0</v>
      </c>
      <c r="AH60" s="584" t="s">
        <v>550</v>
      </c>
      <c r="AI60" s="583">
        <v>1.0</v>
      </c>
      <c r="AJ60" s="585">
        <v>8.5</v>
      </c>
      <c r="AK60" s="583">
        <v>4.0</v>
      </c>
      <c r="AL60" s="584" t="s">
        <v>551</v>
      </c>
      <c r="AM60" s="583">
        <v>1.0</v>
      </c>
      <c r="AN60" s="585">
        <v>8.5</v>
      </c>
      <c r="AO60" s="583">
        <v>4.0</v>
      </c>
      <c r="AP60" s="584"/>
      <c r="AQ60" s="583">
        <v>1.0</v>
      </c>
      <c r="AR60" s="585"/>
      <c r="AS60" s="583">
        <v>4.0</v>
      </c>
      <c r="AT60" s="584"/>
      <c r="AU60" s="583">
        <v>1.0</v>
      </c>
      <c r="AV60" s="585"/>
      <c r="AW60" s="583"/>
      <c r="AX60" s="584"/>
      <c r="AY60" s="583"/>
      <c r="AZ60" s="585"/>
      <c r="BA60" s="583"/>
      <c r="BB60" s="584"/>
      <c r="BC60" s="583"/>
      <c r="BD60" s="585"/>
      <c r="BE60" s="583"/>
      <c r="BF60" s="584"/>
      <c r="BG60" s="583"/>
      <c r="BH60" s="585"/>
      <c r="BI60" s="583"/>
      <c r="BJ60" s="584"/>
      <c r="BK60" s="583"/>
      <c r="BL60" s="585"/>
      <c r="BM60" s="583"/>
      <c r="BN60" s="584"/>
      <c r="BO60" s="583"/>
      <c r="BP60" s="585"/>
      <c r="BQ60" s="583"/>
      <c r="BR60" s="584"/>
      <c r="BS60" s="583"/>
      <c r="BT60" s="586"/>
      <c r="BU60" s="540"/>
      <c r="BV60" s="540"/>
      <c r="BW60" s="540"/>
      <c r="BX60" s="538"/>
      <c r="BY60" s="538"/>
      <c r="BZ60" s="592">
        <v>180.0</v>
      </c>
      <c r="CA60" s="633"/>
      <c r="CB60" s="592" t="s">
        <v>365</v>
      </c>
      <c r="CC60" s="592">
        <v>16.0</v>
      </c>
      <c r="CD60" s="592">
        <v>1.0</v>
      </c>
      <c r="CE60" s="592" t="e">
        <v>#VALUE!</v>
      </c>
      <c r="CF60" s="592"/>
      <c r="CG60" s="592">
        <v>0.16</v>
      </c>
      <c r="CH60" s="592"/>
      <c r="CI60" s="633"/>
      <c r="CJ60" s="592">
        <v>4.8</v>
      </c>
      <c r="CK60" s="479">
        <v>4.25</v>
      </c>
      <c r="CL60" s="592"/>
      <c r="CM60" s="593"/>
      <c r="CN60" s="538"/>
      <c r="CO60" s="538"/>
      <c r="CP60" s="538"/>
      <c r="CQ60" s="538"/>
      <c r="CR60" s="538"/>
      <c r="CS60" s="538"/>
      <c r="CT60" s="538"/>
      <c r="CU60" s="538"/>
      <c r="CV60" s="538"/>
      <c r="CW60" s="538"/>
      <c r="CX60" s="538"/>
      <c r="CY60" s="538"/>
      <c r="CZ60" s="538"/>
      <c r="DA60" s="538"/>
      <c r="DB60" s="538"/>
      <c r="DC60" s="538"/>
      <c r="DD60" s="538"/>
      <c r="DE60" s="538"/>
      <c r="DF60" s="538"/>
      <c r="DG60" s="538"/>
      <c r="DH60" s="538"/>
      <c r="DI60" s="538"/>
      <c r="DJ60" s="84"/>
      <c r="DK60" s="538"/>
      <c r="DL60" s="538"/>
      <c r="DM60" s="538"/>
      <c r="DN60" s="538"/>
      <c r="DO60" s="538"/>
      <c r="DP60" s="538"/>
      <c r="DQ60" s="538"/>
      <c r="DR60" s="538"/>
      <c r="DS60" s="538"/>
      <c r="DT60" s="538"/>
      <c r="DU60" s="538"/>
      <c r="DV60" s="538"/>
      <c r="DW60" s="538"/>
      <c r="DX60" s="538"/>
      <c r="DY60" s="538"/>
      <c r="DZ60" s="538"/>
      <c r="EA60" s="538"/>
      <c r="EB60" s="538"/>
      <c r="EC60" s="538"/>
      <c r="ED60" s="538"/>
      <c r="EE60" s="538"/>
      <c r="EF60" s="538"/>
      <c r="EG60" s="538"/>
      <c r="EH60" s="538"/>
      <c r="EI60" s="538"/>
      <c r="EJ60" s="538"/>
      <c r="EK60" s="538"/>
      <c r="EL60" s="538"/>
      <c r="EM60" s="538"/>
      <c r="EN60" s="538"/>
      <c r="EO60" s="538"/>
      <c r="EP60" s="538"/>
      <c r="EQ60" s="538"/>
      <c r="ER60" s="538"/>
      <c r="ES60" s="538"/>
      <c r="ET60" s="538"/>
      <c r="EU60" s="538"/>
      <c r="EV60" s="538"/>
      <c r="EW60" s="538"/>
      <c r="EX60" s="559"/>
      <c r="EY60" s="559"/>
      <c r="EZ60" s="559"/>
      <c r="FA60" s="559"/>
      <c r="FB60" s="559"/>
      <c r="FC60" s="559"/>
      <c r="FD60" s="559"/>
      <c r="FE60" s="559"/>
      <c r="FF60" s="559"/>
      <c r="FG60" s="559"/>
      <c r="FH60" s="559"/>
      <c r="FI60" s="559"/>
      <c r="FJ60" s="559"/>
      <c r="FK60" s="559"/>
      <c r="FL60" s="559"/>
      <c r="FM60" s="559"/>
      <c r="FN60" s="559"/>
      <c r="FO60" s="559"/>
      <c r="FP60" s="559"/>
      <c r="FQ60" s="559"/>
      <c r="FR60" s="559"/>
      <c r="FS60" s="559"/>
      <c r="FT60" s="559"/>
      <c r="FU60" s="559"/>
      <c r="FV60" s="559"/>
      <c r="FW60" s="559"/>
      <c r="FX60" s="559"/>
      <c r="FY60" s="559"/>
      <c r="FZ60" s="559"/>
      <c r="GA60" s="559"/>
      <c r="GB60" s="559"/>
      <c r="GC60" s="559"/>
      <c r="GD60" s="559"/>
      <c r="GE60" s="559"/>
      <c r="GF60" s="559"/>
      <c r="GG60" s="559"/>
      <c r="GH60" s="559"/>
    </row>
    <row r="61">
      <c r="A61" s="538"/>
      <c r="B61" s="134"/>
      <c r="C61" s="57"/>
      <c r="D61" s="594" t="s">
        <v>434</v>
      </c>
      <c r="E61" s="562" t="s">
        <v>552</v>
      </c>
      <c r="F61" s="563">
        <v>3.0</v>
      </c>
      <c r="G61" s="563">
        <v>5.0</v>
      </c>
      <c r="H61" s="627"/>
      <c r="I61" s="622">
        <v>0.0</v>
      </c>
      <c r="J61" s="566">
        <v>80.0</v>
      </c>
      <c r="K61" s="567"/>
      <c r="L61" s="601"/>
      <c r="M61" s="625"/>
      <c r="N61" s="617"/>
      <c r="O61" s="621"/>
      <c r="P61" s="57"/>
      <c r="Q61" s="57"/>
      <c r="S61" s="605"/>
      <c r="U61" s="573"/>
      <c r="V61" s="574"/>
      <c r="W61" s="618"/>
      <c r="X61" s="576">
        <v>1200.0</v>
      </c>
      <c r="Y61" s="630">
        <v>0.0</v>
      </c>
      <c r="Z61" s="630">
        <v>15.0</v>
      </c>
      <c r="AA61" s="631">
        <v>0.6956521739130435</v>
      </c>
      <c r="AB61" s="631"/>
      <c r="AC61" s="576"/>
      <c r="AD61" s="479">
        <v>3.0</v>
      </c>
      <c r="AE61" s="632"/>
      <c r="AF61" s="582" t="s">
        <v>553</v>
      </c>
      <c r="AG61" s="583">
        <v>5.0</v>
      </c>
      <c r="AH61" s="584"/>
      <c r="AI61" s="583">
        <v>2.0</v>
      </c>
      <c r="AJ61" s="585">
        <v>8.0</v>
      </c>
      <c r="AK61" s="583">
        <v>5.0</v>
      </c>
      <c r="AL61" s="584"/>
      <c r="AM61" s="583">
        <v>2.0</v>
      </c>
      <c r="AN61" s="585">
        <v>8.0</v>
      </c>
      <c r="AO61" s="583">
        <v>5.0</v>
      </c>
      <c r="AP61" s="584"/>
      <c r="AQ61" s="583">
        <v>4.0</v>
      </c>
      <c r="AR61" s="585">
        <v>6.0</v>
      </c>
      <c r="AS61" s="583"/>
      <c r="AT61" s="584"/>
      <c r="AU61" s="583"/>
      <c r="AV61" s="585"/>
      <c r="AW61" s="583"/>
      <c r="AX61" s="584"/>
      <c r="AY61" s="583"/>
      <c r="AZ61" s="585"/>
      <c r="BA61" s="583"/>
      <c r="BB61" s="584"/>
      <c r="BC61" s="583"/>
      <c r="BD61" s="585"/>
      <c r="BE61" s="583"/>
      <c r="BF61" s="584"/>
      <c r="BG61" s="583"/>
      <c r="BH61" s="585"/>
      <c r="BI61" s="583"/>
      <c r="BJ61" s="584"/>
      <c r="BK61" s="583"/>
      <c r="BL61" s="585"/>
      <c r="BM61" s="583"/>
      <c r="BN61" s="584"/>
      <c r="BO61" s="583"/>
      <c r="BP61" s="585"/>
      <c r="BQ61" s="583"/>
      <c r="BR61" s="584"/>
      <c r="BS61" s="583"/>
      <c r="BT61" s="586"/>
      <c r="BU61" s="540"/>
      <c r="BV61" s="540"/>
      <c r="BW61" s="540"/>
      <c r="BX61" s="538"/>
      <c r="BY61" s="538"/>
      <c r="BZ61" s="592">
        <v>115.0</v>
      </c>
      <c r="CA61" s="633">
        <v>0.0</v>
      </c>
      <c r="CB61" s="592">
        <v>0.0</v>
      </c>
      <c r="CC61" s="592">
        <v>15.0</v>
      </c>
      <c r="CD61" s="592">
        <v>2.6666666666666665</v>
      </c>
      <c r="CE61" s="592">
        <v>0.0</v>
      </c>
      <c r="CF61" s="592">
        <v>0.0</v>
      </c>
      <c r="CG61" s="592">
        <v>0.15</v>
      </c>
      <c r="CH61" s="592"/>
      <c r="CI61" s="633">
        <v>0.0</v>
      </c>
      <c r="CJ61" s="592">
        <v>2.6</v>
      </c>
      <c r="CK61" s="479">
        <v>7.333333333333333</v>
      </c>
      <c r="CL61" s="592">
        <v>0.0</v>
      </c>
      <c r="CM61" s="593">
        <v>0.0</v>
      </c>
      <c r="CN61" s="538"/>
      <c r="CO61" s="538"/>
      <c r="CP61" s="538"/>
      <c r="CQ61" s="538"/>
      <c r="CR61" s="538"/>
      <c r="CS61" s="538"/>
      <c r="CT61" s="538"/>
      <c r="CU61" s="538"/>
      <c r="CV61" s="538"/>
      <c r="CW61" s="538"/>
      <c r="CX61" s="538"/>
      <c r="CY61" s="538"/>
      <c r="CZ61" s="538"/>
      <c r="DA61" s="538"/>
      <c r="DB61" s="538"/>
      <c r="DC61" s="538"/>
      <c r="DD61" s="538"/>
      <c r="DE61" s="538"/>
      <c r="DF61" s="538"/>
      <c r="DG61" s="538"/>
      <c r="DH61" s="538"/>
      <c r="DI61" s="538"/>
      <c r="DJ61" s="84"/>
      <c r="DK61" s="538"/>
      <c r="DL61" s="538"/>
      <c r="DM61" s="538"/>
      <c r="DN61" s="538"/>
      <c r="DO61" s="538"/>
      <c r="DP61" s="538"/>
      <c r="DQ61" s="538"/>
      <c r="DR61" s="538"/>
      <c r="DS61" s="538"/>
      <c r="DT61" s="538"/>
      <c r="DU61" s="538"/>
      <c r="DV61" s="538"/>
      <c r="DW61" s="538"/>
      <c r="DX61" s="538"/>
      <c r="DY61" s="538"/>
      <c r="DZ61" s="538"/>
      <c r="EA61" s="538"/>
      <c r="EB61" s="538"/>
      <c r="EC61" s="538"/>
      <c r="ED61" s="538"/>
      <c r="EE61" s="538"/>
      <c r="EF61" s="538"/>
      <c r="EG61" s="538"/>
      <c r="EH61" s="538"/>
      <c r="EI61" s="538"/>
      <c r="EJ61" s="538"/>
      <c r="EK61" s="538"/>
      <c r="EL61" s="538"/>
      <c r="EM61" s="538"/>
      <c r="EN61" s="538"/>
      <c r="EO61" s="538"/>
      <c r="EP61" s="538"/>
      <c r="EQ61" s="538"/>
      <c r="ER61" s="538"/>
      <c r="ES61" s="538"/>
      <c r="ET61" s="538"/>
      <c r="EU61" s="538"/>
      <c r="EV61" s="538"/>
      <c r="EW61" s="538"/>
      <c r="EX61" s="559"/>
      <c r="EY61" s="559"/>
      <c r="EZ61" s="559"/>
      <c r="FA61" s="559"/>
      <c r="FB61" s="559"/>
      <c r="FC61" s="559"/>
      <c r="FD61" s="559"/>
      <c r="FE61" s="559"/>
      <c r="FF61" s="559"/>
      <c r="FG61" s="559"/>
      <c r="FH61" s="559"/>
      <c r="FI61" s="559"/>
      <c r="FJ61" s="559"/>
      <c r="FK61" s="559"/>
      <c r="FL61" s="559"/>
      <c r="FM61" s="559"/>
      <c r="FN61" s="559"/>
      <c r="FO61" s="559"/>
      <c r="FP61" s="559"/>
      <c r="FQ61" s="559"/>
      <c r="FR61" s="559"/>
      <c r="FS61" s="559"/>
      <c r="FT61" s="559"/>
      <c r="FU61" s="559"/>
      <c r="FV61" s="559"/>
      <c r="FW61" s="559"/>
      <c r="FX61" s="559"/>
      <c r="FY61" s="559"/>
      <c r="FZ61" s="559"/>
      <c r="GA61" s="559"/>
      <c r="GB61" s="559"/>
      <c r="GC61" s="559"/>
      <c r="GD61" s="559"/>
      <c r="GE61" s="559"/>
      <c r="GF61" s="559"/>
      <c r="GG61" s="559"/>
      <c r="GH61" s="559"/>
    </row>
    <row r="62">
      <c r="A62" s="538"/>
      <c r="B62" s="560"/>
      <c r="C62" s="47"/>
      <c r="D62" s="561" t="s">
        <v>270</v>
      </c>
      <c r="E62" s="629" t="s">
        <v>438</v>
      </c>
      <c r="F62" s="596">
        <v>4.0</v>
      </c>
      <c r="G62" s="596">
        <v>4.0</v>
      </c>
      <c r="H62" s="597"/>
      <c r="I62" s="616">
        <v>0.0</v>
      </c>
      <c r="J62" s="599">
        <v>200.0</v>
      </c>
      <c r="K62" s="600"/>
      <c r="L62" s="568"/>
      <c r="M62" s="626"/>
      <c r="N62" s="619"/>
      <c r="O62" s="623"/>
      <c r="P62" s="560"/>
      <c r="Q62" s="47"/>
      <c r="R62" s="47"/>
      <c r="S62" s="572"/>
      <c r="T62" s="572"/>
      <c r="U62" s="573"/>
      <c r="V62" s="574"/>
      <c r="W62" s="618"/>
      <c r="X62" s="576">
        <v>3200.0</v>
      </c>
      <c r="Y62" s="630">
        <v>800.0</v>
      </c>
      <c r="Z62" s="630">
        <v>16.0</v>
      </c>
      <c r="AA62" s="631">
        <v>0.8333333333333334</v>
      </c>
      <c r="AB62" s="631"/>
      <c r="AC62" s="576"/>
      <c r="AD62" s="479">
        <v>1.0</v>
      </c>
      <c r="AE62" s="632"/>
      <c r="AF62" s="582" t="s">
        <v>554</v>
      </c>
      <c r="AG62" s="583">
        <v>4.0</v>
      </c>
      <c r="AH62" s="584">
        <v>200.0</v>
      </c>
      <c r="AI62" s="583"/>
      <c r="AJ62" s="585"/>
      <c r="AK62" s="583"/>
      <c r="AL62" s="584"/>
      <c r="AM62" s="583"/>
      <c r="AN62" s="585"/>
      <c r="AO62" s="610"/>
      <c r="AP62" s="634"/>
      <c r="AQ62" s="635"/>
      <c r="AR62" s="636"/>
      <c r="AS62" s="637"/>
      <c r="AT62" s="638"/>
      <c r="AU62" s="49"/>
      <c r="AV62" s="639"/>
      <c r="AW62" s="583"/>
      <c r="AX62" s="584"/>
      <c r="AY62" s="583"/>
      <c r="AZ62" s="585"/>
      <c r="BA62" s="583"/>
      <c r="BB62" s="584"/>
      <c r="BC62" s="583"/>
      <c r="BD62" s="585"/>
      <c r="BE62" s="583"/>
      <c r="BF62" s="584"/>
      <c r="BG62" s="583"/>
      <c r="BH62" s="585"/>
      <c r="BI62" s="583"/>
      <c r="BJ62" s="584"/>
      <c r="BK62" s="583"/>
      <c r="BL62" s="585"/>
      <c r="BM62" s="583"/>
      <c r="BN62" s="584"/>
      <c r="BO62" s="583"/>
      <c r="BP62" s="585"/>
      <c r="BQ62" s="583"/>
      <c r="BR62" s="584"/>
      <c r="BS62" s="583"/>
      <c r="BT62" s="586"/>
      <c r="BU62" s="540"/>
      <c r="BV62" s="540"/>
      <c r="BW62" s="540"/>
      <c r="BX62" s="538"/>
      <c r="BY62" s="538"/>
      <c r="BZ62" s="592">
        <v>240.0</v>
      </c>
      <c r="CA62" s="633">
        <v>0.8333333333333334</v>
      </c>
      <c r="CB62" s="592">
        <v>200.0</v>
      </c>
      <c r="CC62" s="592">
        <v>4.0</v>
      </c>
      <c r="CD62" s="592">
        <v>0.0</v>
      </c>
      <c r="CE62" s="592">
        <v>800.0</v>
      </c>
      <c r="CF62" s="592">
        <v>3.3333333333333335</v>
      </c>
      <c r="CG62" s="592">
        <v>0.24000000000000013</v>
      </c>
      <c r="CH62" s="592"/>
      <c r="CI62" s="633">
        <v>0.9443333333333334</v>
      </c>
      <c r="CJ62" s="592">
        <v>0.0</v>
      </c>
      <c r="CK62" s="479">
        <v>0.0</v>
      </c>
      <c r="CL62" s="592"/>
      <c r="CM62" s="593"/>
      <c r="CN62" s="538"/>
      <c r="CO62" s="538"/>
      <c r="CP62" s="538"/>
      <c r="CQ62" s="538"/>
      <c r="CR62" s="538"/>
      <c r="CS62" s="538"/>
      <c r="CT62" s="538"/>
      <c r="CU62" s="538"/>
      <c r="CV62" s="538"/>
      <c r="CW62" s="538"/>
      <c r="CX62" s="538"/>
      <c r="CY62" s="538"/>
      <c r="CZ62" s="538"/>
      <c r="DA62" s="538"/>
      <c r="DB62" s="538"/>
      <c r="DC62" s="538"/>
      <c r="DD62" s="538"/>
      <c r="DE62" s="538"/>
      <c r="DF62" s="538"/>
      <c r="DG62" s="538"/>
      <c r="DH62" s="538"/>
      <c r="DI62" s="538"/>
      <c r="DJ62" s="84"/>
      <c r="DK62" s="538"/>
      <c r="DL62" s="538"/>
      <c r="DM62" s="538"/>
      <c r="DN62" s="538"/>
      <c r="DO62" s="538"/>
      <c r="DP62" s="538"/>
      <c r="DQ62" s="538"/>
      <c r="DR62" s="538"/>
      <c r="DS62" s="538"/>
      <c r="DT62" s="538"/>
      <c r="DU62" s="538"/>
      <c r="DV62" s="538"/>
      <c r="DW62" s="538"/>
      <c r="DX62" s="538"/>
      <c r="DY62" s="538"/>
      <c r="DZ62" s="538"/>
      <c r="EA62" s="538"/>
      <c r="EB62" s="538"/>
      <c r="EC62" s="538"/>
      <c r="ED62" s="538"/>
      <c r="EE62" s="538"/>
      <c r="EF62" s="538"/>
      <c r="EG62" s="538"/>
      <c r="EH62" s="538"/>
      <c r="EI62" s="538"/>
      <c r="EJ62" s="538"/>
      <c r="EK62" s="538"/>
      <c r="EL62" s="538"/>
      <c r="EM62" s="538"/>
      <c r="EN62" s="538"/>
      <c r="EO62" s="538"/>
      <c r="EP62" s="538"/>
      <c r="EQ62" s="538"/>
      <c r="ER62" s="538"/>
      <c r="ES62" s="538"/>
      <c r="ET62" s="538"/>
      <c r="EU62" s="538"/>
      <c r="EV62" s="538"/>
      <c r="EW62" s="538"/>
      <c r="EX62" s="559"/>
      <c r="EY62" s="559"/>
      <c r="EZ62" s="559"/>
      <c r="FA62" s="559"/>
      <c r="FB62" s="559"/>
      <c r="FC62" s="559"/>
      <c r="FD62" s="559"/>
      <c r="FE62" s="559"/>
      <c r="FF62" s="559"/>
      <c r="FG62" s="559"/>
      <c r="FH62" s="559"/>
      <c r="FI62" s="559"/>
      <c r="FJ62" s="559"/>
      <c r="FK62" s="559"/>
      <c r="FL62" s="559"/>
      <c r="FM62" s="559"/>
      <c r="FN62" s="559"/>
      <c r="FO62" s="559"/>
      <c r="FP62" s="559"/>
      <c r="FQ62" s="559"/>
      <c r="FR62" s="559"/>
      <c r="FS62" s="559"/>
      <c r="FT62" s="559"/>
      <c r="FU62" s="559"/>
      <c r="FV62" s="559"/>
      <c r="FW62" s="559"/>
      <c r="FX62" s="559"/>
      <c r="FY62" s="559"/>
      <c r="FZ62" s="559"/>
      <c r="GA62" s="559"/>
      <c r="GB62" s="559"/>
      <c r="GC62" s="559"/>
      <c r="GD62" s="559"/>
      <c r="GE62" s="559"/>
      <c r="GF62" s="559"/>
      <c r="GG62" s="559"/>
      <c r="GH62" s="559"/>
    </row>
    <row r="63">
      <c r="A63" s="538"/>
      <c r="B63" s="560"/>
      <c r="C63" s="47"/>
      <c r="D63" s="561" t="s">
        <v>302</v>
      </c>
      <c r="E63" s="595" t="s">
        <v>555</v>
      </c>
      <c r="F63" s="596">
        <v>4.0</v>
      </c>
      <c r="G63" s="596">
        <v>12.0</v>
      </c>
      <c r="H63" s="597"/>
      <c r="I63" s="616" t="s">
        <v>365</v>
      </c>
      <c r="J63" s="599"/>
      <c r="K63" s="600">
        <v>1.0</v>
      </c>
      <c r="L63" s="601">
        <v>2.0</v>
      </c>
      <c r="M63" s="625"/>
      <c r="N63" s="617"/>
      <c r="O63" s="621"/>
      <c r="P63" s="134"/>
      <c r="Q63" s="57"/>
      <c r="S63" s="605"/>
      <c r="U63" s="573"/>
      <c r="V63" s="574"/>
      <c r="W63" s="618"/>
      <c r="X63" s="576">
        <v>0.0</v>
      </c>
      <c r="Y63" s="630" t="e">
        <v>#VALUE!</v>
      </c>
      <c r="Z63" s="630">
        <v>48.0</v>
      </c>
      <c r="AA63" s="631" t="b">
        <v>0</v>
      </c>
      <c r="AB63" s="631"/>
      <c r="AC63" s="576"/>
      <c r="AD63" s="479">
        <v>2.0</v>
      </c>
      <c r="AE63" s="632"/>
      <c r="AF63" s="582" t="s">
        <v>556</v>
      </c>
      <c r="AG63" s="583">
        <v>4.0</v>
      </c>
      <c r="AH63" s="584" t="s">
        <v>557</v>
      </c>
      <c r="AI63" s="583"/>
      <c r="AJ63" s="585">
        <v>7.0</v>
      </c>
      <c r="AK63" s="583">
        <v>4.0</v>
      </c>
      <c r="AL63" s="584">
        <v>200.0</v>
      </c>
      <c r="AM63" s="583">
        <v>1.0</v>
      </c>
      <c r="AN63" s="585"/>
      <c r="AO63" s="610"/>
      <c r="AP63" s="634">
        <v>160.0</v>
      </c>
      <c r="AQ63" s="635"/>
      <c r="AR63" s="636">
        <v>5.5</v>
      </c>
      <c r="AS63" s="637"/>
      <c r="AT63" s="638"/>
      <c r="AU63" s="49"/>
      <c r="AV63" s="639"/>
      <c r="AW63" s="583"/>
      <c r="AX63" s="584"/>
      <c r="AY63" s="583"/>
      <c r="AZ63" s="585"/>
      <c r="BA63" s="583"/>
      <c r="BB63" s="584"/>
      <c r="BC63" s="583"/>
      <c r="BD63" s="585"/>
      <c r="BE63" s="583"/>
      <c r="BF63" s="584"/>
      <c r="BG63" s="583"/>
      <c r="BH63" s="585"/>
      <c r="BI63" s="583"/>
      <c r="BJ63" s="584"/>
      <c r="BK63" s="583"/>
      <c r="BL63" s="585"/>
      <c r="BM63" s="583"/>
      <c r="BN63" s="584"/>
      <c r="BO63" s="583"/>
      <c r="BP63" s="585"/>
      <c r="BQ63" s="583"/>
      <c r="BR63" s="584"/>
      <c r="BS63" s="583"/>
      <c r="BT63" s="586"/>
      <c r="BU63" s="540"/>
      <c r="BV63" s="540"/>
      <c r="BW63" s="540"/>
      <c r="BX63" s="538"/>
      <c r="BY63" s="538"/>
      <c r="BZ63" s="592"/>
      <c r="CA63" s="633"/>
      <c r="CB63" s="592" t="s">
        <v>365</v>
      </c>
      <c r="CC63" s="592">
        <v>8.0</v>
      </c>
      <c r="CD63" s="592">
        <v>0.5</v>
      </c>
      <c r="CE63" s="592" t="e">
        <v>#VALUE!</v>
      </c>
      <c r="CF63" s="592"/>
      <c r="CG63" s="592">
        <v>0.08</v>
      </c>
      <c r="CH63" s="592"/>
      <c r="CI63" s="633"/>
      <c r="CJ63" s="592">
        <v>1.2</v>
      </c>
      <c r="CK63" s="479">
        <v>6.25</v>
      </c>
      <c r="CL63" s="592"/>
      <c r="CM63" s="593"/>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84"/>
      <c r="DK63" s="538"/>
      <c r="DL63" s="538"/>
      <c r="DM63" s="538"/>
      <c r="DN63" s="538"/>
      <c r="DO63" s="538"/>
      <c r="DP63" s="538"/>
      <c r="DQ63" s="538"/>
      <c r="DR63" s="538"/>
      <c r="DS63" s="538"/>
      <c r="DT63" s="538"/>
      <c r="DU63" s="538"/>
      <c r="DV63" s="538"/>
      <c r="DW63" s="538"/>
      <c r="DX63" s="538"/>
      <c r="DY63" s="538"/>
      <c r="DZ63" s="538"/>
      <c r="EA63" s="538"/>
      <c r="EB63" s="538"/>
      <c r="EC63" s="538"/>
      <c r="ED63" s="538"/>
      <c r="EE63" s="538"/>
      <c r="EF63" s="538"/>
      <c r="EG63" s="538"/>
      <c r="EH63" s="538"/>
      <c r="EI63" s="538"/>
      <c r="EJ63" s="538"/>
      <c r="EK63" s="538"/>
      <c r="EL63" s="538"/>
      <c r="EM63" s="538"/>
      <c r="EN63" s="538"/>
      <c r="EO63" s="538"/>
      <c r="EP63" s="538"/>
      <c r="EQ63" s="538"/>
      <c r="ER63" s="538"/>
      <c r="ES63" s="538"/>
      <c r="ET63" s="538"/>
      <c r="EU63" s="538"/>
      <c r="EV63" s="538"/>
      <c r="EW63" s="538"/>
      <c r="EX63" s="559"/>
      <c r="EY63" s="559"/>
      <c r="EZ63" s="559"/>
      <c r="FA63" s="559"/>
      <c r="FB63" s="559"/>
      <c r="FC63" s="559"/>
      <c r="FD63" s="559"/>
      <c r="FE63" s="559"/>
      <c r="FF63" s="559"/>
      <c r="FG63" s="559"/>
      <c r="FH63" s="559"/>
      <c r="FI63" s="559"/>
      <c r="FJ63" s="559"/>
      <c r="FK63" s="559"/>
      <c r="FL63" s="559"/>
      <c r="FM63" s="559"/>
      <c r="FN63" s="559"/>
      <c r="FO63" s="559"/>
      <c r="FP63" s="559"/>
      <c r="FQ63" s="559"/>
      <c r="FR63" s="559"/>
      <c r="FS63" s="559"/>
      <c r="FT63" s="559"/>
      <c r="FU63" s="559"/>
      <c r="FV63" s="559"/>
      <c r="FW63" s="559"/>
      <c r="FX63" s="559"/>
      <c r="FY63" s="559"/>
      <c r="FZ63" s="559"/>
      <c r="GA63" s="559"/>
      <c r="GB63" s="559"/>
      <c r="GC63" s="559"/>
      <c r="GD63" s="559"/>
      <c r="GE63" s="559"/>
      <c r="GF63" s="559"/>
      <c r="GG63" s="559"/>
      <c r="GH63" s="559"/>
    </row>
    <row r="64">
      <c r="A64" s="538"/>
      <c r="B64" s="134"/>
      <c r="C64" s="57"/>
      <c r="D64" s="594" t="s">
        <v>332</v>
      </c>
      <c r="E64" s="606" t="s">
        <v>558</v>
      </c>
      <c r="F64" s="563">
        <v>3.0</v>
      </c>
      <c r="G64" s="563" t="s">
        <v>559</v>
      </c>
      <c r="H64" s="564"/>
      <c r="I64" s="622" t="s">
        <v>365</v>
      </c>
      <c r="J64" s="566"/>
      <c r="K64" s="567">
        <v>1.0</v>
      </c>
      <c r="L64" s="568">
        <v>2.0</v>
      </c>
      <c r="M64" s="569"/>
      <c r="N64" s="619"/>
      <c r="O64" s="623"/>
      <c r="P64" s="560"/>
      <c r="Q64" s="47"/>
      <c r="S64" s="572"/>
      <c r="U64" s="573"/>
      <c r="V64" s="574"/>
      <c r="W64" s="618"/>
      <c r="X64" s="576">
        <v>0.0</v>
      </c>
      <c r="Y64" s="630">
        <v>0.0</v>
      </c>
      <c r="Z64" s="630">
        <v>60.0</v>
      </c>
      <c r="AA64" s="631" t="b">
        <v>0</v>
      </c>
      <c r="AB64" s="631"/>
      <c r="AC64" s="576"/>
      <c r="AD64" s="479">
        <v>0.0</v>
      </c>
      <c r="AE64" s="632"/>
      <c r="AF64" s="582" t="s">
        <v>560</v>
      </c>
      <c r="AG64" s="583"/>
      <c r="AH64" s="584"/>
      <c r="AI64" s="583"/>
      <c r="AJ64" s="585"/>
      <c r="AK64" s="583"/>
      <c r="AL64" s="584"/>
      <c r="AM64" s="583"/>
      <c r="AN64" s="585"/>
      <c r="AO64" s="583"/>
      <c r="AP64" s="584"/>
      <c r="AQ64" s="583"/>
      <c r="AR64" s="585"/>
      <c r="AS64" s="583"/>
      <c r="AT64" s="584"/>
      <c r="AU64" s="583"/>
      <c r="AV64" s="585"/>
      <c r="AW64" s="583"/>
      <c r="AX64" s="584"/>
      <c r="AY64" s="583"/>
      <c r="AZ64" s="585"/>
      <c r="BA64" s="583"/>
      <c r="BB64" s="584"/>
      <c r="BC64" s="583"/>
      <c r="BD64" s="585"/>
      <c r="BE64" s="583"/>
      <c r="BF64" s="584"/>
      <c r="BG64" s="583"/>
      <c r="BH64" s="585"/>
      <c r="BI64" s="583"/>
      <c r="BJ64" s="584"/>
      <c r="BK64" s="583"/>
      <c r="BL64" s="585"/>
      <c r="BM64" s="583"/>
      <c r="BN64" s="584"/>
      <c r="BO64" s="583"/>
      <c r="BP64" s="585"/>
      <c r="BQ64" s="583"/>
      <c r="BR64" s="584"/>
      <c r="BS64" s="583"/>
      <c r="BT64" s="586"/>
      <c r="BU64" s="540"/>
      <c r="BV64" s="540"/>
      <c r="BW64" s="540"/>
      <c r="BX64" s="538"/>
      <c r="BY64" s="538"/>
      <c r="BZ64" s="592"/>
      <c r="CA64" s="633"/>
      <c r="CB64" s="592" t="s">
        <v>365</v>
      </c>
      <c r="CC64" s="592">
        <v>0.0</v>
      </c>
      <c r="CD64" s="592" t="s">
        <v>365</v>
      </c>
      <c r="CE64" s="592">
        <v>0.0</v>
      </c>
      <c r="CF64" s="592"/>
      <c r="CG64" s="592">
        <v>0.0</v>
      </c>
      <c r="CH64" s="592"/>
      <c r="CI64" s="633"/>
      <c r="CJ64" s="592">
        <v>0.0</v>
      </c>
      <c r="CK64" s="479" t="s">
        <v>365</v>
      </c>
      <c r="CL64" s="592"/>
      <c r="CM64" s="593"/>
      <c r="CN64" s="538"/>
      <c r="CO64" s="538"/>
      <c r="CP64" s="538"/>
      <c r="CQ64" s="538"/>
      <c r="CR64" s="538"/>
      <c r="CS64" s="538"/>
      <c r="CT64" s="538"/>
      <c r="CU64" s="538"/>
      <c r="CV64" s="538"/>
      <c r="CW64" s="538"/>
      <c r="CX64" s="538"/>
      <c r="CY64" s="538"/>
      <c r="CZ64" s="538"/>
      <c r="DA64" s="538"/>
      <c r="DB64" s="538"/>
      <c r="DC64" s="538"/>
      <c r="DD64" s="538"/>
      <c r="DE64" s="538"/>
      <c r="DF64" s="538"/>
      <c r="DG64" s="538"/>
      <c r="DH64" s="538"/>
      <c r="DI64" s="538"/>
      <c r="DJ64" s="84"/>
      <c r="DK64" s="538"/>
      <c r="DL64" s="538"/>
      <c r="DM64" s="538"/>
      <c r="DN64" s="538"/>
      <c r="DO64" s="538"/>
      <c r="DP64" s="538"/>
      <c r="DQ64" s="538"/>
      <c r="DR64" s="538"/>
      <c r="DS64" s="538"/>
      <c r="DT64" s="538"/>
      <c r="DU64" s="538"/>
      <c r="DV64" s="538"/>
      <c r="DW64" s="538"/>
      <c r="DX64" s="538"/>
      <c r="DY64" s="538"/>
      <c r="DZ64" s="538"/>
      <c r="EA64" s="538"/>
      <c r="EB64" s="538"/>
      <c r="EC64" s="538"/>
      <c r="ED64" s="538"/>
      <c r="EE64" s="538"/>
      <c r="EF64" s="538"/>
      <c r="EG64" s="538"/>
      <c r="EH64" s="538"/>
      <c r="EI64" s="538"/>
      <c r="EJ64" s="538"/>
      <c r="EK64" s="538"/>
      <c r="EL64" s="538"/>
      <c r="EM64" s="538"/>
      <c r="EN64" s="538"/>
      <c r="EO64" s="538"/>
      <c r="EP64" s="538"/>
      <c r="EQ64" s="538"/>
      <c r="ER64" s="538"/>
      <c r="ES64" s="538"/>
      <c r="ET64" s="538"/>
      <c r="EU64" s="538"/>
      <c r="EV64" s="538"/>
      <c r="EW64" s="538"/>
      <c r="EX64" s="559"/>
      <c r="EY64" s="559"/>
      <c r="EZ64" s="559"/>
      <c r="FA64" s="559"/>
      <c r="FB64" s="559"/>
      <c r="FC64" s="559"/>
      <c r="FD64" s="559"/>
      <c r="FE64" s="559"/>
      <c r="FF64" s="559"/>
      <c r="FG64" s="559"/>
      <c r="FH64" s="559"/>
      <c r="FI64" s="559"/>
      <c r="FJ64" s="559"/>
      <c r="FK64" s="559"/>
      <c r="FL64" s="559"/>
      <c r="FM64" s="559"/>
      <c r="FN64" s="559"/>
      <c r="FO64" s="559"/>
      <c r="FP64" s="559"/>
      <c r="FQ64" s="559"/>
      <c r="FR64" s="559"/>
      <c r="FS64" s="559"/>
      <c r="FT64" s="559"/>
      <c r="FU64" s="559"/>
      <c r="FV64" s="559"/>
      <c r="FW64" s="559"/>
      <c r="FX64" s="559"/>
      <c r="FY64" s="559"/>
      <c r="FZ64" s="559"/>
      <c r="GA64" s="559"/>
      <c r="GB64" s="559"/>
      <c r="GC64" s="559"/>
      <c r="GD64" s="559"/>
      <c r="GE64" s="559"/>
      <c r="GF64" s="559"/>
      <c r="GG64" s="559"/>
      <c r="GH64" s="559"/>
    </row>
    <row r="65">
      <c r="A65" s="538"/>
      <c r="B65" s="134" t="s">
        <v>444</v>
      </c>
      <c r="C65" s="57"/>
      <c r="D65" s="594"/>
      <c r="E65" s="595"/>
      <c r="F65" s="596"/>
      <c r="G65" s="596"/>
      <c r="H65" s="615"/>
      <c r="I65" s="616" t="s">
        <v>365</v>
      </c>
      <c r="J65" s="599"/>
      <c r="K65" s="600"/>
      <c r="L65" s="601"/>
      <c r="M65" s="625"/>
      <c r="N65" s="617"/>
      <c r="O65" s="621"/>
      <c r="P65" s="57"/>
      <c r="Q65" s="57"/>
      <c r="R65" s="57"/>
      <c r="S65" s="605"/>
      <c r="T65" s="605"/>
      <c r="U65" s="573"/>
      <c r="V65" s="574"/>
      <c r="W65" s="618"/>
      <c r="X65" s="576">
        <v>0.0</v>
      </c>
      <c r="Y65" s="630">
        <v>0.0</v>
      </c>
      <c r="Z65" s="630" t="s">
        <v>365</v>
      </c>
      <c r="AA65" s="631" t="b">
        <v>0</v>
      </c>
      <c r="AB65" s="631"/>
      <c r="AC65" s="576"/>
      <c r="AD65" s="479">
        <v>0.0</v>
      </c>
      <c r="AE65" s="632"/>
      <c r="AF65" s="582" t="s">
        <v>365</v>
      </c>
      <c r="AG65" s="583"/>
      <c r="AH65" s="584"/>
      <c r="AI65" s="583"/>
      <c r="AJ65" s="585"/>
      <c r="AK65" s="583"/>
      <c r="AL65" s="584"/>
      <c r="AM65" s="583"/>
      <c r="AN65" s="585"/>
      <c r="AO65" s="583"/>
      <c r="AP65" s="584"/>
      <c r="AQ65" s="583"/>
      <c r="AR65" s="585"/>
      <c r="AS65" s="583"/>
      <c r="AT65" s="584"/>
      <c r="AU65" s="583"/>
      <c r="AV65" s="585"/>
      <c r="AW65" s="583"/>
      <c r="AX65" s="584"/>
      <c r="AY65" s="583"/>
      <c r="AZ65" s="585"/>
      <c r="BA65" s="583"/>
      <c r="BB65" s="584"/>
      <c r="BC65" s="583"/>
      <c r="BD65" s="585"/>
      <c r="BE65" s="583"/>
      <c r="BF65" s="584"/>
      <c r="BG65" s="583"/>
      <c r="BH65" s="585"/>
      <c r="BI65" s="583"/>
      <c r="BJ65" s="584"/>
      <c r="BK65" s="583"/>
      <c r="BL65" s="585"/>
      <c r="BM65" s="583"/>
      <c r="BN65" s="584"/>
      <c r="BO65" s="583"/>
      <c r="BP65" s="585"/>
      <c r="BQ65" s="583"/>
      <c r="BR65" s="584"/>
      <c r="BS65" s="583"/>
      <c r="BT65" s="586"/>
      <c r="BU65" s="540"/>
      <c r="BV65" s="540"/>
      <c r="BW65" s="540"/>
      <c r="BX65" s="538"/>
      <c r="BY65" s="538"/>
      <c r="BZ65" s="592"/>
      <c r="CA65" s="633"/>
      <c r="CB65" s="592" t="s">
        <v>365</v>
      </c>
      <c r="CC65" s="592">
        <v>0.0</v>
      </c>
      <c r="CD65" s="592" t="s">
        <v>365</v>
      </c>
      <c r="CE65" s="592">
        <v>0.0</v>
      </c>
      <c r="CF65" s="592"/>
      <c r="CG65" s="592">
        <v>0.0</v>
      </c>
      <c r="CH65" s="592"/>
      <c r="CI65" s="633"/>
      <c r="CJ65" s="592">
        <v>0.0</v>
      </c>
      <c r="CK65" s="479" t="s">
        <v>365</v>
      </c>
      <c r="CL65" s="592"/>
      <c r="CM65" s="593"/>
      <c r="CN65" s="538"/>
      <c r="CO65" s="538"/>
      <c r="CP65" s="538"/>
      <c r="CQ65" s="538"/>
      <c r="CR65" s="538"/>
      <c r="CS65" s="538"/>
      <c r="CT65" s="538"/>
      <c r="CU65" s="538"/>
      <c r="CV65" s="538"/>
      <c r="CW65" s="538"/>
      <c r="CX65" s="538"/>
      <c r="CY65" s="538"/>
      <c r="CZ65" s="538"/>
      <c r="DA65" s="538"/>
      <c r="DB65" s="538"/>
      <c r="DC65" s="538"/>
      <c r="DD65" s="538"/>
      <c r="DE65" s="538"/>
      <c r="DF65" s="538"/>
      <c r="DG65" s="538"/>
      <c r="DH65" s="538"/>
      <c r="DI65" s="538"/>
      <c r="DJ65" s="84"/>
      <c r="DK65" s="538"/>
      <c r="DL65" s="538"/>
      <c r="DM65" s="538"/>
      <c r="DN65" s="538"/>
      <c r="DO65" s="538"/>
      <c r="DP65" s="538"/>
      <c r="DQ65" s="538"/>
      <c r="DR65" s="538"/>
      <c r="DS65" s="538"/>
      <c r="DT65" s="538"/>
      <c r="DU65" s="538"/>
      <c r="DV65" s="538"/>
      <c r="DW65" s="538"/>
      <c r="DX65" s="538"/>
      <c r="DY65" s="538"/>
      <c r="DZ65" s="538"/>
      <c r="EA65" s="538"/>
      <c r="EB65" s="538"/>
      <c r="EC65" s="538"/>
      <c r="ED65" s="538"/>
      <c r="EE65" s="538"/>
      <c r="EF65" s="538"/>
      <c r="EG65" s="538"/>
      <c r="EH65" s="538"/>
      <c r="EI65" s="538"/>
      <c r="EJ65" s="538"/>
      <c r="EK65" s="538"/>
      <c r="EL65" s="538"/>
      <c r="EM65" s="538"/>
      <c r="EN65" s="538"/>
      <c r="EO65" s="538"/>
      <c r="EP65" s="538"/>
      <c r="EQ65" s="538"/>
      <c r="ER65" s="538"/>
      <c r="ES65" s="538"/>
      <c r="ET65" s="538"/>
      <c r="EU65" s="538"/>
      <c r="EV65" s="538"/>
      <c r="EW65" s="538"/>
      <c r="EX65" s="559"/>
      <c r="EY65" s="559"/>
      <c r="EZ65" s="559"/>
      <c r="FA65" s="559"/>
      <c r="FB65" s="559"/>
      <c r="FC65" s="559"/>
      <c r="FD65" s="559"/>
      <c r="FE65" s="559"/>
      <c r="FF65" s="559"/>
      <c r="FG65" s="559"/>
      <c r="FH65" s="559"/>
      <c r="FI65" s="559"/>
      <c r="FJ65" s="559"/>
      <c r="FK65" s="559"/>
      <c r="FL65" s="559"/>
      <c r="FM65" s="559"/>
      <c r="FN65" s="559"/>
      <c r="FO65" s="559"/>
      <c r="FP65" s="559"/>
      <c r="FQ65" s="559"/>
      <c r="FR65" s="559"/>
      <c r="FS65" s="559"/>
      <c r="FT65" s="559"/>
      <c r="FU65" s="559"/>
      <c r="FV65" s="559"/>
      <c r="FW65" s="559"/>
      <c r="FX65" s="559"/>
      <c r="FY65" s="559"/>
      <c r="FZ65" s="559"/>
      <c r="GA65" s="559"/>
      <c r="GB65" s="559"/>
      <c r="GC65" s="559"/>
      <c r="GD65" s="559"/>
      <c r="GE65" s="559"/>
      <c r="GF65" s="559"/>
      <c r="GG65" s="559"/>
      <c r="GH65" s="559"/>
    </row>
    <row r="66">
      <c r="A66" s="538"/>
      <c r="B66" s="134"/>
      <c r="C66" s="57"/>
      <c r="D66" s="594"/>
      <c r="E66" s="606"/>
      <c r="F66" s="563"/>
      <c r="G66" s="563"/>
      <c r="H66" s="627"/>
      <c r="I66" s="622" t="s">
        <v>365</v>
      </c>
      <c r="J66" s="566"/>
      <c r="K66" s="567"/>
      <c r="L66" s="568"/>
      <c r="M66" s="626"/>
      <c r="N66" s="619"/>
      <c r="O66" s="623"/>
      <c r="P66" s="47"/>
      <c r="Q66" s="47"/>
      <c r="S66" s="572"/>
      <c r="U66" s="573"/>
      <c r="V66" s="574"/>
      <c r="W66" s="618"/>
      <c r="X66" s="576">
        <v>0.0</v>
      </c>
      <c r="Y66" s="630">
        <v>0.0</v>
      </c>
      <c r="Z66" s="630" t="s">
        <v>365</v>
      </c>
      <c r="AA66" s="631" t="b">
        <v>0</v>
      </c>
      <c r="AB66" s="631"/>
      <c r="AC66" s="576"/>
      <c r="AD66" s="479">
        <v>0.0</v>
      </c>
      <c r="AE66" s="632"/>
      <c r="AF66" s="582" t="s">
        <v>365</v>
      </c>
      <c r="AG66" s="583"/>
      <c r="AH66" s="584"/>
      <c r="AI66" s="583"/>
      <c r="AJ66" s="585"/>
      <c r="AK66" s="583"/>
      <c r="AL66" s="584"/>
      <c r="AM66" s="583"/>
      <c r="AN66" s="585"/>
      <c r="AO66" s="583"/>
      <c r="AP66" s="584"/>
      <c r="AQ66" s="583"/>
      <c r="AR66" s="585"/>
      <c r="AS66" s="583"/>
      <c r="AT66" s="584"/>
      <c r="AU66" s="583"/>
      <c r="AV66" s="585"/>
      <c r="AW66" s="583"/>
      <c r="AX66" s="584"/>
      <c r="AY66" s="583"/>
      <c r="AZ66" s="585"/>
      <c r="BA66" s="583"/>
      <c r="BB66" s="584"/>
      <c r="BC66" s="583"/>
      <c r="BD66" s="585"/>
      <c r="BE66" s="583"/>
      <c r="BF66" s="584"/>
      <c r="BG66" s="583"/>
      <c r="BH66" s="585"/>
      <c r="BI66" s="583"/>
      <c r="BJ66" s="584"/>
      <c r="BK66" s="583"/>
      <c r="BL66" s="585"/>
      <c r="BM66" s="583"/>
      <c r="BN66" s="584"/>
      <c r="BO66" s="583"/>
      <c r="BP66" s="585"/>
      <c r="BQ66" s="583"/>
      <c r="BR66" s="584"/>
      <c r="BS66" s="583"/>
      <c r="BT66" s="586"/>
      <c r="BU66" s="540"/>
      <c r="BV66" s="540"/>
      <c r="BW66" s="540"/>
      <c r="BX66" s="538"/>
      <c r="BY66" s="538"/>
      <c r="BZ66" s="592"/>
      <c r="CA66" s="633"/>
      <c r="CB66" s="592" t="s">
        <v>365</v>
      </c>
      <c r="CC66" s="592">
        <v>0.0</v>
      </c>
      <c r="CD66" s="592" t="s">
        <v>365</v>
      </c>
      <c r="CE66" s="592">
        <v>0.0</v>
      </c>
      <c r="CF66" s="592"/>
      <c r="CG66" s="592">
        <v>0.0</v>
      </c>
      <c r="CH66" s="592"/>
      <c r="CI66" s="633"/>
      <c r="CJ66" s="592">
        <v>0.0</v>
      </c>
      <c r="CK66" s="479" t="s">
        <v>365</v>
      </c>
      <c r="CL66" s="592"/>
      <c r="CM66" s="593"/>
      <c r="CN66" s="538"/>
      <c r="CO66" s="538"/>
      <c r="CP66" s="538"/>
      <c r="CQ66" s="538"/>
      <c r="CR66" s="538"/>
      <c r="CS66" s="538"/>
      <c r="CT66" s="538"/>
      <c r="CU66" s="538"/>
      <c r="CV66" s="538"/>
      <c r="CW66" s="538"/>
      <c r="CX66" s="538"/>
      <c r="CY66" s="538"/>
      <c r="CZ66" s="538"/>
      <c r="DA66" s="538"/>
      <c r="DB66" s="538"/>
      <c r="DC66" s="538"/>
      <c r="DD66" s="538"/>
      <c r="DE66" s="538"/>
      <c r="DF66" s="538"/>
      <c r="DG66" s="538"/>
      <c r="DH66" s="538"/>
      <c r="DI66" s="538"/>
      <c r="DJ66" s="84"/>
      <c r="DK66" s="538"/>
      <c r="DL66" s="538"/>
      <c r="DM66" s="538"/>
      <c r="DN66" s="538"/>
      <c r="DO66" s="538"/>
      <c r="DP66" s="538"/>
      <c r="DQ66" s="538"/>
      <c r="DR66" s="538"/>
      <c r="DS66" s="538"/>
      <c r="DT66" s="538"/>
      <c r="DU66" s="538"/>
      <c r="DV66" s="538"/>
      <c r="DW66" s="538"/>
      <c r="DX66" s="538"/>
      <c r="DY66" s="538"/>
      <c r="DZ66" s="538"/>
      <c r="EA66" s="538"/>
      <c r="EB66" s="538"/>
      <c r="EC66" s="538"/>
      <c r="ED66" s="538"/>
      <c r="EE66" s="538"/>
      <c r="EF66" s="538"/>
      <c r="EG66" s="538"/>
      <c r="EH66" s="538"/>
      <c r="EI66" s="538"/>
      <c r="EJ66" s="538"/>
      <c r="EK66" s="538"/>
      <c r="EL66" s="538"/>
      <c r="EM66" s="538"/>
      <c r="EN66" s="538"/>
      <c r="EO66" s="538"/>
      <c r="EP66" s="538"/>
      <c r="EQ66" s="538"/>
      <c r="ER66" s="538"/>
      <c r="ES66" s="538"/>
      <c r="ET66" s="538"/>
      <c r="EU66" s="538"/>
      <c r="EV66" s="538"/>
      <c r="EW66" s="538"/>
      <c r="EX66" s="559"/>
      <c r="EY66" s="559"/>
      <c r="EZ66" s="559"/>
      <c r="FA66" s="559"/>
      <c r="FB66" s="559"/>
      <c r="FC66" s="559"/>
      <c r="FD66" s="559"/>
      <c r="FE66" s="559"/>
      <c r="FF66" s="559"/>
      <c r="FG66" s="559"/>
      <c r="FH66" s="559"/>
      <c r="FI66" s="559"/>
      <c r="FJ66" s="559"/>
      <c r="FK66" s="559"/>
      <c r="FL66" s="559"/>
      <c r="FM66" s="559"/>
      <c r="FN66" s="559"/>
      <c r="FO66" s="559"/>
      <c r="FP66" s="559"/>
      <c r="FQ66" s="559"/>
      <c r="FR66" s="559"/>
      <c r="FS66" s="559"/>
      <c r="FT66" s="559"/>
      <c r="FU66" s="559"/>
      <c r="FV66" s="559"/>
      <c r="FW66" s="559"/>
      <c r="FX66" s="559"/>
      <c r="FY66" s="559"/>
      <c r="FZ66" s="559"/>
      <c r="GA66" s="559"/>
      <c r="GB66" s="559"/>
      <c r="GC66" s="559"/>
      <c r="GD66" s="559"/>
      <c r="GE66" s="559"/>
      <c r="GF66" s="559"/>
      <c r="GG66" s="559"/>
      <c r="GH66" s="559"/>
    </row>
    <row r="67">
      <c r="A67" s="538"/>
      <c r="B67" s="560"/>
      <c r="C67" s="47"/>
      <c r="D67" s="561"/>
      <c r="E67" s="606"/>
      <c r="F67" s="563"/>
      <c r="G67" s="563"/>
      <c r="H67" s="627"/>
      <c r="I67" s="622" t="s">
        <v>365</v>
      </c>
      <c r="J67" s="566"/>
      <c r="K67" s="567"/>
      <c r="L67" s="601"/>
      <c r="M67" s="625"/>
      <c r="N67" s="617"/>
      <c r="O67" s="621"/>
      <c r="P67" s="57"/>
      <c r="Q67" s="57"/>
      <c r="R67" s="57"/>
      <c r="S67" s="605"/>
      <c r="T67" s="605"/>
      <c r="U67" s="573"/>
      <c r="V67" s="574"/>
      <c r="W67" s="618"/>
      <c r="X67" s="576">
        <v>0.0</v>
      </c>
      <c r="Y67" s="630">
        <v>0.0</v>
      </c>
      <c r="Z67" s="630" t="s">
        <v>365</v>
      </c>
      <c r="AA67" s="631" t="b">
        <v>0</v>
      </c>
      <c r="AB67" s="631"/>
      <c r="AC67" s="576"/>
      <c r="AD67" s="479">
        <v>0.0</v>
      </c>
      <c r="AE67" s="632"/>
      <c r="AF67" s="582" t="s">
        <v>365</v>
      </c>
      <c r="AG67" s="583"/>
      <c r="AH67" s="584"/>
      <c r="AI67" s="583"/>
      <c r="AJ67" s="585"/>
      <c r="AK67" s="583"/>
      <c r="AL67" s="584"/>
      <c r="AM67" s="583"/>
      <c r="AN67" s="585"/>
      <c r="AO67" s="583"/>
      <c r="AP67" s="584"/>
      <c r="AQ67" s="583"/>
      <c r="AR67" s="585"/>
      <c r="AS67" s="583"/>
      <c r="AT67" s="584"/>
      <c r="AU67" s="583"/>
      <c r="AV67" s="585"/>
      <c r="AW67" s="583"/>
      <c r="AX67" s="584"/>
      <c r="AY67" s="583"/>
      <c r="AZ67" s="585"/>
      <c r="BA67" s="583"/>
      <c r="BB67" s="584"/>
      <c r="BC67" s="583"/>
      <c r="BD67" s="585"/>
      <c r="BE67" s="583"/>
      <c r="BF67" s="584"/>
      <c r="BG67" s="583"/>
      <c r="BH67" s="585"/>
      <c r="BI67" s="583"/>
      <c r="BJ67" s="584"/>
      <c r="BK67" s="583"/>
      <c r="BL67" s="585"/>
      <c r="BM67" s="583"/>
      <c r="BN67" s="584"/>
      <c r="BO67" s="583"/>
      <c r="BP67" s="585"/>
      <c r="BQ67" s="583"/>
      <c r="BR67" s="584"/>
      <c r="BS67" s="583"/>
      <c r="BT67" s="586"/>
      <c r="BU67" s="540"/>
      <c r="BV67" s="540"/>
      <c r="BW67" s="540"/>
      <c r="BX67" s="538"/>
      <c r="BY67" s="538"/>
      <c r="BZ67" s="592"/>
      <c r="CA67" s="633"/>
      <c r="CB67" s="592" t="s">
        <v>365</v>
      </c>
      <c r="CC67" s="592">
        <v>0.0</v>
      </c>
      <c r="CD67" s="592" t="s">
        <v>365</v>
      </c>
      <c r="CE67" s="592">
        <v>0.0</v>
      </c>
      <c r="CF67" s="592"/>
      <c r="CG67" s="592">
        <v>0.0</v>
      </c>
      <c r="CH67" s="592"/>
      <c r="CI67" s="633"/>
      <c r="CJ67" s="592">
        <v>0.0</v>
      </c>
      <c r="CK67" s="479" t="s">
        <v>365</v>
      </c>
      <c r="CL67" s="592"/>
      <c r="CM67" s="593"/>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84"/>
      <c r="DK67" s="538"/>
      <c r="DL67" s="538"/>
      <c r="DM67" s="538"/>
      <c r="DN67" s="538"/>
      <c r="DO67" s="538"/>
      <c r="DP67" s="538"/>
      <c r="DQ67" s="538"/>
      <c r="DR67" s="538"/>
      <c r="DS67" s="538"/>
      <c r="DT67" s="538"/>
      <c r="DU67" s="538"/>
      <c r="DV67" s="538"/>
      <c r="DW67" s="538"/>
      <c r="DX67" s="538"/>
      <c r="DY67" s="538"/>
      <c r="DZ67" s="538"/>
      <c r="EA67" s="538"/>
      <c r="EB67" s="538"/>
      <c r="EC67" s="538"/>
      <c r="ED67" s="538"/>
      <c r="EE67" s="538"/>
      <c r="EF67" s="538"/>
      <c r="EG67" s="538"/>
      <c r="EH67" s="538"/>
      <c r="EI67" s="538"/>
      <c r="EJ67" s="538"/>
      <c r="EK67" s="538"/>
      <c r="EL67" s="538"/>
      <c r="EM67" s="538"/>
      <c r="EN67" s="538"/>
      <c r="EO67" s="538"/>
      <c r="EP67" s="538"/>
      <c r="EQ67" s="538"/>
      <c r="ER67" s="538"/>
      <c r="ES67" s="538"/>
      <c r="ET67" s="538"/>
      <c r="EU67" s="538"/>
      <c r="EV67" s="538"/>
      <c r="EW67" s="538"/>
      <c r="EX67" s="559"/>
      <c r="EY67" s="559"/>
      <c r="EZ67" s="559"/>
      <c r="FA67" s="559"/>
      <c r="FB67" s="559"/>
      <c r="FC67" s="559"/>
      <c r="FD67" s="559"/>
      <c r="FE67" s="559"/>
      <c r="FF67" s="559"/>
      <c r="FG67" s="559"/>
      <c r="FH67" s="559"/>
      <c r="FI67" s="559"/>
      <c r="FJ67" s="559"/>
      <c r="FK67" s="559"/>
      <c r="FL67" s="559"/>
      <c r="FM67" s="559"/>
      <c r="FN67" s="559"/>
      <c r="FO67" s="559"/>
      <c r="FP67" s="559"/>
      <c r="FQ67" s="559"/>
      <c r="FR67" s="559"/>
      <c r="FS67" s="559"/>
      <c r="FT67" s="559"/>
      <c r="FU67" s="559"/>
      <c r="FV67" s="559"/>
      <c r="FW67" s="559"/>
      <c r="FX67" s="559"/>
      <c r="FY67" s="559"/>
      <c r="FZ67" s="559"/>
      <c r="GA67" s="559"/>
      <c r="GB67" s="559"/>
      <c r="GC67" s="559"/>
      <c r="GD67" s="559"/>
      <c r="GE67" s="559"/>
      <c r="GF67" s="559"/>
      <c r="GG67" s="559"/>
      <c r="GH67" s="559"/>
    </row>
    <row r="68">
      <c r="A68" s="538"/>
      <c r="B68" s="134"/>
      <c r="C68" s="57"/>
      <c r="D68" s="594"/>
      <c r="E68" s="595"/>
      <c r="F68" s="596"/>
      <c r="G68" s="596"/>
      <c r="H68" s="597"/>
      <c r="I68" s="616" t="s">
        <v>365</v>
      </c>
      <c r="J68" s="599"/>
      <c r="K68" s="600"/>
      <c r="L68" s="568"/>
      <c r="M68" s="626"/>
      <c r="N68" s="619"/>
      <c r="O68" s="623"/>
      <c r="P68" s="47"/>
      <c r="Q68" s="47"/>
      <c r="S68" s="572"/>
      <c r="U68" s="573"/>
      <c r="V68" s="574"/>
      <c r="W68" s="618"/>
      <c r="X68" s="576">
        <v>0.0</v>
      </c>
      <c r="Y68" s="630">
        <v>0.0</v>
      </c>
      <c r="Z68" s="630" t="s">
        <v>365</v>
      </c>
      <c r="AA68" s="631" t="b">
        <v>0</v>
      </c>
      <c r="AB68" s="631"/>
      <c r="AC68" s="576"/>
      <c r="AD68" s="479">
        <v>0.0</v>
      </c>
      <c r="AE68" s="632"/>
      <c r="AF68" s="582" t="s">
        <v>365</v>
      </c>
      <c r="AG68" s="583"/>
      <c r="AH68" s="584"/>
      <c r="AI68" s="583"/>
      <c r="AJ68" s="585"/>
      <c r="AK68" s="583"/>
      <c r="AL68" s="584"/>
      <c r="AM68" s="583"/>
      <c r="AN68" s="585"/>
      <c r="AO68" s="583"/>
      <c r="AP68" s="584"/>
      <c r="AQ68" s="583"/>
      <c r="AR68" s="585"/>
      <c r="AS68" s="583"/>
      <c r="AT68" s="584"/>
      <c r="AU68" s="583"/>
      <c r="AV68" s="585"/>
      <c r="AW68" s="583"/>
      <c r="AX68" s="584"/>
      <c r="AY68" s="583"/>
      <c r="AZ68" s="585"/>
      <c r="BA68" s="583"/>
      <c r="BB68" s="584"/>
      <c r="BC68" s="583"/>
      <c r="BD68" s="585"/>
      <c r="BE68" s="583"/>
      <c r="BF68" s="584"/>
      <c r="BG68" s="583"/>
      <c r="BH68" s="585"/>
      <c r="BI68" s="583"/>
      <c r="BJ68" s="584"/>
      <c r="BK68" s="583"/>
      <c r="BL68" s="585"/>
      <c r="BM68" s="583"/>
      <c r="BN68" s="584"/>
      <c r="BO68" s="583"/>
      <c r="BP68" s="585"/>
      <c r="BQ68" s="583"/>
      <c r="BR68" s="584"/>
      <c r="BS68" s="583"/>
      <c r="BT68" s="586"/>
      <c r="BU68" s="540"/>
      <c r="BV68" s="540"/>
      <c r="BW68" s="540"/>
      <c r="BX68" s="538"/>
      <c r="BY68" s="538"/>
      <c r="BZ68" s="592"/>
      <c r="CA68" s="633"/>
      <c r="CB68" s="592" t="s">
        <v>365</v>
      </c>
      <c r="CC68" s="592">
        <v>0.0</v>
      </c>
      <c r="CD68" s="592" t="s">
        <v>365</v>
      </c>
      <c r="CE68" s="592">
        <v>0.0</v>
      </c>
      <c r="CF68" s="592"/>
      <c r="CG68" s="592">
        <v>0.0</v>
      </c>
      <c r="CH68" s="592"/>
      <c r="CI68" s="633"/>
      <c r="CJ68" s="592">
        <v>0.0</v>
      </c>
      <c r="CK68" s="479" t="s">
        <v>365</v>
      </c>
      <c r="CL68" s="592"/>
      <c r="CM68" s="593"/>
      <c r="CN68" s="538"/>
      <c r="CO68" s="538"/>
      <c r="CP68" s="538"/>
      <c r="CQ68" s="538"/>
      <c r="CR68" s="538"/>
      <c r="CS68" s="538"/>
      <c r="CT68" s="538"/>
      <c r="CU68" s="538"/>
      <c r="CV68" s="538"/>
      <c r="CW68" s="538"/>
      <c r="CX68" s="538"/>
      <c r="CY68" s="538"/>
      <c r="CZ68" s="538"/>
      <c r="DA68" s="538"/>
      <c r="DB68" s="538"/>
      <c r="DC68" s="538"/>
      <c r="DD68" s="538"/>
      <c r="DE68" s="538"/>
      <c r="DF68" s="538"/>
      <c r="DG68" s="538"/>
      <c r="DH68" s="538"/>
      <c r="DI68" s="538"/>
      <c r="DJ68" s="84"/>
      <c r="DK68" s="538"/>
      <c r="DL68" s="538"/>
      <c r="DM68" s="538"/>
      <c r="DN68" s="538"/>
      <c r="DO68" s="538"/>
      <c r="DP68" s="538"/>
      <c r="DQ68" s="538"/>
      <c r="DR68" s="538"/>
      <c r="DS68" s="538"/>
      <c r="DT68" s="538"/>
      <c r="DU68" s="538"/>
      <c r="DV68" s="538"/>
      <c r="DW68" s="538"/>
      <c r="DX68" s="538"/>
      <c r="DY68" s="538"/>
      <c r="DZ68" s="538"/>
      <c r="EA68" s="538"/>
      <c r="EB68" s="538"/>
      <c r="EC68" s="538"/>
      <c r="ED68" s="538"/>
      <c r="EE68" s="538"/>
      <c r="EF68" s="538"/>
      <c r="EG68" s="538"/>
      <c r="EH68" s="538"/>
      <c r="EI68" s="538"/>
      <c r="EJ68" s="538"/>
      <c r="EK68" s="538"/>
      <c r="EL68" s="538"/>
      <c r="EM68" s="538"/>
      <c r="EN68" s="538"/>
      <c r="EO68" s="538"/>
      <c r="EP68" s="538"/>
      <c r="EQ68" s="538"/>
      <c r="ER68" s="538"/>
      <c r="ES68" s="538"/>
      <c r="ET68" s="538"/>
      <c r="EU68" s="538"/>
      <c r="EV68" s="538"/>
      <c r="EW68" s="538"/>
      <c r="EX68" s="559"/>
      <c r="EY68" s="559"/>
      <c r="EZ68" s="559"/>
      <c r="FA68" s="559"/>
      <c r="FB68" s="559"/>
      <c r="FC68" s="559"/>
      <c r="FD68" s="559"/>
      <c r="FE68" s="559"/>
      <c r="FF68" s="559"/>
      <c r="FG68" s="559"/>
      <c r="FH68" s="559"/>
      <c r="FI68" s="559"/>
      <c r="FJ68" s="559"/>
      <c r="FK68" s="559"/>
      <c r="FL68" s="559"/>
      <c r="FM68" s="559"/>
      <c r="FN68" s="559"/>
      <c r="FO68" s="559"/>
      <c r="FP68" s="559"/>
      <c r="FQ68" s="559"/>
      <c r="FR68" s="559"/>
      <c r="FS68" s="559"/>
      <c r="FT68" s="559"/>
      <c r="FU68" s="559"/>
      <c r="FV68" s="559"/>
      <c r="FW68" s="559"/>
      <c r="FX68" s="559"/>
      <c r="FY68" s="559"/>
      <c r="FZ68" s="559"/>
      <c r="GA68" s="559"/>
      <c r="GB68" s="559"/>
      <c r="GC68" s="559"/>
      <c r="GD68" s="559"/>
      <c r="GE68" s="559"/>
      <c r="GF68" s="559"/>
      <c r="GG68" s="559"/>
      <c r="GH68" s="559"/>
    </row>
    <row r="69">
      <c r="A69" s="538"/>
      <c r="B69" s="560"/>
      <c r="C69" s="47"/>
      <c r="D69" s="561"/>
      <c r="E69" s="606"/>
      <c r="F69" s="563"/>
      <c r="G69" s="563"/>
      <c r="H69" s="564"/>
      <c r="I69" s="622" t="s">
        <v>365</v>
      </c>
      <c r="J69" s="566"/>
      <c r="K69" s="567"/>
      <c r="L69" s="640"/>
      <c r="M69" s="625"/>
      <c r="N69" s="617"/>
      <c r="O69" s="621"/>
      <c r="P69" s="57"/>
      <c r="Q69" s="57"/>
      <c r="S69" s="605"/>
      <c r="U69" s="573"/>
      <c r="V69" s="574"/>
      <c r="W69" s="618"/>
      <c r="X69" s="576">
        <v>0.0</v>
      </c>
      <c r="Y69" s="630">
        <v>0.0</v>
      </c>
      <c r="Z69" s="630" t="s">
        <v>365</v>
      </c>
      <c r="AA69" s="631" t="b">
        <v>0</v>
      </c>
      <c r="AB69" s="631"/>
      <c r="AC69" s="576"/>
      <c r="AD69" s="479">
        <v>0.0</v>
      </c>
      <c r="AE69" s="632"/>
      <c r="AF69" s="582" t="s">
        <v>365</v>
      </c>
      <c r="AG69" s="583"/>
      <c r="AH69" s="584"/>
      <c r="AI69" s="583"/>
      <c r="AJ69" s="585"/>
      <c r="AK69" s="583"/>
      <c r="AL69" s="584"/>
      <c r="AM69" s="583"/>
      <c r="AN69" s="585"/>
      <c r="AO69" s="583"/>
      <c r="AP69" s="584"/>
      <c r="AQ69" s="583"/>
      <c r="AR69" s="585"/>
      <c r="AS69" s="583"/>
      <c r="AT69" s="584"/>
      <c r="AU69" s="583"/>
      <c r="AV69" s="585"/>
      <c r="AW69" s="583"/>
      <c r="AX69" s="584"/>
      <c r="AY69" s="583"/>
      <c r="AZ69" s="585"/>
      <c r="BA69" s="583"/>
      <c r="BB69" s="584"/>
      <c r="BC69" s="583"/>
      <c r="BD69" s="585"/>
      <c r="BE69" s="583"/>
      <c r="BF69" s="584"/>
      <c r="BG69" s="583"/>
      <c r="BH69" s="585"/>
      <c r="BI69" s="583"/>
      <c r="BJ69" s="584"/>
      <c r="BK69" s="583"/>
      <c r="BL69" s="585"/>
      <c r="BM69" s="583"/>
      <c r="BN69" s="584"/>
      <c r="BO69" s="583"/>
      <c r="BP69" s="585"/>
      <c r="BQ69" s="583"/>
      <c r="BR69" s="584"/>
      <c r="BS69" s="583"/>
      <c r="BT69" s="586"/>
      <c r="BU69" s="540"/>
      <c r="BV69" s="540"/>
      <c r="BW69" s="540"/>
      <c r="BX69" s="538"/>
      <c r="BY69" s="538"/>
      <c r="BZ69" s="592"/>
      <c r="CA69" s="633"/>
      <c r="CB69" s="592" t="s">
        <v>365</v>
      </c>
      <c r="CC69" s="592">
        <v>0.0</v>
      </c>
      <c r="CD69" s="592" t="s">
        <v>365</v>
      </c>
      <c r="CE69" s="592">
        <v>0.0</v>
      </c>
      <c r="CF69" s="592"/>
      <c r="CG69" s="592">
        <v>0.0</v>
      </c>
      <c r="CH69" s="592"/>
      <c r="CI69" s="633"/>
      <c r="CJ69" s="592">
        <v>0.0</v>
      </c>
      <c r="CK69" s="479" t="s">
        <v>365</v>
      </c>
      <c r="CL69" s="592"/>
      <c r="CM69" s="593"/>
      <c r="CN69" s="538"/>
      <c r="CO69" s="538"/>
      <c r="CP69" s="538"/>
      <c r="CQ69" s="538"/>
      <c r="CR69" s="538"/>
      <c r="CS69" s="538"/>
      <c r="CT69" s="538"/>
      <c r="CU69" s="538"/>
      <c r="CV69" s="538"/>
      <c r="CW69" s="538"/>
      <c r="CX69" s="538"/>
      <c r="CY69" s="538"/>
      <c r="CZ69" s="538"/>
      <c r="DA69" s="538"/>
      <c r="DB69" s="538"/>
      <c r="DC69" s="538"/>
      <c r="DD69" s="538"/>
      <c r="DE69" s="538"/>
      <c r="DF69" s="538"/>
      <c r="DG69" s="538"/>
      <c r="DH69" s="538"/>
      <c r="DI69" s="538"/>
      <c r="DJ69" s="538"/>
      <c r="DK69" s="538"/>
      <c r="DL69" s="538"/>
      <c r="DM69" s="538"/>
      <c r="DN69" s="538"/>
      <c r="DO69" s="538"/>
      <c r="DP69" s="538"/>
      <c r="DQ69" s="538"/>
      <c r="DR69" s="538"/>
      <c r="DS69" s="538"/>
      <c r="DT69" s="538"/>
      <c r="DU69" s="538"/>
      <c r="DV69" s="538"/>
      <c r="DW69" s="538"/>
      <c r="DX69" s="538"/>
      <c r="DY69" s="538"/>
      <c r="DZ69" s="538"/>
      <c r="EA69" s="538"/>
      <c r="EB69" s="538"/>
      <c r="EC69" s="538"/>
      <c r="ED69" s="538"/>
      <c r="EE69" s="538"/>
      <c r="EF69" s="538"/>
      <c r="EG69" s="538"/>
      <c r="EH69" s="538"/>
      <c r="EI69" s="538"/>
      <c r="EJ69" s="538"/>
      <c r="EK69" s="538"/>
      <c r="EL69" s="538"/>
      <c r="EM69" s="538"/>
      <c r="EN69" s="538"/>
      <c r="EO69" s="538"/>
      <c r="EP69" s="538"/>
      <c r="EQ69" s="538"/>
      <c r="ER69" s="538"/>
      <c r="ES69" s="538"/>
      <c r="ET69" s="538"/>
      <c r="EU69" s="538"/>
      <c r="EV69" s="538"/>
      <c r="EW69" s="538"/>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row>
    <row r="70">
      <c r="A70" s="538"/>
      <c r="B70" s="156"/>
      <c r="C70" s="444"/>
      <c r="D70" s="614"/>
      <c r="E70" s="606"/>
      <c r="F70" s="563"/>
      <c r="G70" s="563"/>
      <c r="H70" s="564"/>
      <c r="I70" s="622" t="s">
        <v>365</v>
      </c>
      <c r="J70" s="607"/>
      <c r="K70" s="567"/>
      <c r="L70" s="568"/>
      <c r="M70" s="626"/>
      <c r="N70" s="619"/>
      <c r="O70" s="623"/>
      <c r="P70" s="47"/>
      <c r="Q70" s="47"/>
      <c r="S70" s="572"/>
      <c r="U70" s="573"/>
      <c r="V70" s="574"/>
      <c r="W70" s="618"/>
      <c r="X70" s="576">
        <v>0.0</v>
      </c>
      <c r="Y70" s="630">
        <v>0.0</v>
      </c>
      <c r="Z70" s="630" t="s">
        <v>365</v>
      </c>
      <c r="AA70" s="631" t="b">
        <v>0</v>
      </c>
      <c r="AB70" s="631"/>
      <c r="AC70" s="576"/>
      <c r="AD70" s="479">
        <v>0.0</v>
      </c>
      <c r="AE70" s="632"/>
      <c r="AF70" s="582" t="s">
        <v>365</v>
      </c>
      <c r="AG70" s="583"/>
      <c r="AH70" s="584"/>
      <c r="AI70" s="583"/>
      <c r="AJ70" s="585"/>
      <c r="AK70" s="583"/>
      <c r="AL70" s="584"/>
      <c r="AM70" s="583"/>
      <c r="AN70" s="585"/>
      <c r="AO70" s="583"/>
      <c r="AP70" s="584"/>
      <c r="AQ70" s="583"/>
      <c r="AR70" s="585"/>
      <c r="AS70" s="583"/>
      <c r="AT70" s="584"/>
      <c r="AU70" s="583"/>
      <c r="AV70" s="585"/>
      <c r="AW70" s="583"/>
      <c r="AX70" s="584"/>
      <c r="AY70" s="583"/>
      <c r="AZ70" s="585"/>
      <c r="BA70" s="583"/>
      <c r="BB70" s="584"/>
      <c r="BC70" s="583"/>
      <c r="BD70" s="585"/>
      <c r="BE70" s="583"/>
      <c r="BF70" s="584"/>
      <c r="BG70" s="583"/>
      <c r="BH70" s="585"/>
      <c r="BI70" s="583"/>
      <c r="BJ70" s="584"/>
      <c r="BK70" s="583"/>
      <c r="BL70" s="585"/>
      <c r="BM70" s="583"/>
      <c r="BN70" s="584"/>
      <c r="BO70" s="583"/>
      <c r="BP70" s="585"/>
      <c r="BQ70" s="583"/>
      <c r="BR70" s="584"/>
      <c r="BS70" s="583"/>
      <c r="BT70" s="586"/>
      <c r="BU70" s="540"/>
      <c r="BV70" s="540"/>
      <c r="BW70" s="540"/>
      <c r="BX70" s="538"/>
      <c r="BY70" s="538"/>
      <c r="BZ70" s="592"/>
      <c r="CA70" s="633"/>
      <c r="CB70" s="592" t="s">
        <v>365</v>
      </c>
      <c r="CC70" s="592">
        <v>0.0</v>
      </c>
      <c r="CD70" s="592" t="s">
        <v>365</v>
      </c>
      <c r="CE70" s="592">
        <v>0.0</v>
      </c>
      <c r="CF70" s="592"/>
      <c r="CG70" s="592">
        <v>0.0</v>
      </c>
      <c r="CH70" s="592"/>
      <c r="CI70" s="633"/>
      <c r="CJ70" s="592">
        <v>0.0</v>
      </c>
      <c r="CK70" s="479" t="s">
        <v>365</v>
      </c>
      <c r="CL70" s="592"/>
      <c r="CM70" s="593"/>
      <c r="CN70" s="538"/>
      <c r="CO70" s="538"/>
      <c r="CP70" s="538"/>
      <c r="CQ70" s="538"/>
      <c r="CR70" s="538"/>
      <c r="CS70" s="538"/>
      <c r="CT70" s="538"/>
      <c r="CU70" s="538"/>
      <c r="CV70" s="538"/>
      <c r="CW70" s="538"/>
      <c r="CX70" s="538"/>
      <c r="CY70" s="538"/>
      <c r="CZ70" s="538"/>
      <c r="DA70" s="538"/>
      <c r="DB70" s="538"/>
      <c r="DC70" s="538"/>
      <c r="DD70" s="538"/>
      <c r="DE70" s="538"/>
      <c r="DF70" s="538"/>
      <c r="DG70" s="538"/>
      <c r="DH70" s="538"/>
      <c r="DI70" s="538"/>
      <c r="DJ70" s="538"/>
      <c r="DK70" s="538"/>
      <c r="DL70" s="538"/>
      <c r="DM70" s="538"/>
      <c r="DN70" s="538"/>
      <c r="DO70" s="538"/>
      <c r="DP70" s="538"/>
      <c r="DQ70" s="538"/>
      <c r="DR70" s="538"/>
      <c r="DS70" s="538"/>
      <c r="DT70" s="538"/>
      <c r="DU70" s="538"/>
      <c r="DV70" s="538"/>
      <c r="DW70" s="538"/>
      <c r="DX70" s="538"/>
      <c r="DY70" s="538"/>
      <c r="DZ70" s="538"/>
      <c r="EA70" s="538"/>
      <c r="EB70" s="538"/>
      <c r="EC70" s="538"/>
      <c r="ED70" s="538"/>
      <c r="EE70" s="538"/>
      <c r="EF70" s="538"/>
      <c r="EG70" s="538"/>
      <c r="EH70" s="538"/>
      <c r="EI70" s="538"/>
      <c r="EJ70" s="538"/>
      <c r="EK70" s="538"/>
      <c r="EL70" s="538"/>
      <c r="EM70" s="538"/>
      <c r="EN70" s="538"/>
      <c r="EO70" s="538"/>
      <c r="EP70" s="538"/>
      <c r="EQ70" s="538"/>
      <c r="ER70" s="538"/>
      <c r="ES70" s="538"/>
      <c r="ET70" s="538"/>
      <c r="EU70" s="538"/>
      <c r="EV70" s="538"/>
      <c r="EW70" s="538"/>
      <c r="EX70" s="559"/>
      <c r="EY70" s="559"/>
      <c r="EZ70" s="559"/>
      <c r="FA70" s="559"/>
      <c r="FB70" s="559"/>
      <c r="FC70" s="559"/>
      <c r="FD70" s="559"/>
      <c r="FE70" s="559"/>
      <c r="FF70" s="559"/>
      <c r="FG70" s="559"/>
      <c r="FH70" s="559"/>
      <c r="FI70" s="559"/>
      <c r="FJ70" s="559"/>
      <c r="FK70" s="559"/>
      <c r="FL70" s="559"/>
      <c r="FM70" s="559"/>
      <c r="FN70" s="559"/>
      <c r="FO70" s="559"/>
      <c r="FP70" s="559"/>
      <c r="FQ70" s="559"/>
      <c r="FR70" s="559"/>
      <c r="FS70" s="559"/>
      <c r="FT70" s="559"/>
      <c r="FU70" s="559"/>
      <c r="FV70" s="559"/>
      <c r="FW70" s="559"/>
      <c r="FX70" s="559"/>
      <c r="FY70" s="559"/>
      <c r="FZ70" s="559"/>
      <c r="GA70" s="559"/>
      <c r="GB70" s="559"/>
      <c r="GC70" s="559"/>
      <c r="GD70" s="559"/>
      <c r="GE70" s="559"/>
      <c r="GF70" s="559"/>
      <c r="GG70" s="559"/>
      <c r="GH70" s="559"/>
    </row>
    <row r="71">
      <c r="A71" s="538"/>
      <c r="B71" s="156"/>
      <c r="C71" s="444"/>
      <c r="D71" s="614"/>
      <c r="E71" s="595"/>
      <c r="F71" s="596"/>
      <c r="G71" s="596"/>
      <c r="H71" s="597"/>
      <c r="I71" s="616" t="s">
        <v>365</v>
      </c>
      <c r="J71" s="624"/>
      <c r="K71" s="600"/>
      <c r="L71" s="640"/>
      <c r="M71" s="625"/>
      <c r="N71" s="617"/>
      <c r="O71" s="621"/>
      <c r="P71" s="57"/>
      <c r="Q71" s="57"/>
      <c r="S71" s="605"/>
      <c r="U71" s="573"/>
      <c r="V71" s="574"/>
      <c r="W71" s="618"/>
      <c r="X71" s="576">
        <v>0.0</v>
      </c>
      <c r="Y71" s="630">
        <v>0.0</v>
      </c>
      <c r="Z71" s="630" t="s">
        <v>365</v>
      </c>
      <c r="AA71" s="631" t="b">
        <v>0</v>
      </c>
      <c r="AB71" s="631"/>
      <c r="AC71" s="576"/>
      <c r="AD71" s="479">
        <v>0.0</v>
      </c>
      <c r="AE71" s="632"/>
      <c r="AF71" s="582" t="s">
        <v>365</v>
      </c>
      <c r="AG71" s="583"/>
      <c r="AH71" s="584"/>
      <c r="AI71" s="583"/>
      <c r="AJ71" s="585"/>
      <c r="AK71" s="583"/>
      <c r="AL71" s="584"/>
      <c r="AM71" s="583"/>
      <c r="AN71" s="585"/>
      <c r="AO71" s="583"/>
      <c r="AP71" s="584"/>
      <c r="AQ71" s="583"/>
      <c r="AR71" s="585"/>
      <c r="AS71" s="583"/>
      <c r="AT71" s="584"/>
      <c r="AU71" s="583"/>
      <c r="AV71" s="585"/>
      <c r="AW71" s="583"/>
      <c r="AX71" s="584"/>
      <c r="AY71" s="583"/>
      <c r="AZ71" s="585"/>
      <c r="BA71" s="583"/>
      <c r="BB71" s="584"/>
      <c r="BC71" s="583"/>
      <c r="BD71" s="585"/>
      <c r="BE71" s="583"/>
      <c r="BF71" s="584"/>
      <c r="BG71" s="583"/>
      <c r="BH71" s="585"/>
      <c r="BI71" s="583"/>
      <c r="BJ71" s="584"/>
      <c r="BK71" s="583"/>
      <c r="BL71" s="585"/>
      <c r="BM71" s="583"/>
      <c r="BN71" s="584"/>
      <c r="BO71" s="583"/>
      <c r="BP71" s="585"/>
      <c r="BQ71" s="583"/>
      <c r="BR71" s="584"/>
      <c r="BS71" s="583"/>
      <c r="BT71" s="586"/>
      <c r="BU71" s="540"/>
      <c r="BV71" s="540"/>
      <c r="BW71" s="540"/>
      <c r="BX71" s="538"/>
      <c r="BY71" s="538"/>
      <c r="BZ71" s="592"/>
      <c r="CA71" s="633"/>
      <c r="CB71" s="592" t="s">
        <v>365</v>
      </c>
      <c r="CC71" s="592">
        <v>0.0</v>
      </c>
      <c r="CD71" s="592" t="s">
        <v>365</v>
      </c>
      <c r="CE71" s="592">
        <v>0.0</v>
      </c>
      <c r="CF71" s="592"/>
      <c r="CG71" s="592">
        <v>0.0</v>
      </c>
      <c r="CH71" s="592"/>
      <c r="CI71" s="633"/>
      <c r="CJ71" s="592">
        <v>0.0</v>
      </c>
      <c r="CK71" s="479" t="s">
        <v>365</v>
      </c>
      <c r="CL71" s="592"/>
      <c r="CM71" s="593"/>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c r="DS71" s="538"/>
      <c r="DT71" s="538"/>
      <c r="DU71" s="538"/>
      <c r="DV71" s="538"/>
      <c r="DW71" s="538"/>
      <c r="DX71" s="538"/>
      <c r="DY71" s="538"/>
      <c r="DZ71" s="538"/>
      <c r="EA71" s="538"/>
      <c r="EB71" s="538"/>
      <c r="EC71" s="538"/>
      <c r="ED71" s="538"/>
      <c r="EE71" s="538"/>
      <c r="EF71" s="538"/>
      <c r="EG71" s="538"/>
      <c r="EH71" s="538"/>
      <c r="EI71" s="538"/>
      <c r="EJ71" s="538"/>
      <c r="EK71" s="538"/>
      <c r="EL71" s="538"/>
      <c r="EM71" s="538"/>
      <c r="EN71" s="538"/>
      <c r="EO71" s="538"/>
      <c r="EP71" s="538"/>
      <c r="EQ71" s="538"/>
      <c r="ER71" s="538"/>
      <c r="ES71" s="538"/>
      <c r="ET71" s="538"/>
      <c r="EU71" s="538"/>
      <c r="EV71" s="538"/>
      <c r="EW71" s="538"/>
      <c r="EX71" s="559"/>
      <c r="EY71" s="559"/>
      <c r="EZ71" s="559"/>
      <c r="FA71" s="559"/>
      <c r="FB71" s="559"/>
      <c r="FC71" s="559"/>
      <c r="FD71" s="559"/>
      <c r="FE71" s="559"/>
      <c r="FF71" s="559"/>
      <c r="FG71" s="559"/>
      <c r="FH71" s="559"/>
      <c r="FI71" s="559"/>
      <c r="FJ71" s="559"/>
      <c r="FK71" s="559"/>
      <c r="FL71" s="559"/>
      <c r="FM71" s="559"/>
      <c r="FN71" s="559"/>
      <c r="FO71" s="559"/>
      <c r="FP71" s="559"/>
      <c r="FQ71" s="559"/>
      <c r="FR71" s="559"/>
      <c r="FS71" s="559"/>
      <c r="FT71" s="559"/>
      <c r="FU71" s="559"/>
      <c r="FV71" s="559"/>
      <c r="FW71" s="559"/>
      <c r="FX71" s="559"/>
      <c r="FY71" s="559"/>
      <c r="FZ71" s="559"/>
      <c r="GA71" s="559"/>
      <c r="GB71" s="559"/>
      <c r="GC71" s="559"/>
      <c r="GD71" s="559"/>
      <c r="GE71" s="559"/>
      <c r="GF71" s="559"/>
      <c r="GG71" s="559"/>
      <c r="GH71" s="559"/>
    </row>
    <row r="72">
      <c r="A72" s="538"/>
      <c r="B72" s="156"/>
      <c r="C72" s="444"/>
      <c r="D72" s="614"/>
      <c r="E72" s="606"/>
      <c r="F72" s="563"/>
      <c r="G72" s="563"/>
      <c r="H72" s="627"/>
      <c r="I72" s="622" t="s">
        <v>365</v>
      </c>
      <c r="J72" s="607"/>
      <c r="K72" s="567"/>
      <c r="L72" s="628"/>
      <c r="M72" s="626"/>
      <c r="N72" s="619"/>
      <c r="O72" s="623"/>
      <c r="P72" s="47"/>
      <c r="Q72" s="47"/>
      <c r="S72" s="572"/>
      <c r="U72" s="573"/>
      <c r="V72" s="574"/>
      <c r="W72" s="618"/>
      <c r="X72" s="576">
        <v>0.0</v>
      </c>
      <c r="Y72" s="630">
        <v>0.0</v>
      </c>
      <c r="Z72" s="630" t="s">
        <v>365</v>
      </c>
      <c r="AA72" s="631" t="b">
        <v>0</v>
      </c>
      <c r="AB72" s="631"/>
      <c r="AC72" s="576"/>
      <c r="AD72" s="479">
        <v>0.0</v>
      </c>
      <c r="AE72" s="632"/>
      <c r="AF72" s="582" t="s">
        <v>365</v>
      </c>
      <c r="AG72" s="583"/>
      <c r="AH72" s="584"/>
      <c r="AI72" s="583"/>
      <c r="AJ72" s="585"/>
      <c r="AK72" s="583"/>
      <c r="AL72" s="584"/>
      <c r="AM72" s="583"/>
      <c r="AN72" s="585"/>
      <c r="AO72" s="583"/>
      <c r="AP72" s="584"/>
      <c r="AQ72" s="583"/>
      <c r="AR72" s="585"/>
      <c r="AS72" s="583"/>
      <c r="AT72" s="584"/>
      <c r="AU72" s="583"/>
      <c r="AV72" s="585"/>
      <c r="AW72" s="583"/>
      <c r="AX72" s="584"/>
      <c r="AY72" s="583"/>
      <c r="AZ72" s="585"/>
      <c r="BA72" s="583"/>
      <c r="BB72" s="584"/>
      <c r="BC72" s="583"/>
      <c r="BD72" s="585"/>
      <c r="BE72" s="583"/>
      <c r="BF72" s="584"/>
      <c r="BG72" s="583"/>
      <c r="BH72" s="585"/>
      <c r="BI72" s="583"/>
      <c r="BJ72" s="584"/>
      <c r="BK72" s="583"/>
      <c r="BL72" s="585"/>
      <c r="BM72" s="583"/>
      <c r="BN72" s="584"/>
      <c r="BO72" s="583"/>
      <c r="BP72" s="585"/>
      <c r="BQ72" s="583"/>
      <c r="BR72" s="584"/>
      <c r="BS72" s="583"/>
      <c r="BT72" s="586"/>
      <c r="BU72" s="540"/>
      <c r="BV72" s="540"/>
      <c r="BW72" s="540"/>
      <c r="BX72" s="538"/>
      <c r="BY72" s="538"/>
      <c r="BZ72" s="592"/>
      <c r="CA72" s="633"/>
      <c r="CB72" s="592" t="s">
        <v>365</v>
      </c>
      <c r="CC72" s="592">
        <v>0.0</v>
      </c>
      <c r="CD72" s="592" t="s">
        <v>365</v>
      </c>
      <c r="CE72" s="592">
        <v>0.0</v>
      </c>
      <c r="CF72" s="592"/>
      <c r="CG72" s="592">
        <v>0.0</v>
      </c>
      <c r="CH72" s="592"/>
      <c r="CI72" s="633"/>
      <c r="CJ72" s="592">
        <v>0.0</v>
      </c>
      <c r="CK72" s="479" t="s">
        <v>365</v>
      </c>
      <c r="CL72" s="592"/>
      <c r="CM72" s="593"/>
      <c r="CN72" s="538"/>
      <c r="CO72" s="538"/>
      <c r="CP72" s="538"/>
      <c r="CQ72" s="538"/>
      <c r="CR72" s="538"/>
      <c r="CS72" s="538"/>
      <c r="CT72" s="538"/>
      <c r="CU72" s="538"/>
      <c r="CV72" s="538"/>
      <c r="CW72" s="538"/>
      <c r="CX72" s="538"/>
      <c r="CY72" s="538"/>
      <c r="CZ72" s="538"/>
      <c r="DA72" s="538"/>
      <c r="DB72" s="538"/>
      <c r="DC72" s="538"/>
      <c r="DD72" s="538"/>
      <c r="DE72" s="538"/>
      <c r="DF72" s="538"/>
      <c r="DG72" s="538"/>
      <c r="DH72" s="538"/>
      <c r="DI72" s="538"/>
      <c r="DJ72" s="538"/>
      <c r="DK72" s="538"/>
      <c r="DL72" s="538"/>
      <c r="DM72" s="538"/>
      <c r="DN72" s="538"/>
      <c r="DO72" s="538"/>
      <c r="DP72" s="538"/>
      <c r="DQ72" s="538"/>
      <c r="DR72" s="538"/>
      <c r="DS72" s="538"/>
      <c r="DT72" s="538"/>
      <c r="DU72" s="538"/>
      <c r="DV72" s="538"/>
      <c r="DW72" s="538"/>
      <c r="DX72" s="538"/>
      <c r="DY72" s="538"/>
      <c r="DZ72" s="538"/>
      <c r="EA72" s="538"/>
      <c r="EB72" s="538"/>
      <c r="EC72" s="538"/>
      <c r="ED72" s="538"/>
      <c r="EE72" s="538"/>
      <c r="EF72" s="538"/>
      <c r="EG72" s="538"/>
      <c r="EH72" s="538"/>
      <c r="EI72" s="538"/>
      <c r="EJ72" s="538"/>
      <c r="EK72" s="538"/>
      <c r="EL72" s="538"/>
      <c r="EM72" s="538"/>
      <c r="EN72" s="538"/>
      <c r="EO72" s="538"/>
      <c r="EP72" s="538"/>
      <c r="EQ72" s="538"/>
      <c r="ER72" s="538"/>
      <c r="ES72" s="538"/>
      <c r="ET72" s="538"/>
      <c r="EU72" s="538"/>
      <c r="EV72" s="538"/>
      <c r="EW72" s="538"/>
      <c r="EX72" s="559"/>
      <c r="EY72" s="559"/>
      <c r="EZ72" s="559"/>
      <c r="FA72" s="559"/>
      <c r="FB72" s="559"/>
      <c r="FC72" s="559"/>
      <c r="FD72" s="559"/>
      <c r="FE72" s="559"/>
      <c r="FF72" s="559"/>
      <c r="FG72" s="559"/>
      <c r="FH72" s="559"/>
      <c r="FI72" s="559"/>
      <c r="FJ72" s="559"/>
      <c r="FK72" s="559"/>
      <c r="FL72" s="559"/>
      <c r="FM72" s="559"/>
      <c r="FN72" s="559"/>
      <c r="FO72" s="559"/>
      <c r="FP72" s="559"/>
      <c r="FQ72" s="559"/>
      <c r="FR72" s="559"/>
      <c r="FS72" s="559"/>
      <c r="FT72" s="559"/>
      <c r="FU72" s="559"/>
      <c r="FV72" s="559"/>
      <c r="FW72" s="559"/>
      <c r="FX72" s="559"/>
      <c r="FY72" s="559"/>
      <c r="FZ72" s="559"/>
      <c r="GA72" s="559"/>
      <c r="GB72" s="559"/>
      <c r="GC72" s="559"/>
      <c r="GD72" s="559"/>
      <c r="GE72" s="559"/>
      <c r="GF72" s="559"/>
      <c r="GG72" s="559"/>
      <c r="GH72" s="559"/>
    </row>
    <row r="73">
      <c r="A73" s="538"/>
      <c r="B73" s="156"/>
      <c r="C73" s="444"/>
      <c r="D73" s="614"/>
      <c r="E73" s="595"/>
      <c r="F73" s="596"/>
      <c r="G73" s="596"/>
      <c r="H73" s="615"/>
      <c r="I73" s="616" t="s">
        <v>365</v>
      </c>
      <c r="J73" s="624"/>
      <c r="K73" s="600"/>
      <c r="L73" s="640"/>
      <c r="M73" s="625"/>
      <c r="N73" s="617"/>
      <c r="O73" s="621"/>
      <c r="P73" s="57"/>
      <c r="Q73" s="57"/>
      <c r="S73" s="605"/>
      <c r="U73" s="573"/>
      <c r="V73" s="574"/>
      <c r="W73" s="618"/>
      <c r="X73" s="576">
        <v>0.0</v>
      </c>
      <c r="Y73" s="630">
        <v>0.0</v>
      </c>
      <c r="Z73" s="630" t="s">
        <v>365</v>
      </c>
      <c r="AA73" s="631" t="b">
        <v>0</v>
      </c>
      <c r="AB73" s="631"/>
      <c r="AC73" s="576"/>
      <c r="AD73" s="479">
        <v>0.0</v>
      </c>
      <c r="AE73" s="632"/>
      <c r="AF73" s="582" t="s">
        <v>365</v>
      </c>
      <c r="AG73" s="583"/>
      <c r="AH73" s="584"/>
      <c r="AI73" s="583"/>
      <c r="AJ73" s="585"/>
      <c r="AK73" s="583"/>
      <c r="AL73" s="584"/>
      <c r="AM73" s="583"/>
      <c r="AN73" s="585"/>
      <c r="AO73" s="583"/>
      <c r="AP73" s="584"/>
      <c r="AQ73" s="583"/>
      <c r="AR73" s="585"/>
      <c r="AS73" s="583"/>
      <c r="AT73" s="584"/>
      <c r="AU73" s="583"/>
      <c r="AV73" s="585"/>
      <c r="AW73" s="583"/>
      <c r="AX73" s="584"/>
      <c r="AY73" s="583"/>
      <c r="AZ73" s="585"/>
      <c r="BA73" s="583"/>
      <c r="BB73" s="584"/>
      <c r="BC73" s="583"/>
      <c r="BD73" s="585"/>
      <c r="BE73" s="583"/>
      <c r="BF73" s="584"/>
      <c r="BG73" s="583"/>
      <c r="BH73" s="585"/>
      <c r="BI73" s="583"/>
      <c r="BJ73" s="584"/>
      <c r="BK73" s="583"/>
      <c r="BL73" s="585"/>
      <c r="BM73" s="583"/>
      <c r="BN73" s="584"/>
      <c r="BO73" s="583"/>
      <c r="BP73" s="585"/>
      <c r="BQ73" s="583"/>
      <c r="BR73" s="584"/>
      <c r="BS73" s="583"/>
      <c r="BT73" s="586"/>
      <c r="BU73" s="540"/>
      <c r="BV73" s="540"/>
      <c r="BW73" s="540"/>
      <c r="BX73" s="538"/>
      <c r="BY73" s="538"/>
      <c r="BZ73" s="592"/>
      <c r="CA73" s="633"/>
      <c r="CB73" s="592" t="s">
        <v>365</v>
      </c>
      <c r="CC73" s="592">
        <v>0.0</v>
      </c>
      <c r="CD73" s="592" t="s">
        <v>365</v>
      </c>
      <c r="CE73" s="592">
        <v>0.0</v>
      </c>
      <c r="CF73" s="592"/>
      <c r="CG73" s="592">
        <v>0.0</v>
      </c>
      <c r="CH73" s="592"/>
      <c r="CI73" s="633"/>
      <c r="CJ73" s="592">
        <v>0.0</v>
      </c>
      <c r="CK73" s="479" t="s">
        <v>365</v>
      </c>
      <c r="CL73" s="592"/>
      <c r="CM73" s="593"/>
      <c r="CN73" s="538"/>
      <c r="CO73" s="538"/>
      <c r="CP73" s="538"/>
      <c r="CQ73" s="538"/>
      <c r="CR73" s="538"/>
      <c r="CS73" s="538"/>
      <c r="CT73" s="538"/>
      <c r="CU73" s="538"/>
      <c r="CV73" s="538"/>
      <c r="CW73" s="538"/>
      <c r="CX73" s="538"/>
      <c r="CY73" s="538"/>
      <c r="CZ73" s="538"/>
      <c r="DA73" s="538"/>
      <c r="DB73" s="538"/>
      <c r="DC73" s="538"/>
      <c r="DD73" s="538"/>
      <c r="DE73" s="538"/>
      <c r="DF73" s="538"/>
      <c r="DG73" s="538"/>
      <c r="DH73" s="538"/>
      <c r="DI73" s="538"/>
      <c r="DJ73" s="538"/>
      <c r="DK73" s="538"/>
      <c r="DL73" s="538"/>
      <c r="DM73" s="538"/>
      <c r="DN73" s="538"/>
      <c r="DO73" s="538"/>
      <c r="DP73" s="538"/>
      <c r="DQ73" s="538"/>
      <c r="DR73" s="538"/>
      <c r="DS73" s="538"/>
      <c r="DT73" s="538"/>
      <c r="DU73" s="538"/>
      <c r="DV73" s="538"/>
      <c r="DW73" s="538"/>
      <c r="DX73" s="538"/>
      <c r="DY73" s="538"/>
      <c r="DZ73" s="538"/>
      <c r="EA73" s="538"/>
      <c r="EB73" s="538"/>
      <c r="EC73" s="538"/>
      <c r="ED73" s="538"/>
      <c r="EE73" s="538"/>
      <c r="EF73" s="538"/>
      <c r="EG73" s="538"/>
      <c r="EH73" s="538"/>
      <c r="EI73" s="538"/>
      <c r="EJ73" s="538"/>
      <c r="EK73" s="538"/>
      <c r="EL73" s="538"/>
      <c r="EM73" s="538"/>
      <c r="EN73" s="538"/>
      <c r="EO73" s="538"/>
      <c r="EP73" s="538"/>
      <c r="EQ73" s="538"/>
      <c r="ER73" s="538"/>
      <c r="ES73" s="538"/>
      <c r="ET73" s="538"/>
      <c r="EU73" s="538"/>
      <c r="EV73" s="538"/>
      <c r="EW73" s="538"/>
      <c r="EX73" s="559"/>
      <c r="EY73" s="559"/>
      <c r="EZ73" s="559"/>
      <c r="FA73" s="559"/>
      <c r="FB73" s="559"/>
      <c r="FC73" s="559"/>
      <c r="FD73" s="559"/>
      <c r="FE73" s="559"/>
      <c r="FF73" s="559"/>
      <c r="FG73" s="559"/>
      <c r="FH73" s="559"/>
      <c r="FI73" s="559"/>
      <c r="FJ73" s="559"/>
      <c r="FK73" s="559"/>
      <c r="FL73" s="559"/>
      <c r="FM73" s="559"/>
      <c r="FN73" s="559"/>
      <c r="FO73" s="559"/>
      <c r="FP73" s="559"/>
      <c r="FQ73" s="559"/>
      <c r="FR73" s="559"/>
      <c r="FS73" s="559"/>
      <c r="FT73" s="559"/>
      <c r="FU73" s="559"/>
      <c r="FV73" s="559"/>
      <c r="FW73" s="559"/>
      <c r="FX73" s="559"/>
      <c r="FY73" s="559"/>
      <c r="FZ73" s="559"/>
      <c r="GA73" s="559"/>
      <c r="GB73" s="559"/>
      <c r="GC73" s="559"/>
      <c r="GD73" s="559"/>
      <c r="GE73" s="559"/>
      <c r="GF73" s="559"/>
      <c r="GG73" s="559"/>
      <c r="GH73" s="559"/>
    </row>
    <row r="74">
      <c r="A74" s="538"/>
      <c r="B74" s="156"/>
      <c r="C74" s="444"/>
      <c r="D74" s="614"/>
      <c r="E74" s="606"/>
      <c r="F74" s="563"/>
      <c r="G74" s="563"/>
      <c r="H74" s="627"/>
      <c r="I74" s="622" t="s">
        <v>365</v>
      </c>
      <c r="J74" s="607"/>
      <c r="K74" s="567"/>
      <c r="L74" s="628"/>
      <c r="M74" s="626"/>
      <c r="N74" s="619"/>
      <c r="O74" s="623"/>
      <c r="P74" s="47"/>
      <c r="Q74" s="47"/>
      <c r="S74" s="572"/>
      <c r="U74" s="573"/>
      <c r="V74" s="574"/>
      <c r="W74" s="618"/>
      <c r="X74" s="576">
        <v>0.0</v>
      </c>
      <c r="Y74" s="630">
        <v>0.0</v>
      </c>
      <c r="Z74" s="630" t="s">
        <v>365</v>
      </c>
      <c r="AA74" s="631" t="b">
        <v>0</v>
      </c>
      <c r="AB74" s="631"/>
      <c r="AC74" s="576"/>
      <c r="AD74" s="479">
        <v>0.0</v>
      </c>
      <c r="AE74" s="632"/>
      <c r="AF74" s="582" t="s">
        <v>365</v>
      </c>
      <c r="AG74" s="583"/>
      <c r="AH74" s="584"/>
      <c r="AI74" s="583"/>
      <c r="AJ74" s="585"/>
      <c r="AK74" s="583"/>
      <c r="AL74" s="584"/>
      <c r="AM74" s="583"/>
      <c r="AN74" s="585"/>
      <c r="AO74" s="583"/>
      <c r="AP74" s="584"/>
      <c r="AQ74" s="583"/>
      <c r="AR74" s="585"/>
      <c r="AS74" s="583"/>
      <c r="AT74" s="584"/>
      <c r="AU74" s="583"/>
      <c r="AV74" s="585"/>
      <c r="AW74" s="583"/>
      <c r="AX74" s="584"/>
      <c r="AY74" s="583"/>
      <c r="AZ74" s="585"/>
      <c r="BA74" s="583"/>
      <c r="BB74" s="584"/>
      <c r="BC74" s="583"/>
      <c r="BD74" s="585"/>
      <c r="BE74" s="583"/>
      <c r="BF74" s="584"/>
      <c r="BG74" s="583"/>
      <c r="BH74" s="585"/>
      <c r="BI74" s="583"/>
      <c r="BJ74" s="584"/>
      <c r="BK74" s="583"/>
      <c r="BL74" s="585"/>
      <c r="BM74" s="583"/>
      <c r="BN74" s="584"/>
      <c r="BO74" s="583"/>
      <c r="BP74" s="585"/>
      <c r="BQ74" s="583"/>
      <c r="BR74" s="584"/>
      <c r="BS74" s="583"/>
      <c r="BT74" s="586"/>
      <c r="BU74" s="540"/>
      <c r="BV74" s="540"/>
      <c r="BW74" s="540"/>
      <c r="BX74" s="538"/>
      <c r="BY74" s="538"/>
      <c r="BZ74" s="592"/>
      <c r="CA74" s="633"/>
      <c r="CB74" s="592" t="s">
        <v>365</v>
      </c>
      <c r="CC74" s="592">
        <v>0.0</v>
      </c>
      <c r="CD74" s="592" t="s">
        <v>365</v>
      </c>
      <c r="CE74" s="592">
        <v>0.0</v>
      </c>
      <c r="CF74" s="592"/>
      <c r="CG74" s="592">
        <v>0.0</v>
      </c>
      <c r="CH74" s="592"/>
      <c r="CI74" s="633"/>
      <c r="CJ74" s="592">
        <v>0.0</v>
      </c>
      <c r="CK74" s="479" t="s">
        <v>365</v>
      </c>
      <c r="CL74" s="592"/>
      <c r="CM74" s="593"/>
      <c r="CN74" s="538"/>
      <c r="CO74" s="538"/>
      <c r="CP74" s="538"/>
      <c r="CQ74" s="538"/>
      <c r="CR74" s="538"/>
      <c r="CS74" s="538"/>
      <c r="CT74" s="538"/>
      <c r="CU74" s="538"/>
      <c r="CV74" s="538"/>
      <c r="CW74" s="538"/>
      <c r="CX74" s="538"/>
      <c r="CY74" s="538"/>
      <c r="CZ74" s="538"/>
      <c r="DA74" s="538"/>
      <c r="DB74" s="538"/>
      <c r="DC74" s="538"/>
      <c r="DD74" s="538"/>
      <c r="DE74" s="538"/>
      <c r="DF74" s="538"/>
      <c r="DG74" s="538"/>
      <c r="DH74" s="538"/>
      <c r="DI74" s="538"/>
      <c r="DJ74" s="538"/>
      <c r="DK74" s="538"/>
      <c r="DL74" s="538"/>
      <c r="DM74" s="538"/>
      <c r="DN74" s="538"/>
      <c r="DO74" s="538"/>
      <c r="DP74" s="538"/>
      <c r="DQ74" s="538"/>
      <c r="DR74" s="538"/>
      <c r="DS74" s="538"/>
      <c r="DT74" s="538"/>
      <c r="DU74" s="538"/>
      <c r="DV74" s="538"/>
      <c r="DW74" s="538"/>
      <c r="DX74" s="538"/>
      <c r="DY74" s="538"/>
      <c r="DZ74" s="538"/>
      <c r="EA74" s="538"/>
      <c r="EB74" s="538"/>
      <c r="EC74" s="538"/>
      <c r="ED74" s="538"/>
      <c r="EE74" s="538"/>
      <c r="EF74" s="538"/>
      <c r="EG74" s="538"/>
      <c r="EH74" s="538"/>
      <c r="EI74" s="538"/>
      <c r="EJ74" s="538"/>
      <c r="EK74" s="538"/>
      <c r="EL74" s="538"/>
      <c r="EM74" s="538"/>
      <c r="EN74" s="538"/>
      <c r="EO74" s="538"/>
      <c r="EP74" s="538"/>
      <c r="EQ74" s="538"/>
      <c r="ER74" s="538"/>
      <c r="ES74" s="538"/>
      <c r="ET74" s="538"/>
      <c r="EU74" s="538"/>
      <c r="EV74" s="538"/>
      <c r="EW74" s="538"/>
      <c r="EX74" s="559"/>
      <c r="EY74" s="559"/>
      <c r="EZ74" s="559"/>
      <c r="FA74" s="559"/>
      <c r="FB74" s="559"/>
      <c r="FC74" s="559"/>
      <c r="FD74" s="559"/>
      <c r="FE74" s="559"/>
      <c r="FF74" s="559"/>
      <c r="FG74" s="559"/>
      <c r="FH74" s="559"/>
      <c r="FI74" s="559"/>
      <c r="FJ74" s="559"/>
      <c r="FK74" s="559"/>
      <c r="FL74" s="559"/>
      <c r="FM74" s="559"/>
      <c r="FN74" s="559"/>
      <c r="FO74" s="559"/>
      <c r="FP74" s="559"/>
      <c r="FQ74" s="559"/>
      <c r="FR74" s="559"/>
      <c r="FS74" s="559"/>
      <c r="FT74" s="559"/>
      <c r="FU74" s="559"/>
      <c r="FV74" s="559"/>
      <c r="FW74" s="559"/>
      <c r="FX74" s="559"/>
      <c r="FY74" s="559"/>
      <c r="FZ74" s="559"/>
      <c r="GA74" s="559"/>
      <c r="GB74" s="559"/>
      <c r="GC74" s="559"/>
      <c r="GD74" s="559"/>
      <c r="GE74" s="559"/>
      <c r="GF74" s="559"/>
      <c r="GG74" s="559"/>
      <c r="GH74" s="559"/>
    </row>
    <row r="75">
      <c r="A75" s="538"/>
      <c r="B75" s="156"/>
      <c r="C75" s="444"/>
      <c r="D75" s="614"/>
      <c r="E75" s="595"/>
      <c r="F75" s="596"/>
      <c r="G75" s="596"/>
      <c r="H75" s="597"/>
      <c r="I75" s="616" t="s">
        <v>365</v>
      </c>
      <c r="J75" s="624"/>
      <c r="K75" s="600"/>
      <c r="L75" s="601"/>
      <c r="M75" s="625"/>
      <c r="N75" s="617"/>
      <c r="O75" s="621"/>
      <c r="P75" s="57"/>
      <c r="Q75" s="57"/>
      <c r="S75" s="605"/>
      <c r="U75" s="573"/>
      <c r="V75" s="574"/>
      <c r="W75" s="618"/>
      <c r="X75" s="576">
        <v>0.0</v>
      </c>
      <c r="Y75" s="630">
        <v>0.0</v>
      </c>
      <c r="Z75" s="630" t="s">
        <v>365</v>
      </c>
      <c r="AA75" s="631" t="b">
        <v>0</v>
      </c>
      <c r="AB75" s="631"/>
      <c r="AC75" s="576"/>
      <c r="AD75" s="479">
        <v>0.0</v>
      </c>
      <c r="AE75" s="632"/>
      <c r="AF75" s="582" t="s">
        <v>365</v>
      </c>
      <c r="AG75" s="583"/>
      <c r="AH75" s="584"/>
      <c r="AI75" s="583"/>
      <c r="AJ75" s="585"/>
      <c r="AK75" s="583"/>
      <c r="AL75" s="584"/>
      <c r="AM75" s="583"/>
      <c r="AN75" s="585"/>
      <c r="AO75" s="583"/>
      <c r="AP75" s="584"/>
      <c r="AQ75" s="583"/>
      <c r="AR75" s="585"/>
      <c r="AS75" s="583"/>
      <c r="AT75" s="584"/>
      <c r="AU75" s="583"/>
      <c r="AV75" s="585"/>
      <c r="AW75" s="583"/>
      <c r="AX75" s="584"/>
      <c r="AY75" s="583"/>
      <c r="AZ75" s="585"/>
      <c r="BA75" s="583"/>
      <c r="BB75" s="584"/>
      <c r="BC75" s="583"/>
      <c r="BD75" s="585"/>
      <c r="BE75" s="583"/>
      <c r="BF75" s="584"/>
      <c r="BG75" s="583"/>
      <c r="BH75" s="585"/>
      <c r="BI75" s="583"/>
      <c r="BJ75" s="584"/>
      <c r="BK75" s="583"/>
      <c r="BL75" s="585"/>
      <c r="BM75" s="583"/>
      <c r="BN75" s="584"/>
      <c r="BO75" s="583"/>
      <c r="BP75" s="585"/>
      <c r="BQ75" s="583"/>
      <c r="BR75" s="584"/>
      <c r="BS75" s="583"/>
      <c r="BT75" s="586"/>
      <c r="BU75" s="540"/>
      <c r="BV75" s="540"/>
      <c r="BW75" s="540"/>
      <c r="BX75" s="538"/>
      <c r="BY75" s="538"/>
      <c r="BZ75" s="592"/>
      <c r="CA75" s="633"/>
      <c r="CB75" s="592" t="s">
        <v>365</v>
      </c>
      <c r="CC75" s="592">
        <v>0.0</v>
      </c>
      <c r="CD75" s="592" t="s">
        <v>365</v>
      </c>
      <c r="CE75" s="592">
        <v>0.0</v>
      </c>
      <c r="CF75" s="592"/>
      <c r="CG75" s="592">
        <v>0.0</v>
      </c>
      <c r="CH75" s="592"/>
      <c r="CI75" s="633"/>
      <c r="CJ75" s="592">
        <v>0.0</v>
      </c>
      <c r="CK75" s="479" t="s">
        <v>365</v>
      </c>
      <c r="CL75" s="592"/>
      <c r="CM75" s="593"/>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c r="DS75" s="538"/>
      <c r="DT75" s="538"/>
      <c r="DU75" s="538"/>
      <c r="DV75" s="538"/>
      <c r="DW75" s="538"/>
      <c r="DX75" s="538"/>
      <c r="DY75" s="538"/>
      <c r="DZ75" s="538"/>
      <c r="EA75" s="538"/>
      <c r="EB75" s="538"/>
      <c r="EC75" s="538"/>
      <c r="ED75" s="538"/>
      <c r="EE75" s="538"/>
      <c r="EF75" s="538"/>
      <c r="EG75" s="538"/>
      <c r="EH75" s="538"/>
      <c r="EI75" s="538"/>
      <c r="EJ75" s="538"/>
      <c r="EK75" s="538"/>
      <c r="EL75" s="538"/>
      <c r="EM75" s="538"/>
      <c r="EN75" s="538"/>
      <c r="EO75" s="538"/>
      <c r="EP75" s="538"/>
      <c r="EQ75" s="538"/>
      <c r="ER75" s="538"/>
      <c r="ES75" s="538"/>
      <c r="ET75" s="538"/>
      <c r="EU75" s="538"/>
      <c r="EV75" s="538"/>
      <c r="EW75" s="538"/>
      <c r="EX75" s="559"/>
      <c r="EY75" s="559"/>
      <c r="EZ75" s="559"/>
      <c r="FA75" s="559"/>
      <c r="FB75" s="559"/>
      <c r="FC75" s="559"/>
      <c r="FD75" s="559"/>
      <c r="FE75" s="559"/>
      <c r="FF75" s="559"/>
      <c r="FG75" s="559"/>
      <c r="FH75" s="559"/>
      <c r="FI75" s="559"/>
      <c r="FJ75" s="559"/>
      <c r="FK75" s="559"/>
      <c r="FL75" s="559"/>
      <c r="FM75" s="559"/>
      <c r="FN75" s="559"/>
      <c r="FO75" s="559"/>
      <c r="FP75" s="559"/>
      <c r="FQ75" s="559"/>
      <c r="FR75" s="559"/>
      <c r="FS75" s="559"/>
      <c r="FT75" s="559"/>
      <c r="FU75" s="559"/>
      <c r="FV75" s="559"/>
      <c r="FW75" s="559"/>
      <c r="FX75" s="559"/>
      <c r="FY75" s="559"/>
      <c r="FZ75" s="559"/>
      <c r="GA75" s="559"/>
      <c r="GB75" s="559"/>
      <c r="GC75" s="559"/>
      <c r="GD75" s="559"/>
      <c r="GE75" s="559"/>
      <c r="GF75" s="559"/>
      <c r="GG75" s="559"/>
      <c r="GH75" s="559"/>
    </row>
    <row r="76">
      <c r="A76" s="538"/>
      <c r="B76" s="156"/>
      <c r="C76" s="444"/>
      <c r="D76" s="614"/>
      <c r="E76" s="606"/>
      <c r="F76" s="563"/>
      <c r="G76" s="563"/>
      <c r="H76" s="564"/>
      <c r="I76" s="622" t="s">
        <v>365</v>
      </c>
      <c r="J76" s="607"/>
      <c r="K76" s="641"/>
      <c r="L76" s="628"/>
      <c r="M76" s="626"/>
      <c r="N76" s="619"/>
      <c r="O76" s="623"/>
      <c r="P76" s="47"/>
      <c r="Q76" s="47"/>
      <c r="S76" s="572"/>
      <c r="U76" s="573"/>
      <c r="V76" s="574"/>
      <c r="W76" s="618"/>
      <c r="X76" s="576">
        <v>0.0</v>
      </c>
      <c r="Y76" s="630">
        <v>0.0</v>
      </c>
      <c r="Z76" s="630" t="s">
        <v>365</v>
      </c>
      <c r="AA76" s="631" t="b">
        <v>0</v>
      </c>
      <c r="AB76" s="631"/>
      <c r="AC76" s="576"/>
      <c r="AD76" s="479">
        <v>0.0</v>
      </c>
      <c r="AE76" s="632"/>
      <c r="AF76" s="582" t="s">
        <v>365</v>
      </c>
      <c r="AG76" s="583"/>
      <c r="AH76" s="584"/>
      <c r="AI76" s="583"/>
      <c r="AJ76" s="585"/>
      <c r="AK76" s="583"/>
      <c r="AL76" s="584"/>
      <c r="AM76" s="583"/>
      <c r="AN76" s="585"/>
      <c r="AO76" s="583"/>
      <c r="AP76" s="584"/>
      <c r="AQ76" s="583"/>
      <c r="AR76" s="585"/>
      <c r="AS76" s="583"/>
      <c r="AT76" s="584"/>
      <c r="AU76" s="583"/>
      <c r="AV76" s="585"/>
      <c r="AW76" s="583"/>
      <c r="AX76" s="584"/>
      <c r="AY76" s="583"/>
      <c r="AZ76" s="585"/>
      <c r="BA76" s="583"/>
      <c r="BB76" s="584"/>
      <c r="BC76" s="583"/>
      <c r="BD76" s="585"/>
      <c r="BE76" s="583"/>
      <c r="BF76" s="584"/>
      <c r="BG76" s="583"/>
      <c r="BH76" s="585"/>
      <c r="BI76" s="583"/>
      <c r="BJ76" s="584"/>
      <c r="BK76" s="583"/>
      <c r="BL76" s="585"/>
      <c r="BM76" s="583"/>
      <c r="BN76" s="584"/>
      <c r="BO76" s="583"/>
      <c r="BP76" s="585"/>
      <c r="BQ76" s="583"/>
      <c r="BR76" s="584"/>
      <c r="BS76" s="583"/>
      <c r="BT76" s="586"/>
      <c r="BU76" s="540"/>
      <c r="BV76" s="540"/>
      <c r="BW76" s="540"/>
      <c r="BX76" s="538"/>
      <c r="BY76" s="538"/>
      <c r="BZ76" s="592"/>
      <c r="CA76" s="633"/>
      <c r="CB76" s="592" t="s">
        <v>365</v>
      </c>
      <c r="CC76" s="592">
        <v>0.0</v>
      </c>
      <c r="CD76" s="592" t="s">
        <v>365</v>
      </c>
      <c r="CE76" s="592">
        <v>0.0</v>
      </c>
      <c r="CF76" s="592"/>
      <c r="CG76" s="592">
        <v>0.0</v>
      </c>
      <c r="CH76" s="592"/>
      <c r="CI76" s="633"/>
      <c r="CJ76" s="592">
        <v>0.0</v>
      </c>
      <c r="CK76" s="479" t="s">
        <v>365</v>
      </c>
      <c r="CL76" s="592"/>
      <c r="CM76" s="593"/>
      <c r="CN76" s="538"/>
      <c r="CO76" s="538"/>
      <c r="CP76" s="538"/>
      <c r="CQ76" s="538"/>
      <c r="CR76" s="538"/>
      <c r="CS76" s="538"/>
      <c r="CT76" s="538"/>
      <c r="CU76" s="538"/>
      <c r="CV76" s="538"/>
      <c r="CW76" s="538"/>
      <c r="CX76" s="538"/>
      <c r="CY76" s="538"/>
      <c r="CZ76" s="538"/>
      <c r="DA76" s="538"/>
      <c r="DB76" s="538"/>
      <c r="DC76" s="538"/>
      <c r="DD76" s="538"/>
      <c r="DE76" s="538"/>
      <c r="DF76" s="538"/>
      <c r="DG76" s="538"/>
      <c r="DH76" s="538"/>
      <c r="DI76" s="538"/>
      <c r="DJ76" s="538"/>
      <c r="DK76" s="538"/>
      <c r="DL76" s="538"/>
      <c r="DM76" s="538"/>
      <c r="DN76" s="538"/>
      <c r="DO76" s="538"/>
      <c r="DP76" s="538"/>
      <c r="DQ76" s="538"/>
      <c r="DR76" s="538"/>
      <c r="DS76" s="538"/>
      <c r="DT76" s="538"/>
      <c r="DU76" s="538"/>
      <c r="DV76" s="538"/>
      <c r="DW76" s="538"/>
      <c r="DX76" s="538"/>
      <c r="DY76" s="538"/>
      <c r="DZ76" s="538"/>
      <c r="EA76" s="538"/>
      <c r="EB76" s="538"/>
      <c r="EC76" s="538"/>
      <c r="ED76" s="538"/>
      <c r="EE76" s="538"/>
      <c r="EF76" s="538"/>
      <c r="EG76" s="538"/>
      <c r="EH76" s="538"/>
      <c r="EI76" s="538"/>
      <c r="EJ76" s="538"/>
      <c r="EK76" s="538"/>
      <c r="EL76" s="538"/>
      <c r="EM76" s="538"/>
      <c r="EN76" s="538"/>
      <c r="EO76" s="538"/>
      <c r="EP76" s="538"/>
      <c r="EQ76" s="538"/>
      <c r="ER76" s="538"/>
      <c r="ES76" s="538"/>
      <c r="ET76" s="538"/>
      <c r="EU76" s="538"/>
      <c r="EV76" s="538"/>
      <c r="EW76" s="538"/>
      <c r="EX76" s="559"/>
      <c r="EY76" s="559"/>
      <c r="EZ76" s="559"/>
      <c r="FA76" s="559"/>
      <c r="FB76" s="559"/>
      <c r="FC76" s="559"/>
      <c r="FD76" s="559"/>
      <c r="FE76" s="559"/>
      <c r="FF76" s="559"/>
      <c r="FG76" s="559"/>
      <c r="FH76" s="559"/>
      <c r="FI76" s="559"/>
      <c r="FJ76" s="559"/>
      <c r="FK76" s="559"/>
      <c r="FL76" s="559"/>
      <c r="FM76" s="559"/>
      <c r="FN76" s="559"/>
      <c r="FO76" s="559"/>
      <c r="FP76" s="559"/>
      <c r="FQ76" s="559"/>
      <c r="FR76" s="559"/>
      <c r="FS76" s="559"/>
      <c r="FT76" s="559"/>
      <c r="FU76" s="559"/>
      <c r="FV76" s="559"/>
      <c r="FW76" s="559"/>
      <c r="FX76" s="559"/>
      <c r="FY76" s="559"/>
      <c r="FZ76" s="559"/>
      <c r="GA76" s="559"/>
      <c r="GB76" s="559"/>
      <c r="GC76" s="559"/>
      <c r="GD76" s="559"/>
      <c r="GE76" s="559"/>
      <c r="GF76" s="559"/>
      <c r="GG76" s="559"/>
      <c r="GH76" s="559"/>
    </row>
    <row r="77">
      <c r="A77" s="538"/>
      <c r="B77" s="156"/>
      <c r="C77" s="444"/>
      <c r="D77" s="614"/>
      <c r="E77" s="595"/>
      <c r="F77" s="596"/>
      <c r="G77" s="596"/>
      <c r="H77" s="615"/>
      <c r="I77" s="616" t="s">
        <v>365</v>
      </c>
      <c r="J77" s="624"/>
      <c r="K77" s="600"/>
      <c r="L77" s="601"/>
      <c r="M77" s="625"/>
      <c r="N77" s="617"/>
      <c r="O77" s="621"/>
      <c r="P77" s="57"/>
      <c r="Q77" s="57"/>
      <c r="S77" s="605"/>
      <c r="U77" s="573"/>
      <c r="V77" s="574"/>
      <c r="W77" s="618"/>
      <c r="X77" s="576">
        <v>0.0</v>
      </c>
      <c r="Y77" s="630">
        <v>0.0</v>
      </c>
      <c r="Z77" s="630" t="s">
        <v>365</v>
      </c>
      <c r="AA77" s="631" t="b">
        <v>0</v>
      </c>
      <c r="AB77" s="631"/>
      <c r="AC77" s="576"/>
      <c r="AD77" s="479">
        <v>0.0</v>
      </c>
      <c r="AE77" s="632"/>
      <c r="AF77" s="582" t="s">
        <v>365</v>
      </c>
      <c r="AG77" s="583"/>
      <c r="AH77" s="584"/>
      <c r="AI77" s="583"/>
      <c r="AJ77" s="585"/>
      <c r="AK77" s="583"/>
      <c r="AL77" s="584"/>
      <c r="AM77" s="583"/>
      <c r="AN77" s="585"/>
      <c r="AO77" s="583"/>
      <c r="AP77" s="584"/>
      <c r="AQ77" s="583"/>
      <c r="AR77" s="585"/>
      <c r="AS77" s="583"/>
      <c r="AT77" s="584"/>
      <c r="AU77" s="583"/>
      <c r="AV77" s="585"/>
      <c r="AW77" s="583"/>
      <c r="AX77" s="584"/>
      <c r="AY77" s="583"/>
      <c r="AZ77" s="585"/>
      <c r="BA77" s="583"/>
      <c r="BB77" s="584"/>
      <c r="BC77" s="583"/>
      <c r="BD77" s="585"/>
      <c r="BE77" s="583"/>
      <c r="BF77" s="584"/>
      <c r="BG77" s="583"/>
      <c r="BH77" s="585"/>
      <c r="BI77" s="583"/>
      <c r="BJ77" s="584"/>
      <c r="BK77" s="583"/>
      <c r="BL77" s="585"/>
      <c r="BM77" s="583"/>
      <c r="BN77" s="584"/>
      <c r="BO77" s="583"/>
      <c r="BP77" s="585"/>
      <c r="BQ77" s="583"/>
      <c r="BR77" s="584"/>
      <c r="BS77" s="583"/>
      <c r="BT77" s="586"/>
      <c r="BU77" s="540"/>
      <c r="BV77" s="540"/>
      <c r="BW77" s="540"/>
      <c r="BX77" s="538"/>
      <c r="BY77" s="538"/>
      <c r="BZ77" s="592"/>
      <c r="CA77" s="633"/>
      <c r="CB77" s="592" t="s">
        <v>365</v>
      </c>
      <c r="CC77" s="592">
        <v>0.0</v>
      </c>
      <c r="CD77" s="592" t="s">
        <v>365</v>
      </c>
      <c r="CE77" s="592">
        <v>0.0</v>
      </c>
      <c r="CF77" s="592"/>
      <c r="CG77" s="592">
        <v>0.0</v>
      </c>
      <c r="CH77" s="592"/>
      <c r="CI77" s="633"/>
      <c r="CJ77" s="592">
        <v>0.0</v>
      </c>
      <c r="CK77" s="479" t="s">
        <v>365</v>
      </c>
      <c r="CL77" s="592"/>
      <c r="CM77" s="593"/>
      <c r="CN77" s="538"/>
      <c r="CO77" s="538"/>
      <c r="CP77" s="538"/>
      <c r="CQ77" s="538"/>
      <c r="CR77" s="538"/>
      <c r="CS77" s="538"/>
      <c r="CT77" s="538"/>
      <c r="CU77" s="538"/>
      <c r="CV77" s="538"/>
      <c r="CW77" s="538"/>
      <c r="CX77" s="538"/>
      <c r="CY77" s="538"/>
      <c r="CZ77" s="538"/>
      <c r="DA77" s="538"/>
      <c r="DB77" s="538"/>
      <c r="DC77" s="538"/>
      <c r="DD77" s="538"/>
      <c r="DE77" s="538"/>
      <c r="DF77" s="538"/>
      <c r="DG77" s="538"/>
      <c r="DH77" s="538"/>
      <c r="DI77" s="538"/>
      <c r="DJ77" s="538"/>
      <c r="DK77" s="538"/>
      <c r="DL77" s="538"/>
      <c r="DM77" s="538"/>
      <c r="DN77" s="538"/>
      <c r="DO77" s="538"/>
      <c r="DP77" s="538"/>
      <c r="DQ77" s="538"/>
      <c r="DR77" s="538"/>
      <c r="DS77" s="538"/>
      <c r="DT77" s="538"/>
      <c r="DU77" s="538"/>
      <c r="DV77" s="538"/>
      <c r="DW77" s="538"/>
      <c r="DX77" s="538"/>
      <c r="DY77" s="538"/>
      <c r="DZ77" s="538"/>
      <c r="EA77" s="538"/>
      <c r="EB77" s="538"/>
      <c r="EC77" s="538"/>
      <c r="ED77" s="538"/>
      <c r="EE77" s="538"/>
      <c r="EF77" s="538"/>
      <c r="EG77" s="538"/>
      <c r="EH77" s="538"/>
      <c r="EI77" s="538"/>
      <c r="EJ77" s="538"/>
      <c r="EK77" s="538"/>
      <c r="EL77" s="538"/>
      <c r="EM77" s="538"/>
      <c r="EN77" s="538"/>
      <c r="EO77" s="538"/>
      <c r="EP77" s="538"/>
      <c r="EQ77" s="538"/>
      <c r="ER77" s="538"/>
      <c r="ES77" s="538"/>
      <c r="ET77" s="538"/>
      <c r="EU77" s="538"/>
      <c r="EV77" s="538"/>
      <c r="EW77" s="538"/>
      <c r="EX77" s="559"/>
      <c r="EY77" s="559"/>
      <c r="EZ77" s="559"/>
      <c r="FA77" s="559"/>
      <c r="FB77" s="559"/>
      <c r="FC77" s="559"/>
      <c r="FD77" s="559"/>
      <c r="FE77" s="559"/>
      <c r="FF77" s="559"/>
      <c r="FG77" s="559"/>
      <c r="FH77" s="559"/>
      <c r="FI77" s="559"/>
      <c r="FJ77" s="559"/>
      <c r="FK77" s="559"/>
      <c r="FL77" s="559"/>
      <c r="FM77" s="559"/>
      <c r="FN77" s="559"/>
      <c r="FO77" s="559"/>
      <c r="FP77" s="559"/>
      <c r="FQ77" s="559"/>
      <c r="FR77" s="559"/>
      <c r="FS77" s="559"/>
      <c r="FT77" s="559"/>
      <c r="FU77" s="559"/>
      <c r="FV77" s="559"/>
      <c r="FW77" s="559"/>
      <c r="FX77" s="559"/>
      <c r="FY77" s="559"/>
      <c r="FZ77" s="559"/>
      <c r="GA77" s="559"/>
      <c r="GB77" s="559"/>
      <c r="GC77" s="559"/>
      <c r="GD77" s="559"/>
      <c r="GE77" s="559"/>
      <c r="GF77" s="559"/>
      <c r="GG77" s="559"/>
      <c r="GH77" s="559"/>
    </row>
    <row r="78">
      <c r="A78" s="538"/>
      <c r="B78" s="156"/>
      <c r="C78" s="444"/>
      <c r="D78" s="614"/>
      <c r="E78" s="606"/>
      <c r="F78" s="563"/>
      <c r="G78" s="563"/>
      <c r="H78" s="627"/>
      <c r="I78" s="622" t="s">
        <v>365</v>
      </c>
      <c r="J78" s="607"/>
      <c r="K78" s="567"/>
      <c r="L78" s="628"/>
      <c r="M78" s="626"/>
      <c r="N78" s="619"/>
      <c r="O78" s="623"/>
      <c r="P78" s="47"/>
      <c r="Q78" s="47"/>
      <c r="S78" s="572"/>
      <c r="U78" s="573"/>
      <c r="V78" s="574"/>
      <c r="W78" s="618"/>
      <c r="X78" s="576">
        <v>0.0</v>
      </c>
      <c r="Y78" s="630">
        <v>0.0</v>
      </c>
      <c r="Z78" s="630" t="s">
        <v>365</v>
      </c>
      <c r="AA78" s="631" t="b">
        <v>0</v>
      </c>
      <c r="AB78" s="631"/>
      <c r="AC78" s="576"/>
      <c r="AD78" s="479">
        <v>0.0</v>
      </c>
      <c r="AE78" s="632"/>
      <c r="AF78" s="582" t="s">
        <v>365</v>
      </c>
      <c r="AG78" s="583"/>
      <c r="AH78" s="584"/>
      <c r="AI78" s="583"/>
      <c r="AJ78" s="585"/>
      <c r="AK78" s="583"/>
      <c r="AL78" s="584"/>
      <c r="AM78" s="583"/>
      <c r="AN78" s="585"/>
      <c r="AO78" s="583"/>
      <c r="AP78" s="584"/>
      <c r="AQ78" s="583"/>
      <c r="AR78" s="585"/>
      <c r="AS78" s="583"/>
      <c r="AT78" s="584"/>
      <c r="AU78" s="583"/>
      <c r="AV78" s="585"/>
      <c r="AW78" s="583"/>
      <c r="AX78" s="584"/>
      <c r="AY78" s="583"/>
      <c r="AZ78" s="585"/>
      <c r="BA78" s="583"/>
      <c r="BB78" s="584"/>
      <c r="BC78" s="583"/>
      <c r="BD78" s="585"/>
      <c r="BE78" s="583"/>
      <c r="BF78" s="584"/>
      <c r="BG78" s="583"/>
      <c r="BH78" s="585"/>
      <c r="BI78" s="583"/>
      <c r="BJ78" s="584"/>
      <c r="BK78" s="583"/>
      <c r="BL78" s="585"/>
      <c r="BM78" s="583"/>
      <c r="BN78" s="584"/>
      <c r="BO78" s="583"/>
      <c r="BP78" s="585"/>
      <c r="BQ78" s="583"/>
      <c r="BR78" s="584"/>
      <c r="BS78" s="583"/>
      <c r="BT78" s="586"/>
      <c r="BU78" s="540"/>
      <c r="BV78" s="540"/>
      <c r="BW78" s="540"/>
      <c r="BX78" s="538"/>
      <c r="BY78" s="538"/>
      <c r="BZ78" s="592"/>
      <c r="CA78" s="633"/>
      <c r="CB78" s="592" t="s">
        <v>365</v>
      </c>
      <c r="CC78" s="592">
        <v>0.0</v>
      </c>
      <c r="CD78" s="592" t="s">
        <v>365</v>
      </c>
      <c r="CE78" s="592">
        <v>0.0</v>
      </c>
      <c r="CF78" s="592"/>
      <c r="CG78" s="592">
        <v>0.0</v>
      </c>
      <c r="CH78" s="592"/>
      <c r="CI78" s="633"/>
      <c r="CJ78" s="592">
        <v>0.0</v>
      </c>
      <c r="CK78" s="479" t="s">
        <v>365</v>
      </c>
      <c r="CL78" s="592"/>
      <c r="CM78" s="593"/>
      <c r="CN78" s="538"/>
      <c r="CO78" s="538"/>
      <c r="CP78" s="538"/>
      <c r="CQ78" s="538"/>
      <c r="CR78" s="538"/>
      <c r="CS78" s="538"/>
      <c r="CT78" s="538"/>
      <c r="CU78" s="538"/>
      <c r="CV78" s="538"/>
      <c r="CW78" s="538"/>
      <c r="CX78" s="538"/>
      <c r="CY78" s="538"/>
      <c r="CZ78" s="538"/>
      <c r="DA78" s="538"/>
      <c r="DB78" s="538"/>
      <c r="DC78" s="538"/>
      <c r="DD78" s="538"/>
      <c r="DE78" s="538"/>
      <c r="DF78" s="538"/>
      <c r="DG78" s="538"/>
      <c r="DH78" s="538"/>
      <c r="DI78" s="538"/>
      <c r="DJ78" s="538"/>
      <c r="DK78" s="538"/>
      <c r="DL78" s="538"/>
      <c r="DM78" s="538"/>
      <c r="DN78" s="538"/>
      <c r="DO78" s="538"/>
      <c r="DP78" s="538"/>
      <c r="DQ78" s="538"/>
      <c r="DR78" s="538"/>
      <c r="DS78" s="538"/>
      <c r="DT78" s="538"/>
      <c r="DU78" s="538"/>
      <c r="DV78" s="538"/>
      <c r="DW78" s="538"/>
      <c r="DX78" s="538"/>
      <c r="DY78" s="538"/>
      <c r="DZ78" s="538"/>
      <c r="EA78" s="538"/>
      <c r="EB78" s="538"/>
      <c r="EC78" s="538"/>
      <c r="ED78" s="538"/>
      <c r="EE78" s="538"/>
      <c r="EF78" s="538"/>
      <c r="EG78" s="538"/>
      <c r="EH78" s="538"/>
      <c r="EI78" s="538"/>
      <c r="EJ78" s="538"/>
      <c r="EK78" s="538"/>
      <c r="EL78" s="538"/>
      <c r="EM78" s="538"/>
      <c r="EN78" s="538"/>
      <c r="EO78" s="538"/>
      <c r="EP78" s="538"/>
      <c r="EQ78" s="538"/>
      <c r="ER78" s="538"/>
      <c r="ES78" s="538"/>
      <c r="ET78" s="538"/>
      <c r="EU78" s="538"/>
      <c r="EV78" s="538"/>
      <c r="EW78" s="538"/>
      <c r="EX78" s="559"/>
      <c r="EY78" s="559"/>
      <c r="EZ78" s="559"/>
      <c r="FA78" s="559"/>
      <c r="FB78" s="559"/>
      <c r="FC78" s="559"/>
      <c r="FD78" s="559"/>
      <c r="FE78" s="559"/>
      <c r="FF78" s="559"/>
      <c r="FG78" s="559"/>
      <c r="FH78" s="559"/>
      <c r="FI78" s="559"/>
      <c r="FJ78" s="559"/>
      <c r="FK78" s="559"/>
      <c r="FL78" s="559"/>
      <c r="FM78" s="559"/>
      <c r="FN78" s="559"/>
      <c r="FO78" s="559"/>
      <c r="FP78" s="559"/>
      <c r="FQ78" s="559"/>
      <c r="FR78" s="559"/>
      <c r="FS78" s="559"/>
      <c r="FT78" s="559"/>
      <c r="FU78" s="559"/>
      <c r="FV78" s="559"/>
      <c r="FW78" s="559"/>
      <c r="FX78" s="559"/>
      <c r="FY78" s="559"/>
      <c r="FZ78" s="559"/>
      <c r="GA78" s="559"/>
      <c r="GB78" s="559"/>
      <c r="GC78" s="559"/>
      <c r="GD78" s="559"/>
      <c r="GE78" s="559"/>
      <c r="GF78" s="559"/>
      <c r="GG78" s="559"/>
      <c r="GH78" s="559"/>
    </row>
    <row r="79">
      <c r="A79" s="538"/>
      <c r="B79" s="156"/>
      <c r="C79" s="444"/>
      <c r="D79" s="614"/>
      <c r="E79" s="595"/>
      <c r="F79" s="596"/>
      <c r="G79" s="596"/>
      <c r="H79" s="615"/>
      <c r="I79" s="616" t="s">
        <v>365</v>
      </c>
      <c r="J79" s="624"/>
      <c r="K79" s="600"/>
      <c r="L79" s="601"/>
      <c r="M79" s="625"/>
      <c r="N79" s="617"/>
      <c r="O79" s="621"/>
      <c r="P79" s="57"/>
      <c r="Q79" s="57"/>
      <c r="S79" s="605"/>
      <c r="U79" s="573"/>
      <c r="V79" s="574"/>
      <c r="W79" s="618"/>
      <c r="X79" s="576">
        <v>0.0</v>
      </c>
      <c r="Y79" s="630">
        <v>0.0</v>
      </c>
      <c r="Z79" s="630" t="s">
        <v>365</v>
      </c>
      <c r="AA79" s="631" t="b">
        <v>0</v>
      </c>
      <c r="AB79" s="631"/>
      <c r="AC79" s="576"/>
      <c r="AD79" s="479">
        <v>0.0</v>
      </c>
      <c r="AE79" s="632"/>
      <c r="AF79" s="582" t="s">
        <v>365</v>
      </c>
      <c r="AG79" s="583"/>
      <c r="AH79" s="584"/>
      <c r="AI79" s="583"/>
      <c r="AJ79" s="585"/>
      <c r="AK79" s="583"/>
      <c r="AL79" s="584"/>
      <c r="AM79" s="583"/>
      <c r="AN79" s="585"/>
      <c r="AO79" s="583"/>
      <c r="AP79" s="584"/>
      <c r="AQ79" s="583"/>
      <c r="AR79" s="585"/>
      <c r="AS79" s="583"/>
      <c r="AT79" s="584"/>
      <c r="AU79" s="583"/>
      <c r="AV79" s="585"/>
      <c r="AW79" s="583"/>
      <c r="AX79" s="584"/>
      <c r="AY79" s="583"/>
      <c r="AZ79" s="585"/>
      <c r="BA79" s="583"/>
      <c r="BB79" s="584"/>
      <c r="BC79" s="583"/>
      <c r="BD79" s="585"/>
      <c r="BE79" s="583"/>
      <c r="BF79" s="584"/>
      <c r="BG79" s="583"/>
      <c r="BH79" s="585"/>
      <c r="BI79" s="583"/>
      <c r="BJ79" s="584"/>
      <c r="BK79" s="583"/>
      <c r="BL79" s="585"/>
      <c r="BM79" s="583"/>
      <c r="BN79" s="584"/>
      <c r="BO79" s="583"/>
      <c r="BP79" s="585"/>
      <c r="BQ79" s="583"/>
      <c r="BR79" s="584"/>
      <c r="BS79" s="583"/>
      <c r="BT79" s="586"/>
      <c r="BU79" s="540"/>
      <c r="BV79" s="540"/>
      <c r="BW79" s="540"/>
      <c r="BX79" s="538"/>
      <c r="BY79" s="538"/>
      <c r="BZ79" s="592"/>
      <c r="CA79" s="633"/>
      <c r="CB79" s="592" t="s">
        <v>365</v>
      </c>
      <c r="CC79" s="592">
        <v>0.0</v>
      </c>
      <c r="CD79" s="592" t="s">
        <v>365</v>
      </c>
      <c r="CE79" s="592">
        <v>0.0</v>
      </c>
      <c r="CF79" s="592"/>
      <c r="CG79" s="592">
        <v>0.0</v>
      </c>
      <c r="CH79" s="592"/>
      <c r="CI79" s="633"/>
      <c r="CJ79" s="592">
        <v>0.0</v>
      </c>
      <c r="CK79" s="479" t="s">
        <v>365</v>
      </c>
      <c r="CL79" s="592"/>
      <c r="CM79" s="593"/>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c r="DS79" s="538"/>
      <c r="DT79" s="538"/>
      <c r="DU79" s="538"/>
      <c r="DV79" s="538"/>
      <c r="DW79" s="538"/>
      <c r="DX79" s="538"/>
      <c r="DY79" s="538"/>
      <c r="DZ79" s="538"/>
      <c r="EA79" s="538"/>
      <c r="EB79" s="538"/>
      <c r="EC79" s="538"/>
      <c r="ED79" s="538"/>
      <c r="EE79" s="538"/>
      <c r="EF79" s="538"/>
      <c r="EG79" s="538"/>
      <c r="EH79" s="538"/>
      <c r="EI79" s="538"/>
      <c r="EJ79" s="538"/>
      <c r="EK79" s="538"/>
      <c r="EL79" s="538"/>
      <c r="EM79" s="538"/>
      <c r="EN79" s="538"/>
      <c r="EO79" s="538"/>
      <c r="EP79" s="538"/>
      <c r="EQ79" s="538"/>
      <c r="ER79" s="538"/>
      <c r="ES79" s="538"/>
      <c r="ET79" s="538"/>
      <c r="EU79" s="538"/>
      <c r="EV79" s="538"/>
      <c r="EW79" s="538"/>
      <c r="EX79" s="559"/>
      <c r="EY79" s="559"/>
      <c r="EZ79" s="559"/>
      <c r="FA79" s="559"/>
      <c r="FB79" s="559"/>
      <c r="FC79" s="559"/>
      <c r="FD79" s="559"/>
      <c r="FE79" s="559"/>
      <c r="FF79" s="559"/>
      <c r="FG79" s="559"/>
      <c r="FH79" s="559"/>
      <c r="FI79" s="559"/>
      <c r="FJ79" s="559"/>
      <c r="FK79" s="559"/>
      <c r="FL79" s="559"/>
      <c r="FM79" s="559"/>
      <c r="FN79" s="559"/>
      <c r="FO79" s="559"/>
      <c r="FP79" s="559"/>
      <c r="FQ79" s="559"/>
      <c r="FR79" s="559"/>
      <c r="FS79" s="559"/>
      <c r="FT79" s="559"/>
      <c r="FU79" s="559"/>
      <c r="FV79" s="559"/>
      <c r="FW79" s="559"/>
      <c r="FX79" s="559"/>
      <c r="FY79" s="559"/>
      <c r="FZ79" s="559"/>
      <c r="GA79" s="559"/>
      <c r="GB79" s="559"/>
      <c r="GC79" s="559"/>
      <c r="GD79" s="559"/>
      <c r="GE79" s="559"/>
      <c r="GF79" s="559"/>
      <c r="GG79" s="559"/>
      <c r="GH79" s="559"/>
    </row>
    <row r="80">
      <c r="A80" s="538"/>
      <c r="B80" s="156"/>
      <c r="C80" s="444"/>
      <c r="D80" s="614"/>
      <c r="E80" s="606"/>
      <c r="F80" s="563"/>
      <c r="G80" s="563"/>
      <c r="H80" s="627"/>
      <c r="I80" s="622" t="s">
        <v>365</v>
      </c>
      <c r="J80" s="607"/>
      <c r="K80" s="567"/>
      <c r="L80" s="568"/>
      <c r="M80" s="626"/>
      <c r="N80" s="619"/>
      <c r="O80" s="623"/>
      <c r="P80" s="47"/>
      <c r="Q80" s="47"/>
      <c r="S80" s="572"/>
      <c r="U80" s="573"/>
      <c r="V80" s="574"/>
      <c r="W80" s="618"/>
      <c r="X80" s="576">
        <v>0.0</v>
      </c>
      <c r="Y80" s="630">
        <v>0.0</v>
      </c>
      <c r="Z80" s="630" t="s">
        <v>365</v>
      </c>
      <c r="AA80" s="631" t="b">
        <v>0</v>
      </c>
      <c r="AB80" s="631"/>
      <c r="AC80" s="576"/>
      <c r="AD80" s="479">
        <v>0.0</v>
      </c>
      <c r="AE80" s="632"/>
      <c r="AF80" s="582" t="s">
        <v>365</v>
      </c>
      <c r="AG80" s="583"/>
      <c r="AH80" s="584"/>
      <c r="AI80" s="583"/>
      <c r="AJ80" s="585"/>
      <c r="AK80" s="583"/>
      <c r="AL80" s="584"/>
      <c r="AM80" s="583"/>
      <c r="AN80" s="585"/>
      <c r="AO80" s="583"/>
      <c r="AP80" s="584"/>
      <c r="AQ80" s="583"/>
      <c r="AR80" s="585"/>
      <c r="AS80" s="583"/>
      <c r="AT80" s="584"/>
      <c r="AU80" s="583"/>
      <c r="AV80" s="585"/>
      <c r="AW80" s="583"/>
      <c r="AX80" s="584"/>
      <c r="AY80" s="583"/>
      <c r="AZ80" s="585"/>
      <c r="BA80" s="583"/>
      <c r="BB80" s="584"/>
      <c r="BC80" s="583"/>
      <c r="BD80" s="585"/>
      <c r="BE80" s="583"/>
      <c r="BF80" s="584"/>
      <c r="BG80" s="583"/>
      <c r="BH80" s="585"/>
      <c r="BI80" s="583"/>
      <c r="BJ80" s="584"/>
      <c r="BK80" s="583"/>
      <c r="BL80" s="585"/>
      <c r="BM80" s="583"/>
      <c r="BN80" s="584"/>
      <c r="BO80" s="583"/>
      <c r="BP80" s="585"/>
      <c r="BQ80" s="583"/>
      <c r="BR80" s="584"/>
      <c r="BS80" s="583"/>
      <c r="BT80" s="586"/>
      <c r="BU80" s="540"/>
      <c r="BV80" s="540"/>
      <c r="BW80" s="540"/>
      <c r="BX80" s="538"/>
      <c r="BY80" s="538"/>
      <c r="BZ80" s="592"/>
      <c r="CA80" s="633"/>
      <c r="CB80" s="592" t="s">
        <v>365</v>
      </c>
      <c r="CC80" s="592">
        <v>0.0</v>
      </c>
      <c r="CD80" s="592" t="s">
        <v>365</v>
      </c>
      <c r="CE80" s="592">
        <v>0.0</v>
      </c>
      <c r="CF80" s="592"/>
      <c r="CG80" s="592">
        <v>0.0</v>
      </c>
      <c r="CH80" s="592"/>
      <c r="CI80" s="633"/>
      <c r="CJ80" s="592">
        <v>0.0</v>
      </c>
      <c r="CK80" s="479" t="s">
        <v>365</v>
      </c>
      <c r="CL80" s="592"/>
      <c r="CM80" s="593"/>
      <c r="CN80" s="538"/>
      <c r="CO80" s="538"/>
      <c r="CP80" s="538"/>
      <c r="CQ80" s="538"/>
      <c r="CR80" s="538"/>
      <c r="CS80" s="538"/>
      <c r="CT80" s="538"/>
      <c r="CU80" s="538"/>
      <c r="CV80" s="538"/>
      <c r="CW80" s="538"/>
      <c r="CX80" s="538"/>
      <c r="CY80" s="538"/>
      <c r="CZ80" s="538"/>
      <c r="DA80" s="538"/>
      <c r="DB80" s="538"/>
      <c r="DC80" s="538"/>
      <c r="DD80" s="538"/>
      <c r="DE80" s="538"/>
      <c r="DF80" s="538"/>
      <c r="DG80" s="538"/>
      <c r="DH80" s="538"/>
      <c r="DI80" s="538"/>
      <c r="DJ80" s="538"/>
      <c r="DK80" s="538"/>
      <c r="DL80" s="538"/>
      <c r="DM80" s="538"/>
      <c r="DN80" s="538"/>
      <c r="DO80" s="538"/>
      <c r="DP80" s="538"/>
      <c r="DQ80" s="538"/>
      <c r="DR80" s="538"/>
      <c r="DS80" s="538"/>
      <c r="DT80" s="538"/>
      <c r="DU80" s="538"/>
      <c r="DV80" s="538"/>
      <c r="DW80" s="538"/>
      <c r="DX80" s="538"/>
      <c r="DY80" s="538"/>
      <c r="DZ80" s="538"/>
      <c r="EA80" s="538"/>
      <c r="EB80" s="538"/>
      <c r="EC80" s="538"/>
      <c r="ED80" s="538"/>
      <c r="EE80" s="538"/>
      <c r="EF80" s="538"/>
      <c r="EG80" s="538"/>
      <c r="EH80" s="538"/>
      <c r="EI80" s="538"/>
      <c r="EJ80" s="538"/>
      <c r="EK80" s="538"/>
      <c r="EL80" s="538"/>
      <c r="EM80" s="538"/>
      <c r="EN80" s="538"/>
      <c r="EO80" s="538"/>
      <c r="EP80" s="538"/>
      <c r="EQ80" s="538"/>
      <c r="ER80" s="538"/>
      <c r="ES80" s="538"/>
      <c r="ET80" s="538"/>
      <c r="EU80" s="538"/>
      <c r="EV80" s="538"/>
      <c r="EW80" s="538"/>
      <c r="EX80" s="559"/>
      <c r="EY80" s="559"/>
      <c r="EZ80" s="559"/>
      <c r="FA80" s="559"/>
      <c r="FB80" s="559"/>
      <c r="FC80" s="559"/>
      <c r="FD80" s="559"/>
      <c r="FE80" s="559"/>
      <c r="FF80" s="559"/>
      <c r="FG80" s="559"/>
      <c r="FH80" s="559"/>
      <c r="FI80" s="559"/>
      <c r="FJ80" s="559"/>
      <c r="FK80" s="559"/>
      <c r="FL80" s="559"/>
      <c r="FM80" s="559"/>
      <c r="FN80" s="559"/>
      <c r="FO80" s="559"/>
      <c r="FP80" s="559"/>
      <c r="FQ80" s="559"/>
      <c r="FR80" s="559"/>
      <c r="FS80" s="559"/>
      <c r="FT80" s="559"/>
      <c r="FU80" s="559"/>
      <c r="FV80" s="559"/>
      <c r="FW80" s="559"/>
      <c r="FX80" s="559"/>
      <c r="FY80" s="559"/>
      <c r="FZ80" s="559"/>
      <c r="GA80" s="559"/>
      <c r="GB80" s="559"/>
      <c r="GC80" s="559"/>
      <c r="GD80" s="559"/>
      <c r="GE80" s="559"/>
      <c r="GF80" s="559"/>
      <c r="GG80" s="559"/>
      <c r="GH80" s="559"/>
    </row>
    <row r="81">
      <c r="A81" s="538"/>
      <c r="B81" s="156"/>
      <c r="C81" s="444"/>
      <c r="D81" s="614"/>
      <c r="E81" s="66"/>
      <c r="F81" s="642"/>
      <c r="G81" s="642"/>
      <c r="H81" s="615"/>
      <c r="I81" s="616" t="s">
        <v>365</v>
      </c>
      <c r="J81" s="624"/>
      <c r="K81" s="643"/>
      <c r="L81" s="640"/>
      <c r="M81" s="625"/>
      <c r="N81" s="617"/>
      <c r="O81" s="621"/>
      <c r="P81" s="57"/>
      <c r="Q81" s="57"/>
      <c r="S81" s="605"/>
      <c r="U81" s="573"/>
      <c r="V81" s="574"/>
      <c r="W81" s="618"/>
      <c r="X81" s="576">
        <v>0.0</v>
      </c>
      <c r="Y81" s="630">
        <v>0.0</v>
      </c>
      <c r="Z81" s="630" t="s">
        <v>365</v>
      </c>
      <c r="AA81" s="631" t="b">
        <v>0</v>
      </c>
      <c r="AB81" s="631"/>
      <c r="AC81" s="576"/>
      <c r="AD81" s="479">
        <v>0.0</v>
      </c>
      <c r="AE81" s="632"/>
      <c r="AF81" s="582" t="s">
        <v>365</v>
      </c>
      <c r="AG81" s="583"/>
      <c r="AH81" s="584"/>
      <c r="AI81" s="583"/>
      <c r="AJ81" s="585"/>
      <c r="AK81" s="583"/>
      <c r="AL81" s="584"/>
      <c r="AM81" s="583"/>
      <c r="AN81" s="585"/>
      <c r="AO81" s="583"/>
      <c r="AP81" s="584"/>
      <c r="AQ81" s="583"/>
      <c r="AR81" s="585"/>
      <c r="AS81" s="583"/>
      <c r="AT81" s="584"/>
      <c r="AU81" s="583"/>
      <c r="AV81" s="585"/>
      <c r="AW81" s="583"/>
      <c r="AX81" s="584"/>
      <c r="AY81" s="583"/>
      <c r="AZ81" s="585"/>
      <c r="BA81" s="583"/>
      <c r="BB81" s="584"/>
      <c r="BC81" s="583"/>
      <c r="BD81" s="585"/>
      <c r="BE81" s="583"/>
      <c r="BF81" s="584"/>
      <c r="BG81" s="583"/>
      <c r="BH81" s="585"/>
      <c r="BI81" s="583"/>
      <c r="BJ81" s="584"/>
      <c r="BK81" s="583"/>
      <c r="BL81" s="585"/>
      <c r="BM81" s="583"/>
      <c r="BN81" s="584"/>
      <c r="BO81" s="583"/>
      <c r="BP81" s="585"/>
      <c r="BQ81" s="583"/>
      <c r="BR81" s="584"/>
      <c r="BS81" s="583"/>
      <c r="BT81" s="586"/>
      <c r="BU81" s="540"/>
      <c r="BV81" s="540"/>
      <c r="BW81" s="540"/>
      <c r="BX81" s="538"/>
      <c r="BY81" s="538"/>
      <c r="BZ81" s="592"/>
      <c r="CA81" s="633"/>
      <c r="CB81" s="592" t="s">
        <v>365</v>
      </c>
      <c r="CC81" s="592">
        <v>0.0</v>
      </c>
      <c r="CD81" s="592" t="s">
        <v>365</v>
      </c>
      <c r="CE81" s="592">
        <v>0.0</v>
      </c>
      <c r="CF81" s="592"/>
      <c r="CG81" s="592">
        <v>0.0</v>
      </c>
      <c r="CH81" s="592"/>
      <c r="CI81" s="633"/>
      <c r="CJ81" s="592">
        <v>0.0</v>
      </c>
      <c r="CK81" s="479" t="s">
        <v>365</v>
      </c>
      <c r="CL81" s="592"/>
      <c r="CM81" s="593"/>
      <c r="CN81" s="538"/>
      <c r="CO81" s="538"/>
      <c r="CP81" s="538"/>
      <c r="CQ81" s="538"/>
      <c r="CR81" s="538"/>
      <c r="CS81" s="538"/>
      <c r="CT81" s="538"/>
      <c r="CU81" s="538"/>
      <c r="CV81" s="538"/>
      <c r="CW81" s="538"/>
      <c r="CX81" s="538"/>
      <c r="CY81" s="538"/>
      <c r="CZ81" s="538"/>
      <c r="DA81" s="538"/>
      <c r="DB81" s="538"/>
      <c r="DC81" s="538"/>
      <c r="DD81" s="538"/>
      <c r="DE81" s="538"/>
      <c r="DF81" s="538"/>
      <c r="DG81" s="538"/>
      <c r="DH81" s="538"/>
      <c r="DI81" s="538"/>
      <c r="DJ81" s="538"/>
      <c r="DK81" s="538"/>
      <c r="DL81" s="538"/>
      <c r="DM81" s="538"/>
      <c r="DN81" s="538"/>
      <c r="DO81" s="538"/>
      <c r="DP81" s="538"/>
      <c r="DQ81" s="538"/>
      <c r="DR81" s="538"/>
      <c r="DS81" s="538"/>
      <c r="DT81" s="538"/>
      <c r="DU81" s="538"/>
      <c r="DV81" s="538"/>
      <c r="DW81" s="538"/>
      <c r="DX81" s="538"/>
      <c r="DY81" s="538"/>
      <c r="DZ81" s="538"/>
      <c r="EA81" s="538"/>
      <c r="EB81" s="538"/>
      <c r="EC81" s="538"/>
      <c r="ED81" s="538"/>
      <c r="EE81" s="538"/>
      <c r="EF81" s="538"/>
      <c r="EG81" s="538"/>
      <c r="EH81" s="538"/>
      <c r="EI81" s="538"/>
      <c r="EJ81" s="538"/>
      <c r="EK81" s="538"/>
      <c r="EL81" s="538"/>
      <c r="EM81" s="538"/>
      <c r="EN81" s="538"/>
      <c r="EO81" s="538"/>
      <c r="EP81" s="538"/>
      <c r="EQ81" s="538"/>
      <c r="ER81" s="538"/>
      <c r="ES81" s="538"/>
      <c r="ET81" s="538"/>
      <c r="EU81" s="538"/>
      <c r="EV81" s="538"/>
      <c r="EW81" s="538"/>
      <c r="EX81" s="559"/>
      <c r="EY81" s="559"/>
      <c r="EZ81" s="559"/>
      <c r="FA81" s="559"/>
      <c r="FB81" s="559"/>
      <c r="FC81" s="559"/>
      <c r="FD81" s="559"/>
      <c r="FE81" s="559"/>
      <c r="FF81" s="559"/>
      <c r="FG81" s="559"/>
      <c r="FH81" s="559"/>
      <c r="FI81" s="559"/>
      <c r="FJ81" s="559"/>
      <c r="FK81" s="559"/>
      <c r="FL81" s="559"/>
      <c r="FM81" s="559"/>
      <c r="FN81" s="559"/>
      <c r="FO81" s="559"/>
      <c r="FP81" s="559"/>
      <c r="FQ81" s="559"/>
      <c r="FR81" s="559"/>
      <c r="FS81" s="559"/>
      <c r="FT81" s="559"/>
      <c r="FU81" s="559"/>
      <c r="FV81" s="559"/>
      <c r="FW81" s="559"/>
      <c r="FX81" s="559"/>
      <c r="FY81" s="559"/>
      <c r="FZ81" s="559"/>
      <c r="GA81" s="559"/>
      <c r="GB81" s="559"/>
      <c r="GC81" s="559"/>
      <c r="GD81" s="559"/>
      <c r="GE81" s="559"/>
      <c r="GF81" s="559"/>
      <c r="GG81" s="559"/>
      <c r="GH81" s="559"/>
    </row>
    <row r="82">
      <c r="A82" s="538"/>
      <c r="B82" s="156"/>
      <c r="C82" s="444"/>
      <c r="D82" s="614"/>
      <c r="E82" s="606"/>
      <c r="F82" s="644"/>
      <c r="G82" s="644"/>
      <c r="H82" s="627"/>
      <c r="I82" s="622" t="s">
        <v>365</v>
      </c>
      <c r="J82" s="607"/>
      <c r="K82" s="641"/>
      <c r="L82" s="628"/>
      <c r="M82" s="626"/>
      <c r="N82" s="619"/>
      <c r="O82" s="623"/>
      <c r="P82" s="47"/>
      <c r="Q82" s="47"/>
      <c r="S82" s="572"/>
      <c r="U82" s="573"/>
      <c r="V82" s="574"/>
      <c r="W82" s="618"/>
      <c r="X82" s="576">
        <v>0.0</v>
      </c>
      <c r="Y82" s="630">
        <v>0.0</v>
      </c>
      <c r="Z82" s="630" t="s">
        <v>365</v>
      </c>
      <c r="AA82" s="631" t="b">
        <v>0</v>
      </c>
      <c r="AB82" s="631"/>
      <c r="AC82" s="576"/>
      <c r="AD82" s="479">
        <v>0.0</v>
      </c>
      <c r="AE82" s="632"/>
      <c r="AF82" s="582" t="s">
        <v>365</v>
      </c>
      <c r="AG82" s="583"/>
      <c r="AH82" s="584"/>
      <c r="AI82" s="583"/>
      <c r="AJ82" s="585"/>
      <c r="AK82" s="583"/>
      <c r="AL82" s="584"/>
      <c r="AM82" s="583"/>
      <c r="AN82" s="585"/>
      <c r="AO82" s="583"/>
      <c r="AP82" s="584"/>
      <c r="AQ82" s="583"/>
      <c r="AR82" s="585"/>
      <c r="AS82" s="583"/>
      <c r="AT82" s="584"/>
      <c r="AU82" s="583"/>
      <c r="AV82" s="585"/>
      <c r="AW82" s="583"/>
      <c r="AX82" s="584"/>
      <c r="AY82" s="583"/>
      <c r="AZ82" s="585"/>
      <c r="BA82" s="583"/>
      <c r="BB82" s="584"/>
      <c r="BC82" s="583"/>
      <c r="BD82" s="585"/>
      <c r="BE82" s="583"/>
      <c r="BF82" s="584"/>
      <c r="BG82" s="583"/>
      <c r="BH82" s="585"/>
      <c r="BI82" s="583"/>
      <c r="BJ82" s="584"/>
      <c r="BK82" s="583"/>
      <c r="BL82" s="585"/>
      <c r="BM82" s="583"/>
      <c r="BN82" s="584"/>
      <c r="BO82" s="583"/>
      <c r="BP82" s="585"/>
      <c r="BQ82" s="583"/>
      <c r="BR82" s="584"/>
      <c r="BS82" s="583"/>
      <c r="BT82" s="586"/>
      <c r="BU82" s="540"/>
      <c r="BV82" s="540"/>
      <c r="BW82" s="540"/>
      <c r="BX82" s="538"/>
      <c r="BY82" s="538"/>
      <c r="BZ82" s="592"/>
      <c r="CA82" s="633"/>
      <c r="CB82" s="592" t="s">
        <v>365</v>
      </c>
      <c r="CC82" s="592">
        <v>0.0</v>
      </c>
      <c r="CD82" s="592" t="s">
        <v>365</v>
      </c>
      <c r="CE82" s="592">
        <v>0.0</v>
      </c>
      <c r="CF82" s="592"/>
      <c r="CG82" s="592">
        <v>0.0</v>
      </c>
      <c r="CH82" s="592"/>
      <c r="CI82" s="633"/>
      <c r="CJ82" s="592">
        <v>0.0</v>
      </c>
      <c r="CK82" s="479" t="s">
        <v>365</v>
      </c>
      <c r="CL82" s="592"/>
      <c r="CM82" s="593"/>
      <c r="CN82" s="538"/>
      <c r="CO82" s="538"/>
      <c r="CP82" s="538"/>
      <c r="CQ82" s="538"/>
      <c r="CR82" s="538"/>
      <c r="CS82" s="538"/>
      <c r="CT82" s="538"/>
      <c r="CU82" s="538"/>
      <c r="CV82" s="538"/>
      <c r="CW82" s="538"/>
      <c r="CX82" s="538"/>
      <c r="CY82" s="538"/>
      <c r="CZ82" s="538"/>
      <c r="DA82" s="538"/>
      <c r="DB82" s="538"/>
      <c r="DC82" s="538"/>
      <c r="DD82" s="538"/>
      <c r="DE82" s="538"/>
      <c r="DF82" s="538"/>
      <c r="DG82" s="538"/>
      <c r="DH82" s="538"/>
      <c r="DI82" s="538"/>
      <c r="DJ82" s="538"/>
      <c r="DK82" s="538"/>
      <c r="DL82" s="538"/>
      <c r="DM82" s="538"/>
      <c r="DN82" s="538"/>
      <c r="DO82" s="538"/>
      <c r="DP82" s="538"/>
      <c r="DQ82" s="538"/>
      <c r="DR82" s="538"/>
      <c r="DS82" s="538"/>
      <c r="DT82" s="538"/>
      <c r="DU82" s="538"/>
      <c r="DV82" s="538"/>
      <c r="DW82" s="538"/>
      <c r="DX82" s="538"/>
      <c r="DY82" s="538"/>
      <c r="DZ82" s="538"/>
      <c r="EA82" s="538"/>
      <c r="EB82" s="538"/>
      <c r="EC82" s="538"/>
      <c r="ED82" s="538"/>
      <c r="EE82" s="538"/>
      <c r="EF82" s="538"/>
      <c r="EG82" s="538"/>
      <c r="EH82" s="538"/>
      <c r="EI82" s="538"/>
      <c r="EJ82" s="538"/>
      <c r="EK82" s="538"/>
      <c r="EL82" s="538"/>
      <c r="EM82" s="538"/>
      <c r="EN82" s="538"/>
      <c r="EO82" s="538"/>
      <c r="EP82" s="538"/>
      <c r="EQ82" s="538"/>
      <c r="ER82" s="538"/>
      <c r="ES82" s="538"/>
      <c r="ET82" s="538"/>
      <c r="EU82" s="538"/>
      <c r="EV82" s="538"/>
      <c r="EW82" s="538"/>
      <c r="EX82" s="559"/>
      <c r="EY82" s="559"/>
      <c r="EZ82" s="559"/>
      <c r="FA82" s="559"/>
      <c r="FB82" s="559"/>
      <c r="FC82" s="559"/>
      <c r="FD82" s="559"/>
      <c r="FE82" s="559"/>
      <c r="FF82" s="559"/>
      <c r="FG82" s="559"/>
      <c r="FH82" s="559"/>
      <c r="FI82" s="559"/>
      <c r="FJ82" s="559"/>
      <c r="FK82" s="559"/>
      <c r="FL82" s="559"/>
      <c r="FM82" s="559"/>
      <c r="FN82" s="559"/>
      <c r="FO82" s="559"/>
      <c r="FP82" s="559"/>
      <c r="FQ82" s="559"/>
      <c r="FR82" s="559"/>
      <c r="FS82" s="559"/>
      <c r="FT82" s="559"/>
      <c r="FU82" s="559"/>
      <c r="FV82" s="559"/>
      <c r="FW82" s="559"/>
      <c r="FX82" s="559"/>
      <c r="FY82" s="559"/>
      <c r="FZ82" s="559"/>
      <c r="GA82" s="559"/>
      <c r="GB82" s="559"/>
      <c r="GC82" s="559"/>
      <c r="GD82" s="559"/>
      <c r="GE82" s="559"/>
      <c r="GF82" s="559"/>
      <c r="GG82" s="559"/>
      <c r="GH82" s="559"/>
    </row>
    <row r="83">
      <c r="A83" s="538"/>
      <c r="B83" s="156"/>
      <c r="C83" s="444"/>
      <c r="D83" s="614"/>
      <c r="E83" s="595"/>
      <c r="F83" s="596"/>
      <c r="G83" s="596"/>
      <c r="H83" s="597"/>
      <c r="I83" s="616" t="s">
        <v>365</v>
      </c>
      <c r="J83" s="624"/>
      <c r="K83" s="600"/>
      <c r="L83" s="601"/>
      <c r="M83" s="602"/>
      <c r="N83" s="603"/>
      <c r="O83" s="134"/>
      <c r="P83" s="57"/>
      <c r="Q83" s="57"/>
      <c r="S83" s="605"/>
      <c r="U83" s="573"/>
      <c r="V83" s="574"/>
      <c r="W83" s="618"/>
      <c r="X83" s="576">
        <v>0.0</v>
      </c>
      <c r="Y83" s="630">
        <v>0.0</v>
      </c>
      <c r="Z83" s="630" t="s">
        <v>365</v>
      </c>
      <c r="AA83" s="631" t="b">
        <v>0</v>
      </c>
      <c r="AB83" s="631"/>
      <c r="AC83" s="576"/>
      <c r="AD83" s="479">
        <v>0.0</v>
      </c>
      <c r="AE83" s="632"/>
      <c r="AF83" s="582" t="s">
        <v>365</v>
      </c>
      <c r="AG83" s="583"/>
      <c r="AH83" s="584"/>
      <c r="AI83" s="583"/>
      <c r="AJ83" s="585"/>
      <c r="AK83" s="583"/>
      <c r="AL83" s="584"/>
      <c r="AM83" s="583"/>
      <c r="AN83" s="585"/>
      <c r="AO83" s="583"/>
      <c r="AP83" s="584"/>
      <c r="AQ83" s="583"/>
      <c r="AR83" s="585"/>
      <c r="AS83" s="583"/>
      <c r="AT83" s="584"/>
      <c r="AU83" s="583"/>
      <c r="AV83" s="585"/>
      <c r="AW83" s="583"/>
      <c r="AX83" s="584"/>
      <c r="AY83" s="583"/>
      <c r="AZ83" s="585"/>
      <c r="BA83" s="583"/>
      <c r="BB83" s="584"/>
      <c r="BC83" s="583"/>
      <c r="BD83" s="585"/>
      <c r="BE83" s="583"/>
      <c r="BF83" s="584"/>
      <c r="BG83" s="583"/>
      <c r="BH83" s="585"/>
      <c r="BI83" s="583"/>
      <c r="BJ83" s="584"/>
      <c r="BK83" s="583"/>
      <c r="BL83" s="585"/>
      <c r="BM83" s="583"/>
      <c r="BN83" s="584"/>
      <c r="BO83" s="583"/>
      <c r="BP83" s="585"/>
      <c r="BQ83" s="583"/>
      <c r="BR83" s="584"/>
      <c r="BS83" s="583"/>
      <c r="BT83" s="586"/>
      <c r="BU83" s="540"/>
      <c r="BV83" s="540"/>
      <c r="BW83" s="540"/>
      <c r="BX83" s="538"/>
      <c r="BY83" s="538"/>
      <c r="BZ83" s="592"/>
      <c r="CA83" s="633"/>
      <c r="CB83" s="592" t="s">
        <v>365</v>
      </c>
      <c r="CC83" s="592">
        <v>0.0</v>
      </c>
      <c r="CD83" s="592" t="s">
        <v>365</v>
      </c>
      <c r="CE83" s="592">
        <v>0.0</v>
      </c>
      <c r="CF83" s="592"/>
      <c r="CG83" s="592">
        <v>0.0</v>
      </c>
      <c r="CH83" s="592"/>
      <c r="CI83" s="633"/>
      <c r="CJ83" s="592">
        <v>0.0</v>
      </c>
      <c r="CK83" s="479" t="s">
        <v>365</v>
      </c>
      <c r="CL83" s="592"/>
      <c r="CM83" s="593"/>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c r="DS83" s="538"/>
      <c r="DT83" s="538"/>
      <c r="DU83" s="538"/>
      <c r="DV83" s="538"/>
      <c r="DW83" s="538"/>
      <c r="DX83" s="538"/>
      <c r="DY83" s="538"/>
      <c r="DZ83" s="538"/>
      <c r="EA83" s="538"/>
      <c r="EB83" s="538"/>
      <c r="EC83" s="538"/>
      <c r="ED83" s="538"/>
      <c r="EE83" s="538"/>
      <c r="EF83" s="538"/>
      <c r="EG83" s="538"/>
      <c r="EH83" s="538"/>
      <c r="EI83" s="538"/>
      <c r="EJ83" s="538"/>
      <c r="EK83" s="538"/>
      <c r="EL83" s="538"/>
      <c r="EM83" s="538"/>
      <c r="EN83" s="538"/>
      <c r="EO83" s="538"/>
      <c r="EP83" s="538"/>
      <c r="EQ83" s="538"/>
      <c r="ER83" s="538"/>
      <c r="ES83" s="538"/>
      <c r="ET83" s="538"/>
      <c r="EU83" s="538"/>
      <c r="EV83" s="538"/>
      <c r="EW83" s="538"/>
      <c r="EX83" s="559"/>
      <c r="EY83" s="559"/>
      <c r="EZ83" s="559"/>
      <c r="FA83" s="559"/>
      <c r="FB83" s="559"/>
      <c r="FC83" s="559"/>
      <c r="FD83" s="559"/>
      <c r="FE83" s="559"/>
      <c r="FF83" s="559"/>
      <c r="FG83" s="559"/>
      <c r="FH83" s="559"/>
      <c r="FI83" s="559"/>
      <c r="FJ83" s="559"/>
      <c r="FK83" s="559"/>
      <c r="FL83" s="559"/>
      <c r="FM83" s="559"/>
      <c r="FN83" s="559"/>
      <c r="FO83" s="559"/>
      <c r="FP83" s="559"/>
      <c r="FQ83" s="559"/>
      <c r="FR83" s="559"/>
      <c r="FS83" s="559"/>
      <c r="FT83" s="559"/>
      <c r="FU83" s="559"/>
      <c r="FV83" s="559"/>
      <c r="FW83" s="559"/>
      <c r="FX83" s="559"/>
      <c r="FY83" s="559"/>
      <c r="FZ83" s="559"/>
      <c r="GA83" s="559"/>
      <c r="GB83" s="559"/>
      <c r="GC83" s="559"/>
      <c r="GD83" s="559"/>
      <c r="GE83" s="559"/>
      <c r="GF83" s="559"/>
      <c r="GG83" s="559"/>
      <c r="GH83" s="559"/>
    </row>
    <row r="84">
      <c r="A84" s="538"/>
      <c r="B84" s="156"/>
      <c r="C84" s="444"/>
      <c r="D84" s="614"/>
      <c r="E84" s="68"/>
      <c r="F84" s="644"/>
      <c r="G84" s="644"/>
      <c r="H84" s="627"/>
      <c r="I84" s="622" t="s">
        <v>365</v>
      </c>
      <c r="J84" s="607"/>
      <c r="K84" s="641"/>
      <c r="L84" s="628"/>
      <c r="M84" s="626"/>
      <c r="N84" s="619"/>
      <c r="O84" s="560"/>
      <c r="P84" s="47"/>
      <c r="Q84" s="47"/>
      <c r="S84" s="572"/>
      <c r="U84" s="573"/>
      <c r="V84" s="574"/>
      <c r="W84" s="618"/>
      <c r="X84" s="576">
        <v>0.0</v>
      </c>
      <c r="Y84" s="630">
        <v>0.0</v>
      </c>
      <c r="Z84" s="630" t="s">
        <v>365</v>
      </c>
      <c r="AA84" s="631" t="b">
        <v>0</v>
      </c>
      <c r="AB84" s="631"/>
      <c r="AC84" s="576"/>
      <c r="AD84" s="479">
        <v>0.0</v>
      </c>
      <c r="AE84" s="632"/>
      <c r="AF84" s="582" t="s">
        <v>365</v>
      </c>
      <c r="AG84" s="583"/>
      <c r="AH84" s="584"/>
      <c r="AI84" s="583"/>
      <c r="AJ84" s="585"/>
      <c r="AK84" s="583"/>
      <c r="AL84" s="584"/>
      <c r="AM84" s="583"/>
      <c r="AN84" s="585"/>
      <c r="AO84" s="583"/>
      <c r="AP84" s="584"/>
      <c r="AQ84" s="583"/>
      <c r="AR84" s="585"/>
      <c r="AS84" s="583"/>
      <c r="AT84" s="584"/>
      <c r="AU84" s="583"/>
      <c r="AV84" s="585"/>
      <c r="AW84" s="583"/>
      <c r="AX84" s="584"/>
      <c r="AY84" s="583"/>
      <c r="AZ84" s="585"/>
      <c r="BA84" s="583"/>
      <c r="BB84" s="584"/>
      <c r="BC84" s="583"/>
      <c r="BD84" s="585"/>
      <c r="BE84" s="583"/>
      <c r="BF84" s="584"/>
      <c r="BG84" s="583"/>
      <c r="BH84" s="585"/>
      <c r="BI84" s="583"/>
      <c r="BJ84" s="584"/>
      <c r="BK84" s="583"/>
      <c r="BL84" s="585"/>
      <c r="BM84" s="583"/>
      <c r="BN84" s="584"/>
      <c r="BO84" s="583"/>
      <c r="BP84" s="585"/>
      <c r="BQ84" s="583"/>
      <c r="BR84" s="584"/>
      <c r="BS84" s="583"/>
      <c r="BT84" s="586"/>
      <c r="BU84" s="540"/>
      <c r="BV84" s="540"/>
      <c r="BW84" s="540"/>
      <c r="BX84" s="538"/>
      <c r="BY84" s="538"/>
      <c r="BZ84" s="592"/>
      <c r="CA84" s="633"/>
      <c r="CB84" s="592" t="s">
        <v>365</v>
      </c>
      <c r="CC84" s="592">
        <v>0.0</v>
      </c>
      <c r="CD84" s="592" t="s">
        <v>365</v>
      </c>
      <c r="CE84" s="592">
        <v>0.0</v>
      </c>
      <c r="CF84" s="592"/>
      <c r="CG84" s="592">
        <v>0.0</v>
      </c>
      <c r="CH84" s="592"/>
      <c r="CI84" s="633"/>
      <c r="CJ84" s="592">
        <v>0.0</v>
      </c>
      <c r="CK84" s="479" t="s">
        <v>365</v>
      </c>
      <c r="CL84" s="592"/>
      <c r="CM84" s="593"/>
      <c r="CN84" s="538"/>
      <c r="CO84" s="538"/>
      <c r="CP84" s="538"/>
      <c r="CQ84" s="538"/>
      <c r="CR84" s="538"/>
      <c r="CS84" s="538"/>
      <c r="CT84" s="538"/>
      <c r="CU84" s="538"/>
      <c r="CV84" s="538"/>
      <c r="CW84" s="538"/>
      <c r="CX84" s="538"/>
      <c r="CY84" s="538"/>
      <c r="CZ84" s="538"/>
      <c r="DA84" s="538"/>
      <c r="DB84" s="538"/>
      <c r="DC84" s="538"/>
      <c r="DD84" s="538"/>
      <c r="DE84" s="538"/>
      <c r="DF84" s="538"/>
      <c r="DG84" s="538"/>
      <c r="DH84" s="538"/>
      <c r="DI84" s="538"/>
      <c r="DJ84" s="538"/>
      <c r="DK84" s="538"/>
      <c r="DL84" s="538"/>
      <c r="DM84" s="538"/>
      <c r="DN84" s="538"/>
      <c r="DO84" s="538"/>
      <c r="DP84" s="538"/>
      <c r="DQ84" s="538"/>
      <c r="DR84" s="538"/>
      <c r="DS84" s="538"/>
      <c r="DT84" s="538"/>
      <c r="DU84" s="538"/>
      <c r="DV84" s="538"/>
      <c r="DW84" s="538"/>
      <c r="DX84" s="538"/>
      <c r="DY84" s="538"/>
      <c r="DZ84" s="538"/>
      <c r="EA84" s="538"/>
      <c r="EB84" s="538"/>
      <c r="EC84" s="538"/>
      <c r="ED84" s="538"/>
      <c r="EE84" s="538"/>
      <c r="EF84" s="538"/>
      <c r="EG84" s="538"/>
      <c r="EH84" s="538"/>
      <c r="EI84" s="538"/>
      <c r="EJ84" s="538"/>
      <c r="EK84" s="538"/>
      <c r="EL84" s="538"/>
      <c r="EM84" s="538"/>
      <c r="EN84" s="538"/>
      <c r="EO84" s="538"/>
      <c r="EP84" s="538"/>
      <c r="EQ84" s="538"/>
      <c r="ER84" s="538"/>
      <c r="ES84" s="538"/>
      <c r="ET84" s="538"/>
      <c r="EU84" s="538"/>
      <c r="EV84" s="538"/>
      <c r="EW84" s="538"/>
      <c r="EX84" s="559"/>
      <c r="EY84" s="559"/>
      <c r="EZ84" s="559"/>
      <c r="FA84" s="559"/>
      <c r="FB84" s="559"/>
      <c r="FC84" s="559"/>
      <c r="FD84" s="559"/>
      <c r="FE84" s="559"/>
      <c r="FF84" s="559"/>
      <c r="FG84" s="559"/>
      <c r="FH84" s="559"/>
      <c r="FI84" s="559"/>
      <c r="FJ84" s="559"/>
      <c r="FK84" s="559"/>
      <c r="FL84" s="559"/>
      <c r="FM84" s="559"/>
      <c r="FN84" s="559"/>
      <c r="FO84" s="559"/>
      <c r="FP84" s="559"/>
      <c r="FQ84" s="559"/>
      <c r="FR84" s="559"/>
      <c r="FS84" s="559"/>
      <c r="FT84" s="559"/>
      <c r="FU84" s="559"/>
      <c r="FV84" s="559"/>
      <c r="FW84" s="559"/>
      <c r="FX84" s="559"/>
      <c r="FY84" s="559"/>
      <c r="FZ84" s="559"/>
      <c r="GA84" s="559"/>
      <c r="GB84" s="559"/>
      <c r="GC84" s="559"/>
      <c r="GD84" s="559"/>
      <c r="GE84" s="559"/>
      <c r="GF84" s="559"/>
      <c r="GG84" s="559"/>
      <c r="GH84" s="559"/>
    </row>
    <row r="85">
      <c r="A85" s="538"/>
      <c r="B85" s="156"/>
      <c r="C85" s="444"/>
      <c r="D85" s="614"/>
      <c r="E85" s="66"/>
      <c r="F85" s="642"/>
      <c r="G85" s="642"/>
      <c r="H85" s="615"/>
      <c r="I85" s="616" t="s">
        <v>365</v>
      </c>
      <c r="J85" s="624"/>
      <c r="K85" s="643"/>
      <c r="L85" s="640"/>
      <c r="M85" s="625"/>
      <c r="N85" s="617"/>
      <c r="O85" s="134"/>
      <c r="P85" s="57"/>
      <c r="Q85" s="57"/>
      <c r="S85" s="605"/>
      <c r="U85" s="573"/>
      <c r="V85" s="574"/>
      <c r="W85" s="618"/>
      <c r="X85" s="576">
        <v>0.0</v>
      </c>
      <c r="Y85" s="630">
        <v>0.0</v>
      </c>
      <c r="Z85" s="630" t="s">
        <v>365</v>
      </c>
      <c r="AA85" s="631" t="b">
        <v>0</v>
      </c>
      <c r="AB85" s="631"/>
      <c r="AC85" s="576"/>
      <c r="AD85" s="479">
        <v>0.0</v>
      </c>
      <c r="AE85" s="632"/>
      <c r="AF85" s="582" t="s">
        <v>365</v>
      </c>
      <c r="AG85" s="583"/>
      <c r="AH85" s="584"/>
      <c r="AI85" s="583"/>
      <c r="AJ85" s="585"/>
      <c r="AK85" s="583"/>
      <c r="AL85" s="584"/>
      <c r="AM85" s="583"/>
      <c r="AN85" s="585"/>
      <c r="AO85" s="583"/>
      <c r="AP85" s="584"/>
      <c r="AQ85" s="583"/>
      <c r="AR85" s="585"/>
      <c r="AS85" s="583"/>
      <c r="AT85" s="584"/>
      <c r="AU85" s="583"/>
      <c r="AV85" s="585"/>
      <c r="AW85" s="583"/>
      <c r="AX85" s="584"/>
      <c r="AY85" s="583"/>
      <c r="AZ85" s="585"/>
      <c r="BA85" s="583"/>
      <c r="BB85" s="584"/>
      <c r="BC85" s="583"/>
      <c r="BD85" s="585"/>
      <c r="BE85" s="583"/>
      <c r="BF85" s="584"/>
      <c r="BG85" s="583"/>
      <c r="BH85" s="585"/>
      <c r="BI85" s="583"/>
      <c r="BJ85" s="584"/>
      <c r="BK85" s="583"/>
      <c r="BL85" s="585"/>
      <c r="BM85" s="583"/>
      <c r="BN85" s="584"/>
      <c r="BO85" s="583"/>
      <c r="BP85" s="585"/>
      <c r="BQ85" s="583"/>
      <c r="BR85" s="584"/>
      <c r="BS85" s="583"/>
      <c r="BT85" s="586"/>
      <c r="BU85" s="540"/>
      <c r="BV85" s="540"/>
      <c r="BW85" s="540"/>
      <c r="BX85" s="538"/>
      <c r="BY85" s="538"/>
      <c r="BZ85" s="592"/>
      <c r="CA85" s="633"/>
      <c r="CB85" s="592" t="s">
        <v>365</v>
      </c>
      <c r="CC85" s="592">
        <v>0.0</v>
      </c>
      <c r="CD85" s="592" t="s">
        <v>365</v>
      </c>
      <c r="CE85" s="592">
        <v>0.0</v>
      </c>
      <c r="CF85" s="592"/>
      <c r="CG85" s="592">
        <v>0.0</v>
      </c>
      <c r="CH85" s="592"/>
      <c r="CI85" s="633"/>
      <c r="CJ85" s="592">
        <v>0.0</v>
      </c>
      <c r="CK85" s="479" t="s">
        <v>365</v>
      </c>
      <c r="CL85" s="592"/>
      <c r="CM85" s="593"/>
      <c r="CN85" s="538"/>
      <c r="CO85" s="538"/>
      <c r="CP85" s="538"/>
      <c r="CQ85" s="538"/>
      <c r="CR85" s="538"/>
      <c r="CS85" s="538"/>
      <c r="CT85" s="538"/>
      <c r="CU85" s="538"/>
      <c r="CV85" s="538"/>
      <c r="CW85" s="538"/>
      <c r="CX85" s="538"/>
      <c r="CY85" s="538"/>
      <c r="CZ85" s="538"/>
      <c r="DA85" s="538"/>
      <c r="DB85" s="538"/>
      <c r="DC85" s="538"/>
      <c r="DD85" s="538"/>
      <c r="DE85" s="538"/>
      <c r="DF85" s="538"/>
      <c r="DG85" s="538"/>
      <c r="DH85" s="538"/>
      <c r="DI85" s="538"/>
      <c r="DJ85" s="538"/>
      <c r="DK85" s="538"/>
      <c r="DL85" s="538"/>
      <c r="DM85" s="538"/>
      <c r="DN85" s="538"/>
      <c r="DO85" s="538"/>
      <c r="DP85" s="538"/>
      <c r="DQ85" s="538"/>
      <c r="DR85" s="538"/>
      <c r="DS85" s="538"/>
      <c r="DT85" s="538"/>
      <c r="DU85" s="538"/>
      <c r="DV85" s="538"/>
      <c r="DW85" s="538"/>
      <c r="DX85" s="538"/>
      <c r="DY85" s="538"/>
      <c r="DZ85" s="538"/>
      <c r="EA85" s="538"/>
      <c r="EB85" s="538"/>
      <c r="EC85" s="538"/>
      <c r="ED85" s="538"/>
      <c r="EE85" s="538"/>
      <c r="EF85" s="538"/>
      <c r="EG85" s="538"/>
      <c r="EH85" s="538"/>
      <c r="EI85" s="538"/>
      <c r="EJ85" s="538"/>
      <c r="EK85" s="538"/>
      <c r="EL85" s="538"/>
      <c r="EM85" s="538"/>
      <c r="EN85" s="538"/>
      <c r="EO85" s="538"/>
      <c r="EP85" s="538"/>
      <c r="EQ85" s="538"/>
      <c r="ER85" s="538"/>
      <c r="ES85" s="538"/>
      <c r="ET85" s="538"/>
      <c r="EU85" s="538"/>
      <c r="EV85" s="538"/>
      <c r="EW85" s="538"/>
      <c r="EX85" s="559"/>
      <c r="EY85" s="559"/>
      <c r="EZ85" s="559"/>
      <c r="FA85" s="559"/>
      <c r="FB85" s="559"/>
      <c r="FC85" s="559"/>
      <c r="FD85" s="559"/>
      <c r="FE85" s="559"/>
      <c r="FF85" s="559"/>
      <c r="FG85" s="559"/>
      <c r="FH85" s="559"/>
      <c r="FI85" s="559"/>
      <c r="FJ85" s="559"/>
      <c r="FK85" s="559"/>
      <c r="FL85" s="559"/>
      <c r="FM85" s="559"/>
      <c r="FN85" s="559"/>
      <c r="FO85" s="559"/>
      <c r="FP85" s="559"/>
      <c r="FQ85" s="559"/>
      <c r="FR85" s="559"/>
      <c r="FS85" s="559"/>
      <c r="FT85" s="559"/>
      <c r="FU85" s="559"/>
      <c r="FV85" s="559"/>
      <c r="FW85" s="559"/>
      <c r="FX85" s="559"/>
      <c r="FY85" s="559"/>
      <c r="FZ85" s="559"/>
      <c r="GA85" s="559"/>
      <c r="GB85" s="559"/>
      <c r="GC85" s="559"/>
      <c r="GD85" s="559"/>
      <c r="GE85" s="559"/>
      <c r="GF85" s="559"/>
      <c r="GG85" s="559"/>
      <c r="GH85" s="559"/>
    </row>
    <row r="86">
      <c r="A86" s="538"/>
      <c r="B86" s="156"/>
      <c r="C86" s="444"/>
      <c r="D86" s="614"/>
      <c r="E86" s="68"/>
      <c r="F86" s="644"/>
      <c r="G86" s="644"/>
      <c r="H86" s="627"/>
      <c r="I86" s="622" t="s">
        <v>365</v>
      </c>
      <c r="J86" s="607"/>
      <c r="K86" s="641"/>
      <c r="L86" s="628"/>
      <c r="M86" s="626"/>
      <c r="N86" s="619"/>
      <c r="O86" s="560"/>
      <c r="P86" s="47"/>
      <c r="Q86" s="47"/>
      <c r="S86" s="572"/>
      <c r="U86" s="573"/>
      <c r="V86" s="574"/>
      <c r="W86" s="618"/>
      <c r="X86" s="576">
        <v>0.0</v>
      </c>
      <c r="Y86" s="630">
        <v>0.0</v>
      </c>
      <c r="Z86" s="630" t="s">
        <v>365</v>
      </c>
      <c r="AA86" s="631" t="b">
        <v>0</v>
      </c>
      <c r="AB86" s="631"/>
      <c r="AC86" s="576"/>
      <c r="AD86" s="479">
        <v>0.0</v>
      </c>
      <c r="AE86" s="632"/>
      <c r="AF86" s="582" t="s">
        <v>365</v>
      </c>
      <c r="AG86" s="583"/>
      <c r="AH86" s="584"/>
      <c r="AI86" s="583"/>
      <c r="AJ86" s="585"/>
      <c r="AK86" s="583"/>
      <c r="AL86" s="584"/>
      <c r="AM86" s="583"/>
      <c r="AN86" s="585"/>
      <c r="AO86" s="583"/>
      <c r="AP86" s="584"/>
      <c r="AQ86" s="583"/>
      <c r="AR86" s="585"/>
      <c r="AS86" s="583"/>
      <c r="AT86" s="584"/>
      <c r="AU86" s="583"/>
      <c r="AV86" s="585"/>
      <c r="AW86" s="583"/>
      <c r="AX86" s="584"/>
      <c r="AY86" s="583"/>
      <c r="AZ86" s="585"/>
      <c r="BA86" s="583"/>
      <c r="BB86" s="584"/>
      <c r="BC86" s="583"/>
      <c r="BD86" s="585"/>
      <c r="BE86" s="583"/>
      <c r="BF86" s="584"/>
      <c r="BG86" s="583"/>
      <c r="BH86" s="585"/>
      <c r="BI86" s="583"/>
      <c r="BJ86" s="584"/>
      <c r="BK86" s="583"/>
      <c r="BL86" s="585"/>
      <c r="BM86" s="583"/>
      <c r="BN86" s="584"/>
      <c r="BO86" s="583"/>
      <c r="BP86" s="585"/>
      <c r="BQ86" s="583"/>
      <c r="BR86" s="584"/>
      <c r="BS86" s="583"/>
      <c r="BT86" s="586"/>
      <c r="BU86" s="540"/>
      <c r="BV86" s="540"/>
      <c r="BW86" s="540"/>
      <c r="BX86" s="538"/>
      <c r="BY86" s="538"/>
      <c r="BZ86" s="592"/>
      <c r="CA86" s="633"/>
      <c r="CB86" s="592" t="s">
        <v>365</v>
      </c>
      <c r="CC86" s="592">
        <v>0.0</v>
      </c>
      <c r="CD86" s="592" t="s">
        <v>365</v>
      </c>
      <c r="CE86" s="592">
        <v>0.0</v>
      </c>
      <c r="CF86" s="592"/>
      <c r="CG86" s="592">
        <v>0.0</v>
      </c>
      <c r="CH86" s="592"/>
      <c r="CI86" s="633"/>
      <c r="CJ86" s="592">
        <v>0.0</v>
      </c>
      <c r="CK86" s="479" t="s">
        <v>365</v>
      </c>
      <c r="CL86" s="592"/>
      <c r="CM86" s="593"/>
      <c r="CN86" s="538"/>
      <c r="CO86" s="538"/>
      <c r="CP86" s="538"/>
      <c r="CQ86" s="538"/>
      <c r="CR86" s="538"/>
      <c r="CS86" s="538"/>
      <c r="CT86" s="538"/>
      <c r="CU86" s="538"/>
      <c r="CV86" s="538"/>
      <c r="CW86" s="538"/>
      <c r="CX86" s="538"/>
      <c r="CY86" s="538"/>
      <c r="CZ86" s="538"/>
      <c r="DA86" s="538"/>
      <c r="DB86" s="538"/>
      <c r="DC86" s="538"/>
      <c r="DD86" s="538"/>
      <c r="DE86" s="538"/>
      <c r="DF86" s="538"/>
      <c r="DG86" s="538"/>
      <c r="DH86" s="538"/>
      <c r="DI86" s="538"/>
      <c r="DJ86" s="538"/>
      <c r="DK86" s="538"/>
      <c r="DL86" s="538"/>
      <c r="DM86" s="538"/>
      <c r="DN86" s="538"/>
      <c r="DO86" s="538"/>
      <c r="DP86" s="538"/>
      <c r="DQ86" s="538"/>
      <c r="DR86" s="538"/>
      <c r="DS86" s="538"/>
      <c r="DT86" s="538"/>
      <c r="DU86" s="538"/>
      <c r="DV86" s="538"/>
      <c r="DW86" s="538"/>
      <c r="DX86" s="538"/>
      <c r="DY86" s="538"/>
      <c r="DZ86" s="538"/>
      <c r="EA86" s="538"/>
      <c r="EB86" s="538"/>
      <c r="EC86" s="538"/>
      <c r="ED86" s="538"/>
      <c r="EE86" s="538"/>
      <c r="EF86" s="538"/>
      <c r="EG86" s="538"/>
      <c r="EH86" s="538"/>
      <c r="EI86" s="538"/>
      <c r="EJ86" s="538"/>
      <c r="EK86" s="538"/>
      <c r="EL86" s="538"/>
      <c r="EM86" s="538"/>
      <c r="EN86" s="538"/>
      <c r="EO86" s="538"/>
      <c r="EP86" s="538"/>
      <c r="EQ86" s="538"/>
      <c r="ER86" s="538"/>
      <c r="ES86" s="538"/>
      <c r="ET86" s="538"/>
      <c r="EU86" s="538"/>
      <c r="EV86" s="538"/>
      <c r="EW86" s="538"/>
      <c r="EX86" s="559"/>
      <c r="EY86" s="559"/>
      <c r="EZ86" s="559"/>
      <c r="FA86" s="559"/>
      <c r="FB86" s="559"/>
      <c r="FC86" s="559"/>
      <c r="FD86" s="559"/>
      <c r="FE86" s="559"/>
      <c r="FF86" s="559"/>
      <c r="FG86" s="559"/>
      <c r="FH86" s="559"/>
      <c r="FI86" s="559"/>
      <c r="FJ86" s="559"/>
      <c r="FK86" s="559"/>
      <c r="FL86" s="559"/>
      <c r="FM86" s="559"/>
      <c r="FN86" s="559"/>
      <c r="FO86" s="559"/>
      <c r="FP86" s="559"/>
      <c r="FQ86" s="559"/>
      <c r="FR86" s="559"/>
      <c r="FS86" s="559"/>
      <c r="FT86" s="559"/>
      <c r="FU86" s="559"/>
      <c r="FV86" s="559"/>
      <c r="FW86" s="559"/>
      <c r="FX86" s="559"/>
      <c r="FY86" s="559"/>
      <c r="FZ86" s="559"/>
      <c r="GA86" s="559"/>
      <c r="GB86" s="559"/>
      <c r="GC86" s="559"/>
      <c r="GD86" s="559"/>
      <c r="GE86" s="559"/>
      <c r="GF86" s="559"/>
      <c r="GG86" s="559"/>
      <c r="GH86" s="559"/>
    </row>
    <row r="87">
      <c r="A87" s="538"/>
      <c r="B87" s="156"/>
      <c r="C87" s="444"/>
      <c r="D87" s="614"/>
      <c r="E87" s="66"/>
      <c r="F87" s="642"/>
      <c r="G87" s="642"/>
      <c r="H87" s="615"/>
      <c r="I87" s="616" t="s">
        <v>365</v>
      </c>
      <c r="J87" s="624"/>
      <c r="K87" s="643"/>
      <c r="L87" s="640"/>
      <c r="M87" s="625"/>
      <c r="N87" s="617"/>
      <c r="O87" s="134"/>
      <c r="P87" s="57"/>
      <c r="Q87" s="57"/>
      <c r="S87" s="605"/>
      <c r="U87" s="573"/>
      <c r="V87" s="574"/>
      <c r="W87" s="618"/>
      <c r="X87" s="576">
        <v>0.0</v>
      </c>
      <c r="Y87" s="630">
        <v>0.0</v>
      </c>
      <c r="Z87" s="630" t="s">
        <v>365</v>
      </c>
      <c r="AA87" s="631" t="b">
        <v>0</v>
      </c>
      <c r="AB87" s="631"/>
      <c r="AC87" s="576"/>
      <c r="AD87" s="479">
        <v>0.0</v>
      </c>
      <c r="AE87" s="632"/>
      <c r="AF87" s="582" t="s">
        <v>365</v>
      </c>
      <c r="AG87" s="583"/>
      <c r="AH87" s="584"/>
      <c r="AI87" s="583"/>
      <c r="AJ87" s="585"/>
      <c r="AK87" s="583"/>
      <c r="AL87" s="584"/>
      <c r="AM87" s="583"/>
      <c r="AN87" s="585"/>
      <c r="AO87" s="583"/>
      <c r="AP87" s="584"/>
      <c r="AQ87" s="583"/>
      <c r="AR87" s="585"/>
      <c r="AS87" s="583"/>
      <c r="AT87" s="584"/>
      <c r="AU87" s="583"/>
      <c r="AV87" s="585"/>
      <c r="AW87" s="583"/>
      <c r="AX87" s="584"/>
      <c r="AY87" s="583"/>
      <c r="AZ87" s="585"/>
      <c r="BA87" s="583"/>
      <c r="BB87" s="584"/>
      <c r="BC87" s="583"/>
      <c r="BD87" s="585"/>
      <c r="BE87" s="583"/>
      <c r="BF87" s="584"/>
      <c r="BG87" s="583"/>
      <c r="BH87" s="585"/>
      <c r="BI87" s="583"/>
      <c r="BJ87" s="584"/>
      <c r="BK87" s="583"/>
      <c r="BL87" s="585"/>
      <c r="BM87" s="583"/>
      <c r="BN87" s="584"/>
      <c r="BO87" s="583"/>
      <c r="BP87" s="585"/>
      <c r="BQ87" s="583"/>
      <c r="BR87" s="584"/>
      <c r="BS87" s="583"/>
      <c r="BT87" s="586"/>
      <c r="BU87" s="540"/>
      <c r="BV87" s="540"/>
      <c r="BW87" s="540"/>
      <c r="BX87" s="538"/>
      <c r="BY87" s="538"/>
      <c r="BZ87" s="592"/>
      <c r="CA87" s="633"/>
      <c r="CB87" s="592" t="s">
        <v>365</v>
      </c>
      <c r="CC87" s="592">
        <v>0.0</v>
      </c>
      <c r="CD87" s="592" t="s">
        <v>365</v>
      </c>
      <c r="CE87" s="592">
        <v>0.0</v>
      </c>
      <c r="CF87" s="592"/>
      <c r="CG87" s="592">
        <v>0.0</v>
      </c>
      <c r="CH87" s="592"/>
      <c r="CI87" s="633"/>
      <c r="CJ87" s="592">
        <v>0.0</v>
      </c>
      <c r="CK87" s="479" t="s">
        <v>365</v>
      </c>
      <c r="CL87" s="592"/>
      <c r="CM87" s="593"/>
      <c r="CN87" s="538"/>
      <c r="CO87" s="538"/>
      <c r="CP87" s="538"/>
      <c r="CQ87" s="538"/>
      <c r="CR87" s="538"/>
      <c r="CS87" s="538"/>
      <c r="CT87" s="538"/>
      <c r="CU87" s="538"/>
      <c r="CV87" s="538"/>
      <c r="CW87" s="538"/>
      <c r="CX87" s="538"/>
      <c r="CY87" s="538"/>
      <c r="CZ87" s="538"/>
      <c r="DA87" s="538"/>
      <c r="DB87" s="538"/>
      <c r="DC87" s="538"/>
      <c r="DD87" s="538"/>
      <c r="DE87" s="538"/>
      <c r="DF87" s="538"/>
      <c r="DG87" s="538"/>
      <c r="DH87" s="538"/>
      <c r="DI87" s="538"/>
      <c r="DJ87" s="538"/>
      <c r="DK87" s="538"/>
      <c r="DL87" s="538"/>
      <c r="DM87" s="538"/>
      <c r="DN87" s="538"/>
      <c r="DO87" s="538"/>
      <c r="DP87" s="538"/>
      <c r="DQ87" s="538"/>
      <c r="DR87" s="538"/>
      <c r="DS87" s="538"/>
      <c r="DT87" s="538"/>
      <c r="DU87" s="538"/>
      <c r="DV87" s="538"/>
      <c r="DW87" s="538"/>
      <c r="DX87" s="538"/>
      <c r="DY87" s="538"/>
      <c r="DZ87" s="538"/>
      <c r="EA87" s="538"/>
      <c r="EB87" s="538"/>
      <c r="EC87" s="538"/>
      <c r="ED87" s="538"/>
      <c r="EE87" s="538"/>
      <c r="EF87" s="538"/>
      <c r="EG87" s="538"/>
      <c r="EH87" s="538"/>
      <c r="EI87" s="538"/>
      <c r="EJ87" s="538"/>
      <c r="EK87" s="538"/>
      <c r="EL87" s="538"/>
      <c r="EM87" s="538"/>
      <c r="EN87" s="538"/>
      <c r="EO87" s="538"/>
      <c r="EP87" s="538"/>
      <c r="EQ87" s="538"/>
      <c r="ER87" s="538"/>
      <c r="ES87" s="538"/>
      <c r="ET87" s="538"/>
      <c r="EU87" s="538"/>
      <c r="EV87" s="538"/>
      <c r="EW87" s="538"/>
      <c r="EX87" s="559"/>
      <c r="EY87" s="559"/>
      <c r="EZ87" s="559"/>
      <c r="FA87" s="559"/>
      <c r="FB87" s="559"/>
      <c r="FC87" s="559"/>
      <c r="FD87" s="559"/>
      <c r="FE87" s="559"/>
      <c r="FF87" s="559"/>
      <c r="FG87" s="559"/>
      <c r="FH87" s="559"/>
      <c r="FI87" s="559"/>
      <c r="FJ87" s="559"/>
      <c r="FK87" s="559"/>
      <c r="FL87" s="559"/>
      <c r="FM87" s="559"/>
      <c r="FN87" s="559"/>
      <c r="FO87" s="559"/>
      <c r="FP87" s="559"/>
      <c r="FQ87" s="559"/>
      <c r="FR87" s="559"/>
      <c r="FS87" s="559"/>
      <c r="FT87" s="559"/>
      <c r="FU87" s="559"/>
      <c r="FV87" s="559"/>
      <c r="FW87" s="559"/>
      <c r="FX87" s="559"/>
      <c r="FY87" s="559"/>
      <c r="FZ87" s="559"/>
      <c r="GA87" s="559"/>
      <c r="GB87" s="559"/>
      <c r="GC87" s="559"/>
      <c r="GD87" s="559"/>
      <c r="GE87" s="559"/>
      <c r="GF87" s="559"/>
      <c r="GG87" s="559"/>
      <c r="GH87" s="559"/>
    </row>
    <row r="88">
      <c r="A88" s="538"/>
      <c r="B88" s="156"/>
      <c r="C88" s="444"/>
      <c r="D88" s="614"/>
      <c r="E88" s="68"/>
      <c r="F88" s="644"/>
      <c r="G88" s="644"/>
      <c r="H88" s="627"/>
      <c r="I88" s="622" t="s">
        <v>365</v>
      </c>
      <c r="J88" s="607"/>
      <c r="K88" s="641"/>
      <c r="L88" s="628"/>
      <c r="M88" s="626"/>
      <c r="N88" s="619"/>
      <c r="O88" s="560"/>
      <c r="P88" s="47"/>
      <c r="Q88" s="47"/>
      <c r="S88" s="572"/>
      <c r="U88" s="573"/>
      <c r="V88" s="574"/>
      <c r="W88" s="618"/>
      <c r="X88" s="576">
        <v>0.0</v>
      </c>
      <c r="Y88" s="630">
        <v>0.0</v>
      </c>
      <c r="Z88" s="630" t="s">
        <v>365</v>
      </c>
      <c r="AA88" s="631" t="b">
        <v>0</v>
      </c>
      <c r="AB88" s="631"/>
      <c r="AC88" s="576"/>
      <c r="AD88" s="479">
        <v>0.0</v>
      </c>
      <c r="AE88" s="632"/>
      <c r="AF88" s="582" t="s">
        <v>365</v>
      </c>
      <c r="AG88" s="583"/>
      <c r="AH88" s="584"/>
      <c r="AI88" s="583"/>
      <c r="AJ88" s="585"/>
      <c r="AK88" s="583"/>
      <c r="AL88" s="584"/>
      <c r="AM88" s="583"/>
      <c r="AN88" s="585"/>
      <c r="AO88" s="583"/>
      <c r="AP88" s="584"/>
      <c r="AQ88" s="583"/>
      <c r="AR88" s="585"/>
      <c r="AS88" s="583"/>
      <c r="AT88" s="584"/>
      <c r="AU88" s="583"/>
      <c r="AV88" s="585"/>
      <c r="AW88" s="583"/>
      <c r="AX88" s="584"/>
      <c r="AY88" s="583"/>
      <c r="AZ88" s="585"/>
      <c r="BA88" s="583"/>
      <c r="BB88" s="584"/>
      <c r="BC88" s="583"/>
      <c r="BD88" s="585"/>
      <c r="BE88" s="583"/>
      <c r="BF88" s="584"/>
      <c r="BG88" s="583"/>
      <c r="BH88" s="585"/>
      <c r="BI88" s="583"/>
      <c r="BJ88" s="584"/>
      <c r="BK88" s="583"/>
      <c r="BL88" s="585"/>
      <c r="BM88" s="583"/>
      <c r="BN88" s="584"/>
      <c r="BO88" s="583"/>
      <c r="BP88" s="585"/>
      <c r="BQ88" s="583"/>
      <c r="BR88" s="584"/>
      <c r="BS88" s="583"/>
      <c r="BT88" s="586"/>
      <c r="BU88" s="540"/>
      <c r="BV88" s="540"/>
      <c r="BW88" s="540"/>
      <c r="BX88" s="538"/>
      <c r="BY88" s="538"/>
      <c r="BZ88" s="592"/>
      <c r="CA88" s="633"/>
      <c r="CB88" s="592" t="s">
        <v>365</v>
      </c>
      <c r="CC88" s="592">
        <v>0.0</v>
      </c>
      <c r="CD88" s="592" t="s">
        <v>365</v>
      </c>
      <c r="CE88" s="592">
        <v>0.0</v>
      </c>
      <c r="CF88" s="592"/>
      <c r="CG88" s="592">
        <v>0.0</v>
      </c>
      <c r="CH88" s="592"/>
      <c r="CI88" s="633"/>
      <c r="CJ88" s="592">
        <v>0.0</v>
      </c>
      <c r="CK88" s="479" t="s">
        <v>365</v>
      </c>
      <c r="CL88" s="592"/>
      <c r="CM88" s="593"/>
      <c r="CN88" s="538"/>
      <c r="CO88" s="538"/>
      <c r="CP88" s="538"/>
      <c r="CQ88" s="538"/>
      <c r="CR88" s="538"/>
      <c r="CS88" s="538"/>
      <c r="CT88" s="538"/>
      <c r="CU88" s="538"/>
      <c r="CV88" s="538"/>
      <c r="CW88" s="538"/>
      <c r="CX88" s="538"/>
      <c r="CY88" s="538"/>
      <c r="CZ88" s="538"/>
      <c r="DA88" s="538"/>
      <c r="DB88" s="538"/>
      <c r="DC88" s="538"/>
      <c r="DD88" s="538"/>
      <c r="DE88" s="538"/>
      <c r="DF88" s="538"/>
      <c r="DG88" s="538"/>
      <c r="DH88" s="538"/>
      <c r="DI88" s="538"/>
      <c r="DJ88" s="538"/>
      <c r="DK88" s="538"/>
      <c r="DL88" s="538"/>
      <c r="DM88" s="538"/>
      <c r="DN88" s="538"/>
      <c r="DO88" s="538"/>
      <c r="DP88" s="538"/>
      <c r="DQ88" s="538"/>
      <c r="DR88" s="538"/>
      <c r="DS88" s="538"/>
      <c r="DT88" s="538"/>
      <c r="DU88" s="538"/>
      <c r="DV88" s="538"/>
      <c r="DW88" s="538"/>
      <c r="DX88" s="538"/>
      <c r="DY88" s="538"/>
      <c r="DZ88" s="538"/>
      <c r="EA88" s="538"/>
      <c r="EB88" s="538"/>
      <c r="EC88" s="538"/>
      <c r="ED88" s="538"/>
      <c r="EE88" s="538"/>
      <c r="EF88" s="538"/>
      <c r="EG88" s="538"/>
      <c r="EH88" s="538"/>
      <c r="EI88" s="538"/>
      <c r="EJ88" s="538"/>
      <c r="EK88" s="538"/>
      <c r="EL88" s="538"/>
      <c r="EM88" s="538"/>
      <c r="EN88" s="538"/>
      <c r="EO88" s="538"/>
      <c r="EP88" s="538"/>
      <c r="EQ88" s="538"/>
      <c r="ER88" s="538"/>
      <c r="ES88" s="538"/>
      <c r="ET88" s="538"/>
      <c r="EU88" s="538"/>
      <c r="EV88" s="538"/>
      <c r="EW88" s="538"/>
      <c r="EX88" s="559"/>
      <c r="EY88" s="559"/>
      <c r="EZ88" s="559"/>
      <c r="FA88" s="559"/>
      <c r="FB88" s="559"/>
      <c r="FC88" s="559"/>
      <c r="FD88" s="559"/>
      <c r="FE88" s="559"/>
      <c r="FF88" s="559"/>
      <c r="FG88" s="559"/>
      <c r="FH88" s="559"/>
      <c r="FI88" s="559"/>
      <c r="FJ88" s="559"/>
      <c r="FK88" s="559"/>
      <c r="FL88" s="559"/>
      <c r="FM88" s="559"/>
      <c r="FN88" s="559"/>
      <c r="FO88" s="559"/>
      <c r="FP88" s="559"/>
      <c r="FQ88" s="559"/>
      <c r="FR88" s="559"/>
      <c r="FS88" s="559"/>
      <c r="FT88" s="559"/>
      <c r="FU88" s="559"/>
      <c r="FV88" s="559"/>
      <c r="FW88" s="559"/>
      <c r="FX88" s="559"/>
      <c r="FY88" s="559"/>
      <c r="FZ88" s="559"/>
      <c r="GA88" s="559"/>
      <c r="GB88" s="559"/>
      <c r="GC88" s="559"/>
      <c r="GD88" s="559"/>
      <c r="GE88" s="559"/>
      <c r="GF88" s="559"/>
      <c r="GG88" s="559"/>
      <c r="GH88" s="559"/>
    </row>
    <row r="89">
      <c r="A89" s="538"/>
      <c r="B89" s="156"/>
      <c r="C89" s="444"/>
      <c r="D89" s="614"/>
      <c r="E89" s="66"/>
      <c r="F89" s="642"/>
      <c r="G89" s="642"/>
      <c r="H89" s="615"/>
      <c r="I89" s="616" t="s">
        <v>365</v>
      </c>
      <c r="J89" s="624"/>
      <c r="K89" s="643"/>
      <c r="L89" s="640"/>
      <c r="M89" s="625"/>
      <c r="N89" s="617"/>
      <c r="O89" s="134"/>
      <c r="P89" s="57"/>
      <c r="Q89" s="57"/>
      <c r="S89" s="605"/>
      <c r="U89" s="573"/>
      <c r="V89" s="574"/>
      <c r="W89" s="618"/>
      <c r="X89" s="576">
        <v>0.0</v>
      </c>
      <c r="Y89" s="630">
        <v>0.0</v>
      </c>
      <c r="Z89" s="630" t="s">
        <v>365</v>
      </c>
      <c r="AA89" s="631" t="b">
        <v>0</v>
      </c>
      <c r="AB89" s="631"/>
      <c r="AC89" s="576"/>
      <c r="AD89" s="479">
        <v>0.0</v>
      </c>
      <c r="AE89" s="632"/>
      <c r="AF89" s="582" t="s">
        <v>365</v>
      </c>
      <c r="AG89" s="583"/>
      <c r="AH89" s="584"/>
      <c r="AI89" s="583"/>
      <c r="AJ89" s="585"/>
      <c r="AK89" s="583"/>
      <c r="AL89" s="584"/>
      <c r="AM89" s="583"/>
      <c r="AN89" s="585"/>
      <c r="AO89" s="583"/>
      <c r="AP89" s="584"/>
      <c r="AQ89" s="583"/>
      <c r="AR89" s="585"/>
      <c r="AS89" s="583"/>
      <c r="AT89" s="584"/>
      <c r="AU89" s="583"/>
      <c r="AV89" s="585"/>
      <c r="AW89" s="583"/>
      <c r="AX89" s="584"/>
      <c r="AY89" s="583"/>
      <c r="AZ89" s="585"/>
      <c r="BA89" s="583"/>
      <c r="BB89" s="584"/>
      <c r="BC89" s="583"/>
      <c r="BD89" s="585"/>
      <c r="BE89" s="583"/>
      <c r="BF89" s="584"/>
      <c r="BG89" s="583"/>
      <c r="BH89" s="585"/>
      <c r="BI89" s="583"/>
      <c r="BJ89" s="584"/>
      <c r="BK89" s="583"/>
      <c r="BL89" s="585"/>
      <c r="BM89" s="583"/>
      <c r="BN89" s="584"/>
      <c r="BO89" s="583"/>
      <c r="BP89" s="585"/>
      <c r="BQ89" s="583"/>
      <c r="BR89" s="584"/>
      <c r="BS89" s="583"/>
      <c r="BT89" s="586"/>
      <c r="BU89" s="540"/>
      <c r="BV89" s="540"/>
      <c r="BW89" s="540"/>
      <c r="BX89" s="538"/>
      <c r="BY89" s="538"/>
      <c r="BZ89" s="592"/>
      <c r="CA89" s="633"/>
      <c r="CB89" s="592" t="s">
        <v>365</v>
      </c>
      <c r="CC89" s="592">
        <v>0.0</v>
      </c>
      <c r="CD89" s="592" t="s">
        <v>365</v>
      </c>
      <c r="CE89" s="592">
        <v>0.0</v>
      </c>
      <c r="CF89" s="592"/>
      <c r="CG89" s="592">
        <v>0.0</v>
      </c>
      <c r="CH89" s="592"/>
      <c r="CI89" s="633"/>
      <c r="CJ89" s="592">
        <v>0.0</v>
      </c>
      <c r="CK89" s="479" t="s">
        <v>365</v>
      </c>
      <c r="CL89" s="592"/>
      <c r="CM89" s="593"/>
      <c r="CN89" s="538"/>
      <c r="CO89" s="538"/>
      <c r="CP89" s="538"/>
      <c r="CQ89" s="538"/>
      <c r="CR89" s="538"/>
      <c r="CS89" s="538"/>
      <c r="CT89" s="538"/>
      <c r="CU89" s="538"/>
      <c r="CV89" s="538"/>
      <c r="CW89" s="538"/>
      <c r="CX89" s="538"/>
      <c r="CY89" s="538"/>
      <c r="CZ89" s="538"/>
      <c r="DA89" s="538"/>
      <c r="DB89" s="538"/>
      <c r="DC89" s="538"/>
      <c r="DD89" s="538"/>
      <c r="DE89" s="538"/>
      <c r="DF89" s="538"/>
      <c r="DG89" s="538"/>
      <c r="DH89" s="538"/>
      <c r="DI89" s="538"/>
      <c r="DJ89" s="538"/>
      <c r="DK89" s="538"/>
      <c r="DL89" s="538"/>
      <c r="DM89" s="538"/>
      <c r="DN89" s="538"/>
      <c r="DO89" s="538"/>
      <c r="DP89" s="538"/>
      <c r="DQ89" s="538"/>
      <c r="DR89" s="538"/>
      <c r="DS89" s="538"/>
      <c r="DT89" s="538"/>
      <c r="DU89" s="538"/>
      <c r="DV89" s="538"/>
      <c r="DW89" s="538"/>
      <c r="DX89" s="538"/>
      <c r="DY89" s="538"/>
      <c r="DZ89" s="538"/>
      <c r="EA89" s="538"/>
      <c r="EB89" s="538"/>
      <c r="EC89" s="538"/>
      <c r="ED89" s="538"/>
      <c r="EE89" s="538"/>
      <c r="EF89" s="538"/>
      <c r="EG89" s="538"/>
      <c r="EH89" s="538"/>
      <c r="EI89" s="538"/>
      <c r="EJ89" s="538"/>
      <c r="EK89" s="538"/>
      <c r="EL89" s="538"/>
      <c r="EM89" s="538"/>
      <c r="EN89" s="538"/>
      <c r="EO89" s="538"/>
      <c r="EP89" s="538"/>
      <c r="EQ89" s="538"/>
      <c r="ER89" s="538"/>
      <c r="ES89" s="538"/>
      <c r="ET89" s="538"/>
      <c r="EU89" s="538"/>
      <c r="EV89" s="538"/>
      <c r="EW89" s="538"/>
      <c r="EX89" s="559"/>
      <c r="EY89" s="559"/>
      <c r="EZ89" s="559"/>
      <c r="FA89" s="559"/>
      <c r="FB89" s="559"/>
      <c r="FC89" s="559"/>
      <c r="FD89" s="559"/>
      <c r="FE89" s="559"/>
      <c r="FF89" s="559"/>
      <c r="FG89" s="559"/>
      <c r="FH89" s="559"/>
      <c r="FI89" s="559"/>
      <c r="FJ89" s="559"/>
      <c r="FK89" s="559"/>
      <c r="FL89" s="559"/>
      <c r="FM89" s="559"/>
      <c r="FN89" s="559"/>
      <c r="FO89" s="559"/>
      <c r="FP89" s="559"/>
      <c r="FQ89" s="559"/>
      <c r="FR89" s="559"/>
      <c r="FS89" s="559"/>
      <c r="FT89" s="559"/>
      <c r="FU89" s="559"/>
      <c r="FV89" s="559"/>
      <c r="FW89" s="559"/>
      <c r="FX89" s="559"/>
      <c r="FY89" s="559"/>
      <c r="FZ89" s="559"/>
      <c r="GA89" s="559"/>
      <c r="GB89" s="559"/>
      <c r="GC89" s="559"/>
      <c r="GD89" s="559"/>
      <c r="GE89" s="559"/>
      <c r="GF89" s="559"/>
      <c r="GG89" s="559"/>
      <c r="GH89" s="559"/>
    </row>
    <row r="90">
      <c r="A90" s="538"/>
      <c r="B90" s="156"/>
      <c r="C90" s="444"/>
      <c r="D90" s="614"/>
      <c r="E90" s="68"/>
      <c r="F90" s="644"/>
      <c r="G90" s="644"/>
      <c r="H90" s="627"/>
      <c r="I90" s="622" t="s">
        <v>365</v>
      </c>
      <c r="J90" s="607"/>
      <c r="K90" s="641"/>
      <c r="L90" s="628"/>
      <c r="M90" s="626"/>
      <c r="N90" s="619"/>
      <c r="O90" s="560"/>
      <c r="P90" s="47"/>
      <c r="Q90" s="47"/>
      <c r="S90" s="572"/>
      <c r="U90" s="573"/>
      <c r="V90" s="574"/>
      <c r="W90" s="618"/>
      <c r="X90" s="576">
        <v>0.0</v>
      </c>
      <c r="Y90" s="630">
        <v>0.0</v>
      </c>
      <c r="Z90" s="630" t="s">
        <v>365</v>
      </c>
      <c r="AA90" s="631" t="b">
        <v>0</v>
      </c>
      <c r="AB90" s="631"/>
      <c r="AC90" s="576"/>
      <c r="AD90" s="479">
        <v>0.0</v>
      </c>
      <c r="AE90" s="632"/>
      <c r="AF90" s="582" t="s">
        <v>365</v>
      </c>
      <c r="AG90" s="583"/>
      <c r="AH90" s="584"/>
      <c r="AI90" s="583"/>
      <c r="AJ90" s="585"/>
      <c r="AK90" s="583"/>
      <c r="AL90" s="584"/>
      <c r="AM90" s="583"/>
      <c r="AN90" s="585"/>
      <c r="AO90" s="583"/>
      <c r="AP90" s="584"/>
      <c r="AQ90" s="583"/>
      <c r="AR90" s="585"/>
      <c r="AS90" s="583"/>
      <c r="AT90" s="584"/>
      <c r="AU90" s="583"/>
      <c r="AV90" s="585"/>
      <c r="AW90" s="583"/>
      <c r="AX90" s="584"/>
      <c r="AY90" s="583"/>
      <c r="AZ90" s="585"/>
      <c r="BA90" s="583"/>
      <c r="BB90" s="584"/>
      <c r="BC90" s="583"/>
      <c r="BD90" s="585"/>
      <c r="BE90" s="583"/>
      <c r="BF90" s="584"/>
      <c r="BG90" s="583"/>
      <c r="BH90" s="585"/>
      <c r="BI90" s="583"/>
      <c r="BJ90" s="584"/>
      <c r="BK90" s="583"/>
      <c r="BL90" s="585"/>
      <c r="BM90" s="583"/>
      <c r="BN90" s="584"/>
      <c r="BO90" s="583"/>
      <c r="BP90" s="585"/>
      <c r="BQ90" s="583"/>
      <c r="BR90" s="584"/>
      <c r="BS90" s="583"/>
      <c r="BT90" s="586"/>
      <c r="BU90" s="540"/>
      <c r="BV90" s="540"/>
      <c r="BW90" s="540"/>
      <c r="BX90" s="538"/>
      <c r="BY90" s="538"/>
      <c r="BZ90" s="592"/>
      <c r="CA90" s="633"/>
      <c r="CB90" s="592" t="s">
        <v>365</v>
      </c>
      <c r="CC90" s="592">
        <v>0.0</v>
      </c>
      <c r="CD90" s="592" t="s">
        <v>365</v>
      </c>
      <c r="CE90" s="592">
        <v>0.0</v>
      </c>
      <c r="CF90" s="592"/>
      <c r="CG90" s="592">
        <v>0.0</v>
      </c>
      <c r="CH90" s="592"/>
      <c r="CI90" s="633"/>
      <c r="CJ90" s="592">
        <v>0.0</v>
      </c>
      <c r="CK90" s="479" t="s">
        <v>365</v>
      </c>
      <c r="CL90" s="592"/>
      <c r="CM90" s="593"/>
      <c r="CN90" s="538"/>
      <c r="CO90" s="538"/>
      <c r="CP90" s="538"/>
      <c r="CQ90" s="538"/>
      <c r="CR90" s="538"/>
      <c r="CS90" s="538"/>
      <c r="CT90" s="538"/>
      <c r="CU90" s="538"/>
      <c r="CV90" s="538"/>
      <c r="CW90" s="538"/>
      <c r="CX90" s="538"/>
      <c r="CY90" s="538"/>
      <c r="CZ90" s="538"/>
      <c r="DA90" s="538"/>
      <c r="DB90" s="538"/>
      <c r="DC90" s="538"/>
      <c r="DD90" s="538"/>
      <c r="DE90" s="538"/>
      <c r="DF90" s="538"/>
      <c r="DG90" s="538"/>
      <c r="DH90" s="538"/>
      <c r="DI90" s="538"/>
      <c r="DJ90" s="538"/>
      <c r="DK90" s="538"/>
      <c r="DL90" s="538"/>
      <c r="DM90" s="538"/>
      <c r="DN90" s="538"/>
      <c r="DO90" s="538"/>
      <c r="DP90" s="538"/>
      <c r="DQ90" s="538"/>
      <c r="DR90" s="538"/>
      <c r="DS90" s="538"/>
      <c r="DT90" s="538"/>
      <c r="DU90" s="538"/>
      <c r="DV90" s="538"/>
      <c r="DW90" s="538"/>
      <c r="DX90" s="538"/>
      <c r="DY90" s="538"/>
      <c r="DZ90" s="538"/>
      <c r="EA90" s="538"/>
      <c r="EB90" s="538"/>
      <c r="EC90" s="538"/>
      <c r="ED90" s="538"/>
      <c r="EE90" s="538"/>
      <c r="EF90" s="538"/>
      <c r="EG90" s="538"/>
      <c r="EH90" s="538"/>
      <c r="EI90" s="538"/>
      <c r="EJ90" s="538"/>
      <c r="EK90" s="538"/>
      <c r="EL90" s="538"/>
      <c r="EM90" s="538"/>
      <c r="EN90" s="538"/>
      <c r="EO90" s="538"/>
      <c r="EP90" s="538"/>
      <c r="EQ90" s="538"/>
      <c r="ER90" s="538"/>
      <c r="ES90" s="538"/>
      <c r="ET90" s="538"/>
      <c r="EU90" s="538"/>
      <c r="EV90" s="538"/>
      <c r="EW90" s="538"/>
      <c r="EX90" s="559"/>
      <c r="EY90" s="559"/>
      <c r="EZ90" s="559"/>
      <c r="FA90" s="559"/>
      <c r="FB90" s="559"/>
      <c r="FC90" s="559"/>
      <c r="FD90" s="559"/>
      <c r="FE90" s="559"/>
      <c r="FF90" s="559"/>
      <c r="FG90" s="559"/>
      <c r="FH90" s="559"/>
      <c r="FI90" s="559"/>
      <c r="FJ90" s="559"/>
      <c r="FK90" s="559"/>
      <c r="FL90" s="559"/>
      <c r="FM90" s="559"/>
      <c r="FN90" s="559"/>
      <c r="FO90" s="559"/>
      <c r="FP90" s="559"/>
      <c r="FQ90" s="559"/>
      <c r="FR90" s="559"/>
      <c r="FS90" s="559"/>
      <c r="FT90" s="559"/>
      <c r="FU90" s="559"/>
      <c r="FV90" s="559"/>
      <c r="FW90" s="559"/>
      <c r="FX90" s="559"/>
      <c r="FY90" s="559"/>
      <c r="FZ90" s="559"/>
      <c r="GA90" s="559"/>
      <c r="GB90" s="559"/>
      <c r="GC90" s="559"/>
      <c r="GD90" s="559"/>
      <c r="GE90" s="559"/>
      <c r="GF90" s="559"/>
      <c r="GG90" s="559"/>
      <c r="GH90" s="559"/>
    </row>
    <row r="91">
      <c r="A91" s="538"/>
      <c r="B91" s="156"/>
      <c r="C91" s="444"/>
      <c r="D91" s="614"/>
      <c r="E91" s="66"/>
      <c r="F91" s="642"/>
      <c r="G91" s="642"/>
      <c r="H91" s="615"/>
      <c r="I91" s="616" t="s">
        <v>365</v>
      </c>
      <c r="J91" s="624"/>
      <c r="K91" s="643"/>
      <c r="L91" s="640"/>
      <c r="M91" s="625"/>
      <c r="N91" s="617"/>
      <c r="O91" s="134"/>
      <c r="P91" s="57"/>
      <c r="Q91" s="57"/>
      <c r="S91" s="605"/>
      <c r="U91" s="573"/>
      <c r="V91" s="574"/>
      <c r="W91" s="618"/>
      <c r="X91" s="576">
        <v>0.0</v>
      </c>
      <c r="Y91" s="630">
        <v>0.0</v>
      </c>
      <c r="Z91" s="630" t="s">
        <v>365</v>
      </c>
      <c r="AA91" s="631" t="b">
        <v>0</v>
      </c>
      <c r="AB91" s="631"/>
      <c r="AC91" s="576"/>
      <c r="AD91" s="479">
        <v>0.0</v>
      </c>
      <c r="AE91" s="632"/>
      <c r="AF91" s="582" t="s">
        <v>365</v>
      </c>
      <c r="AG91" s="583"/>
      <c r="AH91" s="584"/>
      <c r="AI91" s="583"/>
      <c r="AJ91" s="585"/>
      <c r="AK91" s="583"/>
      <c r="AL91" s="584"/>
      <c r="AM91" s="583"/>
      <c r="AN91" s="585"/>
      <c r="AO91" s="583"/>
      <c r="AP91" s="584"/>
      <c r="AQ91" s="583"/>
      <c r="AR91" s="585"/>
      <c r="AS91" s="583"/>
      <c r="AT91" s="584"/>
      <c r="AU91" s="583"/>
      <c r="AV91" s="585"/>
      <c r="AW91" s="583"/>
      <c r="AX91" s="584"/>
      <c r="AY91" s="583"/>
      <c r="AZ91" s="585"/>
      <c r="BA91" s="583"/>
      <c r="BB91" s="584"/>
      <c r="BC91" s="583"/>
      <c r="BD91" s="585"/>
      <c r="BE91" s="583"/>
      <c r="BF91" s="584"/>
      <c r="BG91" s="583"/>
      <c r="BH91" s="585"/>
      <c r="BI91" s="583"/>
      <c r="BJ91" s="584"/>
      <c r="BK91" s="583"/>
      <c r="BL91" s="585"/>
      <c r="BM91" s="583"/>
      <c r="BN91" s="584"/>
      <c r="BO91" s="583"/>
      <c r="BP91" s="585"/>
      <c r="BQ91" s="583"/>
      <c r="BR91" s="584"/>
      <c r="BS91" s="583"/>
      <c r="BT91" s="586"/>
      <c r="BU91" s="540"/>
      <c r="BV91" s="540"/>
      <c r="BW91" s="540"/>
      <c r="BX91" s="538"/>
      <c r="BY91" s="538"/>
      <c r="BZ91" s="592"/>
      <c r="CA91" s="633"/>
      <c r="CB91" s="592" t="s">
        <v>365</v>
      </c>
      <c r="CC91" s="592">
        <v>0.0</v>
      </c>
      <c r="CD91" s="592" t="s">
        <v>365</v>
      </c>
      <c r="CE91" s="592">
        <v>0.0</v>
      </c>
      <c r="CF91" s="592"/>
      <c r="CG91" s="592">
        <v>0.0</v>
      </c>
      <c r="CH91" s="592"/>
      <c r="CI91" s="633"/>
      <c r="CJ91" s="592">
        <v>0.0</v>
      </c>
      <c r="CK91" s="479" t="s">
        <v>365</v>
      </c>
      <c r="CL91" s="592"/>
      <c r="CM91" s="593"/>
      <c r="CN91" s="538"/>
      <c r="CO91" s="538"/>
      <c r="CP91" s="538"/>
      <c r="CQ91" s="538"/>
      <c r="CR91" s="538"/>
      <c r="CS91" s="538"/>
      <c r="CT91" s="538"/>
      <c r="CU91" s="538"/>
      <c r="CV91" s="538"/>
      <c r="CW91" s="538"/>
      <c r="CX91" s="538"/>
      <c r="CY91" s="538"/>
      <c r="CZ91" s="538"/>
      <c r="DA91" s="538"/>
      <c r="DB91" s="538"/>
      <c r="DC91" s="538"/>
      <c r="DD91" s="538"/>
      <c r="DE91" s="538"/>
      <c r="DF91" s="538"/>
      <c r="DG91" s="538"/>
      <c r="DH91" s="538"/>
      <c r="DI91" s="538"/>
      <c r="DJ91" s="538"/>
      <c r="DK91" s="538"/>
      <c r="DL91" s="538"/>
      <c r="DM91" s="538"/>
      <c r="DN91" s="538"/>
      <c r="DO91" s="538"/>
      <c r="DP91" s="538"/>
      <c r="DQ91" s="538"/>
      <c r="DR91" s="538"/>
      <c r="DS91" s="538"/>
      <c r="DT91" s="538"/>
      <c r="DU91" s="538"/>
      <c r="DV91" s="538"/>
      <c r="DW91" s="538"/>
      <c r="DX91" s="538"/>
      <c r="DY91" s="538"/>
      <c r="DZ91" s="538"/>
      <c r="EA91" s="538"/>
      <c r="EB91" s="538"/>
      <c r="EC91" s="538"/>
      <c r="ED91" s="538"/>
      <c r="EE91" s="538"/>
      <c r="EF91" s="538"/>
      <c r="EG91" s="538"/>
      <c r="EH91" s="538"/>
      <c r="EI91" s="538"/>
      <c r="EJ91" s="538"/>
      <c r="EK91" s="538"/>
      <c r="EL91" s="538"/>
      <c r="EM91" s="538"/>
      <c r="EN91" s="538"/>
      <c r="EO91" s="538"/>
      <c r="EP91" s="538"/>
      <c r="EQ91" s="538"/>
      <c r="ER91" s="538"/>
      <c r="ES91" s="538"/>
      <c r="ET91" s="538"/>
      <c r="EU91" s="538"/>
      <c r="EV91" s="538"/>
      <c r="EW91" s="538"/>
      <c r="EX91" s="559"/>
      <c r="EY91" s="559"/>
      <c r="EZ91" s="559"/>
      <c r="FA91" s="559"/>
      <c r="FB91" s="559"/>
      <c r="FC91" s="559"/>
      <c r="FD91" s="559"/>
      <c r="FE91" s="559"/>
      <c r="FF91" s="559"/>
      <c r="FG91" s="559"/>
      <c r="FH91" s="559"/>
      <c r="FI91" s="559"/>
      <c r="FJ91" s="559"/>
      <c r="FK91" s="559"/>
      <c r="FL91" s="559"/>
      <c r="FM91" s="559"/>
      <c r="FN91" s="559"/>
      <c r="FO91" s="559"/>
      <c r="FP91" s="559"/>
      <c r="FQ91" s="559"/>
      <c r="FR91" s="559"/>
      <c r="FS91" s="559"/>
      <c r="FT91" s="559"/>
      <c r="FU91" s="559"/>
      <c r="FV91" s="559"/>
      <c r="FW91" s="559"/>
      <c r="FX91" s="559"/>
      <c r="FY91" s="559"/>
      <c r="FZ91" s="559"/>
      <c r="GA91" s="559"/>
      <c r="GB91" s="559"/>
      <c r="GC91" s="559"/>
      <c r="GD91" s="559"/>
      <c r="GE91" s="559"/>
      <c r="GF91" s="559"/>
      <c r="GG91" s="559"/>
      <c r="GH91" s="559"/>
    </row>
    <row r="92">
      <c r="A92" s="538"/>
      <c r="B92" s="156"/>
      <c r="C92" s="444"/>
      <c r="D92" s="614"/>
      <c r="E92" s="68"/>
      <c r="F92" s="644"/>
      <c r="G92" s="644"/>
      <c r="H92" s="627"/>
      <c r="I92" s="622" t="s">
        <v>365</v>
      </c>
      <c r="J92" s="607"/>
      <c r="K92" s="641"/>
      <c r="L92" s="628"/>
      <c r="M92" s="626"/>
      <c r="N92" s="619"/>
      <c r="O92" s="560"/>
      <c r="P92" s="47"/>
      <c r="Q92" s="47"/>
      <c r="S92" s="572"/>
      <c r="U92" s="573"/>
      <c r="V92" s="574"/>
      <c r="W92" s="618"/>
      <c r="X92" s="576">
        <v>0.0</v>
      </c>
      <c r="Y92" s="630">
        <v>0.0</v>
      </c>
      <c r="Z92" s="630" t="s">
        <v>365</v>
      </c>
      <c r="AA92" s="631" t="b">
        <v>0</v>
      </c>
      <c r="AB92" s="631"/>
      <c r="AC92" s="576"/>
      <c r="AD92" s="479">
        <v>0.0</v>
      </c>
      <c r="AE92" s="632"/>
      <c r="AF92" s="582" t="s">
        <v>365</v>
      </c>
      <c r="AG92" s="583"/>
      <c r="AH92" s="584"/>
      <c r="AI92" s="583"/>
      <c r="AJ92" s="585"/>
      <c r="AK92" s="583"/>
      <c r="AL92" s="584"/>
      <c r="AM92" s="583"/>
      <c r="AN92" s="585"/>
      <c r="AO92" s="583"/>
      <c r="AP92" s="584"/>
      <c r="AQ92" s="583"/>
      <c r="AR92" s="585"/>
      <c r="AS92" s="583"/>
      <c r="AT92" s="584"/>
      <c r="AU92" s="583"/>
      <c r="AV92" s="585"/>
      <c r="AW92" s="583"/>
      <c r="AX92" s="584"/>
      <c r="AY92" s="583"/>
      <c r="AZ92" s="585"/>
      <c r="BA92" s="583"/>
      <c r="BB92" s="584"/>
      <c r="BC92" s="583"/>
      <c r="BD92" s="585"/>
      <c r="BE92" s="583"/>
      <c r="BF92" s="584"/>
      <c r="BG92" s="583"/>
      <c r="BH92" s="585"/>
      <c r="BI92" s="583"/>
      <c r="BJ92" s="584"/>
      <c r="BK92" s="583"/>
      <c r="BL92" s="585"/>
      <c r="BM92" s="583"/>
      <c r="BN92" s="584"/>
      <c r="BO92" s="583"/>
      <c r="BP92" s="585"/>
      <c r="BQ92" s="583"/>
      <c r="BR92" s="584"/>
      <c r="BS92" s="583"/>
      <c r="BT92" s="586"/>
      <c r="BU92" s="540"/>
      <c r="BV92" s="540"/>
      <c r="BW92" s="540"/>
      <c r="BX92" s="538"/>
      <c r="BY92" s="538"/>
      <c r="BZ92" s="592"/>
      <c r="CA92" s="633"/>
      <c r="CB92" s="592" t="s">
        <v>365</v>
      </c>
      <c r="CC92" s="592">
        <v>0.0</v>
      </c>
      <c r="CD92" s="592" t="s">
        <v>365</v>
      </c>
      <c r="CE92" s="592">
        <v>0.0</v>
      </c>
      <c r="CF92" s="592"/>
      <c r="CG92" s="592">
        <v>0.0</v>
      </c>
      <c r="CH92" s="592"/>
      <c r="CI92" s="633"/>
      <c r="CJ92" s="592">
        <v>0.0</v>
      </c>
      <c r="CK92" s="479" t="s">
        <v>365</v>
      </c>
      <c r="CL92" s="592"/>
      <c r="CM92" s="593"/>
      <c r="CN92" s="538"/>
      <c r="CO92" s="538"/>
      <c r="CP92" s="538"/>
      <c r="CQ92" s="538"/>
      <c r="CR92" s="538"/>
      <c r="CS92" s="538"/>
      <c r="CT92" s="538"/>
      <c r="CU92" s="538"/>
      <c r="CV92" s="538"/>
      <c r="CW92" s="538"/>
      <c r="CX92" s="538"/>
      <c r="CY92" s="538"/>
      <c r="CZ92" s="538"/>
      <c r="DA92" s="538"/>
      <c r="DB92" s="538"/>
      <c r="DC92" s="538"/>
      <c r="DD92" s="538"/>
      <c r="DE92" s="538"/>
      <c r="DF92" s="538"/>
      <c r="DG92" s="538"/>
      <c r="DH92" s="538"/>
      <c r="DI92" s="538"/>
      <c r="DJ92" s="538"/>
      <c r="DK92" s="538"/>
      <c r="DL92" s="538"/>
      <c r="DM92" s="538"/>
      <c r="DN92" s="538"/>
      <c r="DO92" s="538"/>
      <c r="DP92" s="538"/>
      <c r="DQ92" s="538"/>
      <c r="DR92" s="538"/>
      <c r="DS92" s="538"/>
      <c r="DT92" s="538"/>
      <c r="DU92" s="538"/>
      <c r="DV92" s="538"/>
      <c r="DW92" s="538"/>
      <c r="DX92" s="538"/>
      <c r="DY92" s="538"/>
      <c r="DZ92" s="538"/>
      <c r="EA92" s="538"/>
      <c r="EB92" s="538"/>
      <c r="EC92" s="538"/>
      <c r="ED92" s="538"/>
      <c r="EE92" s="538"/>
      <c r="EF92" s="538"/>
      <c r="EG92" s="538"/>
      <c r="EH92" s="538"/>
      <c r="EI92" s="538"/>
      <c r="EJ92" s="538"/>
      <c r="EK92" s="538"/>
      <c r="EL92" s="538"/>
      <c r="EM92" s="538"/>
      <c r="EN92" s="538"/>
      <c r="EO92" s="538"/>
      <c r="EP92" s="538"/>
      <c r="EQ92" s="538"/>
      <c r="ER92" s="538"/>
      <c r="ES92" s="538"/>
      <c r="ET92" s="538"/>
      <c r="EU92" s="538"/>
      <c r="EV92" s="538"/>
      <c r="EW92" s="538"/>
      <c r="EX92" s="559"/>
      <c r="EY92" s="559"/>
      <c r="EZ92" s="559"/>
      <c r="FA92" s="559"/>
      <c r="FB92" s="559"/>
      <c r="FC92" s="559"/>
      <c r="FD92" s="559"/>
      <c r="FE92" s="559"/>
      <c r="FF92" s="559"/>
      <c r="FG92" s="559"/>
      <c r="FH92" s="559"/>
      <c r="FI92" s="559"/>
      <c r="FJ92" s="559"/>
      <c r="FK92" s="559"/>
      <c r="FL92" s="559"/>
      <c r="FM92" s="559"/>
      <c r="FN92" s="559"/>
      <c r="FO92" s="559"/>
      <c r="FP92" s="559"/>
      <c r="FQ92" s="559"/>
      <c r="FR92" s="559"/>
      <c r="FS92" s="559"/>
      <c r="FT92" s="559"/>
      <c r="FU92" s="559"/>
      <c r="FV92" s="559"/>
      <c r="FW92" s="559"/>
      <c r="FX92" s="559"/>
      <c r="FY92" s="559"/>
      <c r="FZ92" s="559"/>
      <c r="GA92" s="559"/>
      <c r="GB92" s="559"/>
      <c r="GC92" s="559"/>
      <c r="GD92" s="559"/>
      <c r="GE92" s="559"/>
      <c r="GF92" s="559"/>
      <c r="GG92" s="559"/>
      <c r="GH92" s="559"/>
    </row>
    <row r="93">
      <c r="A93" s="538"/>
      <c r="B93" s="156"/>
      <c r="C93" s="444"/>
      <c r="D93" s="614"/>
      <c r="E93" s="66"/>
      <c r="F93" s="642"/>
      <c r="G93" s="642"/>
      <c r="H93" s="615"/>
      <c r="I93" s="616" t="s">
        <v>365</v>
      </c>
      <c r="J93" s="624"/>
      <c r="K93" s="643"/>
      <c r="L93" s="640"/>
      <c r="M93" s="625"/>
      <c r="N93" s="617"/>
      <c r="O93" s="134"/>
      <c r="P93" s="57"/>
      <c r="Q93" s="57"/>
      <c r="S93" s="605"/>
      <c r="U93" s="573"/>
      <c r="V93" s="574"/>
      <c r="W93" s="618"/>
      <c r="X93" s="576">
        <v>0.0</v>
      </c>
      <c r="Y93" s="630">
        <v>0.0</v>
      </c>
      <c r="Z93" s="630" t="s">
        <v>365</v>
      </c>
      <c r="AA93" s="631" t="b">
        <v>0</v>
      </c>
      <c r="AB93" s="631"/>
      <c r="AC93" s="576"/>
      <c r="AD93" s="479">
        <v>0.0</v>
      </c>
      <c r="AE93" s="632"/>
      <c r="AF93" s="582" t="s">
        <v>365</v>
      </c>
      <c r="AG93" s="583"/>
      <c r="AH93" s="584"/>
      <c r="AI93" s="583"/>
      <c r="AJ93" s="585"/>
      <c r="AK93" s="583"/>
      <c r="AL93" s="584"/>
      <c r="AM93" s="583"/>
      <c r="AN93" s="585"/>
      <c r="AO93" s="583"/>
      <c r="AP93" s="584"/>
      <c r="AQ93" s="583"/>
      <c r="AR93" s="585"/>
      <c r="AS93" s="583"/>
      <c r="AT93" s="584"/>
      <c r="AU93" s="583"/>
      <c r="AV93" s="585"/>
      <c r="AW93" s="583"/>
      <c r="AX93" s="584"/>
      <c r="AY93" s="583"/>
      <c r="AZ93" s="585"/>
      <c r="BA93" s="583"/>
      <c r="BB93" s="584"/>
      <c r="BC93" s="583"/>
      <c r="BD93" s="585"/>
      <c r="BE93" s="583"/>
      <c r="BF93" s="584"/>
      <c r="BG93" s="583"/>
      <c r="BH93" s="585"/>
      <c r="BI93" s="583"/>
      <c r="BJ93" s="584"/>
      <c r="BK93" s="583"/>
      <c r="BL93" s="585"/>
      <c r="BM93" s="583"/>
      <c r="BN93" s="584"/>
      <c r="BO93" s="583"/>
      <c r="BP93" s="585"/>
      <c r="BQ93" s="583"/>
      <c r="BR93" s="584"/>
      <c r="BS93" s="583"/>
      <c r="BT93" s="586"/>
      <c r="BU93" s="540"/>
      <c r="BV93" s="540"/>
      <c r="BW93" s="540"/>
      <c r="BX93" s="538"/>
      <c r="BY93" s="538"/>
      <c r="BZ93" s="592"/>
      <c r="CA93" s="633"/>
      <c r="CB93" s="592" t="s">
        <v>365</v>
      </c>
      <c r="CC93" s="592">
        <v>0.0</v>
      </c>
      <c r="CD93" s="592" t="s">
        <v>365</v>
      </c>
      <c r="CE93" s="592">
        <v>0.0</v>
      </c>
      <c r="CF93" s="592"/>
      <c r="CG93" s="592">
        <v>0.0</v>
      </c>
      <c r="CH93" s="592"/>
      <c r="CI93" s="633"/>
      <c r="CJ93" s="592">
        <v>0.0</v>
      </c>
      <c r="CK93" s="479" t="s">
        <v>365</v>
      </c>
      <c r="CL93" s="592"/>
      <c r="CM93" s="593"/>
      <c r="CN93" s="538"/>
      <c r="CO93" s="538"/>
      <c r="CP93" s="538"/>
      <c r="CQ93" s="538"/>
      <c r="CR93" s="538"/>
      <c r="CS93" s="538"/>
      <c r="CT93" s="538"/>
      <c r="CU93" s="538"/>
      <c r="CV93" s="538"/>
      <c r="CW93" s="538"/>
      <c r="CX93" s="538"/>
      <c r="CY93" s="538"/>
      <c r="CZ93" s="538"/>
      <c r="DA93" s="538"/>
      <c r="DB93" s="538"/>
      <c r="DC93" s="538"/>
      <c r="DD93" s="538"/>
      <c r="DE93" s="538"/>
      <c r="DF93" s="538"/>
      <c r="DG93" s="538"/>
      <c r="DH93" s="538"/>
      <c r="DI93" s="538"/>
      <c r="DJ93" s="538"/>
      <c r="DK93" s="538"/>
      <c r="DL93" s="538"/>
      <c r="DM93" s="538"/>
      <c r="DN93" s="538"/>
      <c r="DO93" s="538"/>
      <c r="DP93" s="538"/>
      <c r="DQ93" s="538"/>
      <c r="DR93" s="538"/>
      <c r="DS93" s="538"/>
      <c r="DT93" s="538"/>
      <c r="DU93" s="538"/>
      <c r="DV93" s="538"/>
      <c r="DW93" s="538"/>
      <c r="DX93" s="538"/>
      <c r="DY93" s="538"/>
      <c r="DZ93" s="538"/>
      <c r="EA93" s="538"/>
      <c r="EB93" s="538"/>
      <c r="EC93" s="538"/>
      <c r="ED93" s="538"/>
      <c r="EE93" s="538"/>
      <c r="EF93" s="538"/>
      <c r="EG93" s="538"/>
      <c r="EH93" s="538"/>
      <c r="EI93" s="538"/>
      <c r="EJ93" s="538"/>
      <c r="EK93" s="538"/>
      <c r="EL93" s="538"/>
      <c r="EM93" s="538"/>
      <c r="EN93" s="538"/>
      <c r="EO93" s="538"/>
      <c r="EP93" s="538"/>
      <c r="EQ93" s="538"/>
      <c r="ER93" s="538"/>
      <c r="ES93" s="538"/>
      <c r="ET93" s="538"/>
      <c r="EU93" s="538"/>
      <c r="EV93" s="538"/>
      <c r="EW93" s="538"/>
      <c r="EX93" s="559"/>
      <c r="EY93" s="559"/>
      <c r="EZ93" s="559"/>
      <c r="FA93" s="559"/>
      <c r="FB93" s="559"/>
      <c r="FC93" s="559"/>
      <c r="FD93" s="559"/>
      <c r="FE93" s="559"/>
      <c r="FF93" s="559"/>
      <c r="FG93" s="559"/>
      <c r="FH93" s="559"/>
      <c r="FI93" s="559"/>
      <c r="FJ93" s="559"/>
      <c r="FK93" s="559"/>
      <c r="FL93" s="559"/>
      <c r="FM93" s="559"/>
      <c r="FN93" s="559"/>
      <c r="FO93" s="559"/>
      <c r="FP93" s="559"/>
      <c r="FQ93" s="559"/>
      <c r="FR93" s="559"/>
      <c r="FS93" s="559"/>
      <c r="FT93" s="559"/>
      <c r="FU93" s="559"/>
      <c r="FV93" s="559"/>
      <c r="FW93" s="559"/>
      <c r="FX93" s="559"/>
      <c r="FY93" s="559"/>
      <c r="FZ93" s="559"/>
      <c r="GA93" s="559"/>
      <c r="GB93" s="559"/>
      <c r="GC93" s="559"/>
      <c r="GD93" s="559"/>
      <c r="GE93" s="559"/>
      <c r="GF93" s="559"/>
      <c r="GG93" s="559"/>
      <c r="GH93" s="559"/>
    </row>
    <row r="94">
      <c r="A94" s="538"/>
      <c r="B94" s="156"/>
      <c r="C94" s="444"/>
      <c r="D94" s="614"/>
      <c r="E94" s="68"/>
      <c r="F94" s="644"/>
      <c r="G94" s="644"/>
      <c r="H94" s="627"/>
      <c r="I94" s="622" t="s">
        <v>365</v>
      </c>
      <c r="J94" s="607"/>
      <c r="K94" s="641"/>
      <c r="L94" s="628"/>
      <c r="M94" s="626"/>
      <c r="N94" s="619"/>
      <c r="O94" s="560"/>
      <c r="P94" s="47"/>
      <c r="Q94" s="47"/>
      <c r="S94" s="572"/>
      <c r="U94" s="573"/>
      <c r="V94" s="574"/>
      <c r="W94" s="618"/>
      <c r="X94" s="576">
        <v>0.0</v>
      </c>
      <c r="Y94" s="630">
        <v>0.0</v>
      </c>
      <c r="Z94" s="630" t="s">
        <v>365</v>
      </c>
      <c r="AA94" s="631" t="b">
        <v>0</v>
      </c>
      <c r="AB94" s="631"/>
      <c r="AC94" s="576"/>
      <c r="AD94" s="479">
        <v>0.0</v>
      </c>
      <c r="AE94" s="632"/>
      <c r="AF94" s="582" t="s">
        <v>365</v>
      </c>
      <c r="AG94" s="583"/>
      <c r="AH94" s="584"/>
      <c r="AI94" s="583"/>
      <c r="AJ94" s="585"/>
      <c r="AK94" s="583"/>
      <c r="AL94" s="584"/>
      <c r="AM94" s="583"/>
      <c r="AN94" s="585"/>
      <c r="AO94" s="583"/>
      <c r="AP94" s="584"/>
      <c r="AQ94" s="583"/>
      <c r="AR94" s="585"/>
      <c r="AS94" s="583"/>
      <c r="AT94" s="584"/>
      <c r="AU94" s="583"/>
      <c r="AV94" s="585"/>
      <c r="AW94" s="583"/>
      <c r="AX94" s="584"/>
      <c r="AY94" s="583"/>
      <c r="AZ94" s="585"/>
      <c r="BA94" s="583"/>
      <c r="BB94" s="584"/>
      <c r="BC94" s="583"/>
      <c r="BD94" s="585"/>
      <c r="BE94" s="583"/>
      <c r="BF94" s="584"/>
      <c r="BG94" s="583"/>
      <c r="BH94" s="585"/>
      <c r="BI94" s="583"/>
      <c r="BJ94" s="584"/>
      <c r="BK94" s="583"/>
      <c r="BL94" s="585"/>
      <c r="BM94" s="583"/>
      <c r="BN94" s="584"/>
      <c r="BO94" s="583"/>
      <c r="BP94" s="585"/>
      <c r="BQ94" s="583"/>
      <c r="BR94" s="584"/>
      <c r="BS94" s="583"/>
      <c r="BT94" s="586"/>
      <c r="BU94" s="540"/>
      <c r="BV94" s="540"/>
      <c r="BW94" s="540"/>
      <c r="BX94" s="538"/>
      <c r="BY94" s="538"/>
      <c r="BZ94" s="592"/>
      <c r="CA94" s="633"/>
      <c r="CB94" s="592" t="s">
        <v>365</v>
      </c>
      <c r="CC94" s="592">
        <v>0.0</v>
      </c>
      <c r="CD94" s="592" t="s">
        <v>365</v>
      </c>
      <c r="CE94" s="592">
        <v>0.0</v>
      </c>
      <c r="CF94" s="592"/>
      <c r="CG94" s="592">
        <v>0.0</v>
      </c>
      <c r="CH94" s="592"/>
      <c r="CI94" s="633"/>
      <c r="CJ94" s="592">
        <v>0.0</v>
      </c>
      <c r="CK94" s="479" t="s">
        <v>365</v>
      </c>
      <c r="CL94" s="592"/>
      <c r="CM94" s="593"/>
      <c r="CN94" s="538"/>
      <c r="CO94" s="538"/>
      <c r="CP94" s="538"/>
      <c r="CQ94" s="538"/>
      <c r="CR94" s="538"/>
      <c r="CS94" s="538"/>
      <c r="CT94" s="538"/>
      <c r="CU94" s="538"/>
      <c r="CV94" s="538"/>
      <c r="CW94" s="538"/>
      <c r="CX94" s="538"/>
      <c r="CY94" s="538"/>
      <c r="CZ94" s="538"/>
      <c r="DA94" s="538"/>
      <c r="DB94" s="538"/>
      <c r="DC94" s="538"/>
      <c r="DD94" s="538"/>
      <c r="DE94" s="538"/>
      <c r="DF94" s="538"/>
      <c r="DG94" s="538"/>
      <c r="DH94" s="538"/>
      <c r="DI94" s="538"/>
      <c r="DJ94" s="538"/>
      <c r="DK94" s="538"/>
      <c r="DL94" s="538"/>
      <c r="DM94" s="538"/>
      <c r="DN94" s="538"/>
      <c r="DO94" s="538"/>
      <c r="DP94" s="538"/>
      <c r="DQ94" s="538"/>
      <c r="DR94" s="538"/>
      <c r="DS94" s="538"/>
      <c r="DT94" s="538"/>
      <c r="DU94" s="538"/>
      <c r="DV94" s="538"/>
      <c r="DW94" s="538"/>
      <c r="DX94" s="538"/>
      <c r="DY94" s="538"/>
      <c r="DZ94" s="538"/>
      <c r="EA94" s="538"/>
      <c r="EB94" s="538"/>
      <c r="EC94" s="538"/>
      <c r="ED94" s="538"/>
      <c r="EE94" s="538"/>
      <c r="EF94" s="538"/>
      <c r="EG94" s="538"/>
      <c r="EH94" s="538"/>
      <c r="EI94" s="538"/>
      <c r="EJ94" s="538"/>
      <c r="EK94" s="538"/>
      <c r="EL94" s="538"/>
      <c r="EM94" s="538"/>
      <c r="EN94" s="538"/>
      <c r="EO94" s="538"/>
      <c r="EP94" s="538"/>
      <c r="EQ94" s="538"/>
      <c r="ER94" s="538"/>
      <c r="ES94" s="538"/>
      <c r="ET94" s="538"/>
      <c r="EU94" s="538"/>
      <c r="EV94" s="538"/>
      <c r="EW94" s="538"/>
      <c r="EX94" s="559"/>
      <c r="EY94" s="559"/>
      <c r="EZ94" s="559"/>
      <c r="FA94" s="559"/>
      <c r="FB94" s="559"/>
      <c r="FC94" s="559"/>
      <c r="FD94" s="559"/>
      <c r="FE94" s="559"/>
      <c r="FF94" s="559"/>
      <c r="FG94" s="559"/>
      <c r="FH94" s="559"/>
      <c r="FI94" s="559"/>
      <c r="FJ94" s="559"/>
      <c r="FK94" s="559"/>
      <c r="FL94" s="559"/>
      <c r="FM94" s="559"/>
      <c r="FN94" s="559"/>
      <c r="FO94" s="559"/>
      <c r="FP94" s="559"/>
      <c r="FQ94" s="559"/>
      <c r="FR94" s="559"/>
      <c r="FS94" s="559"/>
      <c r="FT94" s="559"/>
      <c r="FU94" s="559"/>
      <c r="FV94" s="559"/>
      <c r="FW94" s="559"/>
      <c r="FX94" s="559"/>
      <c r="FY94" s="559"/>
      <c r="FZ94" s="559"/>
      <c r="GA94" s="559"/>
      <c r="GB94" s="559"/>
      <c r="GC94" s="559"/>
      <c r="GD94" s="559"/>
      <c r="GE94" s="559"/>
      <c r="GF94" s="559"/>
      <c r="GG94" s="559"/>
      <c r="GH94" s="559"/>
    </row>
    <row r="95">
      <c r="A95" s="538"/>
      <c r="B95" s="156"/>
      <c r="C95" s="444"/>
      <c r="D95" s="614"/>
      <c r="E95" s="66"/>
      <c r="F95" s="642"/>
      <c r="G95" s="642"/>
      <c r="H95" s="615"/>
      <c r="I95" s="616" t="s">
        <v>365</v>
      </c>
      <c r="J95" s="624"/>
      <c r="K95" s="643"/>
      <c r="L95" s="640"/>
      <c r="M95" s="625"/>
      <c r="N95" s="617"/>
      <c r="O95" s="134"/>
      <c r="P95" s="57"/>
      <c r="Q95" s="57"/>
      <c r="S95" s="605"/>
      <c r="U95" s="573"/>
      <c r="V95" s="574"/>
      <c r="W95" s="618"/>
      <c r="X95" s="576">
        <v>0.0</v>
      </c>
      <c r="Y95" s="630">
        <v>0.0</v>
      </c>
      <c r="Z95" s="630" t="s">
        <v>365</v>
      </c>
      <c r="AA95" s="631" t="b">
        <v>0</v>
      </c>
      <c r="AB95" s="631"/>
      <c r="AC95" s="576"/>
      <c r="AD95" s="479">
        <v>0.0</v>
      </c>
      <c r="AE95" s="632"/>
      <c r="AF95" s="582" t="s">
        <v>365</v>
      </c>
      <c r="AG95" s="583"/>
      <c r="AH95" s="584"/>
      <c r="AI95" s="583"/>
      <c r="AJ95" s="585"/>
      <c r="AK95" s="583"/>
      <c r="AL95" s="584"/>
      <c r="AM95" s="583"/>
      <c r="AN95" s="585"/>
      <c r="AO95" s="583"/>
      <c r="AP95" s="584"/>
      <c r="AQ95" s="583"/>
      <c r="AR95" s="585"/>
      <c r="AS95" s="583"/>
      <c r="AT95" s="584"/>
      <c r="AU95" s="583"/>
      <c r="AV95" s="585"/>
      <c r="AW95" s="583"/>
      <c r="AX95" s="584"/>
      <c r="AY95" s="583"/>
      <c r="AZ95" s="585"/>
      <c r="BA95" s="583"/>
      <c r="BB95" s="584"/>
      <c r="BC95" s="583"/>
      <c r="BD95" s="585"/>
      <c r="BE95" s="583"/>
      <c r="BF95" s="584"/>
      <c r="BG95" s="583"/>
      <c r="BH95" s="585"/>
      <c r="BI95" s="583"/>
      <c r="BJ95" s="584"/>
      <c r="BK95" s="583"/>
      <c r="BL95" s="585"/>
      <c r="BM95" s="583"/>
      <c r="BN95" s="584"/>
      <c r="BO95" s="583"/>
      <c r="BP95" s="585"/>
      <c r="BQ95" s="583"/>
      <c r="BR95" s="584"/>
      <c r="BS95" s="583"/>
      <c r="BT95" s="586"/>
      <c r="BU95" s="540"/>
      <c r="BV95" s="540"/>
      <c r="BW95" s="540"/>
      <c r="BX95" s="538"/>
      <c r="BY95" s="538"/>
      <c r="BZ95" s="592"/>
      <c r="CA95" s="633"/>
      <c r="CB95" s="592" t="s">
        <v>365</v>
      </c>
      <c r="CC95" s="592">
        <v>0.0</v>
      </c>
      <c r="CD95" s="592" t="s">
        <v>365</v>
      </c>
      <c r="CE95" s="592">
        <v>0.0</v>
      </c>
      <c r="CF95" s="592"/>
      <c r="CG95" s="592">
        <v>0.0</v>
      </c>
      <c r="CH95" s="592"/>
      <c r="CI95" s="633"/>
      <c r="CJ95" s="592">
        <v>0.0</v>
      </c>
      <c r="CK95" s="479" t="s">
        <v>365</v>
      </c>
      <c r="CL95" s="592"/>
      <c r="CM95" s="593"/>
      <c r="CN95" s="538"/>
      <c r="CO95" s="538"/>
      <c r="CP95" s="538"/>
      <c r="CQ95" s="538"/>
      <c r="CR95" s="538"/>
      <c r="CS95" s="538"/>
      <c r="CT95" s="538"/>
      <c r="CU95" s="538"/>
      <c r="CV95" s="538"/>
      <c r="CW95" s="538"/>
      <c r="CX95" s="538"/>
      <c r="CY95" s="538"/>
      <c r="CZ95" s="538"/>
      <c r="DA95" s="538"/>
      <c r="DB95" s="538"/>
      <c r="DC95" s="538"/>
      <c r="DD95" s="538"/>
      <c r="DE95" s="538"/>
      <c r="DF95" s="538"/>
      <c r="DG95" s="538"/>
      <c r="DH95" s="538"/>
      <c r="DI95" s="538"/>
      <c r="DJ95" s="538"/>
      <c r="DK95" s="538"/>
      <c r="DL95" s="538"/>
      <c r="DM95" s="538"/>
      <c r="DN95" s="538"/>
      <c r="DO95" s="538"/>
      <c r="DP95" s="538"/>
      <c r="DQ95" s="538"/>
      <c r="DR95" s="538"/>
      <c r="DS95" s="538"/>
      <c r="DT95" s="538"/>
      <c r="DU95" s="538"/>
      <c r="DV95" s="538"/>
      <c r="DW95" s="538"/>
      <c r="DX95" s="538"/>
      <c r="DY95" s="538"/>
      <c r="DZ95" s="538"/>
      <c r="EA95" s="538"/>
      <c r="EB95" s="538"/>
      <c r="EC95" s="538"/>
      <c r="ED95" s="538"/>
      <c r="EE95" s="538"/>
      <c r="EF95" s="538"/>
      <c r="EG95" s="538"/>
      <c r="EH95" s="538"/>
      <c r="EI95" s="538"/>
      <c r="EJ95" s="538"/>
      <c r="EK95" s="538"/>
      <c r="EL95" s="538"/>
      <c r="EM95" s="538"/>
      <c r="EN95" s="538"/>
      <c r="EO95" s="538"/>
      <c r="EP95" s="538"/>
      <c r="EQ95" s="538"/>
      <c r="ER95" s="538"/>
      <c r="ES95" s="538"/>
      <c r="ET95" s="538"/>
      <c r="EU95" s="538"/>
      <c r="EV95" s="538"/>
      <c r="EW95" s="538"/>
      <c r="EX95" s="559"/>
      <c r="EY95" s="559"/>
      <c r="EZ95" s="559"/>
      <c r="FA95" s="559"/>
      <c r="FB95" s="559"/>
      <c r="FC95" s="559"/>
      <c r="FD95" s="559"/>
      <c r="FE95" s="559"/>
      <c r="FF95" s="559"/>
      <c r="FG95" s="559"/>
      <c r="FH95" s="559"/>
      <c r="FI95" s="559"/>
      <c r="FJ95" s="559"/>
      <c r="FK95" s="559"/>
      <c r="FL95" s="559"/>
      <c r="FM95" s="559"/>
      <c r="FN95" s="559"/>
      <c r="FO95" s="559"/>
      <c r="FP95" s="559"/>
      <c r="FQ95" s="559"/>
      <c r="FR95" s="559"/>
      <c r="FS95" s="559"/>
      <c r="FT95" s="559"/>
      <c r="FU95" s="559"/>
      <c r="FV95" s="559"/>
      <c r="FW95" s="559"/>
      <c r="FX95" s="559"/>
      <c r="FY95" s="559"/>
      <c r="FZ95" s="559"/>
      <c r="GA95" s="559"/>
      <c r="GB95" s="559"/>
      <c r="GC95" s="559"/>
      <c r="GD95" s="559"/>
      <c r="GE95" s="559"/>
      <c r="GF95" s="559"/>
      <c r="GG95" s="559"/>
      <c r="GH95" s="559"/>
    </row>
    <row r="96">
      <c r="A96" s="538"/>
      <c r="B96" s="156"/>
      <c r="C96" s="444"/>
      <c r="D96" s="614"/>
      <c r="E96" s="68"/>
      <c r="F96" s="644"/>
      <c r="G96" s="644"/>
      <c r="H96" s="627"/>
      <c r="I96" s="622" t="s">
        <v>365</v>
      </c>
      <c r="J96" s="607"/>
      <c r="K96" s="641"/>
      <c r="L96" s="628"/>
      <c r="M96" s="626"/>
      <c r="N96" s="619"/>
      <c r="O96" s="560"/>
      <c r="P96" s="47"/>
      <c r="Q96" s="47"/>
      <c r="S96" s="572"/>
      <c r="U96" s="573"/>
      <c r="V96" s="574"/>
      <c r="W96" s="618"/>
      <c r="X96" s="576">
        <v>0.0</v>
      </c>
      <c r="Y96" s="630">
        <v>0.0</v>
      </c>
      <c r="Z96" s="630" t="s">
        <v>365</v>
      </c>
      <c r="AA96" s="631" t="b">
        <v>0</v>
      </c>
      <c r="AB96" s="631"/>
      <c r="AC96" s="576"/>
      <c r="AD96" s="479">
        <v>0.0</v>
      </c>
      <c r="AE96" s="632"/>
      <c r="AF96" s="582" t="s">
        <v>365</v>
      </c>
      <c r="AG96" s="583"/>
      <c r="AH96" s="584"/>
      <c r="AI96" s="583"/>
      <c r="AJ96" s="585"/>
      <c r="AK96" s="583"/>
      <c r="AL96" s="584"/>
      <c r="AM96" s="583"/>
      <c r="AN96" s="585"/>
      <c r="AO96" s="583"/>
      <c r="AP96" s="584"/>
      <c r="AQ96" s="583"/>
      <c r="AR96" s="585"/>
      <c r="AS96" s="583"/>
      <c r="AT96" s="584"/>
      <c r="AU96" s="583"/>
      <c r="AV96" s="585"/>
      <c r="AW96" s="583"/>
      <c r="AX96" s="584"/>
      <c r="AY96" s="583"/>
      <c r="AZ96" s="585"/>
      <c r="BA96" s="583"/>
      <c r="BB96" s="584"/>
      <c r="BC96" s="583"/>
      <c r="BD96" s="585"/>
      <c r="BE96" s="583"/>
      <c r="BF96" s="584"/>
      <c r="BG96" s="583"/>
      <c r="BH96" s="585"/>
      <c r="BI96" s="583"/>
      <c r="BJ96" s="584"/>
      <c r="BK96" s="583"/>
      <c r="BL96" s="585"/>
      <c r="BM96" s="583"/>
      <c r="BN96" s="584"/>
      <c r="BO96" s="583"/>
      <c r="BP96" s="585"/>
      <c r="BQ96" s="583"/>
      <c r="BR96" s="584"/>
      <c r="BS96" s="583"/>
      <c r="BT96" s="586"/>
      <c r="BU96" s="540"/>
      <c r="BV96" s="540"/>
      <c r="BW96" s="540"/>
      <c r="BX96" s="538"/>
      <c r="BY96" s="538"/>
      <c r="BZ96" s="592"/>
      <c r="CA96" s="633"/>
      <c r="CB96" s="592" t="s">
        <v>365</v>
      </c>
      <c r="CC96" s="592">
        <v>0.0</v>
      </c>
      <c r="CD96" s="592" t="s">
        <v>365</v>
      </c>
      <c r="CE96" s="592">
        <v>0.0</v>
      </c>
      <c r="CF96" s="592"/>
      <c r="CG96" s="592">
        <v>0.0</v>
      </c>
      <c r="CH96" s="592"/>
      <c r="CI96" s="633"/>
      <c r="CJ96" s="592">
        <v>0.0</v>
      </c>
      <c r="CK96" s="479" t="s">
        <v>365</v>
      </c>
      <c r="CL96" s="592"/>
      <c r="CM96" s="593"/>
      <c r="CN96" s="538"/>
      <c r="CO96" s="538"/>
      <c r="CP96" s="538"/>
      <c r="CQ96" s="538"/>
      <c r="CR96" s="538"/>
      <c r="CS96" s="538"/>
      <c r="CT96" s="538"/>
      <c r="CU96" s="538"/>
      <c r="CV96" s="538"/>
      <c r="CW96" s="538"/>
      <c r="CX96" s="538"/>
      <c r="CY96" s="538"/>
      <c r="CZ96" s="538"/>
      <c r="DA96" s="538"/>
      <c r="DB96" s="538"/>
      <c r="DC96" s="538"/>
      <c r="DD96" s="538"/>
      <c r="DE96" s="538"/>
      <c r="DF96" s="538"/>
      <c r="DG96" s="538"/>
      <c r="DH96" s="538"/>
      <c r="DI96" s="538"/>
      <c r="DJ96" s="538"/>
      <c r="DK96" s="538"/>
      <c r="DL96" s="538"/>
      <c r="DM96" s="538"/>
      <c r="DN96" s="538"/>
      <c r="DO96" s="538"/>
      <c r="DP96" s="538"/>
      <c r="DQ96" s="538"/>
      <c r="DR96" s="538"/>
      <c r="DS96" s="538"/>
      <c r="DT96" s="538"/>
      <c r="DU96" s="538"/>
      <c r="DV96" s="538"/>
      <c r="DW96" s="538"/>
      <c r="DX96" s="538"/>
      <c r="DY96" s="538"/>
      <c r="DZ96" s="538"/>
      <c r="EA96" s="538"/>
      <c r="EB96" s="538"/>
      <c r="EC96" s="538"/>
      <c r="ED96" s="538"/>
      <c r="EE96" s="538"/>
      <c r="EF96" s="538"/>
      <c r="EG96" s="538"/>
      <c r="EH96" s="538"/>
      <c r="EI96" s="538"/>
      <c r="EJ96" s="538"/>
      <c r="EK96" s="538"/>
      <c r="EL96" s="538"/>
      <c r="EM96" s="538"/>
      <c r="EN96" s="538"/>
      <c r="EO96" s="538"/>
      <c r="EP96" s="538"/>
      <c r="EQ96" s="538"/>
      <c r="ER96" s="538"/>
      <c r="ES96" s="538"/>
      <c r="ET96" s="538"/>
      <c r="EU96" s="538"/>
      <c r="EV96" s="538"/>
      <c r="EW96" s="538"/>
      <c r="EX96" s="559"/>
      <c r="EY96" s="559"/>
      <c r="EZ96" s="559"/>
      <c r="FA96" s="559"/>
      <c r="FB96" s="559"/>
      <c r="FC96" s="559"/>
      <c r="FD96" s="559"/>
      <c r="FE96" s="559"/>
      <c r="FF96" s="559"/>
      <c r="FG96" s="559"/>
      <c r="FH96" s="559"/>
      <c r="FI96" s="559"/>
      <c r="FJ96" s="559"/>
      <c r="FK96" s="559"/>
      <c r="FL96" s="559"/>
      <c r="FM96" s="559"/>
      <c r="FN96" s="559"/>
      <c r="FO96" s="559"/>
      <c r="FP96" s="559"/>
      <c r="FQ96" s="559"/>
      <c r="FR96" s="559"/>
      <c r="FS96" s="559"/>
      <c r="FT96" s="559"/>
      <c r="FU96" s="559"/>
      <c r="FV96" s="559"/>
      <c r="FW96" s="559"/>
      <c r="FX96" s="559"/>
      <c r="FY96" s="559"/>
      <c r="FZ96" s="559"/>
      <c r="GA96" s="559"/>
      <c r="GB96" s="559"/>
      <c r="GC96" s="559"/>
      <c r="GD96" s="559"/>
      <c r="GE96" s="559"/>
      <c r="GF96" s="559"/>
      <c r="GG96" s="559"/>
      <c r="GH96" s="559"/>
    </row>
    <row r="97">
      <c r="A97" s="538"/>
      <c r="B97" s="156"/>
      <c r="C97" s="444"/>
      <c r="D97" s="614"/>
      <c r="E97" s="66"/>
      <c r="F97" s="642"/>
      <c r="G97" s="642"/>
      <c r="H97" s="615"/>
      <c r="I97" s="616" t="s">
        <v>365</v>
      </c>
      <c r="J97" s="624"/>
      <c r="K97" s="643"/>
      <c r="L97" s="640"/>
      <c r="M97" s="625"/>
      <c r="N97" s="617"/>
      <c r="O97" s="134"/>
      <c r="P97" s="57"/>
      <c r="Q97" s="57"/>
      <c r="S97" s="605"/>
      <c r="U97" s="573"/>
      <c r="V97" s="574"/>
      <c r="W97" s="618"/>
      <c r="X97" s="576">
        <v>0.0</v>
      </c>
      <c r="Y97" s="630">
        <v>0.0</v>
      </c>
      <c r="Z97" s="630" t="s">
        <v>365</v>
      </c>
      <c r="AA97" s="631" t="b">
        <v>0</v>
      </c>
      <c r="AB97" s="631"/>
      <c r="AC97" s="576"/>
      <c r="AD97" s="479">
        <v>0.0</v>
      </c>
      <c r="AE97" s="632"/>
      <c r="AF97" s="582" t="s">
        <v>365</v>
      </c>
      <c r="AG97" s="583"/>
      <c r="AH97" s="584"/>
      <c r="AI97" s="583"/>
      <c r="AJ97" s="585"/>
      <c r="AK97" s="583"/>
      <c r="AL97" s="584"/>
      <c r="AM97" s="583"/>
      <c r="AN97" s="585"/>
      <c r="AO97" s="583"/>
      <c r="AP97" s="584"/>
      <c r="AQ97" s="583"/>
      <c r="AR97" s="585"/>
      <c r="AS97" s="583"/>
      <c r="AT97" s="584"/>
      <c r="AU97" s="583"/>
      <c r="AV97" s="585"/>
      <c r="AW97" s="583"/>
      <c r="AX97" s="584"/>
      <c r="AY97" s="583"/>
      <c r="AZ97" s="585"/>
      <c r="BA97" s="583"/>
      <c r="BB97" s="584"/>
      <c r="BC97" s="583"/>
      <c r="BD97" s="585"/>
      <c r="BE97" s="583"/>
      <c r="BF97" s="584"/>
      <c r="BG97" s="583"/>
      <c r="BH97" s="585"/>
      <c r="BI97" s="583"/>
      <c r="BJ97" s="584"/>
      <c r="BK97" s="583"/>
      <c r="BL97" s="585"/>
      <c r="BM97" s="583"/>
      <c r="BN97" s="584"/>
      <c r="BO97" s="583"/>
      <c r="BP97" s="585"/>
      <c r="BQ97" s="583"/>
      <c r="BR97" s="584"/>
      <c r="BS97" s="583"/>
      <c r="BT97" s="586"/>
      <c r="BU97" s="540"/>
      <c r="BV97" s="540"/>
      <c r="BW97" s="540"/>
      <c r="BX97" s="538"/>
      <c r="BY97" s="538"/>
      <c r="BZ97" s="592"/>
      <c r="CA97" s="633"/>
      <c r="CB97" s="592" t="s">
        <v>365</v>
      </c>
      <c r="CC97" s="592">
        <v>0.0</v>
      </c>
      <c r="CD97" s="592" t="s">
        <v>365</v>
      </c>
      <c r="CE97" s="592">
        <v>0.0</v>
      </c>
      <c r="CF97" s="592"/>
      <c r="CG97" s="592">
        <v>0.0</v>
      </c>
      <c r="CH97" s="592"/>
      <c r="CI97" s="633"/>
      <c r="CJ97" s="592">
        <v>0.0</v>
      </c>
      <c r="CK97" s="479" t="s">
        <v>365</v>
      </c>
      <c r="CL97" s="592"/>
      <c r="CM97" s="593"/>
      <c r="CN97" s="538"/>
      <c r="CO97" s="538"/>
      <c r="CP97" s="538"/>
      <c r="CQ97" s="538"/>
      <c r="CR97" s="538"/>
      <c r="CS97" s="538"/>
      <c r="CT97" s="538"/>
      <c r="CU97" s="538"/>
      <c r="CV97" s="538"/>
      <c r="CW97" s="538"/>
      <c r="CX97" s="538"/>
      <c r="CY97" s="538"/>
      <c r="CZ97" s="538"/>
      <c r="DA97" s="538"/>
      <c r="DB97" s="538"/>
      <c r="DC97" s="538"/>
      <c r="DD97" s="538"/>
      <c r="DE97" s="538"/>
      <c r="DF97" s="538"/>
      <c r="DG97" s="538"/>
      <c r="DH97" s="538"/>
      <c r="DI97" s="538"/>
      <c r="DJ97" s="538"/>
      <c r="DK97" s="538"/>
      <c r="DL97" s="538"/>
      <c r="DM97" s="538"/>
      <c r="DN97" s="538"/>
      <c r="DO97" s="538"/>
      <c r="DP97" s="538"/>
      <c r="DQ97" s="538"/>
      <c r="DR97" s="538"/>
      <c r="DS97" s="538"/>
      <c r="DT97" s="538"/>
      <c r="DU97" s="538"/>
      <c r="DV97" s="538"/>
      <c r="DW97" s="538"/>
      <c r="DX97" s="538"/>
      <c r="DY97" s="538"/>
      <c r="DZ97" s="538"/>
      <c r="EA97" s="538"/>
      <c r="EB97" s="538"/>
      <c r="EC97" s="538"/>
      <c r="ED97" s="538"/>
      <c r="EE97" s="538"/>
      <c r="EF97" s="538"/>
      <c r="EG97" s="538"/>
      <c r="EH97" s="538"/>
      <c r="EI97" s="538"/>
      <c r="EJ97" s="538"/>
      <c r="EK97" s="538"/>
      <c r="EL97" s="538"/>
      <c r="EM97" s="538"/>
      <c r="EN97" s="538"/>
      <c r="EO97" s="538"/>
      <c r="EP97" s="538"/>
      <c r="EQ97" s="538"/>
      <c r="ER97" s="538"/>
      <c r="ES97" s="538"/>
      <c r="ET97" s="538"/>
      <c r="EU97" s="538"/>
      <c r="EV97" s="538"/>
      <c r="EW97" s="538"/>
      <c r="EX97" s="559"/>
      <c r="EY97" s="559"/>
      <c r="EZ97" s="559"/>
      <c r="FA97" s="559"/>
      <c r="FB97" s="559"/>
      <c r="FC97" s="559"/>
      <c r="FD97" s="559"/>
      <c r="FE97" s="559"/>
      <c r="FF97" s="559"/>
      <c r="FG97" s="559"/>
      <c r="FH97" s="559"/>
      <c r="FI97" s="559"/>
      <c r="FJ97" s="559"/>
      <c r="FK97" s="559"/>
      <c r="FL97" s="559"/>
      <c r="FM97" s="559"/>
      <c r="FN97" s="559"/>
      <c r="FO97" s="559"/>
      <c r="FP97" s="559"/>
      <c r="FQ97" s="559"/>
      <c r="FR97" s="559"/>
      <c r="FS97" s="559"/>
      <c r="FT97" s="559"/>
      <c r="FU97" s="559"/>
      <c r="FV97" s="559"/>
      <c r="FW97" s="559"/>
      <c r="FX97" s="559"/>
      <c r="FY97" s="559"/>
      <c r="FZ97" s="559"/>
      <c r="GA97" s="559"/>
      <c r="GB97" s="559"/>
      <c r="GC97" s="559"/>
      <c r="GD97" s="559"/>
      <c r="GE97" s="559"/>
      <c r="GF97" s="559"/>
      <c r="GG97" s="559"/>
      <c r="GH97" s="559"/>
    </row>
    <row r="98">
      <c r="A98" s="538"/>
      <c r="B98" s="156"/>
      <c r="C98" s="444"/>
      <c r="D98" s="614"/>
      <c r="E98" s="68"/>
      <c r="F98" s="644"/>
      <c r="G98" s="644"/>
      <c r="H98" s="627"/>
      <c r="I98" s="622" t="s">
        <v>365</v>
      </c>
      <c r="J98" s="607"/>
      <c r="K98" s="641"/>
      <c r="L98" s="628"/>
      <c r="M98" s="626"/>
      <c r="N98" s="619"/>
      <c r="O98" s="560"/>
      <c r="P98" s="47"/>
      <c r="Q98" s="47"/>
      <c r="S98" s="572"/>
      <c r="U98" s="573"/>
      <c r="V98" s="574"/>
      <c r="W98" s="618"/>
      <c r="X98" s="576">
        <v>0.0</v>
      </c>
      <c r="Y98" s="630">
        <v>0.0</v>
      </c>
      <c r="Z98" s="630" t="s">
        <v>365</v>
      </c>
      <c r="AA98" s="631" t="b">
        <v>0</v>
      </c>
      <c r="AB98" s="631"/>
      <c r="AC98" s="576"/>
      <c r="AD98" s="479">
        <v>0.0</v>
      </c>
      <c r="AE98" s="632"/>
      <c r="AF98" s="582" t="s">
        <v>365</v>
      </c>
      <c r="AG98" s="583"/>
      <c r="AH98" s="584"/>
      <c r="AI98" s="583"/>
      <c r="AJ98" s="585"/>
      <c r="AK98" s="583"/>
      <c r="AL98" s="584"/>
      <c r="AM98" s="583"/>
      <c r="AN98" s="585"/>
      <c r="AO98" s="583"/>
      <c r="AP98" s="584"/>
      <c r="AQ98" s="583"/>
      <c r="AR98" s="585"/>
      <c r="AS98" s="583"/>
      <c r="AT98" s="584"/>
      <c r="AU98" s="583"/>
      <c r="AV98" s="585"/>
      <c r="AW98" s="583"/>
      <c r="AX98" s="584"/>
      <c r="AY98" s="583"/>
      <c r="AZ98" s="585"/>
      <c r="BA98" s="583"/>
      <c r="BB98" s="584"/>
      <c r="BC98" s="583"/>
      <c r="BD98" s="585"/>
      <c r="BE98" s="583"/>
      <c r="BF98" s="584"/>
      <c r="BG98" s="583"/>
      <c r="BH98" s="585"/>
      <c r="BI98" s="583"/>
      <c r="BJ98" s="584"/>
      <c r="BK98" s="583"/>
      <c r="BL98" s="585"/>
      <c r="BM98" s="583"/>
      <c r="BN98" s="584"/>
      <c r="BO98" s="583"/>
      <c r="BP98" s="585"/>
      <c r="BQ98" s="583"/>
      <c r="BR98" s="584"/>
      <c r="BS98" s="583"/>
      <c r="BT98" s="586"/>
      <c r="BU98" s="540"/>
      <c r="BV98" s="540"/>
      <c r="BW98" s="540"/>
      <c r="BX98" s="538"/>
      <c r="BY98" s="538"/>
      <c r="BZ98" s="592"/>
      <c r="CA98" s="633"/>
      <c r="CB98" s="592" t="s">
        <v>365</v>
      </c>
      <c r="CC98" s="592">
        <v>0.0</v>
      </c>
      <c r="CD98" s="592" t="s">
        <v>365</v>
      </c>
      <c r="CE98" s="592">
        <v>0.0</v>
      </c>
      <c r="CF98" s="592"/>
      <c r="CG98" s="592">
        <v>0.0</v>
      </c>
      <c r="CH98" s="592"/>
      <c r="CI98" s="633"/>
      <c r="CJ98" s="592">
        <v>0.0</v>
      </c>
      <c r="CK98" s="479" t="s">
        <v>365</v>
      </c>
      <c r="CL98" s="592"/>
      <c r="CM98" s="593"/>
      <c r="CN98" s="538"/>
      <c r="CO98" s="538"/>
      <c r="CP98" s="538"/>
      <c r="CQ98" s="538"/>
      <c r="CR98" s="538"/>
      <c r="CS98" s="538"/>
      <c r="CT98" s="538"/>
      <c r="CU98" s="538"/>
      <c r="CV98" s="538"/>
      <c r="CW98" s="538"/>
      <c r="CX98" s="538"/>
      <c r="CY98" s="538"/>
      <c r="CZ98" s="538"/>
      <c r="DA98" s="538"/>
      <c r="DB98" s="538"/>
      <c r="DC98" s="538"/>
      <c r="DD98" s="538"/>
      <c r="DE98" s="538"/>
      <c r="DF98" s="538"/>
      <c r="DG98" s="538"/>
      <c r="DH98" s="538"/>
      <c r="DI98" s="538"/>
      <c r="DJ98" s="538"/>
      <c r="DK98" s="538"/>
      <c r="DL98" s="538"/>
      <c r="DM98" s="538"/>
      <c r="DN98" s="538"/>
      <c r="DO98" s="538"/>
      <c r="DP98" s="538"/>
      <c r="DQ98" s="538"/>
      <c r="DR98" s="538"/>
      <c r="DS98" s="538"/>
      <c r="DT98" s="538"/>
      <c r="DU98" s="538"/>
      <c r="DV98" s="538"/>
      <c r="DW98" s="538"/>
      <c r="DX98" s="538"/>
      <c r="DY98" s="538"/>
      <c r="DZ98" s="538"/>
      <c r="EA98" s="538"/>
      <c r="EB98" s="538"/>
      <c r="EC98" s="538"/>
      <c r="ED98" s="538"/>
      <c r="EE98" s="538"/>
      <c r="EF98" s="538"/>
      <c r="EG98" s="538"/>
      <c r="EH98" s="538"/>
      <c r="EI98" s="538"/>
      <c r="EJ98" s="538"/>
      <c r="EK98" s="538"/>
      <c r="EL98" s="538"/>
      <c r="EM98" s="538"/>
      <c r="EN98" s="538"/>
      <c r="EO98" s="538"/>
      <c r="EP98" s="538"/>
      <c r="EQ98" s="538"/>
      <c r="ER98" s="538"/>
      <c r="ES98" s="538"/>
      <c r="ET98" s="538"/>
      <c r="EU98" s="538"/>
      <c r="EV98" s="538"/>
      <c r="EW98" s="538"/>
      <c r="EX98" s="559"/>
      <c r="EY98" s="559"/>
      <c r="EZ98" s="559"/>
      <c r="FA98" s="559"/>
      <c r="FB98" s="559"/>
      <c r="FC98" s="559"/>
      <c r="FD98" s="559"/>
      <c r="FE98" s="559"/>
      <c r="FF98" s="559"/>
      <c r="FG98" s="559"/>
      <c r="FH98" s="559"/>
      <c r="FI98" s="559"/>
      <c r="FJ98" s="559"/>
      <c r="FK98" s="559"/>
      <c r="FL98" s="559"/>
      <c r="FM98" s="559"/>
      <c r="FN98" s="559"/>
      <c r="FO98" s="559"/>
      <c r="FP98" s="559"/>
      <c r="FQ98" s="559"/>
      <c r="FR98" s="559"/>
      <c r="FS98" s="559"/>
      <c r="FT98" s="559"/>
      <c r="FU98" s="559"/>
      <c r="FV98" s="559"/>
      <c r="FW98" s="559"/>
      <c r="FX98" s="559"/>
      <c r="FY98" s="559"/>
      <c r="FZ98" s="559"/>
      <c r="GA98" s="559"/>
      <c r="GB98" s="559"/>
      <c r="GC98" s="559"/>
      <c r="GD98" s="559"/>
      <c r="GE98" s="559"/>
      <c r="GF98" s="559"/>
      <c r="GG98" s="559"/>
      <c r="GH98" s="559"/>
    </row>
    <row r="99">
      <c r="A99" s="538"/>
      <c r="B99" s="156"/>
      <c r="C99" s="444"/>
      <c r="D99" s="614"/>
      <c r="E99" s="66"/>
      <c r="F99" s="642"/>
      <c r="G99" s="642"/>
      <c r="H99" s="615"/>
      <c r="I99" s="616" t="s">
        <v>365</v>
      </c>
      <c r="J99" s="624"/>
      <c r="K99" s="643"/>
      <c r="L99" s="640"/>
      <c r="M99" s="625"/>
      <c r="N99" s="617"/>
      <c r="O99" s="134"/>
      <c r="P99" s="57"/>
      <c r="Q99" s="57"/>
      <c r="S99" s="605"/>
      <c r="U99" s="573"/>
      <c r="V99" s="574"/>
      <c r="W99" s="618"/>
      <c r="X99" s="576">
        <v>0.0</v>
      </c>
      <c r="Y99" s="630">
        <v>0.0</v>
      </c>
      <c r="Z99" s="630" t="s">
        <v>365</v>
      </c>
      <c r="AA99" s="631" t="b">
        <v>0</v>
      </c>
      <c r="AB99" s="631"/>
      <c r="AC99" s="576"/>
      <c r="AD99" s="479">
        <v>0.0</v>
      </c>
      <c r="AE99" s="632"/>
      <c r="AF99" s="582" t="s">
        <v>365</v>
      </c>
      <c r="AG99" s="583"/>
      <c r="AH99" s="584"/>
      <c r="AI99" s="583"/>
      <c r="AJ99" s="585"/>
      <c r="AK99" s="583"/>
      <c r="AL99" s="584"/>
      <c r="AM99" s="583"/>
      <c r="AN99" s="585"/>
      <c r="AO99" s="583"/>
      <c r="AP99" s="584"/>
      <c r="AQ99" s="583"/>
      <c r="AR99" s="585"/>
      <c r="AS99" s="583"/>
      <c r="AT99" s="584"/>
      <c r="AU99" s="583"/>
      <c r="AV99" s="585"/>
      <c r="AW99" s="583"/>
      <c r="AX99" s="584"/>
      <c r="AY99" s="583"/>
      <c r="AZ99" s="585"/>
      <c r="BA99" s="583"/>
      <c r="BB99" s="584"/>
      <c r="BC99" s="583"/>
      <c r="BD99" s="585"/>
      <c r="BE99" s="583"/>
      <c r="BF99" s="584"/>
      <c r="BG99" s="583"/>
      <c r="BH99" s="585"/>
      <c r="BI99" s="583"/>
      <c r="BJ99" s="584"/>
      <c r="BK99" s="583"/>
      <c r="BL99" s="585"/>
      <c r="BM99" s="583"/>
      <c r="BN99" s="584"/>
      <c r="BO99" s="583"/>
      <c r="BP99" s="585"/>
      <c r="BQ99" s="583"/>
      <c r="BR99" s="584"/>
      <c r="BS99" s="583"/>
      <c r="BT99" s="586"/>
      <c r="BU99" s="540"/>
      <c r="BV99" s="540"/>
      <c r="BW99" s="540"/>
      <c r="BX99" s="538"/>
      <c r="BY99" s="538"/>
      <c r="BZ99" s="592"/>
      <c r="CA99" s="633"/>
      <c r="CB99" s="592" t="s">
        <v>365</v>
      </c>
      <c r="CC99" s="592">
        <v>0.0</v>
      </c>
      <c r="CD99" s="592" t="s">
        <v>365</v>
      </c>
      <c r="CE99" s="592">
        <v>0.0</v>
      </c>
      <c r="CF99" s="592"/>
      <c r="CG99" s="592">
        <v>0.0</v>
      </c>
      <c r="CH99" s="592"/>
      <c r="CI99" s="633"/>
      <c r="CJ99" s="592">
        <v>0.0</v>
      </c>
      <c r="CK99" s="479" t="s">
        <v>365</v>
      </c>
      <c r="CL99" s="592"/>
      <c r="CM99" s="593"/>
      <c r="CN99" s="538"/>
      <c r="CO99" s="538"/>
      <c r="CP99" s="538"/>
      <c r="CQ99" s="538"/>
      <c r="CR99" s="538"/>
      <c r="CS99" s="538"/>
      <c r="CT99" s="538"/>
      <c r="CU99" s="538"/>
      <c r="CV99" s="538"/>
      <c r="CW99" s="538"/>
      <c r="CX99" s="538"/>
      <c r="CY99" s="538"/>
      <c r="CZ99" s="538"/>
      <c r="DA99" s="538"/>
      <c r="DB99" s="538"/>
      <c r="DC99" s="538"/>
      <c r="DD99" s="538"/>
      <c r="DE99" s="538"/>
      <c r="DF99" s="538"/>
      <c r="DG99" s="538"/>
      <c r="DH99" s="538"/>
      <c r="DI99" s="538"/>
      <c r="DJ99" s="538"/>
      <c r="DK99" s="538"/>
      <c r="DL99" s="538"/>
      <c r="DM99" s="538"/>
      <c r="DN99" s="538"/>
      <c r="DO99" s="538"/>
      <c r="DP99" s="538"/>
      <c r="DQ99" s="538"/>
      <c r="DR99" s="538"/>
      <c r="DS99" s="538"/>
      <c r="DT99" s="538"/>
      <c r="DU99" s="538"/>
      <c r="DV99" s="538"/>
      <c r="DW99" s="538"/>
      <c r="DX99" s="538"/>
      <c r="DY99" s="538"/>
      <c r="DZ99" s="538"/>
      <c r="EA99" s="538"/>
      <c r="EB99" s="538"/>
      <c r="EC99" s="538"/>
      <c r="ED99" s="538"/>
      <c r="EE99" s="538"/>
      <c r="EF99" s="538"/>
      <c r="EG99" s="538"/>
      <c r="EH99" s="538"/>
      <c r="EI99" s="538"/>
      <c r="EJ99" s="538"/>
      <c r="EK99" s="538"/>
      <c r="EL99" s="538"/>
      <c r="EM99" s="538"/>
      <c r="EN99" s="538"/>
      <c r="EO99" s="538"/>
      <c r="EP99" s="538"/>
      <c r="EQ99" s="538"/>
      <c r="ER99" s="538"/>
      <c r="ES99" s="538"/>
      <c r="ET99" s="538"/>
      <c r="EU99" s="538"/>
      <c r="EV99" s="538"/>
      <c r="EW99" s="538"/>
      <c r="EX99" s="559"/>
      <c r="EY99" s="559"/>
      <c r="EZ99" s="559"/>
      <c r="FA99" s="559"/>
      <c r="FB99" s="559"/>
      <c r="FC99" s="559"/>
      <c r="FD99" s="559"/>
      <c r="FE99" s="559"/>
      <c r="FF99" s="559"/>
      <c r="FG99" s="559"/>
      <c r="FH99" s="559"/>
      <c r="FI99" s="559"/>
      <c r="FJ99" s="559"/>
      <c r="FK99" s="559"/>
      <c r="FL99" s="559"/>
      <c r="FM99" s="559"/>
      <c r="FN99" s="559"/>
      <c r="FO99" s="559"/>
      <c r="FP99" s="559"/>
      <c r="FQ99" s="559"/>
      <c r="FR99" s="559"/>
      <c r="FS99" s="559"/>
      <c r="FT99" s="559"/>
      <c r="FU99" s="559"/>
      <c r="FV99" s="559"/>
      <c r="FW99" s="559"/>
      <c r="FX99" s="559"/>
      <c r="FY99" s="559"/>
      <c r="FZ99" s="559"/>
      <c r="GA99" s="559"/>
      <c r="GB99" s="559"/>
      <c r="GC99" s="559"/>
      <c r="GD99" s="559"/>
      <c r="GE99" s="559"/>
      <c r="GF99" s="559"/>
      <c r="GG99" s="559"/>
      <c r="GH99" s="559"/>
    </row>
    <row r="100">
      <c r="A100" s="538"/>
      <c r="B100" s="156"/>
      <c r="C100" s="444"/>
      <c r="D100" s="614"/>
      <c r="E100" s="68"/>
      <c r="F100" s="644"/>
      <c r="G100" s="644"/>
      <c r="H100" s="627"/>
      <c r="I100" s="622" t="s">
        <v>365</v>
      </c>
      <c r="J100" s="607"/>
      <c r="K100" s="641"/>
      <c r="L100" s="628"/>
      <c r="M100" s="626"/>
      <c r="N100" s="619"/>
      <c r="O100" s="560"/>
      <c r="P100" s="47"/>
      <c r="Q100" s="47"/>
      <c r="S100" s="572"/>
      <c r="U100" s="573"/>
      <c r="V100" s="574"/>
      <c r="W100" s="618"/>
      <c r="X100" s="576">
        <v>0.0</v>
      </c>
      <c r="Y100" s="630">
        <v>0.0</v>
      </c>
      <c r="Z100" s="630" t="s">
        <v>365</v>
      </c>
      <c r="AA100" s="631" t="b">
        <v>0</v>
      </c>
      <c r="AB100" s="631"/>
      <c r="AC100" s="576"/>
      <c r="AD100" s="479">
        <v>0.0</v>
      </c>
      <c r="AE100" s="632"/>
      <c r="AF100" s="582" t="s">
        <v>365</v>
      </c>
      <c r="AG100" s="583"/>
      <c r="AH100" s="584"/>
      <c r="AI100" s="583"/>
      <c r="AJ100" s="585"/>
      <c r="AK100" s="583"/>
      <c r="AL100" s="584"/>
      <c r="AM100" s="583"/>
      <c r="AN100" s="585"/>
      <c r="AO100" s="583"/>
      <c r="AP100" s="584"/>
      <c r="AQ100" s="583"/>
      <c r="AR100" s="585"/>
      <c r="AS100" s="583"/>
      <c r="AT100" s="584"/>
      <c r="AU100" s="583"/>
      <c r="AV100" s="585"/>
      <c r="AW100" s="583"/>
      <c r="AX100" s="584"/>
      <c r="AY100" s="583"/>
      <c r="AZ100" s="585"/>
      <c r="BA100" s="583"/>
      <c r="BB100" s="584"/>
      <c r="BC100" s="583"/>
      <c r="BD100" s="585"/>
      <c r="BE100" s="583"/>
      <c r="BF100" s="584"/>
      <c r="BG100" s="583"/>
      <c r="BH100" s="585"/>
      <c r="BI100" s="583"/>
      <c r="BJ100" s="584"/>
      <c r="BK100" s="583"/>
      <c r="BL100" s="585"/>
      <c r="BM100" s="583"/>
      <c r="BN100" s="584"/>
      <c r="BO100" s="583"/>
      <c r="BP100" s="585"/>
      <c r="BQ100" s="583"/>
      <c r="BR100" s="584"/>
      <c r="BS100" s="583"/>
      <c r="BT100" s="586"/>
      <c r="BU100" s="540"/>
      <c r="BV100" s="540"/>
      <c r="BW100" s="540"/>
      <c r="BX100" s="538"/>
      <c r="BY100" s="538"/>
      <c r="BZ100" s="592"/>
      <c r="CA100" s="633"/>
      <c r="CB100" s="592" t="s">
        <v>365</v>
      </c>
      <c r="CC100" s="592">
        <v>0.0</v>
      </c>
      <c r="CD100" s="592" t="s">
        <v>365</v>
      </c>
      <c r="CE100" s="592">
        <v>0.0</v>
      </c>
      <c r="CF100" s="592"/>
      <c r="CG100" s="592">
        <v>0.0</v>
      </c>
      <c r="CH100" s="592"/>
      <c r="CI100" s="633"/>
      <c r="CJ100" s="592">
        <v>0.0</v>
      </c>
      <c r="CK100" s="479" t="s">
        <v>365</v>
      </c>
      <c r="CL100" s="592"/>
      <c r="CM100" s="593"/>
      <c r="CN100" s="538"/>
      <c r="CO100" s="538"/>
      <c r="CP100" s="538"/>
      <c r="CQ100" s="538"/>
      <c r="CR100" s="538"/>
      <c r="CS100" s="538"/>
      <c r="CT100" s="538"/>
      <c r="CU100" s="538"/>
      <c r="CV100" s="538"/>
      <c r="CW100" s="538"/>
      <c r="CX100" s="538"/>
      <c r="CY100" s="538"/>
      <c r="CZ100" s="538"/>
      <c r="DA100" s="538"/>
      <c r="DB100" s="538"/>
      <c r="DC100" s="538"/>
      <c r="DD100" s="538"/>
      <c r="DE100" s="538"/>
      <c r="DF100" s="538"/>
      <c r="DG100" s="538"/>
      <c r="DH100" s="538"/>
      <c r="DI100" s="538"/>
      <c r="DJ100" s="538"/>
      <c r="DK100" s="538"/>
      <c r="DL100" s="538"/>
      <c r="DM100" s="538"/>
      <c r="DN100" s="538"/>
      <c r="DO100" s="538"/>
      <c r="DP100" s="538"/>
      <c r="DQ100" s="538"/>
      <c r="DR100" s="538"/>
      <c r="DS100" s="538"/>
      <c r="DT100" s="538"/>
      <c r="DU100" s="538"/>
      <c r="DV100" s="538"/>
      <c r="DW100" s="538"/>
      <c r="DX100" s="538"/>
      <c r="DY100" s="538"/>
      <c r="DZ100" s="538"/>
      <c r="EA100" s="538"/>
      <c r="EB100" s="538"/>
      <c r="EC100" s="538"/>
      <c r="ED100" s="538"/>
      <c r="EE100" s="538"/>
      <c r="EF100" s="538"/>
      <c r="EG100" s="538"/>
      <c r="EH100" s="538"/>
      <c r="EI100" s="538"/>
      <c r="EJ100" s="538"/>
      <c r="EK100" s="538"/>
      <c r="EL100" s="538"/>
      <c r="EM100" s="538"/>
      <c r="EN100" s="538"/>
      <c r="EO100" s="538"/>
      <c r="EP100" s="538"/>
      <c r="EQ100" s="538"/>
      <c r="ER100" s="538"/>
      <c r="ES100" s="538"/>
      <c r="ET100" s="538"/>
      <c r="EU100" s="538"/>
      <c r="EV100" s="538"/>
      <c r="EW100" s="538"/>
      <c r="EX100" s="559"/>
      <c r="EY100" s="559"/>
      <c r="EZ100" s="559"/>
      <c r="FA100" s="559"/>
      <c r="FB100" s="559"/>
      <c r="FC100" s="559"/>
      <c r="FD100" s="559"/>
      <c r="FE100" s="559"/>
      <c r="FF100" s="559"/>
      <c r="FG100" s="559"/>
      <c r="FH100" s="559"/>
      <c r="FI100" s="559"/>
      <c r="FJ100" s="559"/>
      <c r="FK100" s="559"/>
      <c r="FL100" s="559"/>
      <c r="FM100" s="559"/>
      <c r="FN100" s="559"/>
      <c r="FO100" s="559"/>
      <c r="FP100" s="559"/>
      <c r="FQ100" s="559"/>
      <c r="FR100" s="559"/>
      <c r="FS100" s="559"/>
      <c r="FT100" s="559"/>
      <c r="FU100" s="559"/>
      <c r="FV100" s="559"/>
      <c r="FW100" s="559"/>
      <c r="FX100" s="559"/>
      <c r="FY100" s="559"/>
      <c r="FZ100" s="559"/>
      <c r="GA100" s="559"/>
      <c r="GB100" s="559"/>
      <c r="GC100" s="559"/>
      <c r="GD100" s="559"/>
      <c r="GE100" s="559"/>
      <c r="GF100" s="559"/>
      <c r="GG100" s="559"/>
      <c r="GH100" s="559"/>
    </row>
    <row r="101">
      <c r="A101" s="538"/>
      <c r="B101" s="156"/>
      <c r="C101" s="444"/>
      <c r="D101" s="614"/>
      <c r="E101" s="66"/>
      <c r="F101" s="642"/>
      <c r="G101" s="642"/>
      <c r="H101" s="615"/>
      <c r="I101" s="616" t="s">
        <v>365</v>
      </c>
      <c r="J101" s="624"/>
      <c r="K101" s="643"/>
      <c r="L101" s="640"/>
      <c r="M101" s="625"/>
      <c r="N101" s="617"/>
      <c r="O101" s="134"/>
      <c r="P101" s="57"/>
      <c r="Q101" s="57"/>
      <c r="S101" s="605"/>
      <c r="U101" s="573"/>
      <c r="V101" s="574"/>
      <c r="W101" s="618"/>
      <c r="X101" s="576">
        <v>0.0</v>
      </c>
      <c r="Y101" s="630">
        <v>0.0</v>
      </c>
      <c r="Z101" s="630" t="s">
        <v>365</v>
      </c>
      <c r="AA101" s="631" t="b">
        <v>0</v>
      </c>
      <c r="AB101" s="631"/>
      <c r="AC101" s="576"/>
      <c r="AD101" s="479">
        <v>0.0</v>
      </c>
      <c r="AE101" s="632"/>
      <c r="AF101" s="582" t="s">
        <v>365</v>
      </c>
      <c r="AG101" s="583"/>
      <c r="AH101" s="584"/>
      <c r="AI101" s="583"/>
      <c r="AJ101" s="585"/>
      <c r="AK101" s="583"/>
      <c r="AL101" s="584"/>
      <c r="AM101" s="583"/>
      <c r="AN101" s="585"/>
      <c r="AO101" s="583"/>
      <c r="AP101" s="584"/>
      <c r="AQ101" s="583"/>
      <c r="AR101" s="585"/>
      <c r="AS101" s="583"/>
      <c r="AT101" s="584"/>
      <c r="AU101" s="583"/>
      <c r="AV101" s="585"/>
      <c r="AW101" s="583"/>
      <c r="AX101" s="584"/>
      <c r="AY101" s="583"/>
      <c r="AZ101" s="585"/>
      <c r="BA101" s="583"/>
      <c r="BB101" s="584"/>
      <c r="BC101" s="583"/>
      <c r="BD101" s="585"/>
      <c r="BE101" s="583"/>
      <c r="BF101" s="584"/>
      <c r="BG101" s="583"/>
      <c r="BH101" s="585"/>
      <c r="BI101" s="583"/>
      <c r="BJ101" s="584"/>
      <c r="BK101" s="583"/>
      <c r="BL101" s="585"/>
      <c r="BM101" s="583"/>
      <c r="BN101" s="584"/>
      <c r="BO101" s="583"/>
      <c r="BP101" s="585"/>
      <c r="BQ101" s="583"/>
      <c r="BR101" s="584"/>
      <c r="BS101" s="583"/>
      <c r="BT101" s="586"/>
      <c r="BU101" s="540"/>
      <c r="BV101" s="540"/>
      <c r="BW101" s="540"/>
      <c r="BX101" s="538"/>
      <c r="BY101" s="538"/>
      <c r="BZ101" s="592"/>
      <c r="CA101" s="633"/>
      <c r="CB101" s="592" t="s">
        <v>365</v>
      </c>
      <c r="CC101" s="592">
        <v>0.0</v>
      </c>
      <c r="CD101" s="592" t="s">
        <v>365</v>
      </c>
      <c r="CE101" s="592">
        <v>0.0</v>
      </c>
      <c r="CF101" s="592"/>
      <c r="CG101" s="592">
        <v>0.0</v>
      </c>
      <c r="CH101" s="592"/>
      <c r="CI101" s="633"/>
      <c r="CJ101" s="592">
        <v>0.0</v>
      </c>
      <c r="CK101" s="479" t="s">
        <v>365</v>
      </c>
      <c r="CL101" s="592"/>
      <c r="CM101" s="593"/>
      <c r="CN101" s="538"/>
      <c r="CO101" s="538"/>
      <c r="CP101" s="538"/>
      <c r="CQ101" s="538"/>
      <c r="CR101" s="538"/>
      <c r="CS101" s="538"/>
      <c r="CT101" s="538"/>
      <c r="CU101" s="538"/>
      <c r="CV101" s="538"/>
      <c r="CW101" s="538"/>
      <c r="CX101" s="538"/>
      <c r="CY101" s="538"/>
      <c r="CZ101" s="538"/>
      <c r="DA101" s="538"/>
      <c r="DB101" s="538"/>
      <c r="DC101" s="538"/>
      <c r="DD101" s="538"/>
      <c r="DE101" s="538"/>
      <c r="DF101" s="538"/>
      <c r="DG101" s="538"/>
      <c r="DH101" s="538"/>
      <c r="DI101" s="538"/>
      <c r="DJ101" s="538"/>
      <c r="DK101" s="538"/>
      <c r="DL101" s="538"/>
      <c r="DM101" s="538"/>
      <c r="DN101" s="538"/>
      <c r="DO101" s="538"/>
      <c r="DP101" s="538"/>
      <c r="DQ101" s="538"/>
      <c r="DR101" s="538"/>
      <c r="DS101" s="538"/>
      <c r="DT101" s="538"/>
      <c r="DU101" s="538"/>
      <c r="DV101" s="538"/>
      <c r="DW101" s="538"/>
      <c r="DX101" s="538"/>
      <c r="DY101" s="538"/>
      <c r="DZ101" s="538"/>
      <c r="EA101" s="538"/>
      <c r="EB101" s="538"/>
      <c r="EC101" s="538"/>
      <c r="ED101" s="538"/>
      <c r="EE101" s="538"/>
      <c r="EF101" s="538"/>
      <c r="EG101" s="538"/>
      <c r="EH101" s="538"/>
      <c r="EI101" s="538"/>
      <c r="EJ101" s="538"/>
      <c r="EK101" s="538"/>
      <c r="EL101" s="538"/>
      <c r="EM101" s="538"/>
      <c r="EN101" s="538"/>
      <c r="EO101" s="538"/>
      <c r="EP101" s="538"/>
      <c r="EQ101" s="538"/>
      <c r="ER101" s="538"/>
      <c r="ES101" s="538"/>
      <c r="ET101" s="538"/>
      <c r="EU101" s="538"/>
      <c r="EV101" s="538"/>
      <c r="EW101" s="538"/>
      <c r="EX101" s="559"/>
      <c r="EY101" s="559"/>
      <c r="EZ101" s="559"/>
      <c r="FA101" s="559"/>
      <c r="FB101" s="559"/>
      <c r="FC101" s="559"/>
      <c r="FD101" s="559"/>
      <c r="FE101" s="559"/>
      <c r="FF101" s="559"/>
      <c r="FG101" s="559"/>
      <c r="FH101" s="559"/>
      <c r="FI101" s="559"/>
      <c r="FJ101" s="559"/>
      <c r="FK101" s="559"/>
      <c r="FL101" s="559"/>
      <c r="FM101" s="559"/>
      <c r="FN101" s="559"/>
      <c r="FO101" s="559"/>
      <c r="FP101" s="559"/>
      <c r="FQ101" s="559"/>
      <c r="FR101" s="559"/>
      <c r="FS101" s="559"/>
      <c r="FT101" s="559"/>
      <c r="FU101" s="559"/>
      <c r="FV101" s="559"/>
      <c r="FW101" s="559"/>
      <c r="FX101" s="559"/>
      <c r="FY101" s="559"/>
      <c r="FZ101" s="559"/>
      <c r="GA101" s="559"/>
      <c r="GB101" s="559"/>
      <c r="GC101" s="559"/>
      <c r="GD101" s="559"/>
      <c r="GE101" s="559"/>
      <c r="GF101" s="559"/>
      <c r="GG101" s="559"/>
      <c r="GH101" s="559"/>
    </row>
    <row r="102">
      <c r="A102" s="538"/>
      <c r="B102" s="156"/>
      <c r="C102" s="444"/>
      <c r="D102" s="614"/>
      <c r="E102" s="68"/>
      <c r="F102" s="644"/>
      <c r="G102" s="644"/>
      <c r="H102" s="627"/>
      <c r="I102" s="622" t="s">
        <v>365</v>
      </c>
      <c r="J102" s="607"/>
      <c r="K102" s="641"/>
      <c r="L102" s="628"/>
      <c r="M102" s="626"/>
      <c r="N102" s="619"/>
      <c r="O102" s="560"/>
      <c r="P102" s="47"/>
      <c r="Q102" s="47"/>
      <c r="S102" s="572"/>
      <c r="U102" s="573"/>
      <c r="V102" s="574"/>
      <c r="W102" s="618"/>
      <c r="X102" s="576">
        <v>0.0</v>
      </c>
      <c r="Y102" s="630">
        <v>0.0</v>
      </c>
      <c r="Z102" s="630" t="s">
        <v>365</v>
      </c>
      <c r="AA102" s="631" t="b">
        <v>0</v>
      </c>
      <c r="AB102" s="631"/>
      <c r="AC102" s="576"/>
      <c r="AD102" s="479">
        <v>0.0</v>
      </c>
      <c r="AE102" s="632"/>
      <c r="AF102" s="582" t="s">
        <v>365</v>
      </c>
      <c r="AG102" s="583"/>
      <c r="AH102" s="584"/>
      <c r="AI102" s="583"/>
      <c r="AJ102" s="585"/>
      <c r="AK102" s="583"/>
      <c r="AL102" s="584"/>
      <c r="AM102" s="583"/>
      <c r="AN102" s="585"/>
      <c r="AO102" s="583"/>
      <c r="AP102" s="584"/>
      <c r="AQ102" s="583"/>
      <c r="AR102" s="585"/>
      <c r="AS102" s="583"/>
      <c r="AT102" s="584"/>
      <c r="AU102" s="583"/>
      <c r="AV102" s="585"/>
      <c r="AW102" s="583"/>
      <c r="AX102" s="584"/>
      <c r="AY102" s="583"/>
      <c r="AZ102" s="585"/>
      <c r="BA102" s="583"/>
      <c r="BB102" s="584"/>
      <c r="BC102" s="583"/>
      <c r="BD102" s="585"/>
      <c r="BE102" s="583"/>
      <c r="BF102" s="584"/>
      <c r="BG102" s="583"/>
      <c r="BH102" s="585"/>
      <c r="BI102" s="583"/>
      <c r="BJ102" s="584"/>
      <c r="BK102" s="583"/>
      <c r="BL102" s="585"/>
      <c r="BM102" s="583"/>
      <c r="BN102" s="584"/>
      <c r="BO102" s="583"/>
      <c r="BP102" s="585"/>
      <c r="BQ102" s="583"/>
      <c r="BR102" s="584"/>
      <c r="BS102" s="583"/>
      <c r="BT102" s="586"/>
      <c r="BU102" s="540"/>
      <c r="BV102" s="540"/>
      <c r="BW102" s="540"/>
      <c r="BX102" s="538"/>
      <c r="BY102" s="538"/>
      <c r="BZ102" s="592"/>
      <c r="CA102" s="633"/>
      <c r="CB102" s="592" t="s">
        <v>365</v>
      </c>
      <c r="CC102" s="592">
        <v>0.0</v>
      </c>
      <c r="CD102" s="592" t="s">
        <v>365</v>
      </c>
      <c r="CE102" s="592">
        <v>0.0</v>
      </c>
      <c r="CF102" s="592"/>
      <c r="CG102" s="592">
        <v>0.0</v>
      </c>
      <c r="CH102" s="592"/>
      <c r="CI102" s="633"/>
      <c r="CJ102" s="592">
        <v>0.0</v>
      </c>
      <c r="CK102" s="479" t="s">
        <v>365</v>
      </c>
      <c r="CL102" s="592"/>
      <c r="CM102" s="593"/>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c r="DS102" s="538"/>
      <c r="DT102" s="538"/>
      <c r="DU102" s="538"/>
      <c r="DV102" s="538"/>
      <c r="DW102" s="538"/>
      <c r="DX102" s="538"/>
      <c r="DY102" s="538"/>
      <c r="DZ102" s="538"/>
      <c r="EA102" s="538"/>
      <c r="EB102" s="538"/>
      <c r="EC102" s="538"/>
      <c r="ED102" s="538"/>
      <c r="EE102" s="538"/>
      <c r="EF102" s="538"/>
      <c r="EG102" s="538"/>
      <c r="EH102" s="538"/>
      <c r="EI102" s="538"/>
      <c r="EJ102" s="538"/>
      <c r="EK102" s="538"/>
      <c r="EL102" s="538"/>
      <c r="EM102" s="538"/>
      <c r="EN102" s="538"/>
      <c r="EO102" s="538"/>
      <c r="EP102" s="538"/>
      <c r="EQ102" s="538"/>
      <c r="ER102" s="538"/>
      <c r="ES102" s="538"/>
      <c r="ET102" s="538"/>
      <c r="EU102" s="538"/>
      <c r="EV102" s="538"/>
      <c r="EW102" s="538"/>
      <c r="EX102" s="559"/>
      <c r="EY102" s="559"/>
      <c r="EZ102" s="559"/>
      <c r="FA102" s="559"/>
      <c r="FB102" s="559"/>
      <c r="FC102" s="559"/>
      <c r="FD102" s="559"/>
      <c r="FE102" s="559"/>
      <c r="FF102" s="559"/>
      <c r="FG102" s="559"/>
      <c r="FH102" s="559"/>
      <c r="FI102" s="559"/>
      <c r="FJ102" s="559"/>
      <c r="FK102" s="559"/>
      <c r="FL102" s="559"/>
      <c r="FM102" s="559"/>
      <c r="FN102" s="559"/>
      <c r="FO102" s="559"/>
      <c r="FP102" s="559"/>
      <c r="FQ102" s="559"/>
      <c r="FR102" s="559"/>
      <c r="FS102" s="559"/>
      <c r="FT102" s="559"/>
      <c r="FU102" s="559"/>
      <c r="FV102" s="559"/>
      <c r="FW102" s="559"/>
      <c r="FX102" s="559"/>
      <c r="FY102" s="559"/>
      <c r="FZ102" s="559"/>
      <c r="GA102" s="559"/>
      <c r="GB102" s="559"/>
      <c r="GC102" s="559"/>
      <c r="GD102" s="559"/>
      <c r="GE102" s="559"/>
      <c r="GF102" s="559"/>
      <c r="GG102" s="559"/>
      <c r="GH102" s="559"/>
    </row>
    <row r="103">
      <c r="A103" s="538"/>
      <c r="B103" s="156"/>
      <c r="C103" s="444"/>
      <c r="D103" s="614"/>
      <c r="E103" s="66"/>
      <c r="F103" s="642"/>
      <c r="G103" s="642"/>
      <c r="H103" s="615"/>
      <c r="I103" s="616" t="s">
        <v>365</v>
      </c>
      <c r="J103" s="624"/>
      <c r="K103" s="643"/>
      <c r="L103" s="640"/>
      <c r="M103" s="625"/>
      <c r="N103" s="617"/>
      <c r="O103" s="134"/>
      <c r="P103" s="57"/>
      <c r="Q103" s="57"/>
      <c r="S103" s="605"/>
      <c r="U103" s="573"/>
      <c r="V103" s="574"/>
      <c r="W103" s="618"/>
      <c r="X103" s="576">
        <v>0.0</v>
      </c>
      <c r="Y103" s="630">
        <v>0.0</v>
      </c>
      <c r="Z103" s="630" t="s">
        <v>365</v>
      </c>
      <c r="AA103" s="631" t="b">
        <v>0</v>
      </c>
      <c r="AB103" s="631"/>
      <c r="AC103" s="576"/>
      <c r="AD103" s="479">
        <v>0.0</v>
      </c>
      <c r="AE103" s="632"/>
      <c r="AF103" s="582" t="s">
        <v>365</v>
      </c>
      <c r="AG103" s="583"/>
      <c r="AH103" s="584"/>
      <c r="AI103" s="583"/>
      <c r="AJ103" s="585"/>
      <c r="AK103" s="583"/>
      <c r="AL103" s="584"/>
      <c r="AM103" s="583"/>
      <c r="AN103" s="585"/>
      <c r="AO103" s="583"/>
      <c r="AP103" s="584"/>
      <c r="AQ103" s="583"/>
      <c r="AR103" s="585"/>
      <c r="AS103" s="583"/>
      <c r="AT103" s="584"/>
      <c r="AU103" s="583"/>
      <c r="AV103" s="585"/>
      <c r="AW103" s="583"/>
      <c r="AX103" s="584"/>
      <c r="AY103" s="583"/>
      <c r="AZ103" s="585"/>
      <c r="BA103" s="583"/>
      <c r="BB103" s="584"/>
      <c r="BC103" s="583"/>
      <c r="BD103" s="585"/>
      <c r="BE103" s="583"/>
      <c r="BF103" s="584"/>
      <c r="BG103" s="583"/>
      <c r="BH103" s="585"/>
      <c r="BI103" s="583"/>
      <c r="BJ103" s="584"/>
      <c r="BK103" s="583"/>
      <c r="BL103" s="585"/>
      <c r="BM103" s="583"/>
      <c r="BN103" s="584"/>
      <c r="BO103" s="583"/>
      <c r="BP103" s="585"/>
      <c r="BQ103" s="583"/>
      <c r="BR103" s="584"/>
      <c r="BS103" s="583"/>
      <c r="BT103" s="586"/>
      <c r="BU103" s="540"/>
      <c r="BV103" s="540"/>
      <c r="BW103" s="540"/>
      <c r="BX103" s="538"/>
      <c r="BY103" s="538"/>
      <c r="BZ103" s="592"/>
      <c r="CA103" s="633"/>
      <c r="CB103" s="592" t="s">
        <v>365</v>
      </c>
      <c r="CC103" s="592">
        <v>0.0</v>
      </c>
      <c r="CD103" s="592" t="s">
        <v>365</v>
      </c>
      <c r="CE103" s="592">
        <v>0.0</v>
      </c>
      <c r="CF103" s="592"/>
      <c r="CG103" s="592">
        <v>0.0</v>
      </c>
      <c r="CH103" s="592"/>
      <c r="CI103" s="633"/>
      <c r="CJ103" s="592">
        <v>0.0</v>
      </c>
      <c r="CK103" s="479" t="s">
        <v>365</v>
      </c>
      <c r="CL103" s="592"/>
      <c r="CM103" s="593"/>
      <c r="CN103" s="538"/>
      <c r="CO103" s="538"/>
      <c r="CP103" s="538"/>
      <c r="CQ103" s="538"/>
      <c r="CR103" s="538"/>
      <c r="CS103" s="538"/>
      <c r="CT103" s="538"/>
      <c r="CU103" s="538"/>
      <c r="CV103" s="538"/>
      <c r="CW103" s="538"/>
      <c r="CX103" s="538"/>
      <c r="CY103" s="538"/>
      <c r="CZ103" s="538"/>
      <c r="DA103" s="538"/>
      <c r="DB103" s="538"/>
      <c r="DC103" s="538"/>
      <c r="DD103" s="538"/>
      <c r="DE103" s="538"/>
      <c r="DF103" s="538"/>
      <c r="DG103" s="538"/>
      <c r="DH103" s="538"/>
      <c r="DI103" s="538"/>
      <c r="DJ103" s="538"/>
      <c r="DK103" s="538"/>
      <c r="DL103" s="538"/>
      <c r="DM103" s="538"/>
      <c r="DN103" s="538"/>
      <c r="DO103" s="538"/>
      <c r="DP103" s="538"/>
      <c r="DQ103" s="538"/>
      <c r="DR103" s="538"/>
      <c r="DS103" s="538"/>
      <c r="DT103" s="538"/>
      <c r="DU103" s="538"/>
      <c r="DV103" s="538"/>
      <c r="DW103" s="538"/>
      <c r="DX103" s="538"/>
      <c r="DY103" s="538"/>
      <c r="DZ103" s="538"/>
      <c r="EA103" s="538"/>
      <c r="EB103" s="538"/>
      <c r="EC103" s="538"/>
      <c r="ED103" s="538"/>
      <c r="EE103" s="538"/>
      <c r="EF103" s="538"/>
      <c r="EG103" s="538"/>
      <c r="EH103" s="538"/>
      <c r="EI103" s="538"/>
      <c r="EJ103" s="538"/>
      <c r="EK103" s="538"/>
      <c r="EL103" s="538"/>
      <c r="EM103" s="538"/>
      <c r="EN103" s="538"/>
      <c r="EO103" s="538"/>
      <c r="EP103" s="538"/>
      <c r="EQ103" s="538"/>
      <c r="ER103" s="538"/>
      <c r="ES103" s="538"/>
      <c r="ET103" s="538"/>
      <c r="EU103" s="538"/>
      <c r="EV103" s="538"/>
      <c r="EW103" s="538"/>
      <c r="EX103" s="559"/>
      <c r="EY103" s="559"/>
      <c r="EZ103" s="559"/>
      <c r="FA103" s="559"/>
      <c r="FB103" s="559"/>
      <c r="FC103" s="559"/>
      <c r="FD103" s="559"/>
      <c r="FE103" s="559"/>
      <c r="FF103" s="559"/>
      <c r="FG103" s="559"/>
      <c r="FH103" s="559"/>
      <c r="FI103" s="559"/>
      <c r="FJ103" s="559"/>
      <c r="FK103" s="559"/>
      <c r="FL103" s="559"/>
      <c r="FM103" s="559"/>
      <c r="FN103" s="559"/>
      <c r="FO103" s="559"/>
      <c r="FP103" s="559"/>
      <c r="FQ103" s="559"/>
      <c r="FR103" s="559"/>
      <c r="FS103" s="559"/>
      <c r="FT103" s="559"/>
      <c r="FU103" s="559"/>
      <c r="FV103" s="559"/>
      <c r="FW103" s="559"/>
      <c r="FX103" s="559"/>
      <c r="FY103" s="559"/>
      <c r="FZ103" s="559"/>
      <c r="GA103" s="559"/>
      <c r="GB103" s="559"/>
      <c r="GC103" s="559"/>
      <c r="GD103" s="559"/>
      <c r="GE103" s="559"/>
      <c r="GF103" s="559"/>
      <c r="GG103" s="559"/>
      <c r="GH103" s="559"/>
    </row>
    <row r="104">
      <c r="A104" s="538"/>
      <c r="B104" s="156"/>
      <c r="C104" s="444"/>
      <c r="D104" s="614"/>
      <c r="E104" s="68"/>
      <c r="F104" s="644"/>
      <c r="G104" s="644"/>
      <c r="H104" s="627"/>
      <c r="I104" s="622" t="s">
        <v>365</v>
      </c>
      <c r="J104" s="607"/>
      <c r="K104" s="641"/>
      <c r="L104" s="628"/>
      <c r="M104" s="626"/>
      <c r="N104" s="619"/>
      <c r="O104" s="560"/>
      <c r="P104" s="47"/>
      <c r="Q104" s="47"/>
      <c r="S104" s="572"/>
      <c r="U104" s="573"/>
      <c r="V104" s="574"/>
      <c r="W104" s="618"/>
      <c r="X104" s="576">
        <v>0.0</v>
      </c>
      <c r="Y104" s="630">
        <v>0.0</v>
      </c>
      <c r="Z104" s="630" t="s">
        <v>365</v>
      </c>
      <c r="AA104" s="631" t="b">
        <v>0</v>
      </c>
      <c r="AB104" s="631"/>
      <c r="AC104" s="576"/>
      <c r="AD104" s="479">
        <v>0.0</v>
      </c>
      <c r="AE104" s="632"/>
      <c r="AF104" s="582" t="s">
        <v>365</v>
      </c>
      <c r="AG104" s="583"/>
      <c r="AH104" s="584"/>
      <c r="AI104" s="583"/>
      <c r="AJ104" s="585"/>
      <c r="AK104" s="583"/>
      <c r="AL104" s="584"/>
      <c r="AM104" s="583"/>
      <c r="AN104" s="585"/>
      <c r="AO104" s="583"/>
      <c r="AP104" s="584"/>
      <c r="AQ104" s="583"/>
      <c r="AR104" s="585"/>
      <c r="AS104" s="583"/>
      <c r="AT104" s="584"/>
      <c r="AU104" s="583"/>
      <c r="AV104" s="585"/>
      <c r="AW104" s="583"/>
      <c r="AX104" s="584"/>
      <c r="AY104" s="583"/>
      <c r="AZ104" s="585"/>
      <c r="BA104" s="583"/>
      <c r="BB104" s="584"/>
      <c r="BC104" s="583"/>
      <c r="BD104" s="585"/>
      <c r="BE104" s="583"/>
      <c r="BF104" s="584"/>
      <c r="BG104" s="583"/>
      <c r="BH104" s="585"/>
      <c r="BI104" s="583"/>
      <c r="BJ104" s="584"/>
      <c r="BK104" s="583"/>
      <c r="BL104" s="585"/>
      <c r="BM104" s="583"/>
      <c r="BN104" s="584"/>
      <c r="BO104" s="583"/>
      <c r="BP104" s="585"/>
      <c r="BQ104" s="583"/>
      <c r="BR104" s="584"/>
      <c r="BS104" s="583"/>
      <c r="BT104" s="586"/>
      <c r="BU104" s="540"/>
      <c r="BV104" s="540"/>
      <c r="BW104" s="540"/>
      <c r="BX104" s="538"/>
      <c r="BY104" s="538"/>
      <c r="BZ104" s="592"/>
      <c r="CA104" s="633"/>
      <c r="CB104" s="592" t="s">
        <v>365</v>
      </c>
      <c r="CC104" s="592">
        <v>0.0</v>
      </c>
      <c r="CD104" s="592" t="s">
        <v>365</v>
      </c>
      <c r="CE104" s="592">
        <v>0.0</v>
      </c>
      <c r="CF104" s="592"/>
      <c r="CG104" s="592">
        <v>0.0</v>
      </c>
      <c r="CH104" s="592"/>
      <c r="CI104" s="633"/>
      <c r="CJ104" s="592">
        <v>0.0</v>
      </c>
      <c r="CK104" s="479" t="s">
        <v>365</v>
      </c>
      <c r="CL104" s="592"/>
      <c r="CM104" s="593"/>
      <c r="CN104" s="538"/>
      <c r="CO104" s="538"/>
      <c r="CP104" s="538"/>
      <c r="CQ104" s="538"/>
      <c r="CR104" s="538"/>
      <c r="CS104" s="538"/>
      <c r="CT104" s="538"/>
      <c r="CU104" s="538"/>
      <c r="CV104" s="538"/>
      <c r="CW104" s="538"/>
      <c r="CX104" s="538"/>
      <c r="CY104" s="538"/>
      <c r="CZ104" s="538"/>
      <c r="DA104" s="538"/>
      <c r="DB104" s="538"/>
      <c r="DC104" s="538"/>
      <c r="DD104" s="538"/>
      <c r="DE104" s="538"/>
      <c r="DF104" s="538"/>
      <c r="DG104" s="538"/>
      <c r="DH104" s="538"/>
      <c r="DI104" s="538"/>
      <c r="DJ104" s="538"/>
      <c r="DK104" s="538"/>
      <c r="DL104" s="538"/>
      <c r="DM104" s="538"/>
      <c r="DN104" s="538"/>
      <c r="DO104" s="538"/>
      <c r="DP104" s="538"/>
      <c r="DQ104" s="538"/>
      <c r="DR104" s="538"/>
      <c r="DS104" s="538"/>
      <c r="DT104" s="538"/>
      <c r="DU104" s="538"/>
      <c r="DV104" s="538"/>
      <c r="DW104" s="538"/>
      <c r="DX104" s="538"/>
      <c r="DY104" s="538"/>
      <c r="DZ104" s="538"/>
      <c r="EA104" s="538"/>
      <c r="EB104" s="538"/>
      <c r="EC104" s="538"/>
      <c r="ED104" s="538"/>
      <c r="EE104" s="538"/>
      <c r="EF104" s="538"/>
      <c r="EG104" s="538"/>
      <c r="EH104" s="538"/>
      <c r="EI104" s="538"/>
      <c r="EJ104" s="538"/>
      <c r="EK104" s="538"/>
      <c r="EL104" s="538"/>
      <c r="EM104" s="538"/>
      <c r="EN104" s="538"/>
      <c r="EO104" s="538"/>
      <c r="EP104" s="538"/>
      <c r="EQ104" s="538"/>
      <c r="ER104" s="538"/>
      <c r="ES104" s="538"/>
      <c r="ET104" s="538"/>
      <c r="EU104" s="538"/>
      <c r="EV104" s="538"/>
      <c r="EW104" s="538"/>
      <c r="EX104" s="559"/>
      <c r="EY104" s="559"/>
      <c r="EZ104" s="559"/>
      <c r="FA104" s="559"/>
      <c r="FB104" s="559"/>
      <c r="FC104" s="559"/>
      <c r="FD104" s="559"/>
      <c r="FE104" s="559"/>
      <c r="FF104" s="559"/>
      <c r="FG104" s="559"/>
      <c r="FH104" s="559"/>
      <c r="FI104" s="559"/>
      <c r="FJ104" s="559"/>
      <c r="FK104" s="559"/>
      <c r="FL104" s="559"/>
      <c r="FM104" s="559"/>
      <c r="FN104" s="559"/>
      <c r="FO104" s="559"/>
      <c r="FP104" s="559"/>
      <c r="FQ104" s="559"/>
      <c r="FR104" s="559"/>
      <c r="FS104" s="559"/>
      <c r="FT104" s="559"/>
      <c r="FU104" s="559"/>
      <c r="FV104" s="559"/>
      <c r="FW104" s="559"/>
      <c r="FX104" s="559"/>
      <c r="FY104" s="559"/>
      <c r="FZ104" s="559"/>
      <c r="GA104" s="559"/>
      <c r="GB104" s="559"/>
      <c r="GC104" s="559"/>
      <c r="GD104" s="559"/>
      <c r="GE104" s="559"/>
      <c r="GF104" s="559"/>
      <c r="GG104" s="559"/>
      <c r="GH104" s="559"/>
    </row>
    <row r="105">
      <c r="A105" s="538"/>
      <c r="B105" s="156"/>
      <c r="C105" s="444"/>
      <c r="D105" s="614"/>
      <c r="E105" s="66"/>
      <c r="F105" s="642"/>
      <c r="G105" s="642"/>
      <c r="H105" s="615"/>
      <c r="I105" s="616" t="s">
        <v>365</v>
      </c>
      <c r="J105" s="624"/>
      <c r="K105" s="643"/>
      <c r="L105" s="640"/>
      <c r="M105" s="625"/>
      <c r="N105" s="617"/>
      <c r="O105" s="134"/>
      <c r="P105" s="57"/>
      <c r="Q105" s="57"/>
      <c r="S105" s="605"/>
      <c r="U105" s="573"/>
      <c r="V105" s="574"/>
      <c r="W105" s="618"/>
      <c r="X105" s="576">
        <v>0.0</v>
      </c>
      <c r="Y105" s="630">
        <v>0.0</v>
      </c>
      <c r="Z105" s="630" t="s">
        <v>365</v>
      </c>
      <c r="AA105" s="631" t="b">
        <v>0</v>
      </c>
      <c r="AB105" s="631"/>
      <c r="AC105" s="576"/>
      <c r="AD105" s="479">
        <v>0.0</v>
      </c>
      <c r="AE105" s="632"/>
      <c r="AF105" s="582" t="s">
        <v>365</v>
      </c>
      <c r="AG105" s="583"/>
      <c r="AH105" s="584"/>
      <c r="AI105" s="583"/>
      <c r="AJ105" s="585"/>
      <c r="AK105" s="583"/>
      <c r="AL105" s="584"/>
      <c r="AM105" s="583"/>
      <c r="AN105" s="585"/>
      <c r="AO105" s="583"/>
      <c r="AP105" s="584"/>
      <c r="AQ105" s="583"/>
      <c r="AR105" s="585"/>
      <c r="AS105" s="583"/>
      <c r="AT105" s="584"/>
      <c r="AU105" s="583"/>
      <c r="AV105" s="585"/>
      <c r="AW105" s="583"/>
      <c r="AX105" s="584"/>
      <c r="AY105" s="583"/>
      <c r="AZ105" s="585"/>
      <c r="BA105" s="583"/>
      <c r="BB105" s="584"/>
      <c r="BC105" s="583"/>
      <c r="BD105" s="585"/>
      <c r="BE105" s="583"/>
      <c r="BF105" s="584"/>
      <c r="BG105" s="583"/>
      <c r="BH105" s="585"/>
      <c r="BI105" s="583"/>
      <c r="BJ105" s="584"/>
      <c r="BK105" s="583"/>
      <c r="BL105" s="585"/>
      <c r="BM105" s="583"/>
      <c r="BN105" s="584"/>
      <c r="BO105" s="583"/>
      <c r="BP105" s="585"/>
      <c r="BQ105" s="583"/>
      <c r="BR105" s="584"/>
      <c r="BS105" s="583"/>
      <c r="BT105" s="586"/>
      <c r="BU105" s="540"/>
      <c r="BV105" s="540"/>
      <c r="BW105" s="540"/>
      <c r="BX105" s="538"/>
      <c r="BY105" s="538"/>
      <c r="BZ105" s="592"/>
      <c r="CA105" s="633"/>
      <c r="CB105" s="592" t="s">
        <v>365</v>
      </c>
      <c r="CC105" s="592">
        <v>0.0</v>
      </c>
      <c r="CD105" s="592" t="s">
        <v>365</v>
      </c>
      <c r="CE105" s="592">
        <v>0.0</v>
      </c>
      <c r="CF105" s="592"/>
      <c r="CG105" s="592">
        <v>0.0</v>
      </c>
      <c r="CH105" s="592"/>
      <c r="CI105" s="633"/>
      <c r="CJ105" s="592">
        <v>0.0</v>
      </c>
      <c r="CK105" s="479" t="s">
        <v>365</v>
      </c>
      <c r="CL105" s="592"/>
      <c r="CM105" s="593"/>
      <c r="CN105" s="538"/>
      <c r="CO105" s="538"/>
      <c r="CP105" s="538"/>
      <c r="CQ105" s="538"/>
      <c r="CR105" s="538"/>
      <c r="CS105" s="538"/>
      <c r="CT105" s="538"/>
      <c r="CU105" s="538"/>
      <c r="CV105" s="538"/>
      <c r="CW105" s="538"/>
      <c r="CX105" s="538"/>
      <c r="CY105" s="538"/>
      <c r="CZ105" s="538"/>
      <c r="DA105" s="538"/>
      <c r="DB105" s="538"/>
      <c r="DC105" s="538"/>
      <c r="DD105" s="538"/>
      <c r="DE105" s="538"/>
      <c r="DF105" s="538"/>
      <c r="DG105" s="538"/>
      <c r="DH105" s="538"/>
      <c r="DI105" s="538"/>
      <c r="DJ105" s="538"/>
      <c r="DK105" s="538"/>
      <c r="DL105" s="538"/>
      <c r="DM105" s="538"/>
      <c r="DN105" s="538"/>
      <c r="DO105" s="538"/>
      <c r="DP105" s="538"/>
      <c r="DQ105" s="538"/>
      <c r="DR105" s="538"/>
      <c r="DS105" s="538"/>
      <c r="DT105" s="538"/>
      <c r="DU105" s="538"/>
      <c r="DV105" s="538"/>
      <c r="DW105" s="538"/>
      <c r="DX105" s="538"/>
      <c r="DY105" s="538"/>
      <c r="DZ105" s="538"/>
      <c r="EA105" s="538"/>
      <c r="EB105" s="538"/>
      <c r="EC105" s="538"/>
      <c r="ED105" s="538"/>
      <c r="EE105" s="538"/>
      <c r="EF105" s="538"/>
      <c r="EG105" s="538"/>
      <c r="EH105" s="538"/>
      <c r="EI105" s="538"/>
      <c r="EJ105" s="538"/>
      <c r="EK105" s="538"/>
      <c r="EL105" s="538"/>
      <c r="EM105" s="538"/>
      <c r="EN105" s="538"/>
      <c r="EO105" s="538"/>
      <c r="EP105" s="538"/>
      <c r="EQ105" s="538"/>
      <c r="ER105" s="538"/>
      <c r="ES105" s="538"/>
      <c r="ET105" s="538"/>
      <c r="EU105" s="538"/>
      <c r="EV105" s="538"/>
      <c r="EW105" s="538"/>
      <c r="EX105" s="559"/>
      <c r="EY105" s="559"/>
      <c r="EZ105" s="559"/>
      <c r="FA105" s="559"/>
      <c r="FB105" s="559"/>
      <c r="FC105" s="559"/>
      <c r="FD105" s="559"/>
      <c r="FE105" s="559"/>
      <c r="FF105" s="559"/>
      <c r="FG105" s="559"/>
      <c r="FH105" s="559"/>
      <c r="FI105" s="559"/>
      <c r="FJ105" s="559"/>
      <c r="FK105" s="559"/>
      <c r="FL105" s="559"/>
      <c r="FM105" s="559"/>
      <c r="FN105" s="559"/>
      <c r="FO105" s="559"/>
      <c r="FP105" s="559"/>
      <c r="FQ105" s="559"/>
      <c r="FR105" s="559"/>
      <c r="FS105" s="559"/>
      <c r="FT105" s="559"/>
      <c r="FU105" s="559"/>
      <c r="FV105" s="559"/>
      <c r="FW105" s="559"/>
      <c r="FX105" s="559"/>
      <c r="FY105" s="559"/>
      <c r="FZ105" s="559"/>
      <c r="GA105" s="559"/>
      <c r="GB105" s="559"/>
      <c r="GC105" s="559"/>
      <c r="GD105" s="559"/>
      <c r="GE105" s="559"/>
      <c r="GF105" s="559"/>
      <c r="GG105" s="559"/>
      <c r="GH105" s="559"/>
    </row>
    <row r="106">
      <c r="A106" s="538"/>
      <c r="B106" s="156"/>
      <c r="C106" s="444"/>
      <c r="D106" s="614"/>
      <c r="E106" s="68"/>
      <c r="F106" s="644"/>
      <c r="G106" s="644"/>
      <c r="H106" s="627"/>
      <c r="I106" s="622" t="s">
        <v>365</v>
      </c>
      <c r="J106" s="607"/>
      <c r="K106" s="641"/>
      <c r="L106" s="628"/>
      <c r="M106" s="626"/>
      <c r="N106" s="619"/>
      <c r="O106" s="560"/>
      <c r="P106" s="47"/>
      <c r="Q106" s="47"/>
      <c r="S106" s="572"/>
      <c r="U106" s="573"/>
      <c r="V106" s="574"/>
      <c r="W106" s="618"/>
      <c r="X106" s="576">
        <v>0.0</v>
      </c>
      <c r="Y106" s="630">
        <v>0.0</v>
      </c>
      <c r="Z106" s="630" t="s">
        <v>365</v>
      </c>
      <c r="AA106" s="631" t="b">
        <v>0</v>
      </c>
      <c r="AB106" s="631"/>
      <c r="AC106" s="576"/>
      <c r="AD106" s="479">
        <v>0.0</v>
      </c>
      <c r="AE106" s="632"/>
      <c r="AF106" s="582" t="s">
        <v>365</v>
      </c>
      <c r="AG106" s="583"/>
      <c r="AH106" s="584"/>
      <c r="AI106" s="583"/>
      <c r="AJ106" s="585"/>
      <c r="AK106" s="583"/>
      <c r="AL106" s="584"/>
      <c r="AM106" s="583"/>
      <c r="AN106" s="585"/>
      <c r="AO106" s="583"/>
      <c r="AP106" s="584"/>
      <c r="AQ106" s="583"/>
      <c r="AR106" s="585"/>
      <c r="AS106" s="583"/>
      <c r="AT106" s="584"/>
      <c r="AU106" s="583"/>
      <c r="AV106" s="585"/>
      <c r="AW106" s="583"/>
      <c r="AX106" s="584"/>
      <c r="AY106" s="583"/>
      <c r="AZ106" s="585"/>
      <c r="BA106" s="583"/>
      <c r="BB106" s="584"/>
      <c r="BC106" s="583"/>
      <c r="BD106" s="585"/>
      <c r="BE106" s="583"/>
      <c r="BF106" s="584"/>
      <c r="BG106" s="583"/>
      <c r="BH106" s="585"/>
      <c r="BI106" s="583"/>
      <c r="BJ106" s="584"/>
      <c r="BK106" s="583"/>
      <c r="BL106" s="585"/>
      <c r="BM106" s="583"/>
      <c r="BN106" s="584"/>
      <c r="BO106" s="583"/>
      <c r="BP106" s="585"/>
      <c r="BQ106" s="583"/>
      <c r="BR106" s="584"/>
      <c r="BS106" s="583"/>
      <c r="BT106" s="586"/>
      <c r="BU106" s="540"/>
      <c r="BV106" s="540"/>
      <c r="BW106" s="540"/>
      <c r="BX106" s="538"/>
      <c r="BY106" s="538"/>
      <c r="BZ106" s="592"/>
      <c r="CA106" s="633"/>
      <c r="CB106" s="592" t="s">
        <v>365</v>
      </c>
      <c r="CC106" s="592">
        <v>0.0</v>
      </c>
      <c r="CD106" s="592" t="s">
        <v>365</v>
      </c>
      <c r="CE106" s="592">
        <v>0.0</v>
      </c>
      <c r="CF106" s="592"/>
      <c r="CG106" s="592">
        <v>0.0</v>
      </c>
      <c r="CH106" s="592"/>
      <c r="CI106" s="633"/>
      <c r="CJ106" s="592">
        <v>0.0</v>
      </c>
      <c r="CK106" s="479" t="s">
        <v>365</v>
      </c>
      <c r="CL106" s="592"/>
      <c r="CM106" s="593"/>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c r="DS106" s="538"/>
      <c r="DT106" s="538"/>
      <c r="DU106" s="538"/>
      <c r="DV106" s="538"/>
      <c r="DW106" s="538"/>
      <c r="DX106" s="538"/>
      <c r="DY106" s="538"/>
      <c r="DZ106" s="538"/>
      <c r="EA106" s="538"/>
      <c r="EB106" s="538"/>
      <c r="EC106" s="538"/>
      <c r="ED106" s="538"/>
      <c r="EE106" s="538"/>
      <c r="EF106" s="538"/>
      <c r="EG106" s="538"/>
      <c r="EH106" s="538"/>
      <c r="EI106" s="538"/>
      <c r="EJ106" s="538"/>
      <c r="EK106" s="538"/>
      <c r="EL106" s="538"/>
      <c r="EM106" s="538"/>
      <c r="EN106" s="538"/>
      <c r="EO106" s="538"/>
      <c r="EP106" s="538"/>
      <c r="EQ106" s="538"/>
      <c r="ER106" s="538"/>
      <c r="ES106" s="538"/>
      <c r="ET106" s="538"/>
      <c r="EU106" s="538"/>
      <c r="EV106" s="538"/>
      <c r="EW106" s="538"/>
      <c r="EX106" s="559"/>
      <c r="EY106" s="559"/>
      <c r="EZ106" s="559"/>
      <c r="FA106" s="559"/>
      <c r="FB106" s="559"/>
      <c r="FC106" s="559"/>
      <c r="FD106" s="559"/>
      <c r="FE106" s="559"/>
      <c r="FF106" s="559"/>
      <c r="FG106" s="559"/>
      <c r="FH106" s="559"/>
      <c r="FI106" s="559"/>
      <c r="FJ106" s="559"/>
      <c r="FK106" s="559"/>
      <c r="FL106" s="559"/>
      <c r="FM106" s="559"/>
      <c r="FN106" s="559"/>
      <c r="FO106" s="559"/>
      <c r="FP106" s="559"/>
      <c r="FQ106" s="559"/>
      <c r="FR106" s="559"/>
      <c r="FS106" s="559"/>
      <c r="FT106" s="559"/>
      <c r="FU106" s="559"/>
      <c r="FV106" s="559"/>
      <c r="FW106" s="559"/>
      <c r="FX106" s="559"/>
      <c r="FY106" s="559"/>
      <c r="FZ106" s="559"/>
      <c r="GA106" s="559"/>
      <c r="GB106" s="559"/>
      <c r="GC106" s="559"/>
      <c r="GD106" s="559"/>
      <c r="GE106" s="559"/>
      <c r="GF106" s="559"/>
      <c r="GG106" s="559"/>
      <c r="GH106" s="559"/>
    </row>
    <row r="107">
      <c r="A107" s="538"/>
      <c r="B107" s="156"/>
      <c r="C107" s="444"/>
      <c r="D107" s="614"/>
      <c r="E107" s="66"/>
      <c r="F107" s="642"/>
      <c r="G107" s="642"/>
      <c r="H107" s="615"/>
      <c r="I107" s="616" t="s">
        <v>365</v>
      </c>
      <c r="J107" s="624"/>
      <c r="K107" s="643"/>
      <c r="L107" s="640"/>
      <c r="M107" s="625"/>
      <c r="N107" s="617"/>
      <c r="O107" s="134"/>
      <c r="P107" s="57"/>
      <c r="Q107" s="57"/>
      <c r="S107" s="605"/>
      <c r="U107" s="573"/>
      <c r="V107" s="574"/>
      <c r="W107" s="618"/>
      <c r="X107" s="576">
        <v>0.0</v>
      </c>
      <c r="Y107" s="630">
        <v>0.0</v>
      </c>
      <c r="Z107" s="630" t="s">
        <v>365</v>
      </c>
      <c r="AA107" s="631" t="b">
        <v>0</v>
      </c>
      <c r="AB107" s="631"/>
      <c r="AC107" s="576"/>
      <c r="AD107" s="479">
        <v>0.0</v>
      </c>
      <c r="AE107" s="632"/>
      <c r="AF107" s="582" t="s">
        <v>365</v>
      </c>
      <c r="AG107" s="583"/>
      <c r="AH107" s="584"/>
      <c r="AI107" s="583"/>
      <c r="AJ107" s="585"/>
      <c r="AK107" s="583"/>
      <c r="AL107" s="584"/>
      <c r="AM107" s="583"/>
      <c r="AN107" s="585"/>
      <c r="AO107" s="583"/>
      <c r="AP107" s="584"/>
      <c r="AQ107" s="583"/>
      <c r="AR107" s="585"/>
      <c r="AS107" s="583"/>
      <c r="AT107" s="584"/>
      <c r="AU107" s="583"/>
      <c r="AV107" s="585"/>
      <c r="AW107" s="583"/>
      <c r="AX107" s="584"/>
      <c r="AY107" s="583"/>
      <c r="AZ107" s="585"/>
      <c r="BA107" s="583"/>
      <c r="BB107" s="584"/>
      <c r="BC107" s="583"/>
      <c r="BD107" s="585"/>
      <c r="BE107" s="583"/>
      <c r="BF107" s="584"/>
      <c r="BG107" s="583"/>
      <c r="BH107" s="585"/>
      <c r="BI107" s="583"/>
      <c r="BJ107" s="584"/>
      <c r="BK107" s="583"/>
      <c r="BL107" s="585"/>
      <c r="BM107" s="583"/>
      <c r="BN107" s="584"/>
      <c r="BO107" s="583"/>
      <c r="BP107" s="585"/>
      <c r="BQ107" s="583"/>
      <c r="BR107" s="584"/>
      <c r="BS107" s="583"/>
      <c r="BT107" s="586"/>
      <c r="BU107" s="540"/>
      <c r="BV107" s="540"/>
      <c r="BW107" s="540"/>
      <c r="BX107" s="538"/>
      <c r="BY107" s="538"/>
      <c r="BZ107" s="592"/>
      <c r="CA107" s="633"/>
      <c r="CB107" s="592" t="s">
        <v>365</v>
      </c>
      <c r="CC107" s="592">
        <v>0.0</v>
      </c>
      <c r="CD107" s="592" t="s">
        <v>365</v>
      </c>
      <c r="CE107" s="592">
        <v>0.0</v>
      </c>
      <c r="CF107" s="592"/>
      <c r="CG107" s="592">
        <v>0.0</v>
      </c>
      <c r="CH107" s="592"/>
      <c r="CI107" s="633"/>
      <c r="CJ107" s="592">
        <v>0.0</v>
      </c>
      <c r="CK107" s="479" t="s">
        <v>365</v>
      </c>
      <c r="CL107" s="592"/>
      <c r="CM107" s="593"/>
      <c r="CN107" s="538"/>
      <c r="CO107" s="538"/>
      <c r="CP107" s="538"/>
      <c r="CQ107" s="538"/>
      <c r="CR107" s="538"/>
      <c r="CS107" s="538"/>
      <c r="CT107" s="538"/>
      <c r="CU107" s="538"/>
      <c r="CV107" s="538"/>
      <c r="CW107" s="538"/>
      <c r="CX107" s="538"/>
      <c r="CY107" s="538"/>
      <c r="CZ107" s="538"/>
      <c r="DA107" s="538"/>
      <c r="DB107" s="538"/>
      <c r="DC107" s="538"/>
      <c r="DD107" s="538"/>
      <c r="DE107" s="538"/>
      <c r="DF107" s="538"/>
      <c r="DG107" s="538"/>
      <c r="DH107" s="538"/>
      <c r="DI107" s="538"/>
      <c r="DJ107" s="538"/>
      <c r="DK107" s="538"/>
      <c r="DL107" s="538"/>
      <c r="DM107" s="538"/>
      <c r="DN107" s="538"/>
      <c r="DO107" s="538"/>
      <c r="DP107" s="538"/>
      <c r="DQ107" s="538"/>
      <c r="DR107" s="538"/>
      <c r="DS107" s="538"/>
      <c r="DT107" s="538"/>
      <c r="DU107" s="538"/>
      <c r="DV107" s="538"/>
      <c r="DW107" s="538"/>
      <c r="DX107" s="538"/>
      <c r="DY107" s="538"/>
      <c r="DZ107" s="538"/>
      <c r="EA107" s="538"/>
      <c r="EB107" s="538"/>
      <c r="EC107" s="538"/>
      <c r="ED107" s="538"/>
      <c r="EE107" s="538"/>
      <c r="EF107" s="538"/>
      <c r="EG107" s="538"/>
      <c r="EH107" s="538"/>
      <c r="EI107" s="538"/>
      <c r="EJ107" s="538"/>
      <c r="EK107" s="538"/>
      <c r="EL107" s="538"/>
      <c r="EM107" s="538"/>
      <c r="EN107" s="538"/>
      <c r="EO107" s="538"/>
      <c r="EP107" s="538"/>
      <c r="EQ107" s="538"/>
      <c r="ER107" s="538"/>
      <c r="ES107" s="538"/>
      <c r="ET107" s="538"/>
      <c r="EU107" s="538"/>
      <c r="EV107" s="538"/>
      <c r="EW107" s="538"/>
      <c r="EX107" s="559"/>
      <c r="EY107" s="559"/>
      <c r="EZ107" s="559"/>
      <c r="FA107" s="559"/>
      <c r="FB107" s="559"/>
      <c r="FC107" s="559"/>
      <c r="FD107" s="559"/>
      <c r="FE107" s="559"/>
      <c r="FF107" s="559"/>
      <c r="FG107" s="559"/>
      <c r="FH107" s="559"/>
      <c r="FI107" s="559"/>
      <c r="FJ107" s="559"/>
      <c r="FK107" s="559"/>
      <c r="FL107" s="559"/>
      <c r="FM107" s="559"/>
      <c r="FN107" s="559"/>
      <c r="FO107" s="559"/>
      <c r="FP107" s="559"/>
      <c r="FQ107" s="559"/>
      <c r="FR107" s="559"/>
      <c r="FS107" s="559"/>
      <c r="FT107" s="559"/>
      <c r="FU107" s="559"/>
      <c r="FV107" s="559"/>
      <c r="FW107" s="559"/>
      <c r="FX107" s="559"/>
      <c r="FY107" s="559"/>
      <c r="FZ107" s="559"/>
      <c r="GA107" s="559"/>
      <c r="GB107" s="559"/>
      <c r="GC107" s="559"/>
      <c r="GD107" s="559"/>
      <c r="GE107" s="559"/>
      <c r="GF107" s="559"/>
      <c r="GG107" s="559"/>
      <c r="GH107" s="559"/>
    </row>
    <row r="108">
      <c r="A108" s="538"/>
      <c r="B108" s="156"/>
      <c r="C108" s="444"/>
      <c r="D108" s="614"/>
      <c r="E108" s="68"/>
      <c r="F108" s="644"/>
      <c r="G108" s="644"/>
      <c r="H108" s="627"/>
      <c r="I108" s="622" t="s">
        <v>365</v>
      </c>
      <c r="J108" s="607"/>
      <c r="K108" s="641"/>
      <c r="L108" s="628"/>
      <c r="M108" s="626"/>
      <c r="N108" s="619"/>
      <c r="O108" s="560"/>
      <c r="P108" s="47"/>
      <c r="Q108" s="47"/>
      <c r="S108" s="572"/>
      <c r="U108" s="573"/>
      <c r="V108" s="574"/>
      <c r="W108" s="618"/>
      <c r="X108" s="576">
        <v>0.0</v>
      </c>
      <c r="Y108" s="630">
        <v>0.0</v>
      </c>
      <c r="Z108" s="630" t="s">
        <v>365</v>
      </c>
      <c r="AA108" s="631" t="b">
        <v>0</v>
      </c>
      <c r="AB108" s="631"/>
      <c r="AC108" s="576"/>
      <c r="AD108" s="479">
        <v>0.0</v>
      </c>
      <c r="AE108" s="632"/>
      <c r="AF108" s="582" t="s">
        <v>365</v>
      </c>
      <c r="AG108" s="583"/>
      <c r="AH108" s="584"/>
      <c r="AI108" s="583"/>
      <c r="AJ108" s="585"/>
      <c r="AK108" s="583"/>
      <c r="AL108" s="584"/>
      <c r="AM108" s="583"/>
      <c r="AN108" s="585"/>
      <c r="AO108" s="583"/>
      <c r="AP108" s="584"/>
      <c r="AQ108" s="583"/>
      <c r="AR108" s="585"/>
      <c r="AS108" s="583"/>
      <c r="AT108" s="584"/>
      <c r="AU108" s="583"/>
      <c r="AV108" s="585"/>
      <c r="AW108" s="583"/>
      <c r="AX108" s="584"/>
      <c r="AY108" s="583"/>
      <c r="AZ108" s="585"/>
      <c r="BA108" s="583"/>
      <c r="BB108" s="584"/>
      <c r="BC108" s="583"/>
      <c r="BD108" s="585"/>
      <c r="BE108" s="583"/>
      <c r="BF108" s="584"/>
      <c r="BG108" s="583"/>
      <c r="BH108" s="585"/>
      <c r="BI108" s="583"/>
      <c r="BJ108" s="584"/>
      <c r="BK108" s="583"/>
      <c r="BL108" s="585"/>
      <c r="BM108" s="583"/>
      <c r="BN108" s="584"/>
      <c r="BO108" s="583"/>
      <c r="BP108" s="585"/>
      <c r="BQ108" s="583"/>
      <c r="BR108" s="584"/>
      <c r="BS108" s="583"/>
      <c r="BT108" s="586"/>
      <c r="BU108" s="540"/>
      <c r="BV108" s="540"/>
      <c r="BW108" s="540"/>
      <c r="BX108" s="538"/>
      <c r="BY108" s="538"/>
      <c r="BZ108" s="592"/>
      <c r="CA108" s="633"/>
      <c r="CB108" s="592" t="s">
        <v>365</v>
      </c>
      <c r="CC108" s="592">
        <v>0.0</v>
      </c>
      <c r="CD108" s="592" t="s">
        <v>365</v>
      </c>
      <c r="CE108" s="592">
        <v>0.0</v>
      </c>
      <c r="CF108" s="592"/>
      <c r="CG108" s="592">
        <v>0.0</v>
      </c>
      <c r="CH108" s="592"/>
      <c r="CI108" s="633"/>
      <c r="CJ108" s="592">
        <v>0.0</v>
      </c>
      <c r="CK108" s="479" t="s">
        <v>365</v>
      </c>
      <c r="CL108" s="592"/>
      <c r="CM108" s="593"/>
      <c r="CN108" s="538"/>
      <c r="CO108" s="538"/>
      <c r="CP108" s="538"/>
      <c r="CQ108" s="538"/>
      <c r="CR108" s="538"/>
      <c r="CS108" s="538"/>
      <c r="CT108" s="538"/>
      <c r="CU108" s="538"/>
      <c r="CV108" s="538"/>
      <c r="CW108" s="538"/>
      <c r="CX108" s="538"/>
      <c r="CY108" s="538"/>
      <c r="CZ108" s="538"/>
      <c r="DA108" s="538"/>
      <c r="DB108" s="538"/>
      <c r="DC108" s="538"/>
      <c r="DD108" s="538"/>
      <c r="DE108" s="538"/>
      <c r="DF108" s="538"/>
      <c r="DG108" s="538"/>
      <c r="DH108" s="538"/>
      <c r="DI108" s="538"/>
      <c r="DJ108" s="538"/>
      <c r="DK108" s="538"/>
      <c r="DL108" s="538"/>
      <c r="DM108" s="538"/>
      <c r="DN108" s="538"/>
      <c r="DO108" s="538"/>
      <c r="DP108" s="538"/>
      <c r="DQ108" s="538"/>
      <c r="DR108" s="538"/>
      <c r="DS108" s="538"/>
      <c r="DT108" s="538"/>
      <c r="DU108" s="538"/>
      <c r="DV108" s="538"/>
      <c r="DW108" s="538"/>
      <c r="DX108" s="538"/>
      <c r="DY108" s="538"/>
      <c r="DZ108" s="538"/>
      <c r="EA108" s="538"/>
      <c r="EB108" s="538"/>
      <c r="EC108" s="538"/>
      <c r="ED108" s="538"/>
      <c r="EE108" s="538"/>
      <c r="EF108" s="538"/>
      <c r="EG108" s="538"/>
      <c r="EH108" s="538"/>
      <c r="EI108" s="538"/>
      <c r="EJ108" s="538"/>
      <c r="EK108" s="538"/>
      <c r="EL108" s="538"/>
      <c r="EM108" s="538"/>
      <c r="EN108" s="538"/>
      <c r="EO108" s="538"/>
      <c r="EP108" s="538"/>
      <c r="EQ108" s="538"/>
      <c r="ER108" s="538"/>
      <c r="ES108" s="538"/>
      <c r="ET108" s="538"/>
      <c r="EU108" s="538"/>
      <c r="EV108" s="538"/>
      <c r="EW108" s="538"/>
      <c r="EX108" s="559"/>
      <c r="EY108" s="559"/>
      <c r="EZ108" s="559"/>
      <c r="FA108" s="559"/>
      <c r="FB108" s="559"/>
      <c r="FC108" s="559"/>
      <c r="FD108" s="559"/>
      <c r="FE108" s="559"/>
      <c r="FF108" s="559"/>
      <c r="FG108" s="559"/>
      <c r="FH108" s="559"/>
      <c r="FI108" s="559"/>
      <c r="FJ108" s="559"/>
      <c r="FK108" s="559"/>
      <c r="FL108" s="559"/>
      <c r="FM108" s="559"/>
      <c r="FN108" s="559"/>
      <c r="FO108" s="559"/>
      <c r="FP108" s="559"/>
      <c r="FQ108" s="559"/>
      <c r="FR108" s="559"/>
      <c r="FS108" s="559"/>
      <c r="FT108" s="559"/>
      <c r="FU108" s="559"/>
      <c r="FV108" s="559"/>
      <c r="FW108" s="559"/>
      <c r="FX108" s="559"/>
      <c r="FY108" s="559"/>
      <c r="FZ108" s="559"/>
      <c r="GA108" s="559"/>
      <c r="GB108" s="559"/>
      <c r="GC108" s="559"/>
      <c r="GD108" s="559"/>
      <c r="GE108" s="559"/>
      <c r="GF108" s="559"/>
      <c r="GG108" s="559"/>
      <c r="GH108" s="559"/>
    </row>
    <row r="109">
      <c r="A109" s="538"/>
      <c r="B109" s="156"/>
      <c r="C109" s="444"/>
      <c r="D109" s="614"/>
      <c r="E109" s="66"/>
      <c r="F109" s="642"/>
      <c r="G109" s="642"/>
      <c r="H109" s="615"/>
      <c r="I109" s="616" t="s">
        <v>365</v>
      </c>
      <c r="J109" s="624"/>
      <c r="K109" s="643"/>
      <c r="L109" s="640"/>
      <c r="M109" s="625"/>
      <c r="N109" s="617"/>
      <c r="O109" s="134"/>
      <c r="P109" s="57"/>
      <c r="Q109" s="57"/>
      <c r="S109" s="605"/>
      <c r="U109" s="573"/>
      <c r="V109" s="574"/>
      <c r="W109" s="618"/>
      <c r="X109" s="576">
        <v>0.0</v>
      </c>
      <c r="Y109" s="630">
        <v>0.0</v>
      </c>
      <c r="Z109" s="630" t="s">
        <v>365</v>
      </c>
      <c r="AA109" s="631" t="b">
        <v>0</v>
      </c>
      <c r="AB109" s="631"/>
      <c r="AC109" s="576"/>
      <c r="AD109" s="479">
        <v>0.0</v>
      </c>
      <c r="AE109" s="632"/>
      <c r="AF109" s="582" t="s">
        <v>365</v>
      </c>
      <c r="AG109" s="583"/>
      <c r="AH109" s="584"/>
      <c r="AI109" s="583"/>
      <c r="AJ109" s="585"/>
      <c r="AK109" s="583"/>
      <c r="AL109" s="584"/>
      <c r="AM109" s="583"/>
      <c r="AN109" s="585"/>
      <c r="AO109" s="583"/>
      <c r="AP109" s="584"/>
      <c r="AQ109" s="583"/>
      <c r="AR109" s="585"/>
      <c r="AS109" s="583"/>
      <c r="AT109" s="584"/>
      <c r="AU109" s="583"/>
      <c r="AV109" s="585"/>
      <c r="AW109" s="583"/>
      <c r="AX109" s="584"/>
      <c r="AY109" s="583"/>
      <c r="AZ109" s="585"/>
      <c r="BA109" s="583"/>
      <c r="BB109" s="584"/>
      <c r="BC109" s="583"/>
      <c r="BD109" s="585"/>
      <c r="BE109" s="583"/>
      <c r="BF109" s="584"/>
      <c r="BG109" s="583"/>
      <c r="BH109" s="585"/>
      <c r="BI109" s="583"/>
      <c r="BJ109" s="584"/>
      <c r="BK109" s="583"/>
      <c r="BL109" s="585"/>
      <c r="BM109" s="583"/>
      <c r="BN109" s="584"/>
      <c r="BO109" s="583"/>
      <c r="BP109" s="585"/>
      <c r="BQ109" s="583"/>
      <c r="BR109" s="584"/>
      <c r="BS109" s="583"/>
      <c r="BT109" s="586"/>
      <c r="BU109" s="540"/>
      <c r="BV109" s="540"/>
      <c r="BW109" s="540"/>
      <c r="BX109" s="538"/>
      <c r="BY109" s="538"/>
      <c r="BZ109" s="592"/>
      <c r="CA109" s="633"/>
      <c r="CB109" s="592" t="s">
        <v>365</v>
      </c>
      <c r="CC109" s="592">
        <v>0.0</v>
      </c>
      <c r="CD109" s="592" t="s">
        <v>365</v>
      </c>
      <c r="CE109" s="592">
        <v>0.0</v>
      </c>
      <c r="CF109" s="592"/>
      <c r="CG109" s="592">
        <v>0.0</v>
      </c>
      <c r="CH109" s="592"/>
      <c r="CI109" s="633"/>
      <c r="CJ109" s="592">
        <v>0.0</v>
      </c>
      <c r="CK109" s="479" t="s">
        <v>365</v>
      </c>
      <c r="CL109" s="592"/>
      <c r="CM109" s="593"/>
      <c r="CN109" s="538"/>
      <c r="CO109" s="538"/>
      <c r="CP109" s="538"/>
      <c r="CQ109" s="538"/>
      <c r="CR109" s="538"/>
      <c r="CS109" s="538"/>
      <c r="CT109" s="538"/>
      <c r="CU109" s="538"/>
      <c r="CV109" s="538"/>
      <c r="CW109" s="538"/>
      <c r="CX109" s="538"/>
      <c r="CY109" s="538"/>
      <c r="CZ109" s="538"/>
      <c r="DA109" s="538"/>
      <c r="DB109" s="538"/>
      <c r="DC109" s="538"/>
      <c r="DD109" s="538"/>
      <c r="DE109" s="538"/>
      <c r="DF109" s="538"/>
      <c r="DG109" s="538"/>
      <c r="DH109" s="538"/>
      <c r="DI109" s="538"/>
      <c r="DJ109" s="538"/>
      <c r="DK109" s="538"/>
      <c r="DL109" s="538"/>
      <c r="DM109" s="538"/>
      <c r="DN109" s="538"/>
      <c r="DO109" s="538"/>
      <c r="DP109" s="538"/>
      <c r="DQ109" s="538"/>
      <c r="DR109" s="538"/>
      <c r="DS109" s="538"/>
      <c r="DT109" s="538"/>
      <c r="DU109" s="538"/>
      <c r="DV109" s="538"/>
      <c r="DW109" s="538"/>
      <c r="DX109" s="538"/>
      <c r="DY109" s="538"/>
      <c r="DZ109" s="538"/>
      <c r="EA109" s="538"/>
      <c r="EB109" s="538"/>
      <c r="EC109" s="538"/>
      <c r="ED109" s="538"/>
      <c r="EE109" s="538"/>
      <c r="EF109" s="538"/>
      <c r="EG109" s="538"/>
      <c r="EH109" s="538"/>
      <c r="EI109" s="538"/>
      <c r="EJ109" s="538"/>
      <c r="EK109" s="538"/>
      <c r="EL109" s="538"/>
      <c r="EM109" s="538"/>
      <c r="EN109" s="538"/>
      <c r="EO109" s="538"/>
      <c r="EP109" s="538"/>
      <c r="EQ109" s="538"/>
      <c r="ER109" s="538"/>
      <c r="ES109" s="538"/>
      <c r="ET109" s="538"/>
      <c r="EU109" s="538"/>
      <c r="EV109" s="538"/>
      <c r="EW109" s="538"/>
      <c r="EX109" s="559"/>
      <c r="EY109" s="559"/>
      <c r="EZ109" s="559"/>
      <c r="FA109" s="559"/>
      <c r="FB109" s="559"/>
      <c r="FC109" s="559"/>
      <c r="FD109" s="559"/>
      <c r="FE109" s="559"/>
      <c r="FF109" s="559"/>
      <c r="FG109" s="559"/>
      <c r="FH109" s="559"/>
      <c r="FI109" s="559"/>
      <c r="FJ109" s="559"/>
      <c r="FK109" s="559"/>
      <c r="FL109" s="559"/>
      <c r="FM109" s="559"/>
      <c r="FN109" s="559"/>
      <c r="FO109" s="559"/>
      <c r="FP109" s="559"/>
      <c r="FQ109" s="559"/>
      <c r="FR109" s="559"/>
      <c r="FS109" s="559"/>
      <c r="FT109" s="559"/>
      <c r="FU109" s="559"/>
      <c r="FV109" s="559"/>
      <c r="FW109" s="559"/>
      <c r="FX109" s="559"/>
      <c r="FY109" s="559"/>
      <c r="FZ109" s="559"/>
      <c r="GA109" s="559"/>
      <c r="GB109" s="559"/>
      <c r="GC109" s="559"/>
      <c r="GD109" s="559"/>
      <c r="GE109" s="559"/>
      <c r="GF109" s="559"/>
      <c r="GG109" s="559"/>
      <c r="GH109" s="559"/>
    </row>
    <row r="110">
      <c r="A110" s="538"/>
      <c r="B110" s="156"/>
      <c r="C110" s="444"/>
      <c r="D110" s="614"/>
      <c r="E110" s="68"/>
      <c r="F110" s="644"/>
      <c r="G110" s="644"/>
      <c r="H110" s="627"/>
      <c r="I110" s="622" t="s">
        <v>365</v>
      </c>
      <c r="J110" s="607"/>
      <c r="K110" s="641"/>
      <c r="L110" s="628"/>
      <c r="M110" s="626"/>
      <c r="N110" s="619"/>
      <c r="O110" s="560"/>
      <c r="P110" s="47"/>
      <c r="Q110" s="47"/>
      <c r="S110" s="572"/>
      <c r="U110" s="573"/>
      <c r="V110" s="574"/>
      <c r="W110" s="618"/>
      <c r="X110" s="576">
        <v>0.0</v>
      </c>
      <c r="Y110" s="630">
        <v>0.0</v>
      </c>
      <c r="Z110" s="630" t="s">
        <v>365</v>
      </c>
      <c r="AA110" s="631" t="b">
        <v>0</v>
      </c>
      <c r="AB110" s="631"/>
      <c r="AC110" s="576"/>
      <c r="AD110" s="479">
        <v>0.0</v>
      </c>
      <c r="AE110" s="632"/>
      <c r="AF110" s="582" t="s">
        <v>365</v>
      </c>
      <c r="AG110" s="583"/>
      <c r="AH110" s="584"/>
      <c r="AI110" s="583"/>
      <c r="AJ110" s="585"/>
      <c r="AK110" s="583"/>
      <c r="AL110" s="584"/>
      <c r="AM110" s="583"/>
      <c r="AN110" s="585"/>
      <c r="AO110" s="583"/>
      <c r="AP110" s="584"/>
      <c r="AQ110" s="583"/>
      <c r="AR110" s="585"/>
      <c r="AS110" s="583"/>
      <c r="AT110" s="584"/>
      <c r="AU110" s="583"/>
      <c r="AV110" s="585"/>
      <c r="AW110" s="583"/>
      <c r="AX110" s="584"/>
      <c r="AY110" s="583"/>
      <c r="AZ110" s="585"/>
      <c r="BA110" s="583"/>
      <c r="BB110" s="584"/>
      <c r="BC110" s="583"/>
      <c r="BD110" s="585"/>
      <c r="BE110" s="583"/>
      <c r="BF110" s="584"/>
      <c r="BG110" s="583"/>
      <c r="BH110" s="585"/>
      <c r="BI110" s="583"/>
      <c r="BJ110" s="584"/>
      <c r="BK110" s="583"/>
      <c r="BL110" s="585"/>
      <c r="BM110" s="583"/>
      <c r="BN110" s="584"/>
      <c r="BO110" s="583"/>
      <c r="BP110" s="585"/>
      <c r="BQ110" s="583"/>
      <c r="BR110" s="584"/>
      <c r="BS110" s="583"/>
      <c r="BT110" s="586"/>
      <c r="BU110" s="540"/>
      <c r="BV110" s="540"/>
      <c r="BW110" s="540"/>
      <c r="BX110" s="538"/>
      <c r="BY110" s="538"/>
      <c r="BZ110" s="592"/>
      <c r="CA110" s="633"/>
      <c r="CB110" s="592" t="s">
        <v>365</v>
      </c>
      <c r="CC110" s="592">
        <v>0.0</v>
      </c>
      <c r="CD110" s="592" t="s">
        <v>365</v>
      </c>
      <c r="CE110" s="592">
        <v>0.0</v>
      </c>
      <c r="CF110" s="592"/>
      <c r="CG110" s="592">
        <v>0.0</v>
      </c>
      <c r="CH110" s="592"/>
      <c r="CI110" s="633"/>
      <c r="CJ110" s="592">
        <v>0.0</v>
      </c>
      <c r="CK110" s="479" t="s">
        <v>365</v>
      </c>
      <c r="CL110" s="592"/>
      <c r="CM110" s="593"/>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c r="DS110" s="538"/>
      <c r="DT110" s="538"/>
      <c r="DU110" s="538"/>
      <c r="DV110" s="538"/>
      <c r="DW110" s="538"/>
      <c r="DX110" s="538"/>
      <c r="DY110" s="538"/>
      <c r="DZ110" s="538"/>
      <c r="EA110" s="538"/>
      <c r="EB110" s="538"/>
      <c r="EC110" s="538"/>
      <c r="ED110" s="538"/>
      <c r="EE110" s="538"/>
      <c r="EF110" s="538"/>
      <c r="EG110" s="538"/>
      <c r="EH110" s="538"/>
      <c r="EI110" s="538"/>
      <c r="EJ110" s="538"/>
      <c r="EK110" s="538"/>
      <c r="EL110" s="538"/>
      <c r="EM110" s="538"/>
      <c r="EN110" s="538"/>
      <c r="EO110" s="538"/>
      <c r="EP110" s="538"/>
      <c r="EQ110" s="538"/>
      <c r="ER110" s="538"/>
      <c r="ES110" s="538"/>
      <c r="ET110" s="538"/>
      <c r="EU110" s="538"/>
      <c r="EV110" s="538"/>
      <c r="EW110" s="538"/>
      <c r="EX110" s="559"/>
      <c r="EY110" s="559"/>
      <c r="EZ110" s="559"/>
      <c r="FA110" s="559"/>
      <c r="FB110" s="559"/>
      <c r="FC110" s="559"/>
      <c r="FD110" s="559"/>
      <c r="FE110" s="559"/>
      <c r="FF110" s="559"/>
      <c r="FG110" s="559"/>
      <c r="FH110" s="559"/>
      <c r="FI110" s="559"/>
      <c r="FJ110" s="559"/>
      <c r="FK110" s="559"/>
      <c r="FL110" s="559"/>
      <c r="FM110" s="559"/>
      <c r="FN110" s="559"/>
      <c r="FO110" s="559"/>
      <c r="FP110" s="559"/>
      <c r="FQ110" s="559"/>
      <c r="FR110" s="559"/>
      <c r="FS110" s="559"/>
      <c r="FT110" s="559"/>
      <c r="FU110" s="559"/>
      <c r="FV110" s="559"/>
      <c r="FW110" s="559"/>
      <c r="FX110" s="559"/>
      <c r="FY110" s="559"/>
      <c r="FZ110" s="559"/>
      <c r="GA110" s="559"/>
      <c r="GB110" s="559"/>
      <c r="GC110" s="559"/>
      <c r="GD110" s="559"/>
      <c r="GE110" s="559"/>
      <c r="GF110" s="559"/>
      <c r="GG110" s="559"/>
      <c r="GH110" s="559"/>
    </row>
    <row r="111">
      <c r="A111" s="538"/>
      <c r="B111" s="156"/>
      <c r="C111" s="444"/>
      <c r="D111" s="614"/>
      <c r="E111" s="66"/>
      <c r="F111" s="642"/>
      <c r="G111" s="642"/>
      <c r="H111" s="615"/>
      <c r="I111" s="616" t="s">
        <v>365</v>
      </c>
      <c r="J111" s="624"/>
      <c r="K111" s="643"/>
      <c r="L111" s="640"/>
      <c r="M111" s="625"/>
      <c r="N111" s="617"/>
      <c r="O111" s="134"/>
      <c r="P111" s="57"/>
      <c r="Q111" s="57"/>
      <c r="S111" s="605"/>
      <c r="U111" s="573"/>
      <c r="V111" s="574"/>
      <c r="W111" s="618"/>
      <c r="X111" s="576">
        <v>0.0</v>
      </c>
      <c r="Y111" s="630">
        <v>0.0</v>
      </c>
      <c r="Z111" s="630" t="s">
        <v>365</v>
      </c>
      <c r="AA111" s="631" t="b">
        <v>0</v>
      </c>
      <c r="AB111" s="631"/>
      <c r="AC111" s="576"/>
      <c r="AD111" s="479">
        <v>0.0</v>
      </c>
      <c r="AE111" s="632"/>
      <c r="AF111" s="582" t="s">
        <v>365</v>
      </c>
      <c r="AG111" s="583"/>
      <c r="AH111" s="584"/>
      <c r="AI111" s="583"/>
      <c r="AJ111" s="585"/>
      <c r="AK111" s="583"/>
      <c r="AL111" s="584"/>
      <c r="AM111" s="583"/>
      <c r="AN111" s="585"/>
      <c r="AO111" s="583"/>
      <c r="AP111" s="584"/>
      <c r="AQ111" s="583"/>
      <c r="AR111" s="585"/>
      <c r="AS111" s="583"/>
      <c r="AT111" s="584"/>
      <c r="AU111" s="583"/>
      <c r="AV111" s="585"/>
      <c r="AW111" s="583"/>
      <c r="AX111" s="584"/>
      <c r="AY111" s="583"/>
      <c r="AZ111" s="585"/>
      <c r="BA111" s="583"/>
      <c r="BB111" s="584"/>
      <c r="BC111" s="583"/>
      <c r="BD111" s="585"/>
      <c r="BE111" s="583"/>
      <c r="BF111" s="584"/>
      <c r="BG111" s="583"/>
      <c r="BH111" s="585"/>
      <c r="BI111" s="583"/>
      <c r="BJ111" s="584"/>
      <c r="BK111" s="583"/>
      <c r="BL111" s="585"/>
      <c r="BM111" s="583"/>
      <c r="BN111" s="584"/>
      <c r="BO111" s="583"/>
      <c r="BP111" s="585"/>
      <c r="BQ111" s="583"/>
      <c r="BR111" s="584"/>
      <c r="BS111" s="583"/>
      <c r="BT111" s="586"/>
      <c r="BU111" s="540"/>
      <c r="BV111" s="540"/>
      <c r="BW111" s="540"/>
      <c r="BX111" s="538"/>
      <c r="BY111" s="538"/>
      <c r="BZ111" s="592"/>
      <c r="CA111" s="633"/>
      <c r="CB111" s="592" t="s">
        <v>365</v>
      </c>
      <c r="CC111" s="592">
        <v>0.0</v>
      </c>
      <c r="CD111" s="592" t="s">
        <v>365</v>
      </c>
      <c r="CE111" s="592">
        <v>0.0</v>
      </c>
      <c r="CF111" s="592"/>
      <c r="CG111" s="592">
        <v>0.0</v>
      </c>
      <c r="CH111" s="592"/>
      <c r="CI111" s="633"/>
      <c r="CJ111" s="592">
        <v>0.0</v>
      </c>
      <c r="CK111" s="479" t="s">
        <v>365</v>
      </c>
      <c r="CL111" s="592"/>
      <c r="CM111" s="593"/>
      <c r="CN111" s="538"/>
      <c r="CO111" s="538"/>
      <c r="CP111" s="538"/>
      <c r="CQ111" s="538"/>
      <c r="CR111" s="538"/>
      <c r="CS111" s="538"/>
      <c r="CT111" s="538"/>
      <c r="CU111" s="538"/>
      <c r="CV111" s="538"/>
      <c r="CW111" s="538"/>
      <c r="CX111" s="538"/>
      <c r="CY111" s="538"/>
      <c r="CZ111" s="538"/>
      <c r="DA111" s="538"/>
      <c r="DB111" s="538"/>
      <c r="DC111" s="538"/>
      <c r="DD111" s="538"/>
      <c r="DE111" s="538"/>
      <c r="DF111" s="538"/>
      <c r="DG111" s="538"/>
      <c r="DH111" s="538"/>
      <c r="DI111" s="538"/>
      <c r="DJ111" s="538"/>
      <c r="DK111" s="538"/>
      <c r="DL111" s="538"/>
      <c r="DM111" s="538"/>
      <c r="DN111" s="538"/>
      <c r="DO111" s="538"/>
      <c r="DP111" s="538"/>
      <c r="DQ111" s="538"/>
      <c r="DR111" s="538"/>
      <c r="DS111" s="538"/>
      <c r="DT111" s="538"/>
      <c r="DU111" s="538"/>
      <c r="DV111" s="538"/>
      <c r="DW111" s="538"/>
      <c r="DX111" s="538"/>
      <c r="DY111" s="538"/>
      <c r="DZ111" s="538"/>
      <c r="EA111" s="538"/>
      <c r="EB111" s="538"/>
      <c r="EC111" s="538"/>
      <c r="ED111" s="538"/>
      <c r="EE111" s="538"/>
      <c r="EF111" s="538"/>
      <c r="EG111" s="538"/>
      <c r="EH111" s="538"/>
      <c r="EI111" s="538"/>
      <c r="EJ111" s="538"/>
      <c r="EK111" s="538"/>
      <c r="EL111" s="538"/>
      <c r="EM111" s="538"/>
      <c r="EN111" s="538"/>
      <c r="EO111" s="538"/>
      <c r="EP111" s="538"/>
      <c r="EQ111" s="538"/>
      <c r="ER111" s="538"/>
      <c r="ES111" s="538"/>
      <c r="ET111" s="538"/>
      <c r="EU111" s="538"/>
      <c r="EV111" s="538"/>
      <c r="EW111" s="538"/>
      <c r="EX111" s="559"/>
      <c r="EY111" s="559"/>
      <c r="EZ111" s="559"/>
      <c r="FA111" s="559"/>
      <c r="FB111" s="559"/>
      <c r="FC111" s="559"/>
      <c r="FD111" s="559"/>
      <c r="FE111" s="559"/>
      <c r="FF111" s="559"/>
      <c r="FG111" s="559"/>
      <c r="FH111" s="559"/>
      <c r="FI111" s="559"/>
      <c r="FJ111" s="559"/>
      <c r="FK111" s="559"/>
      <c r="FL111" s="559"/>
      <c r="FM111" s="559"/>
      <c r="FN111" s="559"/>
      <c r="FO111" s="559"/>
      <c r="FP111" s="559"/>
      <c r="FQ111" s="559"/>
      <c r="FR111" s="559"/>
      <c r="FS111" s="559"/>
      <c r="FT111" s="559"/>
      <c r="FU111" s="559"/>
      <c r="FV111" s="559"/>
      <c r="FW111" s="559"/>
      <c r="FX111" s="559"/>
      <c r="FY111" s="559"/>
      <c r="FZ111" s="559"/>
      <c r="GA111" s="559"/>
      <c r="GB111" s="559"/>
      <c r="GC111" s="559"/>
      <c r="GD111" s="559"/>
      <c r="GE111" s="559"/>
      <c r="GF111" s="559"/>
      <c r="GG111" s="559"/>
      <c r="GH111" s="559"/>
    </row>
    <row r="112">
      <c r="A112" s="538"/>
      <c r="B112" s="156"/>
      <c r="C112" s="444"/>
      <c r="D112" s="614"/>
      <c r="E112" s="68"/>
      <c r="F112" s="644"/>
      <c r="G112" s="644"/>
      <c r="H112" s="627"/>
      <c r="I112" s="622" t="s">
        <v>365</v>
      </c>
      <c r="J112" s="607"/>
      <c r="K112" s="641"/>
      <c r="L112" s="628"/>
      <c r="M112" s="626"/>
      <c r="N112" s="619"/>
      <c r="O112" s="560"/>
      <c r="P112" s="47"/>
      <c r="Q112" s="47"/>
      <c r="S112" s="572"/>
      <c r="U112" s="573"/>
      <c r="V112" s="574"/>
      <c r="W112" s="618"/>
      <c r="X112" s="576">
        <v>0.0</v>
      </c>
      <c r="Y112" s="630">
        <v>0.0</v>
      </c>
      <c r="Z112" s="630" t="s">
        <v>365</v>
      </c>
      <c r="AA112" s="631" t="b">
        <v>0</v>
      </c>
      <c r="AB112" s="631"/>
      <c r="AC112" s="576"/>
      <c r="AD112" s="479">
        <v>0.0</v>
      </c>
      <c r="AE112" s="632"/>
      <c r="AF112" s="582" t="s">
        <v>365</v>
      </c>
      <c r="AG112" s="583"/>
      <c r="AH112" s="584"/>
      <c r="AI112" s="583"/>
      <c r="AJ112" s="585"/>
      <c r="AK112" s="583"/>
      <c r="AL112" s="584"/>
      <c r="AM112" s="583"/>
      <c r="AN112" s="585"/>
      <c r="AO112" s="583"/>
      <c r="AP112" s="584"/>
      <c r="AQ112" s="583"/>
      <c r="AR112" s="585"/>
      <c r="AS112" s="583"/>
      <c r="AT112" s="584"/>
      <c r="AU112" s="583"/>
      <c r="AV112" s="585"/>
      <c r="AW112" s="583"/>
      <c r="AX112" s="584"/>
      <c r="AY112" s="583"/>
      <c r="AZ112" s="585"/>
      <c r="BA112" s="583"/>
      <c r="BB112" s="584"/>
      <c r="BC112" s="583"/>
      <c r="BD112" s="585"/>
      <c r="BE112" s="583"/>
      <c r="BF112" s="584"/>
      <c r="BG112" s="583"/>
      <c r="BH112" s="585"/>
      <c r="BI112" s="583"/>
      <c r="BJ112" s="584"/>
      <c r="BK112" s="583"/>
      <c r="BL112" s="585"/>
      <c r="BM112" s="583"/>
      <c r="BN112" s="584"/>
      <c r="BO112" s="583"/>
      <c r="BP112" s="585"/>
      <c r="BQ112" s="583"/>
      <c r="BR112" s="584"/>
      <c r="BS112" s="583"/>
      <c r="BT112" s="586"/>
      <c r="BU112" s="540"/>
      <c r="BV112" s="540"/>
      <c r="BW112" s="540"/>
      <c r="BX112" s="538"/>
      <c r="BY112" s="538"/>
      <c r="BZ112" s="592"/>
      <c r="CA112" s="633"/>
      <c r="CB112" s="592" t="s">
        <v>365</v>
      </c>
      <c r="CC112" s="592">
        <v>0.0</v>
      </c>
      <c r="CD112" s="592" t="s">
        <v>365</v>
      </c>
      <c r="CE112" s="592">
        <v>0.0</v>
      </c>
      <c r="CF112" s="592"/>
      <c r="CG112" s="592">
        <v>0.0</v>
      </c>
      <c r="CH112" s="592"/>
      <c r="CI112" s="633"/>
      <c r="CJ112" s="592">
        <v>0.0</v>
      </c>
      <c r="CK112" s="479" t="s">
        <v>365</v>
      </c>
      <c r="CL112" s="592"/>
      <c r="CM112" s="593"/>
      <c r="CN112" s="538"/>
      <c r="CO112" s="538"/>
      <c r="CP112" s="538"/>
      <c r="CQ112" s="538"/>
      <c r="CR112" s="538"/>
      <c r="CS112" s="538"/>
      <c r="CT112" s="538"/>
      <c r="CU112" s="538"/>
      <c r="CV112" s="538"/>
      <c r="CW112" s="538"/>
      <c r="CX112" s="538"/>
      <c r="CY112" s="538"/>
      <c r="CZ112" s="538"/>
      <c r="DA112" s="538"/>
      <c r="DB112" s="538"/>
      <c r="DC112" s="538"/>
      <c r="DD112" s="538"/>
      <c r="DE112" s="538"/>
      <c r="DF112" s="538"/>
      <c r="DG112" s="538"/>
      <c r="DH112" s="538"/>
      <c r="DI112" s="538"/>
      <c r="DJ112" s="538"/>
      <c r="DK112" s="538"/>
      <c r="DL112" s="538"/>
      <c r="DM112" s="538"/>
      <c r="DN112" s="538"/>
      <c r="DO112" s="538"/>
      <c r="DP112" s="538"/>
      <c r="DQ112" s="538"/>
      <c r="DR112" s="538"/>
      <c r="DS112" s="538"/>
      <c r="DT112" s="538"/>
      <c r="DU112" s="538"/>
      <c r="DV112" s="538"/>
      <c r="DW112" s="538"/>
      <c r="DX112" s="538"/>
      <c r="DY112" s="538"/>
      <c r="DZ112" s="538"/>
      <c r="EA112" s="538"/>
      <c r="EB112" s="538"/>
      <c r="EC112" s="538"/>
      <c r="ED112" s="538"/>
      <c r="EE112" s="538"/>
      <c r="EF112" s="538"/>
      <c r="EG112" s="538"/>
      <c r="EH112" s="538"/>
      <c r="EI112" s="538"/>
      <c r="EJ112" s="538"/>
      <c r="EK112" s="538"/>
      <c r="EL112" s="538"/>
      <c r="EM112" s="538"/>
      <c r="EN112" s="538"/>
      <c r="EO112" s="538"/>
      <c r="EP112" s="538"/>
      <c r="EQ112" s="538"/>
      <c r="ER112" s="538"/>
      <c r="ES112" s="538"/>
      <c r="ET112" s="538"/>
      <c r="EU112" s="538"/>
      <c r="EV112" s="538"/>
      <c r="EW112" s="538"/>
      <c r="EX112" s="559"/>
      <c r="EY112" s="559"/>
      <c r="EZ112" s="559"/>
      <c r="FA112" s="559"/>
      <c r="FB112" s="559"/>
      <c r="FC112" s="559"/>
      <c r="FD112" s="559"/>
      <c r="FE112" s="559"/>
      <c r="FF112" s="559"/>
      <c r="FG112" s="559"/>
      <c r="FH112" s="559"/>
      <c r="FI112" s="559"/>
      <c r="FJ112" s="559"/>
      <c r="FK112" s="559"/>
      <c r="FL112" s="559"/>
      <c r="FM112" s="559"/>
      <c r="FN112" s="559"/>
      <c r="FO112" s="559"/>
      <c r="FP112" s="559"/>
      <c r="FQ112" s="559"/>
      <c r="FR112" s="559"/>
      <c r="FS112" s="559"/>
      <c r="FT112" s="559"/>
      <c r="FU112" s="559"/>
      <c r="FV112" s="559"/>
      <c r="FW112" s="559"/>
      <c r="FX112" s="559"/>
      <c r="FY112" s="559"/>
      <c r="FZ112" s="559"/>
      <c r="GA112" s="559"/>
      <c r="GB112" s="559"/>
      <c r="GC112" s="559"/>
      <c r="GD112" s="559"/>
      <c r="GE112" s="559"/>
      <c r="GF112" s="559"/>
      <c r="GG112" s="559"/>
      <c r="GH112" s="559"/>
    </row>
    <row r="113">
      <c r="A113" s="538"/>
      <c r="B113" s="156"/>
      <c r="C113" s="444"/>
      <c r="D113" s="614"/>
      <c r="E113" s="66"/>
      <c r="F113" s="642"/>
      <c r="G113" s="642"/>
      <c r="H113" s="615"/>
      <c r="I113" s="616" t="s">
        <v>365</v>
      </c>
      <c r="J113" s="624"/>
      <c r="K113" s="643"/>
      <c r="L113" s="640"/>
      <c r="M113" s="625"/>
      <c r="N113" s="617"/>
      <c r="O113" s="134"/>
      <c r="P113" s="57"/>
      <c r="Q113" s="57"/>
      <c r="S113" s="605"/>
      <c r="U113" s="573"/>
      <c r="V113" s="574"/>
      <c r="W113" s="618"/>
      <c r="X113" s="576">
        <v>0.0</v>
      </c>
      <c r="Y113" s="630">
        <v>0.0</v>
      </c>
      <c r="Z113" s="630" t="s">
        <v>365</v>
      </c>
      <c r="AA113" s="631" t="b">
        <v>0</v>
      </c>
      <c r="AB113" s="631"/>
      <c r="AC113" s="576"/>
      <c r="AD113" s="479">
        <v>0.0</v>
      </c>
      <c r="AE113" s="632"/>
      <c r="AF113" s="582" t="s">
        <v>365</v>
      </c>
      <c r="AG113" s="583"/>
      <c r="AH113" s="584"/>
      <c r="AI113" s="583"/>
      <c r="AJ113" s="585"/>
      <c r="AK113" s="583"/>
      <c r="AL113" s="584"/>
      <c r="AM113" s="583"/>
      <c r="AN113" s="585"/>
      <c r="AO113" s="583"/>
      <c r="AP113" s="584"/>
      <c r="AQ113" s="583"/>
      <c r="AR113" s="585"/>
      <c r="AS113" s="583"/>
      <c r="AT113" s="584"/>
      <c r="AU113" s="583"/>
      <c r="AV113" s="585"/>
      <c r="AW113" s="583"/>
      <c r="AX113" s="584"/>
      <c r="AY113" s="583"/>
      <c r="AZ113" s="585"/>
      <c r="BA113" s="583"/>
      <c r="BB113" s="584"/>
      <c r="BC113" s="583"/>
      <c r="BD113" s="585"/>
      <c r="BE113" s="583"/>
      <c r="BF113" s="584"/>
      <c r="BG113" s="583"/>
      <c r="BH113" s="585"/>
      <c r="BI113" s="583"/>
      <c r="BJ113" s="584"/>
      <c r="BK113" s="583"/>
      <c r="BL113" s="585"/>
      <c r="BM113" s="583"/>
      <c r="BN113" s="584"/>
      <c r="BO113" s="583"/>
      <c r="BP113" s="585"/>
      <c r="BQ113" s="583"/>
      <c r="BR113" s="584"/>
      <c r="BS113" s="583"/>
      <c r="BT113" s="586"/>
      <c r="BU113" s="540"/>
      <c r="BV113" s="540"/>
      <c r="BW113" s="540"/>
      <c r="BX113" s="538"/>
      <c r="BY113" s="538"/>
      <c r="BZ113" s="592"/>
      <c r="CA113" s="633"/>
      <c r="CB113" s="592" t="s">
        <v>365</v>
      </c>
      <c r="CC113" s="592">
        <v>0.0</v>
      </c>
      <c r="CD113" s="592" t="s">
        <v>365</v>
      </c>
      <c r="CE113" s="592">
        <v>0.0</v>
      </c>
      <c r="CF113" s="592"/>
      <c r="CG113" s="592">
        <v>0.0</v>
      </c>
      <c r="CH113" s="592"/>
      <c r="CI113" s="633"/>
      <c r="CJ113" s="592">
        <v>0.0</v>
      </c>
      <c r="CK113" s="479" t="s">
        <v>365</v>
      </c>
      <c r="CL113" s="592"/>
      <c r="CM113" s="593"/>
      <c r="CN113" s="538"/>
      <c r="CO113" s="538"/>
      <c r="CP113" s="538"/>
      <c r="CQ113" s="538"/>
      <c r="CR113" s="538"/>
      <c r="CS113" s="538"/>
      <c r="CT113" s="538"/>
      <c r="CU113" s="538"/>
      <c r="CV113" s="538"/>
      <c r="CW113" s="538"/>
      <c r="CX113" s="538"/>
      <c r="CY113" s="538"/>
      <c r="CZ113" s="538"/>
      <c r="DA113" s="538"/>
      <c r="DB113" s="538"/>
      <c r="DC113" s="538"/>
      <c r="DD113" s="538"/>
      <c r="DE113" s="538"/>
      <c r="DF113" s="538"/>
      <c r="DG113" s="538"/>
      <c r="DH113" s="538"/>
      <c r="DI113" s="538"/>
      <c r="DJ113" s="538"/>
      <c r="DK113" s="538"/>
      <c r="DL113" s="538"/>
      <c r="DM113" s="538"/>
      <c r="DN113" s="538"/>
      <c r="DO113" s="538"/>
      <c r="DP113" s="538"/>
      <c r="DQ113" s="538"/>
      <c r="DR113" s="538"/>
      <c r="DS113" s="538"/>
      <c r="DT113" s="538"/>
      <c r="DU113" s="538"/>
      <c r="DV113" s="538"/>
      <c r="DW113" s="538"/>
      <c r="DX113" s="538"/>
      <c r="DY113" s="538"/>
      <c r="DZ113" s="538"/>
      <c r="EA113" s="538"/>
      <c r="EB113" s="538"/>
      <c r="EC113" s="538"/>
      <c r="ED113" s="538"/>
      <c r="EE113" s="538"/>
      <c r="EF113" s="538"/>
      <c r="EG113" s="538"/>
      <c r="EH113" s="538"/>
      <c r="EI113" s="538"/>
      <c r="EJ113" s="538"/>
      <c r="EK113" s="538"/>
      <c r="EL113" s="538"/>
      <c r="EM113" s="538"/>
      <c r="EN113" s="538"/>
      <c r="EO113" s="538"/>
      <c r="EP113" s="538"/>
      <c r="EQ113" s="538"/>
      <c r="ER113" s="538"/>
      <c r="ES113" s="538"/>
      <c r="ET113" s="538"/>
      <c r="EU113" s="538"/>
      <c r="EV113" s="538"/>
      <c r="EW113" s="538"/>
      <c r="EX113" s="559"/>
      <c r="EY113" s="559"/>
      <c r="EZ113" s="559"/>
      <c r="FA113" s="559"/>
      <c r="FB113" s="559"/>
      <c r="FC113" s="559"/>
      <c r="FD113" s="559"/>
      <c r="FE113" s="559"/>
      <c r="FF113" s="559"/>
      <c r="FG113" s="559"/>
      <c r="FH113" s="559"/>
      <c r="FI113" s="559"/>
      <c r="FJ113" s="559"/>
      <c r="FK113" s="559"/>
      <c r="FL113" s="559"/>
      <c r="FM113" s="559"/>
      <c r="FN113" s="559"/>
      <c r="FO113" s="559"/>
      <c r="FP113" s="559"/>
      <c r="FQ113" s="559"/>
      <c r="FR113" s="559"/>
      <c r="FS113" s="559"/>
      <c r="FT113" s="559"/>
      <c r="FU113" s="559"/>
      <c r="FV113" s="559"/>
      <c r="FW113" s="559"/>
      <c r="FX113" s="559"/>
      <c r="FY113" s="559"/>
      <c r="FZ113" s="559"/>
      <c r="GA113" s="559"/>
      <c r="GB113" s="559"/>
      <c r="GC113" s="559"/>
      <c r="GD113" s="559"/>
      <c r="GE113" s="559"/>
      <c r="GF113" s="559"/>
      <c r="GG113" s="559"/>
      <c r="GH113" s="559"/>
    </row>
    <row r="114">
      <c r="A114" s="538"/>
      <c r="B114" s="156"/>
      <c r="C114" s="444"/>
      <c r="D114" s="614"/>
      <c r="E114" s="68"/>
      <c r="F114" s="644"/>
      <c r="G114" s="644"/>
      <c r="H114" s="627"/>
      <c r="I114" s="622" t="s">
        <v>365</v>
      </c>
      <c r="J114" s="607"/>
      <c r="K114" s="641"/>
      <c r="L114" s="628"/>
      <c r="M114" s="626"/>
      <c r="N114" s="619"/>
      <c r="O114" s="560"/>
      <c r="P114" s="47"/>
      <c r="Q114" s="47"/>
      <c r="S114" s="572"/>
      <c r="U114" s="573"/>
      <c r="V114" s="574"/>
      <c r="W114" s="618"/>
      <c r="X114" s="576">
        <v>0.0</v>
      </c>
      <c r="Y114" s="630">
        <v>0.0</v>
      </c>
      <c r="Z114" s="630" t="s">
        <v>365</v>
      </c>
      <c r="AA114" s="631" t="b">
        <v>0</v>
      </c>
      <c r="AB114" s="631"/>
      <c r="AC114" s="576"/>
      <c r="AD114" s="479">
        <v>0.0</v>
      </c>
      <c r="AE114" s="632"/>
      <c r="AF114" s="582" t="s">
        <v>365</v>
      </c>
      <c r="AG114" s="583"/>
      <c r="AH114" s="584"/>
      <c r="AI114" s="583"/>
      <c r="AJ114" s="585"/>
      <c r="AK114" s="583"/>
      <c r="AL114" s="584"/>
      <c r="AM114" s="583"/>
      <c r="AN114" s="585"/>
      <c r="AO114" s="583"/>
      <c r="AP114" s="584"/>
      <c r="AQ114" s="583"/>
      <c r="AR114" s="585"/>
      <c r="AS114" s="583"/>
      <c r="AT114" s="584"/>
      <c r="AU114" s="583"/>
      <c r="AV114" s="585"/>
      <c r="AW114" s="583"/>
      <c r="AX114" s="584"/>
      <c r="AY114" s="583"/>
      <c r="AZ114" s="585"/>
      <c r="BA114" s="583"/>
      <c r="BB114" s="584"/>
      <c r="BC114" s="583"/>
      <c r="BD114" s="585"/>
      <c r="BE114" s="583"/>
      <c r="BF114" s="584"/>
      <c r="BG114" s="583"/>
      <c r="BH114" s="585"/>
      <c r="BI114" s="583"/>
      <c r="BJ114" s="584"/>
      <c r="BK114" s="583"/>
      <c r="BL114" s="585"/>
      <c r="BM114" s="583"/>
      <c r="BN114" s="584"/>
      <c r="BO114" s="583"/>
      <c r="BP114" s="585"/>
      <c r="BQ114" s="583"/>
      <c r="BR114" s="584"/>
      <c r="BS114" s="583"/>
      <c r="BT114" s="586"/>
      <c r="BU114" s="540"/>
      <c r="BV114" s="540"/>
      <c r="BW114" s="540"/>
      <c r="BX114" s="538"/>
      <c r="BY114" s="538"/>
      <c r="BZ114" s="592"/>
      <c r="CA114" s="633"/>
      <c r="CB114" s="592" t="s">
        <v>365</v>
      </c>
      <c r="CC114" s="592">
        <v>0.0</v>
      </c>
      <c r="CD114" s="592" t="s">
        <v>365</v>
      </c>
      <c r="CE114" s="592">
        <v>0.0</v>
      </c>
      <c r="CF114" s="592"/>
      <c r="CG114" s="592">
        <v>0.0</v>
      </c>
      <c r="CH114" s="592"/>
      <c r="CI114" s="633"/>
      <c r="CJ114" s="592">
        <v>0.0</v>
      </c>
      <c r="CK114" s="479" t="s">
        <v>365</v>
      </c>
      <c r="CL114" s="592"/>
      <c r="CM114" s="593"/>
      <c r="CN114" s="538"/>
      <c r="CO114" s="538"/>
      <c r="CP114" s="538"/>
      <c r="CQ114" s="538"/>
      <c r="CR114" s="538"/>
      <c r="CS114" s="538"/>
      <c r="CT114" s="538"/>
      <c r="CU114" s="538"/>
      <c r="CV114" s="538"/>
      <c r="CW114" s="538"/>
      <c r="CX114" s="538"/>
      <c r="CY114" s="538"/>
      <c r="CZ114" s="538"/>
      <c r="DA114" s="538"/>
      <c r="DB114" s="538"/>
      <c r="DC114" s="538"/>
      <c r="DD114" s="538"/>
      <c r="DE114" s="538"/>
      <c r="DF114" s="538"/>
      <c r="DG114" s="538"/>
      <c r="DH114" s="538"/>
      <c r="DI114" s="538"/>
      <c r="DJ114" s="538"/>
      <c r="DK114" s="538"/>
      <c r="DL114" s="538"/>
      <c r="DM114" s="538"/>
      <c r="DN114" s="538"/>
      <c r="DO114" s="538"/>
      <c r="DP114" s="538"/>
      <c r="DQ114" s="538"/>
      <c r="DR114" s="538"/>
      <c r="DS114" s="538"/>
      <c r="DT114" s="538"/>
      <c r="DU114" s="538"/>
      <c r="DV114" s="538"/>
      <c r="DW114" s="538"/>
      <c r="DX114" s="538"/>
      <c r="DY114" s="538"/>
      <c r="DZ114" s="538"/>
      <c r="EA114" s="538"/>
      <c r="EB114" s="538"/>
      <c r="EC114" s="538"/>
      <c r="ED114" s="538"/>
      <c r="EE114" s="538"/>
      <c r="EF114" s="538"/>
      <c r="EG114" s="538"/>
      <c r="EH114" s="538"/>
      <c r="EI114" s="538"/>
      <c r="EJ114" s="538"/>
      <c r="EK114" s="538"/>
      <c r="EL114" s="538"/>
      <c r="EM114" s="538"/>
      <c r="EN114" s="538"/>
      <c r="EO114" s="538"/>
      <c r="EP114" s="538"/>
      <c r="EQ114" s="538"/>
      <c r="ER114" s="538"/>
      <c r="ES114" s="538"/>
      <c r="ET114" s="538"/>
      <c r="EU114" s="538"/>
      <c r="EV114" s="538"/>
      <c r="EW114" s="538"/>
      <c r="EX114" s="559"/>
      <c r="EY114" s="559"/>
      <c r="EZ114" s="559"/>
      <c r="FA114" s="559"/>
      <c r="FB114" s="559"/>
      <c r="FC114" s="559"/>
      <c r="FD114" s="559"/>
      <c r="FE114" s="559"/>
      <c r="FF114" s="559"/>
      <c r="FG114" s="559"/>
      <c r="FH114" s="559"/>
      <c r="FI114" s="559"/>
      <c r="FJ114" s="559"/>
      <c r="FK114" s="559"/>
      <c r="FL114" s="559"/>
      <c r="FM114" s="559"/>
      <c r="FN114" s="559"/>
      <c r="FO114" s="559"/>
      <c r="FP114" s="559"/>
      <c r="FQ114" s="559"/>
      <c r="FR114" s="559"/>
      <c r="FS114" s="559"/>
      <c r="FT114" s="559"/>
      <c r="FU114" s="559"/>
      <c r="FV114" s="559"/>
      <c r="FW114" s="559"/>
      <c r="FX114" s="559"/>
      <c r="FY114" s="559"/>
      <c r="FZ114" s="559"/>
      <c r="GA114" s="559"/>
      <c r="GB114" s="559"/>
      <c r="GC114" s="559"/>
      <c r="GD114" s="559"/>
      <c r="GE114" s="559"/>
      <c r="GF114" s="559"/>
      <c r="GG114" s="559"/>
      <c r="GH114" s="559"/>
    </row>
    <row r="115">
      <c r="A115" s="538"/>
      <c r="B115" s="156"/>
      <c r="C115" s="444"/>
      <c r="D115" s="614"/>
      <c r="E115" s="66"/>
      <c r="F115" s="642"/>
      <c r="G115" s="642"/>
      <c r="H115" s="615"/>
      <c r="I115" s="616" t="s">
        <v>365</v>
      </c>
      <c r="J115" s="624"/>
      <c r="K115" s="643"/>
      <c r="L115" s="640"/>
      <c r="M115" s="625"/>
      <c r="N115" s="617"/>
      <c r="O115" s="134"/>
      <c r="P115" s="57"/>
      <c r="Q115" s="57"/>
      <c r="S115" s="605"/>
      <c r="U115" s="573"/>
      <c r="V115" s="574"/>
      <c r="W115" s="618"/>
      <c r="X115" s="576">
        <v>0.0</v>
      </c>
      <c r="Y115" s="630">
        <v>0.0</v>
      </c>
      <c r="Z115" s="630" t="s">
        <v>365</v>
      </c>
      <c r="AA115" s="631" t="b">
        <v>0</v>
      </c>
      <c r="AB115" s="631"/>
      <c r="AC115" s="576"/>
      <c r="AD115" s="479">
        <v>0.0</v>
      </c>
      <c r="AE115" s="632"/>
      <c r="AF115" s="582" t="s">
        <v>365</v>
      </c>
      <c r="AG115" s="583"/>
      <c r="AH115" s="584"/>
      <c r="AI115" s="583"/>
      <c r="AJ115" s="585"/>
      <c r="AK115" s="583"/>
      <c r="AL115" s="584"/>
      <c r="AM115" s="583"/>
      <c r="AN115" s="585"/>
      <c r="AO115" s="583"/>
      <c r="AP115" s="584"/>
      <c r="AQ115" s="583"/>
      <c r="AR115" s="585"/>
      <c r="AS115" s="583"/>
      <c r="AT115" s="584"/>
      <c r="AU115" s="583"/>
      <c r="AV115" s="585"/>
      <c r="AW115" s="583"/>
      <c r="AX115" s="584"/>
      <c r="AY115" s="583"/>
      <c r="AZ115" s="585"/>
      <c r="BA115" s="583"/>
      <c r="BB115" s="584"/>
      <c r="BC115" s="583"/>
      <c r="BD115" s="585"/>
      <c r="BE115" s="583"/>
      <c r="BF115" s="584"/>
      <c r="BG115" s="583"/>
      <c r="BH115" s="585"/>
      <c r="BI115" s="583"/>
      <c r="BJ115" s="584"/>
      <c r="BK115" s="583"/>
      <c r="BL115" s="585"/>
      <c r="BM115" s="583"/>
      <c r="BN115" s="584"/>
      <c r="BO115" s="583"/>
      <c r="BP115" s="585"/>
      <c r="BQ115" s="583"/>
      <c r="BR115" s="584"/>
      <c r="BS115" s="583"/>
      <c r="BT115" s="586"/>
      <c r="BU115" s="540"/>
      <c r="BV115" s="540"/>
      <c r="BW115" s="540"/>
      <c r="BX115" s="538"/>
      <c r="BY115" s="538"/>
      <c r="BZ115" s="592"/>
      <c r="CA115" s="633"/>
      <c r="CB115" s="592" t="s">
        <v>365</v>
      </c>
      <c r="CC115" s="592">
        <v>0.0</v>
      </c>
      <c r="CD115" s="592" t="s">
        <v>365</v>
      </c>
      <c r="CE115" s="592">
        <v>0.0</v>
      </c>
      <c r="CF115" s="592"/>
      <c r="CG115" s="592">
        <v>0.0</v>
      </c>
      <c r="CH115" s="592"/>
      <c r="CI115" s="633"/>
      <c r="CJ115" s="592">
        <v>0.0</v>
      </c>
      <c r="CK115" s="479" t="s">
        <v>365</v>
      </c>
      <c r="CL115" s="592"/>
      <c r="CM115" s="593"/>
      <c r="CN115" s="538"/>
      <c r="CO115" s="538"/>
      <c r="CP115" s="538"/>
      <c r="CQ115" s="538"/>
      <c r="CR115" s="538"/>
      <c r="CS115" s="538"/>
      <c r="CT115" s="538"/>
      <c r="CU115" s="538"/>
      <c r="CV115" s="538"/>
      <c r="CW115" s="538"/>
      <c r="CX115" s="538"/>
      <c r="CY115" s="538"/>
      <c r="CZ115" s="538"/>
      <c r="DA115" s="538"/>
      <c r="DB115" s="538"/>
      <c r="DC115" s="538"/>
      <c r="DD115" s="538"/>
      <c r="DE115" s="538"/>
      <c r="DF115" s="538"/>
      <c r="DG115" s="538"/>
      <c r="DH115" s="538"/>
      <c r="DI115" s="538"/>
      <c r="DJ115" s="538"/>
      <c r="DK115" s="538"/>
      <c r="DL115" s="538"/>
      <c r="DM115" s="538"/>
      <c r="DN115" s="538"/>
      <c r="DO115" s="538"/>
      <c r="DP115" s="538"/>
      <c r="DQ115" s="538"/>
      <c r="DR115" s="538"/>
      <c r="DS115" s="538"/>
      <c r="DT115" s="538"/>
      <c r="DU115" s="538"/>
      <c r="DV115" s="538"/>
      <c r="DW115" s="538"/>
      <c r="DX115" s="538"/>
      <c r="DY115" s="538"/>
      <c r="DZ115" s="538"/>
      <c r="EA115" s="538"/>
      <c r="EB115" s="538"/>
      <c r="EC115" s="538"/>
      <c r="ED115" s="538"/>
      <c r="EE115" s="538"/>
      <c r="EF115" s="538"/>
      <c r="EG115" s="538"/>
      <c r="EH115" s="538"/>
      <c r="EI115" s="538"/>
      <c r="EJ115" s="538"/>
      <c r="EK115" s="538"/>
      <c r="EL115" s="538"/>
      <c r="EM115" s="538"/>
      <c r="EN115" s="538"/>
      <c r="EO115" s="538"/>
      <c r="EP115" s="538"/>
      <c r="EQ115" s="538"/>
      <c r="ER115" s="538"/>
      <c r="ES115" s="538"/>
      <c r="ET115" s="538"/>
      <c r="EU115" s="538"/>
      <c r="EV115" s="538"/>
      <c r="EW115" s="538"/>
      <c r="EX115" s="559"/>
      <c r="EY115" s="559"/>
      <c r="EZ115" s="559"/>
      <c r="FA115" s="559"/>
      <c r="FB115" s="559"/>
      <c r="FC115" s="559"/>
      <c r="FD115" s="559"/>
      <c r="FE115" s="559"/>
      <c r="FF115" s="559"/>
      <c r="FG115" s="559"/>
      <c r="FH115" s="559"/>
      <c r="FI115" s="559"/>
      <c r="FJ115" s="559"/>
      <c r="FK115" s="559"/>
      <c r="FL115" s="559"/>
      <c r="FM115" s="559"/>
      <c r="FN115" s="559"/>
      <c r="FO115" s="559"/>
      <c r="FP115" s="559"/>
      <c r="FQ115" s="559"/>
      <c r="FR115" s="559"/>
      <c r="FS115" s="559"/>
      <c r="FT115" s="559"/>
      <c r="FU115" s="559"/>
      <c r="FV115" s="559"/>
      <c r="FW115" s="559"/>
      <c r="FX115" s="559"/>
      <c r="FY115" s="559"/>
      <c r="FZ115" s="559"/>
      <c r="GA115" s="559"/>
      <c r="GB115" s="559"/>
      <c r="GC115" s="559"/>
      <c r="GD115" s="559"/>
      <c r="GE115" s="559"/>
      <c r="GF115" s="559"/>
      <c r="GG115" s="559"/>
      <c r="GH115" s="559"/>
    </row>
    <row r="116">
      <c r="A116" s="538"/>
      <c r="B116" s="156"/>
      <c r="C116" s="444"/>
      <c r="D116" s="614"/>
      <c r="E116" s="68"/>
      <c r="F116" s="644"/>
      <c r="G116" s="644"/>
      <c r="H116" s="627"/>
      <c r="I116" s="622" t="s">
        <v>365</v>
      </c>
      <c r="J116" s="607"/>
      <c r="K116" s="641"/>
      <c r="L116" s="628"/>
      <c r="M116" s="626"/>
      <c r="N116" s="619"/>
      <c r="O116" s="560"/>
      <c r="P116" s="47"/>
      <c r="Q116" s="47"/>
      <c r="S116" s="572"/>
      <c r="U116" s="573"/>
      <c r="V116" s="574"/>
      <c r="W116" s="618"/>
      <c r="X116" s="576">
        <v>0.0</v>
      </c>
      <c r="Y116" s="630">
        <v>0.0</v>
      </c>
      <c r="Z116" s="630" t="s">
        <v>365</v>
      </c>
      <c r="AA116" s="631" t="b">
        <v>0</v>
      </c>
      <c r="AB116" s="631"/>
      <c r="AC116" s="576"/>
      <c r="AD116" s="479">
        <v>0.0</v>
      </c>
      <c r="AE116" s="632"/>
      <c r="AF116" s="582" t="s">
        <v>365</v>
      </c>
      <c r="AG116" s="583"/>
      <c r="AH116" s="584"/>
      <c r="AI116" s="583"/>
      <c r="AJ116" s="585"/>
      <c r="AK116" s="583"/>
      <c r="AL116" s="584"/>
      <c r="AM116" s="583"/>
      <c r="AN116" s="585"/>
      <c r="AO116" s="583"/>
      <c r="AP116" s="584"/>
      <c r="AQ116" s="583"/>
      <c r="AR116" s="585"/>
      <c r="AS116" s="583"/>
      <c r="AT116" s="584"/>
      <c r="AU116" s="583"/>
      <c r="AV116" s="585"/>
      <c r="AW116" s="583"/>
      <c r="AX116" s="584"/>
      <c r="AY116" s="583"/>
      <c r="AZ116" s="585"/>
      <c r="BA116" s="583"/>
      <c r="BB116" s="584"/>
      <c r="BC116" s="583"/>
      <c r="BD116" s="585"/>
      <c r="BE116" s="583"/>
      <c r="BF116" s="584"/>
      <c r="BG116" s="583"/>
      <c r="BH116" s="585"/>
      <c r="BI116" s="583"/>
      <c r="BJ116" s="584"/>
      <c r="BK116" s="583"/>
      <c r="BL116" s="585"/>
      <c r="BM116" s="583"/>
      <c r="BN116" s="584"/>
      <c r="BO116" s="583"/>
      <c r="BP116" s="585"/>
      <c r="BQ116" s="583"/>
      <c r="BR116" s="584"/>
      <c r="BS116" s="583"/>
      <c r="BT116" s="586"/>
      <c r="BU116" s="540"/>
      <c r="BV116" s="540"/>
      <c r="BW116" s="540"/>
      <c r="BX116" s="538"/>
      <c r="BY116" s="538"/>
      <c r="BZ116" s="592"/>
      <c r="CA116" s="633"/>
      <c r="CB116" s="592" t="s">
        <v>365</v>
      </c>
      <c r="CC116" s="592">
        <v>0.0</v>
      </c>
      <c r="CD116" s="592" t="s">
        <v>365</v>
      </c>
      <c r="CE116" s="592">
        <v>0.0</v>
      </c>
      <c r="CF116" s="592"/>
      <c r="CG116" s="592">
        <v>0.0</v>
      </c>
      <c r="CH116" s="592"/>
      <c r="CI116" s="633"/>
      <c r="CJ116" s="592">
        <v>0.0</v>
      </c>
      <c r="CK116" s="479" t="s">
        <v>365</v>
      </c>
      <c r="CL116" s="592"/>
      <c r="CM116" s="593"/>
      <c r="CN116" s="538"/>
      <c r="CO116" s="538"/>
      <c r="CP116" s="538"/>
      <c r="CQ116" s="538"/>
      <c r="CR116" s="538"/>
      <c r="CS116" s="538"/>
      <c r="CT116" s="538"/>
      <c r="CU116" s="538"/>
      <c r="CV116" s="538"/>
      <c r="CW116" s="538"/>
      <c r="CX116" s="538"/>
      <c r="CY116" s="538"/>
      <c r="CZ116" s="538"/>
      <c r="DA116" s="538"/>
      <c r="DB116" s="538"/>
      <c r="DC116" s="538"/>
      <c r="DD116" s="538"/>
      <c r="DE116" s="538"/>
      <c r="DF116" s="538"/>
      <c r="DG116" s="538"/>
      <c r="DH116" s="538"/>
      <c r="DI116" s="538"/>
      <c r="DJ116" s="538"/>
      <c r="DK116" s="538"/>
      <c r="DL116" s="538"/>
      <c r="DM116" s="538"/>
      <c r="DN116" s="538"/>
      <c r="DO116" s="538"/>
      <c r="DP116" s="538"/>
      <c r="DQ116" s="538"/>
      <c r="DR116" s="538"/>
      <c r="DS116" s="538"/>
      <c r="DT116" s="538"/>
      <c r="DU116" s="538"/>
      <c r="DV116" s="538"/>
      <c r="DW116" s="538"/>
      <c r="DX116" s="538"/>
      <c r="DY116" s="538"/>
      <c r="DZ116" s="538"/>
      <c r="EA116" s="538"/>
      <c r="EB116" s="538"/>
      <c r="EC116" s="538"/>
      <c r="ED116" s="538"/>
      <c r="EE116" s="538"/>
      <c r="EF116" s="538"/>
      <c r="EG116" s="538"/>
      <c r="EH116" s="538"/>
      <c r="EI116" s="538"/>
      <c r="EJ116" s="538"/>
      <c r="EK116" s="538"/>
      <c r="EL116" s="538"/>
      <c r="EM116" s="538"/>
      <c r="EN116" s="538"/>
      <c r="EO116" s="538"/>
      <c r="EP116" s="538"/>
      <c r="EQ116" s="538"/>
      <c r="ER116" s="538"/>
      <c r="ES116" s="538"/>
      <c r="ET116" s="538"/>
      <c r="EU116" s="538"/>
      <c r="EV116" s="538"/>
      <c r="EW116" s="538"/>
      <c r="EX116" s="559"/>
      <c r="EY116" s="559"/>
      <c r="EZ116" s="559"/>
      <c r="FA116" s="559"/>
      <c r="FB116" s="559"/>
      <c r="FC116" s="559"/>
      <c r="FD116" s="559"/>
      <c r="FE116" s="559"/>
      <c r="FF116" s="559"/>
      <c r="FG116" s="559"/>
      <c r="FH116" s="559"/>
      <c r="FI116" s="559"/>
      <c r="FJ116" s="559"/>
      <c r="FK116" s="559"/>
      <c r="FL116" s="559"/>
      <c r="FM116" s="559"/>
      <c r="FN116" s="559"/>
      <c r="FO116" s="559"/>
      <c r="FP116" s="559"/>
      <c r="FQ116" s="559"/>
      <c r="FR116" s="559"/>
      <c r="FS116" s="559"/>
      <c r="FT116" s="559"/>
      <c r="FU116" s="559"/>
      <c r="FV116" s="559"/>
      <c r="FW116" s="559"/>
      <c r="FX116" s="559"/>
      <c r="FY116" s="559"/>
      <c r="FZ116" s="559"/>
      <c r="GA116" s="559"/>
      <c r="GB116" s="559"/>
      <c r="GC116" s="559"/>
      <c r="GD116" s="559"/>
      <c r="GE116" s="559"/>
      <c r="GF116" s="559"/>
      <c r="GG116" s="559"/>
      <c r="GH116" s="559"/>
    </row>
    <row r="117">
      <c r="A117" s="538"/>
      <c r="B117" s="156"/>
      <c r="C117" s="444"/>
      <c r="D117" s="614"/>
      <c r="E117" s="66"/>
      <c r="F117" s="642"/>
      <c r="G117" s="642"/>
      <c r="H117" s="615"/>
      <c r="I117" s="616" t="s">
        <v>365</v>
      </c>
      <c r="J117" s="624"/>
      <c r="K117" s="643"/>
      <c r="L117" s="640"/>
      <c r="M117" s="625"/>
      <c r="N117" s="617"/>
      <c r="O117" s="134"/>
      <c r="P117" s="57"/>
      <c r="Q117" s="57"/>
      <c r="S117" s="605"/>
      <c r="U117" s="573"/>
      <c r="V117" s="574"/>
      <c r="W117" s="618"/>
      <c r="X117" s="576">
        <v>0.0</v>
      </c>
      <c r="Y117" s="630">
        <v>0.0</v>
      </c>
      <c r="Z117" s="630" t="s">
        <v>365</v>
      </c>
      <c r="AA117" s="631" t="b">
        <v>0</v>
      </c>
      <c r="AB117" s="631"/>
      <c r="AC117" s="576"/>
      <c r="AD117" s="479">
        <v>0.0</v>
      </c>
      <c r="AE117" s="632"/>
      <c r="AF117" s="582" t="s">
        <v>365</v>
      </c>
      <c r="AG117" s="583"/>
      <c r="AH117" s="584"/>
      <c r="AI117" s="583"/>
      <c r="AJ117" s="585"/>
      <c r="AK117" s="583"/>
      <c r="AL117" s="584"/>
      <c r="AM117" s="583"/>
      <c r="AN117" s="585"/>
      <c r="AO117" s="583"/>
      <c r="AP117" s="584"/>
      <c r="AQ117" s="583"/>
      <c r="AR117" s="585"/>
      <c r="AS117" s="583"/>
      <c r="AT117" s="584"/>
      <c r="AU117" s="583"/>
      <c r="AV117" s="585"/>
      <c r="AW117" s="583"/>
      <c r="AX117" s="584"/>
      <c r="AY117" s="583"/>
      <c r="AZ117" s="585"/>
      <c r="BA117" s="583"/>
      <c r="BB117" s="584"/>
      <c r="BC117" s="583"/>
      <c r="BD117" s="585"/>
      <c r="BE117" s="583"/>
      <c r="BF117" s="584"/>
      <c r="BG117" s="583"/>
      <c r="BH117" s="585"/>
      <c r="BI117" s="583"/>
      <c r="BJ117" s="584"/>
      <c r="BK117" s="583"/>
      <c r="BL117" s="585"/>
      <c r="BM117" s="583"/>
      <c r="BN117" s="584"/>
      <c r="BO117" s="583"/>
      <c r="BP117" s="585"/>
      <c r="BQ117" s="583"/>
      <c r="BR117" s="584"/>
      <c r="BS117" s="583"/>
      <c r="BT117" s="586"/>
      <c r="BU117" s="540"/>
      <c r="BV117" s="540"/>
      <c r="BW117" s="540"/>
      <c r="BX117" s="538"/>
      <c r="BY117" s="538"/>
      <c r="BZ117" s="592"/>
      <c r="CA117" s="633"/>
      <c r="CB117" s="592" t="s">
        <v>365</v>
      </c>
      <c r="CC117" s="592">
        <v>0.0</v>
      </c>
      <c r="CD117" s="592" t="s">
        <v>365</v>
      </c>
      <c r="CE117" s="592">
        <v>0.0</v>
      </c>
      <c r="CF117" s="592"/>
      <c r="CG117" s="592">
        <v>0.0</v>
      </c>
      <c r="CH117" s="592"/>
      <c r="CI117" s="633"/>
      <c r="CJ117" s="592">
        <v>0.0</v>
      </c>
      <c r="CK117" s="479" t="s">
        <v>365</v>
      </c>
      <c r="CL117" s="592"/>
      <c r="CM117" s="593"/>
      <c r="CN117" s="538"/>
      <c r="CO117" s="538"/>
      <c r="CP117" s="538"/>
      <c r="CQ117" s="538"/>
      <c r="CR117" s="538"/>
      <c r="CS117" s="538"/>
      <c r="CT117" s="538"/>
      <c r="CU117" s="538"/>
      <c r="CV117" s="538"/>
      <c r="CW117" s="538"/>
      <c r="CX117" s="538"/>
      <c r="CY117" s="538"/>
      <c r="CZ117" s="538"/>
      <c r="DA117" s="538"/>
      <c r="DB117" s="538"/>
      <c r="DC117" s="538"/>
      <c r="DD117" s="538"/>
      <c r="DE117" s="538"/>
      <c r="DF117" s="538"/>
      <c r="DG117" s="538"/>
      <c r="DH117" s="538"/>
      <c r="DI117" s="538"/>
      <c r="DJ117" s="538"/>
      <c r="DK117" s="538"/>
      <c r="DL117" s="538"/>
      <c r="DM117" s="538"/>
      <c r="DN117" s="538"/>
      <c r="DO117" s="538"/>
      <c r="DP117" s="538"/>
      <c r="DQ117" s="538"/>
      <c r="DR117" s="538"/>
      <c r="DS117" s="538"/>
      <c r="DT117" s="538"/>
      <c r="DU117" s="538"/>
      <c r="DV117" s="538"/>
      <c r="DW117" s="538"/>
      <c r="DX117" s="538"/>
      <c r="DY117" s="538"/>
      <c r="DZ117" s="538"/>
      <c r="EA117" s="538"/>
      <c r="EB117" s="538"/>
      <c r="EC117" s="538"/>
      <c r="ED117" s="538"/>
      <c r="EE117" s="538"/>
      <c r="EF117" s="538"/>
      <c r="EG117" s="538"/>
      <c r="EH117" s="538"/>
      <c r="EI117" s="538"/>
      <c r="EJ117" s="538"/>
      <c r="EK117" s="538"/>
      <c r="EL117" s="538"/>
      <c r="EM117" s="538"/>
      <c r="EN117" s="538"/>
      <c r="EO117" s="538"/>
      <c r="EP117" s="538"/>
      <c r="EQ117" s="538"/>
      <c r="ER117" s="538"/>
      <c r="ES117" s="538"/>
      <c r="ET117" s="538"/>
      <c r="EU117" s="538"/>
      <c r="EV117" s="538"/>
      <c r="EW117" s="538"/>
      <c r="EX117" s="559"/>
      <c r="EY117" s="559"/>
      <c r="EZ117" s="559"/>
      <c r="FA117" s="559"/>
      <c r="FB117" s="559"/>
      <c r="FC117" s="559"/>
      <c r="FD117" s="559"/>
      <c r="FE117" s="559"/>
      <c r="FF117" s="559"/>
      <c r="FG117" s="559"/>
      <c r="FH117" s="559"/>
      <c r="FI117" s="559"/>
      <c r="FJ117" s="559"/>
      <c r="FK117" s="559"/>
      <c r="FL117" s="559"/>
      <c r="FM117" s="559"/>
      <c r="FN117" s="559"/>
      <c r="FO117" s="559"/>
      <c r="FP117" s="559"/>
      <c r="FQ117" s="559"/>
      <c r="FR117" s="559"/>
      <c r="FS117" s="559"/>
      <c r="FT117" s="559"/>
      <c r="FU117" s="559"/>
      <c r="FV117" s="559"/>
      <c r="FW117" s="559"/>
      <c r="FX117" s="559"/>
      <c r="FY117" s="559"/>
      <c r="FZ117" s="559"/>
      <c r="GA117" s="559"/>
      <c r="GB117" s="559"/>
      <c r="GC117" s="559"/>
      <c r="GD117" s="559"/>
      <c r="GE117" s="559"/>
      <c r="GF117" s="559"/>
      <c r="GG117" s="559"/>
      <c r="GH117" s="559"/>
    </row>
    <row r="118">
      <c r="A118" s="538"/>
      <c r="B118" s="156"/>
      <c r="C118" s="444"/>
      <c r="D118" s="614"/>
      <c r="E118" s="68"/>
      <c r="F118" s="644"/>
      <c r="G118" s="644"/>
      <c r="H118" s="627"/>
      <c r="I118" s="622" t="s">
        <v>365</v>
      </c>
      <c r="J118" s="607"/>
      <c r="K118" s="641"/>
      <c r="L118" s="628"/>
      <c r="M118" s="626"/>
      <c r="N118" s="619"/>
      <c r="O118" s="560"/>
      <c r="P118" s="47"/>
      <c r="Q118" s="47"/>
      <c r="S118" s="572"/>
      <c r="U118" s="573"/>
      <c r="V118" s="574"/>
      <c r="W118" s="618"/>
      <c r="X118" s="576">
        <v>0.0</v>
      </c>
      <c r="Y118" s="630">
        <v>0.0</v>
      </c>
      <c r="Z118" s="630" t="s">
        <v>365</v>
      </c>
      <c r="AA118" s="631" t="b">
        <v>0</v>
      </c>
      <c r="AB118" s="631"/>
      <c r="AC118" s="576"/>
      <c r="AD118" s="479">
        <v>0.0</v>
      </c>
      <c r="AE118" s="632"/>
      <c r="AF118" s="582" t="s">
        <v>365</v>
      </c>
      <c r="AG118" s="583"/>
      <c r="AH118" s="584"/>
      <c r="AI118" s="583"/>
      <c r="AJ118" s="585"/>
      <c r="AK118" s="583"/>
      <c r="AL118" s="584"/>
      <c r="AM118" s="583"/>
      <c r="AN118" s="585"/>
      <c r="AO118" s="583"/>
      <c r="AP118" s="584"/>
      <c r="AQ118" s="583"/>
      <c r="AR118" s="585"/>
      <c r="AS118" s="583"/>
      <c r="AT118" s="584"/>
      <c r="AU118" s="583"/>
      <c r="AV118" s="585"/>
      <c r="AW118" s="583"/>
      <c r="AX118" s="584"/>
      <c r="AY118" s="583"/>
      <c r="AZ118" s="585"/>
      <c r="BA118" s="583"/>
      <c r="BB118" s="584"/>
      <c r="BC118" s="583"/>
      <c r="BD118" s="585"/>
      <c r="BE118" s="583"/>
      <c r="BF118" s="584"/>
      <c r="BG118" s="583"/>
      <c r="BH118" s="585"/>
      <c r="BI118" s="583"/>
      <c r="BJ118" s="584"/>
      <c r="BK118" s="583"/>
      <c r="BL118" s="585"/>
      <c r="BM118" s="583"/>
      <c r="BN118" s="584"/>
      <c r="BO118" s="583"/>
      <c r="BP118" s="585"/>
      <c r="BQ118" s="583"/>
      <c r="BR118" s="584"/>
      <c r="BS118" s="583"/>
      <c r="BT118" s="586"/>
      <c r="BU118" s="540"/>
      <c r="BV118" s="540"/>
      <c r="BW118" s="540"/>
      <c r="BX118" s="538"/>
      <c r="BY118" s="538"/>
      <c r="BZ118" s="592"/>
      <c r="CA118" s="633"/>
      <c r="CB118" s="592" t="s">
        <v>365</v>
      </c>
      <c r="CC118" s="592">
        <v>0.0</v>
      </c>
      <c r="CD118" s="592" t="s">
        <v>365</v>
      </c>
      <c r="CE118" s="592">
        <v>0.0</v>
      </c>
      <c r="CF118" s="592"/>
      <c r="CG118" s="592">
        <v>0.0</v>
      </c>
      <c r="CH118" s="592"/>
      <c r="CI118" s="633"/>
      <c r="CJ118" s="592">
        <v>0.0</v>
      </c>
      <c r="CK118" s="479" t="s">
        <v>365</v>
      </c>
      <c r="CL118" s="592"/>
      <c r="CM118" s="593"/>
      <c r="CN118" s="538"/>
      <c r="CO118" s="538"/>
      <c r="CP118" s="538"/>
      <c r="CQ118" s="538"/>
      <c r="CR118" s="538"/>
      <c r="CS118" s="538"/>
      <c r="CT118" s="538"/>
      <c r="CU118" s="538"/>
      <c r="CV118" s="538"/>
      <c r="CW118" s="538"/>
      <c r="CX118" s="538"/>
      <c r="CY118" s="538"/>
      <c r="CZ118" s="538"/>
      <c r="DA118" s="538"/>
      <c r="DB118" s="538"/>
      <c r="DC118" s="538"/>
      <c r="DD118" s="538"/>
      <c r="DE118" s="538"/>
      <c r="DF118" s="538"/>
      <c r="DG118" s="538"/>
      <c r="DH118" s="538"/>
      <c r="DI118" s="538"/>
      <c r="DJ118" s="538"/>
      <c r="DK118" s="538"/>
      <c r="DL118" s="538"/>
      <c r="DM118" s="538"/>
      <c r="DN118" s="538"/>
      <c r="DO118" s="538"/>
      <c r="DP118" s="538"/>
      <c r="DQ118" s="538"/>
      <c r="DR118" s="538"/>
      <c r="DS118" s="538"/>
      <c r="DT118" s="538"/>
      <c r="DU118" s="538"/>
      <c r="DV118" s="538"/>
      <c r="DW118" s="538"/>
      <c r="DX118" s="538"/>
      <c r="DY118" s="538"/>
      <c r="DZ118" s="538"/>
      <c r="EA118" s="538"/>
      <c r="EB118" s="538"/>
      <c r="EC118" s="538"/>
      <c r="ED118" s="538"/>
      <c r="EE118" s="538"/>
      <c r="EF118" s="538"/>
      <c r="EG118" s="538"/>
      <c r="EH118" s="538"/>
      <c r="EI118" s="538"/>
      <c r="EJ118" s="538"/>
      <c r="EK118" s="538"/>
      <c r="EL118" s="538"/>
      <c r="EM118" s="538"/>
      <c r="EN118" s="538"/>
      <c r="EO118" s="538"/>
      <c r="EP118" s="538"/>
      <c r="EQ118" s="538"/>
      <c r="ER118" s="538"/>
      <c r="ES118" s="538"/>
      <c r="ET118" s="538"/>
      <c r="EU118" s="538"/>
      <c r="EV118" s="538"/>
      <c r="EW118" s="538"/>
      <c r="EX118" s="559"/>
      <c r="EY118" s="559"/>
      <c r="EZ118" s="559"/>
      <c r="FA118" s="559"/>
      <c r="FB118" s="559"/>
      <c r="FC118" s="559"/>
      <c r="FD118" s="559"/>
      <c r="FE118" s="559"/>
      <c r="FF118" s="559"/>
      <c r="FG118" s="559"/>
      <c r="FH118" s="559"/>
      <c r="FI118" s="559"/>
      <c r="FJ118" s="559"/>
      <c r="FK118" s="559"/>
      <c r="FL118" s="559"/>
      <c r="FM118" s="559"/>
      <c r="FN118" s="559"/>
      <c r="FO118" s="559"/>
      <c r="FP118" s="559"/>
      <c r="FQ118" s="559"/>
      <c r="FR118" s="559"/>
      <c r="FS118" s="559"/>
      <c r="FT118" s="559"/>
      <c r="FU118" s="559"/>
      <c r="FV118" s="559"/>
      <c r="FW118" s="559"/>
      <c r="FX118" s="559"/>
      <c r="FY118" s="559"/>
      <c r="FZ118" s="559"/>
      <c r="GA118" s="559"/>
      <c r="GB118" s="559"/>
      <c r="GC118" s="559"/>
      <c r="GD118" s="559"/>
      <c r="GE118" s="559"/>
      <c r="GF118" s="559"/>
      <c r="GG118" s="559"/>
      <c r="GH118" s="559"/>
    </row>
    <row r="119">
      <c r="A119" s="538"/>
      <c r="B119" s="156"/>
      <c r="C119" s="444"/>
      <c r="D119" s="614"/>
      <c r="E119" s="66"/>
      <c r="F119" s="642"/>
      <c r="G119" s="642"/>
      <c r="H119" s="615"/>
      <c r="I119" s="616" t="s">
        <v>365</v>
      </c>
      <c r="J119" s="624"/>
      <c r="K119" s="643"/>
      <c r="L119" s="640"/>
      <c r="M119" s="625"/>
      <c r="N119" s="617"/>
      <c r="O119" s="134"/>
      <c r="P119" s="57"/>
      <c r="Q119" s="57"/>
      <c r="S119" s="605"/>
      <c r="U119" s="573"/>
      <c r="V119" s="574"/>
      <c r="W119" s="618"/>
      <c r="X119" s="576">
        <v>0.0</v>
      </c>
      <c r="Y119" s="630">
        <v>0.0</v>
      </c>
      <c r="Z119" s="630" t="s">
        <v>365</v>
      </c>
      <c r="AA119" s="631" t="b">
        <v>0</v>
      </c>
      <c r="AB119" s="631"/>
      <c r="AC119" s="576"/>
      <c r="AD119" s="479">
        <v>0.0</v>
      </c>
      <c r="AE119" s="632"/>
      <c r="AF119" s="582" t="s">
        <v>365</v>
      </c>
      <c r="AG119" s="583"/>
      <c r="AH119" s="584"/>
      <c r="AI119" s="583"/>
      <c r="AJ119" s="585"/>
      <c r="AK119" s="583"/>
      <c r="AL119" s="584"/>
      <c r="AM119" s="583"/>
      <c r="AN119" s="585"/>
      <c r="AO119" s="583"/>
      <c r="AP119" s="584"/>
      <c r="AQ119" s="583"/>
      <c r="AR119" s="585"/>
      <c r="AS119" s="583"/>
      <c r="AT119" s="584"/>
      <c r="AU119" s="583"/>
      <c r="AV119" s="585"/>
      <c r="AW119" s="583"/>
      <c r="AX119" s="584"/>
      <c r="AY119" s="583"/>
      <c r="AZ119" s="585"/>
      <c r="BA119" s="583"/>
      <c r="BB119" s="584"/>
      <c r="BC119" s="583"/>
      <c r="BD119" s="585"/>
      <c r="BE119" s="583"/>
      <c r="BF119" s="584"/>
      <c r="BG119" s="583"/>
      <c r="BH119" s="585"/>
      <c r="BI119" s="583"/>
      <c r="BJ119" s="584"/>
      <c r="BK119" s="583"/>
      <c r="BL119" s="585"/>
      <c r="BM119" s="583"/>
      <c r="BN119" s="584"/>
      <c r="BO119" s="583"/>
      <c r="BP119" s="585"/>
      <c r="BQ119" s="583"/>
      <c r="BR119" s="584"/>
      <c r="BS119" s="583"/>
      <c r="BT119" s="586"/>
      <c r="BU119" s="540"/>
      <c r="BV119" s="540"/>
      <c r="BW119" s="540"/>
      <c r="BX119" s="538"/>
      <c r="BY119" s="538"/>
      <c r="BZ119" s="592"/>
      <c r="CA119" s="633"/>
      <c r="CB119" s="592" t="s">
        <v>365</v>
      </c>
      <c r="CC119" s="592">
        <v>0.0</v>
      </c>
      <c r="CD119" s="592" t="s">
        <v>365</v>
      </c>
      <c r="CE119" s="592">
        <v>0.0</v>
      </c>
      <c r="CF119" s="592"/>
      <c r="CG119" s="592">
        <v>0.0</v>
      </c>
      <c r="CH119" s="592"/>
      <c r="CI119" s="633"/>
      <c r="CJ119" s="592">
        <v>0.0</v>
      </c>
      <c r="CK119" s="479" t="s">
        <v>365</v>
      </c>
      <c r="CL119" s="592"/>
      <c r="CM119" s="593"/>
      <c r="CN119" s="538"/>
      <c r="CO119" s="538"/>
      <c r="CP119" s="538"/>
      <c r="CQ119" s="538"/>
      <c r="CR119" s="538"/>
      <c r="CS119" s="538"/>
      <c r="CT119" s="538"/>
      <c r="CU119" s="538"/>
      <c r="CV119" s="538"/>
      <c r="CW119" s="538"/>
      <c r="CX119" s="538"/>
      <c r="CY119" s="538"/>
      <c r="CZ119" s="538"/>
      <c r="DA119" s="538"/>
      <c r="DB119" s="538"/>
      <c r="DC119" s="538"/>
      <c r="DD119" s="538"/>
      <c r="DE119" s="538"/>
      <c r="DF119" s="538"/>
      <c r="DG119" s="538"/>
      <c r="DH119" s="538"/>
      <c r="DI119" s="538"/>
      <c r="DJ119" s="538"/>
      <c r="DK119" s="538"/>
      <c r="DL119" s="538"/>
      <c r="DM119" s="538"/>
      <c r="DN119" s="538"/>
      <c r="DO119" s="538"/>
      <c r="DP119" s="538"/>
      <c r="DQ119" s="538"/>
      <c r="DR119" s="538"/>
      <c r="DS119" s="538"/>
      <c r="DT119" s="538"/>
      <c r="DU119" s="538"/>
      <c r="DV119" s="538"/>
      <c r="DW119" s="538"/>
      <c r="DX119" s="538"/>
      <c r="DY119" s="538"/>
      <c r="DZ119" s="538"/>
      <c r="EA119" s="538"/>
      <c r="EB119" s="538"/>
      <c r="EC119" s="538"/>
      <c r="ED119" s="538"/>
      <c r="EE119" s="538"/>
      <c r="EF119" s="538"/>
      <c r="EG119" s="538"/>
      <c r="EH119" s="538"/>
      <c r="EI119" s="538"/>
      <c r="EJ119" s="538"/>
      <c r="EK119" s="538"/>
      <c r="EL119" s="538"/>
      <c r="EM119" s="538"/>
      <c r="EN119" s="538"/>
      <c r="EO119" s="538"/>
      <c r="EP119" s="538"/>
      <c r="EQ119" s="538"/>
      <c r="ER119" s="538"/>
      <c r="ES119" s="538"/>
      <c r="ET119" s="538"/>
      <c r="EU119" s="538"/>
      <c r="EV119" s="538"/>
      <c r="EW119" s="538"/>
      <c r="EX119" s="559"/>
      <c r="EY119" s="559"/>
      <c r="EZ119" s="559"/>
      <c r="FA119" s="559"/>
      <c r="FB119" s="559"/>
      <c r="FC119" s="559"/>
      <c r="FD119" s="559"/>
      <c r="FE119" s="559"/>
      <c r="FF119" s="559"/>
      <c r="FG119" s="559"/>
      <c r="FH119" s="559"/>
      <c r="FI119" s="559"/>
      <c r="FJ119" s="559"/>
      <c r="FK119" s="559"/>
      <c r="FL119" s="559"/>
      <c r="FM119" s="559"/>
      <c r="FN119" s="559"/>
      <c r="FO119" s="559"/>
      <c r="FP119" s="559"/>
      <c r="FQ119" s="559"/>
      <c r="FR119" s="559"/>
      <c r="FS119" s="559"/>
      <c r="FT119" s="559"/>
      <c r="FU119" s="559"/>
      <c r="FV119" s="559"/>
      <c r="FW119" s="559"/>
      <c r="FX119" s="559"/>
      <c r="FY119" s="559"/>
      <c r="FZ119" s="559"/>
      <c r="GA119" s="559"/>
      <c r="GB119" s="559"/>
      <c r="GC119" s="559"/>
      <c r="GD119" s="559"/>
      <c r="GE119" s="559"/>
      <c r="GF119" s="559"/>
      <c r="GG119" s="559"/>
      <c r="GH119" s="559"/>
    </row>
    <row r="120">
      <c r="A120" s="538"/>
      <c r="B120" s="156"/>
      <c r="C120" s="444"/>
      <c r="D120" s="614"/>
      <c r="E120" s="68"/>
      <c r="F120" s="644"/>
      <c r="G120" s="644"/>
      <c r="H120" s="627"/>
      <c r="I120" s="622" t="s">
        <v>365</v>
      </c>
      <c r="J120" s="607"/>
      <c r="K120" s="641"/>
      <c r="L120" s="628"/>
      <c r="M120" s="626"/>
      <c r="N120" s="619"/>
      <c r="O120" s="560"/>
      <c r="P120" s="47"/>
      <c r="Q120" s="47"/>
      <c r="S120" s="572"/>
      <c r="U120" s="573"/>
      <c r="V120" s="574"/>
      <c r="W120" s="618"/>
      <c r="X120" s="576">
        <v>0.0</v>
      </c>
      <c r="Y120" s="630">
        <v>0.0</v>
      </c>
      <c r="Z120" s="630" t="s">
        <v>365</v>
      </c>
      <c r="AA120" s="631" t="b">
        <v>0</v>
      </c>
      <c r="AB120" s="631"/>
      <c r="AC120" s="576"/>
      <c r="AD120" s="479">
        <v>0.0</v>
      </c>
      <c r="AE120" s="632"/>
      <c r="AF120" s="582" t="s">
        <v>365</v>
      </c>
      <c r="AG120" s="583"/>
      <c r="AH120" s="584"/>
      <c r="AI120" s="583"/>
      <c r="AJ120" s="585"/>
      <c r="AK120" s="583"/>
      <c r="AL120" s="584"/>
      <c r="AM120" s="583"/>
      <c r="AN120" s="585"/>
      <c r="AO120" s="583"/>
      <c r="AP120" s="584"/>
      <c r="AQ120" s="583"/>
      <c r="AR120" s="585"/>
      <c r="AS120" s="583"/>
      <c r="AT120" s="584"/>
      <c r="AU120" s="583"/>
      <c r="AV120" s="585"/>
      <c r="AW120" s="583"/>
      <c r="AX120" s="584"/>
      <c r="AY120" s="583"/>
      <c r="AZ120" s="585"/>
      <c r="BA120" s="583"/>
      <c r="BB120" s="584"/>
      <c r="BC120" s="583"/>
      <c r="BD120" s="585"/>
      <c r="BE120" s="583"/>
      <c r="BF120" s="584"/>
      <c r="BG120" s="583"/>
      <c r="BH120" s="585"/>
      <c r="BI120" s="583"/>
      <c r="BJ120" s="584"/>
      <c r="BK120" s="583"/>
      <c r="BL120" s="585"/>
      <c r="BM120" s="583"/>
      <c r="BN120" s="584"/>
      <c r="BO120" s="583"/>
      <c r="BP120" s="585"/>
      <c r="BQ120" s="583"/>
      <c r="BR120" s="584"/>
      <c r="BS120" s="583"/>
      <c r="BT120" s="586"/>
      <c r="BU120" s="540"/>
      <c r="BV120" s="540"/>
      <c r="BW120" s="540"/>
      <c r="BX120" s="538"/>
      <c r="BY120" s="538"/>
      <c r="BZ120" s="592"/>
      <c r="CA120" s="633"/>
      <c r="CB120" s="592" t="s">
        <v>365</v>
      </c>
      <c r="CC120" s="592">
        <v>0.0</v>
      </c>
      <c r="CD120" s="592" t="s">
        <v>365</v>
      </c>
      <c r="CE120" s="592">
        <v>0.0</v>
      </c>
      <c r="CF120" s="592"/>
      <c r="CG120" s="592">
        <v>0.0</v>
      </c>
      <c r="CH120" s="592"/>
      <c r="CI120" s="633"/>
      <c r="CJ120" s="592">
        <v>0.0</v>
      </c>
      <c r="CK120" s="479" t="s">
        <v>365</v>
      </c>
      <c r="CL120" s="592"/>
      <c r="CM120" s="593"/>
      <c r="CN120" s="538"/>
      <c r="CO120" s="538"/>
      <c r="CP120" s="538"/>
      <c r="CQ120" s="538"/>
      <c r="CR120" s="538"/>
      <c r="CS120" s="538"/>
      <c r="CT120" s="538"/>
      <c r="CU120" s="538"/>
      <c r="CV120" s="538"/>
      <c r="CW120" s="538"/>
      <c r="CX120" s="538"/>
      <c r="CY120" s="538"/>
      <c r="CZ120" s="538"/>
      <c r="DA120" s="538"/>
      <c r="DB120" s="538"/>
      <c r="DC120" s="538"/>
      <c r="DD120" s="538"/>
      <c r="DE120" s="538"/>
      <c r="DF120" s="538"/>
      <c r="DG120" s="538"/>
      <c r="DH120" s="538"/>
      <c r="DI120" s="538"/>
      <c r="DJ120" s="538"/>
      <c r="DK120" s="538"/>
      <c r="DL120" s="538"/>
      <c r="DM120" s="538"/>
      <c r="DN120" s="538"/>
      <c r="DO120" s="538"/>
      <c r="DP120" s="538"/>
      <c r="DQ120" s="538"/>
      <c r="DR120" s="538"/>
      <c r="DS120" s="538"/>
      <c r="DT120" s="538"/>
      <c r="DU120" s="538"/>
      <c r="DV120" s="538"/>
      <c r="DW120" s="538"/>
      <c r="DX120" s="538"/>
      <c r="DY120" s="538"/>
      <c r="DZ120" s="538"/>
      <c r="EA120" s="538"/>
      <c r="EB120" s="538"/>
      <c r="EC120" s="538"/>
      <c r="ED120" s="538"/>
      <c r="EE120" s="538"/>
      <c r="EF120" s="538"/>
      <c r="EG120" s="538"/>
      <c r="EH120" s="538"/>
      <c r="EI120" s="538"/>
      <c r="EJ120" s="538"/>
      <c r="EK120" s="538"/>
      <c r="EL120" s="538"/>
      <c r="EM120" s="538"/>
      <c r="EN120" s="538"/>
      <c r="EO120" s="538"/>
      <c r="EP120" s="538"/>
      <c r="EQ120" s="538"/>
      <c r="ER120" s="538"/>
      <c r="ES120" s="538"/>
      <c r="ET120" s="538"/>
      <c r="EU120" s="538"/>
      <c r="EV120" s="538"/>
      <c r="EW120" s="538"/>
      <c r="EX120" s="559"/>
      <c r="EY120" s="559"/>
      <c r="EZ120" s="559"/>
      <c r="FA120" s="559"/>
      <c r="FB120" s="559"/>
      <c r="FC120" s="559"/>
      <c r="FD120" s="559"/>
      <c r="FE120" s="559"/>
      <c r="FF120" s="559"/>
      <c r="FG120" s="559"/>
      <c r="FH120" s="559"/>
      <c r="FI120" s="559"/>
      <c r="FJ120" s="559"/>
      <c r="FK120" s="559"/>
      <c r="FL120" s="559"/>
      <c r="FM120" s="559"/>
      <c r="FN120" s="559"/>
      <c r="FO120" s="559"/>
      <c r="FP120" s="559"/>
      <c r="FQ120" s="559"/>
      <c r="FR120" s="559"/>
      <c r="FS120" s="559"/>
      <c r="FT120" s="559"/>
      <c r="FU120" s="559"/>
      <c r="FV120" s="559"/>
      <c r="FW120" s="559"/>
      <c r="FX120" s="559"/>
      <c r="FY120" s="559"/>
      <c r="FZ120" s="559"/>
      <c r="GA120" s="559"/>
      <c r="GB120" s="559"/>
      <c r="GC120" s="559"/>
      <c r="GD120" s="559"/>
      <c r="GE120" s="559"/>
      <c r="GF120" s="559"/>
      <c r="GG120" s="559"/>
      <c r="GH120" s="559"/>
    </row>
    <row r="121">
      <c r="A121" s="538"/>
      <c r="B121" s="156"/>
      <c r="C121" s="444"/>
      <c r="D121" s="614"/>
      <c r="E121" s="66"/>
      <c r="F121" s="642"/>
      <c r="G121" s="642"/>
      <c r="H121" s="615"/>
      <c r="I121" s="616" t="s">
        <v>365</v>
      </c>
      <c r="J121" s="624"/>
      <c r="K121" s="643"/>
      <c r="L121" s="640"/>
      <c r="M121" s="625"/>
      <c r="N121" s="617"/>
      <c r="O121" s="134"/>
      <c r="P121" s="57"/>
      <c r="Q121" s="57"/>
      <c r="S121" s="605"/>
      <c r="U121" s="573"/>
      <c r="V121" s="574"/>
      <c r="W121" s="618"/>
      <c r="X121" s="576">
        <v>0.0</v>
      </c>
      <c r="Y121" s="630">
        <v>0.0</v>
      </c>
      <c r="Z121" s="630" t="s">
        <v>365</v>
      </c>
      <c r="AA121" s="631" t="b">
        <v>0</v>
      </c>
      <c r="AB121" s="631"/>
      <c r="AC121" s="576"/>
      <c r="AD121" s="479">
        <v>0.0</v>
      </c>
      <c r="AE121" s="632"/>
      <c r="AF121" s="582" t="s">
        <v>365</v>
      </c>
      <c r="AG121" s="583"/>
      <c r="AH121" s="584"/>
      <c r="AI121" s="583"/>
      <c r="AJ121" s="585"/>
      <c r="AK121" s="583"/>
      <c r="AL121" s="584"/>
      <c r="AM121" s="583"/>
      <c r="AN121" s="585"/>
      <c r="AO121" s="583"/>
      <c r="AP121" s="584"/>
      <c r="AQ121" s="583"/>
      <c r="AR121" s="585"/>
      <c r="AS121" s="583"/>
      <c r="AT121" s="584"/>
      <c r="AU121" s="583"/>
      <c r="AV121" s="585"/>
      <c r="AW121" s="583"/>
      <c r="AX121" s="584"/>
      <c r="AY121" s="583"/>
      <c r="AZ121" s="585"/>
      <c r="BA121" s="583"/>
      <c r="BB121" s="584"/>
      <c r="BC121" s="583"/>
      <c r="BD121" s="585"/>
      <c r="BE121" s="583"/>
      <c r="BF121" s="584"/>
      <c r="BG121" s="583"/>
      <c r="BH121" s="585"/>
      <c r="BI121" s="583"/>
      <c r="BJ121" s="584"/>
      <c r="BK121" s="583"/>
      <c r="BL121" s="585"/>
      <c r="BM121" s="583"/>
      <c r="BN121" s="584"/>
      <c r="BO121" s="583"/>
      <c r="BP121" s="585"/>
      <c r="BQ121" s="583"/>
      <c r="BR121" s="584"/>
      <c r="BS121" s="583"/>
      <c r="BT121" s="586"/>
      <c r="BU121" s="540"/>
      <c r="BV121" s="540"/>
      <c r="BW121" s="540"/>
      <c r="BX121" s="538"/>
      <c r="BY121" s="538"/>
      <c r="BZ121" s="592"/>
      <c r="CA121" s="633"/>
      <c r="CB121" s="592" t="s">
        <v>365</v>
      </c>
      <c r="CC121" s="592">
        <v>0.0</v>
      </c>
      <c r="CD121" s="592" t="s">
        <v>365</v>
      </c>
      <c r="CE121" s="592">
        <v>0.0</v>
      </c>
      <c r="CF121" s="592"/>
      <c r="CG121" s="592">
        <v>0.0</v>
      </c>
      <c r="CH121" s="592"/>
      <c r="CI121" s="633"/>
      <c r="CJ121" s="592">
        <v>0.0</v>
      </c>
      <c r="CK121" s="479" t="s">
        <v>365</v>
      </c>
      <c r="CL121" s="592"/>
      <c r="CM121" s="593"/>
      <c r="CN121" s="538"/>
      <c r="CO121" s="538"/>
      <c r="CP121" s="538"/>
      <c r="CQ121" s="538"/>
      <c r="CR121" s="538"/>
      <c r="CS121" s="538"/>
      <c r="CT121" s="538"/>
      <c r="CU121" s="538"/>
      <c r="CV121" s="538"/>
      <c r="CW121" s="538"/>
      <c r="CX121" s="538"/>
      <c r="CY121" s="538"/>
      <c r="CZ121" s="538"/>
      <c r="DA121" s="538"/>
      <c r="DB121" s="538"/>
      <c r="DC121" s="538"/>
      <c r="DD121" s="538"/>
      <c r="DE121" s="538"/>
      <c r="DF121" s="538"/>
      <c r="DG121" s="538"/>
      <c r="DH121" s="538"/>
      <c r="DI121" s="538"/>
      <c r="DJ121" s="538"/>
      <c r="DK121" s="538"/>
      <c r="DL121" s="538"/>
      <c r="DM121" s="538"/>
      <c r="DN121" s="538"/>
      <c r="DO121" s="538"/>
      <c r="DP121" s="538"/>
      <c r="DQ121" s="538"/>
      <c r="DR121" s="538"/>
      <c r="DS121" s="538"/>
      <c r="DT121" s="538"/>
      <c r="DU121" s="538"/>
      <c r="DV121" s="538"/>
      <c r="DW121" s="538"/>
      <c r="DX121" s="538"/>
      <c r="DY121" s="538"/>
      <c r="DZ121" s="538"/>
      <c r="EA121" s="538"/>
      <c r="EB121" s="538"/>
      <c r="EC121" s="538"/>
      <c r="ED121" s="538"/>
      <c r="EE121" s="538"/>
      <c r="EF121" s="538"/>
      <c r="EG121" s="538"/>
      <c r="EH121" s="538"/>
      <c r="EI121" s="538"/>
      <c r="EJ121" s="538"/>
      <c r="EK121" s="538"/>
      <c r="EL121" s="538"/>
      <c r="EM121" s="538"/>
      <c r="EN121" s="538"/>
      <c r="EO121" s="538"/>
      <c r="EP121" s="538"/>
      <c r="EQ121" s="538"/>
      <c r="ER121" s="538"/>
      <c r="ES121" s="538"/>
      <c r="ET121" s="538"/>
      <c r="EU121" s="538"/>
      <c r="EV121" s="538"/>
      <c r="EW121" s="538"/>
      <c r="EX121" s="559"/>
      <c r="EY121" s="559"/>
      <c r="EZ121" s="559"/>
      <c r="FA121" s="559"/>
      <c r="FB121" s="559"/>
      <c r="FC121" s="559"/>
      <c r="FD121" s="559"/>
      <c r="FE121" s="559"/>
      <c r="FF121" s="559"/>
      <c r="FG121" s="559"/>
      <c r="FH121" s="559"/>
      <c r="FI121" s="559"/>
      <c r="FJ121" s="559"/>
      <c r="FK121" s="559"/>
      <c r="FL121" s="559"/>
      <c r="FM121" s="559"/>
      <c r="FN121" s="559"/>
      <c r="FO121" s="559"/>
      <c r="FP121" s="559"/>
      <c r="FQ121" s="559"/>
      <c r="FR121" s="559"/>
      <c r="FS121" s="559"/>
      <c r="FT121" s="559"/>
      <c r="FU121" s="559"/>
      <c r="FV121" s="559"/>
      <c r="FW121" s="559"/>
      <c r="FX121" s="559"/>
      <c r="FY121" s="559"/>
      <c r="FZ121" s="559"/>
      <c r="GA121" s="559"/>
      <c r="GB121" s="559"/>
      <c r="GC121" s="559"/>
      <c r="GD121" s="559"/>
      <c r="GE121" s="559"/>
      <c r="GF121" s="559"/>
      <c r="GG121" s="559"/>
      <c r="GH121" s="559"/>
    </row>
    <row r="122">
      <c r="A122" s="538"/>
      <c r="B122" s="156"/>
      <c r="C122" s="444"/>
      <c r="D122" s="614"/>
      <c r="E122" s="68"/>
      <c r="F122" s="644"/>
      <c r="G122" s="644"/>
      <c r="H122" s="627"/>
      <c r="I122" s="622" t="s">
        <v>365</v>
      </c>
      <c r="J122" s="607"/>
      <c r="K122" s="641"/>
      <c r="L122" s="628"/>
      <c r="M122" s="626"/>
      <c r="N122" s="619"/>
      <c r="O122" s="560"/>
      <c r="P122" s="47"/>
      <c r="Q122" s="47"/>
      <c r="S122" s="572"/>
      <c r="U122" s="573"/>
      <c r="V122" s="574"/>
      <c r="W122" s="618"/>
      <c r="X122" s="576">
        <v>0.0</v>
      </c>
      <c r="Y122" s="630">
        <v>0.0</v>
      </c>
      <c r="Z122" s="630" t="s">
        <v>365</v>
      </c>
      <c r="AA122" s="631" t="b">
        <v>0</v>
      </c>
      <c r="AB122" s="631"/>
      <c r="AC122" s="576"/>
      <c r="AD122" s="479">
        <v>0.0</v>
      </c>
      <c r="AE122" s="632"/>
      <c r="AF122" s="582" t="s">
        <v>365</v>
      </c>
      <c r="AG122" s="583"/>
      <c r="AH122" s="584"/>
      <c r="AI122" s="583"/>
      <c r="AJ122" s="585"/>
      <c r="AK122" s="583"/>
      <c r="AL122" s="584"/>
      <c r="AM122" s="583"/>
      <c r="AN122" s="585"/>
      <c r="AO122" s="583"/>
      <c r="AP122" s="584"/>
      <c r="AQ122" s="583"/>
      <c r="AR122" s="585"/>
      <c r="AS122" s="583"/>
      <c r="AT122" s="584"/>
      <c r="AU122" s="583"/>
      <c r="AV122" s="585"/>
      <c r="AW122" s="583"/>
      <c r="AX122" s="584"/>
      <c r="AY122" s="583"/>
      <c r="AZ122" s="585"/>
      <c r="BA122" s="583"/>
      <c r="BB122" s="584"/>
      <c r="BC122" s="583"/>
      <c r="BD122" s="585"/>
      <c r="BE122" s="583"/>
      <c r="BF122" s="584"/>
      <c r="BG122" s="583"/>
      <c r="BH122" s="585"/>
      <c r="BI122" s="583"/>
      <c r="BJ122" s="584"/>
      <c r="BK122" s="583"/>
      <c r="BL122" s="585"/>
      <c r="BM122" s="583"/>
      <c r="BN122" s="584"/>
      <c r="BO122" s="583"/>
      <c r="BP122" s="585"/>
      <c r="BQ122" s="583"/>
      <c r="BR122" s="584"/>
      <c r="BS122" s="583"/>
      <c r="BT122" s="586"/>
      <c r="BU122" s="540"/>
      <c r="BV122" s="540"/>
      <c r="BW122" s="540"/>
      <c r="BX122" s="538"/>
      <c r="BY122" s="538"/>
      <c r="BZ122" s="592"/>
      <c r="CA122" s="633"/>
      <c r="CB122" s="592" t="s">
        <v>365</v>
      </c>
      <c r="CC122" s="592">
        <v>0.0</v>
      </c>
      <c r="CD122" s="592" t="s">
        <v>365</v>
      </c>
      <c r="CE122" s="592">
        <v>0.0</v>
      </c>
      <c r="CF122" s="592"/>
      <c r="CG122" s="592">
        <v>0.0</v>
      </c>
      <c r="CH122" s="592"/>
      <c r="CI122" s="633"/>
      <c r="CJ122" s="592">
        <v>0.0</v>
      </c>
      <c r="CK122" s="479" t="s">
        <v>365</v>
      </c>
      <c r="CL122" s="592"/>
      <c r="CM122" s="593"/>
      <c r="CN122" s="538"/>
      <c r="CO122" s="538"/>
      <c r="CP122" s="538"/>
      <c r="CQ122" s="538"/>
      <c r="CR122" s="538"/>
      <c r="CS122" s="538"/>
      <c r="CT122" s="538"/>
      <c r="CU122" s="538"/>
      <c r="CV122" s="538"/>
      <c r="CW122" s="538"/>
      <c r="CX122" s="538"/>
      <c r="CY122" s="538"/>
      <c r="CZ122" s="538"/>
      <c r="DA122" s="538"/>
      <c r="DB122" s="538"/>
      <c r="DC122" s="538"/>
      <c r="DD122" s="538"/>
      <c r="DE122" s="538"/>
      <c r="DF122" s="538"/>
      <c r="DG122" s="538"/>
      <c r="DH122" s="538"/>
      <c r="DI122" s="538"/>
      <c r="DJ122" s="538"/>
      <c r="DK122" s="538"/>
      <c r="DL122" s="538"/>
      <c r="DM122" s="538"/>
      <c r="DN122" s="538"/>
      <c r="DO122" s="538"/>
      <c r="DP122" s="538"/>
      <c r="DQ122" s="538"/>
      <c r="DR122" s="538"/>
      <c r="DS122" s="538"/>
      <c r="DT122" s="538"/>
      <c r="DU122" s="538"/>
      <c r="DV122" s="538"/>
      <c r="DW122" s="538"/>
      <c r="DX122" s="538"/>
      <c r="DY122" s="538"/>
      <c r="DZ122" s="538"/>
      <c r="EA122" s="538"/>
      <c r="EB122" s="538"/>
      <c r="EC122" s="538"/>
      <c r="ED122" s="538"/>
      <c r="EE122" s="538"/>
      <c r="EF122" s="538"/>
      <c r="EG122" s="538"/>
      <c r="EH122" s="538"/>
      <c r="EI122" s="538"/>
      <c r="EJ122" s="538"/>
      <c r="EK122" s="538"/>
      <c r="EL122" s="538"/>
      <c r="EM122" s="538"/>
      <c r="EN122" s="538"/>
      <c r="EO122" s="538"/>
      <c r="EP122" s="538"/>
      <c r="EQ122" s="538"/>
      <c r="ER122" s="538"/>
      <c r="ES122" s="538"/>
      <c r="ET122" s="538"/>
      <c r="EU122" s="538"/>
      <c r="EV122" s="538"/>
      <c r="EW122" s="538"/>
      <c r="EX122" s="559"/>
      <c r="EY122" s="559"/>
      <c r="EZ122" s="559"/>
      <c r="FA122" s="559"/>
      <c r="FB122" s="559"/>
      <c r="FC122" s="559"/>
      <c r="FD122" s="559"/>
      <c r="FE122" s="559"/>
      <c r="FF122" s="559"/>
      <c r="FG122" s="559"/>
      <c r="FH122" s="559"/>
      <c r="FI122" s="559"/>
      <c r="FJ122" s="559"/>
      <c r="FK122" s="559"/>
      <c r="FL122" s="559"/>
      <c r="FM122" s="559"/>
      <c r="FN122" s="559"/>
      <c r="FO122" s="559"/>
      <c r="FP122" s="559"/>
      <c r="FQ122" s="559"/>
      <c r="FR122" s="559"/>
      <c r="FS122" s="559"/>
      <c r="FT122" s="559"/>
      <c r="FU122" s="559"/>
      <c r="FV122" s="559"/>
      <c r="FW122" s="559"/>
      <c r="FX122" s="559"/>
      <c r="FY122" s="559"/>
      <c r="FZ122" s="559"/>
      <c r="GA122" s="559"/>
      <c r="GB122" s="559"/>
      <c r="GC122" s="559"/>
      <c r="GD122" s="559"/>
      <c r="GE122" s="559"/>
      <c r="GF122" s="559"/>
      <c r="GG122" s="559"/>
      <c r="GH122" s="559"/>
    </row>
    <row r="123">
      <c r="A123" s="538"/>
      <c r="B123" s="156"/>
      <c r="C123" s="444"/>
      <c r="D123" s="614"/>
      <c r="E123" s="66"/>
      <c r="F123" s="642"/>
      <c r="G123" s="642"/>
      <c r="H123" s="615"/>
      <c r="I123" s="616" t="s">
        <v>365</v>
      </c>
      <c r="J123" s="624"/>
      <c r="K123" s="643"/>
      <c r="L123" s="640"/>
      <c r="M123" s="625"/>
      <c r="N123" s="617"/>
      <c r="O123" s="134"/>
      <c r="P123" s="57"/>
      <c r="Q123" s="57"/>
      <c r="S123" s="605"/>
      <c r="U123" s="573"/>
      <c r="V123" s="574"/>
      <c r="W123" s="618"/>
      <c r="X123" s="576">
        <v>0.0</v>
      </c>
      <c r="Y123" s="630">
        <v>0.0</v>
      </c>
      <c r="Z123" s="630" t="s">
        <v>365</v>
      </c>
      <c r="AA123" s="631" t="b">
        <v>0</v>
      </c>
      <c r="AB123" s="631"/>
      <c r="AC123" s="576"/>
      <c r="AD123" s="479">
        <v>0.0</v>
      </c>
      <c r="AE123" s="632"/>
      <c r="AF123" s="582" t="s">
        <v>365</v>
      </c>
      <c r="AG123" s="583"/>
      <c r="AH123" s="584"/>
      <c r="AI123" s="583"/>
      <c r="AJ123" s="585"/>
      <c r="AK123" s="583"/>
      <c r="AL123" s="584"/>
      <c r="AM123" s="583"/>
      <c r="AN123" s="585"/>
      <c r="AO123" s="583"/>
      <c r="AP123" s="584"/>
      <c r="AQ123" s="583"/>
      <c r="AR123" s="585"/>
      <c r="AS123" s="583"/>
      <c r="AT123" s="584"/>
      <c r="AU123" s="583"/>
      <c r="AV123" s="585"/>
      <c r="AW123" s="583"/>
      <c r="AX123" s="584"/>
      <c r="AY123" s="583"/>
      <c r="AZ123" s="585"/>
      <c r="BA123" s="583"/>
      <c r="BB123" s="584"/>
      <c r="BC123" s="583"/>
      <c r="BD123" s="585"/>
      <c r="BE123" s="583"/>
      <c r="BF123" s="584"/>
      <c r="BG123" s="583"/>
      <c r="BH123" s="585"/>
      <c r="BI123" s="583"/>
      <c r="BJ123" s="584"/>
      <c r="BK123" s="583"/>
      <c r="BL123" s="585"/>
      <c r="BM123" s="583"/>
      <c r="BN123" s="584"/>
      <c r="BO123" s="583"/>
      <c r="BP123" s="585"/>
      <c r="BQ123" s="583"/>
      <c r="BR123" s="584"/>
      <c r="BS123" s="583"/>
      <c r="BT123" s="586"/>
      <c r="BU123" s="540"/>
      <c r="BV123" s="540"/>
      <c r="BW123" s="540"/>
      <c r="BX123" s="538"/>
      <c r="BY123" s="538"/>
      <c r="BZ123" s="592"/>
      <c r="CA123" s="633"/>
      <c r="CB123" s="592" t="s">
        <v>365</v>
      </c>
      <c r="CC123" s="592">
        <v>0.0</v>
      </c>
      <c r="CD123" s="592" t="s">
        <v>365</v>
      </c>
      <c r="CE123" s="592">
        <v>0.0</v>
      </c>
      <c r="CF123" s="592"/>
      <c r="CG123" s="592">
        <v>0.0</v>
      </c>
      <c r="CH123" s="592"/>
      <c r="CI123" s="633"/>
      <c r="CJ123" s="592">
        <v>0.0</v>
      </c>
      <c r="CK123" s="479" t="s">
        <v>365</v>
      </c>
      <c r="CL123" s="592"/>
      <c r="CM123" s="593"/>
      <c r="CN123" s="538"/>
      <c r="CO123" s="538"/>
      <c r="CP123" s="538"/>
      <c r="CQ123" s="538"/>
      <c r="CR123" s="538"/>
      <c r="CS123" s="538"/>
      <c r="CT123" s="538"/>
      <c r="CU123" s="538"/>
      <c r="CV123" s="538"/>
      <c r="CW123" s="538"/>
      <c r="CX123" s="538"/>
      <c r="CY123" s="538"/>
      <c r="CZ123" s="538"/>
      <c r="DA123" s="538"/>
      <c r="DB123" s="538"/>
      <c r="DC123" s="538"/>
      <c r="DD123" s="538"/>
      <c r="DE123" s="538"/>
      <c r="DF123" s="538"/>
      <c r="DG123" s="538"/>
      <c r="DH123" s="538"/>
      <c r="DI123" s="538"/>
      <c r="DJ123" s="538"/>
      <c r="DK123" s="538"/>
      <c r="DL123" s="538"/>
      <c r="DM123" s="538"/>
      <c r="DN123" s="538"/>
      <c r="DO123" s="538"/>
      <c r="DP123" s="538"/>
      <c r="DQ123" s="538"/>
      <c r="DR123" s="538"/>
      <c r="DS123" s="538"/>
      <c r="DT123" s="538"/>
      <c r="DU123" s="538"/>
      <c r="DV123" s="538"/>
      <c r="DW123" s="538"/>
      <c r="DX123" s="538"/>
      <c r="DY123" s="538"/>
      <c r="DZ123" s="538"/>
      <c r="EA123" s="538"/>
      <c r="EB123" s="538"/>
      <c r="EC123" s="538"/>
      <c r="ED123" s="538"/>
      <c r="EE123" s="538"/>
      <c r="EF123" s="538"/>
      <c r="EG123" s="538"/>
      <c r="EH123" s="538"/>
      <c r="EI123" s="538"/>
      <c r="EJ123" s="538"/>
      <c r="EK123" s="538"/>
      <c r="EL123" s="538"/>
      <c r="EM123" s="538"/>
      <c r="EN123" s="538"/>
      <c r="EO123" s="538"/>
      <c r="EP123" s="538"/>
      <c r="EQ123" s="538"/>
      <c r="ER123" s="538"/>
      <c r="ES123" s="538"/>
      <c r="ET123" s="538"/>
      <c r="EU123" s="538"/>
      <c r="EV123" s="538"/>
      <c r="EW123" s="538"/>
      <c r="EX123" s="559"/>
      <c r="EY123" s="559"/>
      <c r="EZ123" s="559"/>
      <c r="FA123" s="559"/>
      <c r="FB123" s="559"/>
      <c r="FC123" s="559"/>
      <c r="FD123" s="559"/>
      <c r="FE123" s="559"/>
      <c r="FF123" s="559"/>
      <c r="FG123" s="559"/>
      <c r="FH123" s="559"/>
      <c r="FI123" s="559"/>
      <c r="FJ123" s="559"/>
      <c r="FK123" s="559"/>
      <c r="FL123" s="559"/>
      <c r="FM123" s="559"/>
      <c r="FN123" s="559"/>
      <c r="FO123" s="559"/>
      <c r="FP123" s="559"/>
      <c r="FQ123" s="559"/>
      <c r="FR123" s="559"/>
      <c r="FS123" s="559"/>
      <c r="FT123" s="559"/>
      <c r="FU123" s="559"/>
      <c r="FV123" s="559"/>
      <c r="FW123" s="559"/>
      <c r="FX123" s="559"/>
      <c r="FY123" s="559"/>
      <c r="FZ123" s="559"/>
      <c r="GA123" s="559"/>
      <c r="GB123" s="559"/>
      <c r="GC123" s="559"/>
      <c r="GD123" s="559"/>
      <c r="GE123" s="559"/>
      <c r="GF123" s="559"/>
      <c r="GG123" s="559"/>
      <c r="GH123" s="559"/>
    </row>
    <row r="124">
      <c r="A124" s="538"/>
      <c r="B124" s="156"/>
      <c r="C124" s="444"/>
      <c r="D124" s="614"/>
      <c r="E124" s="68"/>
      <c r="F124" s="644"/>
      <c r="G124" s="644"/>
      <c r="H124" s="627"/>
      <c r="I124" s="622" t="s">
        <v>365</v>
      </c>
      <c r="J124" s="607"/>
      <c r="K124" s="641"/>
      <c r="L124" s="628"/>
      <c r="M124" s="626"/>
      <c r="N124" s="619"/>
      <c r="O124" s="560"/>
      <c r="P124" s="47"/>
      <c r="Q124" s="47"/>
      <c r="S124" s="572"/>
      <c r="U124" s="573"/>
      <c r="V124" s="574"/>
      <c r="W124" s="618"/>
      <c r="X124" s="576">
        <v>0.0</v>
      </c>
      <c r="Y124" s="630">
        <v>0.0</v>
      </c>
      <c r="Z124" s="630" t="s">
        <v>365</v>
      </c>
      <c r="AA124" s="631" t="b">
        <v>0</v>
      </c>
      <c r="AB124" s="631"/>
      <c r="AC124" s="576"/>
      <c r="AD124" s="479">
        <v>0.0</v>
      </c>
      <c r="AE124" s="632"/>
      <c r="AF124" s="582" t="s">
        <v>365</v>
      </c>
      <c r="AG124" s="583"/>
      <c r="AH124" s="584"/>
      <c r="AI124" s="583"/>
      <c r="AJ124" s="585"/>
      <c r="AK124" s="583"/>
      <c r="AL124" s="584"/>
      <c r="AM124" s="583"/>
      <c r="AN124" s="585"/>
      <c r="AO124" s="583"/>
      <c r="AP124" s="584"/>
      <c r="AQ124" s="583"/>
      <c r="AR124" s="585"/>
      <c r="AS124" s="583"/>
      <c r="AT124" s="584"/>
      <c r="AU124" s="583"/>
      <c r="AV124" s="585"/>
      <c r="AW124" s="583"/>
      <c r="AX124" s="584"/>
      <c r="AY124" s="583"/>
      <c r="AZ124" s="585"/>
      <c r="BA124" s="583"/>
      <c r="BB124" s="584"/>
      <c r="BC124" s="583"/>
      <c r="BD124" s="585"/>
      <c r="BE124" s="583"/>
      <c r="BF124" s="584"/>
      <c r="BG124" s="583"/>
      <c r="BH124" s="585"/>
      <c r="BI124" s="583"/>
      <c r="BJ124" s="584"/>
      <c r="BK124" s="583"/>
      <c r="BL124" s="585"/>
      <c r="BM124" s="583"/>
      <c r="BN124" s="584"/>
      <c r="BO124" s="583"/>
      <c r="BP124" s="585"/>
      <c r="BQ124" s="583"/>
      <c r="BR124" s="584"/>
      <c r="BS124" s="583"/>
      <c r="BT124" s="586"/>
      <c r="BU124" s="540"/>
      <c r="BV124" s="540"/>
      <c r="BW124" s="540"/>
      <c r="BX124" s="538"/>
      <c r="BY124" s="538"/>
      <c r="BZ124" s="592"/>
      <c r="CA124" s="633"/>
      <c r="CB124" s="592" t="s">
        <v>365</v>
      </c>
      <c r="CC124" s="592">
        <v>0.0</v>
      </c>
      <c r="CD124" s="592" t="s">
        <v>365</v>
      </c>
      <c r="CE124" s="592">
        <v>0.0</v>
      </c>
      <c r="CF124" s="592"/>
      <c r="CG124" s="592">
        <v>0.0</v>
      </c>
      <c r="CH124" s="592"/>
      <c r="CI124" s="633"/>
      <c r="CJ124" s="592">
        <v>0.0</v>
      </c>
      <c r="CK124" s="479" t="s">
        <v>365</v>
      </c>
      <c r="CL124" s="592"/>
      <c r="CM124" s="593"/>
      <c r="CN124" s="538"/>
      <c r="CO124" s="538"/>
      <c r="CP124" s="538"/>
      <c r="CQ124" s="538"/>
      <c r="CR124" s="538"/>
      <c r="CS124" s="538"/>
      <c r="CT124" s="538"/>
      <c r="CU124" s="538"/>
      <c r="CV124" s="538"/>
      <c r="CW124" s="538"/>
      <c r="CX124" s="538"/>
      <c r="CY124" s="538"/>
      <c r="CZ124" s="538"/>
      <c r="DA124" s="538"/>
      <c r="DB124" s="538"/>
      <c r="DC124" s="538"/>
      <c r="DD124" s="538"/>
      <c r="DE124" s="538"/>
      <c r="DF124" s="538"/>
      <c r="DG124" s="538"/>
      <c r="DH124" s="538"/>
      <c r="DI124" s="538"/>
      <c r="DJ124" s="538"/>
      <c r="DK124" s="538"/>
      <c r="DL124" s="538"/>
      <c r="DM124" s="538"/>
      <c r="DN124" s="538"/>
      <c r="DO124" s="538"/>
      <c r="DP124" s="538"/>
      <c r="DQ124" s="538"/>
      <c r="DR124" s="538"/>
      <c r="DS124" s="538"/>
      <c r="DT124" s="538"/>
      <c r="DU124" s="538"/>
      <c r="DV124" s="538"/>
      <c r="DW124" s="538"/>
      <c r="DX124" s="538"/>
      <c r="DY124" s="538"/>
      <c r="DZ124" s="538"/>
      <c r="EA124" s="538"/>
      <c r="EB124" s="538"/>
      <c r="EC124" s="538"/>
      <c r="ED124" s="538"/>
      <c r="EE124" s="538"/>
      <c r="EF124" s="538"/>
      <c r="EG124" s="538"/>
      <c r="EH124" s="538"/>
      <c r="EI124" s="538"/>
      <c r="EJ124" s="538"/>
      <c r="EK124" s="538"/>
      <c r="EL124" s="538"/>
      <c r="EM124" s="538"/>
      <c r="EN124" s="538"/>
      <c r="EO124" s="538"/>
      <c r="EP124" s="538"/>
      <c r="EQ124" s="538"/>
      <c r="ER124" s="538"/>
      <c r="ES124" s="538"/>
      <c r="ET124" s="538"/>
      <c r="EU124" s="538"/>
      <c r="EV124" s="538"/>
      <c r="EW124" s="538"/>
      <c r="EX124" s="559"/>
      <c r="EY124" s="559"/>
      <c r="EZ124" s="559"/>
      <c r="FA124" s="559"/>
      <c r="FB124" s="559"/>
      <c r="FC124" s="559"/>
      <c r="FD124" s="559"/>
      <c r="FE124" s="559"/>
      <c r="FF124" s="559"/>
      <c r="FG124" s="559"/>
      <c r="FH124" s="559"/>
      <c r="FI124" s="559"/>
      <c r="FJ124" s="559"/>
      <c r="FK124" s="559"/>
      <c r="FL124" s="559"/>
      <c r="FM124" s="559"/>
      <c r="FN124" s="559"/>
      <c r="FO124" s="559"/>
      <c r="FP124" s="559"/>
      <c r="FQ124" s="559"/>
      <c r="FR124" s="559"/>
      <c r="FS124" s="559"/>
      <c r="FT124" s="559"/>
      <c r="FU124" s="559"/>
      <c r="FV124" s="559"/>
      <c r="FW124" s="559"/>
      <c r="FX124" s="559"/>
      <c r="FY124" s="559"/>
      <c r="FZ124" s="559"/>
      <c r="GA124" s="559"/>
      <c r="GB124" s="559"/>
      <c r="GC124" s="559"/>
      <c r="GD124" s="559"/>
      <c r="GE124" s="559"/>
      <c r="GF124" s="559"/>
      <c r="GG124" s="559"/>
      <c r="GH124" s="559"/>
    </row>
    <row r="125">
      <c r="A125" s="538"/>
      <c r="B125" s="156"/>
      <c r="C125" s="444"/>
      <c r="D125" s="614"/>
      <c r="E125" s="66"/>
      <c r="F125" s="642"/>
      <c r="G125" s="642"/>
      <c r="H125" s="615"/>
      <c r="I125" s="616" t="s">
        <v>365</v>
      </c>
      <c r="J125" s="624"/>
      <c r="K125" s="643"/>
      <c r="L125" s="640"/>
      <c r="M125" s="625"/>
      <c r="N125" s="617"/>
      <c r="O125" s="134"/>
      <c r="P125" s="57"/>
      <c r="Q125" s="57"/>
      <c r="S125" s="605"/>
      <c r="U125" s="573"/>
      <c r="V125" s="574"/>
      <c r="W125" s="618"/>
      <c r="X125" s="576">
        <v>0.0</v>
      </c>
      <c r="Y125" s="630">
        <v>0.0</v>
      </c>
      <c r="Z125" s="630" t="s">
        <v>365</v>
      </c>
      <c r="AA125" s="631" t="b">
        <v>0</v>
      </c>
      <c r="AB125" s="631"/>
      <c r="AC125" s="576"/>
      <c r="AD125" s="479">
        <v>0.0</v>
      </c>
      <c r="AE125" s="632"/>
      <c r="AF125" s="582" t="s">
        <v>365</v>
      </c>
      <c r="AG125" s="583"/>
      <c r="AH125" s="584"/>
      <c r="AI125" s="583"/>
      <c r="AJ125" s="585"/>
      <c r="AK125" s="583"/>
      <c r="AL125" s="584"/>
      <c r="AM125" s="583"/>
      <c r="AN125" s="585"/>
      <c r="AO125" s="583"/>
      <c r="AP125" s="584"/>
      <c r="AQ125" s="583"/>
      <c r="AR125" s="585"/>
      <c r="AS125" s="583"/>
      <c r="AT125" s="584"/>
      <c r="AU125" s="583"/>
      <c r="AV125" s="585"/>
      <c r="AW125" s="583"/>
      <c r="AX125" s="584"/>
      <c r="AY125" s="583"/>
      <c r="AZ125" s="585"/>
      <c r="BA125" s="583"/>
      <c r="BB125" s="584"/>
      <c r="BC125" s="583"/>
      <c r="BD125" s="585"/>
      <c r="BE125" s="583"/>
      <c r="BF125" s="584"/>
      <c r="BG125" s="583"/>
      <c r="BH125" s="585"/>
      <c r="BI125" s="583"/>
      <c r="BJ125" s="584"/>
      <c r="BK125" s="583"/>
      <c r="BL125" s="585"/>
      <c r="BM125" s="583"/>
      <c r="BN125" s="584"/>
      <c r="BO125" s="583"/>
      <c r="BP125" s="585"/>
      <c r="BQ125" s="583"/>
      <c r="BR125" s="584"/>
      <c r="BS125" s="583"/>
      <c r="BT125" s="586"/>
      <c r="BU125" s="540"/>
      <c r="BV125" s="540"/>
      <c r="BW125" s="540"/>
      <c r="BX125" s="538"/>
      <c r="BY125" s="538"/>
      <c r="BZ125" s="592"/>
      <c r="CA125" s="633"/>
      <c r="CB125" s="592" t="s">
        <v>365</v>
      </c>
      <c r="CC125" s="592">
        <v>0.0</v>
      </c>
      <c r="CD125" s="592" t="s">
        <v>365</v>
      </c>
      <c r="CE125" s="592">
        <v>0.0</v>
      </c>
      <c r="CF125" s="592"/>
      <c r="CG125" s="592">
        <v>0.0</v>
      </c>
      <c r="CH125" s="592"/>
      <c r="CI125" s="633"/>
      <c r="CJ125" s="592">
        <v>0.0</v>
      </c>
      <c r="CK125" s="479" t="s">
        <v>365</v>
      </c>
      <c r="CL125" s="592"/>
      <c r="CM125" s="593"/>
      <c r="CN125" s="538"/>
      <c r="CO125" s="538"/>
      <c r="CP125" s="538"/>
      <c r="CQ125" s="538"/>
      <c r="CR125" s="538"/>
      <c r="CS125" s="538"/>
      <c r="CT125" s="538"/>
      <c r="CU125" s="538"/>
      <c r="CV125" s="538"/>
      <c r="CW125" s="538"/>
      <c r="CX125" s="538"/>
      <c r="CY125" s="538"/>
      <c r="CZ125" s="538"/>
      <c r="DA125" s="538"/>
      <c r="DB125" s="538"/>
      <c r="DC125" s="538"/>
      <c r="DD125" s="538"/>
      <c r="DE125" s="538"/>
      <c r="DF125" s="538"/>
      <c r="DG125" s="538"/>
      <c r="DH125" s="538"/>
      <c r="DI125" s="538"/>
      <c r="DJ125" s="538"/>
      <c r="DK125" s="538"/>
      <c r="DL125" s="538"/>
      <c r="DM125" s="538"/>
      <c r="DN125" s="538"/>
      <c r="DO125" s="538"/>
      <c r="DP125" s="538"/>
      <c r="DQ125" s="538"/>
      <c r="DR125" s="538"/>
      <c r="DS125" s="538"/>
      <c r="DT125" s="538"/>
      <c r="DU125" s="538"/>
      <c r="DV125" s="538"/>
      <c r="DW125" s="538"/>
      <c r="DX125" s="538"/>
      <c r="DY125" s="538"/>
      <c r="DZ125" s="538"/>
      <c r="EA125" s="538"/>
      <c r="EB125" s="538"/>
      <c r="EC125" s="538"/>
      <c r="ED125" s="538"/>
      <c r="EE125" s="538"/>
      <c r="EF125" s="538"/>
      <c r="EG125" s="538"/>
      <c r="EH125" s="538"/>
      <c r="EI125" s="538"/>
      <c r="EJ125" s="538"/>
      <c r="EK125" s="538"/>
      <c r="EL125" s="538"/>
      <c r="EM125" s="538"/>
      <c r="EN125" s="538"/>
      <c r="EO125" s="538"/>
      <c r="EP125" s="538"/>
      <c r="EQ125" s="538"/>
      <c r="ER125" s="538"/>
      <c r="ES125" s="538"/>
      <c r="ET125" s="538"/>
      <c r="EU125" s="538"/>
      <c r="EV125" s="538"/>
      <c r="EW125" s="538"/>
      <c r="EX125" s="559"/>
      <c r="EY125" s="559"/>
      <c r="EZ125" s="559"/>
      <c r="FA125" s="559"/>
      <c r="FB125" s="559"/>
      <c r="FC125" s="559"/>
      <c r="FD125" s="559"/>
      <c r="FE125" s="559"/>
      <c r="FF125" s="559"/>
      <c r="FG125" s="559"/>
      <c r="FH125" s="559"/>
      <c r="FI125" s="559"/>
      <c r="FJ125" s="559"/>
      <c r="FK125" s="559"/>
      <c r="FL125" s="559"/>
      <c r="FM125" s="559"/>
      <c r="FN125" s="559"/>
      <c r="FO125" s="559"/>
      <c r="FP125" s="559"/>
      <c r="FQ125" s="559"/>
      <c r="FR125" s="559"/>
      <c r="FS125" s="559"/>
      <c r="FT125" s="559"/>
      <c r="FU125" s="559"/>
      <c r="FV125" s="559"/>
      <c r="FW125" s="559"/>
      <c r="FX125" s="559"/>
      <c r="FY125" s="559"/>
      <c r="FZ125" s="559"/>
      <c r="GA125" s="559"/>
      <c r="GB125" s="559"/>
      <c r="GC125" s="559"/>
      <c r="GD125" s="559"/>
      <c r="GE125" s="559"/>
      <c r="GF125" s="559"/>
      <c r="GG125" s="559"/>
      <c r="GH125" s="559"/>
    </row>
    <row r="126">
      <c r="A126" s="538"/>
      <c r="B126" s="156"/>
      <c r="C126" s="444"/>
      <c r="D126" s="614"/>
      <c r="E126" s="68"/>
      <c r="F126" s="644"/>
      <c r="G126" s="644"/>
      <c r="H126" s="627"/>
      <c r="I126" s="622" t="s">
        <v>365</v>
      </c>
      <c r="J126" s="607"/>
      <c r="K126" s="641"/>
      <c r="L126" s="628"/>
      <c r="M126" s="626"/>
      <c r="N126" s="619"/>
      <c r="O126" s="560"/>
      <c r="P126" s="47"/>
      <c r="Q126" s="47"/>
      <c r="S126" s="572"/>
      <c r="U126" s="573"/>
      <c r="V126" s="574"/>
      <c r="W126" s="618"/>
      <c r="X126" s="576">
        <v>0.0</v>
      </c>
      <c r="Y126" s="630">
        <v>0.0</v>
      </c>
      <c r="Z126" s="630" t="s">
        <v>365</v>
      </c>
      <c r="AA126" s="631" t="b">
        <v>0</v>
      </c>
      <c r="AB126" s="631"/>
      <c r="AC126" s="576"/>
      <c r="AD126" s="479">
        <v>0.0</v>
      </c>
      <c r="AE126" s="632"/>
      <c r="AF126" s="582" t="s">
        <v>365</v>
      </c>
      <c r="AG126" s="583"/>
      <c r="AH126" s="584"/>
      <c r="AI126" s="583"/>
      <c r="AJ126" s="585"/>
      <c r="AK126" s="583"/>
      <c r="AL126" s="584"/>
      <c r="AM126" s="583"/>
      <c r="AN126" s="585"/>
      <c r="AO126" s="583"/>
      <c r="AP126" s="584"/>
      <c r="AQ126" s="583"/>
      <c r="AR126" s="585"/>
      <c r="AS126" s="583"/>
      <c r="AT126" s="584"/>
      <c r="AU126" s="583"/>
      <c r="AV126" s="585"/>
      <c r="AW126" s="583"/>
      <c r="AX126" s="584"/>
      <c r="AY126" s="583"/>
      <c r="AZ126" s="585"/>
      <c r="BA126" s="583"/>
      <c r="BB126" s="584"/>
      <c r="BC126" s="583"/>
      <c r="BD126" s="585"/>
      <c r="BE126" s="583"/>
      <c r="BF126" s="584"/>
      <c r="BG126" s="583"/>
      <c r="BH126" s="585"/>
      <c r="BI126" s="583"/>
      <c r="BJ126" s="584"/>
      <c r="BK126" s="583"/>
      <c r="BL126" s="585"/>
      <c r="BM126" s="583"/>
      <c r="BN126" s="584"/>
      <c r="BO126" s="583"/>
      <c r="BP126" s="585"/>
      <c r="BQ126" s="583"/>
      <c r="BR126" s="584"/>
      <c r="BS126" s="583"/>
      <c r="BT126" s="586"/>
      <c r="BU126" s="540"/>
      <c r="BV126" s="540"/>
      <c r="BW126" s="540"/>
      <c r="BX126" s="538"/>
      <c r="BY126" s="538"/>
      <c r="BZ126" s="592"/>
      <c r="CA126" s="633"/>
      <c r="CB126" s="592" t="s">
        <v>365</v>
      </c>
      <c r="CC126" s="592">
        <v>0.0</v>
      </c>
      <c r="CD126" s="592" t="s">
        <v>365</v>
      </c>
      <c r="CE126" s="592">
        <v>0.0</v>
      </c>
      <c r="CF126" s="592"/>
      <c r="CG126" s="592">
        <v>0.0</v>
      </c>
      <c r="CH126" s="592"/>
      <c r="CI126" s="633"/>
      <c r="CJ126" s="592">
        <v>0.0</v>
      </c>
      <c r="CK126" s="479" t="s">
        <v>365</v>
      </c>
      <c r="CL126" s="592"/>
      <c r="CM126" s="593"/>
      <c r="CN126" s="538"/>
      <c r="CO126" s="538"/>
      <c r="CP126" s="538"/>
      <c r="CQ126" s="538"/>
      <c r="CR126" s="538"/>
      <c r="CS126" s="538"/>
      <c r="CT126" s="538"/>
      <c r="CU126" s="538"/>
      <c r="CV126" s="538"/>
      <c r="CW126" s="538"/>
      <c r="CX126" s="538"/>
      <c r="CY126" s="538"/>
      <c r="CZ126" s="538"/>
      <c r="DA126" s="538"/>
      <c r="DB126" s="538"/>
      <c r="DC126" s="538"/>
      <c r="DD126" s="538"/>
      <c r="DE126" s="538"/>
      <c r="DF126" s="538"/>
      <c r="DG126" s="538"/>
      <c r="DH126" s="538"/>
      <c r="DI126" s="538"/>
      <c r="DJ126" s="538"/>
      <c r="DK126" s="538"/>
      <c r="DL126" s="538"/>
      <c r="DM126" s="538"/>
      <c r="DN126" s="538"/>
      <c r="DO126" s="538"/>
      <c r="DP126" s="538"/>
      <c r="DQ126" s="538"/>
      <c r="DR126" s="538"/>
      <c r="DS126" s="538"/>
      <c r="DT126" s="538"/>
      <c r="DU126" s="538"/>
      <c r="DV126" s="538"/>
      <c r="DW126" s="538"/>
      <c r="DX126" s="538"/>
      <c r="DY126" s="538"/>
      <c r="DZ126" s="538"/>
      <c r="EA126" s="538"/>
      <c r="EB126" s="538"/>
      <c r="EC126" s="538"/>
      <c r="ED126" s="538"/>
      <c r="EE126" s="538"/>
      <c r="EF126" s="538"/>
      <c r="EG126" s="538"/>
      <c r="EH126" s="538"/>
      <c r="EI126" s="538"/>
      <c r="EJ126" s="538"/>
      <c r="EK126" s="538"/>
      <c r="EL126" s="538"/>
      <c r="EM126" s="538"/>
      <c r="EN126" s="538"/>
      <c r="EO126" s="538"/>
      <c r="EP126" s="538"/>
      <c r="EQ126" s="538"/>
      <c r="ER126" s="538"/>
      <c r="ES126" s="538"/>
      <c r="ET126" s="538"/>
      <c r="EU126" s="538"/>
      <c r="EV126" s="538"/>
      <c r="EW126" s="538"/>
      <c r="EX126" s="559"/>
      <c r="EY126" s="559"/>
      <c r="EZ126" s="559"/>
      <c r="FA126" s="559"/>
      <c r="FB126" s="559"/>
      <c r="FC126" s="559"/>
      <c r="FD126" s="559"/>
      <c r="FE126" s="559"/>
      <c r="FF126" s="559"/>
      <c r="FG126" s="559"/>
      <c r="FH126" s="559"/>
      <c r="FI126" s="559"/>
      <c r="FJ126" s="559"/>
      <c r="FK126" s="559"/>
      <c r="FL126" s="559"/>
      <c r="FM126" s="559"/>
      <c r="FN126" s="559"/>
      <c r="FO126" s="559"/>
      <c r="FP126" s="559"/>
      <c r="FQ126" s="559"/>
      <c r="FR126" s="559"/>
      <c r="FS126" s="559"/>
      <c r="FT126" s="559"/>
      <c r="FU126" s="559"/>
      <c r="FV126" s="559"/>
      <c r="FW126" s="559"/>
      <c r="FX126" s="559"/>
      <c r="FY126" s="559"/>
      <c r="FZ126" s="559"/>
      <c r="GA126" s="559"/>
      <c r="GB126" s="559"/>
      <c r="GC126" s="559"/>
      <c r="GD126" s="559"/>
      <c r="GE126" s="559"/>
      <c r="GF126" s="559"/>
      <c r="GG126" s="559"/>
      <c r="GH126" s="559"/>
    </row>
    <row r="127">
      <c r="A127" s="538"/>
      <c r="B127" s="156"/>
      <c r="C127" s="444"/>
      <c r="D127" s="614"/>
      <c r="E127" s="66"/>
      <c r="F127" s="642"/>
      <c r="G127" s="642"/>
      <c r="H127" s="615"/>
      <c r="I127" s="616" t="s">
        <v>365</v>
      </c>
      <c r="J127" s="624"/>
      <c r="K127" s="643"/>
      <c r="L127" s="640"/>
      <c r="M127" s="625"/>
      <c r="N127" s="617"/>
      <c r="O127" s="134"/>
      <c r="P127" s="57"/>
      <c r="Q127" s="57"/>
      <c r="S127" s="605"/>
      <c r="U127" s="573"/>
      <c r="V127" s="574"/>
      <c r="W127" s="618"/>
      <c r="X127" s="576">
        <v>0.0</v>
      </c>
      <c r="Y127" s="630">
        <v>0.0</v>
      </c>
      <c r="Z127" s="630" t="s">
        <v>365</v>
      </c>
      <c r="AA127" s="631" t="b">
        <v>0</v>
      </c>
      <c r="AB127" s="631"/>
      <c r="AC127" s="576"/>
      <c r="AD127" s="479">
        <v>0.0</v>
      </c>
      <c r="AE127" s="632"/>
      <c r="AF127" s="582" t="s">
        <v>365</v>
      </c>
      <c r="AG127" s="583"/>
      <c r="AH127" s="584"/>
      <c r="AI127" s="583"/>
      <c r="AJ127" s="585"/>
      <c r="AK127" s="583"/>
      <c r="AL127" s="584"/>
      <c r="AM127" s="583"/>
      <c r="AN127" s="585"/>
      <c r="AO127" s="583"/>
      <c r="AP127" s="584"/>
      <c r="AQ127" s="583"/>
      <c r="AR127" s="585"/>
      <c r="AS127" s="583"/>
      <c r="AT127" s="584"/>
      <c r="AU127" s="583"/>
      <c r="AV127" s="585"/>
      <c r="AW127" s="583"/>
      <c r="AX127" s="584"/>
      <c r="AY127" s="583"/>
      <c r="AZ127" s="585"/>
      <c r="BA127" s="583"/>
      <c r="BB127" s="584"/>
      <c r="BC127" s="583"/>
      <c r="BD127" s="585"/>
      <c r="BE127" s="583"/>
      <c r="BF127" s="584"/>
      <c r="BG127" s="583"/>
      <c r="BH127" s="585"/>
      <c r="BI127" s="583"/>
      <c r="BJ127" s="584"/>
      <c r="BK127" s="583"/>
      <c r="BL127" s="585"/>
      <c r="BM127" s="583"/>
      <c r="BN127" s="584"/>
      <c r="BO127" s="583"/>
      <c r="BP127" s="585"/>
      <c r="BQ127" s="583"/>
      <c r="BR127" s="584"/>
      <c r="BS127" s="583"/>
      <c r="BT127" s="586"/>
      <c r="BU127" s="540"/>
      <c r="BV127" s="540"/>
      <c r="BW127" s="540"/>
      <c r="BX127" s="538"/>
      <c r="BY127" s="538"/>
      <c r="BZ127" s="592"/>
      <c r="CA127" s="633"/>
      <c r="CB127" s="592" t="s">
        <v>365</v>
      </c>
      <c r="CC127" s="592">
        <v>0.0</v>
      </c>
      <c r="CD127" s="592" t="s">
        <v>365</v>
      </c>
      <c r="CE127" s="592">
        <v>0.0</v>
      </c>
      <c r="CF127" s="592"/>
      <c r="CG127" s="592">
        <v>0.0</v>
      </c>
      <c r="CH127" s="592"/>
      <c r="CI127" s="633"/>
      <c r="CJ127" s="592">
        <v>0.0</v>
      </c>
      <c r="CK127" s="479" t="s">
        <v>365</v>
      </c>
      <c r="CL127" s="592"/>
      <c r="CM127" s="593"/>
      <c r="CN127" s="538"/>
      <c r="CO127" s="538"/>
      <c r="CP127" s="538"/>
      <c r="CQ127" s="538"/>
      <c r="CR127" s="538"/>
      <c r="CS127" s="538"/>
      <c r="CT127" s="538"/>
      <c r="CU127" s="538"/>
      <c r="CV127" s="538"/>
      <c r="CW127" s="538"/>
      <c r="CX127" s="538"/>
      <c r="CY127" s="538"/>
      <c r="CZ127" s="538"/>
      <c r="DA127" s="538"/>
      <c r="DB127" s="538"/>
      <c r="DC127" s="538"/>
      <c r="DD127" s="538"/>
      <c r="DE127" s="538"/>
      <c r="DF127" s="538"/>
      <c r="DG127" s="538"/>
      <c r="DH127" s="538"/>
      <c r="DI127" s="538"/>
      <c r="DJ127" s="538"/>
      <c r="DK127" s="538"/>
      <c r="DL127" s="538"/>
      <c r="DM127" s="538"/>
      <c r="DN127" s="538"/>
      <c r="DO127" s="538"/>
      <c r="DP127" s="538"/>
      <c r="DQ127" s="538"/>
      <c r="DR127" s="538"/>
      <c r="DS127" s="538"/>
      <c r="DT127" s="538"/>
      <c r="DU127" s="538"/>
      <c r="DV127" s="538"/>
      <c r="DW127" s="538"/>
      <c r="DX127" s="538"/>
      <c r="DY127" s="538"/>
      <c r="DZ127" s="538"/>
      <c r="EA127" s="538"/>
      <c r="EB127" s="538"/>
      <c r="EC127" s="538"/>
      <c r="ED127" s="538"/>
      <c r="EE127" s="538"/>
      <c r="EF127" s="538"/>
      <c r="EG127" s="538"/>
      <c r="EH127" s="538"/>
      <c r="EI127" s="538"/>
      <c r="EJ127" s="538"/>
      <c r="EK127" s="538"/>
      <c r="EL127" s="538"/>
      <c r="EM127" s="538"/>
      <c r="EN127" s="538"/>
      <c r="EO127" s="538"/>
      <c r="EP127" s="538"/>
      <c r="EQ127" s="538"/>
      <c r="ER127" s="538"/>
      <c r="ES127" s="538"/>
      <c r="ET127" s="538"/>
      <c r="EU127" s="538"/>
      <c r="EV127" s="538"/>
      <c r="EW127" s="538"/>
      <c r="EX127" s="559"/>
      <c r="EY127" s="559"/>
      <c r="EZ127" s="559"/>
      <c r="FA127" s="559"/>
      <c r="FB127" s="559"/>
      <c r="FC127" s="559"/>
      <c r="FD127" s="559"/>
      <c r="FE127" s="559"/>
      <c r="FF127" s="559"/>
      <c r="FG127" s="559"/>
      <c r="FH127" s="559"/>
      <c r="FI127" s="559"/>
      <c r="FJ127" s="559"/>
      <c r="FK127" s="559"/>
      <c r="FL127" s="559"/>
      <c r="FM127" s="559"/>
      <c r="FN127" s="559"/>
      <c r="FO127" s="559"/>
      <c r="FP127" s="559"/>
      <c r="FQ127" s="559"/>
      <c r="FR127" s="559"/>
      <c r="FS127" s="559"/>
      <c r="FT127" s="559"/>
      <c r="FU127" s="559"/>
      <c r="FV127" s="559"/>
      <c r="FW127" s="559"/>
      <c r="FX127" s="559"/>
      <c r="FY127" s="559"/>
      <c r="FZ127" s="559"/>
      <c r="GA127" s="559"/>
      <c r="GB127" s="559"/>
      <c r="GC127" s="559"/>
      <c r="GD127" s="559"/>
      <c r="GE127" s="559"/>
      <c r="GF127" s="559"/>
      <c r="GG127" s="559"/>
      <c r="GH127" s="559"/>
    </row>
    <row r="128">
      <c r="A128" s="538"/>
      <c r="B128" s="156"/>
      <c r="C128" s="444"/>
      <c r="D128" s="614"/>
      <c r="E128" s="68"/>
      <c r="F128" s="644"/>
      <c r="G128" s="644"/>
      <c r="H128" s="627"/>
      <c r="I128" s="622" t="s">
        <v>365</v>
      </c>
      <c r="J128" s="607"/>
      <c r="K128" s="641"/>
      <c r="L128" s="628"/>
      <c r="M128" s="626"/>
      <c r="N128" s="619"/>
      <c r="O128" s="560"/>
      <c r="P128" s="47"/>
      <c r="Q128" s="47"/>
      <c r="S128" s="572"/>
      <c r="U128" s="573"/>
      <c r="V128" s="574"/>
      <c r="W128" s="618"/>
      <c r="X128" s="576">
        <v>0.0</v>
      </c>
      <c r="Y128" s="630">
        <v>0.0</v>
      </c>
      <c r="Z128" s="630" t="s">
        <v>365</v>
      </c>
      <c r="AA128" s="631" t="b">
        <v>0</v>
      </c>
      <c r="AB128" s="631"/>
      <c r="AC128" s="576"/>
      <c r="AD128" s="479">
        <v>0.0</v>
      </c>
      <c r="AE128" s="632"/>
      <c r="AF128" s="582" t="s">
        <v>365</v>
      </c>
      <c r="AG128" s="583"/>
      <c r="AH128" s="584"/>
      <c r="AI128" s="583"/>
      <c r="AJ128" s="585"/>
      <c r="AK128" s="583"/>
      <c r="AL128" s="584"/>
      <c r="AM128" s="583"/>
      <c r="AN128" s="585"/>
      <c r="AO128" s="583"/>
      <c r="AP128" s="584"/>
      <c r="AQ128" s="583"/>
      <c r="AR128" s="585"/>
      <c r="AS128" s="583"/>
      <c r="AT128" s="584"/>
      <c r="AU128" s="583"/>
      <c r="AV128" s="585"/>
      <c r="AW128" s="583"/>
      <c r="AX128" s="584"/>
      <c r="AY128" s="583"/>
      <c r="AZ128" s="585"/>
      <c r="BA128" s="583"/>
      <c r="BB128" s="584"/>
      <c r="BC128" s="583"/>
      <c r="BD128" s="585"/>
      <c r="BE128" s="583"/>
      <c r="BF128" s="584"/>
      <c r="BG128" s="583"/>
      <c r="BH128" s="585"/>
      <c r="BI128" s="583"/>
      <c r="BJ128" s="584"/>
      <c r="BK128" s="583"/>
      <c r="BL128" s="585"/>
      <c r="BM128" s="583"/>
      <c r="BN128" s="584"/>
      <c r="BO128" s="583"/>
      <c r="BP128" s="585"/>
      <c r="BQ128" s="583"/>
      <c r="BR128" s="584"/>
      <c r="BS128" s="583"/>
      <c r="BT128" s="586"/>
      <c r="BU128" s="540"/>
      <c r="BV128" s="540"/>
      <c r="BW128" s="540"/>
      <c r="BX128" s="538"/>
      <c r="BY128" s="538"/>
      <c r="BZ128" s="592"/>
      <c r="CA128" s="633"/>
      <c r="CB128" s="592" t="s">
        <v>365</v>
      </c>
      <c r="CC128" s="592">
        <v>0.0</v>
      </c>
      <c r="CD128" s="592" t="s">
        <v>365</v>
      </c>
      <c r="CE128" s="592">
        <v>0.0</v>
      </c>
      <c r="CF128" s="592"/>
      <c r="CG128" s="592">
        <v>0.0</v>
      </c>
      <c r="CH128" s="592"/>
      <c r="CI128" s="633"/>
      <c r="CJ128" s="592">
        <v>0.0</v>
      </c>
      <c r="CK128" s="479" t="s">
        <v>365</v>
      </c>
      <c r="CL128" s="592"/>
      <c r="CM128" s="593"/>
      <c r="CN128" s="538"/>
      <c r="CO128" s="538"/>
      <c r="CP128" s="538"/>
      <c r="CQ128" s="538"/>
      <c r="CR128" s="538"/>
      <c r="CS128" s="538"/>
      <c r="CT128" s="538"/>
      <c r="CU128" s="538"/>
      <c r="CV128" s="538"/>
      <c r="CW128" s="538"/>
      <c r="CX128" s="538"/>
      <c r="CY128" s="538"/>
      <c r="CZ128" s="538"/>
      <c r="DA128" s="538"/>
      <c r="DB128" s="538"/>
      <c r="DC128" s="538"/>
      <c r="DD128" s="538"/>
      <c r="DE128" s="538"/>
      <c r="DF128" s="538"/>
      <c r="DG128" s="538"/>
      <c r="DH128" s="538"/>
      <c r="DI128" s="538"/>
      <c r="DJ128" s="538"/>
      <c r="DK128" s="538"/>
      <c r="DL128" s="538"/>
      <c r="DM128" s="538"/>
      <c r="DN128" s="538"/>
      <c r="DO128" s="538"/>
      <c r="DP128" s="538"/>
      <c r="DQ128" s="538"/>
      <c r="DR128" s="538"/>
      <c r="DS128" s="538"/>
      <c r="DT128" s="538"/>
      <c r="DU128" s="538"/>
      <c r="DV128" s="538"/>
      <c r="DW128" s="538"/>
      <c r="DX128" s="538"/>
      <c r="DY128" s="538"/>
      <c r="DZ128" s="538"/>
      <c r="EA128" s="538"/>
      <c r="EB128" s="538"/>
      <c r="EC128" s="538"/>
      <c r="ED128" s="538"/>
      <c r="EE128" s="538"/>
      <c r="EF128" s="538"/>
      <c r="EG128" s="538"/>
      <c r="EH128" s="538"/>
      <c r="EI128" s="538"/>
      <c r="EJ128" s="538"/>
      <c r="EK128" s="538"/>
      <c r="EL128" s="538"/>
      <c r="EM128" s="538"/>
      <c r="EN128" s="538"/>
      <c r="EO128" s="538"/>
      <c r="EP128" s="538"/>
      <c r="EQ128" s="538"/>
      <c r="ER128" s="538"/>
      <c r="ES128" s="538"/>
      <c r="ET128" s="538"/>
      <c r="EU128" s="538"/>
      <c r="EV128" s="538"/>
      <c r="EW128" s="538"/>
      <c r="EX128" s="559"/>
      <c r="EY128" s="559"/>
      <c r="EZ128" s="559"/>
      <c r="FA128" s="559"/>
      <c r="FB128" s="559"/>
      <c r="FC128" s="559"/>
      <c r="FD128" s="559"/>
      <c r="FE128" s="559"/>
      <c r="FF128" s="559"/>
      <c r="FG128" s="559"/>
      <c r="FH128" s="559"/>
      <c r="FI128" s="559"/>
      <c r="FJ128" s="559"/>
      <c r="FK128" s="559"/>
      <c r="FL128" s="559"/>
      <c r="FM128" s="559"/>
      <c r="FN128" s="559"/>
      <c r="FO128" s="559"/>
      <c r="FP128" s="559"/>
      <c r="FQ128" s="559"/>
      <c r="FR128" s="559"/>
      <c r="FS128" s="559"/>
      <c r="FT128" s="559"/>
      <c r="FU128" s="559"/>
      <c r="FV128" s="559"/>
      <c r="FW128" s="559"/>
      <c r="FX128" s="559"/>
      <c r="FY128" s="559"/>
      <c r="FZ128" s="559"/>
      <c r="GA128" s="559"/>
      <c r="GB128" s="559"/>
      <c r="GC128" s="559"/>
      <c r="GD128" s="559"/>
      <c r="GE128" s="559"/>
      <c r="GF128" s="559"/>
      <c r="GG128" s="559"/>
      <c r="GH128" s="559"/>
    </row>
    <row r="129">
      <c r="A129" s="538"/>
      <c r="B129" s="156"/>
      <c r="C129" s="444"/>
      <c r="D129" s="614"/>
      <c r="E129" s="66"/>
      <c r="F129" s="642"/>
      <c r="G129" s="642"/>
      <c r="H129" s="615"/>
      <c r="I129" s="616" t="s">
        <v>365</v>
      </c>
      <c r="J129" s="624"/>
      <c r="K129" s="643"/>
      <c r="L129" s="640"/>
      <c r="M129" s="625"/>
      <c r="N129" s="617"/>
      <c r="O129" s="134"/>
      <c r="P129" s="57"/>
      <c r="Q129" s="57"/>
      <c r="S129" s="605"/>
      <c r="U129" s="573"/>
      <c r="V129" s="574"/>
      <c r="W129" s="618"/>
      <c r="X129" s="576">
        <v>0.0</v>
      </c>
      <c r="Y129" s="630">
        <v>0.0</v>
      </c>
      <c r="Z129" s="630" t="s">
        <v>365</v>
      </c>
      <c r="AA129" s="631" t="b">
        <v>0</v>
      </c>
      <c r="AB129" s="631"/>
      <c r="AC129" s="576"/>
      <c r="AD129" s="479">
        <v>0.0</v>
      </c>
      <c r="AE129" s="632"/>
      <c r="AF129" s="582" t="s">
        <v>365</v>
      </c>
      <c r="AG129" s="583"/>
      <c r="AH129" s="584"/>
      <c r="AI129" s="583"/>
      <c r="AJ129" s="585"/>
      <c r="AK129" s="583"/>
      <c r="AL129" s="584"/>
      <c r="AM129" s="583"/>
      <c r="AN129" s="585"/>
      <c r="AO129" s="583"/>
      <c r="AP129" s="584"/>
      <c r="AQ129" s="583"/>
      <c r="AR129" s="585"/>
      <c r="AS129" s="583"/>
      <c r="AT129" s="584"/>
      <c r="AU129" s="583"/>
      <c r="AV129" s="585"/>
      <c r="AW129" s="583"/>
      <c r="AX129" s="584"/>
      <c r="AY129" s="583"/>
      <c r="AZ129" s="585"/>
      <c r="BA129" s="583"/>
      <c r="BB129" s="584"/>
      <c r="BC129" s="583"/>
      <c r="BD129" s="585"/>
      <c r="BE129" s="583"/>
      <c r="BF129" s="584"/>
      <c r="BG129" s="583"/>
      <c r="BH129" s="585"/>
      <c r="BI129" s="583"/>
      <c r="BJ129" s="584"/>
      <c r="BK129" s="583"/>
      <c r="BL129" s="585"/>
      <c r="BM129" s="583"/>
      <c r="BN129" s="584"/>
      <c r="BO129" s="583"/>
      <c r="BP129" s="585"/>
      <c r="BQ129" s="583"/>
      <c r="BR129" s="584"/>
      <c r="BS129" s="583"/>
      <c r="BT129" s="586"/>
      <c r="BU129" s="540"/>
      <c r="BV129" s="540"/>
      <c r="BW129" s="540"/>
      <c r="BX129" s="538"/>
      <c r="BY129" s="538"/>
      <c r="BZ129" s="592"/>
      <c r="CA129" s="633"/>
      <c r="CB129" s="592" t="s">
        <v>365</v>
      </c>
      <c r="CC129" s="592">
        <v>0.0</v>
      </c>
      <c r="CD129" s="592" t="s">
        <v>365</v>
      </c>
      <c r="CE129" s="592">
        <v>0.0</v>
      </c>
      <c r="CF129" s="592"/>
      <c r="CG129" s="592">
        <v>0.0</v>
      </c>
      <c r="CH129" s="592"/>
      <c r="CI129" s="633"/>
      <c r="CJ129" s="592">
        <v>0.0</v>
      </c>
      <c r="CK129" s="479" t="s">
        <v>365</v>
      </c>
      <c r="CL129" s="592"/>
      <c r="CM129" s="593"/>
      <c r="CN129" s="538"/>
      <c r="CO129" s="538"/>
      <c r="CP129" s="538"/>
      <c r="CQ129" s="538"/>
      <c r="CR129" s="538"/>
      <c r="CS129" s="538"/>
      <c r="CT129" s="538"/>
      <c r="CU129" s="538"/>
      <c r="CV129" s="538"/>
      <c r="CW129" s="538"/>
      <c r="CX129" s="538"/>
      <c r="CY129" s="538"/>
      <c r="CZ129" s="538"/>
      <c r="DA129" s="538"/>
      <c r="DB129" s="538"/>
      <c r="DC129" s="538"/>
      <c r="DD129" s="538"/>
      <c r="DE129" s="538"/>
      <c r="DF129" s="538"/>
      <c r="DG129" s="538"/>
      <c r="DH129" s="538"/>
      <c r="DI129" s="538"/>
      <c r="DJ129" s="538"/>
      <c r="DK129" s="538"/>
      <c r="DL129" s="538"/>
      <c r="DM129" s="538"/>
      <c r="DN129" s="538"/>
      <c r="DO129" s="538"/>
      <c r="DP129" s="538"/>
      <c r="DQ129" s="538"/>
      <c r="DR129" s="538"/>
      <c r="DS129" s="538"/>
      <c r="DT129" s="538"/>
      <c r="DU129" s="538"/>
      <c r="DV129" s="538"/>
      <c r="DW129" s="538"/>
      <c r="DX129" s="538"/>
      <c r="DY129" s="538"/>
      <c r="DZ129" s="538"/>
      <c r="EA129" s="538"/>
      <c r="EB129" s="538"/>
      <c r="EC129" s="538"/>
      <c r="ED129" s="538"/>
      <c r="EE129" s="538"/>
      <c r="EF129" s="538"/>
      <c r="EG129" s="538"/>
      <c r="EH129" s="538"/>
      <c r="EI129" s="538"/>
      <c r="EJ129" s="538"/>
      <c r="EK129" s="538"/>
      <c r="EL129" s="538"/>
      <c r="EM129" s="538"/>
      <c r="EN129" s="538"/>
      <c r="EO129" s="538"/>
      <c r="EP129" s="538"/>
      <c r="EQ129" s="538"/>
      <c r="ER129" s="538"/>
      <c r="ES129" s="538"/>
      <c r="ET129" s="538"/>
      <c r="EU129" s="538"/>
      <c r="EV129" s="538"/>
      <c r="EW129" s="538"/>
      <c r="EX129" s="559"/>
      <c r="EY129" s="559"/>
      <c r="EZ129" s="559"/>
      <c r="FA129" s="559"/>
      <c r="FB129" s="559"/>
      <c r="FC129" s="559"/>
      <c r="FD129" s="559"/>
      <c r="FE129" s="559"/>
      <c r="FF129" s="559"/>
      <c r="FG129" s="559"/>
      <c r="FH129" s="559"/>
      <c r="FI129" s="559"/>
      <c r="FJ129" s="559"/>
      <c r="FK129" s="559"/>
      <c r="FL129" s="559"/>
      <c r="FM129" s="559"/>
      <c r="FN129" s="559"/>
      <c r="FO129" s="559"/>
      <c r="FP129" s="559"/>
      <c r="FQ129" s="559"/>
      <c r="FR129" s="559"/>
      <c r="FS129" s="559"/>
      <c r="FT129" s="559"/>
      <c r="FU129" s="559"/>
      <c r="FV129" s="559"/>
      <c r="FW129" s="559"/>
      <c r="FX129" s="559"/>
      <c r="FY129" s="559"/>
      <c r="FZ129" s="559"/>
      <c r="GA129" s="559"/>
      <c r="GB129" s="559"/>
      <c r="GC129" s="559"/>
      <c r="GD129" s="559"/>
      <c r="GE129" s="559"/>
      <c r="GF129" s="559"/>
      <c r="GG129" s="559"/>
      <c r="GH129" s="559"/>
    </row>
    <row r="130">
      <c r="A130" s="538"/>
      <c r="B130" s="156"/>
      <c r="C130" s="444"/>
      <c r="D130" s="614"/>
      <c r="E130" s="68"/>
      <c r="F130" s="644"/>
      <c r="G130" s="644"/>
      <c r="H130" s="627"/>
      <c r="I130" s="622" t="s">
        <v>365</v>
      </c>
      <c r="J130" s="607"/>
      <c r="K130" s="641"/>
      <c r="L130" s="628"/>
      <c r="M130" s="626"/>
      <c r="N130" s="619"/>
      <c r="O130" s="560"/>
      <c r="P130" s="47"/>
      <c r="Q130" s="47"/>
      <c r="S130" s="572"/>
      <c r="U130" s="573"/>
      <c r="V130" s="574"/>
      <c r="W130" s="618"/>
      <c r="X130" s="576">
        <v>0.0</v>
      </c>
      <c r="Y130" s="630">
        <v>0.0</v>
      </c>
      <c r="Z130" s="630" t="s">
        <v>365</v>
      </c>
      <c r="AA130" s="631" t="b">
        <v>0</v>
      </c>
      <c r="AB130" s="631"/>
      <c r="AC130" s="576"/>
      <c r="AD130" s="479">
        <v>0.0</v>
      </c>
      <c r="AE130" s="632"/>
      <c r="AF130" s="582" t="s">
        <v>365</v>
      </c>
      <c r="AG130" s="583"/>
      <c r="AH130" s="584"/>
      <c r="AI130" s="583"/>
      <c r="AJ130" s="585"/>
      <c r="AK130" s="583"/>
      <c r="AL130" s="584"/>
      <c r="AM130" s="583"/>
      <c r="AN130" s="585"/>
      <c r="AO130" s="583"/>
      <c r="AP130" s="584"/>
      <c r="AQ130" s="583"/>
      <c r="AR130" s="585"/>
      <c r="AS130" s="583"/>
      <c r="AT130" s="584"/>
      <c r="AU130" s="583"/>
      <c r="AV130" s="585"/>
      <c r="AW130" s="583"/>
      <c r="AX130" s="584"/>
      <c r="AY130" s="583"/>
      <c r="AZ130" s="585"/>
      <c r="BA130" s="583"/>
      <c r="BB130" s="584"/>
      <c r="BC130" s="583"/>
      <c r="BD130" s="585"/>
      <c r="BE130" s="583"/>
      <c r="BF130" s="584"/>
      <c r="BG130" s="583"/>
      <c r="BH130" s="585"/>
      <c r="BI130" s="583"/>
      <c r="BJ130" s="584"/>
      <c r="BK130" s="583"/>
      <c r="BL130" s="585"/>
      <c r="BM130" s="583"/>
      <c r="BN130" s="584"/>
      <c r="BO130" s="583"/>
      <c r="BP130" s="585"/>
      <c r="BQ130" s="583"/>
      <c r="BR130" s="584"/>
      <c r="BS130" s="583"/>
      <c r="BT130" s="586"/>
      <c r="BU130" s="540"/>
      <c r="BV130" s="540"/>
      <c r="BW130" s="540"/>
      <c r="BX130" s="538"/>
      <c r="BY130" s="538"/>
      <c r="BZ130" s="592"/>
      <c r="CA130" s="633"/>
      <c r="CB130" s="592" t="s">
        <v>365</v>
      </c>
      <c r="CC130" s="592">
        <v>0.0</v>
      </c>
      <c r="CD130" s="592" t="s">
        <v>365</v>
      </c>
      <c r="CE130" s="592">
        <v>0.0</v>
      </c>
      <c r="CF130" s="592"/>
      <c r="CG130" s="592">
        <v>0.0</v>
      </c>
      <c r="CH130" s="592"/>
      <c r="CI130" s="633"/>
      <c r="CJ130" s="592">
        <v>0.0</v>
      </c>
      <c r="CK130" s="479" t="s">
        <v>365</v>
      </c>
      <c r="CL130" s="592"/>
      <c r="CM130" s="593"/>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8"/>
      <c r="DS130" s="538"/>
      <c r="DT130" s="538"/>
      <c r="DU130" s="538"/>
      <c r="DV130" s="538"/>
      <c r="DW130" s="538"/>
      <c r="DX130" s="538"/>
      <c r="DY130" s="538"/>
      <c r="DZ130" s="538"/>
      <c r="EA130" s="538"/>
      <c r="EB130" s="538"/>
      <c r="EC130" s="538"/>
      <c r="ED130" s="538"/>
      <c r="EE130" s="538"/>
      <c r="EF130" s="538"/>
      <c r="EG130" s="538"/>
      <c r="EH130" s="538"/>
      <c r="EI130" s="538"/>
      <c r="EJ130" s="538"/>
      <c r="EK130" s="538"/>
      <c r="EL130" s="538"/>
      <c r="EM130" s="538"/>
      <c r="EN130" s="538"/>
      <c r="EO130" s="538"/>
      <c r="EP130" s="538"/>
      <c r="EQ130" s="538"/>
      <c r="ER130" s="538"/>
      <c r="ES130" s="538"/>
      <c r="ET130" s="538"/>
      <c r="EU130" s="538"/>
      <c r="EV130" s="538"/>
      <c r="EW130" s="538"/>
      <c r="EX130" s="559"/>
      <c r="EY130" s="559"/>
      <c r="EZ130" s="559"/>
      <c r="FA130" s="559"/>
      <c r="FB130" s="559"/>
      <c r="FC130" s="559"/>
      <c r="FD130" s="559"/>
      <c r="FE130" s="559"/>
      <c r="FF130" s="559"/>
      <c r="FG130" s="559"/>
      <c r="FH130" s="559"/>
      <c r="FI130" s="559"/>
      <c r="FJ130" s="559"/>
      <c r="FK130" s="559"/>
      <c r="FL130" s="559"/>
      <c r="FM130" s="559"/>
      <c r="FN130" s="559"/>
      <c r="FO130" s="559"/>
      <c r="FP130" s="559"/>
      <c r="FQ130" s="559"/>
      <c r="FR130" s="559"/>
      <c r="FS130" s="559"/>
      <c r="FT130" s="559"/>
      <c r="FU130" s="559"/>
      <c r="FV130" s="559"/>
      <c r="FW130" s="559"/>
      <c r="FX130" s="559"/>
      <c r="FY130" s="559"/>
      <c r="FZ130" s="559"/>
      <c r="GA130" s="559"/>
      <c r="GB130" s="559"/>
      <c r="GC130" s="559"/>
      <c r="GD130" s="559"/>
      <c r="GE130" s="559"/>
      <c r="GF130" s="559"/>
      <c r="GG130" s="559"/>
      <c r="GH130" s="559"/>
    </row>
    <row r="131">
      <c r="A131" s="538"/>
      <c r="B131" s="156"/>
      <c r="C131" s="444"/>
      <c r="D131" s="614"/>
      <c r="E131" s="66"/>
      <c r="F131" s="642"/>
      <c r="G131" s="642"/>
      <c r="H131" s="615"/>
      <c r="I131" s="616" t="s">
        <v>365</v>
      </c>
      <c r="J131" s="624"/>
      <c r="K131" s="643"/>
      <c r="L131" s="640"/>
      <c r="M131" s="625"/>
      <c r="N131" s="617"/>
      <c r="O131" s="134"/>
      <c r="P131" s="57"/>
      <c r="Q131" s="57"/>
      <c r="S131" s="605"/>
      <c r="U131" s="573"/>
      <c r="V131" s="574"/>
      <c r="W131" s="618"/>
      <c r="X131" s="576">
        <v>0.0</v>
      </c>
      <c r="Y131" s="630">
        <v>0.0</v>
      </c>
      <c r="Z131" s="630" t="s">
        <v>365</v>
      </c>
      <c r="AA131" s="631" t="b">
        <v>0</v>
      </c>
      <c r="AB131" s="631"/>
      <c r="AC131" s="576"/>
      <c r="AD131" s="479">
        <v>0.0</v>
      </c>
      <c r="AE131" s="632"/>
      <c r="AF131" s="582" t="s">
        <v>365</v>
      </c>
      <c r="AG131" s="583"/>
      <c r="AH131" s="584"/>
      <c r="AI131" s="583"/>
      <c r="AJ131" s="585"/>
      <c r="AK131" s="583"/>
      <c r="AL131" s="584"/>
      <c r="AM131" s="583"/>
      <c r="AN131" s="585"/>
      <c r="AO131" s="583"/>
      <c r="AP131" s="584"/>
      <c r="AQ131" s="583"/>
      <c r="AR131" s="585"/>
      <c r="AS131" s="583"/>
      <c r="AT131" s="584"/>
      <c r="AU131" s="583"/>
      <c r="AV131" s="585"/>
      <c r="AW131" s="583"/>
      <c r="AX131" s="584"/>
      <c r="AY131" s="583"/>
      <c r="AZ131" s="585"/>
      <c r="BA131" s="583"/>
      <c r="BB131" s="584"/>
      <c r="BC131" s="583"/>
      <c r="BD131" s="585"/>
      <c r="BE131" s="583"/>
      <c r="BF131" s="584"/>
      <c r="BG131" s="583"/>
      <c r="BH131" s="585"/>
      <c r="BI131" s="583"/>
      <c r="BJ131" s="584"/>
      <c r="BK131" s="583"/>
      <c r="BL131" s="585"/>
      <c r="BM131" s="583"/>
      <c r="BN131" s="584"/>
      <c r="BO131" s="583"/>
      <c r="BP131" s="585"/>
      <c r="BQ131" s="583"/>
      <c r="BR131" s="584"/>
      <c r="BS131" s="583"/>
      <c r="BT131" s="586"/>
      <c r="BU131" s="540"/>
      <c r="BV131" s="540"/>
      <c r="BW131" s="540"/>
      <c r="BX131" s="538"/>
      <c r="BY131" s="538"/>
      <c r="BZ131" s="592"/>
      <c r="CA131" s="633"/>
      <c r="CB131" s="592" t="s">
        <v>365</v>
      </c>
      <c r="CC131" s="592">
        <v>0.0</v>
      </c>
      <c r="CD131" s="592" t="s">
        <v>365</v>
      </c>
      <c r="CE131" s="592">
        <v>0.0</v>
      </c>
      <c r="CF131" s="592"/>
      <c r="CG131" s="592">
        <v>0.0</v>
      </c>
      <c r="CH131" s="592"/>
      <c r="CI131" s="633"/>
      <c r="CJ131" s="592">
        <v>0.0</v>
      </c>
      <c r="CK131" s="479" t="s">
        <v>365</v>
      </c>
      <c r="CL131" s="592"/>
      <c r="CM131" s="593"/>
      <c r="CN131" s="538"/>
      <c r="CO131" s="538"/>
      <c r="CP131" s="538"/>
      <c r="CQ131" s="538"/>
      <c r="CR131" s="538"/>
      <c r="CS131" s="538"/>
      <c r="CT131" s="538"/>
      <c r="CU131" s="538"/>
      <c r="CV131" s="538"/>
      <c r="CW131" s="538"/>
      <c r="CX131" s="538"/>
      <c r="CY131" s="538"/>
      <c r="CZ131" s="538"/>
      <c r="DA131" s="538"/>
      <c r="DB131" s="538"/>
      <c r="DC131" s="538"/>
      <c r="DD131" s="538"/>
      <c r="DE131" s="538"/>
      <c r="DF131" s="538"/>
      <c r="DG131" s="538"/>
      <c r="DH131" s="538"/>
      <c r="DI131" s="538"/>
      <c r="DJ131" s="538"/>
      <c r="DK131" s="538"/>
      <c r="DL131" s="538"/>
      <c r="DM131" s="538"/>
      <c r="DN131" s="538"/>
      <c r="DO131" s="538"/>
      <c r="DP131" s="538"/>
      <c r="DQ131" s="538"/>
      <c r="DR131" s="538"/>
      <c r="DS131" s="538"/>
      <c r="DT131" s="538"/>
      <c r="DU131" s="538"/>
      <c r="DV131" s="538"/>
      <c r="DW131" s="538"/>
      <c r="DX131" s="538"/>
      <c r="DY131" s="538"/>
      <c r="DZ131" s="538"/>
      <c r="EA131" s="538"/>
      <c r="EB131" s="538"/>
      <c r="EC131" s="538"/>
      <c r="ED131" s="538"/>
      <c r="EE131" s="538"/>
      <c r="EF131" s="538"/>
      <c r="EG131" s="538"/>
      <c r="EH131" s="538"/>
      <c r="EI131" s="538"/>
      <c r="EJ131" s="538"/>
      <c r="EK131" s="538"/>
      <c r="EL131" s="538"/>
      <c r="EM131" s="538"/>
      <c r="EN131" s="538"/>
      <c r="EO131" s="538"/>
      <c r="EP131" s="538"/>
      <c r="EQ131" s="538"/>
      <c r="ER131" s="538"/>
      <c r="ES131" s="538"/>
      <c r="ET131" s="538"/>
      <c r="EU131" s="538"/>
      <c r="EV131" s="538"/>
      <c r="EW131" s="538"/>
      <c r="EX131" s="559"/>
      <c r="EY131" s="559"/>
      <c r="EZ131" s="559"/>
      <c r="FA131" s="559"/>
      <c r="FB131" s="559"/>
      <c r="FC131" s="559"/>
      <c r="FD131" s="559"/>
      <c r="FE131" s="559"/>
      <c r="FF131" s="559"/>
      <c r="FG131" s="559"/>
      <c r="FH131" s="559"/>
      <c r="FI131" s="559"/>
      <c r="FJ131" s="559"/>
      <c r="FK131" s="559"/>
      <c r="FL131" s="559"/>
      <c r="FM131" s="559"/>
      <c r="FN131" s="559"/>
      <c r="FO131" s="559"/>
      <c r="FP131" s="559"/>
      <c r="FQ131" s="559"/>
      <c r="FR131" s="559"/>
      <c r="FS131" s="559"/>
      <c r="FT131" s="559"/>
      <c r="FU131" s="559"/>
      <c r="FV131" s="559"/>
      <c r="FW131" s="559"/>
      <c r="FX131" s="559"/>
      <c r="FY131" s="559"/>
      <c r="FZ131" s="559"/>
      <c r="GA131" s="559"/>
      <c r="GB131" s="559"/>
      <c r="GC131" s="559"/>
      <c r="GD131" s="559"/>
      <c r="GE131" s="559"/>
      <c r="GF131" s="559"/>
      <c r="GG131" s="559"/>
      <c r="GH131" s="559"/>
    </row>
    <row r="132">
      <c r="A132" s="538"/>
      <c r="B132" s="156"/>
      <c r="C132" s="444"/>
      <c r="D132" s="614"/>
      <c r="E132" s="68"/>
      <c r="F132" s="644"/>
      <c r="G132" s="644"/>
      <c r="H132" s="627"/>
      <c r="I132" s="622" t="s">
        <v>365</v>
      </c>
      <c r="J132" s="607"/>
      <c r="K132" s="641"/>
      <c r="L132" s="628"/>
      <c r="M132" s="626"/>
      <c r="N132" s="619"/>
      <c r="O132" s="560"/>
      <c r="P132" s="47"/>
      <c r="Q132" s="47"/>
      <c r="S132" s="572"/>
      <c r="U132" s="573"/>
      <c r="V132" s="574"/>
      <c r="W132" s="618"/>
      <c r="X132" s="576">
        <v>0.0</v>
      </c>
      <c r="Y132" s="630">
        <v>0.0</v>
      </c>
      <c r="Z132" s="630" t="s">
        <v>365</v>
      </c>
      <c r="AA132" s="631" t="b">
        <v>0</v>
      </c>
      <c r="AB132" s="631"/>
      <c r="AC132" s="576"/>
      <c r="AD132" s="479">
        <v>0.0</v>
      </c>
      <c r="AE132" s="632"/>
      <c r="AF132" s="582" t="s">
        <v>365</v>
      </c>
      <c r="AG132" s="583"/>
      <c r="AH132" s="584"/>
      <c r="AI132" s="583"/>
      <c r="AJ132" s="585"/>
      <c r="AK132" s="583"/>
      <c r="AL132" s="584"/>
      <c r="AM132" s="583"/>
      <c r="AN132" s="585"/>
      <c r="AO132" s="583"/>
      <c r="AP132" s="584"/>
      <c r="AQ132" s="583"/>
      <c r="AR132" s="585"/>
      <c r="AS132" s="583"/>
      <c r="AT132" s="584"/>
      <c r="AU132" s="583"/>
      <c r="AV132" s="585"/>
      <c r="AW132" s="583"/>
      <c r="AX132" s="584"/>
      <c r="AY132" s="583"/>
      <c r="AZ132" s="585"/>
      <c r="BA132" s="583"/>
      <c r="BB132" s="584"/>
      <c r="BC132" s="583"/>
      <c r="BD132" s="585"/>
      <c r="BE132" s="583"/>
      <c r="BF132" s="584"/>
      <c r="BG132" s="583"/>
      <c r="BH132" s="585"/>
      <c r="BI132" s="583"/>
      <c r="BJ132" s="584"/>
      <c r="BK132" s="583"/>
      <c r="BL132" s="585"/>
      <c r="BM132" s="583"/>
      <c r="BN132" s="584"/>
      <c r="BO132" s="583"/>
      <c r="BP132" s="585"/>
      <c r="BQ132" s="583"/>
      <c r="BR132" s="584"/>
      <c r="BS132" s="583"/>
      <c r="BT132" s="586"/>
      <c r="BU132" s="540"/>
      <c r="BV132" s="540"/>
      <c r="BW132" s="540"/>
      <c r="BX132" s="538"/>
      <c r="BY132" s="538"/>
      <c r="BZ132" s="592"/>
      <c r="CA132" s="633"/>
      <c r="CB132" s="592" t="s">
        <v>365</v>
      </c>
      <c r="CC132" s="592">
        <v>0.0</v>
      </c>
      <c r="CD132" s="592" t="s">
        <v>365</v>
      </c>
      <c r="CE132" s="592">
        <v>0.0</v>
      </c>
      <c r="CF132" s="592"/>
      <c r="CG132" s="592">
        <v>0.0</v>
      </c>
      <c r="CH132" s="592"/>
      <c r="CI132" s="633"/>
      <c r="CJ132" s="592">
        <v>0.0</v>
      </c>
      <c r="CK132" s="479" t="s">
        <v>365</v>
      </c>
      <c r="CL132" s="592"/>
      <c r="CM132" s="593"/>
      <c r="CN132" s="538"/>
      <c r="CO132" s="538"/>
      <c r="CP132" s="538"/>
      <c r="CQ132" s="538"/>
      <c r="CR132" s="538"/>
      <c r="CS132" s="538"/>
      <c r="CT132" s="538"/>
      <c r="CU132" s="538"/>
      <c r="CV132" s="538"/>
      <c r="CW132" s="538"/>
      <c r="CX132" s="538"/>
      <c r="CY132" s="538"/>
      <c r="CZ132" s="538"/>
      <c r="DA132" s="538"/>
      <c r="DB132" s="538"/>
      <c r="DC132" s="538"/>
      <c r="DD132" s="538"/>
      <c r="DE132" s="538"/>
      <c r="DF132" s="538"/>
      <c r="DG132" s="538"/>
      <c r="DH132" s="538"/>
      <c r="DI132" s="538"/>
      <c r="DJ132" s="538"/>
      <c r="DK132" s="538"/>
      <c r="DL132" s="538"/>
      <c r="DM132" s="538"/>
      <c r="DN132" s="538"/>
      <c r="DO132" s="538"/>
      <c r="DP132" s="538"/>
      <c r="DQ132" s="538"/>
      <c r="DR132" s="538"/>
      <c r="DS132" s="538"/>
      <c r="DT132" s="538"/>
      <c r="DU132" s="538"/>
      <c r="DV132" s="538"/>
      <c r="DW132" s="538"/>
      <c r="DX132" s="538"/>
      <c r="DY132" s="538"/>
      <c r="DZ132" s="538"/>
      <c r="EA132" s="538"/>
      <c r="EB132" s="538"/>
      <c r="EC132" s="538"/>
      <c r="ED132" s="538"/>
      <c r="EE132" s="538"/>
      <c r="EF132" s="538"/>
      <c r="EG132" s="538"/>
      <c r="EH132" s="538"/>
      <c r="EI132" s="538"/>
      <c r="EJ132" s="538"/>
      <c r="EK132" s="538"/>
      <c r="EL132" s="538"/>
      <c r="EM132" s="538"/>
      <c r="EN132" s="538"/>
      <c r="EO132" s="538"/>
      <c r="EP132" s="538"/>
      <c r="EQ132" s="538"/>
      <c r="ER132" s="538"/>
      <c r="ES132" s="538"/>
      <c r="ET132" s="538"/>
      <c r="EU132" s="538"/>
      <c r="EV132" s="538"/>
      <c r="EW132" s="538"/>
      <c r="EX132" s="559"/>
      <c r="EY132" s="559"/>
      <c r="EZ132" s="559"/>
      <c r="FA132" s="559"/>
      <c r="FB132" s="559"/>
      <c r="FC132" s="559"/>
      <c r="FD132" s="559"/>
      <c r="FE132" s="559"/>
      <c r="FF132" s="559"/>
      <c r="FG132" s="559"/>
      <c r="FH132" s="559"/>
      <c r="FI132" s="559"/>
      <c r="FJ132" s="559"/>
      <c r="FK132" s="559"/>
      <c r="FL132" s="559"/>
      <c r="FM132" s="559"/>
      <c r="FN132" s="559"/>
      <c r="FO132" s="559"/>
      <c r="FP132" s="559"/>
      <c r="FQ132" s="559"/>
      <c r="FR132" s="559"/>
      <c r="FS132" s="559"/>
      <c r="FT132" s="559"/>
      <c r="FU132" s="559"/>
      <c r="FV132" s="559"/>
      <c r="FW132" s="559"/>
      <c r="FX132" s="559"/>
      <c r="FY132" s="559"/>
      <c r="FZ132" s="559"/>
      <c r="GA132" s="559"/>
      <c r="GB132" s="559"/>
      <c r="GC132" s="559"/>
      <c r="GD132" s="559"/>
      <c r="GE132" s="559"/>
      <c r="GF132" s="559"/>
      <c r="GG132" s="559"/>
      <c r="GH132" s="559"/>
    </row>
    <row r="133">
      <c r="A133" s="538"/>
      <c r="B133" s="156"/>
      <c r="C133" s="444"/>
      <c r="D133" s="614"/>
      <c r="E133" s="66"/>
      <c r="F133" s="642"/>
      <c r="G133" s="642"/>
      <c r="H133" s="615"/>
      <c r="I133" s="616" t="s">
        <v>365</v>
      </c>
      <c r="J133" s="624"/>
      <c r="K133" s="643"/>
      <c r="L133" s="640"/>
      <c r="M133" s="625"/>
      <c r="N133" s="617"/>
      <c r="O133" s="134"/>
      <c r="P133" s="57"/>
      <c r="Q133" s="57"/>
      <c r="S133" s="605"/>
      <c r="U133" s="573"/>
      <c r="V133" s="574"/>
      <c r="W133" s="618"/>
      <c r="X133" s="576">
        <v>0.0</v>
      </c>
      <c r="Y133" s="630">
        <v>0.0</v>
      </c>
      <c r="Z133" s="630" t="s">
        <v>365</v>
      </c>
      <c r="AA133" s="631" t="b">
        <v>0</v>
      </c>
      <c r="AB133" s="631"/>
      <c r="AC133" s="576"/>
      <c r="AD133" s="479">
        <v>0.0</v>
      </c>
      <c r="AE133" s="632"/>
      <c r="AF133" s="582" t="s">
        <v>365</v>
      </c>
      <c r="AG133" s="583"/>
      <c r="AH133" s="584"/>
      <c r="AI133" s="583"/>
      <c r="AJ133" s="585"/>
      <c r="AK133" s="583"/>
      <c r="AL133" s="584"/>
      <c r="AM133" s="583"/>
      <c r="AN133" s="585"/>
      <c r="AO133" s="583"/>
      <c r="AP133" s="584"/>
      <c r="AQ133" s="583"/>
      <c r="AR133" s="585"/>
      <c r="AS133" s="583"/>
      <c r="AT133" s="584"/>
      <c r="AU133" s="583"/>
      <c r="AV133" s="585"/>
      <c r="AW133" s="583"/>
      <c r="AX133" s="584"/>
      <c r="AY133" s="583"/>
      <c r="AZ133" s="585"/>
      <c r="BA133" s="583"/>
      <c r="BB133" s="584"/>
      <c r="BC133" s="583"/>
      <c r="BD133" s="585"/>
      <c r="BE133" s="583"/>
      <c r="BF133" s="584"/>
      <c r="BG133" s="583"/>
      <c r="BH133" s="585"/>
      <c r="BI133" s="583"/>
      <c r="BJ133" s="584"/>
      <c r="BK133" s="583"/>
      <c r="BL133" s="585"/>
      <c r="BM133" s="583"/>
      <c r="BN133" s="584"/>
      <c r="BO133" s="583"/>
      <c r="BP133" s="585"/>
      <c r="BQ133" s="583"/>
      <c r="BR133" s="584"/>
      <c r="BS133" s="583"/>
      <c r="BT133" s="586"/>
      <c r="BU133" s="540"/>
      <c r="BV133" s="540"/>
      <c r="BW133" s="540"/>
      <c r="BX133" s="538"/>
      <c r="BY133" s="538"/>
      <c r="BZ133" s="592"/>
      <c r="CA133" s="633"/>
      <c r="CB133" s="592" t="s">
        <v>365</v>
      </c>
      <c r="CC133" s="592">
        <v>0.0</v>
      </c>
      <c r="CD133" s="592" t="s">
        <v>365</v>
      </c>
      <c r="CE133" s="592">
        <v>0.0</v>
      </c>
      <c r="CF133" s="592"/>
      <c r="CG133" s="592">
        <v>0.0</v>
      </c>
      <c r="CH133" s="592"/>
      <c r="CI133" s="633"/>
      <c r="CJ133" s="592">
        <v>0.0</v>
      </c>
      <c r="CK133" s="479" t="s">
        <v>365</v>
      </c>
      <c r="CL133" s="592"/>
      <c r="CM133" s="593"/>
      <c r="CN133" s="538"/>
      <c r="CO133" s="538"/>
      <c r="CP133" s="538"/>
      <c r="CQ133" s="538"/>
      <c r="CR133" s="538"/>
      <c r="CS133" s="538"/>
      <c r="CT133" s="538"/>
      <c r="CU133" s="538"/>
      <c r="CV133" s="538"/>
      <c r="CW133" s="538"/>
      <c r="CX133" s="538"/>
      <c r="CY133" s="538"/>
      <c r="CZ133" s="538"/>
      <c r="DA133" s="538"/>
      <c r="DB133" s="538"/>
      <c r="DC133" s="538"/>
      <c r="DD133" s="538"/>
      <c r="DE133" s="538"/>
      <c r="DF133" s="538"/>
      <c r="DG133" s="538"/>
      <c r="DH133" s="538"/>
      <c r="DI133" s="538"/>
      <c r="DJ133" s="538"/>
      <c r="DK133" s="538"/>
      <c r="DL133" s="538"/>
      <c r="DM133" s="538"/>
      <c r="DN133" s="538"/>
      <c r="DO133" s="538"/>
      <c r="DP133" s="538"/>
      <c r="DQ133" s="538"/>
      <c r="DR133" s="538"/>
      <c r="DS133" s="538"/>
      <c r="DT133" s="538"/>
      <c r="DU133" s="538"/>
      <c r="DV133" s="538"/>
      <c r="DW133" s="538"/>
      <c r="DX133" s="538"/>
      <c r="DY133" s="538"/>
      <c r="DZ133" s="538"/>
      <c r="EA133" s="538"/>
      <c r="EB133" s="538"/>
      <c r="EC133" s="538"/>
      <c r="ED133" s="538"/>
      <c r="EE133" s="538"/>
      <c r="EF133" s="538"/>
      <c r="EG133" s="538"/>
      <c r="EH133" s="538"/>
      <c r="EI133" s="538"/>
      <c r="EJ133" s="538"/>
      <c r="EK133" s="538"/>
      <c r="EL133" s="538"/>
      <c r="EM133" s="538"/>
      <c r="EN133" s="538"/>
      <c r="EO133" s="538"/>
      <c r="EP133" s="538"/>
      <c r="EQ133" s="538"/>
      <c r="ER133" s="538"/>
      <c r="ES133" s="538"/>
      <c r="ET133" s="538"/>
      <c r="EU133" s="538"/>
      <c r="EV133" s="538"/>
      <c r="EW133" s="538"/>
      <c r="EX133" s="559"/>
      <c r="EY133" s="559"/>
      <c r="EZ133" s="559"/>
      <c r="FA133" s="559"/>
      <c r="FB133" s="559"/>
      <c r="FC133" s="559"/>
      <c r="FD133" s="559"/>
      <c r="FE133" s="559"/>
      <c r="FF133" s="559"/>
      <c r="FG133" s="559"/>
      <c r="FH133" s="559"/>
      <c r="FI133" s="559"/>
      <c r="FJ133" s="559"/>
      <c r="FK133" s="559"/>
      <c r="FL133" s="559"/>
      <c r="FM133" s="559"/>
      <c r="FN133" s="559"/>
      <c r="FO133" s="559"/>
      <c r="FP133" s="559"/>
      <c r="FQ133" s="559"/>
      <c r="FR133" s="559"/>
      <c r="FS133" s="559"/>
      <c r="FT133" s="559"/>
      <c r="FU133" s="559"/>
      <c r="FV133" s="559"/>
      <c r="FW133" s="559"/>
      <c r="FX133" s="559"/>
      <c r="FY133" s="559"/>
      <c r="FZ133" s="559"/>
      <c r="GA133" s="559"/>
      <c r="GB133" s="559"/>
      <c r="GC133" s="559"/>
      <c r="GD133" s="559"/>
      <c r="GE133" s="559"/>
      <c r="GF133" s="559"/>
      <c r="GG133" s="559"/>
      <c r="GH133" s="559"/>
    </row>
    <row r="134">
      <c r="A134" s="538"/>
      <c r="B134" s="156"/>
      <c r="C134" s="444"/>
      <c r="D134" s="614"/>
      <c r="E134" s="68"/>
      <c r="F134" s="644"/>
      <c r="G134" s="644"/>
      <c r="H134" s="627"/>
      <c r="I134" s="622" t="s">
        <v>365</v>
      </c>
      <c r="J134" s="607"/>
      <c r="K134" s="641"/>
      <c r="L134" s="628"/>
      <c r="M134" s="626"/>
      <c r="N134" s="619"/>
      <c r="O134" s="560"/>
      <c r="P134" s="47"/>
      <c r="Q134" s="47"/>
      <c r="S134" s="572"/>
      <c r="U134" s="573"/>
      <c r="V134" s="574"/>
      <c r="W134" s="618"/>
      <c r="X134" s="576">
        <v>0.0</v>
      </c>
      <c r="Y134" s="630">
        <v>0.0</v>
      </c>
      <c r="Z134" s="630" t="s">
        <v>365</v>
      </c>
      <c r="AA134" s="631" t="b">
        <v>0</v>
      </c>
      <c r="AB134" s="631"/>
      <c r="AC134" s="576"/>
      <c r="AD134" s="479">
        <v>0.0</v>
      </c>
      <c r="AE134" s="632"/>
      <c r="AF134" s="582" t="s">
        <v>365</v>
      </c>
      <c r="AG134" s="583"/>
      <c r="AH134" s="584"/>
      <c r="AI134" s="583"/>
      <c r="AJ134" s="585"/>
      <c r="AK134" s="583"/>
      <c r="AL134" s="584"/>
      <c r="AM134" s="583"/>
      <c r="AN134" s="585"/>
      <c r="AO134" s="583"/>
      <c r="AP134" s="584"/>
      <c r="AQ134" s="583"/>
      <c r="AR134" s="585"/>
      <c r="AS134" s="583"/>
      <c r="AT134" s="584"/>
      <c r="AU134" s="583"/>
      <c r="AV134" s="585"/>
      <c r="AW134" s="583"/>
      <c r="AX134" s="584"/>
      <c r="AY134" s="583"/>
      <c r="AZ134" s="585"/>
      <c r="BA134" s="583"/>
      <c r="BB134" s="584"/>
      <c r="BC134" s="583"/>
      <c r="BD134" s="585"/>
      <c r="BE134" s="583"/>
      <c r="BF134" s="584"/>
      <c r="BG134" s="583"/>
      <c r="BH134" s="585"/>
      <c r="BI134" s="583"/>
      <c r="BJ134" s="584"/>
      <c r="BK134" s="583"/>
      <c r="BL134" s="585"/>
      <c r="BM134" s="583"/>
      <c r="BN134" s="584"/>
      <c r="BO134" s="583"/>
      <c r="BP134" s="585"/>
      <c r="BQ134" s="583"/>
      <c r="BR134" s="584"/>
      <c r="BS134" s="583"/>
      <c r="BT134" s="586"/>
      <c r="BU134" s="540"/>
      <c r="BV134" s="540"/>
      <c r="BW134" s="540"/>
      <c r="BX134" s="538"/>
      <c r="BY134" s="538"/>
      <c r="BZ134" s="592"/>
      <c r="CA134" s="633"/>
      <c r="CB134" s="592" t="s">
        <v>365</v>
      </c>
      <c r="CC134" s="592">
        <v>0.0</v>
      </c>
      <c r="CD134" s="592" t="s">
        <v>365</v>
      </c>
      <c r="CE134" s="592">
        <v>0.0</v>
      </c>
      <c r="CF134" s="592"/>
      <c r="CG134" s="592">
        <v>0.0</v>
      </c>
      <c r="CH134" s="592"/>
      <c r="CI134" s="633"/>
      <c r="CJ134" s="592">
        <v>0.0</v>
      </c>
      <c r="CK134" s="479" t="s">
        <v>365</v>
      </c>
      <c r="CL134" s="592"/>
      <c r="CM134" s="593"/>
      <c r="CN134" s="538"/>
      <c r="CO134" s="538"/>
      <c r="CP134" s="538"/>
      <c r="CQ134" s="538"/>
      <c r="CR134" s="538"/>
      <c r="CS134" s="538"/>
      <c r="CT134" s="538"/>
      <c r="CU134" s="538"/>
      <c r="CV134" s="538"/>
      <c r="CW134" s="538"/>
      <c r="CX134" s="538"/>
      <c r="CY134" s="538"/>
      <c r="CZ134" s="538"/>
      <c r="DA134" s="538"/>
      <c r="DB134" s="538"/>
      <c r="DC134" s="538"/>
      <c r="DD134" s="538"/>
      <c r="DE134" s="538"/>
      <c r="DF134" s="538"/>
      <c r="DG134" s="538"/>
      <c r="DH134" s="538"/>
      <c r="DI134" s="538"/>
      <c r="DJ134" s="538"/>
      <c r="DK134" s="538"/>
      <c r="DL134" s="538"/>
      <c r="DM134" s="538"/>
      <c r="DN134" s="538"/>
      <c r="DO134" s="538"/>
      <c r="DP134" s="538"/>
      <c r="DQ134" s="538"/>
      <c r="DR134" s="538"/>
      <c r="DS134" s="538"/>
      <c r="DT134" s="538"/>
      <c r="DU134" s="538"/>
      <c r="DV134" s="538"/>
      <c r="DW134" s="538"/>
      <c r="DX134" s="538"/>
      <c r="DY134" s="538"/>
      <c r="DZ134" s="538"/>
      <c r="EA134" s="538"/>
      <c r="EB134" s="538"/>
      <c r="EC134" s="538"/>
      <c r="ED134" s="538"/>
      <c r="EE134" s="538"/>
      <c r="EF134" s="538"/>
      <c r="EG134" s="538"/>
      <c r="EH134" s="538"/>
      <c r="EI134" s="538"/>
      <c r="EJ134" s="538"/>
      <c r="EK134" s="538"/>
      <c r="EL134" s="538"/>
      <c r="EM134" s="538"/>
      <c r="EN134" s="538"/>
      <c r="EO134" s="538"/>
      <c r="EP134" s="538"/>
      <c r="EQ134" s="538"/>
      <c r="ER134" s="538"/>
      <c r="ES134" s="538"/>
      <c r="ET134" s="538"/>
      <c r="EU134" s="538"/>
      <c r="EV134" s="538"/>
      <c r="EW134" s="538"/>
      <c r="EX134" s="559"/>
      <c r="EY134" s="559"/>
      <c r="EZ134" s="559"/>
      <c r="FA134" s="559"/>
      <c r="FB134" s="559"/>
      <c r="FC134" s="559"/>
      <c r="FD134" s="559"/>
      <c r="FE134" s="559"/>
      <c r="FF134" s="559"/>
      <c r="FG134" s="559"/>
      <c r="FH134" s="559"/>
      <c r="FI134" s="559"/>
      <c r="FJ134" s="559"/>
      <c r="FK134" s="559"/>
      <c r="FL134" s="559"/>
      <c r="FM134" s="559"/>
      <c r="FN134" s="559"/>
      <c r="FO134" s="559"/>
      <c r="FP134" s="559"/>
      <c r="FQ134" s="559"/>
      <c r="FR134" s="559"/>
      <c r="FS134" s="559"/>
      <c r="FT134" s="559"/>
      <c r="FU134" s="559"/>
      <c r="FV134" s="559"/>
      <c r="FW134" s="559"/>
      <c r="FX134" s="559"/>
      <c r="FY134" s="559"/>
      <c r="FZ134" s="559"/>
      <c r="GA134" s="559"/>
      <c r="GB134" s="559"/>
      <c r="GC134" s="559"/>
      <c r="GD134" s="559"/>
      <c r="GE134" s="559"/>
      <c r="GF134" s="559"/>
      <c r="GG134" s="559"/>
      <c r="GH134" s="559"/>
    </row>
    <row r="135">
      <c r="A135" s="538"/>
      <c r="B135" s="156"/>
      <c r="C135" s="444"/>
      <c r="D135" s="614"/>
      <c r="E135" s="66"/>
      <c r="F135" s="642"/>
      <c r="G135" s="642"/>
      <c r="H135" s="615"/>
      <c r="I135" s="616" t="s">
        <v>365</v>
      </c>
      <c r="J135" s="624"/>
      <c r="K135" s="643"/>
      <c r="L135" s="640"/>
      <c r="M135" s="625"/>
      <c r="N135" s="617"/>
      <c r="O135" s="134"/>
      <c r="P135" s="57"/>
      <c r="Q135" s="57"/>
      <c r="S135" s="605"/>
      <c r="U135" s="573"/>
      <c r="V135" s="574"/>
      <c r="W135" s="618"/>
      <c r="X135" s="576">
        <v>0.0</v>
      </c>
      <c r="Y135" s="630">
        <v>0.0</v>
      </c>
      <c r="Z135" s="630" t="s">
        <v>365</v>
      </c>
      <c r="AA135" s="631" t="b">
        <v>0</v>
      </c>
      <c r="AB135" s="631"/>
      <c r="AC135" s="576"/>
      <c r="AD135" s="479">
        <v>0.0</v>
      </c>
      <c r="AE135" s="632"/>
      <c r="AF135" s="582" t="s">
        <v>365</v>
      </c>
      <c r="AG135" s="583"/>
      <c r="AH135" s="584"/>
      <c r="AI135" s="583"/>
      <c r="AJ135" s="585"/>
      <c r="AK135" s="583"/>
      <c r="AL135" s="584"/>
      <c r="AM135" s="583"/>
      <c r="AN135" s="585"/>
      <c r="AO135" s="583"/>
      <c r="AP135" s="584"/>
      <c r="AQ135" s="583"/>
      <c r="AR135" s="585"/>
      <c r="AS135" s="583"/>
      <c r="AT135" s="584"/>
      <c r="AU135" s="583"/>
      <c r="AV135" s="585"/>
      <c r="AW135" s="583"/>
      <c r="AX135" s="584"/>
      <c r="AY135" s="583"/>
      <c r="AZ135" s="585"/>
      <c r="BA135" s="583"/>
      <c r="BB135" s="584"/>
      <c r="BC135" s="583"/>
      <c r="BD135" s="585"/>
      <c r="BE135" s="583"/>
      <c r="BF135" s="584"/>
      <c r="BG135" s="583"/>
      <c r="BH135" s="585"/>
      <c r="BI135" s="583"/>
      <c r="BJ135" s="584"/>
      <c r="BK135" s="583"/>
      <c r="BL135" s="585"/>
      <c r="BM135" s="583"/>
      <c r="BN135" s="584"/>
      <c r="BO135" s="583"/>
      <c r="BP135" s="585"/>
      <c r="BQ135" s="583"/>
      <c r="BR135" s="584"/>
      <c r="BS135" s="583"/>
      <c r="BT135" s="586"/>
      <c r="BU135" s="540"/>
      <c r="BV135" s="540"/>
      <c r="BW135" s="540"/>
      <c r="BX135" s="538"/>
      <c r="BY135" s="538"/>
      <c r="BZ135" s="592"/>
      <c r="CA135" s="633"/>
      <c r="CB135" s="592" t="s">
        <v>365</v>
      </c>
      <c r="CC135" s="592">
        <v>0.0</v>
      </c>
      <c r="CD135" s="592" t="s">
        <v>365</v>
      </c>
      <c r="CE135" s="592">
        <v>0.0</v>
      </c>
      <c r="CF135" s="592"/>
      <c r="CG135" s="592">
        <v>0.0</v>
      </c>
      <c r="CH135" s="592"/>
      <c r="CI135" s="633"/>
      <c r="CJ135" s="592">
        <v>0.0</v>
      </c>
      <c r="CK135" s="479" t="s">
        <v>365</v>
      </c>
      <c r="CL135" s="592"/>
      <c r="CM135" s="593"/>
      <c r="CN135" s="538"/>
      <c r="CO135" s="538"/>
      <c r="CP135" s="538"/>
      <c r="CQ135" s="538"/>
      <c r="CR135" s="538"/>
      <c r="CS135" s="538"/>
      <c r="CT135" s="538"/>
      <c r="CU135" s="538"/>
      <c r="CV135" s="538"/>
      <c r="CW135" s="538"/>
      <c r="CX135" s="538"/>
      <c r="CY135" s="538"/>
      <c r="CZ135" s="538"/>
      <c r="DA135" s="538"/>
      <c r="DB135" s="538"/>
      <c r="DC135" s="538"/>
      <c r="DD135" s="538"/>
      <c r="DE135" s="538"/>
      <c r="DF135" s="538"/>
      <c r="DG135" s="538"/>
      <c r="DH135" s="538"/>
      <c r="DI135" s="538"/>
      <c r="DJ135" s="538"/>
      <c r="DK135" s="538"/>
      <c r="DL135" s="538"/>
      <c r="DM135" s="538"/>
      <c r="DN135" s="538"/>
      <c r="DO135" s="538"/>
      <c r="DP135" s="538"/>
      <c r="DQ135" s="538"/>
      <c r="DR135" s="538"/>
      <c r="DS135" s="538"/>
      <c r="DT135" s="538"/>
      <c r="DU135" s="538"/>
      <c r="DV135" s="538"/>
      <c r="DW135" s="538"/>
      <c r="DX135" s="538"/>
      <c r="DY135" s="538"/>
      <c r="DZ135" s="538"/>
      <c r="EA135" s="538"/>
      <c r="EB135" s="538"/>
      <c r="EC135" s="538"/>
      <c r="ED135" s="538"/>
      <c r="EE135" s="538"/>
      <c r="EF135" s="538"/>
      <c r="EG135" s="538"/>
      <c r="EH135" s="538"/>
      <c r="EI135" s="538"/>
      <c r="EJ135" s="538"/>
      <c r="EK135" s="538"/>
      <c r="EL135" s="538"/>
      <c r="EM135" s="538"/>
      <c r="EN135" s="538"/>
      <c r="EO135" s="538"/>
      <c r="EP135" s="538"/>
      <c r="EQ135" s="538"/>
      <c r="ER135" s="538"/>
      <c r="ES135" s="538"/>
      <c r="ET135" s="538"/>
      <c r="EU135" s="538"/>
      <c r="EV135" s="538"/>
      <c r="EW135" s="538"/>
      <c r="EX135" s="559"/>
      <c r="EY135" s="559"/>
      <c r="EZ135" s="559"/>
      <c r="FA135" s="559"/>
      <c r="FB135" s="559"/>
      <c r="FC135" s="559"/>
      <c r="FD135" s="559"/>
      <c r="FE135" s="559"/>
      <c r="FF135" s="559"/>
      <c r="FG135" s="559"/>
      <c r="FH135" s="559"/>
      <c r="FI135" s="559"/>
      <c r="FJ135" s="559"/>
      <c r="FK135" s="559"/>
      <c r="FL135" s="559"/>
      <c r="FM135" s="559"/>
      <c r="FN135" s="559"/>
      <c r="FO135" s="559"/>
      <c r="FP135" s="559"/>
      <c r="FQ135" s="559"/>
      <c r="FR135" s="559"/>
      <c r="FS135" s="559"/>
      <c r="FT135" s="559"/>
      <c r="FU135" s="559"/>
      <c r="FV135" s="559"/>
      <c r="FW135" s="559"/>
      <c r="FX135" s="559"/>
      <c r="FY135" s="559"/>
      <c r="FZ135" s="559"/>
      <c r="GA135" s="559"/>
      <c r="GB135" s="559"/>
      <c r="GC135" s="559"/>
      <c r="GD135" s="559"/>
      <c r="GE135" s="559"/>
      <c r="GF135" s="559"/>
      <c r="GG135" s="559"/>
      <c r="GH135" s="559"/>
    </row>
    <row r="136">
      <c r="A136" s="538"/>
      <c r="B136" s="156"/>
      <c r="C136" s="444"/>
      <c r="D136" s="614"/>
      <c r="E136" s="68"/>
      <c r="F136" s="644"/>
      <c r="G136" s="644"/>
      <c r="H136" s="627"/>
      <c r="I136" s="622" t="s">
        <v>365</v>
      </c>
      <c r="J136" s="607"/>
      <c r="K136" s="641"/>
      <c r="L136" s="628"/>
      <c r="M136" s="626"/>
      <c r="N136" s="619"/>
      <c r="O136" s="560"/>
      <c r="P136" s="47"/>
      <c r="Q136" s="47"/>
      <c r="S136" s="572"/>
      <c r="U136" s="573"/>
      <c r="V136" s="574"/>
      <c r="W136" s="618"/>
      <c r="X136" s="576">
        <v>0.0</v>
      </c>
      <c r="Y136" s="630">
        <v>0.0</v>
      </c>
      <c r="Z136" s="630" t="s">
        <v>365</v>
      </c>
      <c r="AA136" s="631" t="b">
        <v>0</v>
      </c>
      <c r="AB136" s="631"/>
      <c r="AC136" s="576"/>
      <c r="AD136" s="479">
        <v>0.0</v>
      </c>
      <c r="AE136" s="632"/>
      <c r="AF136" s="582" t="s">
        <v>365</v>
      </c>
      <c r="AG136" s="583"/>
      <c r="AH136" s="584"/>
      <c r="AI136" s="583"/>
      <c r="AJ136" s="585"/>
      <c r="AK136" s="583"/>
      <c r="AL136" s="584"/>
      <c r="AM136" s="583"/>
      <c r="AN136" s="585"/>
      <c r="AO136" s="583"/>
      <c r="AP136" s="584"/>
      <c r="AQ136" s="583"/>
      <c r="AR136" s="585"/>
      <c r="AS136" s="583"/>
      <c r="AT136" s="584"/>
      <c r="AU136" s="583"/>
      <c r="AV136" s="585"/>
      <c r="AW136" s="583"/>
      <c r="AX136" s="584"/>
      <c r="AY136" s="583"/>
      <c r="AZ136" s="585"/>
      <c r="BA136" s="583"/>
      <c r="BB136" s="584"/>
      <c r="BC136" s="583"/>
      <c r="BD136" s="585"/>
      <c r="BE136" s="583"/>
      <c r="BF136" s="584"/>
      <c r="BG136" s="583"/>
      <c r="BH136" s="585"/>
      <c r="BI136" s="583"/>
      <c r="BJ136" s="584"/>
      <c r="BK136" s="583"/>
      <c r="BL136" s="585"/>
      <c r="BM136" s="583"/>
      <c r="BN136" s="584"/>
      <c r="BO136" s="583"/>
      <c r="BP136" s="585"/>
      <c r="BQ136" s="583"/>
      <c r="BR136" s="584"/>
      <c r="BS136" s="583"/>
      <c r="BT136" s="586"/>
      <c r="BU136" s="540"/>
      <c r="BV136" s="540"/>
      <c r="BW136" s="540"/>
      <c r="BX136" s="538"/>
      <c r="BY136" s="538"/>
      <c r="BZ136" s="592"/>
      <c r="CA136" s="633"/>
      <c r="CB136" s="592" t="s">
        <v>365</v>
      </c>
      <c r="CC136" s="592">
        <v>0.0</v>
      </c>
      <c r="CD136" s="592" t="s">
        <v>365</v>
      </c>
      <c r="CE136" s="592">
        <v>0.0</v>
      </c>
      <c r="CF136" s="592"/>
      <c r="CG136" s="592">
        <v>0.0</v>
      </c>
      <c r="CH136" s="592"/>
      <c r="CI136" s="633"/>
      <c r="CJ136" s="592">
        <v>0.0</v>
      </c>
      <c r="CK136" s="479" t="s">
        <v>365</v>
      </c>
      <c r="CL136" s="592"/>
      <c r="CM136" s="593"/>
      <c r="CN136" s="538"/>
      <c r="CO136" s="538"/>
      <c r="CP136" s="538"/>
      <c r="CQ136" s="538"/>
      <c r="CR136" s="538"/>
      <c r="CS136" s="538"/>
      <c r="CT136" s="538"/>
      <c r="CU136" s="538"/>
      <c r="CV136" s="538"/>
      <c r="CW136" s="538"/>
      <c r="CX136" s="538"/>
      <c r="CY136" s="538"/>
      <c r="CZ136" s="538"/>
      <c r="DA136" s="538"/>
      <c r="DB136" s="538"/>
      <c r="DC136" s="538"/>
      <c r="DD136" s="538"/>
      <c r="DE136" s="538"/>
      <c r="DF136" s="538"/>
      <c r="DG136" s="538"/>
      <c r="DH136" s="538"/>
      <c r="DI136" s="538"/>
      <c r="DJ136" s="538"/>
      <c r="DK136" s="538"/>
      <c r="DL136" s="538"/>
      <c r="DM136" s="538"/>
      <c r="DN136" s="538"/>
      <c r="DO136" s="538"/>
      <c r="DP136" s="538"/>
      <c r="DQ136" s="538"/>
      <c r="DR136" s="538"/>
      <c r="DS136" s="538"/>
      <c r="DT136" s="538"/>
      <c r="DU136" s="538"/>
      <c r="DV136" s="538"/>
      <c r="DW136" s="538"/>
      <c r="DX136" s="538"/>
      <c r="DY136" s="538"/>
      <c r="DZ136" s="538"/>
      <c r="EA136" s="538"/>
      <c r="EB136" s="538"/>
      <c r="EC136" s="538"/>
      <c r="ED136" s="538"/>
      <c r="EE136" s="538"/>
      <c r="EF136" s="538"/>
      <c r="EG136" s="538"/>
      <c r="EH136" s="538"/>
      <c r="EI136" s="538"/>
      <c r="EJ136" s="538"/>
      <c r="EK136" s="538"/>
      <c r="EL136" s="538"/>
      <c r="EM136" s="538"/>
      <c r="EN136" s="538"/>
      <c r="EO136" s="538"/>
      <c r="EP136" s="538"/>
      <c r="EQ136" s="538"/>
      <c r="ER136" s="538"/>
      <c r="ES136" s="538"/>
      <c r="ET136" s="538"/>
      <c r="EU136" s="538"/>
      <c r="EV136" s="538"/>
      <c r="EW136" s="538"/>
      <c r="EX136" s="559"/>
      <c r="EY136" s="559"/>
      <c r="EZ136" s="559"/>
      <c r="FA136" s="559"/>
      <c r="FB136" s="559"/>
      <c r="FC136" s="559"/>
      <c r="FD136" s="559"/>
      <c r="FE136" s="559"/>
      <c r="FF136" s="559"/>
      <c r="FG136" s="559"/>
      <c r="FH136" s="559"/>
      <c r="FI136" s="559"/>
      <c r="FJ136" s="559"/>
      <c r="FK136" s="559"/>
      <c r="FL136" s="559"/>
      <c r="FM136" s="559"/>
      <c r="FN136" s="559"/>
      <c r="FO136" s="559"/>
      <c r="FP136" s="559"/>
      <c r="FQ136" s="559"/>
      <c r="FR136" s="559"/>
      <c r="FS136" s="559"/>
      <c r="FT136" s="559"/>
      <c r="FU136" s="559"/>
      <c r="FV136" s="559"/>
      <c r="FW136" s="559"/>
      <c r="FX136" s="559"/>
      <c r="FY136" s="559"/>
      <c r="FZ136" s="559"/>
      <c r="GA136" s="559"/>
      <c r="GB136" s="559"/>
      <c r="GC136" s="559"/>
      <c r="GD136" s="559"/>
      <c r="GE136" s="559"/>
      <c r="GF136" s="559"/>
      <c r="GG136" s="559"/>
      <c r="GH136" s="559"/>
    </row>
    <row r="137">
      <c r="A137" s="538"/>
      <c r="B137" s="156"/>
      <c r="C137" s="444"/>
      <c r="D137" s="614"/>
      <c r="E137" s="66"/>
      <c r="F137" s="642"/>
      <c r="G137" s="642"/>
      <c r="H137" s="615"/>
      <c r="I137" s="616" t="s">
        <v>365</v>
      </c>
      <c r="J137" s="624"/>
      <c r="K137" s="643"/>
      <c r="L137" s="640"/>
      <c r="M137" s="625"/>
      <c r="N137" s="617"/>
      <c r="O137" s="134"/>
      <c r="P137" s="57"/>
      <c r="Q137" s="57"/>
      <c r="S137" s="605"/>
      <c r="U137" s="573"/>
      <c r="V137" s="574"/>
      <c r="W137" s="618"/>
      <c r="X137" s="576">
        <v>0.0</v>
      </c>
      <c r="Y137" s="630">
        <v>0.0</v>
      </c>
      <c r="Z137" s="630" t="s">
        <v>365</v>
      </c>
      <c r="AA137" s="631" t="b">
        <v>0</v>
      </c>
      <c r="AB137" s="631"/>
      <c r="AC137" s="576"/>
      <c r="AD137" s="479">
        <v>0.0</v>
      </c>
      <c r="AE137" s="632"/>
      <c r="AF137" s="582" t="s">
        <v>365</v>
      </c>
      <c r="AG137" s="583"/>
      <c r="AH137" s="584"/>
      <c r="AI137" s="583"/>
      <c r="AJ137" s="585"/>
      <c r="AK137" s="583"/>
      <c r="AL137" s="584"/>
      <c r="AM137" s="583"/>
      <c r="AN137" s="585"/>
      <c r="AO137" s="583"/>
      <c r="AP137" s="584"/>
      <c r="AQ137" s="583"/>
      <c r="AR137" s="585"/>
      <c r="AS137" s="583"/>
      <c r="AT137" s="584"/>
      <c r="AU137" s="583"/>
      <c r="AV137" s="585"/>
      <c r="AW137" s="583"/>
      <c r="AX137" s="584"/>
      <c r="AY137" s="583"/>
      <c r="AZ137" s="585"/>
      <c r="BA137" s="583"/>
      <c r="BB137" s="584"/>
      <c r="BC137" s="583"/>
      <c r="BD137" s="585"/>
      <c r="BE137" s="583"/>
      <c r="BF137" s="584"/>
      <c r="BG137" s="583"/>
      <c r="BH137" s="585"/>
      <c r="BI137" s="583"/>
      <c r="BJ137" s="584"/>
      <c r="BK137" s="583"/>
      <c r="BL137" s="585"/>
      <c r="BM137" s="583"/>
      <c r="BN137" s="584"/>
      <c r="BO137" s="583"/>
      <c r="BP137" s="585"/>
      <c r="BQ137" s="583"/>
      <c r="BR137" s="584"/>
      <c r="BS137" s="583"/>
      <c r="BT137" s="586"/>
      <c r="BU137" s="540"/>
      <c r="BV137" s="540"/>
      <c r="BW137" s="540"/>
      <c r="BX137" s="538"/>
      <c r="BY137" s="538"/>
      <c r="BZ137" s="592"/>
      <c r="CA137" s="633"/>
      <c r="CB137" s="592" t="s">
        <v>365</v>
      </c>
      <c r="CC137" s="592">
        <v>0.0</v>
      </c>
      <c r="CD137" s="592" t="s">
        <v>365</v>
      </c>
      <c r="CE137" s="592">
        <v>0.0</v>
      </c>
      <c r="CF137" s="592"/>
      <c r="CG137" s="592">
        <v>0.0</v>
      </c>
      <c r="CH137" s="592"/>
      <c r="CI137" s="633"/>
      <c r="CJ137" s="592">
        <v>0.0</v>
      </c>
      <c r="CK137" s="479" t="s">
        <v>365</v>
      </c>
      <c r="CL137" s="592"/>
      <c r="CM137" s="593"/>
      <c r="CN137" s="538"/>
      <c r="CO137" s="538"/>
      <c r="CP137" s="538"/>
      <c r="CQ137" s="538"/>
      <c r="CR137" s="538"/>
      <c r="CS137" s="538"/>
      <c r="CT137" s="538"/>
      <c r="CU137" s="538"/>
      <c r="CV137" s="538"/>
      <c r="CW137" s="538"/>
      <c r="CX137" s="538"/>
      <c r="CY137" s="538"/>
      <c r="CZ137" s="538"/>
      <c r="DA137" s="538"/>
      <c r="DB137" s="538"/>
      <c r="DC137" s="538"/>
      <c r="DD137" s="538"/>
      <c r="DE137" s="538"/>
      <c r="DF137" s="538"/>
      <c r="DG137" s="538"/>
      <c r="DH137" s="538"/>
      <c r="DI137" s="538"/>
      <c r="DJ137" s="538"/>
      <c r="DK137" s="538"/>
      <c r="DL137" s="538"/>
      <c r="DM137" s="538"/>
      <c r="DN137" s="538"/>
      <c r="DO137" s="538"/>
      <c r="DP137" s="538"/>
      <c r="DQ137" s="538"/>
      <c r="DR137" s="538"/>
      <c r="DS137" s="538"/>
      <c r="DT137" s="538"/>
      <c r="DU137" s="538"/>
      <c r="DV137" s="538"/>
      <c r="DW137" s="538"/>
      <c r="DX137" s="538"/>
      <c r="DY137" s="538"/>
      <c r="DZ137" s="538"/>
      <c r="EA137" s="538"/>
      <c r="EB137" s="538"/>
      <c r="EC137" s="538"/>
      <c r="ED137" s="538"/>
      <c r="EE137" s="538"/>
      <c r="EF137" s="538"/>
      <c r="EG137" s="538"/>
      <c r="EH137" s="538"/>
      <c r="EI137" s="538"/>
      <c r="EJ137" s="538"/>
      <c r="EK137" s="538"/>
      <c r="EL137" s="538"/>
      <c r="EM137" s="538"/>
      <c r="EN137" s="538"/>
      <c r="EO137" s="538"/>
      <c r="EP137" s="538"/>
      <c r="EQ137" s="538"/>
      <c r="ER137" s="538"/>
      <c r="ES137" s="538"/>
      <c r="ET137" s="538"/>
      <c r="EU137" s="538"/>
      <c r="EV137" s="538"/>
      <c r="EW137" s="538"/>
      <c r="EX137" s="559"/>
      <c r="EY137" s="559"/>
      <c r="EZ137" s="559"/>
      <c r="FA137" s="559"/>
      <c r="FB137" s="559"/>
      <c r="FC137" s="559"/>
      <c r="FD137" s="559"/>
      <c r="FE137" s="559"/>
      <c r="FF137" s="559"/>
      <c r="FG137" s="559"/>
      <c r="FH137" s="559"/>
      <c r="FI137" s="559"/>
      <c r="FJ137" s="559"/>
      <c r="FK137" s="559"/>
      <c r="FL137" s="559"/>
      <c r="FM137" s="559"/>
      <c r="FN137" s="559"/>
      <c r="FO137" s="559"/>
      <c r="FP137" s="559"/>
      <c r="FQ137" s="559"/>
      <c r="FR137" s="559"/>
      <c r="FS137" s="559"/>
      <c r="FT137" s="559"/>
      <c r="FU137" s="559"/>
      <c r="FV137" s="559"/>
      <c r="FW137" s="559"/>
      <c r="FX137" s="559"/>
      <c r="FY137" s="559"/>
      <c r="FZ137" s="559"/>
      <c r="GA137" s="559"/>
      <c r="GB137" s="559"/>
      <c r="GC137" s="559"/>
      <c r="GD137" s="559"/>
      <c r="GE137" s="559"/>
      <c r="GF137" s="559"/>
      <c r="GG137" s="559"/>
      <c r="GH137" s="559"/>
    </row>
    <row r="138">
      <c r="A138" s="538"/>
      <c r="B138" s="156"/>
      <c r="C138" s="444"/>
      <c r="D138" s="614"/>
      <c r="E138" s="68"/>
      <c r="F138" s="644"/>
      <c r="G138" s="644"/>
      <c r="H138" s="627"/>
      <c r="I138" s="622" t="s">
        <v>365</v>
      </c>
      <c r="J138" s="607"/>
      <c r="K138" s="641"/>
      <c r="L138" s="628"/>
      <c r="M138" s="626"/>
      <c r="N138" s="619"/>
      <c r="O138" s="560"/>
      <c r="P138" s="47"/>
      <c r="Q138" s="47"/>
      <c r="S138" s="572"/>
      <c r="U138" s="573"/>
      <c r="V138" s="574"/>
      <c r="W138" s="618"/>
      <c r="X138" s="576">
        <v>0.0</v>
      </c>
      <c r="Y138" s="630">
        <v>0.0</v>
      </c>
      <c r="Z138" s="630" t="s">
        <v>365</v>
      </c>
      <c r="AA138" s="631" t="b">
        <v>0</v>
      </c>
      <c r="AB138" s="631"/>
      <c r="AC138" s="576"/>
      <c r="AD138" s="479">
        <v>0.0</v>
      </c>
      <c r="AE138" s="632"/>
      <c r="AF138" s="582" t="s">
        <v>365</v>
      </c>
      <c r="AG138" s="583"/>
      <c r="AH138" s="584"/>
      <c r="AI138" s="583"/>
      <c r="AJ138" s="585"/>
      <c r="AK138" s="583"/>
      <c r="AL138" s="584"/>
      <c r="AM138" s="583"/>
      <c r="AN138" s="585"/>
      <c r="AO138" s="583"/>
      <c r="AP138" s="584"/>
      <c r="AQ138" s="583"/>
      <c r="AR138" s="585"/>
      <c r="AS138" s="583"/>
      <c r="AT138" s="584"/>
      <c r="AU138" s="583"/>
      <c r="AV138" s="585"/>
      <c r="AW138" s="583"/>
      <c r="AX138" s="584"/>
      <c r="AY138" s="583"/>
      <c r="AZ138" s="585"/>
      <c r="BA138" s="583"/>
      <c r="BB138" s="584"/>
      <c r="BC138" s="583"/>
      <c r="BD138" s="585"/>
      <c r="BE138" s="583"/>
      <c r="BF138" s="584"/>
      <c r="BG138" s="583"/>
      <c r="BH138" s="585"/>
      <c r="BI138" s="583"/>
      <c r="BJ138" s="584"/>
      <c r="BK138" s="583"/>
      <c r="BL138" s="585"/>
      <c r="BM138" s="583"/>
      <c r="BN138" s="584"/>
      <c r="BO138" s="583"/>
      <c r="BP138" s="585"/>
      <c r="BQ138" s="583"/>
      <c r="BR138" s="584"/>
      <c r="BS138" s="583"/>
      <c r="BT138" s="586"/>
      <c r="BU138" s="540"/>
      <c r="BV138" s="540"/>
      <c r="BW138" s="540"/>
      <c r="BX138" s="538"/>
      <c r="BY138" s="538"/>
      <c r="BZ138" s="592"/>
      <c r="CA138" s="633"/>
      <c r="CB138" s="592" t="s">
        <v>365</v>
      </c>
      <c r="CC138" s="592">
        <v>0.0</v>
      </c>
      <c r="CD138" s="592" t="s">
        <v>365</v>
      </c>
      <c r="CE138" s="592">
        <v>0.0</v>
      </c>
      <c r="CF138" s="592"/>
      <c r="CG138" s="592">
        <v>0.0</v>
      </c>
      <c r="CH138" s="592"/>
      <c r="CI138" s="633"/>
      <c r="CJ138" s="592">
        <v>0.0</v>
      </c>
      <c r="CK138" s="479" t="s">
        <v>365</v>
      </c>
      <c r="CL138" s="592"/>
      <c r="CM138" s="593"/>
      <c r="CN138" s="538"/>
      <c r="CO138" s="538"/>
      <c r="CP138" s="538"/>
      <c r="CQ138" s="538"/>
      <c r="CR138" s="538"/>
      <c r="CS138" s="538"/>
      <c r="CT138" s="538"/>
      <c r="CU138" s="538"/>
      <c r="CV138" s="538"/>
      <c r="CW138" s="538"/>
      <c r="CX138" s="538"/>
      <c r="CY138" s="538"/>
      <c r="CZ138" s="538"/>
      <c r="DA138" s="538"/>
      <c r="DB138" s="538"/>
      <c r="DC138" s="538"/>
      <c r="DD138" s="538"/>
      <c r="DE138" s="538"/>
      <c r="DF138" s="538"/>
      <c r="DG138" s="538"/>
      <c r="DH138" s="538"/>
      <c r="DI138" s="538"/>
      <c r="DJ138" s="538"/>
      <c r="DK138" s="538"/>
      <c r="DL138" s="538"/>
      <c r="DM138" s="538"/>
      <c r="DN138" s="538"/>
      <c r="DO138" s="538"/>
      <c r="DP138" s="538"/>
      <c r="DQ138" s="538"/>
      <c r="DR138" s="538"/>
      <c r="DS138" s="538"/>
      <c r="DT138" s="538"/>
      <c r="DU138" s="538"/>
      <c r="DV138" s="538"/>
      <c r="DW138" s="538"/>
      <c r="DX138" s="538"/>
      <c r="DY138" s="538"/>
      <c r="DZ138" s="538"/>
      <c r="EA138" s="538"/>
      <c r="EB138" s="538"/>
      <c r="EC138" s="538"/>
      <c r="ED138" s="538"/>
      <c r="EE138" s="538"/>
      <c r="EF138" s="538"/>
      <c r="EG138" s="538"/>
      <c r="EH138" s="538"/>
      <c r="EI138" s="538"/>
      <c r="EJ138" s="538"/>
      <c r="EK138" s="538"/>
      <c r="EL138" s="538"/>
      <c r="EM138" s="538"/>
      <c r="EN138" s="538"/>
      <c r="EO138" s="538"/>
      <c r="EP138" s="538"/>
      <c r="EQ138" s="538"/>
      <c r="ER138" s="538"/>
      <c r="ES138" s="538"/>
      <c r="ET138" s="538"/>
      <c r="EU138" s="538"/>
      <c r="EV138" s="538"/>
      <c r="EW138" s="538"/>
      <c r="EX138" s="559"/>
      <c r="EY138" s="559"/>
      <c r="EZ138" s="559"/>
      <c r="FA138" s="559"/>
      <c r="FB138" s="559"/>
      <c r="FC138" s="559"/>
      <c r="FD138" s="559"/>
      <c r="FE138" s="559"/>
      <c r="FF138" s="559"/>
      <c r="FG138" s="559"/>
      <c r="FH138" s="559"/>
      <c r="FI138" s="559"/>
      <c r="FJ138" s="559"/>
      <c r="FK138" s="559"/>
      <c r="FL138" s="559"/>
      <c r="FM138" s="559"/>
      <c r="FN138" s="559"/>
      <c r="FO138" s="559"/>
      <c r="FP138" s="559"/>
      <c r="FQ138" s="559"/>
      <c r="FR138" s="559"/>
      <c r="FS138" s="559"/>
      <c r="FT138" s="559"/>
      <c r="FU138" s="559"/>
      <c r="FV138" s="559"/>
      <c r="FW138" s="559"/>
      <c r="FX138" s="559"/>
      <c r="FY138" s="559"/>
      <c r="FZ138" s="559"/>
      <c r="GA138" s="559"/>
      <c r="GB138" s="559"/>
      <c r="GC138" s="559"/>
      <c r="GD138" s="559"/>
      <c r="GE138" s="559"/>
      <c r="GF138" s="559"/>
      <c r="GG138" s="559"/>
      <c r="GH138" s="559"/>
    </row>
    <row r="139">
      <c r="A139" s="538"/>
      <c r="B139" s="156"/>
      <c r="C139" s="444"/>
      <c r="D139" s="614"/>
      <c r="E139" s="66"/>
      <c r="F139" s="642"/>
      <c r="G139" s="642"/>
      <c r="H139" s="615"/>
      <c r="I139" s="616" t="s">
        <v>365</v>
      </c>
      <c r="J139" s="624"/>
      <c r="K139" s="643"/>
      <c r="L139" s="640"/>
      <c r="M139" s="625"/>
      <c r="N139" s="617"/>
      <c r="O139" s="134"/>
      <c r="P139" s="57"/>
      <c r="Q139" s="57"/>
      <c r="S139" s="605"/>
      <c r="U139" s="573"/>
      <c r="V139" s="574"/>
      <c r="W139" s="618"/>
      <c r="X139" s="576">
        <v>0.0</v>
      </c>
      <c r="Y139" s="630">
        <v>0.0</v>
      </c>
      <c r="Z139" s="630" t="s">
        <v>365</v>
      </c>
      <c r="AA139" s="631" t="b">
        <v>0</v>
      </c>
      <c r="AB139" s="631"/>
      <c r="AC139" s="576"/>
      <c r="AD139" s="479">
        <v>0.0</v>
      </c>
      <c r="AE139" s="632"/>
      <c r="AF139" s="582" t="s">
        <v>365</v>
      </c>
      <c r="AG139" s="583"/>
      <c r="AH139" s="584"/>
      <c r="AI139" s="583"/>
      <c r="AJ139" s="585"/>
      <c r="AK139" s="583"/>
      <c r="AL139" s="584"/>
      <c r="AM139" s="583"/>
      <c r="AN139" s="585"/>
      <c r="AO139" s="583"/>
      <c r="AP139" s="584"/>
      <c r="AQ139" s="583"/>
      <c r="AR139" s="585"/>
      <c r="AS139" s="583"/>
      <c r="AT139" s="584"/>
      <c r="AU139" s="583"/>
      <c r="AV139" s="585"/>
      <c r="AW139" s="583"/>
      <c r="AX139" s="584"/>
      <c r="AY139" s="583"/>
      <c r="AZ139" s="585"/>
      <c r="BA139" s="583"/>
      <c r="BB139" s="584"/>
      <c r="BC139" s="583"/>
      <c r="BD139" s="585"/>
      <c r="BE139" s="583"/>
      <c r="BF139" s="584"/>
      <c r="BG139" s="583"/>
      <c r="BH139" s="585"/>
      <c r="BI139" s="583"/>
      <c r="BJ139" s="584"/>
      <c r="BK139" s="583"/>
      <c r="BL139" s="585"/>
      <c r="BM139" s="583"/>
      <c r="BN139" s="584"/>
      <c r="BO139" s="583"/>
      <c r="BP139" s="585"/>
      <c r="BQ139" s="583"/>
      <c r="BR139" s="584"/>
      <c r="BS139" s="583"/>
      <c r="BT139" s="586"/>
      <c r="BU139" s="540"/>
      <c r="BV139" s="540"/>
      <c r="BW139" s="540"/>
      <c r="BX139" s="538"/>
      <c r="BY139" s="538"/>
      <c r="BZ139" s="592"/>
      <c r="CA139" s="633"/>
      <c r="CB139" s="592" t="s">
        <v>365</v>
      </c>
      <c r="CC139" s="592">
        <v>0.0</v>
      </c>
      <c r="CD139" s="592" t="s">
        <v>365</v>
      </c>
      <c r="CE139" s="592">
        <v>0.0</v>
      </c>
      <c r="CF139" s="592"/>
      <c r="CG139" s="592">
        <v>0.0</v>
      </c>
      <c r="CH139" s="592"/>
      <c r="CI139" s="633"/>
      <c r="CJ139" s="592">
        <v>0.0</v>
      </c>
      <c r="CK139" s="479" t="s">
        <v>365</v>
      </c>
      <c r="CL139" s="592"/>
      <c r="CM139" s="593"/>
      <c r="CN139" s="538"/>
      <c r="CO139" s="538"/>
      <c r="CP139" s="538"/>
      <c r="CQ139" s="538"/>
      <c r="CR139" s="538"/>
      <c r="CS139" s="538"/>
      <c r="CT139" s="538"/>
      <c r="CU139" s="538"/>
      <c r="CV139" s="538"/>
      <c r="CW139" s="538"/>
      <c r="CX139" s="538"/>
      <c r="CY139" s="538"/>
      <c r="CZ139" s="538"/>
      <c r="DA139" s="538"/>
      <c r="DB139" s="538"/>
      <c r="DC139" s="538"/>
      <c r="DD139" s="538"/>
      <c r="DE139" s="538"/>
      <c r="DF139" s="538"/>
      <c r="DG139" s="538"/>
      <c r="DH139" s="538"/>
      <c r="DI139" s="538"/>
      <c r="DJ139" s="538"/>
      <c r="DK139" s="538"/>
      <c r="DL139" s="538"/>
      <c r="DM139" s="538"/>
      <c r="DN139" s="538"/>
      <c r="DO139" s="538"/>
      <c r="DP139" s="538"/>
      <c r="DQ139" s="538"/>
      <c r="DR139" s="538"/>
      <c r="DS139" s="538"/>
      <c r="DT139" s="538"/>
      <c r="DU139" s="538"/>
      <c r="DV139" s="538"/>
      <c r="DW139" s="538"/>
      <c r="DX139" s="538"/>
      <c r="DY139" s="538"/>
      <c r="DZ139" s="538"/>
      <c r="EA139" s="538"/>
      <c r="EB139" s="538"/>
      <c r="EC139" s="538"/>
      <c r="ED139" s="538"/>
      <c r="EE139" s="538"/>
      <c r="EF139" s="538"/>
      <c r="EG139" s="538"/>
      <c r="EH139" s="538"/>
      <c r="EI139" s="538"/>
      <c r="EJ139" s="538"/>
      <c r="EK139" s="538"/>
      <c r="EL139" s="538"/>
      <c r="EM139" s="538"/>
      <c r="EN139" s="538"/>
      <c r="EO139" s="538"/>
      <c r="EP139" s="538"/>
      <c r="EQ139" s="538"/>
      <c r="ER139" s="538"/>
      <c r="ES139" s="538"/>
      <c r="ET139" s="538"/>
      <c r="EU139" s="538"/>
      <c r="EV139" s="538"/>
      <c r="EW139" s="538"/>
      <c r="EX139" s="559"/>
      <c r="EY139" s="559"/>
      <c r="EZ139" s="559"/>
      <c r="FA139" s="559"/>
      <c r="FB139" s="559"/>
      <c r="FC139" s="559"/>
      <c r="FD139" s="559"/>
      <c r="FE139" s="559"/>
      <c r="FF139" s="559"/>
      <c r="FG139" s="559"/>
      <c r="FH139" s="559"/>
      <c r="FI139" s="559"/>
      <c r="FJ139" s="559"/>
      <c r="FK139" s="559"/>
      <c r="FL139" s="559"/>
      <c r="FM139" s="559"/>
      <c r="FN139" s="559"/>
      <c r="FO139" s="559"/>
      <c r="FP139" s="559"/>
      <c r="FQ139" s="559"/>
      <c r="FR139" s="559"/>
      <c r="FS139" s="559"/>
      <c r="FT139" s="559"/>
      <c r="FU139" s="559"/>
      <c r="FV139" s="559"/>
      <c r="FW139" s="559"/>
      <c r="FX139" s="559"/>
      <c r="FY139" s="559"/>
      <c r="FZ139" s="559"/>
      <c r="GA139" s="559"/>
      <c r="GB139" s="559"/>
      <c r="GC139" s="559"/>
      <c r="GD139" s="559"/>
      <c r="GE139" s="559"/>
      <c r="GF139" s="559"/>
      <c r="GG139" s="559"/>
      <c r="GH139" s="559"/>
    </row>
    <row r="140">
      <c r="A140" s="538"/>
      <c r="B140" s="156"/>
      <c r="C140" s="444"/>
      <c r="D140" s="614"/>
      <c r="E140" s="68"/>
      <c r="F140" s="644"/>
      <c r="G140" s="644"/>
      <c r="H140" s="627"/>
      <c r="I140" s="622" t="s">
        <v>365</v>
      </c>
      <c r="J140" s="607"/>
      <c r="K140" s="641"/>
      <c r="L140" s="628"/>
      <c r="M140" s="626"/>
      <c r="N140" s="619"/>
      <c r="O140" s="560"/>
      <c r="P140" s="47"/>
      <c r="Q140" s="47"/>
      <c r="S140" s="572"/>
      <c r="U140" s="573"/>
      <c r="V140" s="574"/>
      <c r="W140" s="618"/>
      <c r="X140" s="576">
        <v>0.0</v>
      </c>
      <c r="Y140" s="630">
        <v>0.0</v>
      </c>
      <c r="Z140" s="630" t="s">
        <v>365</v>
      </c>
      <c r="AA140" s="631" t="b">
        <v>0</v>
      </c>
      <c r="AB140" s="631"/>
      <c r="AC140" s="576"/>
      <c r="AD140" s="479">
        <v>0.0</v>
      </c>
      <c r="AE140" s="632"/>
      <c r="AF140" s="582" t="s">
        <v>365</v>
      </c>
      <c r="AG140" s="583"/>
      <c r="AH140" s="584"/>
      <c r="AI140" s="583"/>
      <c r="AJ140" s="585"/>
      <c r="AK140" s="583"/>
      <c r="AL140" s="584"/>
      <c r="AM140" s="583"/>
      <c r="AN140" s="585"/>
      <c r="AO140" s="583"/>
      <c r="AP140" s="584"/>
      <c r="AQ140" s="583"/>
      <c r="AR140" s="585"/>
      <c r="AS140" s="583"/>
      <c r="AT140" s="584"/>
      <c r="AU140" s="583"/>
      <c r="AV140" s="585"/>
      <c r="AW140" s="583"/>
      <c r="AX140" s="584"/>
      <c r="AY140" s="583"/>
      <c r="AZ140" s="585"/>
      <c r="BA140" s="583"/>
      <c r="BB140" s="584"/>
      <c r="BC140" s="583"/>
      <c r="BD140" s="585"/>
      <c r="BE140" s="583"/>
      <c r="BF140" s="584"/>
      <c r="BG140" s="583"/>
      <c r="BH140" s="585"/>
      <c r="BI140" s="583"/>
      <c r="BJ140" s="584"/>
      <c r="BK140" s="583"/>
      <c r="BL140" s="585"/>
      <c r="BM140" s="583"/>
      <c r="BN140" s="584"/>
      <c r="BO140" s="583"/>
      <c r="BP140" s="585"/>
      <c r="BQ140" s="583"/>
      <c r="BR140" s="584"/>
      <c r="BS140" s="583"/>
      <c r="BT140" s="586"/>
      <c r="BU140" s="540"/>
      <c r="BV140" s="540"/>
      <c r="BW140" s="540"/>
      <c r="BX140" s="538"/>
      <c r="BY140" s="538"/>
      <c r="BZ140" s="592"/>
      <c r="CA140" s="633"/>
      <c r="CB140" s="592" t="s">
        <v>365</v>
      </c>
      <c r="CC140" s="592">
        <v>0.0</v>
      </c>
      <c r="CD140" s="592" t="s">
        <v>365</v>
      </c>
      <c r="CE140" s="592">
        <v>0.0</v>
      </c>
      <c r="CF140" s="592"/>
      <c r="CG140" s="592">
        <v>0.0</v>
      </c>
      <c r="CH140" s="592"/>
      <c r="CI140" s="633"/>
      <c r="CJ140" s="592">
        <v>0.0</v>
      </c>
      <c r="CK140" s="479" t="s">
        <v>365</v>
      </c>
      <c r="CL140" s="592"/>
      <c r="CM140" s="593"/>
      <c r="CN140" s="538"/>
      <c r="CO140" s="538"/>
      <c r="CP140" s="538"/>
      <c r="CQ140" s="538"/>
      <c r="CR140" s="538"/>
      <c r="CS140" s="538"/>
      <c r="CT140" s="538"/>
      <c r="CU140" s="538"/>
      <c r="CV140" s="538"/>
      <c r="CW140" s="538"/>
      <c r="CX140" s="538"/>
      <c r="CY140" s="538"/>
      <c r="CZ140" s="538"/>
      <c r="DA140" s="538"/>
      <c r="DB140" s="538"/>
      <c r="DC140" s="538"/>
      <c r="DD140" s="538"/>
      <c r="DE140" s="538"/>
      <c r="DF140" s="538"/>
      <c r="DG140" s="538"/>
      <c r="DH140" s="538"/>
      <c r="DI140" s="538"/>
      <c r="DJ140" s="538"/>
      <c r="DK140" s="538"/>
      <c r="DL140" s="538"/>
      <c r="DM140" s="538"/>
      <c r="DN140" s="538"/>
      <c r="DO140" s="538"/>
      <c r="DP140" s="538"/>
      <c r="DQ140" s="538"/>
      <c r="DR140" s="538"/>
      <c r="DS140" s="538"/>
      <c r="DT140" s="538"/>
      <c r="DU140" s="538"/>
      <c r="DV140" s="538"/>
      <c r="DW140" s="538"/>
      <c r="DX140" s="538"/>
      <c r="DY140" s="538"/>
      <c r="DZ140" s="538"/>
      <c r="EA140" s="538"/>
      <c r="EB140" s="538"/>
      <c r="EC140" s="538"/>
      <c r="ED140" s="538"/>
      <c r="EE140" s="538"/>
      <c r="EF140" s="538"/>
      <c r="EG140" s="538"/>
      <c r="EH140" s="538"/>
      <c r="EI140" s="538"/>
      <c r="EJ140" s="538"/>
      <c r="EK140" s="538"/>
      <c r="EL140" s="538"/>
      <c r="EM140" s="538"/>
      <c r="EN140" s="538"/>
      <c r="EO140" s="538"/>
      <c r="EP140" s="538"/>
      <c r="EQ140" s="538"/>
      <c r="ER140" s="538"/>
      <c r="ES140" s="538"/>
      <c r="ET140" s="538"/>
      <c r="EU140" s="538"/>
      <c r="EV140" s="538"/>
      <c r="EW140" s="538"/>
      <c r="EX140" s="559"/>
      <c r="EY140" s="559"/>
      <c r="EZ140" s="559"/>
      <c r="FA140" s="559"/>
      <c r="FB140" s="559"/>
      <c r="FC140" s="559"/>
      <c r="FD140" s="559"/>
      <c r="FE140" s="559"/>
      <c r="FF140" s="559"/>
      <c r="FG140" s="559"/>
      <c r="FH140" s="559"/>
      <c r="FI140" s="559"/>
      <c r="FJ140" s="559"/>
      <c r="FK140" s="559"/>
      <c r="FL140" s="559"/>
      <c r="FM140" s="559"/>
      <c r="FN140" s="559"/>
      <c r="FO140" s="559"/>
      <c r="FP140" s="559"/>
      <c r="FQ140" s="559"/>
      <c r="FR140" s="559"/>
      <c r="FS140" s="559"/>
      <c r="FT140" s="559"/>
      <c r="FU140" s="559"/>
      <c r="FV140" s="559"/>
      <c r="FW140" s="559"/>
      <c r="FX140" s="559"/>
      <c r="FY140" s="559"/>
      <c r="FZ140" s="559"/>
      <c r="GA140" s="559"/>
      <c r="GB140" s="559"/>
      <c r="GC140" s="559"/>
      <c r="GD140" s="559"/>
      <c r="GE140" s="559"/>
      <c r="GF140" s="559"/>
      <c r="GG140" s="559"/>
      <c r="GH140" s="559"/>
    </row>
    <row r="141">
      <c r="A141" s="538"/>
      <c r="B141" s="156"/>
      <c r="C141" s="444"/>
      <c r="D141" s="614"/>
      <c r="E141" s="66"/>
      <c r="F141" s="642"/>
      <c r="G141" s="642"/>
      <c r="H141" s="615"/>
      <c r="I141" s="616" t="s">
        <v>365</v>
      </c>
      <c r="J141" s="624"/>
      <c r="K141" s="643"/>
      <c r="L141" s="640"/>
      <c r="M141" s="625"/>
      <c r="N141" s="617"/>
      <c r="O141" s="134"/>
      <c r="P141" s="57"/>
      <c r="Q141" s="57"/>
      <c r="S141" s="605"/>
      <c r="U141" s="573"/>
      <c r="V141" s="574"/>
      <c r="W141" s="618"/>
      <c r="X141" s="576">
        <v>0.0</v>
      </c>
      <c r="Y141" s="630">
        <v>0.0</v>
      </c>
      <c r="Z141" s="630" t="s">
        <v>365</v>
      </c>
      <c r="AA141" s="631" t="b">
        <v>0</v>
      </c>
      <c r="AB141" s="631"/>
      <c r="AC141" s="576"/>
      <c r="AD141" s="479">
        <v>0.0</v>
      </c>
      <c r="AE141" s="632"/>
      <c r="AF141" s="582" t="s">
        <v>365</v>
      </c>
      <c r="AG141" s="583"/>
      <c r="AH141" s="584"/>
      <c r="AI141" s="583"/>
      <c r="AJ141" s="585"/>
      <c r="AK141" s="583"/>
      <c r="AL141" s="584"/>
      <c r="AM141" s="583"/>
      <c r="AN141" s="585"/>
      <c r="AO141" s="583"/>
      <c r="AP141" s="584"/>
      <c r="AQ141" s="583"/>
      <c r="AR141" s="585"/>
      <c r="AS141" s="583"/>
      <c r="AT141" s="584"/>
      <c r="AU141" s="583"/>
      <c r="AV141" s="585"/>
      <c r="AW141" s="583"/>
      <c r="AX141" s="584"/>
      <c r="AY141" s="583"/>
      <c r="AZ141" s="585"/>
      <c r="BA141" s="583"/>
      <c r="BB141" s="584"/>
      <c r="BC141" s="583"/>
      <c r="BD141" s="585"/>
      <c r="BE141" s="583"/>
      <c r="BF141" s="584"/>
      <c r="BG141" s="583"/>
      <c r="BH141" s="585"/>
      <c r="BI141" s="583"/>
      <c r="BJ141" s="584"/>
      <c r="BK141" s="583"/>
      <c r="BL141" s="585"/>
      <c r="BM141" s="583"/>
      <c r="BN141" s="584"/>
      <c r="BO141" s="583"/>
      <c r="BP141" s="585"/>
      <c r="BQ141" s="583"/>
      <c r="BR141" s="584"/>
      <c r="BS141" s="583"/>
      <c r="BT141" s="586"/>
      <c r="BU141" s="540"/>
      <c r="BV141" s="540"/>
      <c r="BW141" s="540"/>
      <c r="BX141" s="538"/>
      <c r="BY141" s="538"/>
      <c r="BZ141" s="592"/>
      <c r="CA141" s="633"/>
      <c r="CB141" s="592" t="s">
        <v>365</v>
      </c>
      <c r="CC141" s="592">
        <v>0.0</v>
      </c>
      <c r="CD141" s="592" t="s">
        <v>365</v>
      </c>
      <c r="CE141" s="592">
        <v>0.0</v>
      </c>
      <c r="CF141" s="592"/>
      <c r="CG141" s="592">
        <v>0.0</v>
      </c>
      <c r="CH141" s="592"/>
      <c r="CI141" s="633"/>
      <c r="CJ141" s="592">
        <v>0.0</v>
      </c>
      <c r="CK141" s="479" t="s">
        <v>365</v>
      </c>
      <c r="CL141" s="592"/>
      <c r="CM141" s="593"/>
      <c r="CN141" s="538"/>
      <c r="CO141" s="538"/>
      <c r="CP141" s="538"/>
      <c r="CQ141" s="538"/>
      <c r="CR141" s="538"/>
      <c r="CS141" s="538"/>
      <c r="CT141" s="538"/>
      <c r="CU141" s="538"/>
      <c r="CV141" s="538"/>
      <c r="CW141" s="538"/>
      <c r="CX141" s="538"/>
      <c r="CY141" s="538"/>
      <c r="CZ141" s="538"/>
      <c r="DA141" s="538"/>
      <c r="DB141" s="538"/>
      <c r="DC141" s="538"/>
      <c r="DD141" s="538"/>
      <c r="DE141" s="538"/>
      <c r="DF141" s="538"/>
      <c r="DG141" s="538"/>
      <c r="DH141" s="538"/>
      <c r="DI141" s="538"/>
      <c r="DJ141" s="538"/>
      <c r="DK141" s="538"/>
      <c r="DL141" s="538"/>
      <c r="DM141" s="538"/>
      <c r="DN141" s="538"/>
      <c r="DO141" s="538"/>
      <c r="DP141" s="538"/>
      <c r="DQ141" s="538"/>
      <c r="DR141" s="538"/>
      <c r="DS141" s="538"/>
      <c r="DT141" s="538"/>
      <c r="DU141" s="538"/>
      <c r="DV141" s="538"/>
      <c r="DW141" s="538"/>
      <c r="DX141" s="538"/>
      <c r="DY141" s="538"/>
      <c r="DZ141" s="538"/>
      <c r="EA141" s="538"/>
      <c r="EB141" s="538"/>
      <c r="EC141" s="538"/>
      <c r="ED141" s="538"/>
      <c r="EE141" s="538"/>
      <c r="EF141" s="538"/>
      <c r="EG141" s="538"/>
      <c r="EH141" s="538"/>
      <c r="EI141" s="538"/>
      <c r="EJ141" s="538"/>
      <c r="EK141" s="538"/>
      <c r="EL141" s="538"/>
      <c r="EM141" s="538"/>
      <c r="EN141" s="538"/>
      <c r="EO141" s="538"/>
      <c r="EP141" s="538"/>
      <c r="EQ141" s="538"/>
      <c r="ER141" s="538"/>
      <c r="ES141" s="538"/>
      <c r="ET141" s="538"/>
      <c r="EU141" s="538"/>
      <c r="EV141" s="538"/>
      <c r="EW141" s="538"/>
      <c r="EX141" s="559"/>
      <c r="EY141" s="559"/>
      <c r="EZ141" s="559"/>
      <c r="FA141" s="559"/>
      <c r="FB141" s="559"/>
      <c r="FC141" s="559"/>
      <c r="FD141" s="559"/>
      <c r="FE141" s="559"/>
      <c r="FF141" s="559"/>
      <c r="FG141" s="559"/>
      <c r="FH141" s="559"/>
      <c r="FI141" s="559"/>
      <c r="FJ141" s="559"/>
      <c r="FK141" s="559"/>
      <c r="FL141" s="559"/>
      <c r="FM141" s="559"/>
      <c r="FN141" s="559"/>
      <c r="FO141" s="559"/>
      <c r="FP141" s="559"/>
      <c r="FQ141" s="559"/>
      <c r="FR141" s="559"/>
      <c r="FS141" s="559"/>
      <c r="FT141" s="559"/>
      <c r="FU141" s="559"/>
      <c r="FV141" s="559"/>
      <c r="FW141" s="559"/>
      <c r="FX141" s="559"/>
      <c r="FY141" s="559"/>
      <c r="FZ141" s="559"/>
      <c r="GA141" s="559"/>
      <c r="GB141" s="559"/>
      <c r="GC141" s="559"/>
      <c r="GD141" s="559"/>
      <c r="GE141" s="559"/>
      <c r="GF141" s="559"/>
      <c r="GG141" s="559"/>
      <c r="GH141" s="559"/>
    </row>
    <row r="142">
      <c r="A142" s="538"/>
      <c r="B142" s="156"/>
      <c r="C142" s="444"/>
      <c r="D142" s="614"/>
      <c r="E142" s="68"/>
      <c r="F142" s="644"/>
      <c r="G142" s="644"/>
      <c r="H142" s="627"/>
      <c r="I142" s="622" t="s">
        <v>365</v>
      </c>
      <c r="J142" s="607"/>
      <c r="K142" s="641"/>
      <c r="L142" s="628"/>
      <c r="M142" s="626"/>
      <c r="N142" s="619"/>
      <c r="O142" s="560"/>
      <c r="P142" s="47"/>
      <c r="Q142" s="47"/>
      <c r="S142" s="572"/>
      <c r="U142" s="573"/>
      <c r="V142" s="574"/>
      <c r="W142" s="618"/>
      <c r="X142" s="576">
        <v>0.0</v>
      </c>
      <c r="Y142" s="630">
        <v>0.0</v>
      </c>
      <c r="Z142" s="630" t="s">
        <v>365</v>
      </c>
      <c r="AA142" s="631" t="b">
        <v>0</v>
      </c>
      <c r="AB142" s="631"/>
      <c r="AC142" s="576"/>
      <c r="AD142" s="479">
        <v>0.0</v>
      </c>
      <c r="AE142" s="632"/>
      <c r="AF142" s="582" t="s">
        <v>365</v>
      </c>
      <c r="AG142" s="583"/>
      <c r="AH142" s="584"/>
      <c r="AI142" s="583"/>
      <c r="AJ142" s="585"/>
      <c r="AK142" s="583"/>
      <c r="AL142" s="584"/>
      <c r="AM142" s="583"/>
      <c r="AN142" s="585"/>
      <c r="AO142" s="583"/>
      <c r="AP142" s="584"/>
      <c r="AQ142" s="583"/>
      <c r="AR142" s="585"/>
      <c r="AS142" s="583"/>
      <c r="AT142" s="584"/>
      <c r="AU142" s="583"/>
      <c r="AV142" s="585"/>
      <c r="AW142" s="583"/>
      <c r="AX142" s="584"/>
      <c r="AY142" s="583"/>
      <c r="AZ142" s="585"/>
      <c r="BA142" s="583"/>
      <c r="BB142" s="584"/>
      <c r="BC142" s="583"/>
      <c r="BD142" s="585"/>
      <c r="BE142" s="583"/>
      <c r="BF142" s="584"/>
      <c r="BG142" s="583"/>
      <c r="BH142" s="585"/>
      <c r="BI142" s="583"/>
      <c r="BJ142" s="584"/>
      <c r="BK142" s="583"/>
      <c r="BL142" s="585"/>
      <c r="BM142" s="583"/>
      <c r="BN142" s="584"/>
      <c r="BO142" s="583"/>
      <c r="BP142" s="585"/>
      <c r="BQ142" s="583"/>
      <c r="BR142" s="584"/>
      <c r="BS142" s="583"/>
      <c r="BT142" s="586"/>
      <c r="BU142" s="540"/>
      <c r="BV142" s="540"/>
      <c r="BW142" s="540"/>
      <c r="BX142" s="538"/>
      <c r="BY142" s="538"/>
      <c r="BZ142" s="592"/>
      <c r="CA142" s="633"/>
      <c r="CB142" s="592" t="s">
        <v>365</v>
      </c>
      <c r="CC142" s="592">
        <v>0.0</v>
      </c>
      <c r="CD142" s="592" t="s">
        <v>365</v>
      </c>
      <c r="CE142" s="592">
        <v>0.0</v>
      </c>
      <c r="CF142" s="592"/>
      <c r="CG142" s="592">
        <v>0.0</v>
      </c>
      <c r="CH142" s="592"/>
      <c r="CI142" s="633"/>
      <c r="CJ142" s="592">
        <v>0.0</v>
      </c>
      <c r="CK142" s="479" t="s">
        <v>365</v>
      </c>
      <c r="CL142" s="592"/>
      <c r="CM142" s="593"/>
      <c r="CN142" s="538"/>
      <c r="CO142" s="538"/>
      <c r="CP142" s="538"/>
      <c r="CQ142" s="538"/>
      <c r="CR142" s="538"/>
      <c r="CS142" s="538"/>
      <c r="CT142" s="538"/>
      <c r="CU142" s="538"/>
      <c r="CV142" s="538"/>
      <c r="CW142" s="538"/>
      <c r="CX142" s="538"/>
      <c r="CY142" s="538"/>
      <c r="CZ142" s="538"/>
      <c r="DA142" s="538"/>
      <c r="DB142" s="538"/>
      <c r="DC142" s="538"/>
      <c r="DD142" s="538"/>
      <c r="DE142" s="538"/>
      <c r="DF142" s="538"/>
      <c r="DG142" s="538"/>
      <c r="DH142" s="538"/>
      <c r="DI142" s="538"/>
      <c r="DJ142" s="538"/>
      <c r="DK142" s="538"/>
      <c r="DL142" s="538"/>
      <c r="DM142" s="538"/>
      <c r="DN142" s="538"/>
      <c r="DO142" s="538"/>
      <c r="DP142" s="538"/>
      <c r="DQ142" s="538"/>
      <c r="DR142" s="538"/>
      <c r="DS142" s="538"/>
      <c r="DT142" s="538"/>
      <c r="DU142" s="538"/>
      <c r="DV142" s="538"/>
      <c r="DW142" s="538"/>
      <c r="DX142" s="538"/>
      <c r="DY142" s="538"/>
      <c r="DZ142" s="538"/>
      <c r="EA142" s="538"/>
      <c r="EB142" s="538"/>
      <c r="EC142" s="538"/>
      <c r="ED142" s="538"/>
      <c r="EE142" s="538"/>
      <c r="EF142" s="538"/>
      <c r="EG142" s="538"/>
      <c r="EH142" s="538"/>
      <c r="EI142" s="538"/>
      <c r="EJ142" s="538"/>
      <c r="EK142" s="538"/>
      <c r="EL142" s="538"/>
      <c r="EM142" s="538"/>
      <c r="EN142" s="538"/>
      <c r="EO142" s="538"/>
      <c r="EP142" s="538"/>
      <c r="EQ142" s="538"/>
      <c r="ER142" s="538"/>
      <c r="ES142" s="538"/>
      <c r="ET142" s="538"/>
      <c r="EU142" s="538"/>
      <c r="EV142" s="538"/>
      <c r="EW142" s="538"/>
      <c r="EX142" s="559"/>
      <c r="EY142" s="559"/>
      <c r="EZ142" s="559"/>
      <c r="FA142" s="559"/>
      <c r="FB142" s="559"/>
      <c r="FC142" s="559"/>
      <c r="FD142" s="559"/>
      <c r="FE142" s="559"/>
      <c r="FF142" s="559"/>
      <c r="FG142" s="559"/>
      <c r="FH142" s="559"/>
      <c r="FI142" s="559"/>
      <c r="FJ142" s="559"/>
      <c r="FK142" s="559"/>
      <c r="FL142" s="559"/>
      <c r="FM142" s="559"/>
      <c r="FN142" s="559"/>
      <c r="FO142" s="559"/>
      <c r="FP142" s="559"/>
      <c r="FQ142" s="559"/>
      <c r="FR142" s="559"/>
      <c r="FS142" s="559"/>
      <c r="FT142" s="559"/>
      <c r="FU142" s="559"/>
      <c r="FV142" s="559"/>
      <c r="FW142" s="559"/>
      <c r="FX142" s="559"/>
      <c r="FY142" s="559"/>
      <c r="FZ142" s="559"/>
      <c r="GA142" s="559"/>
      <c r="GB142" s="559"/>
      <c r="GC142" s="559"/>
      <c r="GD142" s="559"/>
      <c r="GE142" s="559"/>
      <c r="GF142" s="559"/>
      <c r="GG142" s="559"/>
      <c r="GH142" s="559"/>
    </row>
    <row r="143">
      <c r="A143" s="538"/>
      <c r="B143" s="156"/>
      <c r="C143" s="444"/>
      <c r="D143" s="614"/>
      <c r="E143" s="66"/>
      <c r="F143" s="642"/>
      <c r="G143" s="642"/>
      <c r="H143" s="615"/>
      <c r="I143" s="616" t="s">
        <v>365</v>
      </c>
      <c r="J143" s="624"/>
      <c r="K143" s="643"/>
      <c r="L143" s="640"/>
      <c r="M143" s="625"/>
      <c r="N143" s="617"/>
      <c r="O143" s="134"/>
      <c r="P143" s="57"/>
      <c r="Q143" s="57"/>
      <c r="S143" s="605"/>
      <c r="U143" s="573"/>
      <c r="V143" s="574"/>
      <c r="W143" s="618"/>
      <c r="X143" s="576">
        <v>0.0</v>
      </c>
      <c r="Y143" s="630">
        <v>0.0</v>
      </c>
      <c r="Z143" s="630" t="s">
        <v>365</v>
      </c>
      <c r="AA143" s="631" t="b">
        <v>0</v>
      </c>
      <c r="AB143" s="631"/>
      <c r="AC143" s="576"/>
      <c r="AD143" s="479">
        <v>0.0</v>
      </c>
      <c r="AE143" s="632"/>
      <c r="AF143" s="582" t="s">
        <v>365</v>
      </c>
      <c r="AG143" s="583"/>
      <c r="AH143" s="584"/>
      <c r="AI143" s="583"/>
      <c r="AJ143" s="585"/>
      <c r="AK143" s="583"/>
      <c r="AL143" s="584"/>
      <c r="AM143" s="583"/>
      <c r="AN143" s="585"/>
      <c r="AO143" s="583"/>
      <c r="AP143" s="584"/>
      <c r="AQ143" s="583"/>
      <c r="AR143" s="585"/>
      <c r="AS143" s="583"/>
      <c r="AT143" s="584"/>
      <c r="AU143" s="583"/>
      <c r="AV143" s="585"/>
      <c r="AW143" s="583"/>
      <c r="AX143" s="584"/>
      <c r="AY143" s="583"/>
      <c r="AZ143" s="585"/>
      <c r="BA143" s="583"/>
      <c r="BB143" s="584"/>
      <c r="BC143" s="583"/>
      <c r="BD143" s="585"/>
      <c r="BE143" s="583"/>
      <c r="BF143" s="584"/>
      <c r="BG143" s="583"/>
      <c r="BH143" s="585"/>
      <c r="BI143" s="583"/>
      <c r="BJ143" s="584"/>
      <c r="BK143" s="583"/>
      <c r="BL143" s="585"/>
      <c r="BM143" s="583"/>
      <c r="BN143" s="584"/>
      <c r="BO143" s="583"/>
      <c r="BP143" s="585"/>
      <c r="BQ143" s="583"/>
      <c r="BR143" s="584"/>
      <c r="BS143" s="583"/>
      <c r="BT143" s="586"/>
      <c r="BU143" s="540"/>
      <c r="BV143" s="540"/>
      <c r="BW143" s="540"/>
      <c r="BX143" s="538"/>
      <c r="BY143" s="538"/>
      <c r="BZ143" s="592"/>
      <c r="CA143" s="633"/>
      <c r="CB143" s="592" t="s">
        <v>365</v>
      </c>
      <c r="CC143" s="592">
        <v>0.0</v>
      </c>
      <c r="CD143" s="592" t="s">
        <v>365</v>
      </c>
      <c r="CE143" s="592">
        <v>0.0</v>
      </c>
      <c r="CF143" s="592"/>
      <c r="CG143" s="592">
        <v>0.0</v>
      </c>
      <c r="CH143" s="592"/>
      <c r="CI143" s="633"/>
      <c r="CJ143" s="592">
        <v>0.0</v>
      </c>
      <c r="CK143" s="479" t="s">
        <v>365</v>
      </c>
      <c r="CL143" s="592"/>
      <c r="CM143" s="593"/>
      <c r="CN143" s="538"/>
      <c r="CO143" s="538"/>
      <c r="CP143" s="538"/>
      <c r="CQ143" s="538"/>
      <c r="CR143" s="538"/>
      <c r="CS143" s="538"/>
      <c r="CT143" s="538"/>
      <c r="CU143" s="538"/>
      <c r="CV143" s="538"/>
      <c r="CW143" s="538"/>
      <c r="CX143" s="538"/>
      <c r="CY143" s="538"/>
      <c r="CZ143" s="538"/>
      <c r="DA143" s="538"/>
      <c r="DB143" s="538"/>
      <c r="DC143" s="538"/>
      <c r="DD143" s="538"/>
      <c r="DE143" s="538"/>
      <c r="DF143" s="538"/>
      <c r="DG143" s="538"/>
      <c r="DH143" s="538"/>
      <c r="DI143" s="538"/>
      <c r="DJ143" s="538"/>
      <c r="DK143" s="538"/>
      <c r="DL143" s="538"/>
      <c r="DM143" s="538"/>
      <c r="DN143" s="538"/>
      <c r="DO143" s="538"/>
      <c r="DP143" s="538"/>
      <c r="DQ143" s="538"/>
      <c r="DR143" s="538"/>
      <c r="DS143" s="538"/>
      <c r="DT143" s="538"/>
      <c r="DU143" s="538"/>
      <c r="DV143" s="538"/>
      <c r="DW143" s="538"/>
      <c r="DX143" s="538"/>
      <c r="DY143" s="538"/>
      <c r="DZ143" s="538"/>
      <c r="EA143" s="538"/>
      <c r="EB143" s="538"/>
      <c r="EC143" s="538"/>
      <c r="ED143" s="538"/>
      <c r="EE143" s="538"/>
      <c r="EF143" s="538"/>
      <c r="EG143" s="538"/>
      <c r="EH143" s="538"/>
      <c r="EI143" s="538"/>
      <c r="EJ143" s="538"/>
      <c r="EK143" s="538"/>
      <c r="EL143" s="538"/>
      <c r="EM143" s="538"/>
      <c r="EN143" s="538"/>
      <c r="EO143" s="538"/>
      <c r="EP143" s="538"/>
      <c r="EQ143" s="538"/>
      <c r="ER143" s="538"/>
      <c r="ES143" s="538"/>
      <c r="ET143" s="538"/>
      <c r="EU143" s="538"/>
      <c r="EV143" s="538"/>
      <c r="EW143" s="538"/>
      <c r="EX143" s="559"/>
      <c r="EY143" s="559"/>
      <c r="EZ143" s="559"/>
      <c r="FA143" s="559"/>
      <c r="FB143" s="559"/>
      <c r="FC143" s="559"/>
      <c r="FD143" s="559"/>
      <c r="FE143" s="559"/>
      <c r="FF143" s="559"/>
      <c r="FG143" s="559"/>
      <c r="FH143" s="559"/>
      <c r="FI143" s="559"/>
      <c r="FJ143" s="559"/>
      <c r="FK143" s="559"/>
      <c r="FL143" s="559"/>
      <c r="FM143" s="559"/>
      <c r="FN143" s="559"/>
      <c r="FO143" s="559"/>
      <c r="FP143" s="559"/>
      <c r="FQ143" s="559"/>
      <c r="FR143" s="559"/>
      <c r="FS143" s="559"/>
      <c r="FT143" s="559"/>
      <c r="FU143" s="559"/>
      <c r="FV143" s="559"/>
      <c r="FW143" s="559"/>
      <c r="FX143" s="559"/>
      <c r="FY143" s="559"/>
      <c r="FZ143" s="559"/>
      <c r="GA143" s="559"/>
      <c r="GB143" s="559"/>
      <c r="GC143" s="559"/>
      <c r="GD143" s="559"/>
      <c r="GE143" s="559"/>
      <c r="GF143" s="559"/>
      <c r="GG143" s="559"/>
      <c r="GH143" s="559"/>
    </row>
    <row r="144">
      <c r="A144" s="538"/>
      <c r="B144" s="156"/>
      <c r="C144" s="444"/>
      <c r="D144" s="614"/>
      <c r="E144" s="68"/>
      <c r="F144" s="644"/>
      <c r="G144" s="644"/>
      <c r="H144" s="627"/>
      <c r="I144" s="622" t="s">
        <v>365</v>
      </c>
      <c r="J144" s="607"/>
      <c r="K144" s="641"/>
      <c r="L144" s="628"/>
      <c r="M144" s="626"/>
      <c r="N144" s="619"/>
      <c r="O144" s="560"/>
      <c r="P144" s="47"/>
      <c r="Q144" s="47"/>
      <c r="S144" s="572"/>
      <c r="U144" s="573"/>
      <c r="V144" s="574"/>
      <c r="W144" s="618"/>
      <c r="X144" s="576">
        <v>0.0</v>
      </c>
      <c r="Y144" s="630">
        <v>0.0</v>
      </c>
      <c r="Z144" s="630" t="s">
        <v>365</v>
      </c>
      <c r="AA144" s="631" t="b">
        <v>0</v>
      </c>
      <c r="AB144" s="631"/>
      <c r="AC144" s="576"/>
      <c r="AD144" s="479">
        <v>0.0</v>
      </c>
      <c r="AE144" s="632"/>
      <c r="AF144" s="582" t="s">
        <v>365</v>
      </c>
      <c r="AG144" s="583"/>
      <c r="AH144" s="584"/>
      <c r="AI144" s="583"/>
      <c r="AJ144" s="585"/>
      <c r="AK144" s="583"/>
      <c r="AL144" s="584"/>
      <c r="AM144" s="583"/>
      <c r="AN144" s="585"/>
      <c r="AO144" s="583"/>
      <c r="AP144" s="584"/>
      <c r="AQ144" s="583"/>
      <c r="AR144" s="585"/>
      <c r="AS144" s="583"/>
      <c r="AT144" s="584"/>
      <c r="AU144" s="583"/>
      <c r="AV144" s="585"/>
      <c r="AW144" s="583"/>
      <c r="AX144" s="584"/>
      <c r="AY144" s="583"/>
      <c r="AZ144" s="585"/>
      <c r="BA144" s="583"/>
      <c r="BB144" s="584"/>
      <c r="BC144" s="583"/>
      <c r="BD144" s="585"/>
      <c r="BE144" s="583"/>
      <c r="BF144" s="584"/>
      <c r="BG144" s="583"/>
      <c r="BH144" s="585"/>
      <c r="BI144" s="583"/>
      <c r="BJ144" s="584"/>
      <c r="BK144" s="583"/>
      <c r="BL144" s="585"/>
      <c r="BM144" s="583"/>
      <c r="BN144" s="584"/>
      <c r="BO144" s="583"/>
      <c r="BP144" s="585"/>
      <c r="BQ144" s="583"/>
      <c r="BR144" s="584"/>
      <c r="BS144" s="583"/>
      <c r="BT144" s="586"/>
      <c r="BU144" s="540"/>
      <c r="BV144" s="540"/>
      <c r="BW144" s="540"/>
      <c r="BX144" s="538"/>
      <c r="BY144" s="538"/>
      <c r="BZ144" s="592"/>
      <c r="CA144" s="633"/>
      <c r="CB144" s="592" t="s">
        <v>365</v>
      </c>
      <c r="CC144" s="592">
        <v>0.0</v>
      </c>
      <c r="CD144" s="592" t="s">
        <v>365</v>
      </c>
      <c r="CE144" s="592">
        <v>0.0</v>
      </c>
      <c r="CF144" s="592"/>
      <c r="CG144" s="592">
        <v>0.0</v>
      </c>
      <c r="CH144" s="592"/>
      <c r="CI144" s="633"/>
      <c r="CJ144" s="592">
        <v>0.0</v>
      </c>
      <c r="CK144" s="479" t="s">
        <v>365</v>
      </c>
      <c r="CL144" s="592"/>
      <c r="CM144" s="593"/>
      <c r="CN144" s="538"/>
      <c r="CO144" s="538"/>
      <c r="CP144" s="538"/>
      <c r="CQ144" s="538"/>
      <c r="CR144" s="538"/>
      <c r="CS144" s="538"/>
      <c r="CT144" s="538"/>
      <c r="CU144" s="538"/>
      <c r="CV144" s="538"/>
      <c r="CW144" s="538"/>
      <c r="CX144" s="538"/>
      <c r="CY144" s="538"/>
      <c r="CZ144" s="538"/>
      <c r="DA144" s="538"/>
      <c r="DB144" s="538"/>
      <c r="DC144" s="538"/>
      <c r="DD144" s="538"/>
      <c r="DE144" s="538"/>
      <c r="DF144" s="538"/>
      <c r="DG144" s="538"/>
      <c r="DH144" s="538"/>
      <c r="DI144" s="538"/>
      <c r="DJ144" s="538"/>
      <c r="DK144" s="538"/>
      <c r="DL144" s="538"/>
      <c r="DM144" s="538"/>
      <c r="DN144" s="538"/>
      <c r="DO144" s="538"/>
      <c r="DP144" s="538"/>
      <c r="DQ144" s="538"/>
      <c r="DR144" s="538"/>
      <c r="DS144" s="538"/>
      <c r="DT144" s="538"/>
      <c r="DU144" s="538"/>
      <c r="DV144" s="538"/>
      <c r="DW144" s="538"/>
      <c r="DX144" s="538"/>
      <c r="DY144" s="538"/>
      <c r="DZ144" s="538"/>
      <c r="EA144" s="538"/>
      <c r="EB144" s="538"/>
      <c r="EC144" s="538"/>
      <c r="ED144" s="538"/>
      <c r="EE144" s="538"/>
      <c r="EF144" s="538"/>
      <c r="EG144" s="538"/>
      <c r="EH144" s="538"/>
      <c r="EI144" s="538"/>
      <c r="EJ144" s="538"/>
      <c r="EK144" s="538"/>
      <c r="EL144" s="538"/>
      <c r="EM144" s="538"/>
      <c r="EN144" s="538"/>
      <c r="EO144" s="538"/>
      <c r="EP144" s="538"/>
      <c r="EQ144" s="538"/>
      <c r="ER144" s="538"/>
      <c r="ES144" s="538"/>
      <c r="ET144" s="538"/>
      <c r="EU144" s="538"/>
      <c r="EV144" s="538"/>
      <c r="EW144" s="538"/>
      <c r="EX144" s="559"/>
      <c r="EY144" s="559"/>
      <c r="EZ144" s="559"/>
      <c r="FA144" s="559"/>
      <c r="FB144" s="559"/>
      <c r="FC144" s="559"/>
      <c r="FD144" s="559"/>
      <c r="FE144" s="559"/>
      <c r="FF144" s="559"/>
      <c r="FG144" s="559"/>
      <c r="FH144" s="559"/>
      <c r="FI144" s="559"/>
      <c r="FJ144" s="559"/>
      <c r="FK144" s="559"/>
      <c r="FL144" s="559"/>
      <c r="FM144" s="559"/>
      <c r="FN144" s="559"/>
      <c r="FO144" s="559"/>
      <c r="FP144" s="559"/>
      <c r="FQ144" s="559"/>
      <c r="FR144" s="559"/>
      <c r="FS144" s="559"/>
      <c r="FT144" s="559"/>
      <c r="FU144" s="559"/>
      <c r="FV144" s="559"/>
      <c r="FW144" s="559"/>
      <c r="FX144" s="559"/>
      <c r="FY144" s="559"/>
      <c r="FZ144" s="559"/>
      <c r="GA144" s="559"/>
      <c r="GB144" s="559"/>
      <c r="GC144" s="559"/>
      <c r="GD144" s="559"/>
      <c r="GE144" s="559"/>
      <c r="GF144" s="559"/>
      <c r="GG144" s="559"/>
      <c r="GH144" s="559"/>
    </row>
    <row r="145">
      <c r="A145" s="538"/>
      <c r="B145" s="156"/>
      <c r="C145" s="444"/>
      <c r="D145" s="614"/>
      <c r="E145" s="66"/>
      <c r="F145" s="642"/>
      <c r="G145" s="642"/>
      <c r="H145" s="615"/>
      <c r="I145" s="616" t="s">
        <v>365</v>
      </c>
      <c r="J145" s="624"/>
      <c r="K145" s="643"/>
      <c r="L145" s="640"/>
      <c r="M145" s="625"/>
      <c r="N145" s="617"/>
      <c r="O145" s="134"/>
      <c r="P145" s="57"/>
      <c r="Q145" s="57"/>
      <c r="S145" s="605"/>
      <c r="U145" s="573"/>
      <c r="V145" s="574"/>
      <c r="W145" s="618"/>
      <c r="X145" s="576">
        <v>0.0</v>
      </c>
      <c r="Y145" s="630">
        <v>0.0</v>
      </c>
      <c r="Z145" s="630" t="s">
        <v>365</v>
      </c>
      <c r="AA145" s="631" t="b">
        <v>0</v>
      </c>
      <c r="AB145" s="631"/>
      <c r="AC145" s="576"/>
      <c r="AD145" s="479">
        <v>0.0</v>
      </c>
      <c r="AE145" s="632"/>
      <c r="AF145" s="582" t="s">
        <v>365</v>
      </c>
      <c r="AG145" s="583"/>
      <c r="AH145" s="584"/>
      <c r="AI145" s="583"/>
      <c r="AJ145" s="585"/>
      <c r="AK145" s="583"/>
      <c r="AL145" s="584"/>
      <c r="AM145" s="583"/>
      <c r="AN145" s="585"/>
      <c r="AO145" s="583"/>
      <c r="AP145" s="584"/>
      <c r="AQ145" s="583"/>
      <c r="AR145" s="585"/>
      <c r="AS145" s="583"/>
      <c r="AT145" s="584"/>
      <c r="AU145" s="583"/>
      <c r="AV145" s="585"/>
      <c r="AW145" s="583"/>
      <c r="AX145" s="584"/>
      <c r="AY145" s="583"/>
      <c r="AZ145" s="585"/>
      <c r="BA145" s="583"/>
      <c r="BB145" s="584"/>
      <c r="BC145" s="583"/>
      <c r="BD145" s="585"/>
      <c r="BE145" s="583"/>
      <c r="BF145" s="584"/>
      <c r="BG145" s="583"/>
      <c r="BH145" s="585"/>
      <c r="BI145" s="583"/>
      <c r="BJ145" s="584"/>
      <c r="BK145" s="583"/>
      <c r="BL145" s="585"/>
      <c r="BM145" s="583"/>
      <c r="BN145" s="584"/>
      <c r="BO145" s="583"/>
      <c r="BP145" s="585"/>
      <c r="BQ145" s="583"/>
      <c r="BR145" s="584"/>
      <c r="BS145" s="583"/>
      <c r="BT145" s="586"/>
      <c r="BU145" s="540"/>
      <c r="BV145" s="540"/>
      <c r="BW145" s="540"/>
      <c r="BX145" s="538"/>
      <c r="BY145" s="538"/>
      <c r="BZ145" s="592"/>
      <c r="CA145" s="633"/>
      <c r="CB145" s="592" t="s">
        <v>365</v>
      </c>
      <c r="CC145" s="592">
        <v>0.0</v>
      </c>
      <c r="CD145" s="592" t="s">
        <v>365</v>
      </c>
      <c r="CE145" s="592">
        <v>0.0</v>
      </c>
      <c r="CF145" s="592"/>
      <c r="CG145" s="592">
        <v>0.0</v>
      </c>
      <c r="CH145" s="592"/>
      <c r="CI145" s="633"/>
      <c r="CJ145" s="592">
        <v>0.0</v>
      </c>
      <c r="CK145" s="479" t="s">
        <v>365</v>
      </c>
      <c r="CL145" s="592"/>
      <c r="CM145" s="593"/>
      <c r="CN145" s="538"/>
      <c r="CO145" s="538"/>
      <c r="CP145" s="538"/>
      <c r="CQ145" s="538"/>
      <c r="CR145" s="538"/>
      <c r="CS145" s="538"/>
      <c r="CT145" s="538"/>
      <c r="CU145" s="538"/>
      <c r="CV145" s="538"/>
      <c r="CW145" s="538"/>
      <c r="CX145" s="538"/>
      <c r="CY145" s="538"/>
      <c r="CZ145" s="538"/>
      <c r="DA145" s="538"/>
      <c r="DB145" s="538"/>
      <c r="DC145" s="538"/>
      <c r="DD145" s="538"/>
      <c r="DE145" s="538"/>
      <c r="DF145" s="538"/>
      <c r="DG145" s="538"/>
      <c r="DH145" s="538"/>
      <c r="DI145" s="538"/>
      <c r="DJ145" s="538"/>
      <c r="DK145" s="538"/>
      <c r="DL145" s="538"/>
      <c r="DM145" s="538"/>
      <c r="DN145" s="538"/>
      <c r="DO145" s="538"/>
      <c r="DP145" s="538"/>
      <c r="DQ145" s="538"/>
      <c r="DR145" s="538"/>
      <c r="DS145" s="538"/>
      <c r="DT145" s="538"/>
      <c r="DU145" s="538"/>
      <c r="DV145" s="538"/>
      <c r="DW145" s="538"/>
      <c r="DX145" s="538"/>
      <c r="DY145" s="538"/>
      <c r="DZ145" s="538"/>
      <c r="EA145" s="538"/>
      <c r="EB145" s="538"/>
      <c r="EC145" s="538"/>
      <c r="ED145" s="538"/>
      <c r="EE145" s="538"/>
      <c r="EF145" s="538"/>
      <c r="EG145" s="538"/>
      <c r="EH145" s="538"/>
      <c r="EI145" s="538"/>
      <c r="EJ145" s="538"/>
      <c r="EK145" s="538"/>
      <c r="EL145" s="538"/>
      <c r="EM145" s="538"/>
      <c r="EN145" s="538"/>
      <c r="EO145" s="538"/>
      <c r="EP145" s="538"/>
      <c r="EQ145" s="538"/>
      <c r="ER145" s="538"/>
      <c r="ES145" s="538"/>
      <c r="ET145" s="538"/>
      <c r="EU145" s="538"/>
      <c r="EV145" s="538"/>
      <c r="EW145" s="538"/>
      <c r="EX145" s="559"/>
      <c r="EY145" s="559"/>
      <c r="EZ145" s="559"/>
      <c r="FA145" s="559"/>
      <c r="FB145" s="559"/>
      <c r="FC145" s="559"/>
      <c r="FD145" s="559"/>
      <c r="FE145" s="559"/>
      <c r="FF145" s="559"/>
      <c r="FG145" s="559"/>
      <c r="FH145" s="559"/>
      <c r="FI145" s="559"/>
      <c r="FJ145" s="559"/>
      <c r="FK145" s="559"/>
      <c r="FL145" s="559"/>
      <c r="FM145" s="559"/>
      <c r="FN145" s="559"/>
      <c r="FO145" s="559"/>
      <c r="FP145" s="559"/>
      <c r="FQ145" s="559"/>
      <c r="FR145" s="559"/>
      <c r="FS145" s="559"/>
      <c r="FT145" s="559"/>
      <c r="FU145" s="559"/>
      <c r="FV145" s="559"/>
      <c r="FW145" s="559"/>
      <c r="FX145" s="559"/>
      <c r="FY145" s="559"/>
      <c r="FZ145" s="559"/>
      <c r="GA145" s="559"/>
      <c r="GB145" s="559"/>
      <c r="GC145" s="559"/>
      <c r="GD145" s="559"/>
      <c r="GE145" s="559"/>
      <c r="GF145" s="559"/>
      <c r="GG145" s="559"/>
      <c r="GH145" s="559"/>
    </row>
    <row r="146">
      <c r="A146" s="538"/>
      <c r="B146" s="156"/>
      <c r="C146" s="444"/>
      <c r="D146" s="614"/>
      <c r="E146" s="68"/>
      <c r="F146" s="644"/>
      <c r="G146" s="644"/>
      <c r="H146" s="627"/>
      <c r="I146" s="622" t="s">
        <v>365</v>
      </c>
      <c r="J146" s="607"/>
      <c r="K146" s="641"/>
      <c r="L146" s="628"/>
      <c r="M146" s="626"/>
      <c r="N146" s="619"/>
      <c r="O146" s="560"/>
      <c r="P146" s="47"/>
      <c r="Q146" s="47"/>
      <c r="S146" s="572"/>
      <c r="U146" s="573"/>
      <c r="V146" s="574"/>
      <c r="W146" s="618"/>
      <c r="X146" s="576">
        <v>0.0</v>
      </c>
      <c r="Y146" s="630">
        <v>0.0</v>
      </c>
      <c r="Z146" s="630" t="s">
        <v>365</v>
      </c>
      <c r="AA146" s="631" t="b">
        <v>0</v>
      </c>
      <c r="AB146" s="631"/>
      <c r="AC146" s="576"/>
      <c r="AD146" s="479">
        <v>0.0</v>
      </c>
      <c r="AE146" s="632"/>
      <c r="AF146" s="582" t="s">
        <v>365</v>
      </c>
      <c r="AG146" s="583"/>
      <c r="AH146" s="584"/>
      <c r="AI146" s="583"/>
      <c r="AJ146" s="585"/>
      <c r="AK146" s="583"/>
      <c r="AL146" s="584"/>
      <c r="AM146" s="583"/>
      <c r="AN146" s="585"/>
      <c r="AO146" s="583"/>
      <c r="AP146" s="584"/>
      <c r="AQ146" s="583"/>
      <c r="AR146" s="585"/>
      <c r="AS146" s="583"/>
      <c r="AT146" s="584"/>
      <c r="AU146" s="583"/>
      <c r="AV146" s="585"/>
      <c r="AW146" s="583"/>
      <c r="AX146" s="584"/>
      <c r="AY146" s="583"/>
      <c r="AZ146" s="585"/>
      <c r="BA146" s="583"/>
      <c r="BB146" s="584"/>
      <c r="BC146" s="583"/>
      <c r="BD146" s="585"/>
      <c r="BE146" s="583"/>
      <c r="BF146" s="584"/>
      <c r="BG146" s="583"/>
      <c r="BH146" s="585"/>
      <c r="BI146" s="583"/>
      <c r="BJ146" s="584"/>
      <c r="BK146" s="583"/>
      <c r="BL146" s="585"/>
      <c r="BM146" s="583"/>
      <c r="BN146" s="584"/>
      <c r="BO146" s="583"/>
      <c r="BP146" s="585"/>
      <c r="BQ146" s="583"/>
      <c r="BR146" s="584"/>
      <c r="BS146" s="583"/>
      <c r="BT146" s="586"/>
      <c r="BU146" s="540"/>
      <c r="BV146" s="540"/>
      <c r="BW146" s="540"/>
      <c r="BX146" s="538"/>
      <c r="BY146" s="538"/>
      <c r="BZ146" s="592"/>
      <c r="CA146" s="633"/>
      <c r="CB146" s="592" t="s">
        <v>365</v>
      </c>
      <c r="CC146" s="592">
        <v>0.0</v>
      </c>
      <c r="CD146" s="592" t="s">
        <v>365</v>
      </c>
      <c r="CE146" s="592">
        <v>0.0</v>
      </c>
      <c r="CF146" s="592"/>
      <c r="CG146" s="592">
        <v>0.0</v>
      </c>
      <c r="CH146" s="592"/>
      <c r="CI146" s="633"/>
      <c r="CJ146" s="592">
        <v>0.0</v>
      </c>
      <c r="CK146" s="479" t="s">
        <v>365</v>
      </c>
      <c r="CL146" s="592"/>
      <c r="CM146" s="593"/>
      <c r="CN146" s="538"/>
      <c r="CO146" s="538"/>
      <c r="CP146" s="538"/>
      <c r="CQ146" s="538"/>
      <c r="CR146" s="538"/>
      <c r="CS146" s="538"/>
      <c r="CT146" s="538"/>
      <c r="CU146" s="538"/>
      <c r="CV146" s="538"/>
      <c r="CW146" s="538"/>
      <c r="CX146" s="538"/>
      <c r="CY146" s="538"/>
      <c r="CZ146" s="538"/>
      <c r="DA146" s="538"/>
      <c r="DB146" s="538"/>
      <c r="DC146" s="538"/>
      <c r="DD146" s="538"/>
      <c r="DE146" s="538"/>
      <c r="DF146" s="538"/>
      <c r="DG146" s="538"/>
      <c r="DH146" s="538"/>
      <c r="DI146" s="538"/>
      <c r="DJ146" s="538"/>
      <c r="DK146" s="538"/>
      <c r="DL146" s="538"/>
      <c r="DM146" s="538"/>
      <c r="DN146" s="538"/>
      <c r="DO146" s="538"/>
      <c r="DP146" s="538"/>
      <c r="DQ146" s="538"/>
      <c r="DR146" s="538"/>
      <c r="DS146" s="538"/>
      <c r="DT146" s="538"/>
      <c r="DU146" s="538"/>
      <c r="DV146" s="538"/>
      <c r="DW146" s="538"/>
      <c r="DX146" s="538"/>
      <c r="DY146" s="538"/>
      <c r="DZ146" s="538"/>
      <c r="EA146" s="538"/>
      <c r="EB146" s="538"/>
      <c r="EC146" s="538"/>
      <c r="ED146" s="538"/>
      <c r="EE146" s="538"/>
      <c r="EF146" s="538"/>
      <c r="EG146" s="538"/>
      <c r="EH146" s="538"/>
      <c r="EI146" s="538"/>
      <c r="EJ146" s="538"/>
      <c r="EK146" s="538"/>
      <c r="EL146" s="538"/>
      <c r="EM146" s="538"/>
      <c r="EN146" s="538"/>
      <c r="EO146" s="538"/>
      <c r="EP146" s="538"/>
      <c r="EQ146" s="538"/>
      <c r="ER146" s="538"/>
      <c r="ES146" s="538"/>
      <c r="ET146" s="538"/>
      <c r="EU146" s="538"/>
      <c r="EV146" s="538"/>
      <c r="EW146" s="538"/>
      <c r="EX146" s="559"/>
      <c r="EY146" s="559"/>
      <c r="EZ146" s="559"/>
      <c r="FA146" s="559"/>
      <c r="FB146" s="559"/>
      <c r="FC146" s="559"/>
      <c r="FD146" s="559"/>
      <c r="FE146" s="559"/>
      <c r="FF146" s="559"/>
      <c r="FG146" s="559"/>
      <c r="FH146" s="559"/>
      <c r="FI146" s="559"/>
      <c r="FJ146" s="559"/>
      <c r="FK146" s="559"/>
      <c r="FL146" s="559"/>
      <c r="FM146" s="559"/>
      <c r="FN146" s="559"/>
      <c r="FO146" s="559"/>
      <c r="FP146" s="559"/>
      <c r="FQ146" s="559"/>
      <c r="FR146" s="559"/>
      <c r="FS146" s="559"/>
      <c r="FT146" s="559"/>
      <c r="FU146" s="559"/>
      <c r="FV146" s="559"/>
      <c r="FW146" s="559"/>
      <c r="FX146" s="559"/>
      <c r="FY146" s="559"/>
      <c r="FZ146" s="559"/>
      <c r="GA146" s="559"/>
      <c r="GB146" s="559"/>
      <c r="GC146" s="559"/>
      <c r="GD146" s="559"/>
      <c r="GE146" s="559"/>
      <c r="GF146" s="559"/>
      <c r="GG146" s="559"/>
      <c r="GH146" s="559"/>
    </row>
    <row r="147">
      <c r="A147" s="538"/>
      <c r="B147" s="156"/>
      <c r="C147" s="444"/>
      <c r="D147" s="614"/>
      <c r="E147" s="66"/>
      <c r="F147" s="642"/>
      <c r="G147" s="642"/>
      <c r="H147" s="615"/>
      <c r="I147" s="616" t="s">
        <v>365</v>
      </c>
      <c r="J147" s="624"/>
      <c r="K147" s="643"/>
      <c r="L147" s="640"/>
      <c r="M147" s="625"/>
      <c r="N147" s="617"/>
      <c r="O147" s="134"/>
      <c r="P147" s="57"/>
      <c r="Q147" s="57"/>
      <c r="S147" s="605"/>
      <c r="U147" s="573"/>
      <c r="V147" s="574"/>
      <c r="W147" s="618"/>
      <c r="X147" s="576">
        <v>0.0</v>
      </c>
      <c r="Y147" s="630">
        <v>0.0</v>
      </c>
      <c r="Z147" s="630" t="s">
        <v>365</v>
      </c>
      <c r="AA147" s="631" t="b">
        <v>0</v>
      </c>
      <c r="AB147" s="631"/>
      <c r="AC147" s="576"/>
      <c r="AD147" s="479">
        <v>0.0</v>
      </c>
      <c r="AE147" s="632"/>
      <c r="AF147" s="582" t="s">
        <v>365</v>
      </c>
      <c r="AG147" s="583"/>
      <c r="AH147" s="584"/>
      <c r="AI147" s="583"/>
      <c r="AJ147" s="585"/>
      <c r="AK147" s="583"/>
      <c r="AL147" s="584"/>
      <c r="AM147" s="583"/>
      <c r="AN147" s="585"/>
      <c r="AO147" s="583"/>
      <c r="AP147" s="584"/>
      <c r="AQ147" s="583"/>
      <c r="AR147" s="585"/>
      <c r="AS147" s="583"/>
      <c r="AT147" s="584"/>
      <c r="AU147" s="583"/>
      <c r="AV147" s="585"/>
      <c r="AW147" s="583"/>
      <c r="AX147" s="584"/>
      <c r="AY147" s="583"/>
      <c r="AZ147" s="585"/>
      <c r="BA147" s="583"/>
      <c r="BB147" s="584"/>
      <c r="BC147" s="583"/>
      <c r="BD147" s="585"/>
      <c r="BE147" s="583"/>
      <c r="BF147" s="584"/>
      <c r="BG147" s="583"/>
      <c r="BH147" s="585"/>
      <c r="BI147" s="583"/>
      <c r="BJ147" s="584"/>
      <c r="BK147" s="583"/>
      <c r="BL147" s="585"/>
      <c r="BM147" s="583"/>
      <c r="BN147" s="584"/>
      <c r="BO147" s="583"/>
      <c r="BP147" s="585"/>
      <c r="BQ147" s="583"/>
      <c r="BR147" s="584"/>
      <c r="BS147" s="583"/>
      <c r="BT147" s="586"/>
      <c r="BU147" s="540"/>
      <c r="BV147" s="540"/>
      <c r="BW147" s="540"/>
      <c r="BX147" s="538"/>
      <c r="BY147" s="538"/>
      <c r="BZ147" s="592"/>
      <c r="CA147" s="633"/>
      <c r="CB147" s="592" t="s">
        <v>365</v>
      </c>
      <c r="CC147" s="592">
        <v>0.0</v>
      </c>
      <c r="CD147" s="592" t="s">
        <v>365</v>
      </c>
      <c r="CE147" s="592">
        <v>0.0</v>
      </c>
      <c r="CF147" s="592"/>
      <c r="CG147" s="592">
        <v>0.0</v>
      </c>
      <c r="CH147" s="592"/>
      <c r="CI147" s="633"/>
      <c r="CJ147" s="592">
        <v>0.0</v>
      </c>
      <c r="CK147" s="479" t="s">
        <v>365</v>
      </c>
      <c r="CL147" s="592"/>
      <c r="CM147" s="593"/>
      <c r="CN147" s="538"/>
      <c r="CO147" s="538"/>
      <c r="CP147" s="538"/>
      <c r="CQ147" s="538"/>
      <c r="CR147" s="538"/>
      <c r="CS147" s="538"/>
      <c r="CT147" s="538"/>
      <c r="CU147" s="538"/>
      <c r="CV147" s="538"/>
      <c r="CW147" s="538"/>
      <c r="CX147" s="538"/>
      <c r="CY147" s="538"/>
      <c r="CZ147" s="538"/>
      <c r="DA147" s="538"/>
      <c r="DB147" s="538"/>
      <c r="DC147" s="538"/>
      <c r="DD147" s="538"/>
      <c r="DE147" s="538"/>
      <c r="DF147" s="538"/>
      <c r="DG147" s="538"/>
      <c r="DH147" s="538"/>
      <c r="DI147" s="538"/>
      <c r="DJ147" s="538"/>
      <c r="DK147" s="538"/>
      <c r="DL147" s="538"/>
      <c r="DM147" s="538"/>
      <c r="DN147" s="538"/>
      <c r="DO147" s="538"/>
      <c r="DP147" s="538"/>
      <c r="DQ147" s="538"/>
      <c r="DR147" s="538"/>
      <c r="DS147" s="538"/>
      <c r="DT147" s="538"/>
      <c r="DU147" s="538"/>
      <c r="DV147" s="538"/>
      <c r="DW147" s="538"/>
      <c r="DX147" s="538"/>
      <c r="DY147" s="538"/>
      <c r="DZ147" s="538"/>
      <c r="EA147" s="538"/>
      <c r="EB147" s="538"/>
      <c r="EC147" s="538"/>
      <c r="ED147" s="538"/>
      <c r="EE147" s="538"/>
      <c r="EF147" s="538"/>
      <c r="EG147" s="538"/>
      <c r="EH147" s="538"/>
      <c r="EI147" s="538"/>
      <c r="EJ147" s="538"/>
      <c r="EK147" s="538"/>
      <c r="EL147" s="538"/>
      <c r="EM147" s="538"/>
      <c r="EN147" s="538"/>
      <c r="EO147" s="538"/>
      <c r="EP147" s="538"/>
      <c r="EQ147" s="538"/>
      <c r="ER147" s="538"/>
      <c r="ES147" s="538"/>
      <c r="ET147" s="538"/>
      <c r="EU147" s="538"/>
      <c r="EV147" s="538"/>
      <c r="EW147" s="538"/>
      <c r="EX147" s="559"/>
      <c r="EY147" s="559"/>
      <c r="EZ147" s="559"/>
      <c r="FA147" s="559"/>
      <c r="FB147" s="559"/>
      <c r="FC147" s="559"/>
      <c r="FD147" s="559"/>
      <c r="FE147" s="559"/>
      <c r="FF147" s="559"/>
      <c r="FG147" s="559"/>
      <c r="FH147" s="559"/>
      <c r="FI147" s="559"/>
      <c r="FJ147" s="559"/>
      <c r="FK147" s="559"/>
      <c r="FL147" s="559"/>
      <c r="FM147" s="559"/>
      <c r="FN147" s="559"/>
      <c r="FO147" s="559"/>
      <c r="FP147" s="559"/>
      <c r="FQ147" s="559"/>
      <c r="FR147" s="559"/>
      <c r="FS147" s="559"/>
      <c r="FT147" s="559"/>
      <c r="FU147" s="559"/>
      <c r="FV147" s="559"/>
      <c r="FW147" s="559"/>
      <c r="FX147" s="559"/>
      <c r="FY147" s="559"/>
      <c r="FZ147" s="559"/>
      <c r="GA147" s="559"/>
      <c r="GB147" s="559"/>
      <c r="GC147" s="559"/>
      <c r="GD147" s="559"/>
      <c r="GE147" s="559"/>
      <c r="GF147" s="559"/>
      <c r="GG147" s="559"/>
      <c r="GH147" s="559"/>
    </row>
    <row r="148">
      <c r="A148" s="538"/>
      <c r="B148" s="156"/>
      <c r="C148" s="444"/>
      <c r="D148" s="614"/>
      <c r="E148" s="68"/>
      <c r="F148" s="644"/>
      <c r="G148" s="644"/>
      <c r="H148" s="627"/>
      <c r="I148" s="622" t="s">
        <v>365</v>
      </c>
      <c r="J148" s="607"/>
      <c r="K148" s="641"/>
      <c r="L148" s="628"/>
      <c r="M148" s="626"/>
      <c r="N148" s="619"/>
      <c r="O148" s="560"/>
      <c r="P148" s="47"/>
      <c r="Q148" s="47"/>
      <c r="S148" s="572"/>
      <c r="U148" s="573"/>
      <c r="V148" s="574"/>
      <c r="W148" s="618"/>
      <c r="X148" s="576">
        <v>0.0</v>
      </c>
      <c r="Y148" s="630">
        <v>0.0</v>
      </c>
      <c r="Z148" s="630" t="s">
        <v>365</v>
      </c>
      <c r="AA148" s="631" t="b">
        <v>0</v>
      </c>
      <c r="AB148" s="631"/>
      <c r="AC148" s="576"/>
      <c r="AD148" s="479">
        <v>0.0</v>
      </c>
      <c r="AE148" s="632"/>
      <c r="AF148" s="582" t="s">
        <v>365</v>
      </c>
      <c r="AG148" s="583"/>
      <c r="AH148" s="584"/>
      <c r="AI148" s="583"/>
      <c r="AJ148" s="585"/>
      <c r="AK148" s="583"/>
      <c r="AL148" s="584"/>
      <c r="AM148" s="583"/>
      <c r="AN148" s="585"/>
      <c r="AO148" s="583"/>
      <c r="AP148" s="584"/>
      <c r="AQ148" s="583"/>
      <c r="AR148" s="585"/>
      <c r="AS148" s="583"/>
      <c r="AT148" s="584"/>
      <c r="AU148" s="583"/>
      <c r="AV148" s="585"/>
      <c r="AW148" s="583"/>
      <c r="AX148" s="584"/>
      <c r="AY148" s="583"/>
      <c r="AZ148" s="585"/>
      <c r="BA148" s="583"/>
      <c r="BB148" s="584"/>
      <c r="BC148" s="583"/>
      <c r="BD148" s="585"/>
      <c r="BE148" s="583"/>
      <c r="BF148" s="584"/>
      <c r="BG148" s="583"/>
      <c r="BH148" s="585"/>
      <c r="BI148" s="583"/>
      <c r="BJ148" s="584"/>
      <c r="BK148" s="583"/>
      <c r="BL148" s="585"/>
      <c r="BM148" s="583"/>
      <c r="BN148" s="584"/>
      <c r="BO148" s="583"/>
      <c r="BP148" s="585"/>
      <c r="BQ148" s="583"/>
      <c r="BR148" s="584"/>
      <c r="BS148" s="583"/>
      <c r="BT148" s="586"/>
      <c r="BU148" s="540"/>
      <c r="BV148" s="540"/>
      <c r="BW148" s="540"/>
      <c r="BX148" s="538"/>
      <c r="BY148" s="538"/>
      <c r="BZ148" s="592"/>
      <c r="CA148" s="633"/>
      <c r="CB148" s="592" t="s">
        <v>365</v>
      </c>
      <c r="CC148" s="592">
        <v>0.0</v>
      </c>
      <c r="CD148" s="592" t="s">
        <v>365</v>
      </c>
      <c r="CE148" s="592">
        <v>0.0</v>
      </c>
      <c r="CF148" s="592"/>
      <c r="CG148" s="592">
        <v>0.0</v>
      </c>
      <c r="CH148" s="592"/>
      <c r="CI148" s="633"/>
      <c r="CJ148" s="592">
        <v>0.0</v>
      </c>
      <c r="CK148" s="479" t="s">
        <v>365</v>
      </c>
      <c r="CL148" s="592"/>
      <c r="CM148" s="593"/>
      <c r="CN148" s="538"/>
      <c r="CO148" s="538"/>
      <c r="CP148" s="538"/>
      <c r="CQ148" s="538"/>
      <c r="CR148" s="538"/>
      <c r="CS148" s="538"/>
      <c r="CT148" s="538"/>
      <c r="CU148" s="538"/>
      <c r="CV148" s="538"/>
      <c r="CW148" s="538"/>
      <c r="CX148" s="538"/>
      <c r="CY148" s="538"/>
      <c r="CZ148" s="538"/>
      <c r="DA148" s="538"/>
      <c r="DB148" s="538"/>
      <c r="DC148" s="538"/>
      <c r="DD148" s="538"/>
      <c r="DE148" s="538"/>
      <c r="DF148" s="538"/>
      <c r="DG148" s="538"/>
      <c r="DH148" s="538"/>
      <c r="DI148" s="538"/>
      <c r="DJ148" s="538"/>
      <c r="DK148" s="538"/>
      <c r="DL148" s="538"/>
      <c r="DM148" s="538"/>
      <c r="DN148" s="538"/>
      <c r="DO148" s="538"/>
      <c r="DP148" s="538"/>
      <c r="DQ148" s="538"/>
      <c r="DR148" s="538"/>
      <c r="DS148" s="538"/>
      <c r="DT148" s="538"/>
      <c r="DU148" s="538"/>
      <c r="DV148" s="538"/>
      <c r="DW148" s="538"/>
      <c r="DX148" s="538"/>
      <c r="DY148" s="538"/>
      <c r="DZ148" s="538"/>
      <c r="EA148" s="538"/>
      <c r="EB148" s="538"/>
      <c r="EC148" s="538"/>
      <c r="ED148" s="538"/>
      <c r="EE148" s="538"/>
      <c r="EF148" s="538"/>
      <c r="EG148" s="538"/>
      <c r="EH148" s="538"/>
      <c r="EI148" s="538"/>
      <c r="EJ148" s="538"/>
      <c r="EK148" s="538"/>
      <c r="EL148" s="538"/>
      <c r="EM148" s="538"/>
      <c r="EN148" s="538"/>
      <c r="EO148" s="538"/>
      <c r="EP148" s="538"/>
      <c r="EQ148" s="538"/>
      <c r="ER148" s="538"/>
      <c r="ES148" s="538"/>
      <c r="ET148" s="538"/>
      <c r="EU148" s="538"/>
      <c r="EV148" s="538"/>
      <c r="EW148" s="538"/>
      <c r="EX148" s="559"/>
      <c r="EY148" s="559"/>
      <c r="EZ148" s="559"/>
      <c r="FA148" s="559"/>
      <c r="FB148" s="559"/>
      <c r="FC148" s="559"/>
      <c r="FD148" s="559"/>
      <c r="FE148" s="559"/>
      <c r="FF148" s="559"/>
      <c r="FG148" s="559"/>
      <c r="FH148" s="559"/>
      <c r="FI148" s="559"/>
      <c r="FJ148" s="559"/>
      <c r="FK148" s="559"/>
      <c r="FL148" s="559"/>
      <c r="FM148" s="559"/>
      <c r="FN148" s="559"/>
      <c r="FO148" s="559"/>
      <c r="FP148" s="559"/>
      <c r="FQ148" s="559"/>
      <c r="FR148" s="559"/>
      <c r="FS148" s="559"/>
      <c r="FT148" s="559"/>
      <c r="FU148" s="559"/>
      <c r="FV148" s="559"/>
      <c r="FW148" s="559"/>
      <c r="FX148" s="559"/>
      <c r="FY148" s="559"/>
      <c r="FZ148" s="559"/>
      <c r="GA148" s="559"/>
      <c r="GB148" s="559"/>
      <c r="GC148" s="559"/>
      <c r="GD148" s="559"/>
      <c r="GE148" s="559"/>
      <c r="GF148" s="559"/>
      <c r="GG148" s="559"/>
      <c r="GH148" s="559"/>
    </row>
    <row r="149">
      <c r="A149" s="538"/>
      <c r="B149" s="156"/>
      <c r="C149" s="444"/>
      <c r="D149" s="614"/>
      <c r="E149" s="66"/>
      <c r="F149" s="642"/>
      <c r="G149" s="642"/>
      <c r="H149" s="615"/>
      <c r="I149" s="616" t="s">
        <v>365</v>
      </c>
      <c r="J149" s="624"/>
      <c r="K149" s="643"/>
      <c r="L149" s="640"/>
      <c r="M149" s="625"/>
      <c r="N149" s="617"/>
      <c r="O149" s="134"/>
      <c r="P149" s="57"/>
      <c r="Q149" s="57"/>
      <c r="S149" s="605"/>
      <c r="U149" s="573"/>
      <c r="V149" s="574"/>
      <c r="W149" s="618"/>
      <c r="X149" s="576">
        <v>0.0</v>
      </c>
      <c r="Y149" s="630">
        <v>0.0</v>
      </c>
      <c r="Z149" s="630" t="s">
        <v>365</v>
      </c>
      <c r="AA149" s="631" t="b">
        <v>0</v>
      </c>
      <c r="AB149" s="631"/>
      <c r="AC149" s="576"/>
      <c r="AD149" s="479">
        <v>0.0</v>
      </c>
      <c r="AE149" s="632"/>
      <c r="AF149" s="582" t="s">
        <v>365</v>
      </c>
      <c r="AG149" s="583"/>
      <c r="AH149" s="584"/>
      <c r="AI149" s="583"/>
      <c r="AJ149" s="585"/>
      <c r="AK149" s="583"/>
      <c r="AL149" s="584"/>
      <c r="AM149" s="583"/>
      <c r="AN149" s="585"/>
      <c r="AO149" s="583"/>
      <c r="AP149" s="584"/>
      <c r="AQ149" s="583"/>
      <c r="AR149" s="585"/>
      <c r="AS149" s="583"/>
      <c r="AT149" s="584"/>
      <c r="AU149" s="583"/>
      <c r="AV149" s="585"/>
      <c r="AW149" s="583"/>
      <c r="AX149" s="584"/>
      <c r="AY149" s="583"/>
      <c r="AZ149" s="585"/>
      <c r="BA149" s="583"/>
      <c r="BB149" s="584"/>
      <c r="BC149" s="583"/>
      <c r="BD149" s="585"/>
      <c r="BE149" s="583"/>
      <c r="BF149" s="584"/>
      <c r="BG149" s="583"/>
      <c r="BH149" s="585"/>
      <c r="BI149" s="583"/>
      <c r="BJ149" s="584"/>
      <c r="BK149" s="583"/>
      <c r="BL149" s="585"/>
      <c r="BM149" s="583"/>
      <c r="BN149" s="584"/>
      <c r="BO149" s="583"/>
      <c r="BP149" s="585"/>
      <c r="BQ149" s="583"/>
      <c r="BR149" s="584"/>
      <c r="BS149" s="583"/>
      <c r="BT149" s="586"/>
      <c r="BU149" s="540"/>
      <c r="BV149" s="540"/>
      <c r="BW149" s="540"/>
      <c r="BX149" s="538"/>
      <c r="BY149" s="538"/>
      <c r="BZ149" s="592"/>
      <c r="CA149" s="633"/>
      <c r="CB149" s="592" t="s">
        <v>365</v>
      </c>
      <c r="CC149" s="592">
        <v>0.0</v>
      </c>
      <c r="CD149" s="592" t="s">
        <v>365</v>
      </c>
      <c r="CE149" s="592">
        <v>0.0</v>
      </c>
      <c r="CF149" s="592"/>
      <c r="CG149" s="592">
        <v>0.0</v>
      </c>
      <c r="CH149" s="592"/>
      <c r="CI149" s="633"/>
      <c r="CJ149" s="592">
        <v>0.0</v>
      </c>
      <c r="CK149" s="479" t="s">
        <v>365</v>
      </c>
      <c r="CL149" s="592"/>
      <c r="CM149" s="593"/>
      <c r="CN149" s="538"/>
      <c r="CO149" s="538"/>
      <c r="CP149" s="538"/>
      <c r="CQ149" s="538"/>
      <c r="CR149" s="538"/>
      <c r="CS149" s="538"/>
      <c r="CT149" s="538"/>
      <c r="CU149" s="538"/>
      <c r="CV149" s="538"/>
      <c r="CW149" s="538"/>
      <c r="CX149" s="538"/>
      <c r="CY149" s="538"/>
      <c r="CZ149" s="538"/>
      <c r="DA149" s="538"/>
      <c r="DB149" s="538"/>
      <c r="DC149" s="538"/>
      <c r="DD149" s="538"/>
      <c r="DE149" s="538"/>
      <c r="DF149" s="538"/>
      <c r="DG149" s="538"/>
      <c r="DH149" s="538"/>
      <c r="DI149" s="538"/>
      <c r="DJ149" s="538"/>
      <c r="DK149" s="538"/>
      <c r="DL149" s="538"/>
      <c r="DM149" s="538"/>
      <c r="DN149" s="538"/>
      <c r="DO149" s="538"/>
      <c r="DP149" s="538"/>
      <c r="DQ149" s="538"/>
      <c r="DR149" s="538"/>
      <c r="DS149" s="538"/>
      <c r="DT149" s="538"/>
      <c r="DU149" s="538"/>
      <c r="DV149" s="538"/>
      <c r="DW149" s="538"/>
      <c r="DX149" s="538"/>
      <c r="DY149" s="538"/>
      <c r="DZ149" s="538"/>
      <c r="EA149" s="538"/>
      <c r="EB149" s="538"/>
      <c r="EC149" s="538"/>
      <c r="ED149" s="538"/>
      <c r="EE149" s="538"/>
      <c r="EF149" s="538"/>
      <c r="EG149" s="538"/>
      <c r="EH149" s="538"/>
      <c r="EI149" s="538"/>
      <c r="EJ149" s="538"/>
      <c r="EK149" s="538"/>
      <c r="EL149" s="538"/>
      <c r="EM149" s="538"/>
      <c r="EN149" s="538"/>
      <c r="EO149" s="538"/>
      <c r="EP149" s="538"/>
      <c r="EQ149" s="538"/>
      <c r="ER149" s="538"/>
      <c r="ES149" s="538"/>
      <c r="ET149" s="538"/>
      <c r="EU149" s="538"/>
      <c r="EV149" s="538"/>
      <c r="EW149" s="538"/>
      <c r="EX149" s="559"/>
      <c r="EY149" s="559"/>
      <c r="EZ149" s="559"/>
      <c r="FA149" s="559"/>
      <c r="FB149" s="559"/>
      <c r="FC149" s="559"/>
      <c r="FD149" s="559"/>
      <c r="FE149" s="559"/>
      <c r="FF149" s="559"/>
      <c r="FG149" s="559"/>
      <c r="FH149" s="559"/>
      <c r="FI149" s="559"/>
      <c r="FJ149" s="559"/>
      <c r="FK149" s="559"/>
      <c r="FL149" s="559"/>
      <c r="FM149" s="559"/>
      <c r="FN149" s="559"/>
      <c r="FO149" s="559"/>
      <c r="FP149" s="559"/>
      <c r="FQ149" s="559"/>
      <c r="FR149" s="559"/>
      <c r="FS149" s="559"/>
      <c r="FT149" s="559"/>
      <c r="FU149" s="559"/>
      <c r="FV149" s="559"/>
      <c r="FW149" s="559"/>
      <c r="FX149" s="559"/>
      <c r="FY149" s="559"/>
      <c r="FZ149" s="559"/>
      <c r="GA149" s="559"/>
      <c r="GB149" s="559"/>
      <c r="GC149" s="559"/>
      <c r="GD149" s="559"/>
      <c r="GE149" s="559"/>
      <c r="GF149" s="559"/>
      <c r="GG149" s="559"/>
      <c r="GH149" s="559"/>
    </row>
    <row r="150">
      <c r="A150" s="538"/>
      <c r="B150" s="156"/>
      <c r="C150" s="444"/>
      <c r="D150" s="614"/>
      <c r="E150" s="68"/>
      <c r="F150" s="644"/>
      <c r="G150" s="644"/>
      <c r="H150" s="627"/>
      <c r="I150" s="622" t="s">
        <v>365</v>
      </c>
      <c r="J150" s="607"/>
      <c r="K150" s="641"/>
      <c r="L150" s="628"/>
      <c r="M150" s="626"/>
      <c r="N150" s="619"/>
      <c r="O150" s="560"/>
      <c r="P150" s="47"/>
      <c r="Q150" s="47"/>
      <c r="S150" s="572"/>
      <c r="U150" s="573"/>
      <c r="V150" s="574"/>
      <c r="W150" s="618"/>
      <c r="X150" s="576">
        <v>0.0</v>
      </c>
      <c r="Y150" s="630">
        <v>0.0</v>
      </c>
      <c r="Z150" s="630" t="s">
        <v>365</v>
      </c>
      <c r="AA150" s="631" t="b">
        <v>0</v>
      </c>
      <c r="AB150" s="631"/>
      <c r="AC150" s="576"/>
      <c r="AD150" s="479">
        <v>0.0</v>
      </c>
      <c r="AE150" s="632"/>
      <c r="AF150" s="582" t="s">
        <v>365</v>
      </c>
      <c r="AG150" s="583"/>
      <c r="AH150" s="584"/>
      <c r="AI150" s="583"/>
      <c r="AJ150" s="585"/>
      <c r="AK150" s="583"/>
      <c r="AL150" s="584"/>
      <c r="AM150" s="583"/>
      <c r="AN150" s="585"/>
      <c r="AO150" s="583"/>
      <c r="AP150" s="584"/>
      <c r="AQ150" s="583"/>
      <c r="AR150" s="585"/>
      <c r="AS150" s="583"/>
      <c r="AT150" s="584"/>
      <c r="AU150" s="583"/>
      <c r="AV150" s="585"/>
      <c r="AW150" s="583"/>
      <c r="AX150" s="584"/>
      <c r="AY150" s="583"/>
      <c r="AZ150" s="585"/>
      <c r="BA150" s="583"/>
      <c r="BB150" s="584"/>
      <c r="BC150" s="583"/>
      <c r="BD150" s="585"/>
      <c r="BE150" s="583"/>
      <c r="BF150" s="584"/>
      <c r="BG150" s="583"/>
      <c r="BH150" s="585"/>
      <c r="BI150" s="583"/>
      <c r="BJ150" s="584"/>
      <c r="BK150" s="583"/>
      <c r="BL150" s="585"/>
      <c r="BM150" s="583"/>
      <c r="BN150" s="584"/>
      <c r="BO150" s="583"/>
      <c r="BP150" s="585"/>
      <c r="BQ150" s="583"/>
      <c r="BR150" s="584"/>
      <c r="BS150" s="583"/>
      <c r="BT150" s="586"/>
      <c r="BU150" s="540"/>
      <c r="BV150" s="540"/>
      <c r="BW150" s="540"/>
      <c r="BX150" s="538"/>
      <c r="BY150" s="538"/>
      <c r="BZ150" s="592"/>
      <c r="CA150" s="633"/>
      <c r="CB150" s="592" t="s">
        <v>365</v>
      </c>
      <c r="CC150" s="592">
        <v>0.0</v>
      </c>
      <c r="CD150" s="592" t="s">
        <v>365</v>
      </c>
      <c r="CE150" s="592">
        <v>0.0</v>
      </c>
      <c r="CF150" s="592"/>
      <c r="CG150" s="592">
        <v>0.0</v>
      </c>
      <c r="CH150" s="592"/>
      <c r="CI150" s="633"/>
      <c r="CJ150" s="592">
        <v>0.0</v>
      </c>
      <c r="CK150" s="479" t="s">
        <v>365</v>
      </c>
      <c r="CL150" s="592"/>
      <c r="CM150" s="593"/>
      <c r="CN150" s="538"/>
      <c r="CO150" s="538"/>
      <c r="CP150" s="538"/>
      <c r="CQ150" s="538"/>
      <c r="CR150" s="538"/>
      <c r="CS150" s="538"/>
      <c r="CT150" s="538"/>
      <c r="CU150" s="538"/>
      <c r="CV150" s="538"/>
      <c r="CW150" s="538"/>
      <c r="CX150" s="538"/>
      <c r="CY150" s="538"/>
      <c r="CZ150" s="538"/>
      <c r="DA150" s="538"/>
      <c r="DB150" s="538"/>
      <c r="DC150" s="538"/>
      <c r="DD150" s="538"/>
      <c r="DE150" s="538"/>
      <c r="DF150" s="538"/>
      <c r="DG150" s="538"/>
      <c r="DH150" s="538"/>
      <c r="DI150" s="538"/>
      <c r="DJ150" s="538"/>
      <c r="DK150" s="538"/>
      <c r="DL150" s="538"/>
      <c r="DM150" s="538"/>
      <c r="DN150" s="538"/>
      <c r="DO150" s="538"/>
      <c r="DP150" s="538"/>
      <c r="DQ150" s="538"/>
      <c r="DR150" s="538"/>
      <c r="DS150" s="538"/>
      <c r="DT150" s="538"/>
      <c r="DU150" s="538"/>
      <c r="DV150" s="538"/>
      <c r="DW150" s="538"/>
      <c r="DX150" s="538"/>
      <c r="DY150" s="538"/>
      <c r="DZ150" s="538"/>
      <c r="EA150" s="538"/>
      <c r="EB150" s="538"/>
      <c r="EC150" s="538"/>
      <c r="ED150" s="538"/>
      <c r="EE150" s="538"/>
      <c r="EF150" s="538"/>
      <c r="EG150" s="538"/>
      <c r="EH150" s="538"/>
      <c r="EI150" s="538"/>
      <c r="EJ150" s="538"/>
      <c r="EK150" s="538"/>
      <c r="EL150" s="538"/>
      <c r="EM150" s="538"/>
      <c r="EN150" s="538"/>
      <c r="EO150" s="538"/>
      <c r="EP150" s="538"/>
      <c r="EQ150" s="538"/>
      <c r="ER150" s="538"/>
      <c r="ES150" s="538"/>
      <c r="ET150" s="538"/>
      <c r="EU150" s="538"/>
      <c r="EV150" s="538"/>
      <c r="EW150" s="538"/>
      <c r="EX150" s="559"/>
      <c r="EY150" s="559"/>
      <c r="EZ150" s="559"/>
      <c r="FA150" s="559"/>
      <c r="FB150" s="559"/>
      <c r="FC150" s="559"/>
      <c r="FD150" s="559"/>
      <c r="FE150" s="559"/>
      <c r="FF150" s="559"/>
      <c r="FG150" s="559"/>
      <c r="FH150" s="559"/>
      <c r="FI150" s="559"/>
      <c r="FJ150" s="559"/>
      <c r="FK150" s="559"/>
      <c r="FL150" s="559"/>
      <c r="FM150" s="559"/>
      <c r="FN150" s="559"/>
      <c r="FO150" s="559"/>
      <c r="FP150" s="559"/>
      <c r="FQ150" s="559"/>
      <c r="FR150" s="559"/>
      <c r="FS150" s="559"/>
      <c r="FT150" s="559"/>
      <c r="FU150" s="559"/>
      <c r="FV150" s="559"/>
      <c r="FW150" s="559"/>
      <c r="FX150" s="559"/>
      <c r="FY150" s="559"/>
      <c r="FZ150" s="559"/>
      <c r="GA150" s="559"/>
      <c r="GB150" s="559"/>
      <c r="GC150" s="559"/>
      <c r="GD150" s="559"/>
      <c r="GE150" s="559"/>
      <c r="GF150" s="559"/>
      <c r="GG150" s="559"/>
      <c r="GH150" s="559"/>
    </row>
    <row r="151">
      <c r="A151" s="538"/>
      <c r="B151" s="156"/>
      <c r="C151" s="444"/>
      <c r="D151" s="614"/>
      <c r="E151" s="66"/>
      <c r="F151" s="642"/>
      <c r="G151" s="642"/>
      <c r="H151" s="615"/>
      <c r="I151" s="616" t="s">
        <v>365</v>
      </c>
      <c r="J151" s="624"/>
      <c r="K151" s="643"/>
      <c r="L151" s="640"/>
      <c r="M151" s="625"/>
      <c r="N151" s="617"/>
      <c r="O151" s="134"/>
      <c r="P151" s="57"/>
      <c r="Q151" s="57"/>
      <c r="S151" s="605"/>
      <c r="U151" s="573"/>
      <c r="V151" s="574"/>
      <c r="W151" s="618"/>
      <c r="X151" s="576">
        <v>0.0</v>
      </c>
      <c r="Y151" s="630">
        <v>0.0</v>
      </c>
      <c r="Z151" s="630" t="s">
        <v>365</v>
      </c>
      <c r="AA151" s="631" t="b">
        <v>0</v>
      </c>
      <c r="AB151" s="631"/>
      <c r="AC151" s="576"/>
      <c r="AD151" s="479">
        <v>0.0</v>
      </c>
      <c r="AE151" s="632"/>
      <c r="AF151" s="582" t="s">
        <v>365</v>
      </c>
      <c r="AG151" s="583"/>
      <c r="AH151" s="584"/>
      <c r="AI151" s="583"/>
      <c r="AJ151" s="585"/>
      <c r="AK151" s="583"/>
      <c r="AL151" s="584"/>
      <c r="AM151" s="583"/>
      <c r="AN151" s="585"/>
      <c r="AO151" s="583"/>
      <c r="AP151" s="584"/>
      <c r="AQ151" s="583"/>
      <c r="AR151" s="585"/>
      <c r="AS151" s="583"/>
      <c r="AT151" s="584"/>
      <c r="AU151" s="583"/>
      <c r="AV151" s="585"/>
      <c r="AW151" s="583"/>
      <c r="AX151" s="584"/>
      <c r="AY151" s="583"/>
      <c r="AZ151" s="585"/>
      <c r="BA151" s="583"/>
      <c r="BB151" s="584"/>
      <c r="BC151" s="583"/>
      <c r="BD151" s="585"/>
      <c r="BE151" s="583"/>
      <c r="BF151" s="584"/>
      <c r="BG151" s="583"/>
      <c r="BH151" s="585"/>
      <c r="BI151" s="583"/>
      <c r="BJ151" s="584"/>
      <c r="BK151" s="583"/>
      <c r="BL151" s="585"/>
      <c r="BM151" s="583"/>
      <c r="BN151" s="584"/>
      <c r="BO151" s="583"/>
      <c r="BP151" s="585"/>
      <c r="BQ151" s="583"/>
      <c r="BR151" s="584"/>
      <c r="BS151" s="583"/>
      <c r="BT151" s="586"/>
      <c r="BU151" s="540"/>
      <c r="BV151" s="540"/>
      <c r="BW151" s="540"/>
      <c r="BX151" s="538"/>
      <c r="BY151" s="538"/>
      <c r="BZ151" s="592"/>
      <c r="CA151" s="633"/>
      <c r="CB151" s="592" t="s">
        <v>365</v>
      </c>
      <c r="CC151" s="592">
        <v>0.0</v>
      </c>
      <c r="CD151" s="592" t="s">
        <v>365</v>
      </c>
      <c r="CE151" s="592">
        <v>0.0</v>
      </c>
      <c r="CF151" s="592"/>
      <c r="CG151" s="592">
        <v>0.0</v>
      </c>
      <c r="CH151" s="592"/>
      <c r="CI151" s="633"/>
      <c r="CJ151" s="592">
        <v>0.0</v>
      </c>
      <c r="CK151" s="479" t="s">
        <v>365</v>
      </c>
      <c r="CL151" s="592"/>
      <c r="CM151" s="593"/>
      <c r="CN151" s="538"/>
      <c r="CO151" s="538"/>
      <c r="CP151" s="538"/>
      <c r="CQ151" s="538"/>
      <c r="CR151" s="538"/>
      <c r="CS151" s="538"/>
      <c r="CT151" s="538"/>
      <c r="CU151" s="538"/>
      <c r="CV151" s="538"/>
      <c r="CW151" s="538"/>
      <c r="CX151" s="538"/>
      <c r="CY151" s="538"/>
      <c r="CZ151" s="538"/>
      <c r="DA151" s="538"/>
      <c r="DB151" s="538"/>
      <c r="DC151" s="538"/>
      <c r="DD151" s="538"/>
      <c r="DE151" s="538"/>
      <c r="DF151" s="538"/>
      <c r="DG151" s="538"/>
      <c r="DH151" s="538"/>
      <c r="DI151" s="538"/>
      <c r="DJ151" s="538"/>
      <c r="DK151" s="538"/>
      <c r="DL151" s="538"/>
      <c r="DM151" s="538"/>
      <c r="DN151" s="538"/>
      <c r="DO151" s="538"/>
      <c r="DP151" s="538"/>
      <c r="DQ151" s="538"/>
      <c r="DR151" s="538"/>
      <c r="DS151" s="538"/>
      <c r="DT151" s="538"/>
      <c r="DU151" s="538"/>
      <c r="DV151" s="538"/>
      <c r="DW151" s="538"/>
      <c r="DX151" s="538"/>
      <c r="DY151" s="538"/>
      <c r="DZ151" s="538"/>
      <c r="EA151" s="538"/>
      <c r="EB151" s="538"/>
      <c r="EC151" s="538"/>
      <c r="ED151" s="538"/>
      <c r="EE151" s="538"/>
      <c r="EF151" s="538"/>
      <c r="EG151" s="538"/>
      <c r="EH151" s="538"/>
      <c r="EI151" s="538"/>
      <c r="EJ151" s="538"/>
      <c r="EK151" s="538"/>
      <c r="EL151" s="538"/>
      <c r="EM151" s="538"/>
      <c r="EN151" s="538"/>
      <c r="EO151" s="538"/>
      <c r="EP151" s="538"/>
      <c r="EQ151" s="538"/>
      <c r="ER151" s="538"/>
      <c r="ES151" s="538"/>
      <c r="ET151" s="538"/>
      <c r="EU151" s="538"/>
      <c r="EV151" s="538"/>
      <c r="EW151" s="538"/>
      <c r="EX151" s="559"/>
      <c r="EY151" s="559"/>
      <c r="EZ151" s="559"/>
      <c r="FA151" s="559"/>
      <c r="FB151" s="559"/>
      <c r="FC151" s="559"/>
      <c r="FD151" s="559"/>
      <c r="FE151" s="559"/>
      <c r="FF151" s="559"/>
      <c r="FG151" s="559"/>
      <c r="FH151" s="559"/>
      <c r="FI151" s="559"/>
      <c r="FJ151" s="559"/>
      <c r="FK151" s="559"/>
      <c r="FL151" s="559"/>
      <c r="FM151" s="559"/>
      <c r="FN151" s="559"/>
      <c r="FO151" s="559"/>
      <c r="FP151" s="559"/>
      <c r="FQ151" s="559"/>
      <c r="FR151" s="559"/>
      <c r="FS151" s="559"/>
      <c r="FT151" s="559"/>
      <c r="FU151" s="559"/>
      <c r="FV151" s="559"/>
      <c r="FW151" s="559"/>
      <c r="FX151" s="559"/>
      <c r="FY151" s="559"/>
      <c r="FZ151" s="559"/>
      <c r="GA151" s="559"/>
      <c r="GB151" s="559"/>
      <c r="GC151" s="559"/>
      <c r="GD151" s="559"/>
      <c r="GE151" s="559"/>
      <c r="GF151" s="559"/>
      <c r="GG151" s="559"/>
      <c r="GH151" s="559"/>
    </row>
    <row r="152">
      <c r="A152" s="538"/>
      <c r="B152" s="156"/>
      <c r="C152" s="444"/>
      <c r="D152" s="614"/>
      <c r="E152" s="68"/>
      <c r="F152" s="644"/>
      <c r="G152" s="644"/>
      <c r="H152" s="627"/>
      <c r="I152" s="622" t="s">
        <v>365</v>
      </c>
      <c r="J152" s="607"/>
      <c r="K152" s="641"/>
      <c r="L152" s="628"/>
      <c r="M152" s="626"/>
      <c r="N152" s="619"/>
      <c r="O152" s="560"/>
      <c r="P152" s="47"/>
      <c r="Q152" s="47"/>
      <c r="S152" s="572"/>
      <c r="U152" s="573"/>
      <c r="V152" s="574"/>
      <c r="W152" s="618"/>
      <c r="X152" s="576">
        <v>0.0</v>
      </c>
      <c r="Y152" s="630">
        <v>0.0</v>
      </c>
      <c r="Z152" s="630" t="s">
        <v>365</v>
      </c>
      <c r="AA152" s="631" t="b">
        <v>0</v>
      </c>
      <c r="AB152" s="631"/>
      <c r="AC152" s="576"/>
      <c r="AD152" s="479">
        <v>0.0</v>
      </c>
      <c r="AE152" s="632"/>
      <c r="AF152" s="582" t="s">
        <v>365</v>
      </c>
      <c r="AG152" s="583"/>
      <c r="AH152" s="584"/>
      <c r="AI152" s="583"/>
      <c r="AJ152" s="585"/>
      <c r="AK152" s="583"/>
      <c r="AL152" s="584"/>
      <c r="AM152" s="583"/>
      <c r="AN152" s="585"/>
      <c r="AO152" s="583"/>
      <c r="AP152" s="584"/>
      <c r="AQ152" s="583"/>
      <c r="AR152" s="585"/>
      <c r="AS152" s="583"/>
      <c r="AT152" s="584"/>
      <c r="AU152" s="583"/>
      <c r="AV152" s="585"/>
      <c r="AW152" s="583"/>
      <c r="AX152" s="584"/>
      <c r="AY152" s="583"/>
      <c r="AZ152" s="585"/>
      <c r="BA152" s="583"/>
      <c r="BB152" s="584"/>
      <c r="BC152" s="583"/>
      <c r="BD152" s="585"/>
      <c r="BE152" s="583"/>
      <c r="BF152" s="584"/>
      <c r="BG152" s="583"/>
      <c r="BH152" s="585"/>
      <c r="BI152" s="583"/>
      <c r="BJ152" s="584"/>
      <c r="BK152" s="583"/>
      <c r="BL152" s="585"/>
      <c r="BM152" s="583"/>
      <c r="BN152" s="584"/>
      <c r="BO152" s="583"/>
      <c r="BP152" s="585"/>
      <c r="BQ152" s="583"/>
      <c r="BR152" s="584"/>
      <c r="BS152" s="583"/>
      <c r="BT152" s="586"/>
      <c r="BU152" s="540"/>
      <c r="BV152" s="540"/>
      <c r="BW152" s="540"/>
      <c r="BX152" s="538"/>
      <c r="BY152" s="538"/>
      <c r="BZ152" s="592"/>
      <c r="CA152" s="633"/>
      <c r="CB152" s="592" t="s">
        <v>365</v>
      </c>
      <c r="CC152" s="592">
        <v>0.0</v>
      </c>
      <c r="CD152" s="592" t="s">
        <v>365</v>
      </c>
      <c r="CE152" s="592">
        <v>0.0</v>
      </c>
      <c r="CF152" s="592"/>
      <c r="CG152" s="592">
        <v>0.0</v>
      </c>
      <c r="CH152" s="592"/>
      <c r="CI152" s="633"/>
      <c r="CJ152" s="592">
        <v>0.0</v>
      </c>
      <c r="CK152" s="479" t="s">
        <v>365</v>
      </c>
      <c r="CL152" s="592"/>
      <c r="CM152" s="593"/>
      <c r="CN152" s="538"/>
      <c r="CO152" s="538"/>
      <c r="CP152" s="538"/>
      <c r="CQ152" s="538"/>
      <c r="CR152" s="538"/>
      <c r="CS152" s="538"/>
      <c r="CT152" s="538"/>
      <c r="CU152" s="538"/>
      <c r="CV152" s="538"/>
      <c r="CW152" s="538"/>
      <c r="CX152" s="538"/>
      <c r="CY152" s="538"/>
      <c r="CZ152" s="538"/>
      <c r="DA152" s="538"/>
      <c r="DB152" s="538"/>
      <c r="DC152" s="538"/>
      <c r="DD152" s="538"/>
      <c r="DE152" s="538"/>
      <c r="DF152" s="538"/>
      <c r="DG152" s="538"/>
      <c r="DH152" s="538"/>
      <c r="DI152" s="538"/>
      <c r="DJ152" s="538"/>
      <c r="DK152" s="538"/>
      <c r="DL152" s="538"/>
      <c r="DM152" s="538"/>
      <c r="DN152" s="538"/>
      <c r="DO152" s="538"/>
      <c r="DP152" s="538"/>
      <c r="DQ152" s="538"/>
      <c r="DR152" s="538"/>
      <c r="DS152" s="538"/>
      <c r="DT152" s="538"/>
      <c r="DU152" s="538"/>
      <c r="DV152" s="538"/>
      <c r="DW152" s="538"/>
      <c r="DX152" s="538"/>
      <c r="DY152" s="538"/>
      <c r="DZ152" s="538"/>
      <c r="EA152" s="538"/>
      <c r="EB152" s="538"/>
      <c r="EC152" s="538"/>
      <c r="ED152" s="538"/>
      <c r="EE152" s="538"/>
      <c r="EF152" s="538"/>
      <c r="EG152" s="538"/>
      <c r="EH152" s="538"/>
      <c r="EI152" s="538"/>
      <c r="EJ152" s="538"/>
      <c r="EK152" s="538"/>
      <c r="EL152" s="538"/>
      <c r="EM152" s="538"/>
      <c r="EN152" s="538"/>
      <c r="EO152" s="538"/>
      <c r="EP152" s="538"/>
      <c r="EQ152" s="538"/>
      <c r="ER152" s="538"/>
      <c r="ES152" s="538"/>
      <c r="ET152" s="538"/>
      <c r="EU152" s="538"/>
      <c r="EV152" s="538"/>
      <c r="EW152" s="538"/>
      <c r="EX152" s="559"/>
      <c r="EY152" s="559"/>
      <c r="EZ152" s="559"/>
      <c r="FA152" s="559"/>
      <c r="FB152" s="559"/>
      <c r="FC152" s="559"/>
      <c r="FD152" s="559"/>
      <c r="FE152" s="559"/>
      <c r="FF152" s="559"/>
      <c r="FG152" s="559"/>
      <c r="FH152" s="559"/>
      <c r="FI152" s="559"/>
      <c r="FJ152" s="559"/>
      <c r="FK152" s="559"/>
      <c r="FL152" s="559"/>
      <c r="FM152" s="559"/>
      <c r="FN152" s="559"/>
      <c r="FO152" s="559"/>
      <c r="FP152" s="559"/>
      <c r="FQ152" s="559"/>
      <c r="FR152" s="559"/>
      <c r="FS152" s="559"/>
      <c r="FT152" s="559"/>
      <c r="FU152" s="559"/>
      <c r="FV152" s="559"/>
      <c r="FW152" s="559"/>
      <c r="FX152" s="559"/>
      <c r="FY152" s="559"/>
      <c r="FZ152" s="559"/>
      <c r="GA152" s="559"/>
      <c r="GB152" s="559"/>
      <c r="GC152" s="559"/>
      <c r="GD152" s="559"/>
      <c r="GE152" s="559"/>
      <c r="GF152" s="559"/>
      <c r="GG152" s="559"/>
      <c r="GH152" s="559"/>
    </row>
    <row r="153">
      <c r="A153" s="538"/>
      <c r="B153" s="156"/>
      <c r="C153" s="444"/>
      <c r="D153" s="614"/>
      <c r="E153" s="66"/>
      <c r="F153" s="642"/>
      <c r="G153" s="642"/>
      <c r="H153" s="615"/>
      <c r="I153" s="616" t="s">
        <v>365</v>
      </c>
      <c r="J153" s="624"/>
      <c r="K153" s="643"/>
      <c r="L153" s="640"/>
      <c r="M153" s="625"/>
      <c r="N153" s="617"/>
      <c r="O153" s="134"/>
      <c r="P153" s="57"/>
      <c r="Q153" s="57"/>
      <c r="S153" s="605"/>
      <c r="U153" s="573"/>
      <c r="V153" s="574"/>
      <c r="W153" s="618"/>
      <c r="X153" s="576">
        <v>0.0</v>
      </c>
      <c r="Y153" s="630">
        <v>0.0</v>
      </c>
      <c r="Z153" s="630" t="s">
        <v>365</v>
      </c>
      <c r="AA153" s="631" t="b">
        <v>0</v>
      </c>
      <c r="AB153" s="631"/>
      <c r="AC153" s="576"/>
      <c r="AD153" s="479">
        <v>0.0</v>
      </c>
      <c r="AE153" s="632"/>
      <c r="AF153" s="582" t="s">
        <v>365</v>
      </c>
      <c r="AG153" s="583"/>
      <c r="AH153" s="584"/>
      <c r="AI153" s="583"/>
      <c r="AJ153" s="585"/>
      <c r="AK153" s="583"/>
      <c r="AL153" s="584"/>
      <c r="AM153" s="583"/>
      <c r="AN153" s="585"/>
      <c r="AO153" s="583"/>
      <c r="AP153" s="584"/>
      <c r="AQ153" s="583"/>
      <c r="AR153" s="585"/>
      <c r="AS153" s="583"/>
      <c r="AT153" s="584"/>
      <c r="AU153" s="583"/>
      <c r="AV153" s="585"/>
      <c r="AW153" s="583"/>
      <c r="AX153" s="584"/>
      <c r="AY153" s="583"/>
      <c r="AZ153" s="585"/>
      <c r="BA153" s="583"/>
      <c r="BB153" s="584"/>
      <c r="BC153" s="583"/>
      <c r="BD153" s="585"/>
      <c r="BE153" s="583"/>
      <c r="BF153" s="584"/>
      <c r="BG153" s="583"/>
      <c r="BH153" s="585"/>
      <c r="BI153" s="583"/>
      <c r="BJ153" s="584"/>
      <c r="BK153" s="583"/>
      <c r="BL153" s="585"/>
      <c r="BM153" s="583"/>
      <c r="BN153" s="584"/>
      <c r="BO153" s="583"/>
      <c r="BP153" s="585"/>
      <c r="BQ153" s="583"/>
      <c r="BR153" s="584"/>
      <c r="BS153" s="583"/>
      <c r="BT153" s="586"/>
      <c r="BU153" s="540"/>
      <c r="BV153" s="540"/>
      <c r="BW153" s="540"/>
      <c r="BX153" s="538"/>
      <c r="BY153" s="538"/>
      <c r="BZ153" s="592"/>
      <c r="CA153" s="633"/>
      <c r="CB153" s="592" t="s">
        <v>365</v>
      </c>
      <c r="CC153" s="592">
        <v>0.0</v>
      </c>
      <c r="CD153" s="592" t="s">
        <v>365</v>
      </c>
      <c r="CE153" s="592">
        <v>0.0</v>
      </c>
      <c r="CF153" s="592"/>
      <c r="CG153" s="592">
        <v>0.0</v>
      </c>
      <c r="CH153" s="592"/>
      <c r="CI153" s="633"/>
      <c r="CJ153" s="592">
        <v>0.0</v>
      </c>
      <c r="CK153" s="479" t="s">
        <v>365</v>
      </c>
      <c r="CL153" s="592"/>
      <c r="CM153" s="593"/>
      <c r="CN153" s="538"/>
      <c r="CO153" s="538"/>
      <c r="CP153" s="538"/>
      <c r="CQ153" s="538"/>
      <c r="CR153" s="538"/>
      <c r="CS153" s="538"/>
      <c r="CT153" s="538"/>
      <c r="CU153" s="538"/>
      <c r="CV153" s="538"/>
      <c r="CW153" s="538"/>
      <c r="CX153" s="538"/>
      <c r="CY153" s="538"/>
      <c r="CZ153" s="538"/>
      <c r="DA153" s="538"/>
      <c r="DB153" s="538"/>
      <c r="DC153" s="538"/>
      <c r="DD153" s="538"/>
      <c r="DE153" s="538"/>
      <c r="DF153" s="538"/>
      <c r="DG153" s="538"/>
      <c r="DH153" s="538"/>
      <c r="DI153" s="538"/>
      <c r="DJ153" s="538"/>
      <c r="DK153" s="538"/>
      <c r="DL153" s="538"/>
      <c r="DM153" s="538"/>
      <c r="DN153" s="538"/>
      <c r="DO153" s="538"/>
      <c r="DP153" s="538"/>
      <c r="DQ153" s="538"/>
      <c r="DR153" s="538"/>
      <c r="DS153" s="538"/>
      <c r="DT153" s="538"/>
      <c r="DU153" s="538"/>
      <c r="DV153" s="538"/>
      <c r="DW153" s="538"/>
      <c r="DX153" s="538"/>
      <c r="DY153" s="538"/>
      <c r="DZ153" s="538"/>
      <c r="EA153" s="538"/>
      <c r="EB153" s="538"/>
      <c r="EC153" s="538"/>
      <c r="ED153" s="538"/>
      <c r="EE153" s="538"/>
      <c r="EF153" s="538"/>
      <c r="EG153" s="538"/>
      <c r="EH153" s="538"/>
      <c r="EI153" s="538"/>
      <c r="EJ153" s="538"/>
      <c r="EK153" s="538"/>
      <c r="EL153" s="538"/>
      <c r="EM153" s="538"/>
      <c r="EN153" s="538"/>
      <c r="EO153" s="538"/>
      <c r="EP153" s="538"/>
      <c r="EQ153" s="538"/>
      <c r="ER153" s="538"/>
      <c r="ES153" s="538"/>
      <c r="ET153" s="538"/>
      <c r="EU153" s="538"/>
      <c r="EV153" s="538"/>
      <c r="EW153" s="538"/>
      <c r="EX153" s="559"/>
      <c r="EY153" s="559"/>
      <c r="EZ153" s="559"/>
      <c r="FA153" s="559"/>
      <c r="FB153" s="559"/>
      <c r="FC153" s="559"/>
      <c r="FD153" s="559"/>
      <c r="FE153" s="559"/>
      <c r="FF153" s="559"/>
      <c r="FG153" s="559"/>
      <c r="FH153" s="559"/>
      <c r="FI153" s="559"/>
      <c r="FJ153" s="559"/>
      <c r="FK153" s="559"/>
      <c r="FL153" s="559"/>
      <c r="FM153" s="559"/>
      <c r="FN153" s="559"/>
      <c r="FO153" s="559"/>
      <c r="FP153" s="559"/>
      <c r="FQ153" s="559"/>
      <c r="FR153" s="559"/>
      <c r="FS153" s="559"/>
      <c r="FT153" s="559"/>
      <c r="FU153" s="559"/>
      <c r="FV153" s="559"/>
      <c r="FW153" s="559"/>
      <c r="FX153" s="559"/>
      <c r="FY153" s="559"/>
      <c r="FZ153" s="559"/>
      <c r="GA153" s="559"/>
      <c r="GB153" s="559"/>
      <c r="GC153" s="559"/>
      <c r="GD153" s="559"/>
      <c r="GE153" s="559"/>
      <c r="GF153" s="559"/>
      <c r="GG153" s="559"/>
      <c r="GH153" s="559"/>
    </row>
    <row r="154">
      <c r="A154" s="538"/>
      <c r="B154" s="156"/>
      <c r="C154" s="444"/>
      <c r="D154" s="614"/>
      <c r="E154" s="68"/>
      <c r="F154" s="644"/>
      <c r="G154" s="644"/>
      <c r="H154" s="627"/>
      <c r="I154" s="622" t="s">
        <v>365</v>
      </c>
      <c r="J154" s="607"/>
      <c r="K154" s="641"/>
      <c r="L154" s="628"/>
      <c r="M154" s="626"/>
      <c r="N154" s="619"/>
      <c r="O154" s="560"/>
      <c r="P154" s="47"/>
      <c r="Q154" s="47"/>
      <c r="S154" s="572"/>
      <c r="U154" s="573"/>
      <c r="V154" s="574"/>
      <c r="W154" s="618"/>
      <c r="X154" s="576">
        <v>0.0</v>
      </c>
      <c r="Y154" s="630">
        <v>0.0</v>
      </c>
      <c r="Z154" s="630" t="s">
        <v>365</v>
      </c>
      <c r="AA154" s="631" t="b">
        <v>0</v>
      </c>
      <c r="AB154" s="631"/>
      <c r="AC154" s="576"/>
      <c r="AD154" s="479">
        <v>0.0</v>
      </c>
      <c r="AE154" s="632"/>
      <c r="AF154" s="582" t="s">
        <v>365</v>
      </c>
      <c r="AG154" s="583"/>
      <c r="AH154" s="584"/>
      <c r="AI154" s="583"/>
      <c r="AJ154" s="585"/>
      <c r="AK154" s="583"/>
      <c r="AL154" s="584"/>
      <c r="AM154" s="583"/>
      <c r="AN154" s="585"/>
      <c r="AO154" s="583"/>
      <c r="AP154" s="584"/>
      <c r="AQ154" s="583"/>
      <c r="AR154" s="585"/>
      <c r="AS154" s="583"/>
      <c r="AT154" s="584"/>
      <c r="AU154" s="583"/>
      <c r="AV154" s="585"/>
      <c r="AW154" s="583"/>
      <c r="AX154" s="584"/>
      <c r="AY154" s="583"/>
      <c r="AZ154" s="585"/>
      <c r="BA154" s="583"/>
      <c r="BB154" s="584"/>
      <c r="BC154" s="583"/>
      <c r="BD154" s="585"/>
      <c r="BE154" s="583"/>
      <c r="BF154" s="584"/>
      <c r="BG154" s="583"/>
      <c r="BH154" s="585"/>
      <c r="BI154" s="583"/>
      <c r="BJ154" s="584"/>
      <c r="BK154" s="583"/>
      <c r="BL154" s="585"/>
      <c r="BM154" s="583"/>
      <c r="BN154" s="584"/>
      <c r="BO154" s="583"/>
      <c r="BP154" s="585"/>
      <c r="BQ154" s="583"/>
      <c r="BR154" s="584"/>
      <c r="BS154" s="583"/>
      <c r="BT154" s="586"/>
      <c r="BU154" s="540"/>
      <c r="BV154" s="540"/>
      <c r="BW154" s="540"/>
      <c r="BX154" s="538"/>
      <c r="BY154" s="538"/>
      <c r="BZ154" s="592"/>
      <c r="CA154" s="633"/>
      <c r="CB154" s="592" t="s">
        <v>365</v>
      </c>
      <c r="CC154" s="592">
        <v>0.0</v>
      </c>
      <c r="CD154" s="592" t="s">
        <v>365</v>
      </c>
      <c r="CE154" s="592">
        <v>0.0</v>
      </c>
      <c r="CF154" s="592"/>
      <c r="CG154" s="592">
        <v>0.0</v>
      </c>
      <c r="CH154" s="592"/>
      <c r="CI154" s="633"/>
      <c r="CJ154" s="592">
        <v>0.0</v>
      </c>
      <c r="CK154" s="479" t="s">
        <v>365</v>
      </c>
      <c r="CL154" s="592"/>
      <c r="CM154" s="593"/>
      <c r="CN154" s="538"/>
      <c r="CO154" s="538"/>
      <c r="CP154" s="538"/>
      <c r="CQ154" s="538"/>
      <c r="CR154" s="538"/>
      <c r="CS154" s="538"/>
      <c r="CT154" s="538"/>
      <c r="CU154" s="538"/>
      <c r="CV154" s="538"/>
      <c r="CW154" s="538"/>
      <c r="CX154" s="538"/>
      <c r="CY154" s="538"/>
      <c r="CZ154" s="538"/>
      <c r="DA154" s="538"/>
      <c r="DB154" s="538"/>
      <c r="DC154" s="538"/>
      <c r="DD154" s="538"/>
      <c r="DE154" s="538"/>
      <c r="DF154" s="538"/>
      <c r="DG154" s="538"/>
      <c r="DH154" s="538"/>
      <c r="DI154" s="538"/>
      <c r="DJ154" s="538"/>
      <c r="DK154" s="538"/>
      <c r="DL154" s="538"/>
      <c r="DM154" s="538"/>
      <c r="DN154" s="538"/>
      <c r="DO154" s="538"/>
      <c r="DP154" s="538"/>
      <c r="DQ154" s="538"/>
      <c r="DR154" s="538"/>
      <c r="DS154" s="538"/>
      <c r="DT154" s="538"/>
      <c r="DU154" s="538"/>
      <c r="DV154" s="538"/>
      <c r="DW154" s="538"/>
      <c r="DX154" s="538"/>
      <c r="DY154" s="538"/>
      <c r="DZ154" s="538"/>
      <c r="EA154" s="538"/>
      <c r="EB154" s="538"/>
      <c r="EC154" s="538"/>
      <c r="ED154" s="538"/>
      <c r="EE154" s="538"/>
      <c r="EF154" s="538"/>
      <c r="EG154" s="538"/>
      <c r="EH154" s="538"/>
      <c r="EI154" s="538"/>
      <c r="EJ154" s="538"/>
      <c r="EK154" s="538"/>
      <c r="EL154" s="538"/>
      <c r="EM154" s="538"/>
      <c r="EN154" s="538"/>
      <c r="EO154" s="538"/>
      <c r="EP154" s="538"/>
      <c r="EQ154" s="538"/>
      <c r="ER154" s="538"/>
      <c r="ES154" s="538"/>
      <c r="ET154" s="538"/>
      <c r="EU154" s="538"/>
      <c r="EV154" s="538"/>
      <c r="EW154" s="538"/>
      <c r="EX154" s="559"/>
      <c r="EY154" s="559"/>
      <c r="EZ154" s="559"/>
      <c r="FA154" s="559"/>
      <c r="FB154" s="559"/>
      <c r="FC154" s="559"/>
      <c r="FD154" s="559"/>
      <c r="FE154" s="559"/>
      <c r="FF154" s="559"/>
      <c r="FG154" s="559"/>
      <c r="FH154" s="559"/>
      <c r="FI154" s="559"/>
      <c r="FJ154" s="559"/>
      <c r="FK154" s="559"/>
      <c r="FL154" s="559"/>
      <c r="FM154" s="559"/>
      <c r="FN154" s="559"/>
      <c r="FO154" s="559"/>
      <c r="FP154" s="559"/>
      <c r="FQ154" s="559"/>
      <c r="FR154" s="559"/>
      <c r="FS154" s="559"/>
      <c r="FT154" s="559"/>
      <c r="FU154" s="559"/>
      <c r="FV154" s="559"/>
      <c r="FW154" s="559"/>
      <c r="FX154" s="559"/>
      <c r="FY154" s="559"/>
      <c r="FZ154" s="559"/>
      <c r="GA154" s="559"/>
      <c r="GB154" s="559"/>
      <c r="GC154" s="559"/>
      <c r="GD154" s="559"/>
      <c r="GE154" s="559"/>
      <c r="GF154" s="559"/>
      <c r="GG154" s="559"/>
      <c r="GH154" s="559"/>
    </row>
    <row r="155">
      <c r="A155" s="538"/>
      <c r="B155" s="156"/>
      <c r="C155" s="444"/>
      <c r="D155" s="614"/>
      <c r="E155" s="66"/>
      <c r="F155" s="642"/>
      <c r="G155" s="642"/>
      <c r="H155" s="615"/>
      <c r="I155" s="616" t="s">
        <v>365</v>
      </c>
      <c r="J155" s="624"/>
      <c r="K155" s="643"/>
      <c r="L155" s="640"/>
      <c r="M155" s="625"/>
      <c r="N155" s="617"/>
      <c r="O155" s="134"/>
      <c r="P155" s="57"/>
      <c r="Q155" s="57"/>
      <c r="S155" s="605"/>
      <c r="U155" s="573"/>
      <c r="V155" s="574"/>
      <c r="W155" s="618"/>
      <c r="X155" s="576">
        <v>0.0</v>
      </c>
      <c r="Y155" s="630">
        <v>0.0</v>
      </c>
      <c r="Z155" s="630" t="s">
        <v>365</v>
      </c>
      <c r="AA155" s="631" t="b">
        <v>0</v>
      </c>
      <c r="AB155" s="631"/>
      <c r="AC155" s="576"/>
      <c r="AD155" s="479">
        <v>0.0</v>
      </c>
      <c r="AE155" s="632"/>
      <c r="AF155" s="582" t="s">
        <v>365</v>
      </c>
      <c r="AG155" s="583"/>
      <c r="AH155" s="584"/>
      <c r="AI155" s="583"/>
      <c r="AJ155" s="585"/>
      <c r="AK155" s="583"/>
      <c r="AL155" s="584"/>
      <c r="AM155" s="583"/>
      <c r="AN155" s="585"/>
      <c r="AO155" s="583"/>
      <c r="AP155" s="584"/>
      <c r="AQ155" s="583"/>
      <c r="AR155" s="585"/>
      <c r="AS155" s="583"/>
      <c r="AT155" s="584"/>
      <c r="AU155" s="583"/>
      <c r="AV155" s="585"/>
      <c r="AW155" s="583"/>
      <c r="AX155" s="584"/>
      <c r="AY155" s="583"/>
      <c r="AZ155" s="585"/>
      <c r="BA155" s="583"/>
      <c r="BB155" s="584"/>
      <c r="BC155" s="583"/>
      <c r="BD155" s="585"/>
      <c r="BE155" s="583"/>
      <c r="BF155" s="584"/>
      <c r="BG155" s="583"/>
      <c r="BH155" s="585"/>
      <c r="BI155" s="583"/>
      <c r="BJ155" s="584"/>
      <c r="BK155" s="583"/>
      <c r="BL155" s="585"/>
      <c r="BM155" s="583"/>
      <c r="BN155" s="584"/>
      <c r="BO155" s="583"/>
      <c r="BP155" s="585"/>
      <c r="BQ155" s="583"/>
      <c r="BR155" s="584"/>
      <c r="BS155" s="583"/>
      <c r="BT155" s="586"/>
      <c r="BU155" s="540"/>
      <c r="BV155" s="540"/>
      <c r="BW155" s="540"/>
      <c r="BX155" s="538"/>
      <c r="BY155" s="538"/>
      <c r="BZ155" s="592"/>
      <c r="CA155" s="633"/>
      <c r="CB155" s="592" t="s">
        <v>365</v>
      </c>
      <c r="CC155" s="592">
        <v>0.0</v>
      </c>
      <c r="CD155" s="592" t="s">
        <v>365</v>
      </c>
      <c r="CE155" s="592">
        <v>0.0</v>
      </c>
      <c r="CF155" s="592"/>
      <c r="CG155" s="592">
        <v>0.0</v>
      </c>
      <c r="CH155" s="592"/>
      <c r="CI155" s="633"/>
      <c r="CJ155" s="592">
        <v>0.0</v>
      </c>
      <c r="CK155" s="479" t="s">
        <v>365</v>
      </c>
      <c r="CL155" s="592"/>
      <c r="CM155" s="593"/>
      <c r="CN155" s="538"/>
      <c r="CO155" s="538"/>
      <c r="CP155" s="538"/>
      <c r="CQ155" s="538"/>
      <c r="CR155" s="538"/>
      <c r="CS155" s="538"/>
      <c r="CT155" s="538"/>
      <c r="CU155" s="538"/>
      <c r="CV155" s="538"/>
      <c r="CW155" s="538"/>
      <c r="CX155" s="538"/>
      <c r="CY155" s="538"/>
      <c r="CZ155" s="538"/>
      <c r="DA155" s="538"/>
      <c r="DB155" s="538"/>
      <c r="DC155" s="538"/>
      <c r="DD155" s="538"/>
      <c r="DE155" s="538"/>
      <c r="DF155" s="538"/>
      <c r="DG155" s="538"/>
      <c r="DH155" s="538"/>
      <c r="DI155" s="538"/>
      <c r="DJ155" s="538"/>
      <c r="DK155" s="538"/>
      <c r="DL155" s="538"/>
      <c r="DM155" s="538"/>
      <c r="DN155" s="538"/>
      <c r="DO155" s="538"/>
      <c r="DP155" s="538"/>
      <c r="DQ155" s="538"/>
      <c r="DR155" s="538"/>
      <c r="DS155" s="538"/>
      <c r="DT155" s="538"/>
      <c r="DU155" s="538"/>
      <c r="DV155" s="538"/>
      <c r="DW155" s="538"/>
      <c r="DX155" s="538"/>
      <c r="DY155" s="538"/>
      <c r="DZ155" s="538"/>
      <c r="EA155" s="538"/>
      <c r="EB155" s="538"/>
      <c r="EC155" s="538"/>
      <c r="ED155" s="538"/>
      <c r="EE155" s="538"/>
      <c r="EF155" s="538"/>
      <c r="EG155" s="538"/>
      <c r="EH155" s="538"/>
      <c r="EI155" s="538"/>
      <c r="EJ155" s="538"/>
      <c r="EK155" s="538"/>
      <c r="EL155" s="538"/>
      <c r="EM155" s="538"/>
      <c r="EN155" s="538"/>
      <c r="EO155" s="538"/>
      <c r="EP155" s="538"/>
      <c r="EQ155" s="538"/>
      <c r="ER155" s="538"/>
      <c r="ES155" s="538"/>
      <c r="ET155" s="538"/>
      <c r="EU155" s="538"/>
      <c r="EV155" s="538"/>
      <c r="EW155" s="538"/>
      <c r="EX155" s="559"/>
      <c r="EY155" s="559"/>
      <c r="EZ155" s="559"/>
      <c r="FA155" s="559"/>
      <c r="FB155" s="559"/>
      <c r="FC155" s="559"/>
      <c r="FD155" s="559"/>
      <c r="FE155" s="559"/>
      <c r="FF155" s="559"/>
      <c r="FG155" s="559"/>
      <c r="FH155" s="559"/>
      <c r="FI155" s="559"/>
      <c r="FJ155" s="559"/>
      <c r="FK155" s="559"/>
      <c r="FL155" s="559"/>
      <c r="FM155" s="559"/>
      <c r="FN155" s="559"/>
      <c r="FO155" s="559"/>
      <c r="FP155" s="559"/>
      <c r="FQ155" s="559"/>
      <c r="FR155" s="559"/>
      <c r="FS155" s="559"/>
      <c r="FT155" s="559"/>
      <c r="FU155" s="559"/>
      <c r="FV155" s="559"/>
      <c r="FW155" s="559"/>
      <c r="FX155" s="559"/>
      <c r="FY155" s="559"/>
      <c r="FZ155" s="559"/>
      <c r="GA155" s="559"/>
      <c r="GB155" s="559"/>
      <c r="GC155" s="559"/>
      <c r="GD155" s="559"/>
      <c r="GE155" s="559"/>
      <c r="GF155" s="559"/>
      <c r="GG155" s="559"/>
      <c r="GH155" s="559"/>
    </row>
    <row r="156">
      <c r="A156" s="538"/>
      <c r="B156" s="156"/>
      <c r="C156" s="444"/>
      <c r="D156" s="614"/>
      <c r="E156" s="68"/>
      <c r="F156" s="644"/>
      <c r="G156" s="644"/>
      <c r="H156" s="627"/>
      <c r="I156" s="622" t="s">
        <v>365</v>
      </c>
      <c r="J156" s="607"/>
      <c r="K156" s="641"/>
      <c r="L156" s="628"/>
      <c r="M156" s="626"/>
      <c r="N156" s="619"/>
      <c r="O156" s="560"/>
      <c r="P156" s="47"/>
      <c r="Q156" s="47"/>
      <c r="S156" s="572"/>
      <c r="U156" s="573"/>
      <c r="V156" s="574"/>
      <c r="W156" s="618"/>
      <c r="X156" s="576">
        <v>0.0</v>
      </c>
      <c r="Y156" s="630">
        <v>0.0</v>
      </c>
      <c r="Z156" s="630" t="s">
        <v>365</v>
      </c>
      <c r="AA156" s="631" t="b">
        <v>0</v>
      </c>
      <c r="AB156" s="631"/>
      <c r="AC156" s="576"/>
      <c r="AD156" s="479">
        <v>0.0</v>
      </c>
      <c r="AE156" s="632"/>
      <c r="AF156" s="582" t="s">
        <v>365</v>
      </c>
      <c r="AG156" s="583"/>
      <c r="AH156" s="584"/>
      <c r="AI156" s="583"/>
      <c r="AJ156" s="585"/>
      <c r="AK156" s="583"/>
      <c r="AL156" s="584"/>
      <c r="AM156" s="583"/>
      <c r="AN156" s="585"/>
      <c r="AO156" s="583"/>
      <c r="AP156" s="584"/>
      <c r="AQ156" s="583"/>
      <c r="AR156" s="585"/>
      <c r="AS156" s="583"/>
      <c r="AT156" s="584"/>
      <c r="AU156" s="583"/>
      <c r="AV156" s="585"/>
      <c r="AW156" s="583"/>
      <c r="AX156" s="584"/>
      <c r="AY156" s="583"/>
      <c r="AZ156" s="585"/>
      <c r="BA156" s="583"/>
      <c r="BB156" s="584"/>
      <c r="BC156" s="583"/>
      <c r="BD156" s="585"/>
      <c r="BE156" s="583"/>
      <c r="BF156" s="584"/>
      <c r="BG156" s="583"/>
      <c r="BH156" s="585"/>
      <c r="BI156" s="583"/>
      <c r="BJ156" s="584"/>
      <c r="BK156" s="583"/>
      <c r="BL156" s="585"/>
      <c r="BM156" s="583"/>
      <c r="BN156" s="584"/>
      <c r="BO156" s="583"/>
      <c r="BP156" s="585"/>
      <c r="BQ156" s="583"/>
      <c r="BR156" s="584"/>
      <c r="BS156" s="583"/>
      <c r="BT156" s="586"/>
      <c r="BU156" s="540"/>
      <c r="BV156" s="540"/>
      <c r="BW156" s="540"/>
      <c r="BX156" s="538"/>
      <c r="BY156" s="538"/>
      <c r="BZ156" s="592"/>
      <c r="CA156" s="633"/>
      <c r="CB156" s="592" t="s">
        <v>365</v>
      </c>
      <c r="CC156" s="592">
        <v>0.0</v>
      </c>
      <c r="CD156" s="592" t="s">
        <v>365</v>
      </c>
      <c r="CE156" s="592">
        <v>0.0</v>
      </c>
      <c r="CF156" s="592"/>
      <c r="CG156" s="592">
        <v>0.0</v>
      </c>
      <c r="CH156" s="592"/>
      <c r="CI156" s="633"/>
      <c r="CJ156" s="592">
        <v>0.0</v>
      </c>
      <c r="CK156" s="479" t="s">
        <v>365</v>
      </c>
      <c r="CL156" s="592"/>
      <c r="CM156" s="593"/>
      <c r="CN156" s="538"/>
      <c r="CO156" s="538"/>
      <c r="CP156" s="538"/>
      <c r="CQ156" s="538"/>
      <c r="CR156" s="538"/>
      <c r="CS156" s="538"/>
      <c r="CT156" s="538"/>
      <c r="CU156" s="538"/>
      <c r="CV156" s="538"/>
      <c r="CW156" s="538"/>
      <c r="CX156" s="538"/>
      <c r="CY156" s="538"/>
      <c r="CZ156" s="538"/>
      <c r="DA156" s="538"/>
      <c r="DB156" s="538"/>
      <c r="DC156" s="538"/>
      <c r="DD156" s="538"/>
      <c r="DE156" s="538"/>
      <c r="DF156" s="538"/>
      <c r="DG156" s="538"/>
      <c r="DH156" s="538"/>
      <c r="DI156" s="538"/>
      <c r="DJ156" s="538"/>
      <c r="DK156" s="538"/>
      <c r="DL156" s="538"/>
      <c r="DM156" s="538"/>
      <c r="DN156" s="538"/>
      <c r="DO156" s="538"/>
      <c r="DP156" s="538"/>
      <c r="DQ156" s="538"/>
      <c r="DR156" s="538"/>
      <c r="DS156" s="538"/>
      <c r="DT156" s="538"/>
      <c r="DU156" s="538"/>
      <c r="DV156" s="538"/>
      <c r="DW156" s="538"/>
      <c r="DX156" s="538"/>
      <c r="DY156" s="538"/>
      <c r="DZ156" s="538"/>
      <c r="EA156" s="538"/>
      <c r="EB156" s="538"/>
      <c r="EC156" s="538"/>
      <c r="ED156" s="538"/>
      <c r="EE156" s="538"/>
      <c r="EF156" s="538"/>
      <c r="EG156" s="538"/>
      <c r="EH156" s="538"/>
      <c r="EI156" s="538"/>
      <c r="EJ156" s="538"/>
      <c r="EK156" s="538"/>
      <c r="EL156" s="538"/>
      <c r="EM156" s="538"/>
      <c r="EN156" s="538"/>
      <c r="EO156" s="538"/>
      <c r="EP156" s="538"/>
      <c r="EQ156" s="538"/>
      <c r="ER156" s="538"/>
      <c r="ES156" s="538"/>
      <c r="ET156" s="538"/>
      <c r="EU156" s="538"/>
      <c r="EV156" s="538"/>
      <c r="EW156" s="538"/>
      <c r="EX156" s="559"/>
      <c r="EY156" s="559"/>
      <c r="EZ156" s="559"/>
      <c r="FA156" s="559"/>
      <c r="FB156" s="559"/>
      <c r="FC156" s="559"/>
      <c r="FD156" s="559"/>
      <c r="FE156" s="559"/>
      <c r="FF156" s="559"/>
      <c r="FG156" s="559"/>
      <c r="FH156" s="559"/>
      <c r="FI156" s="559"/>
      <c r="FJ156" s="559"/>
      <c r="FK156" s="559"/>
      <c r="FL156" s="559"/>
      <c r="FM156" s="559"/>
      <c r="FN156" s="559"/>
      <c r="FO156" s="559"/>
      <c r="FP156" s="559"/>
      <c r="FQ156" s="559"/>
      <c r="FR156" s="559"/>
      <c r="FS156" s="559"/>
      <c r="FT156" s="559"/>
      <c r="FU156" s="559"/>
      <c r="FV156" s="559"/>
      <c r="FW156" s="559"/>
      <c r="FX156" s="559"/>
      <c r="FY156" s="559"/>
      <c r="FZ156" s="559"/>
      <c r="GA156" s="559"/>
      <c r="GB156" s="559"/>
      <c r="GC156" s="559"/>
      <c r="GD156" s="559"/>
      <c r="GE156" s="559"/>
      <c r="GF156" s="559"/>
      <c r="GG156" s="559"/>
      <c r="GH156" s="559"/>
    </row>
    <row r="157">
      <c r="A157" s="538"/>
      <c r="B157" s="156"/>
      <c r="C157" s="444"/>
      <c r="D157" s="614"/>
      <c r="E157" s="66"/>
      <c r="F157" s="642"/>
      <c r="G157" s="642"/>
      <c r="H157" s="615"/>
      <c r="I157" s="616" t="s">
        <v>365</v>
      </c>
      <c r="J157" s="624"/>
      <c r="K157" s="643"/>
      <c r="L157" s="640"/>
      <c r="M157" s="625"/>
      <c r="N157" s="617"/>
      <c r="O157" s="134"/>
      <c r="P157" s="57"/>
      <c r="Q157" s="57"/>
      <c r="S157" s="605"/>
      <c r="U157" s="573"/>
      <c r="V157" s="574"/>
      <c r="W157" s="618"/>
      <c r="X157" s="576">
        <v>0.0</v>
      </c>
      <c r="Y157" s="630">
        <v>0.0</v>
      </c>
      <c r="Z157" s="630" t="s">
        <v>365</v>
      </c>
      <c r="AA157" s="631" t="b">
        <v>0</v>
      </c>
      <c r="AB157" s="631"/>
      <c r="AC157" s="576"/>
      <c r="AD157" s="479">
        <v>0.0</v>
      </c>
      <c r="AE157" s="632"/>
      <c r="AF157" s="582" t="s">
        <v>365</v>
      </c>
      <c r="AG157" s="583"/>
      <c r="AH157" s="584"/>
      <c r="AI157" s="583"/>
      <c r="AJ157" s="585"/>
      <c r="AK157" s="583"/>
      <c r="AL157" s="584"/>
      <c r="AM157" s="583"/>
      <c r="AN157" s="585"/>
      <c r="AO157" s="583"/>
      <c r="AP157" s="584"/>
      <c r="AQ157" s="583"/>
      <c r="AR157" s="585"/>
      <c r="AS157" s="583"/>
      <c r="AT157" s="584"/>
      <c r="AU157" s="583"/>
      <c r="AV157" s="585"/>
      <c r="AW157" s="583"/>
      <c r="AX157" s="584"/>
      <c r="AY157" s="583"/>
      <c r="AZ157" s="585"/>
      <c r="BA157" s="583"/>
      <c r="BB157" s="584"/>
      <c r="BC157" s="583"/>
      <c r="BD157" s="585"/>
      <c r="BE157" s="583"/>
      <c r="BF157" s="584"/>
      <c r="BG157" s="583"/>
      <c r="BH157" s="585"/>
      <c r="BI157" s="583"/>
      <c r="BJ157" s="584"/>
      <c r="BK157" s="583"/>
      <c r="BL157" s="585"/>
      <c r="BM157" s="583"/>
      <c r="BN157" s="584"/>
      <c r="BO157" s="583"/>
      <c r="BP157" s="585"/>
      <c r="BQ157" s="583"/>
      <c r="BR157" s="584"/>
      <c r="BS157" s="583"/>
      <c r="BT157" s="586"/>
      <c r="BU157" s="540"/>
      <c r="BV157" s="540"/>
      <c r="BW157" s="540"/>
      <c r="BX157" s="538"/>
      <c r="BY157" s="538"/>
      <c r="BZ157" s="592"/>
      <c r="CA157" s="633"/>
      <c r="CB157" s="592" t="s">
        <v>365</v>
      </c>
      <c r="CC157" s="592">
        <v>0.0</v>
      </c>
      <c r="CD157" s="592" t="s">
        <v>365</v>
      </c>
      <c r="CE157" s="592">
        <v>0.0</v>
      </c>
      <c r="CF157" s="592"/>
      <c r="CG157" s="592">
        <v>0.0</v>
      </c>
      <c r="CH157" s="592"/>
      <c r="CI157" s="633"/>
      <c r="CJ157" s="592">
        <v>0.0</v>
      </c>
      <c r="CK157" s="479" t="s">
        <v>365</v>
      </c>
      <c r="CL157" s="592"/>
      <c r="CM157" s="593"/>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c r="DI157" s="538"/>
      <c r="DJ157" s="538"/>
      <c r="DK157" s="538"/>
      <c r="DL157" s="538"/>
      <c r="DM157" s="538"/>
      <c r="DN157" s="538"/>
      <c r="DO157" s="538"/>
      <c r="DP157" s="538"/>
      <c r="DQ157" s="538"/>
      <c r="DR157" s="538"/>
      <c r="DS157" s="538"/>
      <c r="DT157" s="538"/>
      <c r="DU157" s="538"/>
      <c r="DV157" s="538"/>
      <c r="DW157" s="538"/>
      <c r="DX157" s="538"/>
      <c r="DY157" s="538"/>
      <c r="DZ157" s="538"/>
      <c r="EA157" s="538"/>
      <c r="EB157" s="538"/>
      <c r="EC157" s="538"/>
      <c r="ED157" s="538"/>
      <c r="EE157" s="538"/>
      <c r="EF157" s="538"/>
      <c r="EG157" s="538"/>
      <c r="EH157" s="538"/>
      <c r="EI157" s="538"/>
      <c r="EJ157" s="538"/>
      <c r="EK157" s="538"/>
      <c r="EL157" s="538"/>
      <c r="EM157" s="538"/>
      <c r="EN157" s="538"/>
      <c r="EO157" s="538"/>
      <c r="EP157" s="538"/>
      <c r="EQ157" s="538"/>
      <c r="ER157" s="538"/>
      <c r="ES157" s="538"/>
      <c r="ET157" s="538"/>
      <c r="EU157" s="538"/>
      <c r="EV157" s="538"/>
      <c r="EW157" s="538"/>
      <c r="EX157" s="559"/>
      <c r="EY157" s="559"/>
      <c r="EZ157" s="559"/>
      <c r="FA157" s="559"/>
      <c r="FB157" s="559"/>
      <c r="FC157" s="559"/>
      <c r="FD157" s="559"/>
      <c r="FE157" s="559"/>
      <c r="FF157" s="559"/>
      <c r="FG157" s="559"/>
      <c r="FH157" s="559"/>
      <c r="FI157" s="559"/>
      <c r="FJ157" s="559"/>
      <c r="FK157" s="559"/>
      <c r="FL157" s="559"/>
      <c r="FM157" s="559"/>
      <c r="FN157" s="559"/>
      <c r="FO157" s="559"/>
      <c r="FP157" s="559"/>
      <c r="FQ157" s="559"/>
      <c r="FR157" s="559"/>
      <c r="FS157" s="559"/>
      <c r="FT157" s="559"/>
      <c r="FU157" s="559"/>
      <c r="FV157" s="559"/>
      <c r="FW157" s="559"/>
      <c r="FX157" s="559"/>
      <c r="FY157" s="559"/>
      <c r="FZ157" s="559"/>
      <c r="GA157" s="559"/>
      <c r="GB157" s="559"/>
      <c r="GC157" s="559"/>
      <c r="GD157" s="559"/>
      <c r="GE157" s="559"/>
      <c r="GF157" s="559"/>
      <c r="GG157" s="559"/>
      <c r="GH157" s="559"/>
    </row>
    <row r="158">
      <c r="A158" s="538"/>
      <c r="B158" s="156"/>
      <c r="C158" s="444"/>
      <c r="D158" s="614"/>
      <c r="E158" s="68"/>
      <c r="F158" s="644"/>
      <c r="G158" s="644"/>
      <c r="H158" s="627"/>
      <c r="I158" s="622" t="s">
        <v>365</v>
      </c>
      <c r="J158" s="607"/>
      <c r="K158" s="641"/>
      <c r="L158" s="628"/>
      <c r="M158" s="626"/>
      <c r="N158" s="619"/>
      <c r="O158" s="560"/>
      <c r="P158" s="47"/>
      <c r="Q158" s="47"/>
      <c r="S158" s="572"/>
      <c r="U158" s="573"/>
      <c r="V158" s="574"/>
      <c r="W158" s="618"/>
      <c r="X158" s="576">
        <v>0.0</v>
      </c>
      <c r="Y158" s="630">
        <v>0.0</v>
      </c>
      <c r="Z158" s="630" t="s">
        <v>365</v>
      </c>
      <c r="AA158" s="631" t="b">
        <v>0</v>
      </c>
      <c r="AB158" s="631"/>
      <c r="AC158" s="576"/>
      <c r="AD158" s="479">
        <v>0.0</v>
      </c>
      <c r="AE158" s="632"/>
      <c r="AF158" s="582" t="s">
        <v>365</v>
      </c>
      <c r="AG158" s="583"/>
      <c r="AH158" s="584"/>
      <c r="AI158" s="583"/>
      <c r="AJ158" s="585"/>
      <c r="AK158" s="583"/>
      <c r="AL158" s="584"/>
      <c r="AM158" s="583"/>
      <c r="AN158" s="585"/>
      <c r="AO158" s="583"/>
      <c r="AP158" s="584"/>
      <c r="AQ158" s="583"/>
      <c r="AR158" s="585"/>
      <c r="AS158" s="583"/>
      <c r="AT158" s="584"/>
      <c r="AU158" s="583"/>
      <c r="AV158" s="585"/>
      <c r="AW158" s="583"/>
      <c r="AX158" s="584"/>
      <c r="AY158" s="583"/>
      <c r="AZ158" s="585"/>
      <c r="BA158" s="583"/>
      <c r="BB158" s="584"/>
      <c r="BC158" s="583"/>
      <c r="BD158" s="585"/>
      <c r="BE158" s="583"/>
      <c r="BF158" s="584"/>
      <c r="BG158" s="583"/>
      <c r="BH158" s="585"/>
      <c r="BI158" s="583"/>
      <c r="BJ158" s="584"/>
      <c r="BK158" s="583"/>
      <c r="BL158" s="585"/>
      <c r="BM158" s="583"/>
      <c r="BN158" s="584"/>
      <c r="BO158" s="583"/>
      <c r="BP158" s="585"/>
      <c r="BQ158" s="583"/>
      <c r="BR158" s="584"/>
      <c r="BS158" s="583"/>
      <c r="BT158" s="586"/>
      <c r="BU158" s="540"/>
      <c r="BV158" s="540"/>
      <c r="BW158" s="540"/>
      <c r="BX158" s="538"/>
      <c r="BY158" s="538"/>
      <c r="BZ158" s="592"/>
      <c r="CA158" s="633"/>
      <c r="CB158" s="592" t="s">
        <v>365</v>
      </c>
      <c r="CC158" s="592">
        <v>0.0</v>
      </c>
      <c r="CD158" s="592" t="s">
        <v>365</v>
      </c>
      <c r="CE158" s="592">
        <v>0.0</v>
      </c>
      <c r="CF158" s="592"/>
      <c r="CG158" s="592">
        <v>0.0</v>
      </c>
      <c r="CH158" s="592"/>
      <c r="CI158" s="633"/>
      <c r="CJ158" s="592">
        <v>0.0</v>
      </c>
      <c r="CK158" s="479" t="s">
        <v>365</v>
      </c>
      <c r="CL158" s="592"/>
      <c r="CM158" s="593"/>
      <c r="CN158" s="538"/>
      <c r="CO158" s="538"/>
      <c r="CP158" s="538"/>
      <c r="CQ158" s="538"/>
      <c r="CR158" s="538"/>
      <c r="CS158" s="538"/>
      <c r="CT158" s="538"/>
      <c r="CU158" s="538"/>
      <c r="CV158" s="538"/>
      <c r="CW158" s="538"/>
      <c r="CX158" s="538"/>
      <c r="CY158" s="538"/>
      <c r="CZ158" s="538"/>
      <c r="DA158" s="538"/>
      <c r="DB158" s="538"/>
      <c r="DC158" s="538"/>
      <c r="DD158" s="538"/>
      <c r="DE158" s="538"/>
      <c r="DF158" s="538"/>
      <c r="DG158" s="538"/>
      <c r="DH158" s="538"/>
      <c r="DI158" s="538"/>
      <c r="DJ158" s="538"/>
      <c r="DK158" s="538"/>
      <c r="DL158" s="538"/>
      <c r="DM158" s="538"/>
      <c r="DN158" s="538"/>
      <c r="DO158" s="538"/>
      <c r="DP158" s="538"/>
      <c r="DQ158" s="538"/>
      <c r="DR158" s="538"/>
      <c r="DS158" s="538"/>
      <c r="DT158" s="538"/>
      <c r="DU158" s="538"/>
      <c r="DV158" s="538"/>
      <c r="DW158" s="538"/>
      <c r="DX158" s="538"/>
      <c r="DY158" s="538"/>
      <c r="DZ158" s="538"/>
      <c r="EA158" s="538"/>
      <c r="EB158" s="538"/>
      <c r="EC158" s="538"/>
      <c r="ED158" s="538"/>
      <c r="EE158" s="538"/>
      <c r="EF158" s="538"/>
      <c r="EG158" s="538"/>
      <c r="EH158" s="538"/>
      <c r="EI158" s="538"/>
      <c r="EJ158" s="538"/>
      <c r="EK158" s="538"/>
      <c r="EL158" s="538"/>
      <c r="EM158" s="538"/>
      <c r="EN158" s="538"/>
      <c r="EO158" s="538"/>
      <c r="EP158" s="538"/>
      <c r="EQ158" s="538"/>
      <c r="ER158" s="538"/>
      <c r="ES158" s="538"/>
      <c r="ET158" s="538"/>
      <c r="EU158" s="538"/>
      <c r="EV158" s="538"/>
      <c r="EW158" s="538"/>
      <c r="EX158" s="559"/>
      <c r="EY158" s="559"/>
      <c r="EZ158" s="559"/>
      <c r="FA158" s="559"/>
      <c r="FB158" s="559"/>
      <c r="FC158" s="559"/>
      <c r="FD158" s="559"/>
      <c r="FE158" s="559"/>
      <c r="FF158" s="559"/>
      <c r="FG158" s="559"/>
      <c r="FH158" s="559"/>
      <c r="FI158" s="559"/>
      <c r="FJ158" s="559"/>
      <c r="FK158" s="559"/>
      <c r="FL158" s="559"/>
      <c r="FM158" s="559"/>
      <c r="FN158" s="559"/>
      <c r="FO158" s="559"/>
      <c r="FP158" s="559"/>
      <c r="FQ158" s="559"/>
      <c r="FR158" s="559"/>
      <c r="FS158" s="559"/>
      <c r="FT158" s="559"/>
      <c r="FU158" s="559"/>
      <c r="FV158" s="559"/>
      <c r="FW158" s="559"/>
      <c r="FX158" s="559"/>
      <c r="FY158" s="559"/>
      <c r="FZ158" s="559"/>
      <c r="GA158" s="559"/>
      <c r="GB158" s="559"/>
      <c r="GC158" s="559"/>
      <c r="GD158" s="559"/>
      <c r="GE158" s="559"/>
      <c r="GF158" s="559"/>
      <c r="GG158" s="559"/>
      <c r="GH158" s="559"/>
    </row>
    <row r="159">
      <c r="A159" s="538"/>
      <c r="B159" s="156"/>
      <c r="C159" s="444"/>
      <c r="D159" s="614"/>
      <c r="E159" s="66"/>
      <c r="F159" s="642"/>
      <c r="G159" s="642"/>
      <c r="H159" s="615"/>
      <c r="I159" s="616" t="s">
        <v>365</v>
      </c>
      <c r="J159" s="624"/>
      <c r="K159" s="643"/>
      <c r="L159" s="640"/>
      <c r="M159" s="625"/>
      <c r="N159" s="617"/>
      <c r="O159" s="134"/>
      <c r="P159" s="57"/>
      <c r="Q159" s="57"/>
      <c r="S159" s="605"/>
      <c r="U159" s="573"/>
      <c r="V159" s="574"/>
      <c r="W159" s="618"/>
      <c r="X159" s="576">
        <v>0.0</v>
      </c>
      <c r="Y159" s="630">
        <v>0.0</v>
      </c>
      <c r="Z159" s="630" t="s">
        <v>365</v>
      </c>
      <c r="AA159" s="631" t="b">
        <v>0</v>
      </c>
      <c r="AB159" s="631"/>
      <c r="AC159" s="576"/>
      <c r="AD159" s="479">
        <v>0.0</v>
      </c>
      <c r="AE159" s="632"/>
      <c r="AF159" s="582" t="s">
        <v>365</v>
      </c>
      <c r="AG159" s="583"/>
      <c r="AH159" s="584"/>
      <c r="AI159" s="583"/>
      <c r="AJ159" s="585"/>
      <c r="AK159" s="583"/>
      <c r="AL159" s="584"/>
      <c r="AM159" s="583"/>
      <c r="AN159" s="585"/>
      <c r="AO159" s="583"/>
      <c r="AP159" s="584"/>
      <c r="AQ159" s="583"/>
      <c r="AR159" s="585"/>
      <c r="AS159" s="583"/>
      <c r="AT159" s="584"/>
      <c r="AU159" s="583"/>
      <c r="AV159" s="585"/>
      <c r="AW159" s="583"/>
      <c r="AX159" s="584"/>
      <c r="AY159" s="583"/>
      <c r="AZ159" s="585"/>
      <c r="BA159" s="583"/>
      <c r="BB159" s="584"/>
      <c r="BC159" s="583"/>
      <c r="BD159" s="585"/>
      <c r="BE159" s="583"/>
      <c r="BF159" s="584"/>
      <c r="BG159" s="583"/>
      <c r="BH159" s="585"/>
      <c r="BI159" s="583"/>
      <c r="BJ159" s="584"/>
      <c r="BK159" s="583"/>
      <c r="BL159" s="585"/>
      <c r="BM159" s="583"/>
      <c r="BN159" s="584"/>
      <c r="BO159" s="583"/>
      <c r="BP159" s="585"/>
      <c r="BQ159" s="583"/>
      <c r="BR159" s="584"/>
      <c r="BS159" s="583"/>
      <c r="BT159" s="586"/>
      <c r="BU159" s="540"/>
      <c r="BV159" s="540"/>
      <c r="BW159" s="540"/>
      <c r="BX159" s="538"/>
      <c r="BY159" s="538"/>
      <c r="BZ159" s="592"/>
      <c r="CA159" s="633"/>
      <c r="CB159" s="592" t="s">
        <v>365</v>
      </c>
      <c r="CC159" s="592">
        <v>0.0</v>
      </c>
      <c r="CD159" s="592" t="s">
        <v>365</v>
      </c>
      <c r="CE159" s="592">
        <v>0.0</v>
      </c>
      <c r="CF159" s="592"/>
      <c r="CG159" s="592">
        <v>0.0</v>
      </c>
      <c r="CH159" s="592"/>
      <c r="CI159" s="633"/>
      <c r="CJ159" s="592">
        <v>0.0</v>
      </c>
      <c r="CK159" s="479" t="s">
        <v>365</v>
      </c>
      <c r="CL159" s="592"/>
      <c r="CM159" s="593"/>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c r="DI159" s="538"/>
      <c r="DJ159" s="538"/>
      <c r="DK159" s="538"/>
      <c r="DL159" s="538"/>
      <c r="DM159" s="538"/>
      <c r="DN159" s="538"/>
      <c r="DO159" s="538"/>
      <c r="DP159" s="538"/>
      <c r="DQ159" s="538"/>
      <c r="DR159" s="538"/>
      <c r="DS159" s="538"/>
      <c r="DT159" s="538"/>
      <c r="DU159" s="538"/>
      <c r="DV159" s="538"/>
      <c r="DW159" s="538"/>
      <c r="DX159" s="538"/>
      <c r="DY159" s="538"/>
      <c r="DZ159" s="538"/>
      <c r="EA159" s="538"/>
      <c r="EB159" s="538"/>
      <c r="EC159" s="538"/>
      <c r="ED159" s="538"/>
      <c r="EE159" s="538"/>
      <c r="EF159" s="538"/>
      <c r="EG159" s="538"/>
      <c r="EH159" s="538"/>
      <c r="EI159" s="538"/>
      <c r="EJ159" s="538"/>
      <c r="EK159" s="538"/>
      <c r="EL159" s="538"/>
      <c r="EM159" s="538"/>
      <c r="EN159" s="538"/>
      <c r="EO159" s="538"/>
      <c r="EP159" s="538"/>
      <c r="EQ159" s="538"/>
      <c r="ER159" s="538"/>
      <c r="ES159" s="538"/>
      <c r="ET159" s="538"/>
      <c r="EU159" s="538"/>
      <c r="EV159" s="538"/>
      <c r="EW159" s="538"/>
      <c r="EX159" s="559"/>
      <c r="EY159" s="559"/>
      <c r="EZ159" s="559"/>
      <c r="FA159" s="559"/>
      <c r="FB159" s="559"/>
      <c r="FC159" s="559"/>
      <c r="FD159" s="559"/>
      <c r="FE159" s="559"/>
      <c r="FF159" s="559"/>
      <c r="FG159" s="559"/>
      <c r="FH159" s="559"/>
      <c r="FI159" s="559"/>
      <c r="FJ159" s="559"/>
      <c r="FK159" s="559"/>
      <c r="FL159" s="559"/>
      <c r="FM159" s="559"/>
      <c r="FN159" s="559"/>
      <c r="FO159" s="559"/>
      <c r="FP159" s="559"/>
      <c r="FQ159" s="559"/>
      <c r="FR159" s="559"/>
      <c r="FS159" s="559"/>
      <c r="FT159" s="559"/>
      <c r="FU159" s="559"/>
      <c r="FV159" s="559"/>
      <c r="FW159" s="559"/>
      <c r="FX159" s="559"/>
      <c r="FY159" s="559"/>
      <c r="FZ159" s="559"/>
      <c r="GA159" s="559"/>
      <c r="GB159" s="559"/>
      <c r="GC159" s="559"/>
      <c r="GD159" s="559"/>
      <c r="GE159" s="559"/>
      <c r="GF159" s="559"/>
      <c r="GG159" s="559"/>
      <c r="GH159" s="559"/>
    </row>
    <row r="160">
      <c r="A160" s="538"/>
      <c r="B160" s="156"/>
      <c r="C160" s="444"/>
      <c r="D160" s="614"/>
      <c r="E160" s="68"/>
      <c r="F160" s="644"/>
      <c r="G160" s="644"/>
      <c r="H160" s="627"/>
      <c r="I160" s="622" t="s">
        <v>365</v>
      </c>
      <c r="J160" s="607"/>
      <c r="K160" s="641"/>
      <c r="L160" s="628"/>
      <c r="M160" s="626"/>
      <c r="N160" s="619"/>
      <c r="O160" s="560"/>
      <c r="P160" s="47"/>
      <c r="Q160" s="47"/>
      <c r="S160" s="572"/>
      <c r="U160" s="573"/>
      <c r="V160" s="574"/>
      <c r="W160" s="618"/>
      <c r="X160" s="576">
        <v>0.0</v>
      </c>
      <c r="Y160" s="630">
        <v>0.0</v>
      </c>
      <c r="Z160" s="630" t="s">
        <v>365</v>
      </c>
      <c r="AA160" s="631" t="b">
        <v>0</v>
      </c>
      <c r="AB160" s="631"/>
      <c r="AC160" s="576"/>
      <c r="AD160" s="479">
        <v>0.0</v>
      </c>
      <c r="AE160" s="632"/>
      <c r="AF160" s="582" t="s">
        <v>365</v>
      </c>
      <c r="AG160" s="583"/>
      <c r="AH160" s="584"/>
      <c r="AI160" s="583"/>
      <c r="AJ160" s="585"/>
      <c r="AK160" s="583"/>
      <c r="AL160" s="584"/>
      <c r="AM160" s="583"/>
      <c r="AN160" s="585"/>
      <c r="AO160" s="583"/>
      <c r="AP160" s="584"/>
      <c r="AQ160" s="583"/>
      <c r="AR160" s="585"/>
      <c r="AS160" s="583"/>
      <c r="AT160" s="584"/>
      <c r="AU160" s="583"/>
      <c r="AV160" s="585"/>
      <c r="AW160" s="583"/>
      <c r="AX160" s="584"/>
      <c r="AY160" s="583"/>
      <c r="AZ160" s="585"/>
      <c r="BA160" s="583"/>
      <c r="BB160" s="584"/>
      <c r="BC160" s="583"/>
      <c r="BD160" s="585"/>
      <c r="BE160" s="583"/>
      <c r="BF160" s="584"/>
      <c r="BG160" s="583"/>
      <c r="BH160" s="585"/>
      <c r="BI160" s="583"/>
      <c r="BJ160" s="584"/>
      <c r="BK160" s="583"/>
      <c r="BL160" s="585"/>
      <c r="BM160" s="583"/>
      <c r="BN160" s="584"/>
      <c r="BO160" s="583"/>
      <c r="BP160" s="585"/>
      <c r="BQ160" s="583"/>
      <c r="BR160" s="584"/>
      <c r="BS160" s="583"/>
      <c r="BT160" s="586"/>
      <c r="BU160" s="540"/>
      <c r="BV160" s="540"/>
      <c r="BW160" s="540"/>
      <c r="BX160" s="538"/>
      <c r="BY160" s="538"/>
      <c r="BZ160" s="592"/>
      <c r="CA160" s="633"/>
      <c r="CB160" s="592" t="s">
        <v>365</v>
      </c>
      <c r="CC160" s="592">
        <v>0.0</v>
      </c>
      <c r="CD160" s="592" t="s">
        <v>365</v>
      </c>
      <c r="CE160" s="592">
        <v>0.0</v>
      </c>
      <c r="CF160" s="592"/>
      <c r="CG160" s="592">
        <v>0.0</v>
      </c>
      <c r="CH160" s="592"/>
      <c r="CI160" s="633"/>
      <c r="CJ160" s="592">
        <v>0.0</v>
      </c>
      <c r="CK160" s="479" t="s">
        <v>365</v>
      </c>
      <c r="CL160" s="592"/>
      <c r="CM160" s="593"/>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c r="DI160" s="538"/>
      <c r="DJ160" s="538"/>
      <c r="DK160" s="538"/>
      <c r="DL160" s="538"/>
      <c r="DM160" s="538"/>
      <c r="DN160" s="538"/>
      <c r="DO160" s="538"/>
      <c r="DP160" s="538"/>
      <c r="DQ160" s="538"/>
      <c r="DR160" s="538"/>
      <c r="DS160" s="538"/>
      <c r="DT160" s="538"/>
      <c r="DU160" s="538"/>
      <c r="DV160" s="538"/>
      <c r="DW160" s="538"/>
      <c r="DX160" s="538"/>
      <c r="DY160" s="538"/>
      <c r="DZ160" s="538"/>
      <c r="EA160" s="538"/>
      <c r="EB160" s="538"/>
      <c r="EC160" s="538"/>
      <c r="ED160" s="538"/>
      <c r="EE160" s="538"/>
      <c r="EF160" s="538"/>
      <c r="EG160" s="538"/>
      <c r="EH160" s="538"/>
      <c r="EI160" s="538"/>
      <c r="EJ160" s="538"/>
      <c r="EK160" s="538"/>
      <c r="EL160" s="538"/>
      <c r="EM160" s="538"/>
      <c r="EN160" s="538"/>
      <c r="EO160" s="538"/>
      <c r="EP160" s="538"/>
      <c r="EQ160" s="538"/>
      <c r="ER160" s="538"/>
      <c r="ES160" s="538"/>
      <c r="ET160" s="538"/>
      <c r="EU160" s="538"/>
      <c r="EV160" s="538"/>
      <c r="EW160" s="538"/>
      <c r="EX160" s="559"/>
      <c r="EY160" s="559"/>
      <c r="EZ160" s="559"/>
      <c r="FA160" s="559"/>
      <c r="FB160" s="559"/>
      <c r="FC160" s="559"/>
      <c r="FD160" s="559"/>
      <c r="FE160" s="559"/>
      <c r="FF160" s="559"/>
      <c r="FG160" s="559"/>
      <c r="FH160" s="559"/>
      <c r="FI160" s="559"/>
      <c r="FJ160" s="559"/>
      <c r="FK160" s="559"/>
      <c r="FL160" s="559"/>
      <c r="FM160" s="559"/>
      <c r="FN160" s="559"/>
      <c r="FO160" s="559"/>
      <c r="FP160" s="559"/>
      <c r="FQ160" s="559"/>
      <c r="FR160" s="559"/>
      <c r="FS160" s="559"/>
      <c r="FT160" s="559"/>
      <c r="FU160" s="559"/>
      <c r="FV160" s="559"/>
      <c r="FW160" s="559"/>
      <c r="FX160" s="559"/>
      <c r="FY160" s="559"/>
      <c r="FZ160" s="559"/>
      <c r="GA160" s="559"/>
      <c r="GB160" s="559"/>
      <c r="GC160" s="559"/>
      <c r="GD160" s="559"/>
      <c r="GE160" s="559"/>
      <c r="GF160" s="559"/>
      <c r="GG160" s="559"/>
      <c r="GH160" s="559"/>
    </row>
    <row r="161">
      <c r="A161" s="538"/>
      <c r="B161" s="156"/>
      <c r="C161" s="444"/>
      <c r="D161" s="614"/>
      <c r="E161" s="66"/>
      <c r="F161" s="642"/>
      <c r="G161" s="642"/>
      <c r="H161" s="615"/>
      <c r="I161" s="616" t="s">
        <v>365</v>
      </c>
      <c r="J161" s="624"/>
      <c r="K161" s="643"/>
      <c r="L161" s="640"/>
      <c r="M161" s="625"/>
      <c r="N161" s="617"/>
      <c r="O161" s="134"/>
      <c r="P161" s="57"/>
      <c r="Q161" s="57"/>
      <c r="S161" s="605"/>
      <c r="U161" s="573"/>
      <c r="V161" s="574"/>
      <c r="W161" s="618"/>
      <c r="X161" s="576">
        <v>0.0</v>
      </c>
      <c r="Y161" s="630">
        <v>0.0</v>
      </c>
      <c r="Z161" s="630" t="s">
        <v>365</v>
      </c>
      <c r="AA161" s="631" t="b">
        <v>0</v>
      </c>
      <c r="AB161" s="631"/>
      <c r="AC161" s="576"/>
      <c r="AD161" s="479">
        <v>0.0</v>
      </c>
      <c r="AE161" s="632"/>
      <c r="AF161" s="582" t="s">
        <v>365</v>
      </c>
      <c r="AG161" s="583"/>
      <c r="AH161" s="584"/>
      <c r="AI161" s="583"/>
      <c r="AJ161" s="585"/>
      <c r="AK161" s="583"/>
      <c r="AL161" s="584"/>
      <c r="AM161" s="583"/>
      <c r="AN161" s="585"/>
      <c r="AO161" s="583"/>
      <c r="AP161" s="584"/>
      <c r="AQ161" s="583"/>
      <c r="AR161" s="585"/>
      <c r="AS161" s="583"/>
      <c r="AT161" s="584"/>
      <c r="AU161" s="583"/>
      <c r="AV161" s="585"/>
      <c r="AW161" s="583"/>
      <c r="AX161" s="584"/>
      <c r="AY161" s="583"/>
      <c r="AZ161" s="585"/>
      <c r="BA161" s="583"/>
      <c r="BB161" s="584"/>
      <c r="BC161" s="583"/>
      <c r="BD161" s="585"/>
      <c r="BE161" s="583"/>
      <c r="BF161" s="584"/>
      <c r="BG161" s="583"/>
      <c r="BH161" s="585"/>
      <c r="BI161" s="583"/>
      <c r="BJ161" s="584"/>
      <c r="BK161" s="583"/>
      <c r="BL161" s="585"/>
      <c r="BM161" s="583"/>
      <c r="BN161" s="584"/>
      <c r="BO161" s="583"/>
      <c r="BP161" s="585"/>
      <c r="BQ161" s="583"/>
      <c r="BR161" s="584"/>
      <c r="BS161" s="583"/>
      <c r="BT161" s="586"/>
      <c r="BU161" s="540"/>
      <c r="BV161" s="540"/>
      <c r="BW161" s="540"/>
      <c r="BX161" s="538"/>
      <c r="BY161" s="538"/>
      <c r="BZ161" s="592"/>
      <c r="CA161" s="633"/>
      <c r="CB161" s="592" t="s">
        <v>365</v>
      </c>
      <c r="CC161" s="592">
        <v>0.0</v>
      </c>
      <c r="CD161" s="592" t="s">
        <v>365</v>
      </c>
      <c r="CE161" s="592">
        <v>0.0</v>
      </c>
      <c r="CF161" s="592"/>
      <c r="CG161" s="592">
        <v>0.0</v>
      </c>
      <c r="CH161" s="592"/>
      <c r="CI161" s="633"/>
      <c r="CJ161" s="592">
        <v>0.0</v>
      </c>
      <c r="CK161" s="479" t="s">
        <v>365</v>
      </c>
      <c r="CL161" s="592"/>
      <c r="CM161" s="593"/>
      <c r="CN161" s="538"/>
      <c r="CO161" s="538"/>
      <c r="CP161" s="538"/>
      <c r="CQ161" s="538"/>
      <c r="CR161" s="538"/>
      <c r="CS161" s="538"/>
      <c r="CT161" s="538"/>
      <c r="CU161" s="538"/>
      <c r="CV161" s="538"/>
      <c r="CW161" s="538"/>
      <c r="CX161" s="538"/>
      <c r="CY161" s="538"/>
      <c r="CZ161" s="538"/>
      <c r="DA161" s="538"/>
      <c r="DB161" s="538"/>
      <c r="DC161" s="538"/>
      <c r="DD161" s="538"/>
      <c r="DE161" s="538"/>
      <c r="DF161" s="538"/>
      <c r="DG161" s="538"/>
      <c r="DH161" s="538"/>
      <c r="DI161" s="538"/>
      <c r="DJ161" s="538"/>
      <c r="DK161" s="538"/>
      <c r="DL161" s="538"/>
      <c r="DM161" s="538"/>
      <c r="DN161" s="538"/>
      <c r="DO161" s="538"/>
      <c r="DP161" s="538"/>
      <c r="DQ161" s="538"/>
      <c r="DR161" s="538"/>
      <c r="DS161" s="538"/>
      <c r="DT161" s="538"/>
      <c r="DU161" s="538"/>
      <c r="DV161" s="538"/>
      <c r="DW161" s="538"/>
      <c r="DX161" s="538"/>
      <c r="DY161" s="538"/>
      <c r="DZ161" s="538"/>
      <c r="EA161" s="538"/>
      <c r="EB161" s="538"/>
      <c r="EC161" s="538"/>
      <c r="ED161" s="538"/>
      <c r="EE161" s="538"/>
      <c r="EF161" s="538"/>
      <c r="EG161" s="538"/>
      <c r="EH161" s="538"/>
      <c r="EI161" s="538"/>
      <c r="EJ161" s="538"/>
      <c r="EK161" s="538"/>
      <c r="EL161" s="538"/>
      <c r="EM161" s="538"/>
      <c r="EN161" s="538"/>
      <c r="EO161" s="538"/>
      <c r="EP161" s="538"/>
      <c r="EQ161" s="538"/>
      <c r="ER161" s="538"/>
      <c r="ES161" s="538"/>
      <c r="ET161" s="538"/>
      <c r="EU161" s="538"/>
      <c r="EV161" s="538"/>
      <c r="EW161" s="538"/>
      <c r="EX161" s="559"/>
      <c r="EY161" s="559"/>
      <c r="EZ161" s="559"/>
      <c r="FA161" s="559"/>
      <c r="FB161" s="559"/>
      <c r="FC161" s="559"/>
      <c r="FD161" s="559"/>
      <c r="FE161" s="559"/>
      <c r="FF161" s="559"/>
      <c r="FG161" s="559"/>
      <c r="FH161" s="559"/>
      <c r="FI161" s="559"/>
      <c r="FJ161" s="559"/>
      <c r="FK161" s="559"/>
      <c r="FL161" s="559"/>
      <c r="FM161" s="559"/>
      <c r="FN161" s="559"/>
      <c r="FO161" s="559"/>
      <c r="FP161" s="559"/>
      <c r="FQ161" s="559"/>
      <c r="FR161" s="559"/>
      <c r="FS161" s="559"/>
      <c r="FT161" s="559"/>
      <c r="FU161" s="559"/>
      <c r="FV161" s="559"/>
      <c r="FW161" s="559"/>
      <c r="FX161" s="559"/>
      <c r="FY161" s="559"/>
      <c r="FZ161" s="559"/>
      <c r="GA161" s="559"/>
      <c r="GB161" s="559"/>
      <c r="GC161" s="559"/>
      <c r="GD161" s="559"/>
      <c r="GE161" s="559"/>
      <c r="GF161" s="559"/>
      <c r="GG161" s="559"/>
      <c r="GH161" s="559"/>
    </row>
    <row r="162">
      <c r="A162" s="538"/>
      <c r="B162" s="156"/>
      <c r="C162" s="444"/>
      <c r="D162" s="614"/>
      <c r="E162" s="68"/>
      <c r="F162" s="644"/>
      <c r="G162" s="644"/>
      <c r="H162" s="627"/>
      <c r="I162" s="622" t="s">
        <v>365</v>
      </c>
      <c r="J162" s="607"/>
      <c r="K162" s="641"/>
      <c r="L162" s="628"/>
      <c r="M162" s="626"/>
      <c r="N162" s="619"/>
      <c r="O162" s="560"/>
      <c r="P162" s="47"/>
      <c r="Q162" s="47"/>
      <c r="S162" s="572"/>
      <c r="U162" s="573"/>
      <c r="V162" s="574"/>
      <c r="W162" s="618"/>
      <c r="X162" s="576">
        <v>0.0</v>
      </c>
      <c r="Y162" s="630">
        <v>0.0</v>
      </c>
      <c r="Z162" s="630" t="s">
        <v>365</v>
      </c>
      <c r="AA162" s="631" t="b">
        <v>0</v>
      </c>
      <c r="AB162" s="631"/>
      <c r="AC162" s="576"/>
      <c r="AD162" s="479">
        <v>0.0</v>
      </c>
      <c r="AE162" s="632"/>
      <c r="AF162" s="582" t="s">
        <v>365</v>
      </c>
      <c r="AG162" s="583"/>
      <c r="AH162" s="584"/>
      <c r="AI162" s="583"/>
      <c r="AJ162" s="585"/>
      <c r="AK162" s="583"/>
      <c r="AL162" s="584"/>
      <c r="AM162" s="583"/>
      <c r="AN162" s="585"/>
      <c r="AO162" s="583"/>
      <c r="AP162" s="584"/>
      <c r="AQ162" s="583"/>
      <c r="AR162" s="585"/>
      <c r="AS162" s="583"/>
      <c r="AT162" s="584"/>
      <c r="AU162" s="583"/>
      <c r="AV162" s="585"/>
      <c r="AW162" s="583"/>
      <c r="AX162" s="584"/>
      <c r="AY162" s="583"/>
      <c r="AZ162" s="585"/>
      <c r="BA162" s="583"/>
      <c r="BB162" s="584"/>
      <c r="BC162" s="583"/>
      <c r="BD162" s="585"/>
      <c r="BE162" s="583"/>
      <c r="BF162" s="584"/>
      <c r="BG162" s="583"/>
      <c r="BH162" s="585"/>
      <c r="BI162" s="583"/>
      <c r="BJ162" s="584"/>
      <c r="BK162" s="583"/>
      <c r="BL162" s="585"/>
      <c r="BM162" s="583"/>
      <c r="BN162" s="584"/>
      <c r="BO162" s="583"/>
      <c r="BP162" s="585"/>
      <c r="BQ162" s="583"/>
      <c r="BR162" s="584"/>
      <c r="BS162" s="583"/>
      <c r="BT162" s="586"/>
      <c r="BU162" s="540"/>
      <c r="BV162" s="540"/>
      <c r="BW162" s="540"/>
      <c r="BX162" s="538"/>
      <c r="BY162" s="538"/>
      <c r="BZ162" s="592"/>
      <c r="CA162" s="633"/>
      <c r="CB162" s="592" t="s">
        <v>365</v>
      </c>
      <c r="CC162" s="592">
        <v>0.0</v>
      </c>
      <c r="CD162" s="592" t="s">
        <v>365</v>
      </c>
      <c r="CE162" s="592">
        <v>0.0</v>
      </c>
      <c r="CF162" s="592"/>
      <c r="CG162" s="592">
        <v>0.0</v>
      </c>
      <c r="CH162" s="592"/>
      <c r="CI162" s="633"/>
      <c r="CJ162" s="592">
        <v>0.0</v>
      </c>
      <c r="CK162" s="479" t="s">
        <v>365</v>
      </c>
      <c r="CL162" s="592"/>
      <c r="CM162" s="593"/>
      <c r="CN162" s="538"/>
      <c r="CO162" s="538"/>
      <c r="CP162" s="538"/>
      <c r="CQ162" s="538"/>
      <c r="CR162" s="538"/>
      <c r="CS162" s="538"/>
      <c r="CT162" s="538"/>
      <c r="CU162" s="538"/>
      <c r="CV162" s="538"/>
      <c r="CW162" s="538"/>
      <c r="CX162" s="538"/>
      <c r="CY162" s="538"/>
      <c r="CZ162" s="538"/>
      <c r="DA162" s="538"/>
      <c r="DB162" s="538"/>
      <c r="DC162" s="538"/>
      <c r="DD162" s="538"/>
      <c r="DE162" s="538"/>
      <c r="DF162" s="538"/>
      <c r="DG162" s="538"/>
      <c r="DH162" s="538"/>
      <c r="DI162" s="538"/>
      <c r="DJ162" s="538"/>
      <c r="DK162" s="538"/>
      <c r="DL162" s="538"/>
      <c r="DM162" s="538"/>
      <c r="DN162" s="538"/>
      <c r="DO162" s="538"/>
      <c r="DP162" s="538"/>
      <c r="DQ162" s="538"/>
      <c r="DR162" s="538"/>
      <c r="DS162" s="538"/>
      <c r="DT162" s="538"/>
      <c r="DU162" s="538"/>
      <c r="DV162" s="538"/>
      <c r="DW162" s="538"/>
      <c r="DX162" s="538"/>
      <c r="DY162" s="538"/>
      <c r="DZ162" s="538"/>
      <c r="EA162" s="538"/>
      <c r="EB162" s="538"/>
      <c r="EC162" s="538"/>
      <c r="ED162" s="538"/>
      <c r="EE162" s="538"/>
      <c r="EF162" s="538"/>
      <c r="EG162" s="538"/>
      <c r="EH162" s="538"/>
      <c r="EI162" s="538"/>
      <c r="EJ162" s="538"/>
      <c r="EK162" s="538"/>
      <c r="EL162" s="538"/>
      <c r="EM162" s="538"/>
      <c r="EN162" s="538"/>
      <c r="EO162" s="538"/>
      <c r="EP162" s="538"/>
      <c r="EQ162" s="538"/>
      <c r="ER162" s="538"/>
      <c r="ES162" s="538"/>
      <c r="ET162" s="538"/>
      <c r="EU162" s="538"/>
      <c r="EV162" s="538"/>
      <c r="EW162" s="538"/>
      <c r="EX162" s="559"/>
      <c r="EY162" s="559"/>
      <c r="EZ162" s="559"/>
      <c r="FA162" s="559"/>
      <c r="FB162" s="559"/>
      <c r="FC162" s="559"/>
      <c r="FD162" s="559"/>
      <c r="FE162" s="559"/>
      <c r="FF162" s="559"/>
      <c r="FG162" s="559"/>
      <c r="FH162" s="559"/>
      <c r="FI162" s="559"/>
      <c r="FJ162" s="559"/>
      <c r="FK162" s="559"/>
      <c r="FL162" s="559"/>
      <c r="FM162" s="559"/>
      <c r="FN162" s="559"/>
      <c r="FO162" s="559"/>
      <c r="FP162" s="559"/>
      <c r="FQ162" s="559"/>
      <c r="FR162" s="559"/>
      <c r="FS162" s="559"/>
      <c r="FT162" s="559"/>
      <c r="FU162" s="559"/>
      <c r="FV162" s="559"/>
      <c r="FW162" s="559"/>
      <c r="FX162" s="559"/>
      <c r="FY162" s="559"/>
      <c r="FZ162" s="559"/>
      <c r="GA162" s="559"/>
      <c r="GB162" s="559"/>
      <c r="GC162" s="559"/>
      <c r="GD162" s="559"/>
      <c r="GE162" s="559"/>
      <c r="GF162" s="559"/>
      <c r="GG162" s="559"/>
      <c r="GH162" s="559"/>
    </row>
    <row r="163">
      <c r="A163" s="538"/>
      <c r="B163" s="156"/>
      <c r="C163" s="444"/>
      <c r="D163" s="614"/>
      <c r="E163" s="66"/>
      <c r="F163" s="642"/>
      <c r="G163" s="642"/>
      <c r="H163" s="615"/>
      <c r="I163" s="616" t="s">
        <v>365</v>
      </c>
      <c r="J163" s="624"/>
      <c r="K163" s="643"/>
      <c r="L163" s="640"/>
      <c r="M163" s="625"/>
      <c r="N163" s="617"/>
      <c r="O163" s="134"/>
      <c r="P163" s="57"/>
      <c r="Q163" s="57"/>
      <c r="S163" s="605"/>
      <c r="U163" s="573"/>
      <c r="V163" s="574"/>
      <c r="W163" s="618"/>
      <c r="X163" s="576">
        <v>0.0</v>
      </c>
      <c r="Y163" s="630">
        <v>0.0</v>
      </c>
      <c r="Z163" s="630" t="s">
        <v>365</v>
      </c>
      <c r="AA163" s="631" t="b">
        <v>0</v>
      </c>
      <c r="AB163" s="631"/>
      <c r="AC163" s="576"/>
      <c r="AD163" s="479">
        <v>0.0</v>
      </c>
      <c r="AE163" s="632"/>
      <c r="AF163" s="582" t="s">
        <v>365</v>
      </c>
      <c r="AG163" s="583"/>
      <c r="AH163" s="584"/>
      <c r="AI163" s="583"/>
      <c r="AJ163" s="585"/>
      <c r="AK163" s="583"/>
      <c r="AL163" s="584"/>
      <c r="AM163" s="583"/>
      <c r="AN163" s="585"/>
      <c r="AO163" s="583"/>
      <c r="AP163" s="584"/>
      <c r="AQ163" s="583"/>
      <c r="AR163" s="585"/>
      <c r="AS163" s="583"/>
      <c r="AT163" s="584"/>
      <c r="AU163" s="583"/>
      <c r="AV163" s="585"/>
      <c r="AW163" s="583"/>
      <c r="AX163" s="584"/>
      <c r="AY163" s="583"/>
      <c r="AZ163" s="585"/>
      <c r="BA163" s="583"/>
      <c r="BB163" s="584"/>
      <c r="BC163" s="583"/>
      <c r="BD163" s="585"/>
      <c r="BE163" s="583"/>
      <c r="BF163" s="584"/>
      <c r="BG163" s="583"/>
      <c r="BH163" s="585"/>
      <c r="BI163" s="583"/>
      <c r="BJ163" s="584"/>
      <c r="BK163" s="583"/>
      <c r="BL163" s="585"/>
      <c r="BM163" s="583"/>
      <c r="BN163" s="584"/>
      <c r="BO163" s="583"/>
      <c r="BP163" s="585"/>
      <c r="BQ163" s="583"/>
      <c r="BR163" s="584"/>
      <c r="BS163" s="583"/>
      <c r="BT163" s="586"/>
      <c r="BU163" s="540"/>
      <c r="BV163" s="540"/>
      <c r="BW163" s="540"/>
      <c r="BX163" s="538"/>
      <c r="BY163" s="538"/>
      <c r="BZ163" s="592"/>
      <c r="CA163" s="633"/>
      <c r="CB163" s="592" t="s">
        <v>365</v>
      </c>
      <c r="CC163" s="592">
        <v>0.0</v>
      </c>
      <c r="CD163" s="592" t="s">
        <v>365</v>
      </c>
      <c r="CE163" s="592">
        <v>0.0</v>
      </c>
      <c r="CF163" s="592"/>
      <c r="CG163" s="592">
        <v>0.0</v>
      </c>
      <c r="CH163" s="592"/>
      <c r="CI163" s="633"/>
      <c r="CJ163" s="592">
        <v>0.0</v>
      </c>
      <c r="CK163" s="479" t="s">
        <v>365</v>
      </c>
      <c r="CL163" s="592"/>
      <c r="CM163" s="593"/>
      <c r="CN163" s="538"/>
      <c r="CO163" s="538"/>
      <c r="CP163" s="538"/>
      <c r="CQ163" s="538"/>
      <c r="CR163" s="538"/>
      <c r="CS163" s="538"/>
      <c r="CT163" s="538"/>
      <c r="CU163" s="538"/>
      <c r="CV163" s="538"/>
      <c r="CW163" s="538"/>
      <c r="CX163" s="538"/>
      <c r="CY163" s="538"/>
      <c r="CZ163" s="538"/>
      <c r="DA163" s="538"/>
      <c r="DB163" s="538"/>
      <c r="DC163" s="538"/>
      <c r="DD163" s="538"/>
      <c r="DE163" s="538"/>
      <c r="DF163" s="538"/>
      <c r="DG163" s="538"/>
      <c r="DH163" s="538"/>
      <c r="DI163" s="538"/>
      <c r="DJ163" s="538"/>
      <c r="DK163" s="538"/>
      <c r="DL163" s="538"/>
      <c r="DM163" s="538"/>
      <c r="DN163" s="538"/>
      <c r="DO163" s="538"/>
      <c r="DP163" s="538"/>
      <c r="DQ163" s="538"/>
      <c r="DR163" s="538"/>
      <c r="DS163" s="538"/>
      <c r="DT163" s="538"/>
      <c r="DU163" s="538"/>
      <c r="DV163" s="538"/>
      <c r="DW163" s="538"/>
      <c r="DX163" s="538"/>
      <c r="DY163" s="538"/>
      <c r="DZ163" s="538"/>
      <c r="EA163" s="538"/>
      <c r="EB163" s="538"/>
      <c r="EC163" s="538"/>
      <c r="ED163" s="538"/>
      <c r="EE163" s="538"/>
      <c r="EF163" s="538"/>
      <c r="EG163" s="538"/>
      <c r="EH163" s="538"/>
      <c r="EI163" s="538"/>
      <c r="EJ163" s="538"/>
      <c r="EK163" s="538"/>
      <c r="EL163" s="538"/>
      <c r="EM163" s="538"/>
      <c r="EN163" s="538"/>
      <c r="EO163" s="538"/>
      <c r="EP163" s="538"/>
      <c r="EQ163" s="538"/>
      <c r="ER163" s="538"/>
      <c r="ES163" s="538"/>
      <c r="ET163" s="538"/>
      <c r="EU163" s="538"/>
      <c r="EV163" s="538"/>
      <c r="EW163" s="538"/>
      <c r="EX163" s="559"/>
      <c r="EY163" s="559"/>
      <c r="EZ163" s="559"/>
      <c r="FA163" s="559"/>
      <c r="FB163" s="559"/>
      <c r="FC163" s="559"/>
      <c r="FD163" s="559"/>
      <c r="FE163" s="559"/>
      <c r="FF163" s="559"/>
      <c r="FG163" s="559"/>
      <c r="FH163" s="559"/>
      <c r="FI163" s="559"/>
      <c r="FJ163" s="559"/>
      <c r="FK163" s="559"/>
      <c r="FL163" s="559"/>
      <c r="FM163" s="559"/>
      <c r="FN163" s="559"/>
      <c r="FO163" s="559"/>
      <c r="FP163" s="559"/>
      <c r="FQ163" s="559"/>
      <c r="FR163" s="559"/>
      <c r="FS163" s="559"/>
      <c r="FT163" s="559"/>
      <c r="FU163" s="559"/>
      <c r="FV163" s="559"/>
      <c r="FW163" s="559"/>
      <c r="FX163" s="559"/>
      <c r="FY163" s="559"/>
      <c r="FZ163" s="559"/>
      <c r="GA163" s="559"/>
      <c r="GB163" s="559"/>
      <c r="GC163" s="559"/>
      <c r="GD163" s="559"/>
      <c r="GE163" s="559"/>
      <c r="GF163" s="559"/>
      <c r="GG163" s="559"/>
      <c r="GH163" s="559"/>
    </row>
    <row r="164">
      <c r="A164" s="538"/>
      <c r="B164" s="156"/>
      <c r="C164" s="444"/>
      <c r="D164" s="614"/>
      <c r="E164" s="68"/>
      <c r="F164" s="644"/>
      <c r="G164" s="644"/>
      <c r="H164" s="627"/>
      <c r="I164" s="622" t="s">
        <v>365</v>
      </c>
      <c r="J164" s="607"/>
      <c r="K164" s="641"/>
      <c r="L164" s="628"/>
      <c r="M164" s="626"/>
      <c r="N164" s="619"/>
      <c r="O164" s="560"/>
      <c r="P164" s="47"/>
      <c r="Q164" s="47"/>
      <c r="S164" s="572"/>
      <c r="U164" s="573"/>
      <c r="V164" s="574"/>
      <c r="W164" s="618"/>
      <c r="X164" s="576">
        <v>0.0</v>
      </c>
      <c r="Y164" s="630">
        <v>0.0</v>
      </c>
      <c r="Z164" s="630" t="s">
        <v>365</v>
      </c>
      <c r="AA164" s="631" t="b">
        <v>0</v>
      </c>
      <c r="AB164" s="631"/>
      <c r="AC164" s="576"/>
      <c r="AD164" s="479">
        <v>0.0</v>
      </c>
      <c r="AE164" s="632"/>
      <c r="AF164" s="582" t="s">
        <v>365</v>
      </c>
      <c r="AG164" s="583"/>
      <c r="AH164" s="584"/>
      <c r="AI164" s="583"/>
      <c r="AJ164" s="585"/>
      <c r="AK164" s="583"/>
      <c r="AL164" s="584"/>
      <c r="AM164" s="583"/>
      <c r="AN164" s="585"/>
      <c r="AO164" s="583"/>
      <c r="AP164" s="584"/>
      <c r="AQ164" s="583"/>
      <c r="AR164" s="585"/>
      <c r="AS164" s="583"/>
      <c r="AT164" s="584"/>
      <c r="AU164" s="583"/>
      <c r="AV164" s="585"/>
      <c r="AW164" s="583"/>
      <c r="AX164" s="584"/>
      <c r="AY164" s="583"/>
      <c r="AZ164" s="585"/>
      <c r="BA164" s="583"/>
      <c r="BB164" s="584"/>
      <c r="BC164" s="583"/>
      <c r="BD164" s="585"/>
      <c r="BE164" s="583"/>
      <c r="BF164" s="584"/>
      <c r="BG164" s="583"/>
      <c r="BH164" s="585"/>
      <c r="BI164" s="583"/>
      <c r="BJ164" s="584"/>
      <c r="BK164" s="583"/>
      <c r="BL164" s="585"/>
      <c r="BM164" s="583"/>
      <c r="BN164" s="584"/>
      <c r="BO164" s="583"/>
      <c r="BP164" s="585"/>
      <c r="BQ164" s="583"/>
      <c r="BR164" s="584"/>
      <c r="BS164" s="583"/>
      <c r="BT164" s="586"/>
      <c r="BU164" s="540"/>
      <c r="BV164" s="540"/>
      <c r="BW164" s="540"/>
      <c r="BX164" s="538"/>
      <c r="BY164" s="538"/>
      <c r="BZ164" s="592"/>
      <c r="CA164" s="633"/>
      <c r="CB164" s="592" t="s">
        <v>365</v>
      </c>
      <c r="CC164" s="592">
        <v>0.0</v>
      </c>
      <c r="CD164" s="592" t="s">
        <v>365</v>
      </c>
      <c r="CE164" s="592">
        <v>0.0</v>
      </c>
      <c r="CF164" s="592"/>
      <c r="CG164" s="592">
        <v>0.0</v>
      </c>
      <c r="CH164" s="592"/>
      <c r="CI164" s="633"/>
      <c r="CJ164" s="592">
        <v>0.0</v>
      </c>
      <c r="CK164" s="479" t="s">
        <v>365</v>
      </c>
      <c r="CL164" s="592"/>
      <c r="CM164" s="593"/>
      <c r="CN164" s="538"/>
      <c r="CO164" s="538"/>
      <c r="CP164" s="538"/>
      <c r="CQ164" s="538"/>
      <c r="CR164" s="538"/>
      <c r="CS164" s="538"/>
      <c r="CT164" s="538"/>
      <c r="CU164" s="538"/>
      <c r="CV164" s="538"/>
      <c r="CW164" s="538"/>
      <c r="CX164" s="538"/>
      <c r="CY164" s="538"/>
      <c r="CZ164" s="538"/>
      <c r="DA164" s="538"/>
      <c r="DB164" s="538"/>
      <c r="DC164" s="538"/>
      <c r="DD164" s="538"/>
      <c r="DE164" s="538"/>
      <c r="DF164" s="538"/>
      <c r="DG164" s="538"/>
      <c r="DH164" s="538"/>
      <c r="DI164" s="538"/>
      <c r="DJ164" s="538"/>
      <c r="DK164" s="538"/>
      <c r="DL164" s="538"/>
      <c r="DM164" s="538"/>
      <c r="DN164" s="538"/>
      <c r="DO164" s="538"/>
      <c r="DP164" s="538"/>
      <c r="DQ164" s="538"/>
      <c r="DR164" s="538"/>
      <c r="DS164" s="538"/>
      <c r="DT164" s="538"/>
      <c r="DU164" s="538"/>
      <c r="DV164" s="538"/>
      <c r="DW164" s="538"/>
      <c r="DX164" s="538"/>
      <c r="DY164" s="538"/>
      <c r="DZ164" s="538"/>
      <c r="EA164" s="538"/>
      <c r="EB164" s="538"/>
      <c r="EC164" s="538"/>
      <c r="ED164" s="538"/>
      <c r="EE164" s="538"/>
      <c r="EF164" s="538"/>
      <c r="EG164" s="538"/>
      <c r="EH164" s="538"/>
      <c r="EI164" s="538"/>
      <c r="EJ164" s="538"/>
      <c r="EK164" s="538"/>
      <c r="EL164" s="538"/>
      <c r="EM164" s="538"/>
      <c r="EN164" s="538"/>
      <c r="EO164" s="538"/>
      <c r="EP164" s="538"/>
      <c r="EQ164" s="538"/>
      <c r="ER164" s="538"/>
      <c r="ES164" s="538"/>
      <c r="ET164" s="538"/>
      <c r="EU164" s="538"/>
      <c r="EV164" s="538"/>
      <c r="EW164" s="538"/>
      <c r="EX164" s="559"/>
      <c r="EY164" s="559"/>
      <c r="EZ164" s="559"/>
      <c r="FA164" s="559"/>
      <c r="FB164" s="559"/>
      <c r="FC164" s="559"/>
      <c r="FD164" s="559"/>
      <c r="FE164" s="559"/>
      <c r="FF164" s="559"/>
      <c r="FG164" s="559"/>
      <c r="FH164" s="559"/>
      <c r="FI164" s="559"/>
      <c r="FJ164" s="559"/>
      <c r="FK164" s="559"/>
      <c r="FL164" s="559"/>
      <c r="FM164" s="559"/>
      <c r="FN164" s="559"/>
      <c r="FO164" s="559"/>
      <c r="FP164" s="559"/>
      <c r="FQ164" s="559"/>
      <c r="FR164" s="559"/>
      <c r="FS164" s="559"/>
      <c r="FT164" s="559"/>
      <c r="FU164" s="559"/>
      <c r="FV164" s="559"/>
      <c r="FW164" s="559"/>
      <c r="FX164" s="559"/>
      <c r="FY164" s="559"/>
      <c r="FZ164" s="559"/>
      <c r="GA164" s="559"/>
      <c r="GB164" s="559"/>
      <c r="GC164" s="559"/>
      <c r="GD164" s="559"/>
      <c r="GE164" s="559"/>
      <c r="GF164" s="559"/>
      <c r="GG164" s="559"/>
      <c r="GH164" s="559"/>
    </row>
    <row r="165">
      <c r="A165" s="538"/>
      <c r="B165" s="156"/>
      <c r="C165" s="444"/>
      <c r="D165" s="614"/>
      <c r="E165" s="66"/>
      <c r="F165" s="642"/>
      <c r="G165" s="642"/>
      <c r="H165" s="615"/>
      <c r="I165" s="616" t="s">
        <v>365</v>
      </c>
      <c r="J165" s="624"/>
      <c r="K165" s="643"/>
      <c r="L165" s="640"/>
      <c r="M165" s="625"/>
      <c r="N165" s="617"/>
      <c r="O165" s="134"/>
      <c r="P165" s="57"/>
      <c r="Q165" s="57"/>
      <c r="S165" s="605"/>
      <c r="U165" s="573"/>
      <c r="V165" s="574"/>
      <c r="W165" s="618"/>
      <c r="X165" s="576">
        <v>0.0</v>
      </c>
      <c r="Y165" s="630">
        <v>0.0</v>
      </c>
      <c r="Z165" s="630" t="s">
        <v>365</v>
      </c>
      <c r="AA165" s="631" t="b">
        <v>0</v>
      </c>
      <c r="AB165" s="631"/>
      <c r="AC165" s="576"/>
      <c r="AD165" s="479">
        <v>0.0</v>
      </c>
      <c r="AE165" s="632"/>
      <c r="AF165" s="582" t="s">
        <v>365</v>
      </c>
      <c r="AG165" s="583"/>
      <c r="AH165" s="584"/>
      <c r="AI165" s="583"/>
      <c r="AJ165" s="585"/>
      <c r="AK165" s="583"/>
      <c r="AL165" s="584"/>
      <c r="AM165" s="583"/>
      <c r="AN165" s="585"/>
      <c r="AO165" s="583"/>
      <c r="AP165" s="584"/>
      <c r="AQ165" s="583"/>
      <c r="AR165" s="585"/>
      <c r="AS165" s="583"/>
      <c r="AT165" s="584"/>
      <c r="AU165" s="583"/>
      <c r="AV165" s="585"/>
      <c r="AW165" s="583"/>
      <c r="AX165" s="584"/>
      <c r="AY165" s="583"/>
      <c r="AZ165" s="585"/>
      <c r="BA165" s="583"/>
      <c r="BB165" s="584"/>
      <c r="BC165" s="583"/>
      <c r="BD165" s="585"/>
      <c r="BE165" s="583"/>
      <c r="BF165" s="584"/>
      <c r="BG165" s="583"/>
      <c r="BH165" s="585"/>
      <c r="BI165" s="583"/>
      <c r="BJ165" s="584"/>
      <c r="BK165" s="583"/>
      <c r="BL165" s="585"/>
      <c r="BM165" s="583"/>
      <c r="BN165" s="584"/>
      <c r="BO165" s="583"/>
      <c r="BP165" s="585"/>
      <c r="BQ165" s="583"/>
      <c r="BR165" s="584"/>
      <c r="BS165" s="583"/>
      <c r="BT165" s="586"/>
      <c r="BU165" s="540"/>
      <c r="BV165" s="540"/>
      <c r="BW165" s="540"/>
      <c r="BX165" s="538"/>
      <c r="BY165" s="538"/>
      <c r="BZ165" s="592"/>
      <c r="CA165" s="633"/>
      <c r="CB165" s="592" t="s">
        <v>365</v>
      </c>
      <c r="CC165" s="592">
        <v>0.0</v>
      </c>
      <c r="CD165" s="592" t="s">
        <v>365</v>
      </c>
      <c r="CE165" s="592">
        <v>0.0</v>
      </c>
      <c r="CF165" s="592"/>
      <c r="CG165" s="592">
        <v>0.0</v>
      </c>
      <c r="CH165" s="592"/>
      <c r="CI165" s="633"/>
      <c r="CJ165" s="592">
        <v>0.0</v>
      </c>
      <c r="CK165" s="479" t="s">
        <v>365</v>
      </c>
      <c r="CL165" s="592"/>
      <c r="CM165" s="593"/>
      <c r="CN165" s="538"/>
      <c r="CO165" s="538"/>
      <c r="CP165" s="538"/>
      <c r="CQ165" s="538"/>
      <c r="CR165" s="538"/>
      <c r="CS165" s="538"/>
      <c r="CT165" s="538"/>
      <c r="CU165" s="538"/>
      <c r="CV165" s="538"/>
      <c r="CW165" s="538"/>
      <c r="CX165" s="538"/>
      <c r="CY165" s="538"/>
      <c r="CZ165" s="538"/>
      <c r="DA165" s="538"/>
      <c r="DB165" s="538"/>
      <c r="DC165" s="538"/>
      <c r="DD165" s="538"/>
      <c r="DE165" s="538"/>
      <c r="DF165" s="538"/>
      <c r="DG165" s="538"/>
      <c r="DH165" s="538"/>
      <c r="DI165" s="538"/>
      <c r="DJ165" s="538"/>
      <c r="DK165" s="538"/>
      <c r="DL165" s="538"/>
      <c r="DM165" s="538"/>
      <c r="DN165" s="538"/>
      <c r="DO165" s="538"/>
      <c r="DP165" s="538"/>
      <c r="DQ165" s="538"/>
      <c r="DR165" s="538"/>
      <c r="DS165" s="538"/>
      <c r="DT165" s="538"/>
      <c r="DU165" s="538"/>
      <c r="DV165" s="538"/>
      <c r="DW165" s="538"/>
      <c r="DX165" s="538"/>
      <c r="DY165" s="538"/>
      <c r="DZ165" s="538"/>
      <c r="EA165" s="538"/>
      <c r="EB165" s="538"/>
      <c r="EC165" s="538"/>
      <c r="ED165" s="538"/>
      <c r="EE165" s="538"/>
      <c r="EF165" s="538"/>
      <c r="EG165" s="538"/>
      <c r="EH165" s="538"/>
      <c r="EI165" s="538"/>
      <c r="EJ165" s="538"/>
      <c r="EK165" s="538"/>
      <c r="EL165" s="538"/>
      <c r="EM165" s="538"/>
      <c r="EN165" s="538"/>
      <c r="EO165" s="538"/>
      <c r="EP165" s="538"/>
      <c r="EQ165" s="538"/>
      <c r="ER165" s="538"/>
      <c r="ES165" s="538"/>
      <c r="ET165" s="538"/>
      <c r="EU165" s="538"/>
      <c r="EV165" s="538"/>
      <c r="EW165" s="538"/>
      <c r="EX165" s="559"/>
      <c r="EY165" s="559"/>
      <c r="EZ165" s="559"/>
      <c r="FA165" s="559"/>
      <c r="FB165" s="559"/>
      <c r="FC165" s="559"/>
      <c r="FD165" s="559"/>
      <c r="FE165" s="559"/>
      <c r="FF165" s="559"/>
      <c r="FG165" s="559"/>
      <c r="FH165" s="559"/>
      <c r="FI165" s="559"/>
      <c r="FJ165" s="559"/>
      <c r="FK165" s="559"/>
      <c r="FL165" s="559"/>
      <c r="FM165" s="559"/>
      <c r="FN165" s="559"/>
      <c r="FO165" s="559"/>
      <c r="FP165" s="559"/>
      <c r="FQ165" s="559"/>
      <c r="FR165" s="559"/>
      <c r="FS165" s="559"/>
      <c r="FT165" s="559"/>
      <c r="FU165" s="559"/>
      <c r="FV165" s="559"/>
      <c r="FW165" s="559"/>
      <c r="FX165" s="559"/>
      <c r="FY165" s="559"/>
      <c r="FZ165" s="559"/>
      <c r="GA165" s="559"/>
      <c r="GB165" s="559"/>
      <c r="GC165" s="559"/>
      <c r="GD165" s="559"/>
      <c r="GE165" s="559"/>
      <c r="GF165" s="559"/>
      <c r="GG165" s="559"/>
      <c r="GH165" s="559"/>
    </row>
    <row r="166">
      <c r="A166" s="538"/>
      <c r="B166" s="156"/>
      <c r="C166" s="444"/>
      <c r="D166" s="614"/>
      <c r="E166" s="68"/>
      <c r="F166" s="644"/>
      <c r="G166" s="644"/>
      <c r="H166" s="627"/>
      <c r="I166" s="622" t="s">
        <v>365</v>
      </c>
      <c r="J166" s="607"/>
      <c r="K166" s="641"/>
      <c r="L166" s="628"/>
      <c r="M166" s="626"/>
      <c r="N166" s="619"/>
      <c r="O166" s="560"/>
      <c r="P166" s="47"/>
      <c r="Q166" s="47"/>
      <c r="S166" s="572"/>
      <c r="U166" s="573"/>
      <c r="V166" s="574"/>
      <c r="W166" s="618"/>
      <c r="X166" s="576">
        <v>0.0</v>
      </c>
      <c r="Y166" s="630">
        <v>0.0</v>
      </c>
      <c r="Z166" s="630" t="s">
        <v>365</v>
      </c>
      <c r="AA166" s="631" t="b">
        <v>0</v>
      </c>
      <c r="AB166" s="631"/>
      <c r="AC166" s="576"/>
      <c r="AD166" s="479">
        <v>0.0</v>
      </c>
      <c r="AE166" s="632"/>
      <c r="AF166" s="582" t="s">
        <v>365</v>
      </c>
      <c r="AG166" s="583"/>
      <c r="AH166" s="584"/>
      <c r="AI166" s="583"/>
      <c r="AJ166" s="585"/>
      <c r="AK166" s="583"/>
      <c r="AL166" s="584"/>
      <c r="AM166" s="583"/>
      <c r="AN166" s="585"/>
      <c r="AO166" s="583"/>
      <c r="AP166" s="584"/>
      <c r="AQ166" s="583"/>
      <c r="AR166" s="585"/>
      <c r="AS166" s="583"/>
      <c r="AT166" s="584"/>
      <c r="AU166" s="583"/>
      <c r="AV166" s="585"/>
      <c r="AW166" s="583"/>
      <c r="AX166" s="584"/>
      <c r="AY166" s="583"/>
      <c r="AZ166" s="585"/>
      <c r="BA166" s="583"/>
      <c r="BB166" s="584"/>
      <c r="BC166" s="583"/>
      <c r="BD166" s="585"/>
      <c r="BE166" s="583"/>
      <c r="BF166" s="584"/>
      <c r="BG166" s="583"/>
      <c r="BH166" s="585"/>
      <c r="BI166" s="583"/>
      <c r="BJ166" s="584"/>
      <c r="BK166" s="583"/>
      <c r="BL166" s="585"/>
      <c r="BM166" s="583"/>
      <c r="BN166" s="584"/>
      <c r="BO166" s="583"/>
      <c r="BP166" s="585"/>
      <c r="BQ166" s="583"/>
      <c r="BR166" s="584"/>
      <c r="BS166" s="583"/>
      <c r="BT166" s="586"/>
      <c r="BU166" s="540"/>
      <c r="BV166" s="540"/>
      <c r="BW166" s="540"/>
      <c r="BX166" s="538"/>
      <c r="BY166" s="538"/>
      <c r="BZ166" s="592"/>
      <c r="CA166" s="633"/>
      <c r="CB166" s="592" t="s">
        <v>365</v>
      </c>
      <c r="CC166" s="592">
        <v>0.0</v>
      </c>
      <c r="CD166" s="592" t="s">
        <v>365</v>
      </c>
      <c r="CE166" s="592">
        <v>0.0</v>
      </c>
      <c r="CF166" s="592"/>
      <c r="CG166" s="592">
        <v>0.0</v>
      </c>
      <c r="CH166" s="592"/>
      <c r="CI166" s="633"/>
      <c r="CJ166" s="592">
        <v>0.0</v>
      </c>
      <c r="CK166" s="479" t="s">
        <v>365</v>
      </c>
      <c r="CL166" s="592"/>
      <c r="CM166" s="593"/>
      <c r="CN166" s="538"/>
      <c r="CO166" s="538"/>
      <c r="CP166" s="538"/>
      <c r="CQ166" s="538"/>
      <c r="CR166" s="538"/>
      <c r="CS166" s="538"/>
      <c r="CT166" s="538"/>
      <c r="CU166" s="538"/>
      <c r="CV166" s="538"/>
      <c r="CW166" s="538"/>
      <c r="CX166" s="538"/>
      <c r="CY166" s="538"/>
      <c r="CZ166" s="538"/>
      <c r="DA166" s="538"/>
      <c r="DB166" s="538"/>
      <c r="DC166" s="538"/>
      <c r="DD166" s="538"/>
      <c r="DE166" s="538"/>
      <c r="DF166" s="538"/>
      <c r="DG166" s="538"/>
      <c r="DH166" s="538"/>
      <c r="DI166" s="538"/>
      <c r="DJ166" s="538"/>
      <c r="DK166" s="538"/>
      <c r="DL166" s="538"/>
      <c r="DM166" s="538"/>
      <c r="DN166" s="538"/>
      <c r="DO166" s="538"/>
      <c r="DP166" s="538"/>
      <c r="DQ166" s="538"/>
      <c r="DR166" s="538"/>
      <c r="DS166" s="538"/>
      <c r="DT166" s="538"/>
      <c r="DU166" s="538"/>
      <c r="DV166" s="538"/>
      <c r="DW166" s="538"/>
      <c r="DX166" s="538"/>
      <c r="DY166" s="538"/>
      <c r="DZ166" s="538"/>
      <c r="EA166" s="538"/>
      <c r="EB166" s="538"/>
      <c r="EC166" s="538"/>
      <c r="ED166" s="538"/>
      <c r="EE166" s="538"/>
      <c r="EF166" s="538"/>
      <c r="EG166" s="538"/>
      <c r="EH166" s="538"/>
      <c r="EI166" s="538"/>
      <c r="EJ166" s="538"/>
      <c r="EK166" s="538"/>
      <c r="EL166" s="538"/>
      <c r="EM166" s="538"/>
      <c r="EN166" s="538"/>
      <c r="EO166" s="538"/>
      <c r="EP166" s="538"/>
      <c r="EQ166" s="538"/>
      <c r="ER166" s="538"/>
      <c r="ES166" s="538"/>
      <c r="ET166" s="538"/>
      <c r="EU166" s="538"/>
      <c r="EV166" s="538"/>
      <c r="EW166" s="538"/>
      <c r="EX166" s="559"/>
      <c r="EY166" s="559"/>
      <c r="EZ166" s="559"/>
      <c r="FA166" s="559"/>
      <c r="FB166" s="559"/>
      <c r="FC166" s="559"/>
      <c r="FD166" s="559"/>
      <c r="FE166" s="559"/>
      <c r="FF166" s="559"/>
      <c r="FG166" s="559"/>
      <c r="FH166" s="559"/>
      <c r="FI166" s="559"/>
      <c r="FJ166" s="559"/>
      <c r="FK166" s="559"/>
      <c r="FL166" s="559"/>
      <c r="FM166" s="559"/>
      <c r="FN166" s="559"/>
      <c r="FO166" s="559"/>
      <c r="FP166" s="559"/>
      <c r="FQ166" s="559"/>
      <c r="FR166" s="559"/>
      <c r="FS166" s="559"/>
      <c r="FT166" s="559"/>
      <c r="FU166" s="559"/>
      <c r="FV166" s="559"/>
      <c r="FW166" s="559"/>
      <c r="FX166" s="559"/>
      <c r="FY166" s="559"/>
      <c r="FZ166" s="559"/>
      <c r="GA166" s="559"/>
      <c r="GB166" s="559"/>
      <c r="GC166" s="559"/>
      <c r="GD166" s="559"/>
      <c r="GE166" s="559"/>
      <c r="GF166" s="559"/>
      <c r="GG166" s="559"/>
      <c r="GH166" s="559"/>
    </row>
    <row r="167">
      <c r="A167" s="538"/>
      <c r="B167" s="156"/>
      <c r="C167" s="444"/>
      <c r="D167" s="614"/>
      <c r="E167" s="66"/>
      <c r="F167" s="642"/>
      <c r="G167" s="642"/>
      <c r="H167" s="615"/>
      <c r="I167" s="616" t="s">
        <v>365</v>
      </c>
      <c r="J167" s="624"/>
      <c r="K167" s="643"/>
      <c r="L167" s="640"/>
      <c r="M167" s="625"/>
      <c r="N167" s="617"/>
      <c r="O167" s="134"/>
      <c r="P167" s="57"/>
      <c r="Q167" s="57"/>
      <c r="S167" s="605"/>
      <c r="U167" s="573"/>
      <c r="V167" s="574"/>
      <c r="W167" s="618"/>
      <c r="X167" s="576">
        <v>0.0</v>
      </c>
      <c r="Y167" s="630">
        <v>0.0</v>
      </c>
      <c r="Z167" s="630" t="s">
        <v>365</v>
      </c>
      <c r="AA167" s="631" t="b">
        <v>0</v>
      </c>
      <c r="AB167" s="631"/>
      <c r="AC167" s="576"/>
      <c r="AD167" s="479">
        <v>0.0</v>
      </c>
      <c r="AE167" s="632"/>
      <c r="AF167" s="582" t="s">
        <v>365</v>
      </c>
      <c r="AG167" s="583"/>
      <c r="AH167" s="584"/>
      <c r="AI167" s="583"/>
      <c r="AJ167" s="585"/>
      <c r="AK167" s="583"/>
      <c r="AL167" s="584"/>
      <c r="AM167" s="583"/>
      <c r="AN167" s="585"/>
      <c r="AO167" s="583"/>
      <c r="AP167" s="584"/>
      <c r="AQ167" s="583"/>
      <c r="AR167" s="585"/>
      <c r="AS167" s="583"/>
      <c r="AT167" s="584"/>
      <c r="AU167" s="583"/>
      <c r="AV167" s="585"/>
      <c r="AW167" s="583"/>
      <c r="AX167" s="584"/>
      <c r="AY167" s="583"/>
      <c r="AZ167" s="585"/>
      <c r="BA167" s="583"/>
      <c r="BB167" s="584"/>
      <c r="BC167" s="583"/>
      <c r="BD167" s="585"/>
      <c r="BE167" s="583"/>
      <c r="BF167" s="584"/>
      <c r="BG167" s="583"/>
      <c r="BH167" s="585"/>
      <c r="BI167" s="583"/>
      <c r="BJ167" s="584"/>
      <c r="BK167" s="583"/>
      <c r="BL167" s="585"/>
      <c r="BM167" s="583"/>
      <c r="BN167" s="584"/>
      <c r="BO167" s="583"/>
      <c r="BP167" s="585"/>
      <c r="BQ167" s="583"/>
      <c r="BR167" s="584"/>
      <c r="BS167" s="583"/>
      <c r="BT167" s="586"/>
      <c r="BU167" s="540"/>
      <c r="BV167" s="540"/>
      <c r="BW167" s="540"/>
      <c r="BX167" s="538"/>
      <c r="BY167" s="538"/>
      <c r="BZ167" s="592"/>
      <c r="CA167" s="633"/>
      <c r="CB167" s="592" t="s">
        <v>365</v>
      </c>
      <c r="CC167" s="592">
        <v>0.0</v>
      </c>
      <c r="CD167" s="592" t="s">
        <v>365</v>
      </c>
      <c r="CE167" s="592">
        <v>0.0</v>
      </c>
      <c r="CF167" s="592"/>
      <c r="CG167" s="592">
        <v>0.0</v>
      </c>
      <c r="CH167" s="592"/>
      <c r="CI167" s="633"/>
      <c r="CJ167" s="592">
        <v>0.0</v>
      </c>
      <c r="CK167" s="479" t="s">
        <v>365</v>
      </c>
      <c r="CL167" s="592"/>
      <c r="CM167" s="593"/>
      <c r="CN167" s="538"/>
      <c r="CO167" s="538"/>
      <c r="CP167" s="538"/>
      <c r="CQ167" s="538"/>
      <c r="CR167" s="538"/>
      <c r="CS167" s="538"/>
      <c r="CT167" s="538"/>
      <c r="CU167" s="538"/>
      <c r="CV167" s="538"/>
      <c r="CW167" s="538"/>
      <c r="CX167" s="538"/>
      <c r="CY167" s="538"/>
      <c r="CZ167" s="538"/>
      <c r="DA167" s="538"/>
      <c r="DB167" s="538"/>
      <c r="DC167" s="538"/>
      <c r="DD167" s="538"/>
      <c r="DE167" s="538"/>
      <c r="DF167" s="538"/>
      <c r="DG167" s="538"/>
      <c r="DH167" s="538"/>
      <c r="DI167" s="538"/>
      <c r="DJ167" s="538"/>
      <c r="DK167" s="538"/>
      <c r="DL167" s="538"/>
      <c r="DM167" s="538"/>
      <c r="DN167" s="538"/>
      <c r="DO167" s="538"/>
      <c r="DP167" s="538"/>
      <c r="DQ167" s="538"/>
      <c r="DR167" s="538"/>
      <c r="DS167" s="538"/>
      <c r="DT167" s="538"/>
      <c r="DU167" s="538"/>
      <c r="DV167" s="538"/>
      <c r="DW167" s="538"/>
      <c r="DX167" s="538"/>
      <c r="DY167" s="538"/>
      <c r="DZ167" s="538"/>
      <c r="EA167" s="538"/>
      <c r="EB167" s="538"/>
      <c r="EC167" s="538"/>
      <c r="ED167" s="538"/>
      <c r="EE167" s="538"/>
      <c r="EF167" s="538"/>
      <c r="EG167" s="538"/>
      <c r="EH167" s="538"/>
      <c r="EI167" s="538"/>
      <c r="EJ167" s="538"/>
      <c r="EK167" s="538"/>
      <c r="EL167" s="538"/>
      <c r="EM167" s="538"/>
      <c r="EN167" s="538"/>
      <c r="EO167" s="538"/>
      <c r="EP167" s="538"/>
      <c r="EQ167" s="538"/>
      <c r="ER167" s="538"/>
      <c r="ES167" s="538"/>
      <c r="ET167" s="538"/>
      <c r="EU167" s="538"/>
      <c r="EV167" s="538"/>
      <c r="EW167" s="538"/>
      <c r="EX167" s="559"/>
      <c r="EY167" s="559"/>
      <c r="EZ167" s="559"/>
      <c r="FA167" s="559"/>
      <c r="FB167" s="559"/>
      <c r="FC167" s="559"/>
      <c r="FD167" s="559"/>
      <c r="FE167" s="559"/>
      <c r="FF167" s="559"/>
      <c r="FG167" s="559"/>
      <c r="FH167" s="559"/>
      <c r="FI167" s="559"/>
      <c r="FJ167" s="559"/>
      <c r="FK167" s="559"/>
      <c r="FL167" s="559"/>
      <c r="FM167" s="559"/>
      <c r="FN167" s="559"/>
      <c r="FO167" s="559"/>
      <c r="FP167" s="559"/>
      <c r="FQ167" s="559"/>
      <c r="FR167" s="559"/>
      <c r="FS167" s="559"/>
      <c r="FT167" s="559"/>
      <c r="FU167" s="559"/>
      <c r="FV167" s="559"/>
      <c r="FW167" s="559"/>
      <c r="FX167" s="559"/>
      <c r="FY167" s="559"/>
      <c r="FZ167" s="559"/>
      <c r="GA167" s="559"/>
      <c r="GB167" s="559"/>
      <c r="GC167" s="559"/>
      <c r="GD167" s="559"/>
      <c r="GE167" s="559"/>
      <c r="GF167" s="559"/>
      <c r="GG167" s="559"/>
      <c r="GH167" s="559"/>
    </row>
    <row r="168">
      <c r="A168" s="538"/>
      <c r="B168" s="156"/>
      <c r="C168" s="444"/>
      <c r="D168" s="614"/>
      <c r="E168" s="68"/>
      <c r="F168" s="644"/>
      <c r="G168" s="644"/>
      <c r="H168" s="627"/>
      <c r="I168" s="622" t="s">
        <v>365</v>
      </c>
      <c r="J168" s="607"/>
      <c r="K168" s="641"/>
      <c r="L168" s="628"/>
      <c r="M168" s="626"/>
      <c r="N168" s="619"/>
      <c r="O168" s="560"/>
      <c r="P168" s="47"/>
      <c r="Q168" s="47"/>
      <c r="S168" s="572"/>
      <c r="U168" s="573"/>
      <c r="V168" s="574"/>
      <c r="W168" s="618"/>
      <c r="X168" s="576">
        <v>0.0</v>
      </c>
      <c r="Y168" s="630">
        <v>0.0</v>
      </c>
      <c r="Z168" s="630" t="s">
        <v>365</v>
      </c>
      <c r="AA168" s="631" t="b">
        <v>0</v>
      </c>
      <c r="AB168" s="631"/>
      <c r="AC168" s="576"/>
      <c r="AD168" s="479">
        <v>0.0</v>
      </c>
      <c r="AE168" s="632"/>
      <c r="AF168" s="582" t="s">
        <v>365</v>
      </c>
      <c r="AG168" s="583"/>
      <c r="AH168" s="584"/>
      <c r="AI168" s="583"/>
      <c r="AJ168" s="585"/>
      <c r="AK168" s="583"/>
      <c r="AL168" s="584"/>
      <c r="AM168" s="583"/>
      <c r="AN168" s="585"/>
      <c r="AO168" s="583"/>
      <c r="AP168" s="584"/>
      <c r="AQ168" s="583"/>
      <c r="AR168" s="585"/>
      <c r="AS168" s="583"/>
      <c r="AT168" s="584"/>
      <c r="AU168" s="583"/>
      <c r="AV168" s="585"/>
      <c r="AW168" s="583"/>
      <c r="AX168" s="584"/>
      <c r="AY168" s="583"/>
      <c r="AZ168" s="585"/>
      <c r="BA168" s="583"/>
      <c r="BB168" s="584"/>
      <c r="BC168" s="583"/>
      <c r="BD168" s="585"/>
      <c r="BE168" s="583"/>
      <c r="BF168" s="584"/>
      <c r="BG168" s="583"/>
      <c r="BH168" s="585"/>
      <c r="BI168" s="583"/>
      <c r="BJ168" s="584"/>
      <c r="BK168" s="583"/>
      <c r="BL168" s="585"/>
      <c r="BM168" s="583"/>
      <c r="BN168" s="584"/>
      <c r="BO168" s="583"/>
      <c r="BP168" s="585"/>
      <c r="BQ168" s="583"/>
      <c r="BR168" s="584"/>
      <c r="BS168" s="583"/>
      <c r="BT168" s="586"/>
      <c r="BU168" s="540"/>
      <c r="BV168" s="540"/>
      <c r="BW168" s="540"/>
      <c r="BX168" s="538"/>
      <c r="BY168" s="538"/>
      <c r="BZ168" s="592"/>
      <c r="CA168" s="633"/>
      <c r="CB168" s="592" t="s">
        <v>365</v>
      </c>
      <c r="CC168" s="592">
        <v>0.0</v>
      </c>
      <c r="CD168" s="592" t="s">
        <v>365</v>
      </c>
      <c r="CE168" s="592">
        <v>0.0</v>
      </c>
      <c r="CF168" s="592"/>
      <c r="CG168" s="592">
        <v>0.0</v>
      </c>
      <c r="CH168" s="592"/>
      <c r="CI168" s="633"/>
      <c r="CJ168" s="592">
        <v>0.0</v>
      </c>
      <c r="CK168" s="479" t="s">
        <v>365</v>
      </c>
      <c r="CL168" s="592"/>
      <c r="CM168" s="593"/>
      <c r="CN168" s="538"/>
      <c r="CO168" s="538"/>
      <c r="CP168" s="538"/>
      <c r="CQ168" s="538"/>
      <c r="CR168" s="538"/>
      <c r="CS168" s="538"/>
      <c r="CT168" s="538"/>
      <c r="CU168" s="538"/>
      <c r="CV168" s="538"/>
      <c r="CW168" s="538"/>
      <c r="CX168" s="538"/>
      <c r="CY168" s="538"/>
      <c r="CZ168" s="538"/>
      <c r="DA168" s="538"/>
      <c r="DB168" s="538"/>
      <c r="DC168" s="538"/>
      <c r="DD168" s="538"/>
      <c r="DE168" s="538"/>
      <c r="DF168" s="538"/>
      <c r="DG168" s="538"/>
      <c r="DH168" s="538"/>
      <c r="DI168" s="538"/>
      <c r="DJ168" s="538"/>
      <c r="DK168" s="538"/>
      <c r="DL168" s="538"/>
      <c r="DM168" s="538"/>
      <c r="DN168" s="538"/>
      <c r="DO168" s="538"/>
      <c r="DP168" s="538"/>
      <c r="DQ168" s="538"/>
      <c r="DR168" s="538"/>
      <c r="DS168" s="538"/>
      <c r="DT168" s="538"/>
      <c r="DU168" s="538"/>
      <c r="DV168" s="538"/>
      <c r="DW168" s="538"/>
      <c r="DX168" s="538"/>
      <c r="DY168" s="538"/>
      <c r="DZ168" s="538"/>
      <c r="EA168" s="538"/>
      <c r="EB168" s="538"/>
      <c r="EC168" s="538"/>
      <c r="ED168" s="538"/>
      <c r="EE168" s="538"/>
      <c r="EF168" s="538"/>
      <c r="EG168" s="538"/>
      <c r="EH168" s="538"/>
      <c r="EI168" s="538"/>
      <c r="EJ168" s="538"/>
      <c r="EK168" s="538"/>
      <c r="EL168" s="538"/>
      <c r="EM168" s="538"/>
      <c r="EN168" s="538"/>
      <c r="EO168" s="538"/>
      <c r="EP168" s="538"/>
      <c r="EQ168" s="538"/>
      <c r="ER168" s="538"/>
      <c r="ES168" s="538"/>
      <c r="ET168" s="538"/>
      <c r="EU168" s="538"/>
      <c r="EV168" s="538"/>
      <c r="EW168" s="538"/>
      <c r="EX168" s="559"/>
      <c r="EY168" s="559"/>
      <c r="EZ168" s="559"/>
      <c r="FA168" s="559"/>
      <c r="FB168" s="559"/>
      <c r="FC168" s="559"/>
      <c r="FD168" s="559"/>
      <c r="FE168" s="559"/>
      <c r="FF168" s="559"/>
      <c r="FG168" s="559"/>
      <c r="FH168" s="559"/>
      <c r="FI168" s="559"/>
      <c r="FJ168" s="559"/>
      <c r="FK168" s="559"/>
      <c r="FL168" s="559"/>
      <c r="FM168" s="559"/>
      <c r="FN168" s="559"/>
      <c r="FO168" s="559"/>
      <c r="FP168" s="559"/>
      <c r="FQ168" s="559"/>
      <c r="FR168" s="559"/>
      <c r="FS168" s="559"/>
      <c r="FT168" s="559"/>
      <c r="FU168" s="559"/>
      <c r="FV168" s="559"/>
      <c r="FW168" s="559"/>
      <c r="FX168" s="559"/>
      <c r="FY168" s="559"/>
      <c r="FZ168" s="559"/>
      <c r="GA168" s="559"/>
      <c r="GB168" s="559"/>
      <c r="GC168" s="559"/>
      <c r="GD168" s="559"/>
      <c r="GE168" s="559"/>
      <c r="GF168" s="559"/>
      <c r="GG168" s="559"/>
      <c r="GH168" s="559"/>
    </row>
    <row r="169">
      <c r="A169" s="538"/>
      <c r="B169" s="156"/>
      <c r="C169" s="444"/>
      <c r="D169" s="614"/>
      <c r="E169" s="66"/>
      <c r="F169" s="642"/>
      <c r="G169" s="642"/>
      <c r="H169" s="615"/>
      <c r="I169" s="616" t="s">
        <v>365</v>
      </c>
      <c r="J169" s="624"/>
      <c r="K169" s="643"/>
      <c r="L169" s="640"/>
      <c r="M169" s="625"/>
      <c r="N169" s="617"/>
      <c r="O169" s="134"/>
      <c r="P169" s="57"/>
      <c r="Q169" s="57"/>
      <c r="S169" s="605"/>
      <c r="U169" s="573"/>
      <c r="V169" s="574"/>
      <c r="W169" s="618"/>
      <c r="X169" s="576">
        <v>0.0</v>
      </c>
      <c r="Y169" s="630">
        <v>0.0</v>
      </c>
      <c r="Z169" s="630" t="s">
        <v>365</v>
      </c>
      <c r="AA169" s="631" t="b">
        <v>0</v>
      </c>
      <c r="AB169" s="631"/>
      <c r="AC169" s="576"/>
      <c r="AD169" s="479">
        <v>0.0</v>
      </c>
      <c r="AE169" s="632"/>
      <c r="AF169" s="582" t="s">
        <v>365</v>
      </c>
      <c r="AG169" s="583"/>
      <c r="AH169" s="584"/>
      <c r="AI169" s="583"/>
      <c r="AJ169" s="585"/>
      <c r="AK169" s="583"/>
      <c r="AL169" s="584"/>
      <c r="AM169" s="583"/>
      <c r="AN169" s="585"/>
      <c r="AO169" s="583"/>
      <c r="AP169" s="584"/>
      <c r="AQ169" s="583"/>
      <c r="AR169" s="585"/>
      <c r="AS169" s="583"/>
      <c r="AT169" s="584"/>
      <c r="AU169" s="583"/>
      <c r="AV169" s="585"/>
      <c r="AW169" s="583"/>
      <c r="AX169" s="584"/>
      <c r="AY169" s="583"/>
      <c r="AZ169" s="585"/>
      <c r="BA169" s="583"/>
      <c r="BB169" s="584"/>
      <c r="BC169" s="583"/>
      <c r="BD169" s="585"/>
      <c r="BE169" s="583"/>
      <c r="BF169" s="584"/>
      <c r="BG169" s="583"/>
      <c r="BH169" s="585"/>
      <c r="BI169" s="583"/>
      <c r="BJ169" s="584"/>
      <c r="BK169" s="583"/>
      <c r="BL169" s="585"/>
      <c r="BM169" s="583"/>
      <c r="BN169" s="584"/>
      <c r="BO169" s="583"/>
      <c r="BP169" s="585"/>
      <c r="BQ169" s="583"/>
      <c r="BR169" s="584"/>
      <c r="BS169" s="583"/>
      <c r="BT169" s="586"/>
      <c r="BU169" s="540"/>
      <c r="BV169" s="540"/>
      <c r="BW169" s="540"/>
      <c r="BX169" s="538"/>
      <c r="BY169" s="538"/>
      <c r="BZ169" s="592"/>
      <c r="CA169" s="633"/>
      <c r="CB169" s="592" t="s">
        <v>365</v>
      </c>
      <c r="CC169" s="592">
        <v>0.0</v>
      </c>
      <c r="CD169" s="592" t="s">
        <v>365</v>
      </c>
      <c r="CE169" s="592">
        <v>0.0</v>
      </c>
      <c r="CF169" s="592"/>
      <c r="CG169" s="592">
        <v>0.0</v>
      </c>
      <c r="CH169" s="592"/>
      <c r="CI169" s="633"/>
      <c r="CJ169" s="592">
        <v>0.0</v>
      </c>
      <c r="CK169" s="479" t="s">
        <v>365</v>
      </c>
      <c r="CL169" s="592"/>
      <c r="CM169" s="593"/>
      <c r="CN169" s="538"/>
      <c r="CO169" s="538"/>
      <c r="CP169" s="538"/>
      <c r="CQ169" s="538"/>
      <c r="CR169" s="538"/>
      <c r="CS169" s="538"/>
      <c r="CT169" s="538"/>
      <c r="CU169" s="538"/>
      <c r="CV169" s="538"/>
      <c r="CW169" s="538"/>
      <c r="CX169" s="538"/>
      <c r="CY169" s="538"/>
      <c r="CZ169" s="538"/>
      <c r="DA169" s="538"/>
      <c r="DB169" s="538"/>
      <c r="DC169" s="538"/>
      <c r="DD169" s="538"/>
      <c r="DE169" s="538"/>
      <c r="DF169" s="538"/>
      <c r="DG169" s="538"/>
      <c r="DH169" s="538"/>
      <c r="DI169" s="538"/>
      <c r="DJ169" s="538"/>
      <c r="DK169" s="538"/>
      <c r="DL169" s="538"/>
      <c r="DM169" s="538"/>
      <c r="DN169" s="538"/>
      <c r="DO169" s="538"/>
      <c r="DP169" s="538"/>
      <c r="DQ169" s="538"/>
      <c r="DR169" s="538"/>
      <c r="DS169" s="538"/>
      <c r="DT169" s="538"/>
      <c r="DU169" s="538"/>
      <c r="DV169" s="538"/>
      <c r="DW169" s="538"/>
      <c r="DX169" s="538"/>
      <c r="DY169" s="538"/>
      <c r="DZ169" s="538"/>
      <c r="EA169" s="538"/>
      <c r="EB169" s="538"/>
      <c r="EC169" s="538"/>
      <c r="ED169" s="538"/>
      <c r="EE169" s="538"/>
      <c r="EF169" s="538"/>
      <c r="EG169" s="538"/>
      <c r="EH169" s="538"/>
      <c r="EI169" s="538"/>
      <c r="EJ169" s="538"/>
      <c r="EK169" s="538"/>
      <c r="EL169" s="538"/>
      <c r="EM169" s="538"/>
      <c r="EN169" s="538"/>
      <c r="EO169" s="538"/>
      <c r="EP169" s="538"/>
      <c r="EQ169" s="538"/>
      <c r="ER169" s="538"/>
      <c r="ES169" s="538"/>
      <c r="ET169" s="538"/>
      <c r="EU169" s="538"/>
      <c r="EV169" s="538"/>
      <c r="EW169" s="538"/>
      <c r="EX169" s="559"/>
      <c r="EY169" s="559"/>
      <c r="EZ169" s="559"/>
      <c r="FA169" s="559"/>
      <c r="FB169" s="559"/>
      <c r="FC169" s="559"/>
      <c r="FD169" s="559"/>
      <c r="FE169" s="559"/>
      <c r="FF169" s="559"/>
      <c r="FG169" s="559"/>
      <c r="FH169" s="559"/>
      <c r="FI169" s="559"/>
      <c r="FJ169" s="559"/>
      <c r="FK169" s="559"/>
      <c r="FL169" s="559"/>
      <c r="FM169" s="559"/>
      <c r="FN169" s="559"/>
      <c r="FO169" s="559"/>
      <c r="FP169" s="559"/>
      <c r="FQ169" s="559"/>
      <c r="FR169" s="559"/>
      <c r="FS169" s="559"/>
      <c r="FT169" s="559"/>
      <c r="FU169" s="559"/>
      <c r="FV169" s="559"/>
      <c r="FW169" s="559"/>
      <c r="FX169" s="559"/>
      <c r="FY169" s="559"/>
      <c r="FZ169" s="559"/>
      <c r="GA169" s="559"/>
      <c r="GB169" s="559"/>
      <c r="GC169" s="559"/>
      <c r="GD169" s="559"/>
      <c r="GE169" s="559"/>
      <c r="GF169" s="559"/>
      <c r="GG169" s="559"/>
      <c r="GH169" s="559"/>
    </row>
    <row r="170">
      <c r="A170" s="538"/>
      <c r="B170" s="156"/>
      <c r="C170" s="444"/>
      <c r="D170" s="614"/>
      <c r="E170" s="68"/>
      <c r="F170" s="644"/>
      <c r="G170" s="644"/>
      <c r="H170" s="627"/>
      <c r="I170" s="622" t="s">
        <v>365</v>
      </c>
      <c r="J170" s="607"/>
      <c r="K170" s="641"/>
      <c r="L170" s="628"/>
      <c r="M170" s="626"/>
      <c r="N170" s="619"/>
      <c r="O170" s="560"/>
      <c r="P170" s="47"/>
      <c r="Q170" s="47"/>
      <c r="S170" s="572"/>
      <c r="U170" s="573"/>
      <c r="V170" s="574"/>
      <c r="W170" s="618"/>
      <c r="X170" s="576">
        <v>0.0</v>
      </c>
      <c r="Y170" s="630">
        <v>0.0</v>
      </c>
      <c r="Z170" s="630" t="s">
        <v>365</v>
      </c>
      <c r="AA170" s="631" t="b">
        <v>0</v>
      </c>
      <c r="AB170" s="631"/>
      <c r="AC170" s="576"/>
      <c r="AD170" s="479">
        <v>0.0</v>
      </c>
      <c r="AE170" s="632"/>
      <c r="AF170" s="582" t="s">
        <v>365</v>
      </c>
      <c r="AG170" s="583"/>
      <c r="AH170" s="584"/>
      <c r="AI170" s="583"/>
      <c r="AJ170" s="585"/>
      <c r="AK170" s="583"/>
      <c r="AL170" s="584"/>
      <c r="AM170" s="583"/>
      <c r="AN170" s="585"/>
      <c r="AO170" s="583"/>
      <c r="AP170" s="584"/>
      <c r="AQ170" s="583"/>
      <c r="AR170" s="585"/>
      <c r="AS170" s="583"/>
      <c r="AT170" s="584"/>
      <c r="AU170" s="583"/>
      <c r="AV170" s="585"/>
      <c r="AW170" s="583"/>
      <c r="AX170" s="584"/>
      <c r="AY170" s="583"/>
      <c r="AZ170" s="585"/>
      <c r="BA170" s="583"/>
      <c r="BB170" s="584"/>
      <c r="BC170" s="583"/>
      <c r="BD170" s="585"/>
      <c r="BE170" s="583"/>
      <c r="BF170" s="584"/>
      <c r="BG170" s="583"/>
      <c r="BH170" s="585"/>
      <c r="BI170" s="583"/>
      <c r="BJ170" s="584"/>
      <c r="BK170" s="583"/>
      <c r="BL170" s="585"/>
      <c r="BM170" s="583"/>
      <c r="BN170" s="584"/>
      <c r="BO170" s="583"/>
      <c r="BP170" s="585"/>
      <c r="BQ170" s="583"/>
      <c r="BR170" s="584"/>
      <c r="BS170" s="583"/>
      <c r="BT170" s="586"/>
      <c r="BU170" s="540"/>
      <c r="BV170" s="540"/>
      <c r="BW170" s="540"/>
      <c r="BX170" s="538"/>
      <c r="BY170" s="538"/>
      <c r="BZ170" s="592"/>
      <c r="CA170" s="633"/>
      <c r="CB170" s="592" t="s">
        <v>365</v>
      </c>
      <c r="CC170" s="592">
        <v>0.0</v>
      </c>
      <c r="CD170" s="592" t="s">
        <v>365</v>
      </c>
      <c r="CE170" s="592">
        <v>0.0</v>
      </c>
      <c r="CF170" s="592"/>
      <c r="CG170" s="592">
        <v>0.0</v>
      </c>
      <c r="CH170" s="592"/>
      <c r="CI170" s="633"/>
      <c r="CJ170" s="592">
        <v>0.0</v>
      </c>
      <c r="CK170" s="479" t="s">
        <v>365</v>
      </c>
      <c r="CL170" s="592"/>
      <c r="CM170" s="593"/>
      <c r="CN170" s="538"/>
      <c r="CO170" s="538"/>
      <c r="CP170" s="538"/>
      <c r="CQ170" s="538"/>
      <c r="CR170" s="538"/>
      <c r="CS170" s="538"/>
      <c r="CT170" s="538"/>
      <c r="CU170" s="538"/>
      <c r="CV170" s="538"/>
      <c r="CW170" s="538"/>
      <c r="CX170" s="538"/>
      <c r="CY170" s="538"/>
      <c r="CZ170" s="538"/>
      <c r="DA170" s="538"/>
      <c r="DB170" s="538"/>
      <c r="DC170" s="538"/>
      <c r="DD170" s="538"/>
      <c r="DE170" s="538"/>
      <c r="DF170" s="538"/>
      <c r="DG170" s="538"/>
      <c r="DH170" s="538"/>
      <c r="DI170" s="538"/>
      <c r="DJ170" s="538"/>
      <c r="DK170" s="538"/>
      <c r="DL170" s="538"/>
      <c r="DM170" s="538"/>
      <c r="DN170" s="538"/>
      <c r="DO170" s="538"/>
      <c r="DP170" s="538"/>
      <c r="DQ170" s="538"/>
      <c r="DR170" s="538"/>
      <c r="DS170" s="538"/>
      <c r="DT170" s="538"/>
      <c r="DU170" s="538"/>
      <c r="DV170" s="538"/>
      <c r="DW170" s="538"/>
      <c r="DX170" s="538"/>
      <c r="DY170" s="538"/>
      <c r="DZ170" s="538"/>
      <c r="EA170" s="538"/>
      <c r="EB170" s="538"/>
      <c r="EC170" s="538"/>
      <c r="ED170" s="538"/>
      <c r="EE170" s="538"/>
      <c r="EF170" s="538"/>
      <c r="EG170" s="538"/>
      <c r="EH170" s="538"/>
      <c r="EI170" s="538"/>
      <c r="EJ170" s="538"/>
      <c r="EK170" s="538"/>
      <c r="EL170" s="538"/>
      <c r="EM170" s="538"/>
      <c r="EN170" s="538"/>
      <c r="EO170" s="538"/>
      <c r="EP170" s="538"/>
      <c r="EQ170" s="538"/>
      <c r="ER170" s="538"/>
      <c r="ES170" s="538"/>
      <c r="ET170" s="538"/>
      <c r="EU170" s="538"/>
      <c r="EV170" s="538"/>
      <c r="EW170" s="538"/>
      <c r="EX170" s="559"/>
      <c r="EY170" s="559"/>
      <c r="EZ170" s="559"/>
      <c r="FA170" s="559"/>
      <c r="FB170" s="559"/>
      <c r="FC170" s="559"/>
      <c r="FD170" s="559"/>
      <c r="FE170" s="559"/>
      <c r="FF170" s="559"/>
      <c r="FG170" s="559"/>
      <c r="FH170" s="559"/>
      <c r="FI170" s="559"/>
      <c r="FJ170" s="559"/>
      <c r="FK170" s="559"/>
      <c r="FL170" s="559"/>
      <c r="FM170" s="559"/>
      <c r="FN170" s="559"/>
      <c r="FO170" s="559"/>
      <c r="FP170" s="559"/>
      <c r="FQ170" s="559"/>
      <c r="FR170" s="559"/>
      <c r="FS170" s="559"/>
      <c r="FT170" s="559"/>
      <c r="FU170" s="559"/>
      <c r="FV170" s="559"/>
      <c r="FW170" s="559"/>
      <c r="FX170" s="559"/>
      <c r="FY170" s="559"/>
      <c r="FZ170" s="559"/>
      <c r="GA170" s="559"/>
      <c r="GB170" s="559"/>
      <c r="GC170" s="559"/>
      <c r="GD170" s="559"/>
      <c r="GE170" s="559"/>
      <c r="GF170" s="559"/>
      <c r="GG170" s="559"/>
      <c r="GH170" s="559"/>
    </row>
    <row r="171">
      <c r="A171" s="538"/>
      <c r="B171" s="156"/>
      <c r="C171" s="444"/>
      <c r="D171" s="614"/>
      <c r="E171" s="66"/>
      <c r="F171" s="642"/>
      <c r="G171" s="642"/>
      <c r="H171" s="615"/>
      <c r="I171" s="616" t="s">
        <v>365</v>
      </c>
      <c r="J171" s="624"/>
      <c r="K171" s="643"/>
      <c r="L171" s="640"/>
      <c r="M171" s="625"/>
      <c r="N171" s="617"/>
      <c r="O171" s="134"/>
      <c r="P171" s="57"/>
      <c r="Q171" s="57"/>
      <c r="S171" s="605"/>
      <c r="U171" s="573"/>
      <c r="V171" s="574"/>
      <c r="W171" s="618"/>
      <c r="X171" s="576">
        <v>0.0</v>
      </c>
      <c r="Y171" s="630">
        <v>0.0</v>
      </c>
      <c r="Z171" s="630" t="s">
        <v>365</v>
      </c>
      <c r="AA171" s="631" t="b">
        <v>0</v>
      </c>
      <c r="AB171" s="631"/>
      <c r="AC171" s="576"/>
      <c r="AD171" s="479">
        <v>0.0</v>
      </c>
      <c r="AE171" s="632"/>
      <c r="AF171" s="582" t="s">
        <v>365</v>
      </c>
      <c r="AG171" s="583"/>
      <c r="AH171" s="584"/>
      <c r="AI171" s="583"/>
      <c r="AJ171" s="585"/>
      <c r="AK171" s="583"/>
      <c r="AL171" s="584"/>
      <c r="AM171" s="583"/>
      <c r="AN171" s="585"/>
      <c r="AO171" s="583"/>
      <c r="AP171" s="584"/>
      <c r="AQ171" s="583"/>
      <c r="AR171" s="585"/>
      <c r="AS171" s="583"/>
      <c r="AT171" s="584"/>
      <c r="AU171" s="583"/>
      <c r="AV171" s="585"/>
      <c r="AW171" s="583"/>
      <c r="AX171" s="584"/>
      <c r="AY171" s="583"/>
      <c r="AZ171" s="585"/>
      <c r="BA171" s="583"/>
      <c r="BB171" s="584"/>
      <c r="BC171" s="583"/>
      <c r="BD171" s="585"/>
      <c r="BE171" s="583"/>
      <c r="BF171" s="584"/>
      <c r="BG171" s="583"/>
      <c r="BH171" s="585"/>
      <c r="BI171" s="583"/>
      <c r="BJ171" s="584"/>
      <c r="BK171" s="583"/>
      <c r="BL171" s="585"/>
      <c r="BM171" s="583"/>
      <c r="BN171" s="584"/>
      <c r="BO171" s="583"/>
      <c r="BP171" s="585"/>
      <c r="BQ171" s="583"/>
      <c r="BR171" s="584"/>
      <c r="BS171" s="583"/>
      <c r="BT171" s="586"/>
      <c r="BU171" s="540"/>
      <c r="BV171" s="540"/>
      <c r="BW171" s="540"/>
      <c r="BX171" s="538"/>
      <c r="BY171" s="538"/>
      <c r="BZ171" s="592"/>
      <c r="CA171" s="633"/>
      <c r="CB171" s="592" t="s">
        <v>365</v>
      </c>
      <c r="CC171" s="592">
        <v>0.0</v>
      </c>
      <c r="CD171" s="592" t="s">
        <v>365</v>
      </c>
      <c r="CE171" s="592">
        <v>0.0</v>
      </c>
      <c r="CF171" s="592"/>
      <c r="CG171" s="592">
        <v>0.0</v>
      </c>
      <c r="CH171" s="592"/>
      <c r="CI171" s="633"/>
      <c r="CJ171" s="592">
        <v>0.0</v>
      </c>
      <c r="CK171" s="479" t="s">
        <v>365</v>
      </c>
      <c r="CL171" s="592"/>
      <c r="CM171" s="593"/>
      <c r="CN171" s="538"/>
      <c r="CO171" s="538"/>
      <c r="CP171" s="538"/>
      <c r="CQ171" s="538"/>
      <c r="CR171" s="538"/>
      <c r="CS171" s="538"/>
      <c r="CT171" s="538"/>
      <c r="CU171" s="538"/>
      <c r="CV171" s="538"/>
      <c r="CW171" s="538"/>
      <c r="CX171" s="538"/>
      <c r="CY171" s="538"/>
      <c r="CZ171" s="538"/>
      <c r="DA171" s="538"/>
      <c r="DB171" s="538"/>
      <c r="DC171" s="538"/>
      <c r="DD171" s="538"/>
      <c r="DE171" s="538"/>
      <c r="DF171" s="538"/>
      <c r="DG171" s="538"/>
      <c r="DH171" s="538"/>
      <c r="DI171" s="538"/>
      <c r="DJ171" s="538"/>
      <c r="DK171" s="538"/>
      <c r="DL171" s="538"/>
      <c r="DM171" s="538"/>
      <c r="DN171" s="538"/>
      <c r="DO171" s="538"/>
      <c r="DP171" s="538"/>
      <c r="DQ171" s="538"/>
      <c r="DR171" s="538"/>
      <c r="DS171" s="538"/>
      <c r="DT171" s="538"/>
      <c r="DU171" s="538"/>
      <c r="DV171" s="538"/>
      <c r="DW171" s="538"/>
      <c r="DX171" s="538"/>
      <c r="DY171" s="538"/>
      <c r="DZ171" s="538"/>
      <c r="EA171" s="538"/>
      <c r="EB171" s="538"/>
      <c r="EC171" s="538"/>
      <c r="ED171" s="538"/>
      <c r="EE171" s="538"/>
      <c r="EF171" s="538"/>
      <c r="EG171" s="538"/>
      <c r="EH171" s="538"/>
      <c r="EI171" s="538"/>
      <c r="EJ171" s="538"/>
      <c r="EK171" s="538"/>
      <c r="EL171" s="538"/>
      <c r="EM171" s="538"/>
      <c r="EN171" s="538"/>
      <c r="EO171" s="538"/>
      <c r="EP171" s="538"/>
      <c r="EQ171" s="538"/>
      <c r="ER171" s="538"/>
      <c r="ES171" s="538"/>
      <c r="ET171" s="538"/>
      <c r="EU171" s="538"/>
      <c r="EV171" s="538"/>
      <c r="EW171" s="538"/>
      <c r="EX171" s="559"/>
      <c r="EY171" s="559"/>
      <c r="EZ171" s="559"/>
      <c r="FA171" s="559"/>
      <c r="FB171" s="559"/>
      <c r="FC171" s="559"/>
      <c r="FD171" s="559"/>
      <c r="FE171" s="559"/>
      <c r="FF171" s="559"/>
      <c r="FG171" s="559"/>
      <c r="FH171" s="559"/>
      <c r="FI171" s="559"/>
      <c r="FJ171" s="559"/>
      <c r="FK171" s="559"/>
      <c r="FL171" s="559"/>
      <c r="FM171" s="559"/>
      <c r="FN171" s="559"/>
      <c r="FO171" s="559"/>
      <c r="FP171" s="559"/>
      <c r="FQ171" s="559"/>
      <c r="FR171" s="559"/>
      <c r="FS171" s="559"/>
      <c r="FT171" s="559"/>
      <c r="FU171" s="559"/>
      <c r="FV171" s="559"/>
      <c r="FW171" s="559"/>
      <c r="FX171" s="559"/>
      <c r="FY171" s="559"/>
      <c r="FZ171" s="559"/>
      <c r="GA171" s="559"/>
      <c r="GB171" s="559"/>
      <c r="GC171" s="559"/>
      <c r="GD171" s="559"/>
      <c r="GE171" s="559"/>
      <c r="GF171" s="559"/>
      <c r="GG171" s="559"/>
      <c r="GH171" s="559"/>
    </row>
    <row r="172">
      <c r="A172" s="538"/>
      <c r="B172" s="156"/>
      <c r="C172" s="444"/>
      <c r="D172" s="614"/>
      <c r="E172" s="68"/>
      <c r="F172" s="644"/>
      <c r="G172" s="644"/>
      <c r="H172" s="627"/>
      <c r="I172" s="622" t="s">
        <v>365</v>
      </c>
      <c r="J172" s="607"/>
      <c r="K172" s="641"/>
      <c r="L172" s="628"/>
      <c r="M172" s="626"/>
      <c r="N172" s="619"/>
      <c r="O172" s="560"/>
      <c r="P172" s="47"/>
      <c r="Q172" s="47"/>
      <c r="S172" s="572"/>
      <c r="U172" s="573"/>
      <c r="V172" s="574"/>
      <c r="W172" s="618"/>
      <c r="X172" s="576">
        <v>0.0</v>
      </c>
      <c r="Y172" s="630">
        <v>0.0</v>
      </c>
      <c r="Z172" s="630" t="s">
        <v>365</v>
      </c>
      <c r="AA172" s="631" t="b">
        <v>0</v>
      </c>
      <c r="AB172" s="631"/>
      <c r="AC172" s="576"/>
      <c r="AD172" s="479">
        <v>0.0</v>
      </c>
      <c r="AE172" s="632"/>
      <c r="AF172" s="582" t="s">
        <v>365</v>
      </c>
      <c r="AG172" s="583"/>
      <c r="AH172" s="584"/>
      <c r="AI172" s="583"/>
      <c r="AJ172" s="585"/>
      <c r="AK172" s="583"/>
      <c r="AL172" s="584"/>
      <c r="AM172" s="583"/>
      <c r="AN172" s="585"/>
      <c r="AO172" s="583"/>
      <c r="AP172" s="584"/>
      <c r="AQ172" s="583"/>
      <c r="AR172" s="585"/>
      <c r="AS172" s="583"/>
      <c r="AT172" s="584"/>
      <c r="AU172" s="583"/>
      <c r="AV172" s="585"/>
      <c r="AW172" s="583"/>
      <c r="AX172" s="584"/>
      <c r="AY172" s="583"/>
      <c r="AZ172" s="585"/>
      <c r="BA172" s="583"/>
      <c r="BB172" s="584"/>
      <c r="BC172" s="583"/>
      <c r="BD172" s="585"/>
      <c r="BE172" s="583"/>
      <c r="BF172" s="584"/>
      <c r="BG172" s="583"/>
      <c r="BH172" s="585"/>
      <c r="BI172" s="583"/>
      <c r="BJ172" s="584"/>
      <c r="BK172" s="583"/>
      <c r="BL172" s="585"/>
      <c r="BM172" s="583"/>
      <c r="BN172" s="584"/>
      <c r="BO172" s="583"/>
      <c r="BP172" s="585"/>
      <c r="BQ172" s="583"/>
      <c r="BR172" s="584"/>
      <c r="BS172" s="583"/>
      <c r="BT172" s="586"/>
      <c r="BU172" s="540"/>
      <c r="BV172" s="540"/>
      <c r="BW172" s="540"/>
      <c r="BX172" s="538"/>
      <c r="BY172" s="538"/>
      <c r="BZ172" s="592"/>
      <c r="CA172" s="633"/>
      <c r="CB172" s="592" t="s">
        <v>365</v>
      </c>
      <c r="CC172" s="592">
        <v>0.0</v>
      </c>
      <c r="CD172" s="592" t="s">
        <v>365</v>
      </c>
      <c r="CE172" s="592">
        <v>0.0</v>
      </c>
      <c r="CF172" s="592"/>
      <c r="CG172" s="592">
        <v>0.0</v>
      </c>
      <c r="CH172" s="592"/>
      <c r="CI172" s="633"/>
      <c r="CJ172" s="592">
        <v>0.0</v>
      </c>
      <c r="CK172" s="479" t="s">
        <v>365</v>
      </c>
      <c r="CL172" s="592"/>
      <c r="CM172" s="593"/>
      <c r="CN172" s="538"/>
      <c r="CO172" s="538"/>
      <c r="CP172" s="538"/>
      <c r="CQ172" s="538"/>
      <c r="CR172" s="538"/>
      <c r="CS172" s="538"/>
      <c r="CT172" s="538"/>
      <c r="CU172" s="538"/>
      <c r="CV172" s="538"/>
      <c r="CW172" s="538"/>
      <c r="CX172" s="538"/>
      <c r="CY172" s="538"/>
      <c r="CZ172" s="538"/>
      <c r="DA172" s="538"/>
      <c r="DB172" s="538"/>
      <c r="DC172" s="538"/>
      <c r="DD172" s="538"/>
      <c r="DE172" s="538"/>
      <c r="DF172" s="538"/>
      <c r="DG172" s="538"/>
      <c r="DH172" s="538"/>
      <c r="DI172" s="538"/>
      <c r="DJ172" s="538"/>
      <c r="DK172" s="538"/>
      <c r="DL172" s="538"/>
      <c r="DM172" s="538"/>
      <c r="DN172" s="538"/>
      <c r="DO172" s="538"/>
      <c r="DP172" s="538"/>
      <c r="DQ172" s="538"/>
      <c r="DR172" s="538"/>
      <c r="DS172" s="538"/>
      <c r="DT172" s="538"/>
      <c r="DU172" s="538"/>
      <c r="DV172" s="538"/>
      <c r="DW172" s="538"/>
      <c r="DX172" s="538"/>
      <c r="DY172" s="538"/>
      <c r="DZ172" s="538"/>
      <c r="EA172" s="538"/>
      <c r="EB172" s="538"/>
      <c r="EC172" s="538"/>
      <c r="ED172" s="538"/>
      <c r="EE172" s="538"/>
      <c r="EF172" s="538"/>
      <c r="EG172" s="538"/>
      <c r="EH172" s="538"/>
      <c r="EI172" s="538"/>
      <c r="EJ172" s="538"/>
      <c r="EK172" s="538"/>
      <c r="EL172" s="538"/>
      <c r="EM172" s="538"/>
      <c r="EN172" s="538"/>
      <c r="EO172" s="538"/>
      <c r="EP172" s="538"/>
      <c r="EQ172" s="538"/>
      <c r="ER172" s="538"/>
      <c r="ES172" s="538"/>
      <c r="ET172" s="538"/>
      <c r="EU172" s="538"/>
      <c r="EV172" s="538"/>
      <c r="EW172" s="538"/>
      <c r="EX172" s="559"/>
      <c r="EY172" s="559"/>
      <c r="EZ172" s="559"/>
      <c r="FA172" s="559"/>
      <c r="FB172" s="559"/>
      <c r="FC172" s="559"/>
      <c r="FD172" s="559"/>
      <c r="FE172" s="559"/>
      <c r="FF172" s="559"/>
      <c r="FG172" s="559"/>
      <c r="FH172" s="559"/>
      <c r="FI172" s="559"/>
      <c r="FJ172" s="559"/>
      <c r="FK172" s="559"/>
      <c r="FL172" s="559"/>
      <c r="FM172" s="559"/>
      <c r="FN172" s="559"/>
      <c r="FO172" s="559"/>
      <c r="FP172" s="559"/>
      <c r="FQ172" s="559"/>
      <c r="FR172" s="559"/>
      <c r="FS172" s="559"/>
      <c r="FT172" s="559"/>
      <c r="FU172" s="559"/>
      <c r="FV172" s="559"/>
      <c r="FW172" s="559"/>
      <c r="FX172" s="559"/>
      <c r="FY172" s="559"/>
      <c r="FZ172" s="559"/>
      <c r="GA172" s="559"/>
      <c r="GB172" s="559"/>
      <c r="GC172" s="559"/>
      <c r="GD172" s="559"/>
      <c r="GE172" s="559"/>
      <c r="GF172" s="559"/>
      <c r="GG172" s="559"/>
      <c r="GH172" s="559"/>
    </row>
    <row r="173">
      <c r="A173" s="538"/>
      <c r="B173" s="156"/>
      <c r="C173" s="444"/>
      <c r="D173" s="614"/>
      <c r="E173" s="66"/>
      <c r="F173" s="642"/>
      <c r="G173" s="642"/>
      <c r="H173" s="615"/>
      <c r="I173" s="616" t="s">
        <v>365</v>
      </c>
      <c r="J173" s="624"/>
      <c r="K173" s="643"/>
      <c r="L173" s="640"/>
      <c r="M173" s="625"/>
      <c r="N173" s="617"/>
      <c r="O173" s="134"/>
      <c r="P173" s="57"/>
      <c r="Q173" s="57"/>
      <c r="S173" s="605"/>
      <c r="U173" s="573"/>
      <c r="V173" s="574"/>
      <c r="W173" s="618"/>
      <c r="X173" s="576">
        <v>0.0</v>
      </c>
      <c r="Y173" s="630">
        <v>0.0</v>
      </c>
      <c r="Z173" s="630" t="s">
        <v>365</v>
      </c>
      <c r="AA173" s="631" t="b">
        <v>0</v>
      </c>
      <c r="AB173" s="631"/>
      <c r="AC173" s="576"/>
      <c r="AD173" s="479">
        <v>0.0</v>
      </c>
      <c r="AE173" s="632"/>
      <c r="AF173" s="582" t="s">
        <v>365</v>
      </c>
      <c r="AG173" s="583"/>
      <c r="AH173" s="584"/>
      <c r="AI173" s="583"/>
      <c r="AJ173" s="585"/>
      <c r="AK173" s="583"/>
      <c r="AL173" s="584"/>
      <c r="AM173" s="583"/>
      <c r="AN173" s="585"/>
      <c r="AO173" s="583"/>
      <c r="AP173" s="584"/>
      <c r="AQ173" s="583"/>
      <c r="AR173" s="585"/>
      <c r="AS173" s="583"/>
      <c r="AT173" s="584"/>
      <c r="AU173" s="583"/>
      <c r="AV173" s="585"/>
      <c r="AW173" s="583"/>
      <c r="AX173" s="584"/>
      <c r="AY173" s="583"/>
      <c r="AZ173" s="585"/>
      <c r="BA173" s="583"/>
      <c r="BB173" s="584"/>
      <c r="BC173" s="583"/>
      <c r="BD173" s="585"/>
      <c r="BE173" s="583"/>
      <c r="BF173" s="584"/>
      <c r="BG173" s="583"/>
      <c r="BH173" s="585"/>
      <c r="BI173" s="583"/>
      <c r="BJ173" s="584"/>
      <c r="BK173" s="583"/>
      <c r="BL173" s="585"/>
      <c r="BM173" s="583"/>
      <c r="BN173" s="584"/>
      <c r="BO173" s="583"/>
      <c r="BP173" s="585"/>
      <c r="BQ173" s="583"/>
      <c r="BR173" s="584"/>
      <c r="BS173" s="583"/>
      <c r="BT173" s="586"/>
      <c r="BU173" s="540"/>
      <c r="BV173" s="540"/>
      <c r="BW173" s="540"/>
      <c r="BX173" s="538"/>
      <c r="BY173" s="538"/>
      <c r="BZ173" s="592"/>
      <c r="CA173" s="633"/>
      <c r="CB173" s="592" t="s">
        <v>365</v>
      </c>
      <c r="CC173" s="592">
        <v>0.0</v>
      </c>
      <c r="CD173" s="592" t="s">
        <v>365</v>
      </c>
      <c r="CE173" s="592">
        <v>0.0</v>
      </c>
      <c r="CF173" s="592"/>
      <c r="CG173" s="592">
        <v>0.0</v>
      </c>
      <c r="CH173" s="592"/>
      <c r="CI173" s="633"/>
      <c r="CJ173" s="592">
        <v>0.0</v>
      </c>
      <c r="CK173" s="479" t="s">
        <v>365</v>
      </c>
      <c r="CL173" s="592"/>
      <c r="CM173" s="593"/>
      <c r="CN173" s="538"/>
      <c r="CO173" s="538"/>
      <c r="CP173" s="538"/>
      <c r="CQ173" s="538"/>
      <c r="CR173" s="538"/>
      <c r="CS173" s="538"/>
      <c r="CT173" s="538"/>
      <c r="CU173" s="538"/>
      <c r="CV173" s="538"/>
      <c r="CW173" s="538"/>
      <c r="CX173" s="538"/>
      <c r="CY173" s="538"/>
      <c r="CZ173" s="538"/>
      <c r="DA173" s="538"/>
      <c r="DB173" s="538"/>
      <c r="DC173" s="538"/>
      <c r="DD173" s="538"/>
      <c r="DE173" s="538"/>
      <c r="DF173" s="538"/>
      <c r="DG173" s="538"/>
      <c r="DH173" s="538"/>
      <c r="DI173" s="538"/>
      <c r="DJ173" s="538"/>
      <c r="DK173" s="538"/>
      <c r="DL173" s="538"/>
      <c r="DM173" s="538"/>
      <c r="DN173" s="538"/>
      <c r="DO173" s="538"/>
      <c r="DP173" s="538"/>
      <c r="DQ173" s="538"/>
      <c r="DR173" s="538"/>
      <c r="DS173" s="538"/>
      <c r="DT173" s="538"/>
      <c r="DU173" s="538"/>
      <c r="DV173" s="538"/>
      <c r="DW173" s="538"/>
      <c r="DX173" s="538"/>
      <c r="DY173" s="538"/>
      <c r="DZ173" s="538"/>
      <c r="EA173" s="538"/>
      <c r="EB173" s="538"/>
      <c r="EC173" s="538"/>
      <c r="ED173" s="538"/>
      <c r="EE173" s="538"/>
      <c r="EF173" s="538"/>
      <c r="EG173" s="538"/>
      <c r="EH173" s="538"/>
      <c r="EI173" s="538"/>
      <c r="EJ173" s="538"/>
      <c r="EK173" s="538"/>
      <c r="EL173" s="538"/>
      <c r="EM173" s="538"/>
      <c r="EN173" s="538"/>
      <c r="EO173" s="538"/>
      <c r="EP173" s="538"/>
      <c r="EQ173" s="538"/>
      <c r="ER173" s="538"/>
      <c r="ES173" s="538"/>
      <c r="ET173" s="538"/>
      <c r="EU173" s="538"/>
      <c r="EV173" s="538"/>
      <c r="EW173" s="538"/>
      <c r="EX173" s="559"/>
      <c r="EY173" s="559"/>
      <c r="EZ173" s="559"/>
      <c r="FA173" s="559"/>
      <c r="FB173" s="559"/>
      <c r="FC173" s="559"/>
      <c r="FD173" s="559"/>
      <c r="FE173" s="559"/>
      <c r="FF173" s="559"/>
      <c r="FG173" s="559"/>
      <c r="FH173" s="559"/>
      <c r="FI173" s="559"/>
      <c r="FJ173" s="559"/>
      <c r="FK173" s="559"/>
      <c r="FL173" s="559"/>
      <c r="FM173" s="559"/>
      <c r="FN173" s="559"/>
      <c r="FO173" s="559"/>
      <c r="FP173" s="559"/>
      <c r="FQ173" s="559"/>
      <c r="FR173" s="559"/>
      <c r="FS173" s="559"/>
      <c r="FT173" s="559"/>
      <c r="FU173" s="559"/>
      <c r="FV173" s="559"/>
      <c r="FW173" s="559"/>
      <c r="FX173" s="559"/>
      <c r="FY173" s="559"/>
      <c r="FZ173" s="559"/>
      <c r="GA173" s="559"/>
      <c r="GB173" s="559"/>
      <c r="GC173" s="559"/>
      <c r="GD173" s="559"/>
      <c r="GE173" s="559"/>
      <c r="GF173" s="559"/>
      <c r="GG173" s="559"/>
      <c r="GH173" s="559"/>
    </row>
    <row r="174">
      <c r="A174" s="538"/>
      <c r="B174" s="156"/>
      <c r="C174" s="444"/>
      <c r="D174" s="614"/>
      <c r="E174" s="68"/>
      <c r="F174" s="644"/>
      <c r="G174" s="644"/>
      <c r="H174" s="627"/>
      <c r="I174" s="622" t="s">
        <v>365</v>
      </c>
      <c r="J174" s="607"/>
      <c r="K174" s="641"/>
      <c r="L174" s="628"/>
      <c r="M174" s="626"/>
      <c r="N174" s="619"/>
      <c r="O174" s="560"/>
      <c r="P174" s="47"/>
      <c r="Q174" s="47"/>
      <c r="S174" s="572"/>
      <c r="U174" s="573"/>
      <c r="V174" s="574"/>
      <c r="W174" s="618"/>
      <c r="X174" s="576">
        <v>0.0</v>
      </c>
      <c r="Y174" s="630">
        <v>0.0</v>
      </c>
      <c r="Z174" s="630" t="s">
        <v>365</v>
      </c>
      <c r="AA174" s="631" t="b">
        <v>0</v>
      </c>
      <c r="AB174" s="631"/>
      <c r="AC174" s="576"/>
      <c r="AD174" s="479">
        <v>0.0</v>
      </c>
      <c r="AE174" s="632"/>
      <c r="AF174" s="582" t="s">
        <v>365</v>
      </c>
      <c r="AG174" s="583"/>
      <c r="AH174" s="584"/>
      <c r="AI174" s="583"/>
      <c r="AJ174" s="585"/>
      <c r="AK174" s="583"/>
      <c r="AL174" s="584"/>
      <c r="AM174" s="583"/>
      <c r="AN174" s="585"/>
      <c r="AO174" s="583"/>
      <c r="AP174" s="584"/>
      <c r="AQ174" s="583"/>
      <c r="AR174" s="585"/>
      <c r="AS174" s="583"/>
      <c r="AT174" s="584"/>
      <c r="AU174" s="583"/>
      <c r="AV174" s="585"/>
      <c r="AW174" s="583"/>
      <c r="AX174" s="584"/>
      <c r="AY174" s="583"/>
      <c r="AZ174" s="585"/>
      <c r="BA174" s="583"/>
      <c r="BB174" s="584"/>
      <c r="BC174" s="583"/>
      <c r="BD174" s="585"/>
      <c r="BE174" s="583"/>
      <c r="BF174" s="584"/>
      <c r="BG174" s="583"/>
      <c r="BH174" s="585"/>
      <c r="BI174" s="583"/>
      <c r="BJ174" s="584"/>
      <c r="BK174" s="583"/>
      <c r="BL174" s="585"/>
      <c r="BM174" s="583"/>
      <c r="BN174" s="584"/>
      <c r="BO174" s="583"/>
      <c r="BP174" s="585"/>
      <c r="BQ174" s="583"/>
      <c r="BR174" s="584"/>
      <c r="BS174" s="583"/>
      <c r="BT174" s="586"/>
      <c r="BU174" s="540"/>
      <c r="BV174" s="540"/>
      <c r="BW174" s="540"/>
      <c r="BX174" s="538"/>
      <c r="BY174" s="538"/>
      <c r="BZ174" s="592"/>
      <c r="CA174" s="633"/>
      <c r="CB174" s="592" t="s">
        <v>365</v>
      </c>
      <c r="CC174" s="592">
        <v>0.0</v>
      </c>
      <c r="CD174" s="592" t="s">
        <v>365</v>
      </c>
      <c r="CE174" s="592">
        <v>0.0</v>
      </c>
      <c r="CF174" s="592"/>
      <c r="CG174" s="592">
        <v>0.0</v>
      </c>
      <c r="CH174" s="592"/>
      <c r="CI174" s="633"/>
      <c r="CJ174" s="592">
        <v>0.0</v>
      </c>
      <c r="CK174" s="479" t="s">
        <v>365</v>
      </c>
      <c r="CL174" s="592"/>
      <c r="CM174" s="593"/>
      <c r="CN174" s="538"/>
      <c r="CO174" s="538"/>
      <c r="CP174" s="538"/>
      <c r="CQ174" s="538"/>
      <c r="CR174" s="538"/>
      <c r="CS174" s="538"/>
      <c r="CT174" s="538"/>
      <c r="CU174" s="538"/>
      <c r="CV174" s="538"/>
      <c r="CW174" s="538"/>
      <c r="CX174" s="538"/>
      <c r="CY174" s="538"/>
      <c r="CZ174" s="538"/>
      <c r="DA174" s="538"/>
      <c r="DB174" s="538"/>
      <c r="DC174" s="538"/>
      <c r="DD174" s="538"/>
      <c r="DE174" s="538"/>
      <c r="DF174" s="538"/>
      <c r="DG174" s="538"/>
      <c r="DH174" s="538"/>
      <c r="DI174" s="538"/>
      <c r="DJ174" s="538"/>
      <c r="DK174" s="538"/>
      <c r="DL174" s="538"/>
      <c r="DM174" s="538"/>
      <c r="DN174" s="538"/>
      <c r="DO174" s="538"/>
      <c r="DP174" s="538"/>
      <c r="DQ174" s="538"/>
      <c r="DR174" s="538"/>
      <c r="DS174" s="538"/>
      <c r="DT174" s="538"/>
      <c r="DU174" s="538"/>
      <c r="DV174" s="538"/>
      <c r="DW174" s="538"/>
      <c r="DX174" s="538"/>
      <c r="DY174" s="538"/>
      <c r="DZ174" s="538"/>
      <c r="EA174" s="538"/>
      <c r="EB174" s="538"/>
      <c r="EC174" s="538"/>
      <c r="ED174" s="538"/>
      <c r="EE174" s="538"/>
      <c r="EF174" s="538"/>
      <c r="EG174" s="538"/>
      <c r="EH174" s="538"/>
      <c r="EI174" s="538"/>
      <c r="EJ174" s="538"/>
      <c r="EK174" s="538"/>
      <c r="EL174" s="538"/>
      <c r="EM174" s="538"/>
      <c r="EN174" s="538"/>
      <c r="EO174" s="538"/>
      <c r="EP174" s="538"/>
      <c r="EQ174" s="538"/>
      <c r="ER174" s="538"/>
      <c r="ES174" s="538"/>
      <c r="ET174" s="538"/>
      <c r="EU174" s="538"/>
      <c r="EV174" s="538"/>
      <c r="EW174" s="538"/>
      <c r="EX174" s="559"/>
      <c r="EY174" s="559"/>
      <c r="EZ174" s="559"/>
      <c r="FA174" s="559"/>
      <c r="FB174" s="559"/>
      <c r="FC174" s="559"/>
      <c r="FD174" s="559"/>
      <c r="FE174" s="559"/>
      <c r="FF174" s="559"/>
      <c r="FG174" s="559"/>
      <c r="FH174" s="559"/>
      <c r="FI174" s="559"/>
      <c r="FJ174" s="559"/>
      <c r="FK174" s="559"/>
      <c r="FL174" s="559"/>
      <c r="FM174" s="559"/>
      <c r="FN174" s="559"/>
      <c r="FO174" s="559"/>
      <c r="FP174" s="559"/>
      <c r="FQ174" s="559"/>
      <c r="FR174" s="559"/>
      <c r="FS174" s="559"/>
      <c r="FT174" s="559"/>
      <c r="FU174" s="559"/>
      <c r="FV174" s="559"/>
      <c r="FW174" s="559"/>
      <c r="FX174" s="559"/>
      <c r="FY174" s="559"/>
      <c r="FZ174" s="559"/>
      <c r="GA174" s="559"/>
      <c r="GB174" s="559"/>
      <c r="GC174" s="559"/>
      <c r="GD174" s="559"/>
      <c r="GE174" s="559"/>
      <c r="GF174" s="559"/>
      <c r="GG174" s="559"/>
      <c r="GH174" s="559"/>
    </row>
    <row r="175">
      <c r="A175" s="538"/>
      <c r="B175" s="156"/>
      <c r="C175" s="444"/>
      <c r="D175" s="614"/>
      <c r="E175" s="66"/>
      <c r="F175" s="642"/>
      <c r="G175" s="642"/>
      <c r="H175" s="615"/>
      <c r="I175" s="616" t="s">
        <v>365</v>
      </c>
      <c r="J175" s="624"/>
      <c r="K175" s="643"/>
      <c r="L175" s="640"/>
      <c r="M175" s="625"/>
      <c r="N175" s="617"/>
      <c r="O175" s="134"/>
      <c r="P175" s="57"/>
      <c r="Q175" s="57"/>
      <c r="S175" s="605"/>
      <c r="U175" s="573"/>
      <c r="V175" s="574"/>
      <c r="W175" s="618"/>
      <c r="X175" s="576">
        <v>0.0</v>
      </c>
      <c r="Y175" s="630">
        <v>0.0</v>
      </c>
      <c r="Z175" s="630" t="s">
        <v>365</v>
      </c>
      <c r="AA175" s="631" t="b">
        <v>0</v>
      </c>
      <c r="AB175" s="631"/>
      <c r="AC175" s="576"/>
      <c r="AD175" s="479">
        <v>0.0</v>
      </c>
      <c r="AE175" s="632"/>
      <c r="AF175" s="582" t="s">
        <v>365</v>
      </c>
      <c r="AG175" s="583"/>
      <c r="AH175" s="584"/>
      <c r="AI175" s="583"/>
      <c r="AJ175" s="585"/>
      <c r="AK175" s="583"/>
      <c r="AL175" s="584"/>
      <c r="AM175" s="583"/>
      <c r="AN175" s="585"/>
      <c r="AO175" s="583"/>
      <c r="AP175" s="584"/>
      <c r="AQ175" s="583"/>
      <c r="AR175" s="585"/>
      <c r="AS175" s="583"/>
      <c r="AT175" s="584"/>
      <c r="AU175" s="583"/>
      <c r="AV175" s="585"/>
      <c r="AW175" s="583"/>
      <c r="AX175" s="584"/>
      <c r="AY175" s="583"/>
      <c r="AZ175" s="585"/>
      <c r="BA175" s="583"/>
      <c r="BB175" s="584"/>
      <c r="BC175" s="583"/>
      <c r="BD175" s="585"/>
      <c r="BE175" s="583"/>
      <c r="BF175" s="584"/>
      <c r="BG175" s="583"/>
      <c r="BH175" s="585"/>
      <c r="BI175" s="583"/>
      <c r="BJ175" s="584"/>
      <c r="BK175" s="583"/>
      <c r="BL175" s="585"/>
      <c r="BM175" s="583"/>
      <c r="BN175" s="584"/>
      <c r="BO175" s="583"/>
      <c r="BP175" s="585"/>
      <c r="BQ175" s="583"/>
      <c r="BR175" s="584"/>
      <c r="BS175" s="583"/>
      <c r="BT175" s="586"/>
      <c r="BU175" s="540"/>
      <c r="BV175" s="540"/>
      <c r="BW175" s="540"/>
      <c r="BX175" s="538"/>
      <c r="BY175" s="538"/>
      <c r="BZ175" s="592"/>
      <c r="CA175" s="633"/>
      <c r="CB175" s="592" t="s">
        <v>365</v>
      </c>
      <c r="CC175" s="592">
        <v>0.0</v>
      </c>
      <c r="CD175" s="592" t="s">
        <v>365</v>
      </c>
      <c r="CE175" s="592">
        <v>0.0</v>
      </c>
      <c r="CF175" s="592"/>
      <c r="CG175" s="592">
        <v>0.0</v>
      </c>
      <c r="CH175" s="592"/>
      <c r="CI175" s="633"/>
      <c r="CJ175" s="592">
        <v>0.0</v>
      </c>
      <c r="CK175" s="479" t="s">
        <v>365</v>
      </c>
      <c r="CL175" s="592"/>
      <c r="CM175" s="593"/>
      <c r="CN175" s="538"/>
      <c r="CO175" s="538"/>
      <c r="CP175" s="538"/>
      <c r="CQ175" s="538"/>
      <c r="CR175" s="538"/>
      <c r="CS175" s="538"/>
      <c r="CT175" s="538"/>
      <c r="CU175" s="538"/>
      <c r="CV175" s="538"/>
      <c r="CW175" s="538"/>
      <c r="CX175" s="538"/>
      <c r="CY175" s="538"/>
      <c r="CZ175" s="538"/>
      <c r="DA175" s="538"/>
      <c r="DB175" s="538"/>
      <c r="DC175" s="538"/>
      <c r="DD175" s="538"/>
      <c r="DE175" s="538"/>
      <c r="DF175" s="538"/>
      <c r="DG175" s="538"/>
      <c r="DH175" s="538"/>
      <c r="DI175" s="538"/>
      <c r="DJ175" s="538"/>
      <c r="DK175" s="538"/>
      <c r="DL175" s="538"/>
      <c r="DM175" s="538"/>
      <c r="DN175" s="538"/>
      <c r="DO175" s="538"/>
      <c r="DP175" s="538"/>
      <c r="DQ175" s="538"/>
      <c r="DR175" s="538"/>
      <c r="DS175" s="538"/>
      <c r="DT175" s="538"/>
      <c r="DU175" s="538"/>
      <c r="DV175" s="538"/>
      <c r="DW175" s="538"/>
      <c r="DX175" s="538"/>
      <c r="DY175" s="538"/>
      <c r="DZ175" s="538"/>
      <c r="EA175" s="538"/>
      <c r="EB175" s="538"/>
      <c r="EC175" s="538"/>
      <c r="ED175" s="538"/>
      <c r="EE175" s="538"/>
      <c r="EF175" s="538"/>
      <c r="EG175" s="538"/>
      <c r="EH175" s="538"/>
      <c r="EI175" s="538"/>
      <c r="EJ175" s="538"/>
      <c r="EK175" s="538"/>
      <c r="EL175" s="538"/>
      <c r="EM175" s="538"/>
      <c r="EN175" s="538"/>
      <c r="EO175" s="538"/>
      <c r="EP175" s="538"/>
      <c r="EQ175" s="538"/>
      <c r="ER175" s="538"/>
      <c r="ES175" s="538"/>
      <c r="ET175" s="538"/>
      <c r="EU175" s="538"/>
      <c r="EV175" s="538"/>
      <c r="EW175" s="538"/>
      <c r="EX175" s="559"/>
      <c r="EY175" s="559"/>
      <c r="EZ175" s="559"/>
      <c r="FA175" s="559"/>
      <c r="FB175" s="559"/>
      <c r="FC175" s="559"/>
      <c r="FD175" s="559"/>
      <c r="FE175" s="559"/>
      <c r="FF175" s="559"/>
      <c r="FG175" s="559"/>
      <c r="FH175" s="559"/>
      <c r="FI175" s="559"/>
      <c r="FJ175" s="559"/>
      <c r="FK175" s="559"/>
      <c r="FL175" s="559"/>
      <c r="FM175" s="559"/>
      <c r="FN175" s="559"/>
      <c r="FO175" s="559"/>
      <c r="FP175" s="559"/>
      <c r="FQ175" s="559"/>
      <c r="FR175" s="559"/>
      <c r="FS175" s="559"/>
      <c r="FT175" s="559"/>
      <c r="FU175" s="559"/>
      <c r="FV175" s="559"/>
      <c r="FW175" s="559"/>
      <c r="FX175" s="559"/>
      <c r="FY175" s="559"/>
      <c r="FZ175" s="559"/>
      <c r="GA175" s="559"/>
      <c r="GB175" s="559"/>
      <c r="GC175" s="559"/>
      <c r="GD175" s="559"/>
      <c r="GE175" s="559"/>
      <c r="GF175" s="559"/>
      <c r="GG175" s="559"/>
      <c r="GH175" s="559"/>
    </row>
    <row r="176">
      <c r="A176" s="538"/>
      <c r="B176" s="156"/>
      <c r="C176" s="444"/>
      <c r="D176" s="614"/>
      <c r="E176" s="68"/>
      <c r="F176" s="644"/>
      <c r="G176" s="644"/>
      <c r="H176" s="627"/>
      <c r="I176" s="622" t="s">
        <v>365</v>
      </c>
      <c r="J176" s="607"/>
      <c r="K176" s="641"/>
      <c r="L176" s="628"/>
      <c r="M176" s="626"/>
      <c r="N176" s="619"/>
      <c r="O176" s="560"/>
      <c r="P176" s="47"/>
      <c r="Q176" s="47"/>
      <c r="S176" s="572"/>
      <c r="U176" s="573"/>
      <c r="V176" s="574"/>
      <c r="W176" s="618"/>
      <c r="X176" s="576">
        <v>0.0</v>
      </c>
      <c r="Y176" s="630">
        <v>0.0</v>
      </c>
      <c r="Z176" s="630" t="s">
        <v>365</v>
      </c>
      <c r="AA176" s="631" t="b">
        <v>0</v>
      </c>
      <c r="AB176" s="631"/>
      <c r="AC176" s="576"/>
      <c r="AD176" s="479">
        <v>0.0</v>
      </c>
      <c r="AE176" s="632"/>
      <c r="AF176" s="582" t="s">
        <v>365</v>
      </c>
      <c r="AG176" s="583"/>
      <c r="AH176" s="584"/>
      <c r="AI176" s="583"/>
      <c r="AJ176" s="585"/>
      <c r="AK176" s="583"/>
      <c r="AL176" s="584"/>
      <c r="AM176" s="583"/>
      <c r="AN176" s="585"/>
      <c r="AO176" s="583"/>
      <c r="AP176" s="584"/>
      <c r="AQ176" s="583"/>
      <c r="AR176" s="585"/>
      <c r="AS176" s="583"/>
      <c r="AT176" s="584"/>
      <c r="AU176" s="583"/>
      <c r="AV176" s="585"/>
      <c r="AW176" s="583"/>
      <c r="AX176" s="584"/>
      <c r="AY176" s="583"/>
      <c r="AZ176" s="585"/>
      <c r="BA176" s="583"/>
      <c r="BB176" s="584"/>
      <c r="BC176" s="583"/>
      <c r="BD176" s="585"/>
      <c r="BE176" s="583"/>
      <c r="BF176" s="584"/>
      <c r="BG176" s="583"/>
      <c r="BH176" s="585"/>
      <c r="BI176" s="583"/>
      <c r="BJ176" s="584"/>
      <c r="BK176" s="583"/>
      <c r="BL176" s="585"/>
      <c r="BM176" s="583"/>
      <c r="BN176" s="584"/>
      <c r="BO176" s="583"/>
      <c r="BP176" s="585"/>
      <c r="BQ176" s="583"/>
      <c r="BR176" s="584"/>
      <c r="BS176" s="583"/>
      <c r="BT176" s="586"/>
      <c r="BU176" s="540"/>
      <c r="BV176" s="540"/>
      <c r="BW176" s="540"/>
      <c r="BX176" s="538"/>
      <c r="BY176" s="538"/>
      <c r="BZ176" s="592"/>
      <c r="CA176" s="633"/>
      <c r="CB176" s="592" t="s">
        <v>365</v>
      </c>
      <c r="CC176" s="592">
        <v>0.0</v>
      </c>
      <c r="CD176" s="592" t="s">
        <v>365</v>
      </c>
      <c r="CE176" s="592">
        <v>0.0</v>
      </c>
      <c r="CF176" s="592"/>
      <c r="CG176" s="592">
        <v>0.0</v>
      </c>
      <c r="CH176" s="592"/>
      <c r="CI176" s="633"/>
      <c r="CJ176" s="592">
        <v>0.0</v>
      </c>
      <c r="CK176" s="479" t="s">
        <v>365</v>
      </c>
      <c r="CL176" s="592"/>
      <c r="CM176" s="593"/>
      <c r="CN176" s="538"/>
      <c r="CO176" s="538"/>
      <c r="CP176" s="538"/>
      <c r="CQ176" s="538"/>
      <c r="CR176" s="538"/>
      <c r="CS176" s="538"/>
      <c r="CT176" s="538"/>
      <c r="CU176" s="538"/>
      <c r="CV176" s="538"/>
      <c r="CW176" s="538"/>
      <c r="CX176" s="538"/>
      <c r="CY176" s="538"/>
      <c r="CZ176" s="538"/>
      <c r="DA176" s="538"/>
      <c r="DB176" s="538"/>
      <c r="DC176" s="538"/>
      <c r="DD176" s="538"/>
      <c r="DE176" s="538"/>
      <c r="DF176" s="538"/>
      <c r="DG176" s="538"/>
      <c r="DH176" s="538"/>
      <c r="DI176" s="538"/>
      <c r="DJ176" s="538"/>
      <c r="DK176" s="538"/>
      <c r="DL176" s="538"/>
      <c r="DM176" s="538"/>
      <c r="DN176" s="538"/>
      <c r="DO176" s="538"/>
      <c r="DP176" s="538"/>
      <c r="DQ176" s="538"/>
      <c r="DR176" s="538"/>
      <c r="DS176" s="538"/>
      <c r="DT176" s="538"/>
      <c r="DU176" s="538"/>
      <c r="DV176" s="538"/>
      <c r="DW176" s="538"/>
      <c r="DX176" s="538"/>
      <c r="DY176" s="538"/>
      <c r="DZ176" s="538"/>
      <c r="EA176" s="538"/>
      <c r="EB176" s="538"/>
      <c r="EC176" s="538"/>
      <c r="ED176" s="538"/>
      <c r="EE176" s="538"/>
      <c r="EF176" s="538"/>
      <c r="EG176" s="538"/>
      <c r="EH176" s="538"/>
      <c r="EI176" s="538"/>
      <c r="EJ176" s="538"/>
      <c r="EK176" s="538"/>
      <c r="EL176" s="538"/>
      <c r="EM176" s="538"/>
      <c r="EN176" s="538"/>
      <c r="EO176" s="538"/>
      <c r="EP176" s="538"/>
      <c r="EQ176" s="538"/>
      <c r="ER176" s="538"/>
      <c r="ES176" s="538"/>
      <c r="ET176" s="538"/>
      <c r="EU176" s="538"/>
      <c r="EV176" s="538"/>
      <c r="EW176" s="538"/>
      <c r="EX176" s="559"/>
      <c r="EY176" s="559"/>
      <c r="EZ176" s="559"/>
      <c r="FA176" s="559"/>
      <c r="FB176" s="559"/>
      <c r="FC176" s="559"/>
      <c r="FD176" s="559"/>
      <c r="FE176" s="559"/>
      <c r="FF176" s="559"/>
      <c r="FG176" s="559"/>
      <c r="FH176" s="559"/>
      <c r="FI176" s="559"/>
      <c r="FJ176" s="559"/>
      <c r="FK176" s="559"/>
      <c r="FL176" s="559"/>
      <c r="FM176" s="559"/>
      <c r="FN176" s="559"/>
      <c r="FO176" s="559"/>
      <c r="FP176" s="559"/>
      <c r="FQ176" s="559"/>
      <c r="FR176" s="559"/>
      <c r="FS176" s="559"/>
      <c r="FT176" s="559"/>
      <c r="FU176" s="559"/>
      <c r="FV176" s="559"/>
      <c r="FW176" s="559"/>
      <c r="FX176" s="559"/>
      <c r="FY176" s="559"/>
      <c r="FZ176" s="559"/>
      <c r="GA176" s="559"/>
      <c r="GB176" s="559"/>
      <c r="GC176" s="559"/>
      <c r="GD176" s="559"/>
      <c r="GE176" s="559"/>
      <c r="GF176" s="559"/>
      <c r="GG176" s="559"/>
      <c r="GH176" s="559"/>
    </row>
    <row r="177">
      <c r="A177" s="538"/>
      <c r="B177" s="156"/>
      <c r="C177" s="444"/>
      <c r="D177" s="614"/>
      <c r="E177" s="66"/>
      <c r="F177" s="642"/>
      <c r="G177" s="642"/>
      <c r="H177" s="615"/>
      <c r="I177" s="616" t="s">
        <v>365</v>
      </c>
      <c r="J177" s="624"/>
      <c r="K177" s="643"/>
      <c r="L177" s="640"/>
      <c r="M177" s="625"/>
      <c r="N177" s="617"/>
      <c r="O177" s="134"/>
      <c r="P177" s="57"/>
      <c r="Q177" s="57"/>
      <c r="S177" s="605"/>
      <c r="U177" s="573"/>
      <c r="V177" s="574"/>
      <c r="W177" s="618"/>
      <c r="X177" s="576">
        <v>0.0</v>
      </c>
      <c r="Y177" s="630">
        <v>0.0</v>
      </c>
      <c r="Z177" s="630" t="s">
        <v>365</v>
      </c>
      <c r="AA177" s="631" t="b">
        <v>0</v>
      </c>
      <c r="AB177" s="631"/>
      <c r="AC177" s="576"/>
      <c r="AD177" s="479">
        <v>0.0</v>
      </c>
      <c r="AE177" s="632"/>
      <c r="AF177" s="582" t="s">
        <v>365</v>
      </c>
      <c r="AG177" s="583"/>
      <c r="AH177" s="584"/>
      <c r="AI177" s="583"/>
      <c r="AJ177" s="585"/>
      <c r="AK177" s="583"/>
      <c r="AL177" s="584"/>
      <c r="AM177" s="583"/>
      <c r="AN177" s="585"/>
      <c r="AO177" s="583"/>
      <c r="AP177" s="584"/>
      <c r="AQ177" s="583"/>
      <c r="AR177" s="585"/>
      <c r="AS177" s="583"/>
      <c r="AT177" s="584"/>
      <c r="AU177" s="583"/>
      <c r="AV177" s="585"/>
      <c r="AW177" s="583"/>
      <c r="AX177" s="584"/>
      <c r="AY177" s="583"/>
      <c r="AZ177" s="585"/>
      <c r="BA177" s="583"/>
      <c r="BB177" s="584"/>
      <c r="BC177" s="583"/>
      <c r="BD177" s="585"/>
      <c r="BE177" s="583"/>
      <c r="BF177" s="584"/>
      <c r="BG177" s="583"/>
      <c r="BH177" s="585"/>
      <c r="BI177" s="583"/>
      <c r="BJ177" s="584"/>
      <c r="BK177" s="583"/>
      <c r="BL177" s="585"/>
      <c r="BM177" s="583"/>
      <c r="BN177" s="584"/>
      <c r="BO177" s="583"/>
      <c r="BP177" s="585"/>
      <c r="BQ177" s="583"/>
      <c r="BR177" s="584"/>
      <c r="BS177" s="583"/>
      <c r="BT177" s="586"/>
      <c r="BU177" s="540"/>
      <c r="BV177" s="540"/>
      <c r="BW177" s="540"/>
      <c r="BX177" s="538"/>
      <c r="BY177" s="538"/>
      <c r="BZ177" s="592"/>
      <c r="CA177" s="633"/>
      <c r="CB177" s="592" t="s">
        <v>365</v>
      </c>
      <c r="CC177" s="592">
        <v>0.0</v>
      </c>
      <c r="CD177" s="592" t="s">
        <v>365</v>
      </c>
      <c r="CE177" s="592">
        <v>0.0</v>
      </c>
      <c r="CF177" s="592"/>
      <c r="CG177" s="592">
        <v>0.0</v>
      </c>
      <c r="CH177" s="592"/>
      <c r="CI177" s="633"/>
      <c r="CJ177" s="592">
        <v>0.0</v>
      </c>
      <c r="CK177" s="479" t="s">
        <v>365</v>
      </c>
      <c r="CL177" s="592"/>
      <c r="CM177" s="593"/>
      <c r="CN177" s="538"/>
      <c r="CO177" s="538"/>
      <c r="CP177" s="538"/>
      <c r="CQ177" s="538"/>
      <c r="CR177" s="538"/>
      <c r="CS177" s="538"/>
      <c r="CT177" s="538"/>
      <c r="CU177" s="538"/>
      <c r="CV177" s="538"/>
      <c r="CW177" s="538"/>
      <c r="CX177" s="538"/>
      <c r="CY177" s="538"/>
      <c r="CZ177" s="538"/>
      <c r="DA177" s="538"/>
      <c r="DB177" s="538"/>
      <c r="DC177" s="538"/>
      <c r="DD177" s="538"/>
      <c r="DE177" s="538"/>
      <c r="DF177" s="538"/>
      <c r="DG177" s="538"/>
      <c r="DH177" s="538"/>
      <c r="DI177" s="538"/>
      <c r="DJ177" s="538"/>
      <c r="DK177" s="538"/>
      <c r="DL177" s="538"/>
      <c r="DM177" s="538"/>
      <c r="DN177" s="538"/>
      <c r="DO177" s="538"/>
      <c r="DP177" s="538"/>
      <c r="DQ177" s="538"/>
      <c r="DR177" s="538"/>
      <c r="DS177" s="538"/>
      <c r="DT177" s="538"/>
      <c r="DU177" s="538"/>
      <c r="DV177" s="538"/>
      <c r="DW177" s="538"/>
      <c r="DX177" s="538"/>
      <c r="DY177" s="538"/>
      <c r="DZ177" s="538"/>
      <c r="EA177" s="538"/>
      <c r="EB177" s="538"/>
      <c r="EC177" s="538"/>
      <c r="ED177" s="538"/>
      <c r="EE177" s="538"/>
      <c r="EF177" s="538"/>
      <c r="EG177" s="538"/>
      <c r="EH177" s="538"/>
      <c r="EI177" s="538"/>
      <c r="EJ177" s="538"/>
      <c r="EK177" s="538"/>
      <c r="EL177" s="538"/>
      <c r="EM177" s="538"/>
      <c r="EN177" s="538"/>
      <c r="EO177" s="538"/>
      <c r="EP177" s="538"/>
      <c r="EQ177" s="538"/>
      <c r="ER177" s="538"/>
      <c r="ES177" s="538"/>
      <c r="ET177" s="538"/>
      <c r="EU177" s="538"/>
      <c r="EV177" s="538"/>
      <c r="EW177" s="538"/>
      <c r="EX177" s="559"/>
      <c r="EY177" s="559"/>
      <c r="EZ177" s="559"/>
      <c r="FA177" s="559"/>
      <c r="FB177" s="559"/>
      <c r="FC177" s="559"/>
      <c r="FD177" s="559"/>
      <c r="FE177" s="559"/>
      <c r="FF177" s="559"/>
      <c r="FG177" s="559"/>
      <c r="FH177" s="559"/>
      <c r="FI177" s="559"/>
      <c r="FJ177" s="559"/>
      <c r="FK177" s="559"/>
      <c r="FL177" s="559"/>
      <c r="FM177" s="559"/>
      <c r="FN177" s="559"/>
      <c r="FO177" s="559"/>
      <c r="FP177" s="559"/>
      <c r="FQ177" s="559"/>
      <c r="FR177" s="559"/>
      <c r="FS177" s="559"/>
      <c r="FT177" s="559"/>
      <c r="FU177" s="559"/>
      <c r="FV177" s="559"/>
      <c r="FW177" s="559"/>
      <c r="FX177" s="559"/>
      <c r="FY177" s="559"/>
      <c r="FZ177" s="559"/>
      <c r="GA177" s="559"/>
      <c r="GB177" s="559"/>
      <c r="GC177" s="559"/>
      <c r="GD177" s="559"/>
      <c r="GE177" s="559"/>
      <c r="GF177" s="559"/>
      <c r="GG177" s="559"/>
      <c r="GH177" s="559"/>
    </row>
    <row r="178">
      <c r="A178" s="538"/>
      <c r="B178" s="156"/>
      <c r="C178" s="444"/>
      <c r="D178" s="614"/>
      <c r="E178" s="68"/>
      <c r="F178" s="644"/>
      <c r="G178" s="644"/>
      <c r="H178" s="627"/>
      <c r="I178" s="622" t="s">
        <v>365</v>
      </c>
      <c r="J178" s="607"/>
      <c r="K178" s="641"/>
      <c r="L178" s="628"/>
      <c r="M178" s="626"/>
      <c r="N178" s="619"/>
      <c r="O178" s="560"/>
      <c r="P178" s="47"/>
      <c r="Q178" s="47"/>
      <c r="S178" s="572"/>
      <c r="U178" s="573"/>
      <c r="V178" s="574"/>
      <c r="W178" s="618"/>
      <c r="X178" s="576">
        <v>0.0</v>
      </c>
      <c r="Y178" s="630">
        <v>0.0</v>
      </c>
      <c r="Z178" s="630" t="s">
        <v>365</v>
      </c>
      <c r="AA178" s="631" t="b">
        <v>0</v>
      </c>
      <c r="AB178" s="631"/>
      <c r="AC178" s="576"/>
      <c r="AD178" s="479">
        <v>0.0</v>
      </c>
      <c r="AE178" s="632"/>
      <c r="AF178" s="582" t="s">
        <v>365</v>
      </c>
      <c r="AG178" s="583"/>
      <c r="AH178" s="584"/>
      <c r="AI178" s="583"/>
      <c r="AJ178" s="585"/>
      <c r="AK178" s="583"/>
      <c r="AL178" s="584"/>
      <c r="AM178" s="583"/>
      <c r="AN178" s="585"/>
      <c r="AO178" s="583"/>
      <c r="AP178" s="584"/>
      <c r="AQ178" s="583"/>
      <c r="AR178" s="585"/>
      <c r="AS178" s="583"/>
      <c r="AT178" s="584"/>
      <c r="AU178" s="583"/>
      <c r="AV178" s="585"/>
      <c r="AW178" s="583"/>
      <c r="AX178" s="584"/>
      <c r="AY178" s="583"/>
      <c r="AZ178" s="585"/>
      <c r="BA178" s="583"/>
      <c r="BB178" s="584"/>
      <c r="BC178" s="583"/>
      <c r="BD178" s="585"/>
      <c r="BE178" s="583"/>
      <c r="BF178" s="584"/>
      <c r="BG178" s="583"/>
      <c r="BH178" s="585"/>
      <c r="BI178" s="583"/>
      <c r="BJ178" s="584"/>
      <c r="BK178" s="583"/>
      <c r="BL178" s="585"/>
      <c r="BM178" s="583"/>
      <c r="BN178" s="584"/>
      <c r="BO178" s="583"/>
      <c r="BP178" s="585"/>
      <c r="BQ178" s="583"/>
      <c r="BR178" s="584"/>
      <c r="BS178" s="583"/>
      <c r="BT178" s="586"/>
      <c r="BU178" s="540"/>
      <c r="BV178" s="540"/>
      <c r="BW178" s="540"/>
      <c r="BX178" s="538"/>
      <c r="BY178" s="538"/>
      <c r="BZ178" s="592"/>
      <c r="CA178" s="633"/>
      <c r="CB178" s="592" t="s">
        <v>365</v>
      </c>
      <c r="CC178" s="592">
        <v>0.0</v>
      </c>
      <c r="CD178" s="592" t="s">
        <v>365</v>
      </c>
      <c r="CE178" s="592">
        <v>0.0</v>
      </c>
      <c r="CF178" s="592"/>
      <c r="CG178" s="592">
        <v>0.0</v>
      </c>
      <c r="CH178" s="592"/>
      <c r="CI178" s="633"/>
      <c r="CJ178" s="592">
        <v>0.0</v>
      </c>
      <c r="CK178" s="479" t="s">
        <v>365</v>
      </c>
      <c r="CL178" s="592"/>
      <c r="CM178" s="593"/>
      <c r="CN178" s="538"/>
      <c r="CO178" s="538"/>
      <c r="CP178" s="538"/>
      <c r="CQ178" s="538"/>
      <c r="CR178" s="538"/>
      <c r="CS178" s="538"/>
      <c r="CT178" s="538"/>
      <c r="CU178" s="538"/>
      <c r="CV178" s="538"/>
      <c r="CW178" s="538"/>
      <c r="CX178" s="538"/>
      <c r="CY178" s="538"/>
      <c r="CZ178" s="538"/>
      <c r="DA178" s="538"/>
      <c r="DB178" s="538"/>
      <c r="DC178" s="538"/>
      <c r="DD178" s="538"/>
      <c r="DE178" s="538"/>
      <c r="DF178" s="538"/>
      <c r="DG178" s="538"/>
      <c r="DH178" s="538"/>
      <c r="DI178" s="538"/>
      <c r="DJ178" s="538"/>
      <c r="DK178" s="538"/>
      <c r="DL178" s="538"/>
      <c r="DM178" s="538"/>
      <c r="DN178" s="538"/>
      <c r="DO178" s="538"/>
      <c r="DP178" s="538"/>
      <c r="DQ178" s="538"/>
      <c r="DR178" s="538"/>
      <c r="DS178" s="538"/>
      <c r="DT178" s="538"/>
      <c r="DU178" s="538"/>
      <c r="DV178" s="538"/>
      <c r="DW178" s="538"/>
      <c r="DX178" s="538"/>
      <c r="DY178" s="538"/>
      <c r="DZ178" s="538"/>
      <c r="EA178" s="538"/>
      <c r="EB178" s="538"/>
      <c r="EC178" s="538"/>
      <c r="ED178" s="538"/>
      <c r="EE178" s="538"/>
      <c r="EF178" s="538"/>
      <c r="EG178" s="538"/>
      <c r="EH178" s="538"/>
      <c r="EI178" s="538"/>
      <c r="EJ178" s="538"/>
      <c r="EK178" s="538"/>
      <c r="EL178" s="538"/>
      <c r="EM178" s="538"/>
      <c r="EN178" s="538"/>
      <c r="EO178" s="538"/>
      <c r="EP178" s="538"/>
      <c r="EQ178" s="538"/>
      <c r="ER178" s="538"/>
      <c r="ES178" s="538"/>
      <c r="ET178" s="538"/>
      <c r="EU178" s="538"/>
      <c r="EV178" s="538"/>
      <c r="EW178" s="538"/>
      <c r="EX178" s="559"/>
      <c r="EY178" s="559"/>
      <c r="EZ178" s="559"/>
      <c r="FA178" s="559"/>
      <c r="FB178" s="559"/>
      <c r="FC178" s="559"/>
      <c r="FD178" s="559"/>
      <c r="FE178" s="559"/>
      <c r="FF178" s="559"/>
      <c r="FG178" s="559"/>
      <c r="FH178" s="559"/>
      <c r="FI178" s="559"/>
      <c r="FJ178" s="559"/>
      <c r="FK178" s="559"/>
      <c r="FL178" s="559"/>
      <c r="FM178" s="559"/>
      <c r="FN178" s="559"/>
      <c r="FO178" s="559"/>
      <c r="FP178" s="559"/>
      <c r="FQ178" s="559"/>
      <c r="FR178" s="559"/>
      <c r="FS178" s="559"/>
      <c r="FT178" s="559"/>
      <c r="FU178" s="559"/>
      <c r="FV178" s="559"/>
      <c r="FW178" s="559"/>
      <c r="FX178" s="559"/>
      <c r="FY178" s="559"/>
      <c r="FZ178" s="559"/>
      <c r="GA178" s="559"/>
      <c r="GB178" s="559"/>
      <c r="GC178" s="559"/>
      <c r="GD178" s="559"/>
      <c r="GE178" s="559"/>
      <c r="GF178" s="559"/>
      <c r="GG178" s="559"/>
      <c r="GH178" s="559"/>
    </row>
    <row r="179">
      <c r="A179" s="538"/>
      <c r="B179" s="156"/>
      <c r="C179" s="444"/>
      <c r="D179" s="614"/>
      <c r="E179" s="66"/>
      <c r="F179" s="642"/>
      <c r="G179" s="642"/>
      <c r="H179" s="615"/>
      <c r="I179" s="616" t="s">
        <v>365</v>
      </c>
      <c r="J179" s="624"/>
      <c r="K179" s="643"/>
      <c r="L179" s="640"/>
      <c r="M179" s="625"/>
      <c r="N179" s="617"/>
      <c r="O179" s="134"/>
      <c r="P179" s="57"/>
      <c r="Q179" s="57"/>
      <c r="S179" s="605"/>
      <c r="U179" s="573"/>
      <c r="V179" s="574"/>
      <c r="W179" s="618"/>
      <c r="X179" s="576">
        <v>0.0</v>
      </c>
      <c r="Y179" s="630">
        <v>0.0</v>
      </c>
      <c r="Z179" s="630" t="s">
        <v>365</v>
      </c>
      <c r="AA179" s="631" t="b">
        <v>0</v>
      </c>
      <c r="AB179" s="631"/>
      <c r="AC179" s="576"/>
      <c r="AD179" s="479">
        <v>0.0</v>
      </c>
      <c r="AE179" s="632"/>
      <c r="AF179" s="582" t="s">
        <v>365</v>
      </c>
      <c r="AG179" s="583"/>
      <c r="AH179" s="584"/>
      <c r="AI179" s="583"/>
      <c r="AJ179" s="585"/>
      <c r="AK179" s="583"/>
      <c r="AL179" s="584"/>
      <c r="AM179" s="583"/>
      <c r="AN179" s="585"/>
      <c r="AO179" s="583"/>
      <c r="AP179" s="584"/>
      <c r="AQ179" s="583"/>
      <c r="AR179" s="585"/>
      <c r="AS179" s="583"/>
      <c r="AT179" s="584"/>
      <c r="AU179" s="583"/>
      <c r="AV179" s="585"/>
      <c r="AW179" s="583"/>
      <c r="AX179" s="584"/>
      <c r="AY179" s="583"/>
      <c r="AZ179" s="585"/>
      <c r="BA179" s="583"/>
      <c r="BB179" s="584"/>
      <c r="BC179" s="583"/>
      <c r="BD179" s="585"/>
      <c r="BE179" s="583"/>
      <c r="BF179" s="584"/>
      <c r="BG179" s="583"/>
      <c r="BH179" s="585"/>
      <c r="BI179" s="583"/>
      <c r="BJ179" s="584"/>
      <c r="BK179" s="583"/>
      <c r="BL179" s="585"/>
      <c r="BM179" s="583"/>
      <c r="BN179" s="584"/>
      <c r="BO179" s="583"/>
      <c r="BP179" s="585"/>
      <c r="BQ179" s="583"/>
      <c r="BR179" s="584"/>
      <c r="BS179" s="583"/>
      <c r="BT179" s="586"/>
      <c r="BU179" s="540"/>
      <c r="BV179" s="540"/>
      <c r="BW179" s="540"/>
      <c r="BX179" s="538"/>
      <c r="BY179" s="538"/>
      <c r="BZ179" s="592"/>
      <c r="CA179" s="633"/>
      <c r="CB179" s="592" t="s">
        <v>365</v>
      </c>
      <c r="CC179" s="592">
        <v>0.0</v>
      </c>
      <c r="CD179" s="592" t="s">
        <v>365</v>
      </c>
      <c r="CE179" s="592">
        <v>0.0</v>
      </c>
      <c r="CF179" s="592"/>
      <c r="CG179" s="592">
        <v>0.0</v>
      </c>
      <c r="CH179" s="592"/>
      <c r="CI179" s="633"/>
      <c r="CJ179" s="592">
        <v>0.0</v>
      </c>
      <c r="CK179" s="479" t="s">
        <v>365</v>
      </c>
      <c r="CL179" s="592"/>
      <c r="CM179" s="593"/>
      <c r="CN179" s="538"/>
      <c r="CO179" s="538"/>
      <c r="CP179" s="538"/>
      <c r="CQ179" s="538"/>
      <c r="CR179" s="538"/>
      <c r="CS179" s="538"/>
      <c r="CT179" s="538"/>
      <c r="CU179" s="538"/>
      <c r="CV179" s="538"/>
      <c r="CW179" s="538"/>
      <c r="CX179" s="538"/>
      <c r="CY179" s="538"/>
      <c r="CZ179" s="538"/>
      <c r="DA179" s="538"/>
      <c r="DB179" s="538"/>
      <c r="DC179" s="538"/>
      <c r="DD179" s="538"/>
      <c r="DE179" s="538"/>
      <c r="DF179" s="538"/>
      <c r="DG179" s="538"/>
      <c r="DH179" s="538"/>
      <c r="DI179" s="538"/>
      <c r="DJ179" s="538"/>
      <c r="DK179" s="538"/>
      <c r="DL179" s="538"/>
      <c r="DM179" s="538"/>
      <c r="DN179" s="538"/>
      <c r="DO179" s="538"/>
      <c r="DP179" s="538"/>
      <c r="DQ179" s="538"/>
      <c r="DR179" s="538"/>
      <c r="DS179" s="538"/>
      <c r="DT179" s="538"/>
      <c r="DU179" s="538"/>
      <c r="DV179" s="538"/>
      <c r="DW179" s="538"/>
      <c r="DX179" s="538"/>
      <c r="DY179" s="538"/>
      <c r="DZ179" s="538"/>
      <c r="EA179" s="538"/>
      <c r="EB179" s="538"/>
      <c r="EC179" s="538"/>
      <c r="ED179" s="538"/>
      <c r="EE179" s="538"/>
      <c r="EF179" s="538"/>
      <c r="EG179" s="538"/>
      <c r="EH179" s="538"/>
      <c r="EI179" s="538"/>
      <c r="EJ179" s="538"/>
      <c r="EK179" s="538"/>
      <c r="EL179" s="538"/>
      <c r="EM179" s="538"/>
      <c r="EN179" s="538"/>
      <c r="EO179" s="538"/>
      <c r="EP179" s="538"/>
      <c r="EQ179" s="538"/>
      <c r="ER179" s="538"/>
      <c r="ES179" s="538"/>
      <c r="ET179" s="538"/>
      <c r="EU179" s="538"/>
      <c r="EV179" s="538"/>
      <c r="EW179" s="538"/>
      <c r="EX179" s="559"/>
      <c r="EY179" s="559"/>
      <c r="EZ179" s="559"/>
      <c r="FA179" s="559"/>
      <c r="FB179" s="559"/>
      <c r="FC179" s="559"/>
      <c r="FD179" s="559"/>
      <c r="FE179" s="559"/>
      <c r="FF179" s="559"/>
      <c r="FG179" s="559"/>
      <c r="FH179" s="559"/>
      <c r="FI179" s="559"/>
      <c r="FJ179" s="559"/>
      <c r="FK179" s="559"/>
      <c r="FL179" s="559"/>
      <c r="FM179" s="559"/>
      <c r="FN179" s="559"/>
      <c r="FO179" s="559"/>
      <c r="FP179" s="559"/>
      <c r="FQ179" s="559"/>
      <c r="FR179" s="559"/>
      <c r="FS179" s="559"/>
      <c r="FT179" s="559"/>
      <c r="FU179" s="559"/>
      <c r="FV179" s="559"/>
      <c r="FW179" s="559"/>
      <c r="FX179" s="559"/>
      <c r="FY179" s="559"/>
      <c r="FZ179" s="559"/>
      <c r="GA179" s="559"/>
      <c r="GB179" s="559"/>
      <c r="GC179" s="559"/>
      <c r="GD179" s="559"/>
      <c r="GE179" s="559"/>
      <c r="GF179" s="559"/>
      <c r="GG179" s="559"/>
      <c r="GH179" s="559"/>
    </row>
    <row r="180">
      <c r="A180" s="538"/>
      <c r="B180" s="156"/>
      <c r="C180" s="444"/>
      <c r="D180" s="614"/>
      <c r="E180" s="68"/>
      <c r="F180" s="644"/>
      <c r="G180" s="644"/>
      <c r="H180" s="627"/>
      <c r="I180" s="622" t="s">
        <v>365</v>
      </c>
      <c r="J180" s="607"/>
      <c r="K180" s="641"/>
      <c r="L180" s="628"/>
      <c r="M180" s="626"/>
      <c r="N180" s="619"/>
      <c r="O180" s="560"/>
      <c r="P180" s="47"/>
      <c r="Q180" s="47"/>
      <c r="S180" s="572"/>
      <c r="U180" s="573"/>
      <c r="V180" s="574"/>
      <c r="W180" s="618"/>
      <c r="X180" s="576">
        <v>0.0</v>
      </c>
      <c r="Y180" s="630">
        <v>0.0</v>
      </c>
      <c r="Z180" s="630" t="s">
        <v>365</v>
      </c>
      <c r="AA180" s="631" t="b">
        <v>0</v>
      </c>
      <c r="AB180" s="631"/>
      <c r="AC180" s="576"/>
      <c r="AD180" s="479">
        <v>0.0</v>
      </c>
      <c r="AE180" s="632"/>
      <c r="AF180" s="582" t="s">
        <v>365</v>
      </c>
      <c r="AG180" s="583"/>
      <c r="AH180" s="584"/>
      <c r="AI180" s="583"/>
      <c r="AJ180" s="585"/>
      <c r="AK180" s="583"/>
      <c r="AL180" s="584"/>
      <c r="AM180" s="583"/>
      <c r="AN180" s="585"/>
      <c r="AO180" s="583"/>
      <c r="AP180" s="584"/>
      <c r="AQ180" s="583"/>
      <c r="AR180" s="585"/>
      <c r="AS180" s="583"/>
      <c r="AT180" s="584"/>
      <c r="AU180" s="583"/>
      <c r="AV180" s="585"/>
      <c r="AW180" s="583"/>
      <c r="AX180" s="584"/>
      <c r="AY180" s="583"/>
      <c r="AZ180" s="585"/>
      <c r="BA180" s="583"/>
      <c r="BB180" s="584"/>
      <c r="BC180" s="583"/>
      <c r="BD180" s="585"/>
      <c r="BE180" s="583"/>
      <c r="BF180" s="584"/>
      <c r="BG180" s="583"/>
      <c r="BH180" s="585"/>
      <c r="BI180" s="583"/>
      <c r="BJ180" s="584"/>
      <c r="BK180" s="583"/>
      <c r="BL180" s="585"/>
      <c r="BM180" s="583"/>
      <c r="BN180" s="584"/>
      <c r="BO180" s="583"/>
      <c r="BP180" s="585"/>
      <c r="BQ180" s="583"/>
      <c r="BR180" s="584"/>
      <c r="BS180" s="583"/>
      <c r="BT180" s="586"/>
      <c r="BU180" s="540"/>
      <c r="BV180" s="540"/>
      <c r="BW180" s="540"/>
      <c r="BX180" s="538"/>
      <c r="BY180" s="538"/>
      <c r="BZ180" s="592"/>
      <c r="CA180" s="633"/>
      <c r="CB180" s="592" t="s">
        <v>365</v>
      </c>
      <c r="CC180" s="592">
        <v>0.0</v>
      </c>
      <c r="CD180" s="592" t="s">
        <v>365</v>
      </c>
      <c r="CE180" s="592">
        <v>0.0</v>
      </c>
      <c r="CF180" s="592"/>
      <c r="CG180" s="592">
        <v>0.0</v>
      </c>
      <c r="CH180" s="592"/>
      <c r="CI180" s="633"/>
      <c r="CJ180" s="592">
        <v>0.0</v>
      </c>
      <c r="CK180" s="479" t="s">
        <v>365</v>
      </c>
      <c r="CL180" s="592"/>
      <c r="CM180" s="593"/>
      <c r="CN180" s="538"/>
      <c r="CO180" s="538"/>
      <c r="CP180" s="538"/>
      <c r="CQ180" s="538"/>
      <c r="CR180" s="538"/>
      <c r="CS180" s="538"/>
      <c r="CT180" s="538"/>
      <c r="CU180" s="538"/>
      <c r="CV180" s="538"/>
      <c r="CW180" s="538"/>
      <c r="CX180" s="538"/>
      <c r="CY180" s="538"/>
      <c r="CZ180" s="538"/>
      <c r="DA180" s="538"/>
      <c r="DB180" s="538"/>
      <c r="DC180" s="538"/>
      <c r="DD180" s="538"/>
      <c r="DE180" s="538"/>
      <c r="DF180" s="538"/>
      <c r="DG180" s="538"/>
      <c r="DH180" s="538"/>
      <c r="DI180" s="538"/>
      <c r="DJ180" s="538"/>
      <c r="DK180" s="538"/>
      <c r="DL180" s="538"/>
      <c r="DM180" s="538"/>
      <c r="DN180" s="538"/>
      <c r="DO180" s="538"/>
      <c r="DP180" s="538"/>
      <c r="DQ180" s="538"/>
      <c r="DR180" s="538"/>
      <c r="DS180" s="538"/>
      <c r="DT180" s="538"/>
      <c r="DU180" s="538"/>
      <c r="DV180" s="538"/>
      <c r="DW180" s="538"/>
      <c r="DX180" s="538"/>
      <c r="DY180" s="538"/>
      <c r="DZ180" s="538"/>
      <c r="EA180" s="538"/>
      <c r="EB180" s="538"/>
      <c r="EC180" s="538"/>
      <c r="ED180" s="538"/>
      <c r="EE180" s="538"/>
      <c r="EF180" s="538"/>
      <c r="EG180" s="538"/>
      <c r="EH180" s="538"/>
      <c r="EI180" s="538"/>
      <c r="EJ180" s="538"/>
      <c r="EK180" s="538"/>
      <c r="EL180" s="538"/>
      <c r="EM180" s="538"/>
      <c r="EN180" s="538"/>
      <c r="EO180" s="538"/>
      <c r="EP180" s="538"/>
      <c r="EQ180" s="538"/>
      <c r="ER180" s="538"/>
      <c r="ES180" s="538"/>
      <c r="ET180" s="538"/>
      <c r="EU180" s="538"/>
      <c r="EV180" s="538"/>
      <c r="EW180" s="538"/>
      <c r="EX180" s="559"/>
      <c r="EY180" s="559"/>
      <c r="EZ180" s="559"/>
      <c r="FA180" s="559"/>
      <c r="FB180" s="559"/>
      <c r="FC180" s="559"/>
      <c r="FD180" s="559"/>
      <c r="FE180" s="559"/>
      <c r="FF180" s="559"/>
      <c r="FG180" s="559"/>
      <c r="FH180" s="559"/>
      <c r="FI180" s="559"/>
      <c r="FJ180" s="559"/>
      <c r="FK180" s="559"/>
      <c r="FL180" s="559"/>
      <c r="FM180" s="559"/>
      <c r="FN180" s="559"/>
      <c r="FO180" s="559"/>
      <c r="FP180" s="559"/>
      <c r="FQ180" s="559"/>
      <c r="FR180" s="559"/>
      <c r="FS180" s="559"/>
      <c r="FT180" s="559"/>
      <c r="FU180" s="559"/>
      <c r="FV180" s="559"/>
      <c r="FW180" s="559"/>
      <c r="FX180" s="559"/>
      <c r="FY180" s="559"/>
      <c r="FZ180" s="559"/>
      <c r="GA180" s="559"/>
      <c r="GB180" s="559"/>
      <c r="GC180" s="559"/>
      <c r="GD180" s="559"/>
      <c r="GE180" s="559"/>
      <c r="GF180" s="559"/>
      <c r="GG180" s="559"/>
      <c r="GH180" s="559"/>
    </row>
    <row r="181">
      <c r="A181" s="538"/>
      <c r="B181" s="156"/>
      <c r="C181" s="444"/>
      <c r="D181" s="614"/>
      <c r="E181" s="66"/>
      <c r="F181" s="642"/>
      <c r="G181" s="642"/>
      <c r="H181" s="615"/>
      <c r="I181" s="616" t="s">
        <v>365</v>
      </c>
      <c r="J181" s="624"/>
      <c r="K181" s="643"/>
      <c r="L181" s="640"/>
      <c r="M181" s="625"/>
      <c r="N181" s="617"/>
      <c r="O181" s="134"/>
      <c r="P181" s="57"/>
      <c r="Q181" s="57"/>
      <c r="S181" s="605"/>
      <c r="U181" s="573"/>
      <c r="V181" s="574"/>
      <c r="W181" s="618"/>
      <c r="X181" s="576">
        <v>0.0</v>
      </c>
      <c r="Y181" s="630">
        <v>0.0</v>
      </c>
      <c r="Z181" s="630" t="s">
        <v>365</v>
      </c>
      <c r="AA181" s="631" t="b">
        <v>0</v>
      </c>
      <c r="AB181" s="631"/>
      <c r="AC181" s="576"/>
      <c r="AD181" s="479">
        <v>0.0</v>
      </c>
      <c r="AE181" s="632"/>
      <c r="AF181" s="582" t="s">
        <v>365</v>
      </c>
      <c r="AG181" s="583"/>
      <c r="AH181" s="584"/>
      <c r="AI181" s="583"/>
      <c r="AJ181" s="585"/>
      <c r="AK181" s="583"/>
      <c r="AL181" s="584"/>
      <c r="AM181" s="583"/>
      <c r="AN181" s="585"/>
      <c r="AO181" s="583"/>
      <c r="AP181" s="584"/>
      <c r="AQ181" s="583"/>
      <c r="AR181" s="585"/>
      <c r="AS181" s="583"/>
      <c r="AT181" s="584"/>
      <c r="AU181" s="583"/>
      <c r="AV181" s="585"/>
      <c r="AW181" s="583"/>
      <c r="AX181" s="584"/>
      <c r="AY181" s="583"/>
      <c r="AZ181" s="585"/>
      <c r="BA181" s="583"/>
      <c r="BB181" s="584"/>
      <c r="BC181" s="583"/>
      <c r="BD181" s="585"/>
      <c r="BE181" s="583"/>
      <c r="BF181" s="584"/>
      <c r="BG181" s="583"/>
      <c r="BH181" s="585"/>
      <c r="BI181" s="583"/>
      <c r="BJ181" s="584"/>
      <c r="BK181" s="583"/>
      <c r="BL181" s="585"/>
      <c r="BM181" s="583"/>
      <c r="BN181" s="584"/>
      <c r="BO181" s="583"/>
      <c r="BP181" s="585"/>
      <c r="BQ181" s="583"/>
      <c r="BR181" s="584"/>
      <c r="BS181" s="583"/>
      <c r="BT181" s="586"/>
      <c r="BU181" s="540"/>
      <c r="BV181" s="540"/>
      <c r="BW181" s="540"/>
      <c r="BX181" s="538"/>
      <c r="BY181" s="538"/>
      <c r="BZ181" s="592"/>
      <c r="CA181" s="633"/>
      <c r="CB181" s="592" t="s">
        <v>365</v>
      </c>
      <c r="CC181" s="592">
        <v>0.0</v>
      </c>
      <c r="CD181" s="592" t="s">
        <v>365</v>
      </c>
      <c r="CE181" s="592">
        <v>0.0</v>
      </c>
      <c r="CF181" s="592"/>
      <c r="CG181" s="592">
        <v>0.0</v>
      </c>
      <c r="CH181" s="592"/>
      <c r="CI181" s="633"/>
      <c r="CJ181" s="592">
        <v>0.0</v>
      </c>
      <c r="CK181" s="479" t="s">
        <v>365</v>
      </c>
      <c r="CL181" s="592"/>
      <c r="CM181" s="593"/>
      <c r="CN181" s="538"/>
      <c r="CO181" s="538"/>
      <c r="CP181" s="538"/>
      <c r="CQ181" s="538"/>
      <c r="CR181" s="538"/>
      <c r="CS181" s="538"/>
      <c r="CT181" s="538"/>
      <c r="CU181" s="538"/>
      <c r="CV181" s="538"/>
      <c r="CW181" s="538"/>
      <c r="CX181" s="538"/>
      <c r="CY181" s="538"/>
      <c r="CZ181" s="538"/>
      <c r="DA181" s="538"/>
      <c r="DB181" s="538"/>
      <c r="DC181" s="538"/>
      <c r="DD181" s="538"/>
      <c r="DE181" s="538"/>
      <c r="DF181" s="538"/>
      <c r="DG181" s="538"/>
      <c r="DH181" s="538"/>
      <c r="DI181" s="538"/>
      <c r="DJ181" s="538"/>
      <c r="DK181" s="538"/>
      <c r="DL181" s="538"/>
      <c r="DM181" s="538"/>
      <c r="DN181" s="538"/>
      <c r="DO181" s="538"/>
      <c r="DP181" s="538"/>
      <c r="DQ181" s="538"/>
      <c r="DR181" s="538"/>
      <c r="DS181" s="538"/>
      <c r="DT181" s="538"/>
      <c r="DU181" s="538"/>
      <c r="DV181" s="538"/>
      <c r="DW181" s="538"/>
      <c r="DX181" s="538"/>
      <c r="DY181" s="538"/>
      <c r="DZ181" s="538"/>
      <c r="EA181" s="538"/>
      <c r="EB181" s="538"/>
      <c r="EC181" s="538"/>
      <c r="ED181" s="538"/>
      <c r="EE181" s="538"/>
      <c r="EF181" s="538"/>
      <c r="EG181" s="538"/>
      <c r="EH181" s="538"/>
      <c r="EI181" s="538"/>
      <c r="EJ181" s="538"/>
      <c r="EK181" s="538"/>
      <c r="EL181" s="538"/>
      <c r="EM181" s="538"/>
      <c r="EN181" s="538"/>
      <c r="EO181" s="538"/>
      <c r="EP181" s="538"/>
      <c r="EQ181" s="538"/>
      <c r="ER181" s="538"/>
      <c r="ES181" s="538"/>
      <c r="ET181" s="538"/>
      <c r="EU181" s="538"/>
      <c r="EV181" s="538"/>
      <c r="EW181" s="538"/>
      <c r="EX181" s="559"/>
      <c r="EY181" s="559"/>
      <c r="EZ181" s="559"/>
      <c r="FA181" s="559"/>
      <c r="FB181" s="559"/>
      <c r="FC181" s="559"/>
      <c r="FD181" s="559"/>
      <c r="FE181" s="559"/>
      <c r="FF181" s="559"/>
      <c r="FG181" s="559"/>
      <c r="FH181" s="559"/>
      <c r="FI181" s="559"/>
      <c r="FJ181" s="559"/>
      <c r="FK181" s="559"/>
      <c r="FL181" s="559"/>
      <c r="FM181" s="559"/>
      <c r="FN181" s="559"/>
      <c r="FO181" s="559"/>
      <c r="FP181" s="559"/>
      <c r="FQ181" s="559"/>
      <c r="FR181" s="559"/>
      <c r="FS181" s="559"/>
      <c r="FT181" s="559"/>
      <c r="FU181" s="559"/>
      <c r="FV181" s="559"/>
      <c r="FW181" s="559"/>
      <c r="FX181" s="559"/>
      <c r="FY181" s="559"/>
      <c r="FZ181" s="559"/>
      <c r="GA181" s="559"/>
      <c r="GB181" s="559"/>
      <c r="GC181" s="559"/>
      <c r="GD181" s="559"/>
      <c r="GE181" s="559"/>
      <c r="GF181" s="559"/>
      <c r="GG181" s="559"/>
      <c r="GH181" s="559"/>
    </row>
    <row r="182">
      <c r="A182" s="538"/>
      <c r="B182" s="156"/>
      <c r="C182" s="444"/>
      <c r="D182" s="614"/>
      <c r="E182" s="68"/>
      <c r="F182" s="644"/>
      <c r="G182" s="644"/>
      <c r="H182" s="627"/>
      <c r="I182" s="622" t="s">
        <v>365</v>
      </c>
      <c r="J182" s="607"/>
      <c r="K182" s="641"/>
      <c r="L182" s="628"/>
      <c r="M182" s="626"/>
      <c r="N182" s="619"/>
      <c r="O182" s="560"/>
      <c r="P182" s="47"/>
      <c r="Q182" s="47"/>
      <c r="S182" s="572"/>
      <c r="U182" s="573"/>
      <c r="V182" s="574"/>
      <c r="W182" s="618"/>
      <c r="X182" s="576">
        <v>0.0</v>
      </c>
      <c r="Y182" s="630">
        <v>0.0</v>
      </c>
      <c r="Z182" s="630" t="s">
        <v>365</v>
      </c>
      <c r="AA182" s="631" t="b">
        <v>0</v>
      </c>
      <c r="AB182" s="631"/>
      <c r="AC182" s="576"/>
      <c r="AD182" s="479">
        <v>0.0</v>
      </c>
      <c r="AE182" s="632"/>
      <c r="AF182" s="582" t="s">
        <v>365</v>
      </c>
      <c r="AG182" s="583"/>
      <c r="AH182" s="584"/>
      <c r="AI182" s="583"/>
      <c r="AJ182" s="585"/>
      <c r="AK182" s="583"/>
      <c r="AL182" s="584"/>
      <c r="AM182" s="583"/>
      <c r="AN182" s="585"/>
      <c r="AO182" s="583"/>
      <c r="AP182" s="584"/>
      <c r="AQ182" s="583"/>
      <c r="AR182" s="585"/>
      <c r="AS182" s="583"/>
      <c r="AT182" s="584"/>
      <c r="AU182" s="583"/>
      <c r="AV182" s="585"/>
      <c r="AW182" s="583"/>
      <c r="AX182" s="584"/>
      <c r="AY182" s="583"/>
      <c r="AZ182" s="585"/>
      <c r="BA182" s="583"/>
      <c r="BB182" s="584"/>
      <c r="BC182" s="583"/>
      <c r="BD182" s="585"/>
      <c r="BE182" s="583"/>
      <c r="BF182" s="584"/>
      <c r="BG182" s="583"/>
      <c r="BH182" s="585"/>
      <c r="BI182" s="583"/>
      <c r="BJ182" s="584"/>
      <c r="BK182" s="583"/>
      <c r="BL182" s="585"/>
      <c r="BM182" s="583"/>
      <c r="BN182" s="584"/>
      <c r="BO182" s="583"/>
      <c r="BP182" s="585"/>
      <c r="BQ182" s="583"/>
      <c r="BR182" s="584"/>
      <c r="BS182" s="583"/>
      <c r="BT182" s="586"/>
      <c r="BU182" s="540"/>
      <c r="BV182" s="540"/>
      <c r="BW182" s="540"/>
      <c r="BX182" s="538"/>
      <c r="BY182" s="538"/>
      <c r="BZ182" s="592"/>
      <c r="CA182" s="633"/>
      <c r="CB182" s="592" t="s">
        <v>365</v>
      </c>
      <c r="CC182" s="592">
        <v>0.0</v>
      </c>
      <c r="CD182" s="592" t="s">
        <v>365</v>
      </c>
      <c r="CE182" s="592">
        <v>0.0</v>
      </c>
      <c r="CF182" s="592"/>
      <c r="CG182" s="592">
        <v>0.0</v>
      </c>
      <c r="CH182" s="592"/>
      <c r="CI182" s="633"/>
      <c r="CJ182" s="592">
        <v>0.0</v>
      </c>
      <c r="CK182" s="479" t="s">
        <v>365</v>
      </c>
      <c r="CL182" s="592"/>
      <c r="CM182" s="593"/>
      <c r="CN182" s="538"/>
      <c r="CO182" s="538"/>
      <c r="CP182" s="538"/>
      <c r="CQ182" s="538"/>
      <c r="CR182" s="538"/>
      <c r="CS182" s="538"/>
      <c r="CT182" s="538"/>
      <c r="CU182" s="538"/>
      <c r="CV182" s="538"/>
      <c r="CW182" s="538"/>
      <c r="CX182" s="538"/>
      <c r="CY182" s="538"/>
      <c r="CZ182" s="538"/>
      <c r="DA182" s="538"/>
      <c r="DB182" s="538"/>
      <c r="DC182" s="538"/>
      <c r="DD182" s="538"/>
      <c r="DE182" s="538"/>
      <c r="DF182" s="538"/>
      <c r="DG182" s="538"/>
      <c r="DH182" s="538"/>
      <c r="DI182" s="538"/>
      <c r="DJ182" s="538"/>
      <c r="DK182" s="538"/>
      <c r="DL182" s="538"/>
      <c r="DM182" s="538"/>
      <c r="DN182" s="538"/>
      <c r="DO182" s="538"/>
      <c r="DP182" s="538"/>
      <c r="DQ182" s="538"/>
      <c r="DR182" s="538"/>
      <c r="DS182" s="538"/>
      <c r="DT182" s="538"/>
      <c r="DU182" s="538"/>
      <c r="DV182" s="538"/>
      <c r="DW182" s="538"/>
      <c r="DX182" s="538"/>
      <c r="DY182" s="538"/>
      <c r="DZ182" s="538"/>
      <c r="EA182" s="538"/>
      <c r="EB182" s="538"/>
      <c r="EC182" s="538"/>
      <c r="ED182" s="538"/>
      <c r="EE182" s="538"/>
      <c r="EF182" s="538"/>
      <c r="EG182" s="538"/>
      <c r="EH182" s="538"/>
      <c r="EI182" s="538"/>
      <c r="EJ182" s="538"/>
      <c r="EK182" s="538"/>
      <c r="EL182" s="538"/>
      <c r="EM182" s="538"/>
      <c r="EN182" s="538"/>
      <c r="EO182" s="538"/>
      <c r="EP182" s="538"/>
      <c r="EQ182" s="538"/>
      <c r="ER182" s="538"/>
      <c r="ES182" s="538"/>
      <c r="ET182" s="538"/>
      <c r="EU182" s="538"/>
      <c r="EV182" s="538"/>
      <c r="EW182" s="538"/>
      <c r="EX182" s="559"/>
      <c r="EY182" s="559"/>
      <c r="EZ182" s="559"/>
      <c r="FA182" s="559"/>
      <c r="FB182" s="559"/>
      <c r="FC182" s="559"/>
      <c r="FD182" s="559"/>
      <c r="FE182" s="559"/>
      <c r="FF182" s="559"/>
      <c r="FG182" s="559"/>
      <c r="FH182" s="559"/>
      <c r="FI182" s="559"/>
      <c r="FJ182" s="559"/>
      <c r="FK182" s="559"/>
      <c r="FL182" s="559"/>
      <c r="FM182" s="559"/>
      <c r="FN182" s="559"/>
      <c r="FO182" s="559"/>
      <c r="FP182" s="559"/>
      <c r="FQ182" s="559"/>
      <c r="FR182" s="559"/>
      <c r="FS182" s="559"/>
      <c r="FT182" s="559"/>
      <c r="FU182" s="559"/>
      <c r="FV182" s="559"/>
      <c r="FW182" s="559"/>
      <c r="FX182" s="559"/>
      <c r="FY182" s="559"/>
      <c r="FZ182" s="559"/>
      <c r="GA182" s="559"/>
      <c r="GB182" s="559"/>
      <c r="GC182" s="559"/>
      <c r="GD182" s="559"/>
      <c r="GE182" s="559"/>
      <c r="GF182" s="559"/>
      <c r="GG182" s="559"/>
      <c r="GH182" s="559"/>
    </row>
    <row r="183">
      <c r="A183" s="538"/>
      <c r="B183" s="156"/>
      <c r="C183" s="444"/>
      <c r="D183" s="614"/>
      <c r="E183" s="66"/>
      <c r="F183" s="642"/>
      <c r="G183" s="642"/>
      <c r="H183" s="615"/>
      <c r="I183" s="616" t="s">
        <v>365</v>
      </c>
      <c r="J183" s="624"/>
      <c r="K183" s="643"/>
      <c r="L183" s="640"/>
      <c r="M183" s="625"/>
      <c r="N183" s="617"/>
      <c r="O183" s="134"/>
      <c r="P183" s="57"/>
      <c r="Q183" s="57"/>
      <c r="S183" s="605"/>
      <c r="U183" s="573"/>
      <c r="V183" s="574"/>
      <c r="W183" s="618"/>
      <c r="X183" s="576">
        <v>0.0</v>
      </c>
      <c r="Y183" s="630">
        <v>0.0</v>
      </c>
      <c r="Z183" s="630" t="s">
        <v>365</v>
      </c>
      <c r="AA183" s="631" t="b">
        <v>0</v>
      </c>
      <c r="AB183" s="631"/>
      <c r="AC183" s="576"/>
      <c r="AD183" s="479">
        <v>0.0</v>
      </c>
      <c r="AE183" s="632"/>
      <c r="AF183" s="582" t="s">
        <v>365</v>
      </c>
      <c r="AG183" s="583"/>
      <c r="AH183" s="584"/>
      <c r="AI183" s="583"/>
      <c r="AJ183" s="585"/>
      <c r="AK183" s="583"/>
      <c r="AL183" s="584"/>
      <c r="AM183" s="583"/>
      <c r="AN183" s="585"/>
      <c r="AO183" s="583"/>
      <c r="AP183" s="584"/>
      <c r="AQ183" s="583"/>
      <c r="AR183" s="585"/>
      <c r="AS183" s="583"/>
      <c r="AT183" s="584"/>
      <c r="AU183" s="583"/>
      <c r="AV183" s="585"/>
      <c r="AW183" s="583"/>
      <c r="AX183" s="584"/>
      <c r="AY183" s="583"/>
      <c r="AZ183" s="585"/>
      <c r="BA183" s="583"/>
      <c r="BB183" s="584"/>
      <c r="BC183" s="583"/>
      <c r="BD183" s="585"/>
      <c r="BE183" s="583"/>
      <c r="BF183" s="584"/>
      <c r="BG183" s="583"/>
      <c r="BH183" s="585"/>
      <c r="BI183" s="583"/>
      <c r="BJ183" s="584"/>
      <c r="BK183" s="583"/>
      <c r="BL183" s="585"/>
      <c r="BM183" s="583"/>
      <c r="BN183" s="584"/>
      <c r="BO183" s="583"/>
      <c r="BP183" s="585"/>
      <c r="BQ183" s="583"/>
      <c r="BR183" s="584"/>
      <c r="BS183" s="583"/>
      <c r="BT183" s="586"/>
      <c r="BU183" s="540"/>
      <c r="BV183" s="540"/>
      <c r="BW183" s="540"/>
      <c r="BX183" s="538"/>
      <c r="BY183" s="538"/>
      <c r="BZ183" s="592"/>
      <c r="CA183" s="633"/>
      <c r="CB183" s="592" t="s">
        <v>365</v>
      </c>
      <c r="CC183" s="592">
        <v>0.0</v>
      </c>
      <c r="CD183" s="592" t="s">
        <v>365</v>
      </c>
      <c r="CE183" s="592">
        <v>0.0</v>
      </c>
      <c r="CF183" s="592"/>
      <c r="CG183" s="592">
        <v>0.0</v>
      </c>
      <c r="CH183" s="592"/>
      <c r="CI183" s="633"/>
      <c r="CJ183" s="592">
        <v>0.0</v>
      </c>
      <c r="CK183" s="479" t="s">
        <v>365</v>
      </c>
      <c r="CL183" s="592"/>
      <c r="CM183" s="593"/>
      <c r="CN183" s="538"/>
      <c r="CO183" s="538"/>
      <c r="CP183" s="538"/>
      <c r="CQ183" s="538"/>
      <c r="CR183" s="538"/>
      <c r="CS183" s="538"/>
      <c r="CT183" s="538"/>
      <c r="CU183" s="538"/>
      <c r="CV183" s="538"/>
      <c r="CW183" s="538"/>
      <c r="CX183" s="538"/>
      <c r="CY183" s="538"/>
      <c r="CZ183" s="538"/>
      <c r="DA183" s="538"/>
      <c r="DB183" s="538"/>
      <c r="DC183" s="538"/>
      <c r="DD183" s="538"/>
      <c r="DE183" s="538"/>
      <c r="DF183" s="538"/>
      <c r="DG183" s="538"/>
      <c r="DH183" s="538"/>
      <c r="DI183" s="538"/>
      <c r="DJ183" s="538"/>
      <c r="DK183" s="538"/>
      <c r="DL183" s="538"/>
      <c r="DM183" s="538"/>
      <c r="DN183" s="538"/>
      <c r="DO183" s="538"/>
      <c r="DP183" s="538"/>
      <c r="DQ183" s="538"/>
      <c r="DR183" s="538"/>
      <c r="DS183" s="538"/>
      <c r="DT183" s="538"/>
      <c r="DU183" s="538"/>
      <c r="DV183" s="538"/>
      <c r="DW183" s="538"/>
      <c r="DX183" s="538"/>
      <c r="DY183" s="538"/>
      <c r="DZ183" s="538"/>
      <c r="EA183" s="538"/>
      <c r="EB183" s="538"/>
      <c r="EC183" s="538"/>
      <c r="ED183" s="538"/>
      <c r="EE183" s="538"/>
      <c r="EF183" s="538"/>
      <c r="EG183" s="538"/>
      <c r="EH183" s="538"/>
      <c r="EI183" s="538"/>
      <c r="EJ183" s="538"/>
      <c r="EK183" s="538"/>
      <c r="EL183" s="538"/>
      <c r="EM183" s="538"/>
      <c r="EN183" s="538"/>
      <c r="EO183" s="538"/>
      <c r="EP183" s="538"/>
      <c r="EQ183" s="538"/>
      <c r="ER183" s="538"/>
      <c r="ES183" s="538"/>
      <c r="ET183" s="538"/>
      <c r="EU183" s="538"/>
      <c r="EV183" s="538"/>
      <c r="EW183" s="538"/>
      <c r="EX183" s="559"/>
      <c r="EY183" s="559"/>
      <c r="EZ183" s="559"/>
      <c r="FA183" s="559"/>
      <c r="FB183" s="559"/>
      <c r="FC183" s="559"/>
      <c r="FD183" s="559"/>
      <c r="FE183" s="559"/>
      <c r="FF183" s="559"/>
      <c r="FG183" s="559"/>
      <c r="FH183" s="559"/>
      <c r="FI183" s="559"/>
      <c r="FJ183" s="559"/>
      <c r="FK183" s="559"/>
      <c r="FL183" s="559"/>
      <c r="FM183" s="559"/>
      <c r="FN183" s="559"/>
      <c r="FO183" s="559"/>
      <c r="FP183" s="559"/>
      <c r="FQ183" s="559"/>
      <c r="FR183" s="559"/>
      <c r="FS183" s="559"/>
      <c r="FT183" s="559"/>
      <c r="FU183" s="559"/>
      <c r="FV183" s="559"/>
      <c r="FW183" s="559"/>
      <c r="FX183" s="559"/>
      <c r="FY183" s="559"/>
      <c r="FZ183" s="559"/>
      <c r="GA183" s="559"/>
      <c r="GB183" s="559"/>
      <c r="GC183" s="559"/>
      <c r="GD183" s="559"/>
      <c r="GE183" s="559"/>
      <c r="GF183" s="559"/>
      <c r="GG183" s="559"/>
      <c r="GH183" s="559"/>
    </row>
    <row r="184">
      <c r="A184" s="538"/>
      <c r="B184" s="156"/>
      <c r="C184" s="444"/>
      <c r="D184" s="614"/>
      <c r="E184" s="68"/>
      <c r="F184" s="644"/>
      <c r="G184" s="644"/>
      <c r="H184" s="627"/>
      <c r="I184" s="622" t="s">
        <v>365</v>
      </c>
      <c r="J184" s="607"/>
      <c r="K184" s="641"/>
      <c r="L184" s="628"/>
      <c r="M184" s="626"/>
      <c r="N184" s="619"/>
      <c r="O184" s="560"/>
      <c r="P184" s="47"/>
      <c r="Q184" s="47"/>
      <c r="S184" s="572"/>
      <c r="U184" s="573"/>
      <c r="V184" s="574"/>
      <c r="W184" s="618"/>
      <c r="X184" s="576">
        <v>0.0</v>
      </c>
      <c r="Y184" s="630">
        <v>0.0</v>
      </c>
      <c r="Z184" s="630" t="s">
        <v>365</v>
      </c>
      <c r="AA184" s="631" t="b">
        <v>0</v>
      </c>
      <c r="AB184" s="631"/>
      <c r="AC184" s="576"/>
      <c r="AD184" s="479">
        <v>0.0</v>
      </c>
      <c r="AE184" s="632"/>
      <c r="AF184" s="582" t="s">
        <v>365</v>
      </c>
      <c r="AG184" s="583"/>
      <c r="AH184" s="584"/>
      <c r="AI184" s="583"/>
      <c r="AJ184" s="585"/>
      <c r="AK184" s="583"/>
      <c r="AL184" s="584"/>
      <c r="AM184" s="583"/>
      <c r="AN184" s="585"/>
      <c r="AO184" s="583"/>
      <c r="AP184" s="584"/>
      <c r="AQ184" s="583"/>
      <c r="AR184" s="585"/>
      <c r="AS184" s="583"/>
      <c r="AT184" s="584"/>
      <c r="AU184" s="583"/>
      <c r="AV184" s="585"/>
      <c r="AW184" s="583"/>
      <c r="AX184" s="584"/>
      <c r="AY184" s="583"/>
      <c r="AZ184" s="585"/>
      <c r="BA184" s="583"/>
      <c r="BB184" s="584"/>
      <c r="BC184" s="583"/>
      <c r="BD184" s="585"/>
      <c r="BE184" s="583"/>
      <c r="BF184" s="584"/>
      <c r="BG184" s="583"/>
      <c r="BH184" s="585"/>
      <c r="BI184" s="583"/>
      <c r="BJ184" s="584"/>
      <c r="BK184" s="583"/>
      <c r="BL184" s="585"/>
      <c r="BM184" s="583"/>
      <c r="BN184" s="584"/>
      <c r="BO184" s="583"/>
      <c r="BP184" s="585"/>
      <c r="BQ184" s="583"/>
      <c r="BR184" s="584"/>
      <c r="BS184" s="583"/>
      <c r="BT184" s="586"/>
      <c r="BU184" s="540"/>
      <c r="BV184" s="540"/>
      <c r="BW184" s="540"/>
      <c r="BX184" s="538"/>
      <c r="BY184" s="538"/>
      <c r="BZ184" s="592"/>
      <c r="CA184" s="633"/>
      <c r="CB184" s="592" t="s">
        <v>365</v>
      </c>
      <c r="CC184" s="592">
        <v>0.0</v>
      </c>
      <c r="CD184" s="592" t="s">
        <v>365</v>
      </c>
      <c r="CE184" s="592">
        <v>0.0</v>
      </c>
      <c r="CF184" s="592"/>
      <c r="CG184" s="592">
        <v>0.0</v>
      </c>
      <c r="CH184" s="592"/>
      <c r="CI184" s="633"/>
      <c r="CJ184" s="592">
        <v>0.0</v>
      </c>
      <c r="CK184" s="479" t="s">
        <v>365</v>
      </c>
      <c r="CL184" s="592"/>
      <c r="CM184" s="593"/>
      <c r="CN184" s="538"/>
      <c r="CO184" s="538"/>
      <c r="CP184" s="538"/>
      <c r="CQ184" s="538"/>
      <c r="CR184" s="538"/>
      <c r="CS184" s="538"/>
      <c r="CT184" s="538"/>
      <c r="CU184" s="538"/>
      <c r="CV184" s="538"/>
      <c r="CW184" s="538"/>
      <c r="CX184" s="538"/>
      <c r="CY184" s="538"/>
      <c r="CZ184" s="538"/>
      <c r="DA184" s="538"/>
      <c r="DB184" s="538"/>
      <c r="DC184" s="538"/>
      <c r="DD184" s="538"/>
      <c r="DE184" s="538"/>
      <c r="DF184" s="538"/>
      <c r="DG184" s="538"/>
      <c r="DH184" s="538"/>
      <c r="DI184" s="538"/>
      <c r="DJ184" s="538"/>
      <c r="DK184" s="538"/>
      <c r="DL184" s="538"/>
      <c r="DM184" s="538"/>
      <c r="DN184" s="538"/>
      <c r="DO184" s="538"/>
      <c r="DP184" s="538"/>
      <c r="DQ184" s="538"/>
      <c r="DR184" s="538"/>
      <c r="DS184" s="538"/>
      <c r="DT184" s="538"/>
      <c r="DU184" s="538"/>
      <c r="DV184" s="538"/>
      <c r="DW184" s="538"/>
      <c r="DX184" s="538"/>
      <c r="DY184" s="538"/>
      <c r="DZ184" s="538"/>
      <c r="EA184" s="538"/>
      <c r="EB184" s="538"/>
      <c r="EC184" s="538"/>
      <c r="ED184" s="538"/>
      <c r="EE184" s="538"/>
      <c r="EF184" s="538"/>
      <c r="EG184" s="538"/>
      <c r="EH184" s="538"/>
      <c r="EI184" s="538"/>
      <c r="EJ184" s="538"/>
      <c r="EK184" s="538"/>
      <c r="EL184" s="538"/>
      <c r="EM184" s="538"/>
      <c r="EN184" s="538"/>
      <c r="EO184" s="538"/>
      <c r="EP184" s="538"/>
      <c r="EQ184" s="538"/>
      <c r="ER184" s="538"/>
      <c r="ES184" s="538"/>
      <c r="ET184" s="538"/>
      <c r="EU184" s="538"/>
      <c r="EV184" s="538"/>
      <c r="EW184" s="538"/>
      <c r="EX184" s="559"/>
      <c r="EY184" s="559"/>
      <c r="EZ184" s="559"/>
      <c r="FA184" s="559"/>
      <c r="FB184" s="559"/>
      <c r="FC184" s="559"/>
      <c r="FD184" s="559"/>
      <c r="FE184" s="559"/>
      <c r="FF184" s="559"/>
      <c r="FG184" s="559"/>
      <c r="FH184" s="559"/>
      <c r="FI184" s="559"/>
      <c r="FJ184" s="559"/>
      <c r="FK184" s="559"/>
      <c r="FL184" s="559"/>
      <c r="FM184" s="559"/>
      <c r="FN184" s="559"/>
      <c r="FO184" s="559"/>
      <c r="FP184" s="559"/>
      <c r="FQ184" s="559"/>
      <c r="FR184" s="559"/>
      <c r="FS184" s="559"/>
      <c r="FT184" s="559"/>
      <c r="FU184" s="559"/>
      <c r="FV184" s="559"/>
      <c r="FW184" s="559"/>
      <c r="FX184" s="559"/>
      <c r="FY184" s="559"/>
      <c r="FZ184" s="559"/>
      <c r="GA184" s="559"/>
      <c r="GB184" s="559"/>
      <c r="GC184" s="559"/>
      <c r="GD184" s="559"/>
      <c r="GE184" s="559"/>
      <c r="GF184" s="559"/>
      <c r="GG184" s="559"/>
      <c r="GH184" s="559"/>
    </row>
    <row r="185">
      <c r="A185" s="538"/>
      <c r="B185" s="156"/>
      <c r="C185" s="444"/>
      <c r="D185" s="614"/>
      <c r="E185" s="66"/>
      <c r="F185" s="642"/>
      <c r="G185" s="642"/>
      <c r="H185" s="615"/>
      <c r="I185" s="616" t="s">
        <v>365</v>
      </c>
      <c r="J185" s="624"/>
      <c r="K185" s="643"/>
      <c r="L185" s="640"/>
      <c r="M185" s="625"/>
      <c r="N185" s="617"/>
      <c r="O185" s="134"/>
      <c r="P185" s="57"/>
      <c r="Q185" s="57"/>
      <c r="S185" s="605"/>
      <c r="U185" s="573"/>
      <c r="V185" s="574"/>
      <c r="W185" s="618"/>
      <c r="X185" s="576">
        <v>0.0</v>
      </c>
      <c r="Y185" s="630">
        <v>0.0</v>
      </c>
      <c r="Z185" s="630" t="s">
        <v>365</v>
      </c>
      <c r="AA185" s="631" t="b">
        <v>0</v>
      </c>
      <c r="AB185" s="631"/>
      <c r="AC185" s="576"/>
      <c r="AD185" s="479">
        <v>0.0</v>
      </c>
      <c r="AE185" s="632"/>
      <c r="AF185" s="582" t="s">
        <v>365</v>
      </c>
      <c r="AG185" s="583"/>
      <c r="AH185" s="584"/>
      <c r="AI185" s="583"/>
      <c r="AJ185" s="585"/>
      <c r="AK185" s="583"/>
      <c r="AL185" s="584"/>
      <c r="AM185" s="583"/>
      <c r="AN185" s="585"/>
      <c r="AO185" s="583"/>
      <c r="AP185" s="584"/>
      <c r="AQ185" s="583"/>
      <c r="AR185" s="585"/>
      <c r="AS185" s="583"/>
      <c r="AT185" s="584"/>
      <c r="AU185" s="583"/>
      <c r="AV185" s="585"/>
      <c r="AW185" s="583"/>
      <c r="AX185" s="584"/>
      <c r="AY185" s="583"/>
      <c r="AZ185" s="585"/>
      <c r="BA185" s="583"/>
      <c r="BB185" s="584"/>
      <c r="BC185" s="583"/>
      <c r="BD185" s="585"/>
      <c r="BE185" s="583"/>
      <c r="BF185" s="584"/>
      <c r="BG185" s="583"/>
      <c r="BH185" s="585"/>
      <c r="BI185" s="583"/>
      <c r="BJ185" s="584"/>
      <c r="BK185" s="583"/>
      <c r="BL185" s="585"/>
      <c r="BM185" s="583"/>
      <c r="BN185" s="584"/>
      <c r="BO185" s="583"/>
      <c r="BP185" s="585"/>
      <c r="BQ185" s="583"/>
      <c r="BR185" s="584"/>
      <c r="BS185" s="583"/>
      <c r="BT185" s="586"/>
      <c r="BU185" s="540"/>
      <c r="BV185" s="540"/>
      <c r="BW185" s="540"/>
      <c r="BX185" s="538"/>
      <c r="BY185" s="538"/>
      <c r="BZ185" s="592"/>
      <c r="CA185" s="633"/>
      <c r="CB185" s="592" t="s">
        <v>365</v>
      </c>
      <c r="CC185" s="592">
        <v>0.0</v>
      </c>
      <c r="CD185" s="592" t="s">
        <v>365</v>
      </c>
      <c r="CE185" s="592">
        <v>0.0</v>
      </c>
      <c r="CF185" s="592"/>
      <c r="CG185" s="592">
        <v>0.0</v>
      </c>
      <c r="CH185" s="592"/>
      <c r="CI185" s="633"/>
      <c r="CJ185" s="592">
        <v>0.0</v>
      </c>
      <c r="CK185" s="479" t="s">
        <v>365</v>
      </c>
      <c r="CL185" s="592"/>
      <c r="CM185" s="593"/>
      <c r="CN185" s="538"/>
      <c r="CO185" s="538"/>
      <c r="CP185" s="538"/>
      <c r="CQ185" s="538"/>
      <c r="CR185" s="538"/>
      <c r="CS185" s="538"/>
      <c r="CT185" s="538"/>
      <c r="CU185" s="538"/>
      <c r="CV185" s="538"/>
      <c r="CW185" s="538"/>
      <c r="CX185" s="538"/>
      <c r="CY185" s="538"/>
      <c r="CZ185" s="538"/>
      <c r="DA185" s="538"/>
      <c r="DB185" s="538"/>
      <c r="DC185" s="538"/>
      <c r="DD185" s="538"/>
      <c r="DE185" s="538"/>
      <c r="DF185" s="538"/>
      <c r="DG185" s="538"/>
      <c r="DH185" s="538"/>
      <c r="DI185" s="538"/>
      <c r="DJ185" s="538"/>
      <c r="DK185" s="538"/>
      <c r="DL185" s="538"/>
      <c r="DM185" s="538"/>
      <c r="DN185" s="538"/>
      <c r="DO185" s="538"/>
      <c r="DP185" s="538"/>
      <c r="DQ185" s="538"/>
      <c r="DR185" s="538"/>
      <c r="DS185" s="538"/>
      <c r="DT185" s="538"/>
      <c r="DU185" s="538"/>
      <c r="DV185" s="538"/>
      <c r="DW185" s="538"/>
      <c r="DX185" s="538"/>
      <c r="DY185" s="538"/>
      <c r="DZ185" s="538"/>
      <c r="EA185" s="538"/>
      <c r="EB185" s="538"/>
      <c r="EC185" s="538"/>
      <c r="ED185" s="538"/>
      <c r="EE185" s="538"/>
      <c r="EF185" s="538"/>
      <c r="EG185" s="538"/>
      <c r="EH185" s="538"/>
      <c r="EI185" s="538"/>
      <c r="EJ185" s="538"/>
      <c r="EK185" s="538"/>
      <c r="EL185" s="538"/>
      <c r="EM185" s="538"/>
      <c r="EN185" s="538"/>
      <c r="EO185" s="538"/>
      <c r="EP185" s="538"/>
      <c r="EQ185" s="538"/>
      <c r="ER185" s="538"/>
      <c r="ES185" s="538"/>
      <c r="ET185" s="538"/>
      <c r="EU185" s="538"/>
      <c r="EV185" s="538"/>
      <c r="EW185" s="538"/>
      <c r="EX185" s="559"/>
      <c r="EY185" s="559"/>
      <c r="EZ185" s="559"/>
      <c r="FA185" s="559"/>
      <c r="FB185" s="559"/>
      <c r="FC185" s="559"/>
      <c r="FD185" s="559"/>
      <c r="FE185" s="559"/>
      <c r="FF185" s="559"/>
      <c r="FG185" s="559"/>
      <c r="FH185" s="559"/>
      <c r="FI185" s="559"/>
      <c r="FJ185" s="559"/>
      <c r="FK185" s="559"/>
      <c r="FL185" s="559"/>
      <c r="FM185" s="559"/>
      <c r="FN185" s="559"/>
      <c r="FO185" s="559"/>
      <c r="FP185" s="559"/>
      <c r="FQ185" s="559"/>
      <c r="FR185" s="559"/>
      <c r="FS185" s="559"/>
      <c r="FT185" s="559"/>
      <c r="FU185" s="559"/>
      <c r="FV185" s="559"/>
      <c r="FW185" s="559"/>
      <c r="FX185" s="559"/>
      <c r="FY185" s="559"/>
      <c r="FZ185" s="559"/>
      <c r="GA185" s="559"/>
      <c r="GB185" s="559"/>
      <c r="GC185" s="559"/>
      <c r="GD185" s="559"/>
      <c r="GE185" s="559"/>
      <c r="GF185" s="559"/>
      <c r="GG185" s="559"/>
      <c r="GH185" s="559"/>
    </row>
    <row r="186">
      <c r="A186" s="538"/>
      <c r="B186" s="156"/>
      <c r="C186" s="444"/>
      <c r="D186" s="614"/>
      <c r="E186" s="645"/>
      <c r="F186" s="646"/>
      <c r="G186" s="646"/>
      <c r="H186" s="647"/>
      <c r="I186" s="648" t="s">
        <v>365</v>
      </c>
      <c r="J186" s="649"/>
      <c r="K186" s="650"/>
      <c r="L186" s="651"/>
      <c r="M186" s="652"/>
      <c r="N186" s="653"/>
      <c r="O186" s="654"/>
      <c r="P186" s="655"/>
      <c r="Q186" s="655"/>
      <c r="S186" s="572"/>
      <c r="U186" s="573"/>
      <c r="V186" s="574"/>
      <c r="W186" s="618"/>
      <c r="X186" s="576">
        <v>0.0</v>
      </c>
      <c r="Y186" s="630">
        <v>0.0</v>
      </c>
      <c r="Z186" s="630" t="s">
        <v>365</v>
      </c>
      <c r="AA186" s="631" t="b">
        <v>0</v>
      </c>
      <c r="AB186" s="631"/>
      <c r="AC186" s="576"/>
      <c r="AD186" s="479">
        <v>0.0</v>
      </c>
      <c r="AE186" s="632"/>
      <c r="AF186" s="656" t="s">
        <v>365</v>
      </c>
      <c r="AG186" s="583"/>
      <c r="AH186" s="584"/>
      <c r="AI186" s="583"/>
      <c r="AJ186" s="585"/>
      <c r="AK186" s="583"/>
      <c r="AL186" s="584"/>
      <c r="AM186" s="583"/>
      <c r="AN186" s="585"/>
      <c r="AO186" s="583"/>
      <c r="AP186" s="584"/>
      <c r="AQ186" s="583"/>
      <c r="AR186" s="585"/>
      <c r="AS186" s="583"/>
      <c r="AT186" s="584"/>
      <c r="AU186" s="583"/>
      <c r="AV186" s="585"/>
      <c r="AW186" s="583"/>
      <c r="AX186" s="584"/>
      <c r="AY186" s="583"/>
      <c r="AZ186" s="585"/>
      <c r="BA186" s="583"/>
      <c r="BB186" s="584"/>
      <c r="BC186" s="583"/>
      <c r="BD186" s="585"/>
      <c r="BE186" s="583"/>
      <c r="BF186" s="584"/>
      <c r="BG186" s="583"/>
      <c r="BH186" s="585"/>
      <c r="BI186" s="583"/>
      <c r="BJ186" s="584"/>
      <c r="BK186" s="583"/>
      <c r="BL186" s="585"/>
      <c r="BM186" s="583"/>
      <c r="BN186" s="584"/>
      <c r="BO186" s="583"/>
      <c r="BP186" s="585"/>
      <c r="BQ186" s="583"/>
      <c r="BR186" s="584"/>
      <c r="BS186" s="583"/>
      <c r="BT186" s="586"/>
      <c r="BU186" s="540"/>
      <c r="BV186" s="540"/>
      <c r="BW186" s="540"/>
      <c r="BX186" s="538"/>
      <c r="BY186" s="538"/>
      <c r="BZ186" s="592"/>
      <c r="CA186" s="633"/>
      <c r="CB186" s="592" t="s">
        <v>365</v>
      </c>
      <c r="CC186" s="592">
        <v>0.0</v>
      </c>
      <c r="CD186" s="592" t="s">
        <v>365</v>
      </c>
      <c r="CE186" s="592">
        <v>0.0</v>
      </c>
      <c r="CF186" s="592"/>
      <c r="CG186" s="592">
        <v>0.0</v>
      </c>
      <c r="CH186" s="592"/>
      <c r="CI186" s="633"/>
      <c r="CJ186" s="592">
        <v>0.0</v>
      </c>
      <c r="CK186" s="479" t="s">
        <v>365</v>
      </c>
      <c r="CL186" s="657"/>
      <c r="CM186" s="658"/>
      <c r="CN186" s="538"/>
      <c r="CO186" s="538"/>
      <c r="CP186" s="538"/>
      <c r="CQ186" s="538"/>
      <c r="CR186" s="538"/>
      <c r="CS186" s="538"/>
      <c r="CT186" s="538"/>
      <c r="CU186" s="538"/>
      <c r="CV186" s="538"/>
      <c r="CW186" s="538"/>
      <c r="CX186" s="538"/>
      <c r="CY186" s="538"/>
      <c r="CZ186" s="538"/>
      <c r="DA186" s="538"/>
      <c r="DB186" s="538"/>
      <c r="DC186" s="538"/>
      <c r="DD186" s="538"/>
      <c r="DE186" s="538"/>
      <c r="DF186" s="538"/>
      <c r="DG186" s="538"/>
      <c r="DH186" s="538"/>
      <c r="DI186" s="538"/>
      <c r="DJ186" s="538"/>
      <c r="DK186" s="538"/>
      <c r="DL186" s="538"/>
      <c r="DM186" s="538"/>
      <c r="DN186" s="538"/>
      <c r="DO186" s="538"/>
      <c r="DP186" s="538"/>
      <c r="DQ186" s="538"/>
      <c r="DR186" s="538"/>
      <c r="DS186" s="538"/>
      <c r="DT186" s="538"/>
      <c r="DU186" s="538"/>
      <c r="DV186" s="538"/>
      <c r="DW186" s="538"/>
      <c r="DX186" s="538"/>
      <c r="DY186" s="538"/>
      <c r="DZ186" s="538"/>
      <c r="EA186" s="538"/>
      <c r="EB186" s="538"/>
      <c r="EC186" s="538"/>
      <c r="ED186" s="538"/>
      <c r="EE186" s="538"/>
      <c r="EF186" s="538"/>
      <c r="EG186" s="538"/>
      <c r="EH186" s="538"/>
      <c r="EI186" s="538"/>
      <c r="EJ186" s="538"/>
      <c r="EK186" s="538"/>
      <c r="EL186" s="538"/>
      <c r="EM186" s="538"/>
      <c r="EN186" s="538"/>
      <c r="EO186" s="538"/>
      <c r="EP186" s="538"/>
      <c r="EQ186" s="538"/>
      <c r="ER186" s="538"/>
      <c r="ES186" s="538"/>
      <c r="ET186" s="538"/>
      <c r="EU186" s="538"/>
      <c r="EV186" s="538"/>
      <c r="EW186" s="538"/>
      <c r="EX186" s="559"/>
      <c r="EY186" s="559"/>
      <c r="EZ186" s="559"/>
      <c r="FA186" s="559"/>
      <c r="FB186" s="559"/>
      <c r="FC186" s="559"/>
      <c r="FD186" s="559"/>
      <c r="FE186" s="559"/>
      <c r="FF186" s="559"/>
      <c r="FG186" s="559"/>
      <c r="FH186" s="559"/>
      <c r="FI186" s="559"/>
      <c r="FJ186" s="559"/>
      <c r="FK186" s="559"/>
      <c r="FL186" s="559"/>
      <c r="FM186" s="559"/>
      <c r="FN186" s="559"/>
      <c r="FO186" s="559"/>
      <c r="FP186" s="559"/>
      <c r="FQ186" s="559"/>
      <c r="FR186" s="559"/>
      <c r="FS186" s="559"/>
      <c r="FT186" s="559"/>
      <c r="FU186" s="559"/>
      <c r="FV186" s="559"/>
      <c r="FW186" s="559"/>
      <c r="FX186" s="559"/>
      <c r="FY186" s="559"/>
      <c r="FZ186" s="559"/>
      <c r="GA186" s="559"/>
      <c r="GB186" s="559"/>
      <c r="GC186" s="559"/>
      <c r="GD186" s="559"/>
      <c r="GE186" s="559"/>
      <c r="GF186" s="559"/>
      <c r="GG186" s="559"/>
      <c r="GH186" s="559"/>
    </row>
  </sheetData>
  <mergeCells count="477">
    <mergeCell ref="AW8:AZ8"/>
    <mergeCell ref="BA8:BD8"/>
    <mergeCell ref="BE8:BH8"/>
    <mergeCell ref="BI8:BL8"/>
    <mergeCell ref="BM8:BQ8"/>
    <mergeCell ref="BR8:BT8"/>
    <mergeCell ref="BE9:BH9"/>
    <mergeCell ref="BI9:BL9"/>
    <mergeCell ref="BU8:BV8"/>
    <mergeCell ref="AG9:AJ9"/>
    <mergeCell ref="AK9:AN9"/>
    <mergeCell ref="AO9:AR9"/>
    <mergeCell ref="AS9:AV9"/>
    <mergeCell ref="AW9:AZ9"/>
    <mergeCell ref="BA9:BD9"/>
    <mergeCell ref="BM9:BQ9"/>
    <mergeCell ref="BS9:BT9"/>
    <mergeCell ref="AG10:AJ10"/>
    <mergeCell ref="AK10:AN10"/>
    <mergeCell ref="AO8:AR8"/>
    <mergeCell ref="AS8:AV8"/>
    <mergeCell ref="AO10:AR10"/>
    <mergeCell ref="AS10:AV10"/>
    <mergeCell ref="AW10:AZ10"/>
    <mergeCell ref="BA10:BD10"/>
    <mergeCell ref="BE10:BH10"/>
    <mergeCell ref="AG8:AJ8"/>
    <mergeCell ref="AK8:AN8"/>
    <mergeCell ref="AG11:AJ11"/>
    <mergeCell ref="AK11:AN11"/>
    <mergeCell ref="AO11:AR11"/>
    <mergeCell ref="AS11:AV11"/>
    <mergeCell ref="AW11:AZ11"/>
    <mergeCell ref="AG3:BW4"/>
    <mergeCell ref="AG5:BW5"/>
    <mergeCell ref="BE15:BH15"/>
    <mergeCell ref="BI15:BL15"/>
    <mergeCell ref="BS14:BT14"/>
    <mergeCell ref="AG15:AJ15"/>
    <mergeCell ref="AK15:AN15"/>
    <mergeCell ref="AO15:AR15"/>
    <mergeCell ref="AS15:AV15"/>
    <mergeCell ref="AW15:AZ15"/>
    <mergeCell ref="BA15:BD15"/>
    <mergeCell ref="BM15:BQ15"/>
    <mergeCell ref="BS15:BT15"/>
    <mergeCell ref="X1:AD15"/>
    <mergeCell ref="BZ1:CT5"/>
    <mergeCell ref="FZ1:GB1"/>
    <mergeCell ref="GC1:GE1"/>
    <mergeCell ref="GF1:GH1"/>
    <mergeCell ref="E2:F11"/>
    <mergeCell ref="GF2:GH2"/>
    <mergeCell ref="BI11:BL11"/>
    <mergeCell ref="BM11:BQ11"/>
    <mergeCell ref="BE12:BH12"/>
    <mergeCell ref="BI12:BL12"/>
    <mergeCell ref="BS11:BT11"/>
    <mergeCell ref="AG12:AJ12"/>
    <mergeCell ref="AK12:AN12"/>
    <mergeCell ref="AO12:AR12"/>
    <mergeCell ref="AS12:AV12"/>
    <mergeCell ref="AW12:AZ12"/>
    <mergeCell ref="BA12:BD12"/>
    <mergeCell ref="BM12:BQ12"/>
    <mergeCell ref="BS12:BT12"/>
    <mergeCell ref="AG13:AJ13"/>
    <mergeCell ref="AK13:AN13"/>
    <mergeCell ref="AO13:AR13"/>
    <mergeCell ref="AS13:AV13"/>
    <mergeCell ref="AW13:AZ13"/>
    <mergeCell ref="BA13:BD13"/>
    <mergeCell ref="AG1:BW1"/>
    <mergeCell ref="AG2:BW2"/>
    <mergeCell ref="FZ2:GB2"/>
    <mergeCell ref="GC2:GE2"/>
    <mergeCell ref="AG6:BQ7"/>
    <mergeCell ref="BR6:BW7"/>
    <mergeCell ref="CO6:CT6"/>
    <mergeCell ref="BZ7:CF7"/>
    <mergeCell ref="BI10:BL10"/>
    <mergeCell ref="BM10:BQ10"/>
    <mergeCell ref="BS10:BT10"/>
    <mergeCell ref="BA11:BD11"/>
    <mergeCell ref="BE11:BH11"/>
    <mergeCell ref="BE13:BH13"/>
    <mergeCell ref="BI13:BL13"/>
    <mergeCell ref="BM13:BQ13"/>
    <mergeCell ref="BS13:BT13"/>
    <mergeCell ref="BZ13:CB13"/>
    <mergeCell ref="AW16:AX16"/>
    <mergeCell ref="BA16:BB16"/>
    <mergeCell ref="BE16:BF16"/>
    <mergeCell ref="BI16:BJ16"/>
    <mergeCell ref="BM16:BO16"/>
    <mergeCell ref="J2:T2"/>
    <mergeCell ref="J3:T16"/>
    <mergeCell ref="X16:AC16"/>
    <mergeCell ref="AG16:AI16"/>
    <mergeCell ref="AK16:AL16"/>
    <mergeCell ref="AO16:AP16"/>
    <mergeCell ref="AS16:AT16"/>
    <mergeCell ref="BI14:BL14"/>
    <mergeCell ref="BM14:BQ14"/>
    <mergeCell ref="AG14:AJ14"/>
    <mergeCell ref="AK14:AN14"/>
    <mergeCell ref="AO14:AR14"/>
    <mergeCell ref="AS14:AV14"/>
    <mergeCell ref="AW14:AZ14"/>
    <mergeCell ref="BA14:BD14"/>
    <mergeCell ref="BE14:BH14"/>
    <mergeCell ref="AG17:AI17"/>
    <mergeCell ref="AK17:AL17"/>
    <mergeCell ref="E18:T18"/>
    <mergeCell ref="AG18:BW18"/>
    <mergeCell ref="E19:T20"/>
    <mergeCell ref="AG19:BW19"/>
    <mergeCell ref="BZ19:CF19"/>
    <mergeCell ref="AG20:BW20"/>
    <mergeCell ref="BZ20:CB20"/>
    <mergeCell ref="AM21:AP21"/>
    <mergeCell ref="AQ21:AT21"/>
    <mergeCell ref="AU21:AX21"/>
    <mergeCell ref="AY21:BB21"/>
    <mergeCell ref="BF21:BI21"/>
    <mergeCell ref="BZ21:CB21"/>
    <mergeCell ref="AU22:AX22"/>
    <mergeCell ref="AY22:BB22"/>
    <mergeCell ref="BC22:BE22"/>
    <mergeCell ref="BF22:BI22"/>
    <mergeCell ref="BJ22:BM22"/>
    <mergeCell ref="BN22:BQ22"/>
    <mergeCell ref="BZ22:CB22"/>
    <mergeCell ref="E28:E35"/>
    <mergeCell ref="F28:I35"/>
    <mergeCell ref="J28:M35"/>
    <mergeCell ref="N28:Q35"/>
    <mergeCell ref="R28:R35"/>
    <mergeCell ref="S28:S35"/>
    <mergeCell ref="T28:T35"/>
    <mergeCell ref="AS38:AV38"/>
    <mergeCell ref="AW38:AZ38"/>
    <mergeCell ref="BA38:BD38"/>
    <mergeCell ref="BE38:BH38"/>
    <mergeCell ref="BI38:BL38"/>
    <mergeCell ref="BM38:BP38"/>
    <mergeCell ref="BQ38:BT38"/>
    <mergeCell ref="CJ38:CM38"/>
    <mergeCell ref="E37:V37"/>
    <mergeCell ref="F38:P38"/>
    <mergeCell ref="U38:V38"/>
    <mergeCell ref="X38:AD38"/>
    <mergeCell ref="AG38:AJ38"/>
    <mergeCell ref="AK38:AN38"/>
    <mergeCell ref="AO38:AR38"/>
    <mergeCell ref="S185:T185"/>
    <mergeCell ref="S186:T186"/>
    <mergeCell ref="S178:T178"/>
    <mergeCell ref="S179:T179"/>
    <mergeCell ref="S180:T180"/>
    <mergeCell ref="S181:T181"/>
    <mergeCell ref="S182:T182"/>
    <mergeCell ref="S183:T183"/>
    <mergeCell ref="S184:T184"/>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BZ30:CB30"/>
    <mergeCell ref="BZ31:CB31"/>
    <mergeCell ref="BF27:BT27"/>
    <mergeCell ref="BF28:BT28"/>
    <mergeCell ref="BZ28:CB28"/>
    <mergeCell ref="BF29:BT29"/>
    <mergeCell ref="BZ29:CB29"/>
    <mergeCell ref="BF30:BT30"/>
    <mergeCell ref="BF31:BT31"/>
    <mergeCell ref="AM23:AP23"/>
    <mergeCell ref="AQ23:AT23"/>
    <mergeCell ref="AU23:AX23"/>
    <mergeCell ref="AY23:BB23"/>
    <mergeCell ref="BZ23:CB23"/>
    <mergeCell ref="BJ21:BM21"/>
    <mergeCell ref="BN21:BQ21"/>
    <mergeCell ref="E22:T24"/>
    <mergeCell ref="AG22:AH22"/>
    <mergeCell ref="AJ22:AL22"/>
    <mergeCell ref="AM22:AP22"/>
    <mergeCell ref="AQ22:AT22"/>
    <mergeCell ref="BC24:BE24"/>
    <mergeCell ref="AG24:AH24"/>
    <mergeCell ref="AJ24:AL24"/>
    <mergeCell ref="E25:T25"/>
    <mergeCell ref="E26:T26"/>
    <mergeCell ref="F27:I27"/>
    <mergeCell ref="K27:M27"/>
    <mergeCell ref="N27:Q27"/>
    <mergeCell ref="AU24:AX24"/>
    <mergeCell ref="AY24:BB24"/>
    <mergeCell ref="BZ24:CB24"/>
    <mergeCell ref="BZ25:CB25"/>
    <mergeCell ref="BF26:BT26"/>
    <mergeCell ref="BZ26:CB26"/>
    <mergeCell ref="BZ27:CB27"/>
    <mergeCell ref="AM24:AP24"/>
    <mergeCell ref="AQ24:AT24"/>
    <mergeCell ref="AM26:BB26"/>
    <mergeCell ref="AM27:BB27"/>
    <mergeCell ref="AM28:BB28"/>
    <mergeCell ref="AM29:BB29"/>
    <mergeCell ref="AM30:BB30"/>
    <mergeCell ref="AM31:BB31"/>
    <mergeCell ref="AM32:BT32"/>
    <mergeCell ref="BZ32:CB32"/>
    <mergeCell ref="AM33:BT34"/>
    <mergeCell ref="BZ33:CB33"/>
    <mergeCell ref="AF37:BS37"/>
    <mergeCell ref="BZ37:CM37"/>
    <mergeCell ref="K39:L39"/>
    <mergeCell ref="M39:N39"/>
    <mergeCell ref="Q39:R39"/>
    <mergeCell ref="S39:T39"/>
    <mergeCell ref="Q43:R43"/>
    <mergeCell ref="S43:T43"/>
    <mergeCell ref="S44:T44"/>
    <mergeCell ref="Q44:R44"/>
    <mergeCell ref="Q45:R45"/>
    <mergeCell ref="S45:T45"/>
    <mergeCell ref="Q46:R46"/>
    <mergeCell ref="S46:T46"/>
    <mergeCell ref="Q48:R48"/>
    <mergeCell ref="S48:T48"/>
    <mergeCell ref="Q49:R49"/>
    <mergeCell ref="S49:T49"/>
    <mergeCell ref="Q50:R50"/>
    <mergeCell ref="S50:T50"/>
    <mergeCell ref="Q51:R51"/>
    <mergeCell ref="S51:T51"/>
    <mergeCell ref="S52:T52"/>
    <mergeCell ref="S53:T53"/>
    <mergeCell ref="Q52:R52"/>
    <mergeCell ref="Q53:R53"/>
    <mergeCell ref="Q59:R59"/>
    <mergeCell ref="S59:T59"/>
    <mergeCell ref="Q61:R61"/>
    <mergeCell ref="S61:T61"/>
    <mergeCell ref="S63:T63"/>
    <mergeCell ref="Q63:R63"/>
    <mergeCell ref="Q64:R64"/>
    <mergeCell ref="Q66:R66"/>
    <mergeCell ref="Q68:R68"/>
    <mergeCell ref="Q69:R69"/>
    <mergeCell ref="Q70:R70"/>
    <mergeCell ref="Q71:R71"/>
    <mergeCell ref="S64:T64"/>
    <mergeCell ref="S66:T66"/>
    <mergeCell ref="S68:T68"/>
    <mergeCell ref="S69:T69"/>
    <mergeCell ref="S70:T70"/>
    <mergeCell ref="S71:T71"/>
    <mergeCell ref="S72:T72"/>
    <mergeCell ref="S73:T73"/>
    <mergeCell ref="S74:T74"/>
    <mergeCell ref="S75:T75"/>
    <mergeCell ref="S76:T76"/>
    <mergeCell ref="S77:T77"/>
    <mergeCell ref="S78:T78"/>
    <mergeCell ref="S79:T79"/>
    <mergeCell ref="Q72:R72"/>
    <mergeCell ref="Q73:R73"/>
    <mergeCell ref="Q74:R74"/>
    <mergeCell ref="Q75:R75"/>
    <mergeCell ref="Q76:R76"/>
    <mergeCell ref="Q77:R77"/>
    <mergeCell ref="Q78:R78"/>
    <mergeCell ref="Q79:R79"/>
    <mergeCell ref="Q80:R80"/>
    <mergeCell ref="Q81:R81"/>
    <mergeCell ref="Q82:R8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Q105:R105"/>
    <mergeCell ref="Q106:R106"/>
    <mergeCell ref="Q107:R107"/>
    <mergeCell ref="Q108:R108"/>
    <mergeCell ref="Q109:R109"/>
    <mergeCell ref="Q110:R110"/>
    <mergeCell ref="Q111:R111"/>
    <mergeCell ref="Q112:R112"/>
    <mergeCell ref="Q113:R113"/>
    <mergeCell ref="Q114:R114"/>
    <mergeCell ref="Q115:R115"/>
    <mergeCell ref="Q116:R116"/>
    <mergeCell ref="Q117:R117"/>
    <mergeCell ref="Q118:R118"/>
    <mergeCell ref="Q119:R119"/>
    <mergeCell ref="Q120:R120"/>
    <mergeCell ref="S80:T80"/>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Q170:R170"/>
    <mergeCell ref="Q171:R171"/>
    <mergeCell ref="Q172:R172"/>
    <mergeCell ref="Q173:R173"/>
    <mergeCell ref="Q174:R174"/>
    <mergeCell ref="Q175:R175"/>
    <mergeCell ref="Q176:R176"/>
    <mergeCell ref="Q184:R184"/>
    <mergeCell ref="Q185:R185"/>
    <mergeCell ref="Q186:R186"/>
    <mergeCell ref="Q177:R177"/>
    <mergeCell ref="Q178:R178"/>
    <mergeCell ref="Q179:R179"/>
    <mergeCell ref="Q180:R180"/>
    <mergeCell ref="Q181:R181"/>
    <mergeCell ref="Q182:R182"/>
    <mergeCell ref="Q183:R183"/>
    <mergeCell ref="Q121:R121"/>
    <mergeCell ref="Q122:R122"/>
    <mergeCell ref="Q123:R123"/>
    <mergeCell ref="Q124:R124"/>
    <mergeCell ref="Q125:R125"/>
    <mergeCell ref="Q126:R126"/>
    <mergeCell ref="Q127:R127"/>
    <mergeCell ref="Q128:R128"/>
    <mergeCell ref="Q129:R129"/>
    <mergeCell ref="Q130:R130"/>
    <mergeCell ref="Q131:R131"/>
    <mergeCell ref="Q132:R132"/>
    <mergeCell ref="Q133:R133"/>
    <mergeCell ref="Q134:R134"/>
    <mergeCell ref="Q135:R135"/>
    <mergeCell ref="Q136:R136"/>
    <mergeCell ref="Q137:R137"/>
    <mergeCell ref="Q138:R138"/>
    <mergeCell ref="Q139:R139"/>
    <mergeCell ref="Q140:R140"/>
    <mergeCell ref="Q141:R141"/>
    <mergeCell ref="Q142:R142"/>
    <mergeCell ref="Q143:R143"/>
    <mergeCell ref="Q144:R144"/>
    <mergeCell ref="Q145:R145"/>
    <mergeCell ref="Q146:R146"/>
    <mergeCell ref="Q147:R147"/>
    <mergeCell ref="Q148:R148"/>
    <mergeCell ref="Q149:R149"/>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s>
  <conditionalFormatting sqref="BI16:BJ16">
    <cfRule type="colorScale" priority="1">
      <colorScale>
        <cfvo type="formula" val="1"/>
        <cfvo type="formula" val="5"/>
        <cfvo type="formula" val="10"/>
        <color rgb="FFEA4335"/>
        <color rgb="FFFBBC04"/>
        <color rgb="FF34A853"/>
      </colorScale>
    </cfRule>
  </conditionalFormatting>
  <conditionalFormatting sqref="AG9:AG18 AI9:BH18 BI16:BJ18">
    <cfRule type="colorScale" priority="2">
      <colorScale>
        <cfvo type="formula" val="1"/>
        <cfvo type="formula" val="4"/>
        <cfvo type="formula" val="7"/>
        <color rgb="FF34A853"/>
        <color rgb="FFFBBC04"/>
        <color rgb="FFFF0000"/>
      </colorScale>
    </cfRule>
  </conditionalFormatting>
  <conditionalFormatting sqref="AG9:AG18 AI9:BH18 BI16:BJ18">
    <cfRule type="colorScale" priority="3">
      <colorScale>
        <cfvo type="formula" val="1"/>
        <cfvo type="formula" val="4"/>
        <cfvo type="formula" val="7"/>
        <color rgb="FF34A853"/>
        <color rgb="FFFBBC04"/>
        <color rgb="FFEA4335"/>
      </colorScale>
    </cfRule>
  </conditionalFormatting>
  <conditionalFormatting sqref="BM9:BR15 BI16 BK16:BL16 BM17:BR17">
    <cfRule type="colorScale" priority="4">
      <colorScale>
        <cfvo type="formula" val="1"/>
        <cfvo type="formula" val="5"/>
        <cfvo type="formula" val="10"/>
        <color rgb="FFEA4335"/>
        <color rgb="FFFBBC04"/>
        <color rgb="FF34A853"/>
      </colorScale>
    </cfRule>
  </conditionalFormatting>
  <conditionalFormatting sqref="AK16:BE16">
    <cfRule type="colorScale" priority="5">
      <colorScale>
        <cfvo type="formula" val="1"/>
        <cfvo type="formula" val="4"/>
        <cfvo type="formula" val="7"/>
        <color rgb="FF34A853"/>
        <color rgb="FFFBBC04"/>
        <color rgb="FFFF0000"/>
      </colorScale>
    </cfRule>
  </conditionalFormatting>
  <conditionalFormatting sqref="B39:B186">
    <cfRule type="notContainsBlanks" dxfId="9" priority="6">
      <formula>LEN(TRIM(B39))&gt;0</formula>
    </cfRule>
  </conditionalFormatting>
  <conditionalFormatting sqref="AG40:AG186 AK40:AK186 AO40:AO186 AS40:AS186 AW40:AW43 BA40:BA186 BE40:BE186 BI40:BI186 BM40:BM186 BQ40:BQ186 AW45:AW186 AP51 AT51">
    <cfRule type="notContainsBlanks" dxfId="17" priority="7">
      <formula>LEN(TRIM(AG40))&gt;0</formula>
    </cfRule>
  </conditionalFormatting>
  <conditionalFormatting sqref="AH40:AH186 AL40:AL186 AP40:AP186 AT40:AT186 AX40:AX186 BB40:BB186 BF40:BF186 BJ40:BJ186 BN40:BN186 BR40:BR186 AQ51 AU51">
    <cfRule type="notContainsBlanks" dxfId="16" priority="8">
      <formula>LEN(TRIM(AH40))&gt;0</formula>
    </cfRule>
  </conditionalFormatting>
  <conditionalFormatting sqref="I40:I186">
    <cfRule type="cellIs" dxfId="41" priority="9" operator="equal">
      <formula>0</formula>
    </cfRule>
  </conditionalFormatting>
  <conditionalFormatting sqref="B39:B186 C40:V186 AF40:BT186">
    <cfRule type="expression" dxfId="9" priority="10">
      <formula>ArrayFormula(NOT(ISBLANK(B39:$B186)))</formula>
    </cfRule>
  </conditionalFormatting>
  <conditionalFormatting sqref="BZ40:CM186">
    <cfRule type="containsBlanks" dxfId="42" priority="11">
      <formula>LEN(TRIM(BZ40))=0</formula>
    </cfRule>
  </conditionalFormatting>
  <conditionalFormatting sqref="BZ40:CM186">
    <cfRule type="cellIs" dxfId="42" priority="12" operator="equal">
      <formula>0</formula>
    </cfRule>
  </conditionalFormatting>
  <conditionalFormatting sqref="X40:AF186">
    <cfRule type="cellIs" dxfId="42" priority="13" operator="equal">
      <formula>0</formula>
    </cfRule>
  </conditionalFormatting>
  <conditionalFormatting sqref="CC21:CE33 CF21:CG32 CH30:CH32">
    <cfRule type="cellIs" dxfId="19" priority="14" operator="equal">
      <formula>0</formula>
    </cfRule>
  </conditionalFormatting>
  <conditionalFormatting sqref="BI9:BN15">
    <cfRule type="colorScale" priority="15">
      <colorScale>
        <cfvo type="formula" val="1"/>
        <cfvo type="formula" val="5"/>
        <cfvo type="formula" val="10"/>
        <color rgb="FFEA4335"/>
        <color rgb="FFFBBC04"/>
        <color rgb="FF34A853"/>
      </colorScale>
    </cfRule>
  </conditionalFormatting>
  <conditionalFormatting sqref="BM16:BR16">
    <cfRule type="colorScale" priority="16">
      <colorScale>
        <cfvo type="formula" val="0"/>
        <cfvo type="formula" val="5"/>
        <cfvo type="formula" val="10"/>
        <color rgb="FF57BB8A"/>
        <color rgb="FFFBBC04"/>
        <color rgb="FFCC4125"/>
      </colorScale>
    </cfRule>
  </conditionalFormatting>
  <conditionalFormatting sqref="AE38:AF38">
    <cfRule type="notContainsBlanks" dxfId="43" priority="17">
      <formula>LEN(TRIM(AE38))&gt;0</formula>
    </cfRule>
  </conditionalFormatting>
  <conditionalFormatting sqref="X40:AD186">
    <cfRule type="containsBlanks" dxfId="42" priority="18">
      <formula>LEN(TRIM(X40))=0</formula>
    </cfRule>
  </conditionalFormatting>
  <conditionalFormatting sqref="AE1:AF1">
    <cfRule type="notContainsBlanks" dxfId="43" priority="19">
      <formula>LEN(TRIM(AE1))&gt;0</formula>
    </cfRule>
  </conditionalFormatting>
  <conditionalFormatting sqref="AJ39:AJ186 AN39:AN186 AR40:AR186 AV40:AV186 AZ40:AZ186 BD40:BD186 BH40:BH186 BL40:BL186 AS51 AW51">
    <cfRule type="notContainsBlanks" dxfId="44" priority="20">
      <formula>LEN(TRIM(AJ39))&gt;0</formula>
    </cfRule>
  </conditionalFormatting>
  <conditionalFormatting sqref="AI40:AJ186 AM40:AN186 AQ40:AR186 AU40:AV186 AY40:AZ186 BC40:BD186 BG40:BH186 BK40:BL186 BO40:BP186 BS40:BT186 AP44 AS44:AT44 AW44 AS51 AW51">
    <cfRule type="notContainsBlanks" dxfId="15" priority="21">
      <formula>LEN(TRIM(AI40))&gt;0</formula>
    </cfRule>
  </conditionalFormatting>
  <conditionalFormatting sqref="X40:AF186">
    <cfRule type="cellIs" dxfId="42" priority="22" operator="equal">
      <formula>0</formula>
    </cfRule>
  </conditionalFormatting>
  <conditionalFormatting sqref="AA40:AB186">
    <cfRule type="expression" dxfId="45" priority="23" operator="containsText">
      <formula>NOT(ISERROR(SEARCH((FALSE),(AA40))))</formula>
    </cfRule>
  </conditionalFormatting>
  <conditionalFormatting sqref="Y19:AC21 Y24:AD36">
    <cfRule type="cellIs" dxfId="46" priority="24" operator="equal">
      <formula>0</formula>
    </cfRule>
  </conditionalFormatting>
  <dataValidations>
    <dataValidation type="list" allowBlank="1" showErrorMessage="1" sqref="BZ10">
      <formula1>"BP1,BP2,BP3,BP4,BP5"</formula1>
    </dataValidation>
    <dataValidation type="list" allowBlank="1" showInputMessage="1" showErrorMessage="1" prompt="Haz clic e introduce un valor de la lista de elementos" sqref="AK9:AK15 AO9:AO15 AS9:AS15 AW9:AW15 BA9:BA15">
      <formula1>"1 .- Muy, muy bien,2 .- Muy bien,3 .- Bien,4 .- Regular,5 .- Mal,6 .- Muy mal,7 .- Muy, muy mal"</formula1>
    </dataValidation>
    <dataValidation type="list" allowBlank="1" showErrorMessage="1" sqref="BZ9">
      <formula1>"SQ1,SQ2,SQ3,SQ4,SQ5"</formula1>
    </dataValidation>
    <dataValidation type="list" allowBlank="1" showInputMessage="1" showErrorMessage="1" prompt="Haz clic e introduce un valor de la lista de elementos" sqref="B39:B186">
      <formula1>"Día 1,Día 2,Día 3,Día 4,Día 5,Día 6,Día 7,Día 8"</formula1>
    </dataValidation>
    <dataValidation type="list" allowBlank="1" showErrorMessage="1" sqref="AI40:AI186 AM40:AM186 AQ40:AQ186 AU40:AU186 AY40:AY186 BC40:BC186 BG40:BG186 BK40:BK186 BO40:BO186 BS40:BS186">
      <formula1>"0,1,2,3,4,5,6,7,8,9,10"</formula1>
    </dataValidation>
    <dataValidation type="list" allowBlank="1" showErrorMessage="1" sqref="CE8 CE14">
      <formula1>"e1RM Bryzcki,e1RM Steve Denovi F1,e1RM Steve Denovi F2"</formula1>
    </dataValidation>
    <dataValidation type="list" allowBlank="1" showErrorMessage="1" sqref="E25">
      <formula1>"HIPERTROFIA,FUERZA BASE,VOLUMEN,PEAKING,TAPERING,COMPETICIÓN,BLOQUE DE VOLUMEN  (HIPERTROFIA),BLOQUE DE FUERZA  (HIPERTROFIA),BLOQUE DE INTENSIFICACIÓN  (HIPERTROFIA),PIVOT"</formula1>
    </dataValidation>
    <dataValidation type="list" allowBlank="1" showErrorMessage="1" sqref="P40:P186">
      <formula1>"Bajo,Medio,Alta"</formula1>
    </dataValidation>
    <dataValidation type="list" allowBlank="1" showErrorMessage="1" sqref="CH7">
      <formula1>"SQ1 Top Set,SQ2 Top Set,SQ3 Top Set,SQ4 Top Set,SQ5 Top Set,BP1 Top Set,BP2 Top Set,BP3 Top Set,BP4 Top Set,BP5 Top Set,DL1 Top Set,DL2 Top Set,DL3 Top Set,DL4 Top Set,DL5 Top Set"</formula1>
    </dataValidation>
    <dataValidation type="list" allowBlank="1" showErrorMessage="1" sqref="AJ40:AJ186 AN40:AN186 AR40:AR186 AV40:AV186 AZ40:AZ186 BD40:BD186 BH40:BH186 BL40:BL186 BP40:BP186 BT40:BT186">
      <formula1>"1,1,5,2,2,5,3,3,5,4,4,5,5,5,5,6,6,5,7,7,5,8,8,5,9,9,5,10"</formula1>
    </dataValidation>
    <dataValidation type="list" allowBlank="1" sqref="AW40:AW43 AG40:AG186 AK40:AK186 AO40:AO186 AS40:AS186 AW45:AW186 BA40:BA186 BE40:BE186 BI40:BI186 BM40:BM186 BQ40:BQ186">
      <formula1>"1,2,3,4,5,6,7,8,9,10,11,12,13,14,15,16,17,18,19,20,21,22,23,24,25,26,27,28,29,30,31,32,33,34,35,36,37,38,39,40,41,42,43,44,45,46,47,48,49,50"</formula1>
    </dataValidation>
    <dataValidation type="list" allowBlank="1" showInputMessage="1" showErrorMessage="1" prompt="Selecciona una opción." sqref="AM22 AQ22 AU22 AY22 BF22 BJ22 BN22 AM24 AQ24 AU24 AY24">
      <formula1>"1.- Nada de agujetas/tensión,2.- Pocas agujetas casi imperceptibles.,3.- Algo de agujetas/tensión.,4.- Agujetas/tensión muscular no incapacitantes,5.- Aumento del dolor muscular por agujetas molesto.,6.- Bastante dolor/agujetas y me incapacitan un poco mi"&amp;" día a día,7.- Zona muy dolorida por agujetas"</formula1>
    </dataValidation>
    <dataValidation type="list" allowBlank="1" showErrorMessage="1" sqref="CQ8">
      <formula1>"1RM PROYECTADA MEJOR A REPS,1RM PROYECTADA MEJOR A 1 REP"</formula1>
    </dataValidation>
    <dataValidation type="list" allowBlank="1" showErrorMessage="1" sqref="BM9:BM15">
      <formula1>"0 .- Descanso,1 .- Sesión muy fácil,2 .- Sesión fácil,3 .- Sesión moderada,4 .- Algo dificil,5 .- Sesión complicada,6 .- Sesión dificil,7 .- Sesión muy dificil,8 .- Sesión muy, muy dificil,9 .- Sesión extremadamente dificil,10 .- Sesión de máxima dificult"&amp;"ad"</formula1>
    </dataValidation>
    <dataValidation type="list" allowBlank="1" showErrorMessage="1" sqref="BZ11">
      <formula1>"DL1,DL2,DL3,DL4,DL5"</formula1>
    </dataValidation>
    <dataValidation type="list" allowBlank="1" showErrorMessage="1" sqref="BI9:BI15">
      <formula1>"1 .- Muy, muy poco recuperado,2 .- Muy poco recuperado,3 .- Poco recuperado,4 .- Algo recuperado,5 .- Recuperado moderadamente,6 .- Bien recuperado,7 .- Bastante recuperado,8 .- Muy bien recuperado,9 .- Muy, muy bien recuperado,10 .- Excepcionalmente recu"&amp;"perado"</formula1>
    </dataValidation>
    <dataValidation type="list" allowBlank="1" showErrorMessage="1" sqref="D40:D51 D54:D72 D185:D186">
      <formula1>"SQ1,SQ2,SQ3,SQ4,SQ5,BP1,BP2,BP3,BP4,BP5,DL1,DL2,DL3,DL4,DL5,Dominante de Rodilla,Bisagra de Cadera,Empuje Horizontal,Empuje Vertical,Tracción Horizontal,Tracción Vertical,Bíceps,Tríceps,Deltoides Lateral,Gémelo/Sóleo,Trasladar/Trineo,CORE,Aductor de cader"&amp;"a,SQ1 Top Set,SQ2 Top Set,SQ3 Top Set,SQ4 Top Set,SQ5 Top Set,BP1 Top Set,BP2 Top Set,BP3 Top Set,BP4 Top Set,BP5 Top Set,DL1 Top Set,DL2 Top Set,DL3 Top Set,DL4 Top Set,DL5 Top Set"</formula1>
    </dataValidation>
  </dataValidations>
  <drawing r:id="rId2"/>
  <legacyDrawing r:id="rId3"/>
  <tableParts count="3">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4.63"/>
    <col collapsed="1" customWidth="1" min="2" max="2" width="10.13"/>
    <col customWidth="1" hidden="1" min="3" max="3" width="10.0" outlineLevel="1"/>
    <col customWidth="1" hidden="1" min="4" max="4" width="14.88" outlineLevel="1"/>
    <col customWidth="1" min="5" max="5" width="35.25"/>
    <col customWidth="1" min="6" max="6" width="8.5"/>
    <col customWidth="1" min="7" max="7" width="9.88"/>
    <col customWidth="1" min="8" max="8" width="8.13" outlineLevel="1"/>
    <col customWidth="1" min="9" max="9" width="11.88"/>
    <col customWidth="1" min="10" max="10" width="9.63" outlineLevel="1"/>
    <col customWidth="1" min="11" max="11" width="8.88"/>
    <col customWidth="1" min="12" max="12" width="6.13"/>
    <col customWidth="1" min="13" max="13" width="10.13"/>
    <col customWidth="1" min="14" max="14" width="6.25"/>
    <col customWidth="1" min="15" max="15" width="12.0"/>
    <col customWidth="1" min="16" max="16" width="10.13"/>
    <col customWidth="1" min="17" max="17" width="13.38"/>
    <col customWidth="1" min="18" max="18" width="30.25"/>
    <col customWidth="1" min="19" max="19" width="31.63"/>
    <col customWidth="1" min="20" max="20" width="29.25"/>
    <col collapsed="1" customWidth="1" min="21" max="21" width="37.25"/>
    <col customWidth="1" hidden="1" min="22" max="22" width="41.75" outlineLevel="1"/>
    <col collapsed="1" customWidth="1" min="23" max="23" width="2.25"/>
    <col customWidth="1" hidden="1" min="24" max="24" width="20.0" outlineLevel="1"/>
    <col customWidth="1" hidden="1" min="25" max="25" width="19.63" outlineLevel="1"/>
    <col customWidth="1" hidden="1" min="26" max="26" width="15.25" outlineLevel="1"/>
    <col customWidth="1" hidden="1" min="27" max="27" width="9.88" outlineLevel="1"/>
    <col customWidth="1" hidden="1" min="28" max="28" width="9.25" outlineLevel="1"/>
    <col customWidth="1" hidden="1" min="29" max="29" width="8.0" outlineLevel="1"/>
    <col customWidth="1" hidden="1" min="30" max="30" width="15.13" outlineLevel="1"/>
    <col customWidth="1" min="31" max="31" width="2.13"/>
    <col customWidth="1" min="32" max="32" width="30.63" outlineLevel="1"/>
    <col customWidth="1" min="33" max="33" width="4.5" outlineLevel="1"/>
    <col customWidth="1" min="34" max="34" width="8.0" outlineLevel="1"/>
    <col customWidth="1" min="35" max="35" width="4.5" outlineLevel="1"/>
    <col customWidth="1" min="36" max="36" width="5.38" outlineLevel="1"/>
    <col customWidth="1" min="37" max="37" width="4.5" outlineLevel="1"/>
    <col customWidth="1" min="38" max="38" width="6.88" outlineLevel="1"/>
    <col customWidth="1" min="39" max="41" width="4.5" outlineLevel="1"/>
    <col customWidth="1" min="42" max="42" width="7.0" outlineLevel="1"/>
    <col customWidth="1" min="43" max="45" width="4.5" outlineLevel="1"/>
    <col customWidth="1" min="46" max="46" width="7.0" outlineLevel="1"/>
    <col customWidth="1" min="47" max="49" width="4.5" outlineLevel="1"/>
    <col customWidth="1" min="50" max="50" width="6.75" outlineLevel="1"/>
    <col customWidth="1" min="51" max="51" width="5.88" outlineLevel="1"/>
    <col customWidth="1" min="52" max="53" width="4.5" outlineLevel="1"/>
    <col customWidth="1" min="54" max="54" width="6.75" outlineLevel="1"/>
    <col customWidth="1" min="55" max="56" width="5.5" outlineLevel="1"/>
    <col customWidth="1" min="57" max="57" width="4.5" outlineLevel="1"/>
    <col customWidth="1" min="58" max="58" width="7.0" outlineLevel="1"/>
    <col customWidth="1" min="59" max="59" width="5.63" outlineLevel="1"/>
    <col customWidth="1" min="60" max="60" width="4.88" outlineLevel="1"/>
    <col customWidth="1" min="61" max="61" width="4.5" outlineLevel="1"/>
    <col customWidth="1" min="62" max="62" width="7.25" outlineLevel="1"/>
    <col customWidth="1" min="63" max="65" width="4.5" outlineLevel="1"/>
    <col customWidth="1" min="66" max="66" width="7.63" outlineLevel="1"/>
    <col customWidth="1" min="67" max="69" width="4.5" outlineLevel="1"/>
    <col customWidth="1" min="70" max="70" width="6.88" outlineLevel="1"/>
    <col customWidth="1" min="71" max="71" width="5.88" outlineLevel="1"/>
    <col customWidth="1" min="72" max="72" width="6.63" outlineLevel="1"/>
    <col customWidth="1" min="73" max="73" width="5.38" outlineLevel="1"/>
    <col customWidth="1" min="74" max="74" width="10.88" outlineLevel="1"/>
    <col customWidth="1" min="75" max="75" width="13.75" outlineLevel="1"/>
    <col customWidth="1" min="76" max="76" width="8.0"/>
    <col collapsed="1" customWidth="1" min="77" max="77" width="9.5"/>
    <col customWidth="1" hidden="1" min="78" max="78" width="8.0" outlineLevel="1"/>
    <col customWidth="1" hidden="1" min="79" max="79" width="7.5" outlineLevel="1"/>
    <col customWidth="1" hidden="1" min="80" max="80" width="7.75" outlineLevel="1"/>
    <col customWidth="1" hidden="1" min="81" max="81" width="7.88" outlineLevel="1"/>
    <col customWidth="1" hidden="1" min="82" max="82" width="8.88" outlineLevel="1"/>
    <col customWidth="1" hidden="1" min="83" max="83" width="15.38" outlineLevel="1"/>
    <col customWidth="1" hidden="1" min="84" max="84" width="9.0" outlineLevel="1"/>
    <col customWidth="1" hidden="1" min="85" max="85" width="6.63" outlineLevel="1"/>
    <col customWidth="1" hidden="1" min="86" max="86" width="16.63" outlineLevel="1"/>
    <col customWidth="1" hidden="1" min="87" max="87" width="22.13" outlineLevel="1"/>
    <col customWidth="1" hidden="1" min="88" max="88" width="14.63" outlineLevel="1"/>
    <col customWidth="1" hidden="1" min="89" max="89" width="10.63" outlineLevel="1"/>
    <col customWidth="1" hidden="1" min="90" max="90" width="13.38" outlineLevel="1"/>
    <col customWidth="1" hidden="1" min="91" max="91" width="12.63" outlineLevel="1"/>
    <col customWidth="1" hidden="1" min="92" max="93" width="13.63" outlineLevel="1"/>
    <col customWidth="1" hidden="1" min="94" max="94" width="13.38" outlineLevel="1"/>
    <col customWidth="1" hidden="1" min="95" max="95" width="17.88" outlineLevel="1"/>
    <col customWidth="1" hidden="1" min="96" max="96" width="13.25" outlineLevel="1"/>
    <col customWidth="1" hidden="1" min="97" max="97" width="17.13" outlineLevel="1"/>
    <col customWidth="1" hidden="1" min="98" max="98" width="9.88" outlineLevel="1"/>
    <col customWidth="1" min="99" max="112" width="9.88"/>
    <col collapsed="1" customWidth="1" min="113" max="113" width="9.88"/>
    <col customWidth="1" hidden="1" min="114" max="153" width="9.88" outlineLevel="1"/>
    <col customWidth="1" hidden="1" min="154" max="154" width="23.0" outlineLevel="1"/>
    <col customWidth="1" hidden="1" min="155" max="190" width="9.88" outlineLevel="1"/>
  </cols>
  <sheetData>
    <row r="1">
      <c r="B1" s="199"/>
      <c r="K1" s="200"/>
      <c r="L1" s="200"/>
      <c r="M1" s="200"/>
      <c r="N1" s="200"/>
      <c r="W1" s="201"/>
      <c r="X1" s="202" t="s">
        <v>210</v>
      </c>
      <c r="AE1" s="203"/>
      <c r="AF1" s="204"/>
      <c r="AG1" s="205" t="str">
        <f>"SEGUIMIENTO DE BIENESTAR DE "&amp;'Introducción'!B19&amp;" "&amp;'Introducción'!B20 </f>
        <v>#REF!</v>
      </c>
      <c r="BZ1" s="206" t="s">
        <v>211</v>
      </c>
      <c r="DK1" s="207" t="s">
        <v>51</v>
      </c>
      <c r="DL1" s="207" t="s">
        <v>52</v>
      </c>
      <c r="DM1" s="207" t="s">
        <v>53</v>
      </c>
      <c r="DN1" s="207" t="s">
        <v>54</v>
      </c>
      <c r="DO1" s="207" t="s">
        <v>55</v>
      </c>
      <c r="DP1" s="207" t="s">
        <v>56</v>
      </c>
      <c r="DQ1" s="207" t="s">
        <v>57</v>
      </c>
      <c r="DR1" s="207" t="s">
        <v>58</v>
      </c>
      <c r="DS1" s="207" t="s">
        <v>59</v>
      </c>
      <c r="DT1" s="207" t="s">
        <v>60</v>
      </c>
      <c r="DU1" s="207" t="s">
        <v>61</v>
      </c>
      <c r="DV1" s="207" t="s">
        <v>62</v>
      </c>
      <c r="DW1" s="207" t="s">
        <v>63</v>
      </c>
      <c r="DX1" s="207" t="s">
        <v>64</v>
      </c>
      <c r="DY1" s="207" t="s">
        <v>65</v>
      </c>
      <c r="DZ1" s="207" t="s">
        <v>66</v>
      </c>
      <c r="EA1" s="207" t="s">
        <v>67</v>
      </c>
      <c r="EB1" s="207" t="s">
        <v>68</v>
      </c>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9" t="s">
        <v>21</v>
      </c>
      <c r="GA1" s="210"/>
      <c r="GB1" s="210"/>
      <c r="GC1" s="209" t="s">
        <v>36</v>
      </c>
      <c r="GD1" s="210"/>
      <c r="GE1" s="210"/>
      <c r="GF1" s="209" t="s">
        <v>42</v>
      </c>
      <c r="GG1" s="210"/>
      <c r="GH1" s="210"/>
    </row>
    <row r="2">
      <c r="B2" s="211"/>
      <c r="E2" s="212"/>
      <c r="I2" s="106"/>
      <c r="J2" s="213" t="s">
        <v>212</v>
      </c>
      <c r="K2" s="214"/>
      <c r="L2" s="214"/>
      <c r="M2" s="214"/>
      <c r="N2" s="214"/>
      <c r="O2" s="214"/>
      <c r="P2" s="214"/>
      <c r="Q2" s="214"/>
      <c r="R2" s="214"/>
      <c r="S2" s="214"/>
      <c r="T2" s="215"/>
      <c r="W2" s="201"/>
      <c r="AE2" s="203"/>
      <c r="AF2" s="204"/>
      <c r="AG2" s="216" t="s">
        <v>213</v>
      </c>
      <c r="BZ2" s="217"/>
      <c r="DJ2" s="144" t="s">
        <v>214</v>
      </c>
      <c r="DK2" s="108"/>
      <c r="DL2" s="108"/>
      <c r="DM2" s="108"/>
      <c r="DN2" s="108"/>
      <c r="DO2" s="108"/>
      <c r="DP2" s="108"/>
      <c r="DQ2" s="108"/>
      <c r="DR2" s="108"/>
      <c r="DS2" s="108"/>
      <c r="DT2" s="108"/>
      <c r="DU2" s="108"/>
      <c r="DV2" s="108"/>
      <c r="DW2" s="108"/>
      <c r="DX2" s="108"/>
      <c r="DY2" s="108"/>
      <c r="DZ2" s="108"/>
      <c r="EA2" s="108"/>
      <c r="EB2" s="108"/>
      <c r="EX2" s="218" t="s">
        <v>215</v>
      </c>
      <c r="EY2" s="218"/>
      <c r="EZ2" s="218" t="s">
        <v>216</v>
      </c>
      <c r="FA2" s="218"/>
      <c r="FB2" s="218"/>
      <c r="FC2" s="218"/>
      <c r="FD2" s="218"/>
      <c r="FE2" s="218"/>
      <c r="FF2" s="218"/>
      <c r="FG2" s="218"/>
      <c r="FH2" s="218"/>
      <c r="FI2" s="218"/>
      <c r="FJ2" s="218"/>
      <c r="FK2" s="208"/>
      <c r="FL2" s="218" t="s">
        <v>215</v>
      </c>
      <c r="FM2" s="208"/>
      <c r="FN2" s="208" t="s">
        <v>217</v>
      </c>
      <c r="FO2" s="208"/>
      <c r="FP2" s="208"/>
      <c r="FQ2" s="208"/>
      <c r="FR2" s="208"/>
      <c r="FS2" s="208"/>
      <c r="FT2" s="208"/>
      <c r="FU2" s="208"/>
      <c r="FV2" s="208"/>
      <c r="FW2" s="208"/>
      <c r="FX2" s="208"/>
      <c r="FY2" s="208"/>
      <c r="FZ2" s="219" t="s">
        <v>218</v>
      </c>
      <c r="GC2" s="219" t="s">
        <v>218</v>
      </c>
      <c r="GF2" s="219" t="s">
        <v>218</v>
      </c>
    </row>
    <row r="3">
      <c r="B3" s="199"/>
      <c r="I3" s="106"/>
      <c r="J3" s="220" t="s">
        <v>219</v>
      </c>
      <c r="K3" s="221"/>
      <c r="L3" s="221"/>
      <c r="M3" s="221"/>
      <c r="N3" s="221"/>
      <c r="O3" s="221"/>
      <c r="P3" s="221"/>
      <c r="Q3" s="221"/>
      <c r="R3" s="221"/>
      <c r="S3" s="221"/>
      <c r="T3" s="222"/>
      <c r="W3" s="201"/>
      <c r="AE3" s="203"/>
      <c r="AF3" s="204"/>
      <c r="AG3" s="223" t="s">
        <v>220</v>
      </c>
      <c r="BZ3" s="217"/>
      <c r="DJ3" s="83"/>
      <c r="DK3" s="207" t="str">
        <f t="array" ref="DK3">IF(NOT($D$37=1),IFERROR(INDIRECT("'Bloque "&amp;$D$38&amp;" Semana "&amp;"1"&amp;"'"&amp;"!"&amp;"E37"),""),"S1")</f>
        <v/>
      </c>
      <c r="DL3" s="207" t="str">
        <f t="array" ref="DL3">IF(NOT($D$37=2),IFERROR(INDIRECT("'Bloque "&amp;$D$38&amp;" Semana "&amp;"2"&amp;"'"&amp;"!"&amp;"E37"),""),"S2")</f>
        <v>S2</v>
      </c>
      <c r="DM3" s="207" t="str">
        <f t="array" ref="DM3">IF(NOT($D$37=3),IFERROR(INDIRECT("'Bloque "&amp;$D$38&amp;" Semana "&amp;"3"&amp;"'"&amp;"!"&amp;"E37"),""),"S3")</f>
        <v/>
      </c>
      <c r="DN3" s="207" t="str">
        <f t="array" ref="DN3">IF(NOT($D$37=4),IFERROR(INDIRECT("'Bloque "&amp;$D$38&amp;" Semana "&amp;"4"&amp;"'"&amp;"!"&amp;"E37"),""),"S4")</f>
        <v/>
      </c>
      <c r="DO3" s="207" t="str">
        <f t="array" ref="DO3">IF(NOT($D$37=5),IFERROR(INDIRECT("'Bloque "&amp;$D$38&amp;" Semana "&amp;"5"&amp;"'"&amp;"!"&amp;"E37"),""),"S5")</f>
        <v/>
      </c>
      <c r="DP3" s="207" t="str">
        <f t="array" ref="DP3">IF(NOT($D$37=6),IFERROR(INDIRECT("'Bloque "&amp;$D$38&amp;" Semana "&amp;"6"&amp;"'"&amp;"!"&amp;"E37"),""),"S6")</f>
        <v/>
      </c>
      <c r="DQ3" s="207" t="str">
        <f t="array" ref="DQ3">IF(NOT($D$37=7),IFERROR(INDIRECT("'Bloque "&amp;$D$38&amp;" Semana "&amp;"7"&amp;"'"&amp;"!"&amp;"E37"),""),"S7")</f>
        <v/>
      </c>
      <c r="DR3" s="207" t="str">
        <f t="array" ref="DR3">IF(NOT($D$37=8),IFERROR(INDIRECT("'Bloque "&amp;$D$38&amp;" Semana "&amp;"8"&amp;"'"&amp;"!"&amp;"E37"),""),"S8")</f>
        <v/>
      </c>
      <c r="DS3" s="207" t="str">
        <f t="array" ref="DS3">IF(NOT($D$37=9),IFERROR(INDIRECT("'Bloque "&amp;$D$38&amp;" Semana "&amp;"9"&amp;"'"&amp;"!"&amp;"E37"),""),"S9")</f>
        <v/>
      </c>
      <c r="DT3" s="207" t="str">
        <f t="array" ref="DT3">IF(NOT($D$37=10),IFERROR(INDIRECT("'Bloque "&amp;$D$38&amp;" Semana "&amp;"10"&amp;"'"&amp;"!"&amp;"E37"),""),"S10")</f>
        <v/>
      </c>
      <c r="DU3" s="207" t="str">
        <f t="array" ref="DU3">IF(NOT($D$37=11),IFERROR(INDIRECT("'Bloque "&amp;$D$38&amp;" Semana "&amp;"11"&amp;"'"&amp;"!"&amp;"E37"),""),"S11")</f>
        <v/>
      </c>
      <c r="DV3" s="207" t="str">
        <f t="array" ref="DV3">IF(NOT($D$37=12),IFERROR(INDIRECT("'Bloque "&amp;$D$38&amp;" Semana "&amp;"12"&amp;"'"&amp;"!"&amp;"E37"),""),"S12")</f>
        <v/>
      </c>
      <c r="DW3" s="207" t="str">
        <f t="array" ref="DW3">IF(NOT($D$37=13),IFERROR(INDIRECT("'Bloque "&amp;$D$38&amp;" Semana "&amp;"13"&amp;"'"&amp;"!"&amp;"E37"),""),"S13")</f>
        <v/>
      </c>
      <c r="DX3" s="207" t="str">
        <f t="array" ref="DX3">IF(NOT($D$37=14),IFERROR(INDIRECT("'Bloque "&amp;$D$38&amp;" Semana "&amp;"14"&amp;"'"&amp;"!"&amp;"E37"),""),"S14")</f>
        <v/>
      </c>
      <c r="DY3" s="207" t="str">
        <f t="array" ref="DY3">IF(NOT($D$37=15),IFERROR(INDIRECT("'Bloque "&amp;$D$38&amp;" Semana "&amp;"15"&amp;"'"&amp;"!"&amp;"E37"),""),"S15")</f>
        <v/>
      </c>
      <c r="DZ3" s="207" t="str">
        <f t="array" ref="DZ3">IF(NOT($D$37=16),IFERROR(INDIRECT("'Bloque "&amp;$D$38&amp;" Semana "&amp;"16"&amp;"'"&amp;"!"&amp;"E37"),""),"S16")</f>
        <v/>
      </c>
      <c r="EA3" s="207" t="str">
        <f t="array" ref="EA3">IF(NOT($D$37=17),IFERROR(INDIRECT("'Bloque "&amp;$D$38&amp;" Semana "&amp;"17"&amp;"'"&amp;"!"&amp;"E37"),""),"S17")</f>
        <v/>
      </c>
      <c r="EB3" s="207" t="str">
        <f t="array" ref="EB3">IF(NOT($D$37=18),IFERROR(INDIRECT("'Bloque "&amp;$D$38&amp;" Semana "&amp;"18"&amp;"'"&amp;"!"&amp;"E37"),""),"S18")</f>
        <v/>
      </c>
      <c r="ED3" s="144" t="s">
        <v>221</v>
      </c>
      <c r="EE3" s="108"/>
      <c r="EF3" s="108"/>
      <c r="EG3" s="108"/>
      <c r="EH3" s="108"/>
      <c r="EI3" s="108"/>
      <c r="EJ3" s="108"/>
      <c r="EK3" s="108"/>
      <c r="EL3" s="108"/>
      <c r="EM3" s="108"/>
      <c r="EN3" s="108"/>
      <c r="EO3" s="108"/>
      <c r="EP3" s="108"/>
      <c r="EQ3" s="108"/>
      <c r="ER3" s="108"/>
      <c r="ES3" s="108"/>
      <c r="ET3" s="108"/>
      <c r="EU3" s="108"/>
      <c r="EV3" s="108"/>
      <c r="EX3" s="218" t="s">
        <v>222</v>
      </c>
      <c r="EY3" s="218">
        <v>1.0</v>
      </c>
      <c r="EZ3" s="218">
        <v>2.0</v>
      </c>
      <c r="FA3" s="218">
        <v>3.0</v>
      </c>
      <c r="FB3" s="218">
        <v>4.0</v>
      </c>
      <c r="FC3" s="218">
        <v>5.0</v>
      </c>
      <c r="FD3" s="218">
        <v>6.0</v>
      </c>
      <c r="FE3" s="218">
        <v>7.0</v>
      </c>
      <c r="FF3" s="218">
        <v>8.0</v>
      </c>
      <c r="FG3" s="218">
        <v>9.0</v>
      </c>
      <c r="FH3" s="218">
        <v>10.0</v>
      </c>
      <c r="FI3" s="218">
        <v>11.0</v>
      </c>
      <c r="FJ3" s="218">
        <v>12.0</v>
      </c>
      <c r="FK3" s="208"/>
      <c r="FL3" s="218" t="s">
        <v>222</v>
      </c>
      <c r="FM3" s="218">
        <v>1.0</v>
      </c>
      <c r="FN3" s="218">
        <v>2.0</v>
      </c>
      <c r="FO3" s="218">
        <v>3.0</v>
      </c>
      <c r="FP3" s="218">
        <v>4.0</v>
      </c>
      <c r="FQ3" s="218">
        <v>5.0</v>
      </c>
      <c r="FR3" s="218">
        <v>6.0</v>
      </c>
      <c r="FS3" s="218">
        <v>7.0</v>
      </c>
      <c r="FT3" s="218">
        <v>8.0</v>
      </c>
      <c r="FU3" s="218">
        <v>9.0</v>
      </c>
      <c r="FV3" s="218">
        <v>10.0</v>
      </c>
      <c r="FW3" s="218">
        <v>11.0</v>
      </c>
      <c r="FX3" s="218">
        <v>12.0</v>
      </c>
      <c r="FY3" s="218"/>
      <c r="FZ3" s="212"/>
      <c r="GA3" s="224" t="s">
        <v>223</v>
      </c>
      <c r="GB3" s="224" t="s">
        <v>224</v>
      </c>
      <c r="GC3" s="212"/>
      <c r="GD3" s="224" t="s">
        <v>223</v>
      </c>
      <c r="GE3" s="224" t="s">
        <v>224</v>
      </c>
      <c r="GF3" s="212"/>
      <c r="GG3" s="224" t="s">
        <v>223</v>
      </c>
      <c r="GH3" s="224" t="s">
        <v>224</v>
      </c>
    </row>
    <row r="4" ht="27.0" customHeight="1">
      <c r="B4" s="199"/>
      <c r="I4" s="106"/>
      <c r="J4" s="225"/>
      <c r="T4" s="226"/>
      <c r="W4" s="201"/>
      <c r="AE4" s="203"/>
      <c r="AF4" s="204"/>
      <c r="BZ4" s="217"/>
      <c r="DJ4" s="120" t="s">
        <v>21</v>
      </c>
      <c r="DK4" s="172" t="str">
        <f t="shared" ref="DK4:EB4" si="1">IFERROR(INDIRECT("'Bloque "&amp;$D$38&amp;" Semana "&amp;MID(DK3,2,2)&amp;"'"&amp;"!"&amp;"CC15"),"")</f>
        <v/>
      </c>
      <c r="DL4" s="172" t="str">
        <f t="shared" si="1"/>
        <v/>
      </c>
      <c r="DM4" s="172" t="str">
        <f t="shared" si="1"/>
        <v/>
      </c>
      <c r="DN4" s="172" t="str">
        <f t="shared" si="1"/>
        <v/>
      </c>
      <c r="DO4" s="172" t="str">
        <f t="shared" si="1"/>
        <v/>
      </c>
      <c r="DP4" s="172" t="str">
        <f t="shared" si="1"/>
        <v/>
      </c>
      <c r="DQ4" s="172" t="str">
        <f t="shared" si="1"/>
        <v/>
      </c>
      <c r="DR4" s="172" t="str">
        <f t="shared" si="1"/>
        <v/>
      </c>
      <c r="DS4" s="172" t="str">
        <f t="shared" si="1"/>
        <v/>
      </c>
      <c r="DT4" s="172" t="str">
        <f t="shared" si="1"/>
        <v/>
      </c>
      <c r="DU4" s="172" t="str">
        <f t="shared" si="1"/>
        <v/>
      </c>
      <c r="DV4" s="172" t="str">
        <f t="shared" si="1"/>
        <v/>
      </c>
      <c r="DW4" s="172" t="str">
        <f t="shared" si="1"/>
        <v/>
      </c>
      <c r="DX4" s="172" t="str">
        <f t="shared" si="1"/>
        <v/>
      </c>
      <c r="DY4" s="172" t="str">
        <f t="shared" si="1"/>
        <v/>
      </c>
      <c r="DZ4" s="172" t="str">
        <f t="shared" si="1"/>
        <v/>
      </c>
      <c r="EA4" s="172" t="str">
        <f t="shared" si="1"/>
        <v/>
      </c>
      <c r="EB4" s="172" t="str">
        <f t="shared" si="1"/>
        <v/>
      </c>
      <c r="ED4" s="83"/>
      <c r="EE4" s="227" t="str">
        <f t="array" ref="EE4">IF(NOT($D$37=1),IFERROR(INDIRECT("'Bloque "&amp;$D$38&amp;" Semana "&amp;"1"&amp;"'"&amp;"!"&amp;"E37"),""),"S1")</f>
        <v/>
      </c>
      <c r="EF4" s="227" t="str">
        <f t="array" ref="EF4">IF(NOT($D$37=2),IFERROR(INDIRECT("'Bloque "&amp;$D$38&amp;" Semana "&amp;"2"&amp;"'"&amp;"!"&amp;"E37"),""),"S2")</f>
        <v>S2</v>
      </c>
      <c r="EG4" s="227" t="str">
        <f t="array" ref="EG4">IF(NOT($D$37=3),IFERROR(INDIRECT("'Bloque "&amp;$D$38&amp;" Semana "&amp;"3"&amp;"'"&amp;"!"&amp;"E37"),""),"S3")</f>
        <v/>
      </c>
      <c r="EH4" s="227" t="str">
        <f t="array" ref="EH4">IF(NOT($D$37=4),IFERROR(INDIRECT("'Bloque "&amp;$D$38&amp;" Semana "&amp;"4"&amp;"'"&amp;"!"&amp;"E37"),""),"S4")</f>
        <v/>
      </c>
      <c r="EI4" s="227" t="str">
        <f t="array" ref="EI4">IF(NOT($D$37=5),IFERROR(INDIRECT("'Bloque "&amp;$D$38&amp;" Semana "&amp;"5"&amp;"'"&amp;"!"&amp;"E37"),""),"S5")</f>
        <v/>
      </c>
      <c r="EJ4" s="227" t="str">
        <f t="array" ref="EJ4">IF(NOT($D$37=6),IFERROR(INDIRECT("'Bloque "&amp;$D$38&amp;" Semana "&amp;"6"&amp;"'"&amp;"!"&amp;"E37"),""),"S6")</f>
        <v/>
      </c>
      <c r="EK4" s="227" t="str">
        <f t="array" ref="EK4">IF(NOT($D$37=7),IFERROR(INDIRECT("'Bloque "&amp;$D$38&amp;" Semana "&amp;"7"&amp;"'"&amp;"!"&amp;"E37"),""),"S7")</f>
        <v/>
      </c>
      <c r="EL4" s="227" t="str">
        <f t="array" ref="EL4">IF(NOT($D$37=8),IFERROR(INDIRECT("'Bloque "&amp;$D$38&amp;" Semana "&amp;"8"&amp;"'"&amp;"!"&amp;"E37"),""),"S8")</f>
        <v/>
      </c>
      <c r="EM4" s="227" t="str">
        <f t="array" ref="EM4">IF(NOT($D$37=9),IFERROR(INDIRECT("'Bloque "&amp;$D$38&amp;" Semana "&amp;"9"&amp;"'"&amp;"!"&amp;"E37"),""),"S9")</f>
        <v/>
      </c>
      <c r="EN4" s="227" t="str">
        <f t="array" ref="EN4">IF(NOT($D$37=10),IFERROR(INDIRECT("'Bloque "&amp;$D$38&amp;" Semana "&amp;"10"&amp;"'"&amp;"!"&amp;"E37"),""),"S10")</f>
        <v/>
      </c>
      <c r="EO4" s="227" t="str">
        <f t="array" ref="EO4">IF(NOT($D$37=11),IFERROR(INDIRECT("'Bloque "&amp;$D$38&amp;" Semana "&amp;"11"&amp;"'"&amp;"!"&amp;"E37"),""),"S11")</f>
        <v/>
      </c>
      <c r="EP4" s="227" t="str">
        <f t="array" ref="EP4">IF(NOT($D$37=12),IFERROR(INDIRECT("'Bloque "&amp;$D$38&amp;" Semana "&amp;"12"&amp;"'"&amp;"!"&amp;"E37"),""),"S12")</f>
        <v/>
      </c>
      <c r="EQ4" s="227" t="str">
        <f t="array" ref="EQ4">IF(NOT($D$37=13),IFERROR(INDIRECT("'Bloque "&amp;$D$38&amp;" Semana "&amp;"13"&amp;"'"&amp;"!"&amp;"E37"),""),"S13")</f>
        <v/>
      </c>
      <c r="ER4" s="227" t="str">
        <f t="array" ref="ER4">IF(NOT($D$37=14),IFERROR(INDIRECT("'Bloque "&amp;$D$38&amp;" Semana "&amp;"14"&amp;"'"&amp;"!"&amp;"E37"),""),"S14")</f>
        <v/>
      </c>
      <c r="ES4" s="227" t="str">
        <f t="array" ref="ES4">IF(NOT($D$37=15),IFERROR(INDIRECT("'Bloque "&amp;$D$38&amp;" Semana "&amp;"15"&amp;"'"&amp;"!"&amp;"E37"),""),"S15")</f>
        <v/>
      </c>
      <c r="ET4" s="227" t="str">
        <f t="array" ref="ET4">IF(NOT($D$37=16),IFERROR(INDIRECT("'Bloque "&amp;$D$38&amp;" Semana "&amp;"16"&amp;"'"&amp;"!"&amp;"E37"),""),"S16")</f>
        <v/>
      </c>
      <c r="EU4" s="227" t="str">
        <f t="array" ref="EU4">IF(NOT($D$37=17),IFERROR(INDIRECT("'Bloque "&amp;$D$38&amp;" Semana "&amp;"17"&amp;"'"&amp;"!"&amp;"E37"),""),"S17")</f>
        <v/>
      </c>
      <c r="EV4" s="227" t="str">
        <f t="array" ref="EV4">IF(NOT($D$37=18),IFERROR(INDIRECT("'Bloque "&amp;$D$38&amp;" Semana "&amp;"18"&amp;"'"&amp;"!"&amp;"E37"),""),"S18")</f>
        <v/>
      </c>
      <c r="EX4" s="218">
        <v>10.0</v>
      </c>
      <c r="EY4" s="228">
        <v>1.0</v>
      </c>
      <c r="EZ4" s="228">
        <v>0.955</v>
      </c>
      <c r="FA4" s="228">
        <v>0.922</v>
      </c>
      <c r="FB4" s="228">
        <v>0.892</v>
      </c>
      <c r="FC4" s="228">
        <v>0.863</v>
      </c>
      <c r="FD4" s="228">
        <v>0.837</v>
      </c>
      <c r="FE4" s="228">
        <v>0.811</v>
      </c>
      <c r="FF4" s="228">
        <v>0.786</v>
      </c>
      <c r="FG4" s="228">
        <v>0.762</v>
      </c>
      <c r="FH4" s="228">
        <v>0.739</v>
      </c>
      <c r="FI4" s="228">
        <v>0.707</v>
      </c>
      <c r="FJ4" s="228">
        <v>0.68</v>
      </c>
      <c r="FK4" s="208"/>
      <c r="FL4" s="218">
        <v>10.0</v>
      </c>
      <c r="FM4" s="228">
        <v>1.0</v>
      </c>
      <c r="FN4" s="228">
        <v>0.965</v>
      </c>
      <c r="FO4" s="228">
        <v>0.942</v>
      </c>
      <c r="FP4" s="228">
        <v>0.919</v>
      </c>
      <c r="FQ4" s="228">
        <v>0.897</v>
      </c>
      <c r="FR4" s="228">
        <v>0.875</v>
      </c>
      <c r="FS4" s="228">
        <v>0.854</v>
      </c>
      <c r="FT4" s="228">
        <v>0.834</v>
      </c>
      <c r="FU4" s="228">
        <v>0.814</v>
      </c>
      <c r="FV4" s="228">
        <v>0.794</v>
      </c>
      <c r="FW4" s="228">
        <v>0.775</v>
      </c>
      <c r="FX4" s="228">
        <v>0.756</v>
      </c>
      <c r="FY4" s="228"/>
      <c r="FZ4" s="84" t="str">
        <f t="array" ref="FZ4">IF(NOT($D$37=1),IFERROR(INDIRECT("'Bloque "&amp;$D$38&amp;" Semana "&amp;"1"&amp;"'"&amp;"!"&amp;"E37"),""),"S1")</f>
        <v/>
      </c>
      <c r="GA4" s="229" t="str">
        <f t="shared" ref="GA4:GA21" si="4">IFERROR(INDIRECT("'Bloque "&amp;$D$38&amp;" Semana "&amp;MID(FZ4,2,2)&amp;"'"&amp;"!"&amp;"CD15"),"")</f>
        <v/>
      </c>
      <c r="GB4" s="212" t="str">
        <f t="shared" ref="GB4:GB21" si="5">IFERROR(INDIRECT("'Bloque "&amp;$D$38&amp;" Semana "&amp;MID(FZ4,2,2)&amp;"'"&amp;"!"&amp;"CC15"),"")</f>
        <v/>
      </c>
      <c r="GC4" s="84" t="str">
        <f t="array" ref="GC4">IF(NOT($D$37=1),IFERROR(INDIRECT("'Bloque "&amp;$D$38&amp;" Semana "&amp;"1"&amp;"'"&amp;"!"&amp;"E37"),""),"S1")</f>
        <v/>
      </c>
      <c r="GD4" s="229" t="str">
        <f t="shared" ref="GD4:GD21" si="6">IFERROR(INDIRECT("'Bloque "&amp;$D$38&amp;" Semana "&amp;MID(GC4,2,2)&amp;"'"&amp;"!"&amp;"CD16"),"")</f>
        <v/>
      </c>
      <c r="GE4" s="212" t="str">
        <f t="shared" ref="GE4:GE21" si="7">IFERROR(INDIRECT("'Bloque "&amp;$D$38&amp;" Semana "&amp;MID(GC4,2,2)&amp;"'"&amp;"!"&amp;"CC16"),"")</f>
        <v/>
      </c>
      <c r="GF4" s="84" t="str">
        <f t="array" ref="GF4">IF(NOT($D$37=1),IFERROR(INDIRECT("'Bloque "&amp;$D$38&amp;" Semana "&amp;"1"&amp;"'"&amp;"!"&amp;"E37"),""),"S1")</f>
        <v/>
      </c>
      <c r="GG4" s="229" t="str">
        <f t="shared" ref="GG4:GG21" si="8">IFERROR(INDIRECT("'Bloque "&amp;$D$38&amp;" Semana "&amp;MID(GF4,2,2)&amp;"'"&amp;"!"&amp;"CD17"),"")</f>
        <v/>
      </c>
      <c r="GH4" s="212" t="str">
        <f t="shared" ref="GH4:GH21" si="9">IFERROR(INDIRECT("'Bloque "&amp;$D$38&amp;" Semana "&amp;MID(GF4,2,2)&amp;"'"&amp;"!"&amp;"CC17"),"")</f>
        <v/>
      </c>
    </row>
    <row r="5">
      <c r="B5" s="199"/>
      <c r="I5" s="106"/>
      <c r="J5" s="225"/>
      <c r="T5" s="226"/>
      <c r="W5" s="201"/>
      <c r="AE5" s="203"/>
      <c r="AF5" s="204"/>
      <c r="AG5" s="230" t="s">
        <v>225</v>
      </c>
      <c r="BZ5" s="217"/>
      <c r="CU5" s="4"/>
      <c r="DJ5" s="120" t="s">
        <v>36</v>
      </c>
      <c r="DK5" s="172" t="str">
        <f t="shared" ref="DK5:EB5" si="2">IFERROR(INDIRECT("'Bloque "&amp;$D$38&amp;" Semana "&amp;MID(DK3,2,2)&amp;"'"&amp;"!"&amp;"CC16"),"")</f>
        <v/>
      </c>
      <c r="DL5" s="172" t="str">
        <f t="shared" si="2"/>
        <v/>
      </c>
      <c r="DM5" s="172" t="str">
        <f t="shared" si="2"/>
        <v/>
      </c>
      <c r="DN5" s="172" t="str">
        <f t="shared" si="2"/>
        <v/>
      </c>
      <c r="DO5" s="172" t="str">
        <f t="shared" si="2"/>
        <v/>
      </c>
      <c r="DP5" s="172" t="str">
        <f t="shared" si="2"/>
        <v/>
      </c>
      <c r="DQ5" s="172" t="str">
        <f t="shared" si="2"/>
        <v/>
      </c>
      <c r="DR5" s="172" t="str">
        <f t="shared" si="2"/>
        <v/>
      </c>
      <c r="DS5" s="172" t="str">
        <f t="shared" si="2"/>
        <v/>
      </c>
      <c r="DT5" s="172" t="str">
        <f t="shared" si="2"/>
        <v/>
      </c>
      <c r="DU5" s="172" t="str">
        <f t="shared" si="2"/>
        <v/>
      </c>
      <c r="DV5" s="172" t="str">
        <f t="shared" si="2"/>
        <v/>
      </c>
      <c r="DW5" s="172" t="str">
        <f t="shared" si="2"/>
        <v/>
      </c>
      <c r="DX5" s="172" t="str">
        <f t="shared" si="2"/>
        <v/>
      </c>
      <c r="DY5" s="172" t="str">
        <f t="shared" si="2"/>
        <v/>
      </c>
      <c r="DZ5" s="172" t="str">
        <f t="shared" si="2"/>
        <v/>
      </c>
      <c r="EA5" s="172" t="str">
        <f t="shared" si="2"/>
        <v/>
      </c>
      <c r="EB5" s="172" t="str">
        <f t="shared" si="2"/>
        <v/>
      </c>
      <c r="ED5" s="120" t="str">
        <f t="shared" ref="ED5:ED10" si="11">BZ21</f>
        <v>Dominante de Rodilla</v>
      </c>
      <c r="EE5" s="231" t="str">
        <f t="shared" ref="EE5:EV5" si="3">IFERROR(INDIRECT("'Bloque "&amp;$D$38&amp;" Semana "&amp;MID(EE4,2,2)&amp;"'"&amp;"!"&amp;"CC21"),"")</f>
        <v/>
      </c>
      <c r="EF5" s="231" t="str">
        <f t="shared" si="3"/>
        <v/>
      </c>
      <c r="EG5" s="231" t="str">
        <f t="shared" si="3"/>
        <v/>
      </c>
      <c r="EH5" s="231" t="str">
        <f t="shared" si="3"/>
        <v/>
      </c>
      <c r="EI5" s="231" t="str">
        <f t="shared" si="3"/>
        <v/>
      </c>
      <c r="EJ5" s="231" t="str">
        <f t="shared" si="3"/>
        <v/>
      </c>
      <c r="EK5" s="231" t="str">
        <f t="shared" si="3"/>
        <v/>
      </c>
      <c r="EL5" s="231" t="str">
        <f t="shared" si="3"/>
        <v/>
      </c>
      <c r="EM5" s="231" t="str">
        <f t="shared" si="3"/>
        <v/>
      </c>
      <c r="EN5" s="231" t="str">
        <f t="shared" si="3"/>
        <v/>
      </c>
      <c r="EO5" s="231" t="str">
        <f t="shared" si="3"/>
        <v/>
      </c>
      <c r="EP5" s="231" t="str">
        <f t="shared" si="3"/>
        <v/>
      </c>
      <c r="EQ5" s="231" t="str">
        <f t="shared" si="3"/>
        <v/>
      </c>
      <c r="ER5" s="231" t="str">
        <f t="shared" si="3"/>
        <v/>
      </c>
      <c r="ES5" s="231" t="str">
        <f t="shared" si="3"/>
        <v/>
      </c>
      <c r="ET5" s="231" t="str">
        <f t="shared" si="3"/>
        <v/>
      </c>
      <c r="EU5" s="231" t="str">
        <f t="shared" si="3"/>
        <v/>
      </c>
      <c r="EV5" s="231" t="str">
        <f t="shared" si="3"/>
        <v/>
      </c>
      <c r="EX5" s="218">
        <v>9.5</v>
      </c>
      <c r="EY5" s="228">
        <v>0.978</v>
      </c>
      <c r="EZ5" s="228">
        <v>0.939</v>
      </c>
      <c r="FA5" s="228">
        <v>0.907</v>
      </c>
      <c r="FB5" s="228">
        <v>0.878</v>
      </c>
      <c r="FC5" s="228">
        <v>0.85</v>
      </c>
      <c r="FD5" s="228">
        <v>0.824</v>
      </c>
      <c r="FE5" s="228">
        <v>0.799</v>
      </c>
      <c r="FF5" s="228">
        <v>0.774</v>
      </c>
      <c r="FG5" s="228">
        <v>0.751</v>
      </c>
      <c r="FH5" s="228">
        <v>0.723</v>
      </c>
      <c r="FI5" s="228">
        <v>0.694</v>
      </c>
      <c r="FJ5" s="228">
        <v>0.667</v>
      </c>
      <c r="FK5" s="208"/>
      <c r="FL5" s="218">
        <v>9.5</v>
      </c>
      <c r="FM5" s="228">
        <v>0.989</v>
      </c>
      <c r="FN5" s="228">
        <v>0.955</v>
      </c>
      <c r="FO5" s="228">
        <v>0.932</v>
      </c>
      <c r="FP5" s="228">
        <v>0.909</v>
      </c>
      <c r="FQ5" s="228">
        <v>0.887</v>
      </c>
      <c r="FR5" s="228">
        <v>0.866</v>
      </c>
      <c r="FS5" s="228">
        <v>0.845</v>
      </c>
      <c r="FT5" s="228">
        <v>0.825</v>
      </c>
      <c r="FU5" s="228">
        <v>0.805</v>
      </c>
      <c r="FV5" s="228">
        <v>0.756</v>
      </c>
      <c r="FW5" s="228">
        <v>0.767</v>
      </c>
      <c r="FX5" s="228">
        <v>0.748</v>
      </c>
      <c r="FY5" s="228"/>
      <c r="FZ5" s="84" t="str">
        <f t="array" ref="FZ5">IF(NOT($D$37=2),IFERROR(INDIRECT("'Bloque "&amp;$D$38&amp;" Semana "&amp;"2"&amp;"'"&amp;"!"&amp;"E37"),""),"S2")</f>
        <v>S2</v>
      </c>
      <c r="GA5" s="229" t="str">
        <f t="shared" si="4"/>
        <v/>
      </c>
      <c r="GB5" s="212" t="str">
        <f t="shared" si="5"/>
        <v/>
      </c>
      <c r="GC5" s="84" t="str">
        <f t="array" ref="GC5">IF(NOT($D$37=2),IFERROR(INDIRECT("'Bloque "&amp;$D$38&amp;" Semana "&amp;"2"&amp;"'"&amp;"!"&amp;"E37"),""),"S2")</f>
        <v>S2</v>
      </c>
      <c r="GD5" s="229" t="str">
        <f t="shared" si="6"/>
        <v/>
      </c>
      <c r="GE5" s="212" t="str">
        <f t="shared" si="7"/>
        <v/>
      </c>
      <c r="GF5" s="84" t="str">
        <f t="array" ref="GF5">IF(NOT($D$37=2),IFERROR(INDIRECT("'Bloque "&amp;$D$38&amp;" Semana "&amp;"2"&amp;"'"&amp;"!"&amp;"E37"),""),"S2")</f>
        <v>S2</v>
      </c>
      <c r="GG5" s="229" t="str">
        <f t="shared" si="8"/>
        <v/>
      </c>
      <c r="GH5" s="212" t="str">
        <f t="shared" si="9"/>
        <v/>
      </c>
    </row>
    <row r="6" ht="30.75" customHeight="1">
      <c r="B6" s="199"/>
      <c r="I6" s="106"/>
      <c r="J6" s="225"/>
      <c r="T6" s="226"/>
      <c r="W6" s="201"/>
      <c r="AE6" s="203"/>
      <c r="AF6" s="204"/>
      <c r="AG6" s="232" t="s">
        <v>226</v>
      </c>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33" t="s">
        <v>227</v>
      </c>
      <c r="BS6" s="221"/>
      <c r="BT6" s="221"/>
      <c r="BU6" s="221"/>
      <c r="BV6" s="221"/>
      <c r="BW6" s="221"/>
      <c r="BX6" s="106"/>
      <c r="BY6" s="106"/>
      <c r="BZ6" s="234" t="s">
        <v>228</v>
      </c>
      <c r="CA6" s="235"/>
      <c r="CB6" s="235"/>
      <c r="CC6" s="235"/>
      <c r="CD6" s="235"/>
      <c r="CE6" s="235"/>
      <c r="CF6" s="236"/>
      <c r="CG6" s="236"/>
      <c r="CH6" s="237" t="s">
        <v>229</v>
      </c>
      <c r="CI6" s="238"/>
      <c r="CJ6" s="239"/>
      <c r="CK6" s="237"/>
      <c r="CL6" s="239"/>
      <c r="CM6" s="239"/>
      <c r="CN6" s="239"/>
      <c r="CO6" s="240" t="s">
        <v>230</v>
      </c>
      <c r="CP6" s="210"/>
      <c r="CQ6" s="210"/>
      <c r="CR6" s="210"/>
      <c r="CS6" s="210"/>
      <c r="CT6" s="241"/>
      <c r="DJ6" s="120" t="s">
        <v>42</v>
      </c>
      <c r="DK6" s="172" t="str">
        <f t="shared" ref="DK6:EB6" si="10">IFERROR(INDIRECT("'Bloque "&amp;$D$38&amp;" Semana "&amp;MID(DK3,2,2)&amp;"'"&amp;"!"&amp;"CC17"),"")</f>
        <v/>
      </c>
      <c r="DL6" s="172" t="str">
        <f t="shared" si="10"/>
        <v/>
      </c>
      <c r="DM6" s="172" t="str">
        <f t="shared" si="10"/>
        <v/>
      </c>
      <c r="DN6" s="172" t="str">
        <f t="shared" si="10"/>
        <v/>
      </c>
      <c r="DO6" s="172" t="str">
        <f t="shared" si="10"/>
        <v/>
      </c>
      <c r="DP6" s="172" t="str">
        <f t="shared" si="10"/>
        <v/>
      </c>
      <c r="DQ6" s="172" t="str">
        <f t="shared" si="10"/>
        <v/>
      </c>
      <c r="DR6" s="172" t="str">
        <f t="shared" si="10"/>
        <v/>
      </c>
      <c r="DS6" s="172" t="str">
        <f t="shared" si="10"/>
        <v/>
      </c>
      <c r="DT6" s="172" t="str">
        <f t="shared" si="10"/>
        <v/>
      </c>
      <c r="DU6" s="172" t="str">
        <f t="shared" si="10"/>
        <v/>
      </c>
      <c r="DV6" s="172" t="str">
        <f t="shared" si="10"/>
        <v/>
      </c>
      <c r="DW6" s="172" t="str">
        <f t="shared" si="10"/>
        <v/>
      </c>
      <c r="DX6" s="172" t="str">
        <f t="shared" si="10"/>
        <v/>
      </c>
      <c r="DY6" s="172" t="str">
        <f t="shared" si="10"/>
        <v/>
      </c>
      <c r="DZ6" s="172" t="str">
        <f t="shared" si="10"/>
        <v/>
      </c>
      <c r="EA6" s="172" t="str">
        <f t="shared" si="10"/>
        <v/>
      </c>
      <c r="EB6" s="172" t="str">
        <f t="shared" si="10"/>
        <v/>
      </c>
      <c r="ED6" s="120" t="str">
        <f t="shared" si="11"/>
        <v>Bisagra de Cadera</v>
      </c>
      <c r="EE6" s="231" t="str">
        <f t="shared" ref="EE6:EV6" si="12">IFERROR(INDIRECT("'Bloque "&amp;$D$38&amp;" Semana "&amp;MID(EE4,2,2)&amp;"'"&amp;"!"&amp;"CC22"),"")</f>
        <v/>
      </c>
      <c r="EF6" s="231" t="str">
        <f t="shared" si="12"/>
        <v/>
      </c>
      <c r="EG6" s="231" t="str">
        <f t="shared" si="12"/>
        <v/>
      </c>
      <c r="EH6" s="231" t="str">
        <f t="shared" si="12"/>
        <v/>
      </c>
      <c r="EI6" s="231" t="str">
        <f t="shared" si="12"/>
        <v/>
      </c>
      <c r="EJ6" s="231" t="str">
        <f t="shared" si="12"/>
        <v/>
      </c>
      <c r="EK6" s="231" t="str">
        <f t="shared" si="12"/>
        <v/>
      </c>
      <c r="EL6" s="231" t="str">
        <f t="shared" si="12"/>
        <v/>
      </c>
      <c r="EM6" s="231" t="str">
        <f t="shared" si="12"/>
        <v/>
      </c>
      <c r="EN6" s="231" t="str">
        <f t="shared" si="12"/>
        <v/>
      </c>
      <c r="EO6" s="231" t="str">
        <f t="shared" si="12"/>
        <v/>
      </c>
      <c r="EP6" s="231" t="str">
        <f t="shared" si="12"/>
        <v/>
      </c>
      <c r="EQ6" s="231" t="str">
        <f t="shared" si="12"/>
        <v/>
      </c>
      <c r="ER6" s="231" t="str">
        <f t="shared" si="12"/>
        <v/>
      </c>
      <c r="ES6" s="231" t="str">
        <f t="shared" si="12"/>
        <v/>
      </c>
      <c r="ET6" s="231" t="str">
        <f t="shared" si="12"/>
        <v/>
      </c>
      <c r="EU6" s="231" t="str">
        <f t="shared" si="12"/>
        <v/>
      </c>
      <c r="EV6" s="231" t="str">
        <f t="shared" si="12"/>
        <v/>
      </c>
      <c r="EX6" s="218">
        <v>9.0</v>
      </c>
      <c r="EY6" s="228">
        <v>0.955</v>
      </c>
      <c r="EZ6" s="228">
        <v>0.922</v>
      </c>
      <c r="FA6" s="228">
        <v>0.892</v>
      </c>
      <c r="FB6" s="228">
        <v>0.863</v>
      </c>
      <c r="FC6" s="228">
        <v>0.837</v>
      </c>
      <c r="FD6" s="228">
        <v>0.811</v>
      </c>
      <c r="FE6" s="228">
        <v>0.786</v>
      </c>
      <c r="FF6" s="228">
        <v>0.762</v>
      </c>
      <c r="FG6" s="228">
        <v>0.739</v>
      </c>
      <c r="FH6" s="228">
        <v>0.707</v>
      </c>
      <c r="FI6" s="228">
        <v>0.68</v>
      </c>
      <c r="FJ6" s="228">
        <v>0.653</v>
      </c>
      <c r="FK6" s="208"/>
      <c r="FL6" s="218">
        <v>9.0</v>
      </c>
      <c r="FM6" s="228">
        <v>0.979</v>
      </c>
      <c r="FN6" s="228">
        <v>0.944</v>
      </c>
      <c r="FO6" s="228">
        <v>0.922</v>
      </c>
      <c r="FP6" s="228">
        <v>0.9</v>
      </c>
      <c r="FQ6" s="228">
        <v>0.878</v>
      </c>
      <c r="FR6" s="228">
        <v>0.857</v>
      </c>
      <c r="FS6" s="228">
        <v>0.836</v>
      </c>
      <c r="FT6" s="228">
        <v>0.816</v>
      </c>
      <c r="FU6" s="228">
        <v>0.796</v>
      </c>
      <c r="FV6" s="228">
        <v>0.777</v>
      </c>
      <c r="FW6" s="228">
        <v>0.758</v>
      </c>
      <c r="FX6" s="228">
        <v>0.74</v>
      </c>
      <c r="FY6" s="228"/>
      <c r="FZ6" s="84" t="str">
        <f t="array" ref="FZ6">IF(NOT($D$37=3),IFERROR(INDIRECT("'Bloque "&amp;$D$38&amp;" Semana "&amp;"3"&amp;"'"&amp;"!"&amp;"E37"),""),"S3")</f>
        <v/>
      </c>
      <c r="GA6" s="229" t="str">
        <f t="shared" si="4"/>
        <v/>
      </c>
      <c r="GB6" s="212" t="str">
        <f t="shared" si="5"/>
        <v/>
      </c>
      <c r="GC6" s="84" t="str">
        <f t="array" ref="GC6">IF(NOT($D$37=3),IFERROR(INDIRECT("'Bloque "&amp;$D$38&amp;" Semana "&amp;"3"&amp;"'"&amp;"!"&amp;"E37"),""),"S3")</f>
        <v/>
      </c>
      <c r="GD6" s="229" t="str">
        <f t="shared" si="6"/>
        <v/>
      </c>
      <c r="GE6" s="212" t="str">
        <f t="shared" si="7"/>
        <v/>
      </c>
      <c r="GF6" s="84" t="str">
        <f t="array" ref="GF6">IF(NOT($D$37=3),IFERROR(INDIRECT("'Bloque "&amp;$D$38&amp;" Semana "&amp;"3"&amp;"'"&amp;"!"&amp;"E37"),""),"S3")</f>
        <v/>
      </c>
      <c r="GG6" s="229" t="str">
        <f t="shared" si="8"/>
        <v/>
      </c>
      <c r="GH6" s="212" t="str">
        <f t="shared" si="9"/>
        <v/>
      </c>
    </row>
    <row r="7" ht="41.25" customHeight="1">
      <c r="B7" s="199"/>
      <c r="I7" s="106"/>
      <c r="J7" s="225"/>
      <c r="T7" s="226"/>
      <c r="W7" s="201"/>
      <c r="AE7" s="203"/>
      <c r="AF7" s="204"/>
      <c r="AG7" s="225"/>
      <c r="BX7" s="106"/>
      <c r="BY7" s="106"/>
      <c r="BZ7" s="242" t="s">
        <v>231</v>
      </c>
      <c r="CA7" s="243"/>
      <c r="CB7" s="243"/>
      <c r="CC7" s="243"/>
      <c r="CD7" s="243"/>
      <c r="CE7" s="243"/>
      <c r="CF7" s="244"/>
      <c r="CG7" s="245"/>
      <c r="CH7" s="246" t="s">
        <v>232</v>
      </c>
      <c r="CI7" s="247" t="s">
        <v>233</v>
      </c>
      <c r="CJ7" s="248"/>
      <c r="CK7" s="248"/>
      <c r="CL7" s="249"/>
      <c r="CM7" s="249"/>
      <c r="CN7" s="250"/>
      <c r="CO7" s="251"/>
      <c r="CP7" s="251"/>
      <c r="CQ7" s="251"/>
      <c r="CR7" s="251"/>
      <c r="CS7" s="251"/>
      <c r="CT7" s="252"/>
      <c r="ED7" s="120" t="str">
        <f t="shared" si="11"/>
        <v>Empuje Horizontal</v>
      </c>
      <c r="EE7" s="231" t="str">
        <f t="shared" ref="EE7:EV7" si="13">IFERROR(INDIRECT("'Bloque "&amp;$D$38&amp;" Semana "&amp;MID(EE4,2,2)&amp;"'"&amp;"!"&amp;"CC23"),"")</f>
        <v/>
      </c>
      <c r="EF7" s="231" t="str">
        <f t="shared" si="13"/>
        <v/>
      </c>
      <c r="EG7" s="231" t="str">
        <f t="shared" si="13"/>
        <v/>
      </c>
      <c r="EH7" s="231" t="str">
        <f t="shared" si="13"/>
        <v/>
      </c>
      <c r="EI7" s="231" t="str">
        <f t="shared" si="13"/>
        <v/>
      </c>
      <c r="EJ7" s="231" t="str">
        <f t="shared" si="13"/>
        <v/>
      </c>
      <c r="EK7" s="231" t="str">
        <f t="shared" si="13"/>
        <v/>
      </c>
      <c r="EL7" s="231" t="str">
        <f t="shared" si="13"/>
        <v/>
      </c>
      <c r="EM7" s="231" t="str">
        <f t="shared" si="13"/>
        <v/>
      </c>
      <c r="EN7" s="231" t="str">
        <f t="shared" si="13"/>
        <v/>
      </c>
      <c r="EO7" s="231" t="str">
        <f t="shared" si="13"/>
        <v/>
      </c>
      <c r="EP7" s="231" t="str">
        <f t="shared" si="13"/>
        <v/>
      </c>
      <c r="EQ7" s="231" t="str">
        <f t="shared" si="13"/>
        <v/>
      </c>
      <c r="ER7" s="231" t="str">
        <f t="shared" si="13"/>
        <v/>
      </c>
      <c r="ES7" s="231" t="str">
        <f t="shared" si="13"/>
        <v/>
      </c>
      <c r="ET7" s="231" t="str">
        <f t="shared" si="13"/>
        <v/>
      </c>
      <c r="EU7" s="231" t="str">
        <f t="shared" si="13"/>
        <v/>
      </c>
      <c r="EV7" s="231" t="str">
        <f t="shared" si="13"/>
        <v/>
      </c>
      <c r="EX7" s="218">
        <v>8.5</v>
      </c>
      <c r="EY7" s="228">
        <v>0.939</v>
      </c>
      <c r="EZ7" s="228">
        <v>0.907</v>
      </c>
      <c r="FA7" s="228">
        <v>0.878</v>
      </c>
      <c r="FB7" s="228">
        <v>0.85</v>
      </c>
      <c r="FC7" s="228">
        <v>0.824</v>
      </c>
      <c r="FD7" s="228">
        <v>0.799</v>
      </c>
      <c r="FE7" s="228">
        <v>0.774</v>
      </c>
      <c r="FF7" s="228">
        <v>0.751</v>
      </c>
      <c r="FG7" s="228">
        <v>0.723</v>
      </c>
      <c r="FH7" s="228">
        <v>0.694</v>
      </c>
      <c r="FI7" s="228">
        <v>0.667</v>
      </c>
      <c r="FJ7" s="228">
        <v>0.64</v>
      </c>
      <c r="FK7" s="208"/>
      <c r="FL7" s="218">
        <v>8.5</v>
      </c>
      <c r="FM7" s="228">
        <v>0.968</v>
      </c>
      <c r="FN7" s="228">
        <v>0.934</v>
      </c>
      <c r="FO7" s="228">
        <v>0.912</v>
      </c>
      <c r="FP7" s="228">
        <v>0.89</v>
      </c>
      <c r="FQ7" s="228">
        <v>0.868</v>
      </c>
      <c r="FR7" s="228">
        <v>0.848</v>
      </c>
      <c r="FS7" s="228">
        <v>0.827</v>
      </c>
      <c r="FT7" s="228">
        <v>0.807</v>
      </c>
      <c r="FU7" s="228">
        <v>0.788</v>
      </c>
      <c r="FV7" s="228">
        <v>0.769</v>
      </c>
      <c r="FW7" s="228">
        <v>0.75</v>
      </c>
      <c r="FX7" s="228">
        <v>0.732</v>
      </c>
      <c r="FY7" s="228"/>
      <c r="FZ7" s="84" t="str">
        <f t="array" ref="FZ7">IF(NOT($D$37=4),IFERROR(INDIRECT("'Bloque "&amp;$D$38&amp;" Semana "&amp;"4"&amp;"'"&amp;"!"&amp;"E37"),""),"S4")</f>
        <v/>
      </c>
      <c r="GA7" s="229" t="str">
        <f t="shared" si="4"/>
        <v/>
      </c>
      <c r="GB7" s="212" t="str">
        <f t="shared" si="5"/>
        <v/>
      </c>
      <c r="GC7" s="84" t="str">
        <f t="array" ref="GC7">IF(NOT($D$37=4),IFERROR(INDIRECT("'Bloque "&amp;$D$38&amp;" Semana "&amp;"4"&amp;"'"&amp;"!"&amp;"E37"),""),"S4")</f>
        <v/>
      </c>
      <c r="GD7" s="229" t="str">
        <f t="shared" si="6"/>
        <v/>
      </c>
      <c r="GE7" s="212" t="str">
        <f t="shared" si="7"/>
        <v/>
      </c>
      <c r="GF7" s="84" t="str">
        <f t="array" ref="GF7">IF(NOT($D$37=4),IFERROR(INDIRECT("'Bloque "&amp;$D$38&amp;" Semana "&amp;"4"&amp;"'"&amp;"!"&amp;"E37"),""),"S4")</f>
        <v/>
      </c>
      <c r="GG7" s="229" t="str">
        <f t="shared" si="8"/>
        <v/>
      </c>
      <c r="GH7" s="212" t="str">
        <f t="shared" si="9"/>
        <v/>
      </c>
    </row>
    <row r="8" ht="49.5" customHeight="1">
      <c r="B8" s="211"/>
      <c r="I8" s="253"/>
      <c r="J8" s="225"/>
      <c r="T8" s="226"/>
      <c r="W8" s="201"/>
      <c r="AE8" s="203"/>
      <c r="AF8" s="204"/>
      <c r="AG8" s="254" t="s">
        <v>234</v>
      </c>
      <c r="AH8" s="210"/>
      <c r="AI8" s="210"/>
      <c r="AJ8" s="210"/>
      <c r="AK8" s="255" t="s">
        <v>235</v>
      </c>
      <c r="AL8" s="210"/>
      <c r="AM8" s="210"/>
      <c r="AN8" s="210"/>
      <c r="AO8" s="255" t="s">
        <v>236</v>
      </c>
      <c r="AP8" s="210"/>
      <c r="AQ8" s="210"/>
      <c r="AR8" s="210"/>
      <c r="AS8" s="255" t="s">
        <v>237</v>
      </c>
      <c r="AT8" s="210"/>
      <c r="AU8" s="210"/>
      <c r="AV8" s="210"/>
      <c r="AW8" s="255" t="s">
        <v>238</v>
      </c>
      <c r="AX8" s="210"/>
      <c r="AY8" s="210"/>
      <c r="AZ8" s="210"/>
      <c r="BA8" s="255" t="s">
        <v>239</v>
      </c>
      <c r="BB8" s="210"/>
      <c r="BC8" s="210"/>
      <c r="BD8" s="210"/>
      <c r="BE8" s="256" t="s">
        <v>240</v>
      </c>
      <c r="BF8" s="210"/>
      <c r="BG8" s="210"/>
      <c r="BH8" s="257"/>
      <c r="BI8" s="255" t="s">
        <v>241</v>
      </c>
      <c r="BJ8" s="210"/>
      <c r="BK8" s="210"/>
      <c r="BL8" s="257"/>
      <c r="BM8" s="256" t="s">
        <v>242</v>
      </c>
      <c r="BN8" s="210"/>
      <c r="BO8" s="210"/>
      <c r="BP8" s="210"/>
      <c r="BQ8" s="258"/>
      <c r="BR8" s="259" t="s">
        <v>243</v>
      </c>
      <c r="BS8" s="210"/>
      <c r="BT8" s="210"/>
      <c r="BU8" s="259" t="s">
        <v>244</v>
      </c>
      <c r="BV8" s="210"/>
      <c r="BW8" s="260" t="s">
        <v>245</v>
      </c>
      <c r="BX8" s="106"/>
      <c r="BY8" s="106"/>
      <c r="BZ8" s="261" t="s">
        <v>246</v>
      </c>
      <c r="CA8" s="83" t="s">
        <v>247</v>
      </c>
      <c r="CB8" s="83" t="s">
        <v>248</v>
      </c>
      <c r="CC8" s="83" t="s">
        <v>224</v>
      </c>
      <c r="CD8" s="83" t="s">
        <v>249</v>
      </c>
      <c r="CE8" s="83" t="s">
        <v>250</v>
      </c>
      <c r="CF8" s="262" t="s">
        <v>251</v>
      </c>
      <c r="CH8" s="263" t="s">
        <v>252</v>
      </c>
      <c r="CI8" s="264" t="s">
        <v>253</v>
      </c>
      <c r="CJ8" s="264" t="s">
        <v>254</v>
      </c>
      <c r="CK8" s="264" t="s">
        <v>255</v>
      </c>
      <c r="CL8" s="264" t="s">
        <v>256</v>
      </c>
      <c r="CM8" s="264" t="s">
        <v>257</v>
      </c>
      <c r="CN8" s="264" t="s">
        <v>258</v>
      </c>
      <c r="CO8" s="265" t="s">
        <v>255</v>
      </c>
      <c r="CP8" s="266" t="s">
        <v>259</v>
      </c>
      <c r="CQ8" s="267" t="s">
        <v>260</v>
      </c>
      <c r="CR8" s="265" t="s">
        <v>261</v>
      </c>
      <c r="CS8" s="266" t="s">
        <v>262</v>
      </c>
      <c r="CT8" s="268" t="s">
        <v>263</v>
      </c>
      <c r="DJ8" s="107" t="s">
        <v>264</v>
      </c>
      <c r="DK8" s="108"/>
      <c r="DL8" s="108"/>
      <c r="DM8" s="108"/>
      <c r="DN8" s="108"/>
      <c r="DO8" s="108"/>
      <c r="DP8" s="108"/>
      <c r="DQ8" s="108"/>
      <c r="DR8" s="108"/>
      <c r="DS8" s="108"/>
      <c r="DT8" s="108"/>
      <c r="DU8" s="108"/>
      <c r="DV8" s="108"/>
      <c r="DW8" s="108"/>
      <c r="DX8" s="108"/>
      <c r="DY8" s="108"/>
      <c r="DZ8" s="108"/>
      <c r="EA8" s="108"/>
      <c r="EB8" s="108"/>
      <c r="ED8" s="120" t="str">
        <f t="shared" si="11"/>
        <v>Empuje Vertical</v>
      </c>
      <c r="EE8" s="269" t="str">
        <f t="shared" ref="EE8:EV8" si="14">IFERROR(INDIRECT("'Bloque "&amp;$D$38&amp;" Semana "&amp;MID(EE4,2,2)&amp;"'"&amp;"!"&amp;"CC24"),"")</f>
        <v/>
      </c>
      <c r="EF8" s="269" t="str">
        <f t="shared" si="14"/>
        <v/>
      </c>
      <c r="EG8" s="269" t="str">
        <f t="shared" si="14"/>
        <v/>
      </c>
      <c r="EH8" s="269" t="str">
        <f t="shared" si="14"/>
        <v/>
      </c>
      <c r="EI8" s="269" t="str">
        <f t="shared" si="14"/>
        <v/>
      </c>
      <c r="EJ8" s="269" t="str">
        <f t="shared" si="14"/>
        <v/>
      </c>
      <c r="EK8" s="269" t="str">
        <f t="shared" si="14"/>
        <v/>
      </c>
      <c r="EL8" s="269" t="str">
        <f t="shared" si="14"/>
        <v/>
      </c>
      <c r="EM8" s="269" t="str">
        <f t="shared" si="14"/>
        <v/>
      </c>
      <c r="EN8" s="269" t="str">
        <f t="shared" si="14"/>
        <v/>
      </c>
      <c r="EO8" s="269" t="str">
        <f t="shared" si="14"/>
        <v/>
      </c>
      <c r="EP8" s="269" t="str">
        <f t="shared" si="14"/>
        <v/>
      </c>
      <c r="EQ8" s="269" t="str">
        <f t="shared" si="14"/>
        <v/>
      </c>
      <c r="ER8" s="269" t="str">
        <f t="shared" si="14"/>
        <v/>
      </c>
      <c r="ES8" s="269" t="str">
        <f t="shared" si="14"/>
        <v/>
      </c>
      <c r="ET8" s="269" t="str">
        <f t="shared" si="14"/>
        <v/>
      </c>
      <c r="EU8" s="269" t="str">
        <f t="shared" si="14"/>
        <v/>
      </c>
      <c r="EV8" s="269" t="str">
        <f t="shared" si="14"/>
        <v/>
      </c>
      <c r="EX8" s="218">
        <v>8.0</v>
      </c>
      <c r="EY8" s="228">
        <v>0.922</v>
      </c>
      <c r="EZ8" s="228">
        <v>0.892</v>
      </c>
      <c r="FA8" s="228">
        <v>0.863</v>
      </c>
      <c r="FB8" s="228">
        <v>0.837</v>
      </c>
      <c r="FC8" s="228">
        <v>0.811</v>
      </c>
      <c r="FD8" s="228">
        <v>0.786</v>
      </c>
      <c r="FE8" s="228">
        <v>0.762</v>
      </c>
      <c r="FF8" s="228">
        <v>0.739</v>
      </c>
      <c r="FG8" s="228">
        <v>0.707</v>
      </c>
      <c r="FH8" s="228">
        <v>0.68</v>
      </c>
      <c r="FI8" s="228">
        <v>0.653</v>
      </c>
      <c r="FJ8" s="228">
        <v>0.626</v>
      </c>
      <c r="FK8" s="208"/>
      <c r="FL8" s="218">
        <v>8.0</v>
      </c>
      <c r="FM8" s="228">
        <v>0.958</v>
      </c>
      <c r="FN8" s="228">
        <v>0.924</v>
      </c>
      <c r="FO8" s="228">
        <v>0.902</v>
      </c>
      <c r="FP8" s="228">
        <v>0.88</v>
      </c>
      <c r="FQ8" s="228">
        <v>0.859</v>
      </c>
      <c r="FR8" s="228">
        <v>0.838</v>
      </c>
      <c r="FS8" s="228">
        <v>0.818</v>
      </c>
      <c r="FT8" s="228">
        <v>0.799</v>
      </c>
      <c r="FU8" s="228">
        <v>0.779</v>
      </c>
      <c r="FV8" s="228">
        <v>0.761</v>
      </c>
      <c r="FW8" s="228">
        <v>0.742</v>
      </c>
      <c r="FX8" s="228">
        <v>0.724</v>
      </c>
      <c r="FY8" s="228"/>
      <c r="FZ8" s="84" t="str">
        <f t="array" ref="FZ8">IF(NOT($D$37=5),IFERROR(INDIRECT("'Bloque "&amp;$D$38&amp;" Semana "&amp;"5"&amp;"'"&amp;"!"&amp;"E37"),""),"S5")</f>
        <v/>
      </c>
      <c r="GA8" s="229" t="str">
        <f t="shared" si="4"/>
        <v/>
      </c>
      <c r="GB8" s="212" t="str">
        <f t="shared" si="5"/>
        <v/>
      </c>
      <c r="GC8" s="84" t="str">
        <f t="array" ref="GC8">IF(NOT($D$37=5),IFERROR(INDIRECT("'Bloque "&amp;$D$38&amp;" Semana "&amp;"5"&amp;"'"&amp;"!"&amp;"E37"),""),"S5")</f>
        <v/>
      </c>
      <c r="GD8" s="229" t="str">
        <f t="shared" si="6"/>
        <v/>
      </c>
      <c r="GE8" s="212" t="str">
        <f t="shared" si="7"/>
        <v/>
      </c>
      <c r="GF8" s="84" t="str">
        <f t="array" ref="GF8">IF(NOT($D$37=5),IFERROR(INDIRECT("'Bloque "&amp;$D$38&amp;" Semana "&amp;"5"&amp;"'"&amp;"!"&amp;"E37"),""),"S5")</f>
        <v/>
      </c>
      <c r="GG8" s="229" t="str">
        <f t="shared" si="8"/>
        <v/>
      </c>
      <c r="GH8" s="212" t="str">
        <f t="shared" si="9"/>
        <v/>
      </c>
    </row>
    <row r="9" ht="30.0" customHeight="1">
      <c r="B9" s="199"/>
      <c r="I9" s="106"/>
      <c r="J9" s="225"/>
      <c r="T9" s="226"/>
      <c r="W9" s="201"/>
      <c r="AE9" s="203"/>
      <c r="AF9" s="204"/>
      <c r="AG9" s="270" t="s">
        <v>265</v>
      </c>
      <c r="AJ9" s="271"/>
      <c r="AK9" s="272" t="s">
        <v>483</v>
      </c>
      <c r="AN9" s="273"/>
      <c r="AO9" s="272" t="s">
        <v>483</v>
      </c>
      <c r="AR9" s="273"/>
      <c r="AS9" s="272" t="s">
        <v>483</v>
      </c>
      <c r="AV9" s="273"/>
      <c r="AW9" s="272" t="s">
        <v>484</v>
      </c>
      <c r="AZ9" s="273"/>
      <c r="BA9" s="272" t="s">
        <v>484</v>
      </c>
      <c r="BD9" s="273"/>
      <c r="BE9" s="274">
        <f t="shared" ref="BE9:BE15" si="17">IFERROR( IFERROR(IF(NOT(ISBLANK(AK9)),MID(AK9,1,2),"")+IF(NOT(ISBLANK(AO9)),MID(AO9,1,2),"")+IF(NOT(ISBLANK(AS9)),MID(AS9,1,2),"")+IF(NOT(ISBLANK(AW9)),MID(AW9,1,2),"")+IF(NOT(ISBLANK(BA9)),MID(BA9,1,2),""),"")/COUNTA(AK9:BC9)*10/7,"")</f>
        <v>3.714285714</v>
      </c>
      <c r="BH9" s="275"/>
      <c r="BI9" s="276"/>
      <c r="BL9" s="275"/>
      <c r="BM9" s="277"/>
      <c r="BQ9" s="278"/>
      <c r="BR9" s="279" t="b">
        <v>0</v>
      </c>
      <c r="BS9" s="280" t="str">
        <f t="shared" ref="BS9:BS15" si="18">IFS(BR9=FALSE,"",BS9&lt;&gt;"",BS9,TRUE,NOW())</f>
        <v/>
      </c>
      <c r="BT9" s="273"/>
      <c r="BU9" s="281" t="b">
        <v>0</v>
      </c>
      <c r="BV9" s="280" t="str">
        <f t="shared" ref="BV9:BV15" si="19">IFS(BU9=FALSE,"",BV9&lt;&gt;"",BV9,TRUE,NOW())</f>
        <v/>
      </c>
      <c r="BW9" s="282" t="str">
        <f t="shared" ref="BW9:BW15" si="20">IF(OR(BS9="",BV9=""),"",BV9-BS9)</f>
        <v/>
      </c>
      <c r="BZ9" s="283" t="s">
        <v>266</v>
      </c>
      <c r="CA9" s="284">
        <f>IFERROR(IFS(BZ9="SQ1", SUMIF($D$40:$D186,"SQ1*",AD40:AD186),BZ9="SQ2",SUMIF($D$40:$D186,"SQ2*",AD40:AD186),$BZ$9="SQ3",SUMIF($D$40:$D186,"SQ3*",AD40:AD186),BZ9="SQ4",SUMIF($D$40:$D186,"SQ4*",AD40:AD186),BZ9="SQ5",SUMIF($D$40:$D186,"SQ5*",AD40:AD186)),"")</f>
        <v>7</v>
      </c>
      <c r="CB9" s="284">
        <f>IFERROR(IFS(BZ9="SQ1", SUMIF($D$40:$D186,"SQ1*",CC40:CC186),BZ9="SQ2",SUMIF($D$40:$D186,"SQ2*",CC40:CC186),$BZ$9="SQ3",SUMIF($D$40:$D186,"SQ3*",CC40:CC186),BZ9="SQ4",SUMIF($D$40:$D186,"SQ4*",CC40:CC186),BZ9="SQ5",SUMIF($D$40:$D186,"SQ5*",CC40:CC186)),"")</f>
        <v>27</v>
      </c>
      <c r="CC9" s="285">
        <f>IFERROR(IFS($BZ$9="SQ1", SUMIF($D$40:$D186,"SQ1*",CE40:CE186),$BZ$9="SQ2",SUMIF($D$40:$D186,"SQ2*",CE40:CE186),$BZ$9="SQ3",SUMIF($D$40:$D186,"SQ3*",CE40:CE186),$BZ$9="SQ4",SUMIF($D$40:$D186,"SQ4*",CE40:CE186),$BZ$9="SQ5",SUMIF($D$40:$D186,"SQ5*",CE40:CE186)),"")</f>
        <v>3905</v>
      </c>
      <c r="CD9" s="286">
        <f>IFERROR(IFS(BZ9="SQ1",AVERAGEIF(D40:D186,"SQ1*",CA40:CA186),BZ9="SQ2",AVERAGEIF(D40:D186,"SQ2*",CA40:CA186),BZ9="SQ3",AVERAGEIF(D40:D186,"SQ3*",CA40:CA186),BZ9="SQ4",AVERAGEIF(D40:D186,"SQ4*",CA40:CA186),BZ9="SQ5",AVERAGEIF(D40:D186,"SQ5*",CA40:CA186)),"")</f>
        <v>0.7916666667</v>
      </c>
      <c r="CE9" s="287">
        <f>IFERROR( IFS($CE$8="e1RM Bryzcki", IFS(BZ9="SQ1",AVERAGEIF(D40:D186,"SQ1*",CH40:CH186),BZ9="SQ2",AVERAGEIF(D40:D186,"SQ2*",CH40:CH186),BZ9="SQ3",AVERAGEIF(D40:D186,"SQ3*",CH40:CH186),BZ9="SQ4*",AVERAGEIF(D40:D186,"SQ4*",CH40:CH186),BZ9="SQ5",AVERAGEIF(D40:D186,"SQ5*",CH40:CH186)),$CE$8="e1RM Steve Denovi F1", IFS(BZ9="SQ1",AVERAGEIF(D40:D186,"SQ1*",CL40:CL186),BZ9="SQ2",AVERAGEIF(D40:D186,"SQ2*",CL40:CL186),BZ9="SQ3",AVERAGEIF(D40:D186,"SQ3*",CL40:CL186),BZ9="SQ4*",AVERAGEIF(D40:D186,"SQ4*",CL40:CL186),BZ9="SQ5",AVERAGEIF(D40:D186,"SQ5*",CL40:CL186)),$CE$8="e1RM Steve Denovi F2", IFS(BZ9="SQ1",AVERAGEIF(D40:D186,"SQ1*",CM40:CM186),BZ9="SQ2",AVERAGEIF(D40:D186,"SQ2*",CM40:CM186),BZ9="SQ3",AVERAGEIF(D40:D186,"SQ3*",CM40:CM186),BZ9="SQ4*",AVERAGEIF(D40:D186,"SQ4*",CM40:CM186),BZ9="SQ5",AVERAGEIF(D40:D186,"SQ5*",CM40:CM186))),"")</f>
        <v>104.9478614</v>
      </c>
      <c r="CF9" s="288">
        <f>IFERROR(IFS($BZ$9="SQ1",AVERAGEIF($D$40:$D186,"SQ1*",$CK$40:$CK186),$BZ$9="SQ2",AVERAGEIF($D$40:$D186,"SQ2*",$CK$40:$CK186),$BZ$9="SQ3",AVERAGEIF($D$40:$D186,"SQ3*",$CK$40:$CK186),$BZ$9="SQ4",AVERAGEIF($D$40:$D186,"SQ4*",$CK$40:$CK186),$BZ$9="SQ5",AVERAGEIF($D$40:$D186,"SQ5*",$CK$40:$CK186)),"")</f>
        <v>9.4</v>
      </c>
      <c r="CH9" s="289" t="str">
        <f t="array" ref="CH9">IF(NOT($D$37=1),IFERROR(INDIRECT("'Bloque "&amp;$D$38&amp;" Semana "&amp;"1"&amp;"'"&amp;"!"&amp;"E37"),""),"S1")</f>
        <v/>
      </c>
      <c r="CI9" s="290" t="str">
        <f t="shared" ref="CI9:CI26" si="21">IFERROR(INDIRECT("'Bloque "&amp;$D$38&amp;" Semana "&amp;MID(CH9,2,2)&amp;"'"&amp;"!"&amp;"AF"&amp;MATCH($CH$7,$D:$D,0)),"")</f>
        <v/>
      </c>
      <c r="CJ9" s="224" t="str">
        <f t="shared" ref="CJ9:CJ26" si="22">IFERROR(INDIRECT("'Bloque "&amp;$D$38&amp;" Semana "&amp;MID(CH9,2,2)&amp;"'"&amp;"!"&amp;"AG"&amp;MATCH($CH$7,$D:$D,0)),"")</f>
        <v/>
      </c>
      <c r="CK9" s="85" t="str">
        <f t="shared" ref="CK9:CK26" si="23">IFERROR(INDIRECT("'Bloque "&amp;$D$38&amp;" Semana "&amp;MID(CH9,2,2)&amp;"'"&amp;"!"&amp;"CB"&amp;MATCH($CH$7,$D:$D,0)),"")</f>
        <v/>
      </c>
      <c r="CL9" s="291">
        <v>0.0</v>
      </c>
      <c r="CM9" s="168" t="str">
        <f t="shared" ref="CM9:CM26" si="24">IFERROR(INDIRECT("'Bloque "&amp;$D$38&amp;" Semana "&amp;MID(CH9,2,2)&amp;"'"&amp;"!"&amp;"CK"&amp;MATCH($CH$7,$D:$D,0)),"")</f>
        <v/>
      </c>
      <c r="CN9" s="292">
        <v>0.0</v>
      </c>
      <c r="CO9" s="168" t="str">
        <f t="shared" ref="CO9:CO26" si="25">IFERROR(INDIRECT("'Bloque "&amp;$D$38&amp;" Semana "&amp;MID(CH9,2,2)&amp;"'"&amp;"!"&amp;"CB"&amp;MATCH($CH$7,$D:$D,0)),"")</f>
        <v/>
      </c>
      <c r="CP9" s="293" t="str">
        <f t="shared" ref="CP9:CP26" si="26">IFERROR( IF(CH9=0,"",CO9/CQ9),"")</f>
        <v/>
      </c>
      <c r="CQ9" s="294" t="str">
        <f t="shared" ref="CQ9:CQ26" si="27">IFERROR( IF(NOT( $CQ$8="1RM PROYECTADA MEJOR A REPS"),VLOOKUP(CM9,$EX$3:$FJ$16,CJ9+1,0),VLOOKUP(CM9,$FL$3:$FX$16,CJ9+1,0)),"")</f>
        <v/>
      </c>
      <c r="CR9" s="295">
        <v>0.0</v>
      </c>
      <c r="CS9" s="296">
        <f t="shared" ref="CS9:CT9" si="15">MAX(CP9:CP26)-MIN(CP9:CP26)</f>
        <v>0</v>
      </c>
      <c r="CT9" s="297">
        <f t="shared" si="15"/>
        <v>0</v>
      </c>
      <c r="DJ9" s="83"/>
      <c r="DK9" s="207" t="str">
        <f t="array" ref="DK9">IF(NOT($D$37=1),IFERROR(INDIRECT("'Bloque "&amp;$D$38&amp;" Semana "&amp;"1"&amp;"'"&amp;"!"&amp;"E37"),""),"S1")</f>
        <v/>
      </c>
      <c r="DL9" s="207" t="str">
        <f t="array" ref="DL9">IF(NOT($D$37=2),IFERROR(INDIRECT("'Bloque "&amp;$D$38&amp;" Semana "&amp;"2"&amp;"'"&amp;"!"&amp;"E37"),""),"S2")</f>
        <v>S2</v>
      </c>
      <c r="DM9" s="207" t="str">
        <f t="array" ref="DM9">IF(NOT($D$37=3),IFERROR(INDIRECT("'Bloque "&amp;$D$38&amp;" Semana "&amp;"3"&amp;"'"&amp;"!"&amp;"E37"),""),"S3")</f>
        <v/>
      </c>
      <c r="DN9" s="207" t="str">
        <f t="array" ref="DN9">IF(NOT($D$37=4),IFERROR(INDIRECT("'Bloque "&amp;$D$38&amp;" Semana "&amp;"4"&amp;"'"&amp;"!"&amp;"E37"),""),"S4")</f>
        <v/>
      </c>
      <c r="DO9" s="207" t="str">
        <f t="array" ref="DO9">IF(NOT($D$37=5),IFERROR(INDIRECT("'Bloque "&amp;$D$38&amp;" Semana "&amp;"5"&amp;"'"&amp;"!"&amp;"E37"),""),"S5")</f>
        <v/>
      </c>
      <c r="DP9" s="207" t="str">
        <f t="array" ref="DP9">IF(NOT($D$37=6),IFERROR(INDIRECT("'Bloque "&amp;$D$38&amp;" Semana "&amp;"6"&amp;"'"&amp;"!"&amp;"E37"),""),"S6")</f>
        <v/>
      </c>
      <c r="DQ9" s="207" t="str">
        <f t="array" ref="DQ9">IF(NOT($D$37=7),IFERROR(INDIRECT("'Bloque "&amp;$D$38&amp;" Semana "&amp;"7"&amp;"'"&amp;"!"&amp;"E37"),""),"S7")</f>
        <v/>
      </c>
      <c r="DR9" s="207" t="str">
        <f t="array" ref="DR9">IF(NOT($D$37=8),IFERROR(INDIRECT("'Bloque "&amp;$D$38&amp;" Semana "&amp;"8"&amp;"'"&amp;"!"&amp;"E37"),""),"S8")</f>
        <v/>
      </c>
      <c r="DS9" s="207" t="str">
        <f t="array" ref="DS9">IF(NOT($D$37=9),IFERROR(INDIRECT("'Bloque "&amp;$D$38&amp;" Semana "&amp;"9"&amp;"'"&amp;"!"&amp;"E37"),""),"S9")</f>
        <v/>
      </c>
      <c r="DT9" s="207" t="str">
        <f t="array" ref="DT9">IF(NOT($D$37=10),IFERROR(INDIRECT("'Bloque "&amp;$D$38&amp;" Semana "&amp;"10"&amp;"'"&amp;"!"&amp;"E37"),""),"S10")</f>
        <v/>
      </c>
      <c r="DU9" s="207" t="str">
        <f t="array" ref="DU9">IF(NOT($D$37=11),IFERROR(INDIRECT("'Bloque "&amp;$D$38&amp;" Semana "&amp;"11"&amp;"'"&amp;"!"&amp;"E37"),""),"S11")</f>
        <v/>
      </c>
      <c r="DV9" s="207" t="str">
        <f t="array" ref="DV9">IF(NOT($D$37=12),IFERROR(INDIRECT("'Bloque "&amp;$D$38&amp;" Semana "&amp;"12"&amp;"'"&amp;"!"&amp;"E37"),""),"S12")</f>
        <v/>
      </c>
      <c r="DW9" s="207" t="str">
        <f t="array" ref="DW9">IF(NOT($D$37=13),IFERROR(INDIRECT("'Bloque "&amp;$D$38&amp;" Semana "&amp;"13"&amp;"'"&amp;"!"&amp;"E37"),""),"S13")</f>
        <v/>
      </c>
      <c r="DX9" s="207" t="str">
        <f t="array" ref="DX9">IF(NOT($D$37=14),IFERROR(INDIRECT("'Bloque "&amp;$D$38&amp;" Semana "&amp;"14"&amp;"'"&amp;"!"&amp;"E37"),""),"S14")</f>
        <v/>
      </c>
      <c r="DY9" s="207" t="str">
        <f t="array" ref="DY9">IF(NOT($D$37=15),IFERROR(INDIRECT("'Bloque "&amp;$D$38&amp;" Semana "&amp;"15"&amp;"'"&amp;"!"&amp;"E37"),""),"S15")</f>
        <v/>
      </c>
      <c r="DZ9" s="207" t="str">
        <f t="array" ref="DZ9">IF(NOT($D$37=16),IFERROR(INDIRECT("'Bloque "&amp;$D$38&amp;" Semana "&amp;"16"&amp;"'"&amp;"!"&amp;"E37"),""),"S16")</f>
        <v/>
      </c>
      <c r="EA9" s="207" t="str">
        <f t="array" ref="EA9">IF(NOT($D$37=17),IFERROR(INDIRECT("'Bloque "&amp;$D$38&amp;" Semana "&amp;"17"&amp;"'"&amp;"!"&amp;"E37"),""),"S17")</f>
        <v/>
      </c>
      <c r="EB9" s="207" t="str">
        <f t="array" ref="EB9">IF(NOT($D$37=18),IFERROR(INDIRECT("'Bloque "&amp;$D$38&amp;" Semana "&amp;"18"&amp;"'"&amp;"!"&amp;"E37"),""),"S18")</f>
        <v/>
      </c>
      <c r="ED9" s="120" t="str">
        <f t="shared" si="11"/>
        <v>Tracción Horizontal</v>
      </c>
      <c r="EE9" s="269" t="str">
        <f t="shared" ref="EE9:EV9" si="16">IFERROR(INDIRECT("'Bloque "&amp;$D$38&amp;" Semana "&amp;MID(EE4,2,2)&amp;"'"&amp;"!"&amp;"CC25"),"")</f>
        <v/>
      </c>
      <c r="EF9" s="269" t="str">
        <f t="shared" si="16"/>
        <v/>
      </c>
      <c r="EG9" s="269" t="str">
        <f t="shared" si="16"/>
        <v/>
      </c>
      <c r="EH9" s="269" t="str">
        <f t="shared" si="16"/>
        <v/>
      </c>
      <c r="EI9" s="269" t="str">
        <f t="shared" si="16"/>
        <v/>
      </c>
      <c r="EJ9" s="269" t="str">
        <f t="shared" si="16"/>
        <v/>
      </c>
      <c r="EK9" s="269" t="str">
        <f t="shared" si="16"/>
        <v/>
      </c>
      <c r="EL9" s="269" t="str">
        <f t="shared" si="16"/>
        <v/>
      </c>
      <c r="EM9" s="269" t="str">
        <f t="shared" si="16"/>
        <v/>
      </c>
      <c r="EN9" s="269" t="str">
        <f t="shared" si="16"/>
        <v/>
      </c>
      <c r="EO9" s="269" t="str">
        <f t="shared" si="16"/>
        <v/>
      </c>
      <c r="EP9" s="269" t="str">
        <f t="shared" si="16"/>
        <v/>
      </c>
      <c r="EQ9" s="269" t="str">
        <f t="shared" si="16"/>
        <v/>
      </c>
      <c r="ER9" s="269" t="str">
        <f t="shared" si="16"/>
        <v/>
      </c>
      <c r="ES9" s="269" t="str">
        <f t="shared" si="16"/>
        <v/>
      </c>
      <c r="ET9" s="269" t="str">
        <f t="shared" si="16"/>
        <v/>
      </c>
      <c r="EU9" s="269" t="str">
        <f t="shared" si="16"/>
        <v/>
      </c>
      <c r="EV9" s="269" t="str">
        <f t="shared" si="16"/>
        <v/>
      </c>
      <c r="EX9" s="218">
        <v>7.5</v>
      </c>
      <c r="EY9" s="228">
        <v>0.907</v>
      </c>
      <c r="EZ9" s="228">
        <v>0.878</v>
      </c>
      <c r="FA9" s="228">
        <v>0.85</v>
      </c>
      <c r="FB9" s="228">
        <v>0.824</v>
      </c>
      <c r="FC9" s="228">
        <v>0.799</v>
      </c>
      <c r="FD9" s="228">
        <v>0.774</v>
      </c>
      <c r="FE9" s="228">
        <v>0.751</v>
      </c>
      <c r="FF9" s="228">
        <v>0.723</v>
      </c>
      <c r="FG9" s="228">
        <v>0.694</v>
      </c>
      <c r="FH9" s="228">
        <v>0.667</v>
      </c>
      <c r="FI9" s="228">
        <v>0.64</v>
      </c>
      <c r="FJ9" s="228">
        <v>0.613</v>
      </c>
      <c r="FK9" s="208"/>
      <c r="FL9" s="218">
        <v>7.5</v>
      </c>
      <c r="FM9" s="228">
        <v>0.948</v>
      </c>
      <c r="FN9" s="228">
        <v>0.914</v>
      </c>
      <c r="FO9" s="228">
        <v>0.892</v>
      </c>
      <c r="FP9" s="228">
        <v>0.871</v>
      </c>
      <c r="FQ9" s="228">
        <v>0.85</v>
      </c>
      <c r="FR9" s="228">
        <v>0.83</v>
      </c>
      <c r="FS9" s="228">
        <v>0.81</v>
      </c>
      <c r="FT9" s="228">
        <v>0.79</v>
      </c>
      <c r="FU9" s="228">
        <v>0.771</v>
      </c>
      <c r="FV9" s="228">
        <v>0.752</v>
      </c>
      <c r="FW9" s="228">
        <v>0.734</v>
      </c>
      <c r="FX9" s="228">
        <v>0.717</v>
      </c>
      <c r="FY9" s="228"/>
      <c r="FZ9" s="84" t="str">
        <f t="array" ref="FZ9">IF(NOT($D$37=6),IFERROR(INDIRECT("'Bloque "&amp;$D$38&amp;" Semana "&amp;"6"&amp;"'"&amp;"!"&amp;"E37"),""),"S6")</f>
        <v/>
      </c>
      <c r="GA9" s="229" t="str">
        <f t="shared" si="4"/>
        <v/>
      </c>
      <c r="GB9" s="212" t="str">
        <f t="shared" si="5"/>
        <v/>
      </c>
      <c r="GC9" s="84" t="str">
        <f t="array" ref="GC9">IF(NOT($D$37=6),IFERROR(INDIRECT("'Bloque "&amp;$D$38&amp;" Semana "&amp;"6"&amp;"'"&amp;"!"&amp;"E37"),""),"S6")</f>
        <v/>
      </c>
      <c r="GD9" s="229" t="str">
        <f t="shared" si="6"/>
        <v/>
      </c>
      <c r="GE9" s="212" t="str">
        <f t="shared" si="7"/>
        <v/>
      </c>
      <c r="GF9" s="84" t="str">
        <f t="array" ref="GF9">IF(NOT($D$37=6),IFERROR(INDIRECT("'Bloque "&amp;$D$38&amp;" Semana "&amp;"6"&amp;"'"&amp;"!"&amp;"E37"),""),"S6")</f>
        <v/>
      </c>
      <c r="GG9" s="229" t="str">
        <f t="shared" si="8"/>
        <v/>
      </c>
      <c r="GH9" s="212" t="str">
        <f t="shared" si="9"/>
        <v/>
      </c>
    </row>
    <row r="10" ht="15.0" customHeight="1">
      <c r="B10" s="199"/>
      <c r="I10" s="106"/>
      <c r="J10" s="225"/>
      <c r="T10" s="226"/>
      <c r="W10" s="201"/>
      <c r="AE10" s="203"/>
      <c r="AF10" s="204"/>
      <c r="AG10" s="298" t="s">
        <v>267</v>
      </c>
      <c r="AJ10" s="299"/>
      <c r="AK10" s="300" t="s">
        <v>483</v>
      </c>
      <c r="AN10" s="301"/>
      <c r="AO10" s="300" t="s">
        <v>483</v>
      </c>
      <c r="AR10" s="301"/>
      <c r="AS10" s="300" t="s">
        <v>447</v>
      </c>
      <c r="AV10" s="301"/>
      <c r="AW10" s="300" t="s">
        <v>447</v>
      </c>
      <c r="AZ10" s="301"/>
      <c r="BA10" s="300" t="s">
        <v>447</v>
      </c>
      <c r="BD10" s="301"/>
      <c r="BE10" s="302">
        <f t="shared" si="17"/>
        <v>5.142857143</v>
      </c>
      <c r="BH10" s="303"/>
      <c r="BI10" s="304"/>
      <c r="BL10" s="303"/>
      <c r="BM10" s="305"/>
      <c r="BQ10" s="306"/>
      <c r="BR10" s="307" t="b">
        <v>0</v>
      </c>
      <c r="BS10" s="308" t="str">
        <f t="shared" si="18"/>
        <v/>
      </c>
      <c r="BT10" s="301"/>
      <c r="BU10" s="309" t="b">
        <v>0</v>
      </c>
      <c r="BV10" s="308" t="str">
        <f t="shared" si="19"/>
        <v/>
      </c>
      <c r="BW10" s="310" t="str">
        <f t="shared" si="20"/>
        <v/>
      </c>
      <c r="BZ10" s="283" t="s">
        <v>268</v>
      </c>
      <c r="CA10" s="311">
        <f>IFERROR(IFS(BZ10="BP1", SUMIF($D$40:$D186,"BP1*",AD40:AD186),BZ10="BP2",SUMIF($D$40:$D186,"BP2*",AD40:AD186),$BZ$10="BP3",SUMIF($D$40:$D186,"BP3*",AD40:AD186),BZ10="BP4",SUMIF($D$40:$D186,"BP4*",AD40:AD186),BZ10="BP5",SUMIF($D$40:$D186,"BP5*",AD40:AD186)),"")</f>
        <v>0</v>
      </c>
      <c r="CB10" s="311">
        <f>IFERROR(IFS(BZ10="BP1", SUMIF($D$40:$D186,"BP1*",CC40:CC186),BZ10="BP2",SUMIF($D$40:$D186,"BP2*",CC40:CC186),$BZ$10="BP3",SUMIF($D$40:$D186,"BP3*",CC40:CC186),BZ10="BP4",SUMIF($D$40:$D186,"BP4*",CC40:CC186),BZ10="BP5",SUMIF($D$40:$D186,"BP5*",CC40:CC186)),"")</f>
        <v>0</v>
      </c>
      <c r="CC10" s="312">
        <f>IFERROR(IFS(BZ10="BP1", SUMIF($D$40:$D186,"BP1*",CE40:CE186),BZ10="BP2",SUMIF($D$40:$D186,"BP2*",CE40:CE186),$BZ$10="BP3",SUMIF($D$40:$D186,"BP3*",CE40:CE186),BZ10="BP4",SUMIF($D$40:$D186,"BP4*",CE40:CE186),BZ10="BP5",SUMIF($D$40:$D186,"BP5*",CE40:CE186)),"")</f>
        <v>0</v>
      </c>
      <c r="CD10" s="313" t="str">
        <f>IFERROR(IFS(BZ10="BP1",AVERAGEIF(D40:D186,BZ10,CA40:CH186),BZ10="BP2",AVERAGEIF(D40:D186,BZ10,CA40:CH186),BZ10="BP3",AVERAGEIF(D40:D186,BZ10,CA40:CH186),BZ10="BP4",AVERAGEIF(D40:D186,BZ10,CA40:CH186),BZ10="BP5",AVERAGEIF(D40:D186,BZ10,CA40:CH186)),"")</f>
        <v/>
      </c>
      <c r="CE10" s="314" t="str">
        <f>IFERROR( IFS($CE$8="e1RM Bryzcki", IFS(BZ10="BP1",AVERAGEIF(D40:D186,"SQ1*",CH40:CH186),BZ10="BP2",AVERAGEIF(D40:D186,"BP2*",CH40:CH186),BZ10="BP3",AVERAGEIF(D40:D186,"BP3*",CH40:CH186),BZ10="BP4*",AVERAGEIF(D40:D186,"BP4*",CH40:CH186),BZ10="BP5",AVERAGEIF(D40:D186,"BP5*",CH40:CH186)),$CE$8="e1RM Steve Denovi F1", IFS(BZ10="BP1",AVERAGEIF(D40:D186,"BP1*",CL40:CL186),BZ10="BP2",AVERAGEIF(D40:D186,"BP2*",CL40:CL186),BZ10="BP3",AVERAGEIF(D40:D186,"BP3*",CL40:CL186),BZ10="BP4*",AVERAGEIF(D40:D186,"BP4*",CL40:CL186),BZ10="BP5",AVERAGEIF(D40:D186,"BP5*",CL40:CL186)),$CE$8="e1RM Steve Denovi F2", IFS(BZ10="BP1",AVERAGEIF(D40:D186,"BP1*",CM40:CM186),BZ10="BP2",AVERAGEIF(D40:D186,"BP2*",CM40:CM186),BZ10="BP3",AVERAGEIF(D40:D186,"BP3*",CM40:CM186),BZ10="BP4*",AVERAGEIF(D40:D186,"BP4*",CM40:CM186),BZ10="BP5",AVERAGEIF(D40:D186,"BP5*",CM40:CM186))),"")</f>
        <v/>
      </c>
      <c r="CF10" s="315" t="str">
        <f>IFERROR(IFS($BZ$10="SQ1",AVERAGEIF($D$40:$D186,"BP1*",$CK$40:$CK186),$BZ$10="BP2",AVERAGEIF($D$40:$D186,"BP2*",$CK$40:$CK186),$BZ$10="BP3",AVERAGEIF($D$40:$D186,"BP3*",$CK$40:$CK186),$BZ$10="BP4",AVERAGEIF($D$40:$D186,"BP4*",$CK$40:$CK186),$BZ$10="BP5",AVERAGEIF($D$40:$D186,"BP5*",$CK$40:$CK186)),"")</f>
        <v/>
      </c>
      <c r="CH10" s="289" t="str">
        <f t="array" ref="CH10">IF(NOT($D$37=2),IFERROR(INDIRECT("'Bloque "&amp;$D$38&amp;" Semana "&amp;"2"&amp;"'"&amp;"!"&amp;"E37"),""),"S2")</f>
        <v>S2</v>
      </c>
      <c r="CI10" s="316" t="str">
        <f t="shared" si="21"/>
        <v/>
      </c>
      <c r="CJ10" s="224" t="str">
        <f t="shared" si="22"/>
        <v/>
      </c>
      <c r="CK10" s="85" t="str">
        <f t="shared" si="23"/>
        <v/>
      </c>
      <c r="CL10" s="85">
        <f t="shared" ref="CL10:CL26" si="30">IF(CH10="","", CK10-CK9)</f>
        <v>0</v>
      </c>
      <c r="CM10" s="168" t="str">
        <f t="shared" si="24"/>
        <v/>
      </c>
      <c r="CN10" s="317">
        <f t="shared" ref="CN10:CN26" si="31">IF(CH10="","", CM10-CM9)</f>
        <v>0</v>
      </c>
      <c r="CO10" s="168" t="str">
        <f t="shared" si="25"/>
        <v/>
      </c>
      <c r="CP10" s="168" t="str">
        <f t="shared" si="26"/>
        <v/>
      </c>
      <c r="CQ10" s="294" t="str">
        <f t="shared" si="27"/>
        <v/>
      </c>
      <c r="CR10" s="318">
        <f t="shared" ref="CR10:CR26" si="32">IF(CH10="","", CQ10-CQ9)</f>
        <v>0</v>
      </c>
      <c r="CS10" s="212"/>
      <c r="CT10" s="319"/>
      <c r="DJ10" s="120" t="s">
        <v>21</v>
      </c>
      <c r="DK10" s="320" t="str">
        <f t="shared" ref="DK10:EB10" si="28">IFERROR(INDIRECT("'Bloque "&amp;$D$38&amp;" Semana "&amp;MID(DK9,2,2)&amp;"'"&amp;"!"&amp;"CD15"),"")</f>
        <v/>
      </c>
      <c r="DL10" s="320" t="str">
        <f t="shared" si="28"/>
        <v/>
      </c>
      <c r="DM10" s="320" t="str">
        <f t="shared" si="28"/>
        <v/>
      </c>
      <c r="DN10" s="320" t="str">
        <f t="shared" si="28"/>
        <v/>
      </c>
      <c r="DO10" s="320" t="str">
        <f t="shared" si="28"/>
        <v/>
      </c>
      <c r="DP10" s="320" t="str">
        <f t="shared" si="28"/>
        <v/>
      </c>
      <c r="DQ10" s="320" t="str">
        <f t="shared" si="28"/>
        <v/>
      </c>
      <c r="DR10" s="320" t="str">
        <f t="shared" si="28"/>
        <v/>
      </c>
      <c r="DS10" s="320" t="str">
        <f t="shared" si="28"/>
        <v/>
      </c>
      <c r="DT10" s="320" t="str">
        <f t="shared" si="28"/>
        <v/>
      </c>
      <c r="DU10" s="320" t="str">
        <f t="shared" si="28"/>
        <v/>
      </c>
      <c r="DV10" s="320" t="str">
        <f t="shared" si="28"/>
        <v/>
      </c>
      <c r="DW10" s="320" t="str">
        <f t="shared" si="28"/>
        <v/>
      </c>
      <c r="DX10" s="320" t="str">
        <f t="shared" si="28"/>
        <v/>
      </c>
      <c r="DY10" s="320" t="str">
        <f t="shared" si="28"/>
        <v/>
      </c>
      <c r="DZ10" s="320" t="str">
        <f t="shared" si="28"/>
        <v/>
      </c>
      <c r="EA10" s="320" t="str">
        <f t="shared" si="28"/>
        <v/>
      </c>
      <c r="EB10" s="320" t="str">
        <f t="shared" si="28"/>
        <v/>
      </c>
      <c r="ED10" s="120" t="str">
        <f t="shared" si="11"/>
        <v>Tracción Vertical</v>
      </c>
      <c r="EE10" s="269" t="str">
        <f t="shared" ref="EE10:EV10" si="29">IFERROR(INDIRECT("'Bloque "&amp;$D$38&amp;" Semana "&amp;MID(EE4,2,2)&amp;"'"&amp;"!"&amp;"CC26"),"")</f>
        <v/>
      </c>
      <c r="EF10" s="269" t="str">
        <f t="shared" si="29"/>
        <v/>
      </c>
      <c r="EG10" s="269" t="str">
        <f t="shared" si="29"/>
        <v/>
      </c>
      <c r="EH10" s="269" t="str">
        <f t="shared" si="29"/>
        <v/>
      </c>
      <c r="EI10" s="269" t="str">
        <f t="shared" si="29"/>
        <v/>
      </c>
      <c r="EJ10" s="269" t="str">
        <f t="shared" si="29"/>
        <v/>
      </c>
      <c r="EK10" s="269" t="str">
        <f t="shared" si="29"/>
        <v/>
      </c>
      <c r="EL10" s="269" t="str">
        <f t="shared" si="29"/>
        <v/>
      </c>
      <c r="EM10" s="269" t="str">
        <f t="shared" si="29"/>
        <v/>
      </c>
      <c r="EN10" s="269" t="str">
        <f t="shared" si="29"/>
        <v/>
      </c>
      <c r="EO10" s="269" t="str">
        <f t="shared" si="29"/>
        <v/>
      </c>
      <c r="EP10" s="269" t="str">
        <f t="shared" si="29"/>
        <v/>
      </c>
      <c r="EQ10" s="269" t="str">
        <f t="shared" si="29"/>
        <v/>
      </c>
      <c r="ER10" s="269" t="str">
        <f t="shared" si="29"/>
        <v/>
      </c>
      <c r="ES10" s="269" t="str">
        <f t="shared" si="29"/>
        <v/>
      </c>
      <c r="ET10" s="269" t="str">
        <f t="shared" si="29"/>
        <v/>
      </c>
      <c r="EU10" s="269" t="str">
        <f t="shared" si="29"/>
        <v/>
      </c>
      <c r="EV10" s="269" t="str">
        <f t="shared" si="29"/>
        <v/>
      </c>
      <c r="EX10" s="218">
        <v>7.0</v>
      </c>
      <c r="EY10" s="228">
        <v>0.892</v>
      </c>
      <c r="EZ10" s="228">
        <v>0.863</v>
      </c>
      <c r="FA10" s="228">
        <v>0.837</v>
      </c>
      <c r="FB10" s="228">
        <v>0.811</v>
      </c>
      <c r="FC10" s="228">
        <v>0.786</v>
      </c>
      <c r="FD10" s="228">
        <v>0.762</v>
      </c>
      <c r="FE10" s="228">
        <v>0.739</v>
      </c>
      <c r="FF10" s="228">
        <v>0.707</v>
      </c>
      <c r="FG10" s="228">
        <v>0.68</v>
      </c>
      <c r="FH10" s="228">
        <v>0.653</v>
      </c>
      <c r="FI10" s="228">
        <v>0.626</v>
      </c>
      <c r="FJ10" s="228">
        <v>0.599</v>
      </c>
      <c r="FK10" s="208"/>
      <c r="FL10" s="218">
        <v>7.0</v>
      </c>
      <c r="FM10" s="228">
        <v>0.937</v>
      </c>
      <c r="FN10" s="228">
        <v>0.905</v>
      </c>
      <c r="FO10" s="228">
        <v>0.883</v>
      </c>
      <c r="FP10" s="228">
        <v>0.862</v>
      </c>
      <c r="FQ10" s="228">
        <v>0.841</v>
      </c>
      <c r="FR10" s="228">
        <v>0.821</v>
      </c>
      <c r="FS10" s="228">
        <v>0.801</v>
      </c>
      <c r="FT10" s="228">
        <v>0.782</v>
      </c>
      <c r="FU10" s="228">
        <v>0.763</v>
      </c>
      <c r="FV10" s="228">
        <v>0.744</v>
      </c>
      <c r="FW10" s="228">
        <v>0.726</v>
      </c>
      <c r="FX10" s="228">
        <v>0.709</v>
      </c>
      <c r="FY10" s="228"/>
      <c r="FZ10" s="84" t="str">
        <f t="array" ref="FZ10">IF(NOT($D$37=7),IFERROR(INDIRECT("'Bloque "&amp;$D$38&amp;" Semana "&amp;"7"&amp;"'"&amp;"!"&amp;"E37"),""),"S7")</f>
        <v/>
      </c>
      <c r="GA10" s="229" t="str">
        <f t="shared" si="4"/>
        <v/>
      </c>
      <c r="GB10" s="212" t="str">
        <f t="shared" si="5"/>
        <v/>
      </c>
      <c r="GC10" s="84" t="str">
        <f t="array" ref="GC10">IF(NOT($D$37=7),IFERROR(INDIRECT("'Bloque "&amp;$D$38&amp;" Semana "&amp;"7"&amp;"'"&amp;"!"&amp;"E37"),""),"S7")</f>
        <v/>
      </c>
      <c r="GD10" s="229" t="str">
        <f t="shared" si="6"/>
        <v/>
      </c>
      <c r="GE10" s="212" t="str">
        <f t="shared" si="7"/>
        <v/>
      </c>
      <c r="GF10" s="84" t="str">
        <f t="array" ref="GF10">IF(NOT($D$37=7),IFERROR(INDIRECT("'Bloque "&amp;$D$38&amp;" Semana "&amp;"7"&amp;"'"&amp;"!"&amp;"E37"),""),"S7")</f>
        <v/>
      </c>
      <c r="GG10" s="229" t="str">
        <f t="shared" si="8"/>
        <v/>
      </c>
      <c r="GH10" s="212" t="str">
        <f t="shared" si="9"/>
        <v/>
      </c>
    </row>
    <row r="11" ht="21.75" customHeight="1">
      <c r="B11" s="199"/>
      <c r="I11" s="106"/>
      <c r="J11" s="225"/>
      <c r="T11" s="226"/>
      <c r="W11" s="201"/>
      <c r="AE11" s="203"/>
      <c r="AF11" s="204"/>
      <c r="AG11" s="270" t="s">
        <v>269</v>
      </c>
      <c r="AJ11" s="271"/>
      <c r="AK11" s="272"/>
      <c r="AN11" s="273"/>
      <c r="AO11" s="272"/>
      <c r="AR11" s="273"/>
      <c r="AS11" s="272"/>
      <c r="AV11" s="273"/>
      <c r="AW11" s="272"/>
      <c r="AZ11" s="273"/>
      <c r="BA11" s="272"/>
      <c r="BD11" s="273"/>
      <c r="BE11" s="274" t="str">
        <f t="shared" si="17"/>
        <v/>
      </c>
      <c r="BH11" s="275"/>
      <c r="BI11" s="321"/>
      <c r="BL11" s="275"/>
      <c r="BM11" s="277"/>
      <c r="BQ11" s="278"/>
      <c r="BR11" s="279" t="b">
        <v>0</v>
      </c>
      <c r="BS11" s="280" t="str">
        <f t="shared" si="18"/>
        <v/>
      </c>
      <c r="BT11" s="273"/>
      <c r="BU11" s="281" t="b">
        <v>0</v>
      </c>
      <c r="BV11" s="280" t="str">
        <f t="shared" si="19"/>
        <v/>
      </c>
      <c r="BW11" s="282" t="str">
        <f t="shared" si="20"/>
        <v/>
      </c>
      <c r="BZ11" s="283" t="s">
        <v>270</v>
      </c>
      <c r="CA11" s="322">
        <f>IFERROR(IFS(BZ11="DL1", SUMIF($D$40:$D186,"DL1*",AD40:AD186),BZ11="DL2",SUMIF($D$40:$D186,"DL2*",AD40:AD186),$BZ$11="DL3",SUMIF($D$40:$D186,"DL3*",AD40:AD186),BZ11="DL4",SUMIF($D$40:$D186,"DL4*",AD40:AD186),BZ11="DL5",SUMIF($D$40:$D186,"DL5*",AD40:AD186)),"")</f>
        <v>2</v>
      </c>
      <c r="CB11" s="322">
        <f>IFERROR(IFS(BZ11="DL1", SUMIF($D$40:$D186,"DL1*",CC40:CC186),BZ11="DL2",SUMIF($D$40:$D186,"DL2*",CC40:CC186),$BZ$11="DL3",SUMIF($D$40:$D186,"DL3*",CC40:CC186),BZ11="DL4",SUMIF($D$40:$D186,"DL4*",CC40:CC186),BZ11="DL5",SUMIF($D$40:$D186,"DL5*",CC40:CC186)),"")</f>
        <v>10</v>
      </c>
      <c r="CC11" s="323" t="str">
        <f>IFERROR(IFS(BZ11="DL1", SUMIF($D$40:$D186,"DL1*",CE40:CE186),BZ11="DL2",SUMIF($D$40:$D186,"DL2*",CE40:CE186),$BZ$11="DL3",SUMIF($D$40:$D186,"DL3*",CE40:CE186),BZ11="DL4",SUMIF($D$40:$D186,"DL4*",CE40:CE186),BZ11="DL5",SUMIF($D$40:$D186,"DL5*",CE40:CE186)),"")</f>
        <v/>
      </c>
      <c r="CD11" s="324" t="str">
        <f>IFERROR(IFS(BZ11="DL1",AVERAGEIF(D40:D186,"DL1*",CA40:CH186),BZ11="DL2",AVERAGEIF(D40:D186,"DL2*",CA40:CH186),BZ11="DL3",AVERAGEIF(D40:D186,"DL3*",CA40:CH186),BZ11="DL4",AVERAGEIF(D40:D186,"DL4*",CA40:CH186),BZ11="DL5",AVERAGEIF(D40:D186,"DL5*",CA40:CH186)),"")</f>
        <v/>
      </c>
      <c r="CE11" s="325" t="str">
        <f>IFERROR( IFS($CE$8="e1RM Bryzcki", IFS(BZ11="DL1",AVERAGEIF(D40:D186,"DL1*",CH40:CH186),BZ11="DL2",AVERAGEIF(D40:D186,"DL2*",CH40:CH186),BZ11="DL3",AVERAGEIF(D40:D186,"DL3*",CH40:CH186),BZ11="DL4*",AVERAGEIF(D40:D186,"DL4*",CH40:CH186),BZ11="DL5",AVERAGEIF(D40:D186,"DL5*",CH40:CH186)),$CE$8="e1RM Steve Denovi F1", IFS(BZ11="DL1",AVERAGEIF(D40:D186,"DL1*",CL40:CL186),BZ11="DL2",AVERAGEIF(D40:D186,"DL2*",CL40:CL186),BZ11="DL3",AVERAGEIF(D40:D186,"DL3*",CL40:CL186),BZ11="DL4*",AVERAGEIF(D40:D186,"DL4*",CL40:CL186),BZ11="DL5",AVERAGEIF(D40:D186,"DL5*",CL40:CL186)),$CE$8="e1RM Steve Denovi F2", IFS(BZ11="DL1",AVERAGEIF(D40:D186,"DL1*",CM40:CM186),BZ11="DL2",AVERAGEIF(D40:D186,"DL2*",CM40:CM186),BZ11="DL3",AVERAGEIF(D40:D186,"DL3*",CM40:CM186),BZ11="DL4*",AVERAGEIF(D40:D186,"DL4*",CM40:CM186),BZ11="DL5",AVERAGEIF(D40:D186,"DL5*",CM40:CM186))),"")</f>
        <v/>
      </c>
      <c r="CF11" s="326">
        <f>IFERROR(IFS($BZ$11="DL1",AVERAGEIF($D$40:$D186,"DL1*",$CK$40:$CK186),$BZ$11="DL2",AVERAGEIF($D$40:$D186,"DL2*",$CK$40:$CK186),$BZ$11="DL3",AVERAGEIF($D$40:$D186,"DL3*",$CK$40:$CK186),$BZ$11="DL4",AVERAGEIF($D$40:$D186,"DL4*",$CK$40:$CK186),$BZ$11="DL5",AVERAGEIF($D$40:$D186,"DL5*",$CK$40:$CK186)),"")</f>
        <v>10.75</v>
      </c>
      <c r="CH11" s="289" t="str">
        <f t="array" ref="CH11">IF(NOT($D$37=3),IFERROR(INDIRECT("'Bloque "&amp;$D$38&amp;" Semana "&amp;"3"&amp;"'"&amp;"!"&amp;"E37"),""),"S3")</f>
        <v/>
      </c>
      <c r="CI11" s="316" t="str">
        <f t="shared" si="21"/>
        <v/>
      </c>
      <c r="CJ11" s="224" t="str">
        <f t="shared" si="22"/>
        <v/>
      </c>
      <c r="CK11" s="85" t="str">
        <f t="shared" si="23"/>
        <v/>
      </c>
      <c r="CL11" s="85" t="str">
        <f t="shared" si="30"/>
        <v/>
      </c>
      <c r="CM11" s="168" t="str">
        <f t="shared" si="24"/>
        <v/>
      </c>
      <c r="CN11" s="327" t="str">
        <f t="shared" si="31"/>
        <v/>
      </c>
      <c r="CO11" s="168" t="str">
        <f t="shared" si="25"/>
        <v/>
      </c>
      <c r="CP11" s="168" t="str">
        <f t="shared" si="26"/>
        <v/>
      </c>
      <c r="CQ11" s="294" t="str">
        <f t="shared" si="27"/>
        <v/>
      </c>
      <c r="CR11" s="328" t="str">
        <f t="shared" si="32"/>
        <v/>
      </c>
      <c r="CS11" s="212"/>
      <c r="CT11" s="319"/>
      <c r="DJ11" s="120" t="s">
        <v>36</v>
      </c>
      <c r="DK11" s="320" t="str">
        <f t="shared" ref="DK11:EB11" si="33">IFERROR(INDIRECT("'Bloque "&amp;$D$38&amp;" Semana "&amp;MID(DK9,2,2)&amp;"'"&amp;"!"&amp;"CD16"),"")</f>
        <v/>
      </c>
      <c r="DL11" s="320" t="str">
        <f t="shared" si="33"/>
        <v/>
      </c>
      <c r="DM11" s="320" t="str">
        <f t="shared" si="33"/>
        <v/>
      </c>
      <c r="DN11" s="320" t="str">
        <f t="shared" si="33"/>
        <v/>
      </c>
      <c r="DO11" s="320" t="str">
        <f t="shared" si="33"/>
        <v/>
      </c>
      <c r="DP11" s="320" t="str">
        <f t="shared" si="33"/>
        <v/>
      </c>
      <c r="DQ11" s="320" t="str">
        <f t="shared" si="33"/>
        <v/>
      </c>
      <c r="DR11" s="320" t="str">
        <f t="shared" si="33"/>
        <v/>
      </c>
      <c r="DS11" s="320" t="str">
        <f t="shared" si="33"/>
        <v/>
      </c>
      <c r="DT11" s="320" t="str">
        <f t="shared" si="33"/>
        <v/>
      </c>
      <c r="DU11" s="320" t="str">
        <f t="shared" si="33"/>
        <v/>
      </c>
      <c r="DV11" s="320" t="str">
        <f t="shared" si="33"/>
        <v/>
      </c>
      <c r="DW11" s="320" t="str">
        <f t="shared" si="33"/>
        <v/>
      </c>
      <c r="DX11" s="320" t="str">
        <f t="shared" si="33"/>
        <v/>
      </c>
      <c r="DY11" s="320" t="str">
        <f t="shared" si="33"/>
        <v/>
      </c>
      <c r="DZ11" s="320" t="str">
        <f t="shared" si="33"/>
        <v/>
      </c>
      <c r="EA11" s="320" t="str">
        <f t="shared" si="33"/>
        <v/>
      </c>
      <c r="EB11" s="320" t="str">
        <f t="shared" si="33"/>
        <v/>
      </c>
      <c r="ED11" s="120"/>
      <c r="EE11" s="269"/>
      <c r="EF11" s="269"/>
      <c r="EG11" s="269"/>
      <c r="EH11" s="269"/>
      <c r="EI11" s="269"/>
      <c r="EJ11" s="269"/>
      <c r="EK11" s="269"/>
      <c r="EL11" s="269"/>
      <c r="EM11" s="269"/>
      <c r="EN11" s="269"/>
      <c r="EO11" s="269"/>
      <c r="EP11" s="269"/>
      <c r="EQ11" s="269"/>
      <c r="ER11" s="269"/>
      <c r="ES11" s="269"/>
      <c r="ET11" s="269"/>
      <c r="EU11" s="269"/>
      <c r="EV11" s="269"/>
      <c r="EX11" s="218">
        <v>6.5</v>
      </c>
      <c r="EY11" s="228">
        <v>0.878</v>
      </c>
      <c r="EZ11" s="228">
        <v>0.85</v>
      </c>
      <c r="FA11" s="228">
        <v>0.824</v>
      </c>
      <c r="FB11" s="228">
        <v>0.799</v>
      </c>
      <c r="FC11" s="228">
        <v>0.774</v>
      </c>
      <c r="FD11" s="228">
        <v>0.751</v>
      </c>
      <c r="FE11" s="228">
        <v>0.723</v>
      </c>
      <c r="FF11" s="228">
        <v>0.694</v>
      </c>
      <c r="FG11" s="228">
        <v>0.667</v>
      </c>
      <c r="FH11" s="228">
        <v>0.64</v>
      </c>
      <c r="FI11" s="228">
        <v>0.613</v>
      </c>
      <c r="FJ11" s="228">
        <v>0.586</v>
      </c>
      <c r="FK11" s="208"/>
      <c r="FL11" s="218">
        <v>6.5</v>
      </c>
      <c r="FM11" s="228">
        <v>0.927</v>
      </c>
      <c r="FN11" s="228">
        <v>0.895</v>
      </c>
      <c r="FO11" s="228">
        <v>0.873</v>
      </c>
      <c r="FP11" s="228">
        <v>0.852</v>
      </c>
      <c r="FQ11" s="228">
        <v>0.832</v>
      </c>
      <c r="FR11" s="228">
        <v>0.812</v>
      </c>
      <c r="FS11" s="228">
        <v>0.792</v>
      </c>
      <c r="FT11" s="228">
        <v>0.773</v>
      </c>
      <c r="FU11" s="228">
        <v>0.755</v>
      </c>
      <c r="FV11" s="228">
        <v>0.736</v>
      </c>
      <c r="FW11" s="228">
        <v>0.719</v>
      </c>
      <c r="FX11" s="228">
        <v>0.701</v>
      </c>
      <c r="FY11" s="228"/>
      <c r="FZ11" s="84" t="str">
        <f t="array" ref="FZ11">IF(NOT($D$37=8),IFERROR(INDIRECT("'Bloque "&amp;$D$38&amp;" Semana "&amp;"8"&amp;"'"&amp;"!"&amp;"E37"),""),"S8")</f>
        <v/>
      </c>
      <c r="GA11" s="229" t="str">
        <f t="shared" si="4"/>
        <v/>
      </c>
      <c r="GB11" s="212" t="str">
        <f t="shared" si="5"/>
        <v/>
      </c>
      <c r="GC11" s="84" t="str">
        <f t="array" ref="GC11">IF(NOT($D$37=8),IFERROR(INDIRECT("'Bloque "&amp;$D$38&amp;" Semana "&amp;"8"&amp;"'"&amp;"!"&amp;"E37"),""),"S8")</f>
        <v/>
      </c>
      <c r="GD11" s="229" t="str">
        <f t="shared" si="6"/>
        <v/>
      </c>
      <c r="GE11" s="212" t="str">
        <f t="shared" si="7"/>
        <v/>
      </c>
      <c r="GF11" s="84" t="str">
        <f t="array" ref="GF11">IF(NOT($D$37=8),IFERROR(INDIRECT("'Bloque "&amp;$D$38&amp;" Semana "&amp;"8"&amp;"'"&amp;"!"&amp;"E37"),""),"S8")</f>
        <v/>
      </c>
      <c r="GG11" s="229" t="str">
        <f t="shared" si="8"/>
        <v/>
      </c>
      <c r="GH11" s="212" t="str">
        <f t="shared" si="9"/>
        <v/>
      </c>
    </row>
    <row r="12" ht="15.0" customHeight="1">
      <c r="B12" s="199"/>
      <c r="H12" s="106"/>
      <c r="I12" s="106"/>
      <c r="J12" s="225"/>
      <c r="T12" s="226"/>
      <c r="W12" s="201"/>
      <c r="AE12" s="203"/>
      <c r="AF12" s="204"/>
      <c r="AG12" s="298" t="s">
        <v>271</v>
      </c>
      <c r="AJ12" s="299"/>
      <c r="AK12" s="300" t="s">
        <v>484</v>
      </c>
      <c r="AN12" s="301"/>
      <c r="AO12" s="300"/>
      <c r="AR12" s="301"/>
      <c r="AS12" s="300"/>
      <c r="AV12" s="301"/>
      <c r="AW12" s="300"/>
      <c r="AZ12" s="301"/>
      <c r="BA12" s="300"/>
      <c r="BD12" s="301"/>
      <c r="BE12" s="302">
        <f t="shared" si="17"/>
        <v>2.857142857</v>
      </c>
      <c r="BH12" s="303"/>
      <c r="BI12" s="304"/>
      <c r="BL12" s="303"/>
      <c r="BM12" s="305"/>
      <c r="BQ12" s="306"/>
      <c r="BR12" s="307" t="b">
        <v>0</v>
      </c>
      <c r="BS12" s="308" t="str">
        <f t="shared" si="18"/>
        <v/>
      </c>
      <c r="BT12" s="301"/>
      <c r="BU12" s="309" t="b">
        <v>0</v>
      </c>
      <c r="BV12" s="308" t="str">
        <f t="shared" si="19"/>
        <v/>
      </c>
      <c r="BW12" s="310" t="str">
        <f t="shared" si="20"/>
        <v/>
      </c>
      <c r="BZ12" s="329"/>
      <c r="CF12" s="330"/>
      <c r="CH12" s="289" t="str">
        <f t="array" ref="CH12">IF(NOT($D$37=4),IFERROR(INDIRECT("'Bloque "&amp;$D$38&amp;" Semana "&amp;"4"&amp;"'"&amp;"!"&amp;"E37"),""),"S4")</f>
        <v/>
      </c>
      <c r="CI12" s="316" t="str">
        <f t="shared" si="21"/>
        <v/>
      </c>
      <c r="CJ12" s="224" t="str">
        <f t="shared" si="22"/>
        <v/>
      </c>
      <c r="CK12" s="85" t="str">
        <f t="shared" si="23"/>
        <v/>
      </c>
      <c r="CL12" s="85" t="str">
        <f t="shared" si="30"/>
        <v/>
      </c>
      <c r="CM12" s="168" t="str">
        <f t="shared" si="24"/>
        <v/>
      </c>
      <c r="CN12" s="327" t="str">
        <f t="shared" si="31"/>
        <v/>
      </c>
      <c r="CO12" s="168" t="str">
        <f t="shared" si="25"/>
        <v/>
      </c>
      <c r="CP12" s="168" t="str">
        <f t="shared" si="26"/>
        <v/>
      </c>
      <c r="CQ12" s="294" t="str">
        <f t="shared" si="27"/>
        <v/>
      </c>
      <c r="CR12" s="328" t="str">
        <f t="shared" si="32"/>
        <v/>
      </c>
      <c r="CS12" s="212"/>
      <c r="CT12" s="319"/>
      <c r="DJ12" s="120" t="s">
        <v>42</v>
      </c>
      <c r="DK12" s="320" t="str">
        <f t="shared" ref="DK12:EB12" si="34">IFERROR(INDIRECT("'Bloque "&amp;$D$38&amp;" Semana "&amp;MID(DK9,2,2)&amp;"'"&amp;"!"&amp;"CD17"),"")</f>
        <v/>
      </c>
      <c r="DL12" s="320" t="str">
        <f t="shared" si="34"/>
        <v/>
      </c>
      <c r="DM12" s="320" t="str">
        <f t="shared" si="34"/>
        <v/>
      </c>
      <c r="DN12" s="320" t="str">
        <f t="shared" si="34"/>
        <v/>
      </c>
      <c r="DO12" s="320" t="str">
        <f t="shared" si="34"/>
        <v/>
      </c>
      <c r="DP12" s="320" t="str">
        <f t="shared" si="34"/>
        <v/>
      </c>
      <c r="DQ12" s="320" t="str">
        <f t="shared" si="34"/>
        <v/>
      </c>
      <c r="DR12" s="320" t="str">
        <f t="shared" si="34"/>
        <v/>
      </c>
      <c r="DS12" s="320" t="str">
        <f t="shared" si="34"/>
        <v/>
      </c>
      <c r="DT12" s="320" t="str">
        <f t="shared" si="34"/>
        <v/>
      </c>
      <c r="DU12" s="320" t="str">
        <f t="shared" si="34"/>
        <v/>
      </c>
      <c r="DV12" s="320" t="str">
        <f t="shared" si="34"/>
        <v/>
      </c>
      <c r="DW12" s="320" t="str">
        <f t="shared" si="34"/>
        <v/>
      </c>
      <c r="DX12" s="320" t="str">
        <f t="shared" si="34"/>
        <v/>
      </c>
      <c r="DY12" s="320" t="str">
        <f t="shared" si="34"/>
        <v/>
      </c>
      <c r="DZ12" s="320" t="str">
        <f t="shared" si="34"/>
        <v/>
      </c>
      <c r="EA12" s="320" t="str">
        <f t="shared" si="34"/>
        <v/>
      </c>
      <c r="EB12" s="320" t="str">
        <f t="shared" si="34"/>
        <v/>
      </c>
      <c r="ED12" s="120"/>
      <c r="EE12" s="269"/>
      <c r="EF12" s="269"/>
      <c r="EG12" s="269"/>
      <c r="EH12" s="269"/>
      <c r="EI12" s="269"/>
      <c r="EJ12" s="269"/>
      <c r="EK12" s="269"/>
      <c r="EL12" s="269"/>
      <c r="EM12" s="269"/>
      <c r="EN12" s="269"/>
      <c r="EO12" s="269"/>
      <c r="EP12" s="269"/>
      <c r="EQ12" s="269"/>
      <c r="ER12" s="269"/>
      <c r="ES12" s="269"/>
      <c r="ET12" s="269"/>
      <c r="EU12" s="269"/>
      <c r="EV12" s="269"/>
      <c r="EX12" s="218">
        <v>6.0</v>
      </c>
      <c r="EY12" s="228">
        <v>0.863</v>
      </c>
      <c r="EZ12" s="228">
        <v>0.837</v>
      </c>
      <c r="FA12" s="228">
        <v>0.811</v>
      </c>
      <c r="FB12" s="228">
        <v>0.786</v>
      </c>
      <c r="FC12" s="228">
        <v>0.762</v>
      </c>
      <c r="FD12" s="228">
        <v>0.739</v>
      </c>
      <c r="FE12" s="228">
        <v>0.707</v>
      </c>
      <c r="FF12" s="228">
        <v>0.68</v>
      </c>
      <c r="FG12" s="228">
        <v>0.653</v>
      </c>
      <c r="FH12" s="228">
        <v>0.626</v>
      </c>
      <c r="FI12" s="228">
        <v>0.599</v>
      </c>
      <c r="FJ12" s="228">
        <v>0.572</v>
      </c>
      <c r="FK12" s="208"/>
      <c r="FL12" s="218">
        <v>6.0</v>
      </c>
      <c r="FM12" s="228">
        <v>0.918</v>
      </c>
      <c r="FN12" s="228">
        <v>0.885</v>
      </c>
      <c r="FO12" s="228">
        <v>0.864</v>
      </c>
      <c r="FP12" s="228">
        <v>0.843</v>
      </c>
      <c r="FQ12" s="228">
        <v>0.823</v>
      </c>
      <c r="FR12" s="228">
        <v>0.803</v>
      </c>
      <c r="FS12" s="228">
        <v>0.784</v>
      </c>
      <c r="FT12" s="228">
        <v>0.765</v>
      </c>
      <c r="FU12" s="228">
        <v>0.747</v>
      </c>
      <c r="FV12" s="228">
        <v>0.729</v>
      </c>
      <c r="FW12" s="228">
        <v>0.711</v>
      </c>
      <c r="FX12" s="228">
        <v>0.694</v>
      </c>
      <c r="FY12" s="228"/>
      <c r="FZ12" s="84" t="str">
        <f t="array" ref="FZ12">IF(NOT($D$37=9),IFERROR(INDIRECT("'Bloque "&amp;$D$38&amp;" Semana "&amp;"9"&amp;"'"&amp;"!"&amp;"E37"),""),"S9")</f>
        <v/>
      </c>
      <c r="GA12" s="229" t="str">
        <f t="shared" si="4"/>
        <v/>
      </c>
      <c r="GB12" s="212" t="str">
        <f t="shared" si="5"/>
        <v/>
      </c>
      <c r="GC12" s="84" t="str">
        <f t="array" ref="GC12">IF(NOT($D$37=9),IFERROR(INDIRECT("'Bloque "&amp;$D$38&amp;" Semana "&amp;"9"&amp;"'"&amp;"!"&amp;"E37"),""),"S9")</f>
        <v/>
      </c>
      <c r="GD12" s="229" t="str">
        <f t="shared" si="6"/>
        <v/>
      </c>
      <c r="GE12" s="212" t="str">
        <f t="shared" si="7"/>
        <v/>
      </c>
      <c r="GF12" s="84" t="str">
        <f t="array" ref="GF12">IF(NOT($D$37=9),IFERROR(INDIRECT("'Bloque "&amp;$D$38&amp;" Semana "&amp;"9"&amp;"'"&amp;"!"&amp;"E37"),""),"S9")</f>
        <v/>
      </c>
      <c r="GG12" s="229" t="str">
        <f t="shared" si="8"/>
        <v/>
      </c>
      <c r="GH12" s="212" t="str">
        <f t="shared" si="9"/>
        <v/>
      </c>
    </row>
    <row r="13" ht="25.5" customHeight="1">
      <c r="B13" s="199"/>
      <c r="E13" s="331" t="s">
        <v>272</v>
      </c>
      <c r="F13" s="332" t="s">
        <v>3</v>
      </c>
      <c r="H13" s="106"/>
      <c r="I13" s="106"/>
      <c r="J13" s="225"/>
      <c r="T13" s="226"/>
      <c r="W13" s="201"/>
      <c r="AE13" s="203"/>
      <c r="AF13" s="204"/>
      <c r="AG13" s="270" t="s">
        <v>273</v>
      </c>
      <c r="AJ13" s="271"/>
      <c r="AK13" s="272" t="s">
        <v>483</v>
      </c>
      <c r="AN13" s="273"/>
      <c r="AO13" s="272"/>
      <c r="AR13" s="273"/>
      <c r="AS13" s="272"/>
      <c r="AV13" s="273"/>
      <c r="AW13" s="272"/>
      <c r="AZ13" s="273"/>
      <c r="BA13" s="272"/>
      <c r="BD13" s="273"/>
      <c r="BE13" s="274">
        <f t="shared" si="17"/>
        <v>4.285714286</v>
      </c>
      <c r="BH13" s="275"/>
      <c r="BI13" s="321"/>
      <c r="BL13" s="275"/>
      <c r="BM13" s="277"/>
      <c r="BQ13" s="278"/>
      <c r="BR13" s="279" t="b">
        <v>0</v>
      </c>
      <c r="BS13" s="280" t="str">
        <f t="shared" si="18"/>
        <v/>
      </c>
      <c r="BT13" s="273"/>
      <c r="BU13" s="281" t="b">
        <v>0</v>
      </c>
      <c r="BV13" s="280" t="str">
        <f t="shared" si="19"/>
        <v/>
      </c>
      <c r="BW13" s="282" t="str">
        <f t="shared" si="20"/>
        <v/>
      </c>
      <c r="BZ13" s="333" t="s">
        <v>274</v>
      </c>
      <c r="CA13" s="210"/>
      <c r="CB13" s="210"/>
      <c r="CC13" s="334"/>
      <c r="CD13" s="334"/>
      <c r="CE13" s="334"/>
      <c r="CF13" s="335"/>
      <c r="CG13" s="245"/>
      <c r="CH13" s="289" t="str">
        <f t="array" ref="CH13">IF(NOT($D$37=5),IFERROR(INDIRECT("'Bloque "&amp;$D$38&amp;" Semana "&amp;"5"&amp;"'"&amp;"!"&amp;"E37"),""),"S5")</f>
        <v/>
      </c>
      <c r="CI13" s="316" t="str">
        <f t="shared" si="21"/>
        <v/>
      </c>
      <c r="CJ13" s="224" t="str">
        <f t="shared" si="22"/>
        <v/>
      </c>
      <c r="CK13" s="85" t="str">
        <f t="shared" si="23"/>
        <v/>
      </c>
      <c r="CL13" s="85" t="str">
        <f t="shared" si="30"/>
        <v/>
      </c>
      <c r="CM13" s="168" t="str">
        <f t="shared" si="24"/>
        <v/>
      </c>
      <c r="CN13" s="327" t="str">
        <f t="shared" si="31"/>
        <v/>
      </c>
      <c r="CO13" s="168" t="str">
        <f t="shared" si="25"/>
        <v/>
      </c>
      <c r="CP13" s="168" t="str">
        <f t="shared" si="26"/>
        <v/>
      </c>
      <c r="CQ13" s="294" t="str">
        <f t="shared" si="27"/>
        <v/>
      </c>
      <c r="CR13" s="328" t="str">
        <f t="shared" si="32"/>
        <v/>
      </c>
      <c r="CS13" s="212"/>
      <c r="CT13" s="319"/>
      <c r="ED13" s="120"/>
      <c r="EE13" s="269"/>
      <c r="EF13" s="269"/>
      <c r="EG13" s="269"/>
      <c r="EH13" s="269"/>
      <c r="EI13" s="269"/>
      <c r="EJ13" s="269"/>
      <c r="EK13" s="269"/>
      <c r="EL13" s="269"/>
      <c r="EM13" s="269"/>
      <c r="EN13" s="269"/>
      <c r="EO13" s="269"/>
      <c r="EP13" s="269"/>
      <c r="EQ13" s="269"/>
      <c r="ER13" s="269"/>
      <c r="ES13" s="269"/>
      <c r="ET13" s="269"/>
      <c r="EU13" s="269"/>
      <c r="EV13" s="269"/>
      <c r="EX13" s="218">
        <v>5.5</v>
      </c>
      <c r="EY13" s="228">
        <v>0.85</v>
      </c>
      <c r="EZ13" s="228">
        <v>0.824</v>
      </c>
      <c r="FA13" s="228">
        <v>0.799</v>
      </c>
      <c r="FB13" s="228">
        <v>0.774</v>
      </c>
      <c r="FC13" s="228">
        <v>0.751</v>
      </c>
      <c r="FD13" s="228">
        <v>0.723</v>
      </c>
      <c r="FE13" s="228">
        <v>0.694</v>
      </c>
      <c r="FF13" s="228">
        <v>0.667</v>
      </c>
      <c r="FG13" s="228">
        <v>0.64</v>
      </c>
      <c r="FH13" s="228">
        <v>0.613</v>
      </c>
      <c r="FI13" s="228">
        <v>0.586</v>
      </c>
      <c r="FJ13" s="228">
        <v>0.558</v>
      </c>
      <c r="FK13" s="208"/>
      <c r="FL13" s="218">
        <v>5.5</v>
      </c>
      <c r="FM13" s="228">
        <v>0.908</v>
      </c>
      <c r="FN13" s="228">
        <v>0.876</v>
      </c>
      <c r="FO13" s="228">
        <v>0.855</v>
      </c>
      <c r="FP13" s="228">
        <v>0.834</v>
      </c>
      <c r="FQ13" s="228">
        <v>0.814</v>
      </c>
      <c r="FR13" s="228">
        <v>0.795</v>
      </c>
      <c r="FS13" s="228">
        <v>0.775</v>
      </c>
      <c r="FT13" s="228">
        <v>0.757</v>
      </c>
      <c r="FU13" s="228">
        <v>0.739</v>
      </c>
      <c r="FV13" s="228">
        <v>0.721</v>
      </c>
      <c r="FW13" s="228">
        <v>0.703</v>
      </c>
      <c r="FX13" s="228">
        <v>0.686</v>
      </c>
      <c r="FY13" s="228"/>
      <c r="FZ13" s="84" t="str">
        <f t="array" ref="FZ13">IF(NOT($D$37=10),IFERROR(INDIRECT("'Bloque "&amp;$D$38&amp;" Semana "&amp;"10"&amp;"'"&amp;"!"&amp;"E37"),""),"S10")</f>
        <v/>
      </c>
      <c r="GA13" s="229" t="str">
        <f t="shared" si="4"/>
        <v/>
      </c>
      <c r="GB13" s="212" t="str">
        <f t="shared" si="5"/>
        <v/>
      </c>
      <c r="GC13" s="84" t="str">
        <f t="array" ref="GC13">IF(NOT($D$37=10),IFERROR(INDIRECT("'Bloque "&amp;$D$38&amp;" Semana "&amp;"10"&amp;"'"&amp;"!"&amp;"E37"),""),"S10")</f>
        <v/>
      </c>
      <c r="GD13" s="229" t="str">
        <f t="shared" si="6"/>
        <v/>
      </c>
      <c r="GE13" s="212" t="str">
        <f t="shared" si="7"/>
        <v/>
      </c>
      <c r="GF13" s="84" t="str">
        <f t="array" ref="GF13">IF(NOT($D$37=10),IFERROR(INDIRECT("'Bloque "&amp;$D$38&amp;" Semana "&amp;"10"&amp;"'"&amp;"!"&amp;"E37"),""),"S10")</f>
        <v/>
      </c>
      <c r="GG13" s="229" t="str">
        <f t="shared" si="8"/>
        <v/>
      </c>
      <c r="GH13" s="212" t="str">
        <f t="shared" si="9"/>
        <v/>
      </c>
    </row>
    <row r="14" ht="27.75" customHeight="1">
      <c r="B14" s="199"/>
      <c r="E14" s="336" t="s">
        <v>21</v>
      </c>
      <c r="F14" s="337">
        <v>180.0</v>
      </c>
      <c r="H14" s="106"/>
      <c r="I14" s="106"/>
      <c r="J14" s="225"/>
      <c r="T14" s="226"/>
      <c r="W14" s="338"/>
      <c r="AE14" s="203"/>
      <c r="AF14" s="204"/>
      <c r="AG14" s="298" t="s">
        <v>275</v>
      </c>
      <c r="AJ14" s="299"/>
      <c r="AK14" s="300" t="s">
        <v>483</v>
      </c>
      <c r="AN14" s="301"/>
      <c r="AO14" s="300"/>
      <c r="AR14" s="301"/>
      <c r="AS14" s="300"/>
      <c r="AV14" s="301"/>
      <c r="AW14" s="300"/>
      <c r="AZ14" s="301"/>
      <c r="BA14" s="300"/>
      <c r="BD14" s="301"/>
      <c r="BE14" s="302">
        <f t="shared" si="17"/>
        <v>4.285714286</v>
      </c>
      <c r="BH14" s="303"/>
      <c r="BI14" s="304"/>
      <c r="BL14" s="303"/>
      <c r="BM14" s="305"/>
      <c r="BQ14" s="306"/>
      <c r="BR14" s="307" t="b">
        <v>0</v>
      </c>
      <c r="BS14" s="308" t="str">
        <f t="shared" si="18"/>
        <v/>
      </c>
      <c r="BT14" s="301"/>
      <c r="BU14" s="309" t="b">
        <v>0</v>
      </c>
      <c r="BV14" s="308" t="str">
        <f t="shared" si="19"/>
        <v/>
      </c>
      <c r="BW14" s="310" t="str">
        <f t="shared" si="20"/>
        <v/>
      </c>
      <c r="BZ14" s="261" t="s">
        <v>246</v>
      </c>
      <c r="CA14" s="83" t="s">
        <v>247</v>
      </c>
      <c r="CB14" s="83" t="s">
        <v>248</v>
      </c>
      <c r="CC14" s="83" t="s">
        <v>224</v>
      </c>
      <c r="CD14" s="83" t="s">
        <v>249</v>
      </c>
      <c r="CE14" s="83" t="s">
        <v>276</v>
      </c>
      <c r="CF14" s="339" t="s">
        <v>251</v>
      </c>
      <c r="CH14" s="289" t="str">
        <f t="array" ref="CH14">IF(NOT($D$37=6),IFERROR(INDIRECT("'Bloque "&amp;$D$38&amp;" Semana "&amp;"6"&amp;"'"&amp;"!"&amp;"E37"),""),"S6")</f>
        <v/>
      </c>
      <c r="CI14" s="316" t="str">
        <f t="shared" si="21"/>
        <v/>
      </c>
      <c r="CJ14" s="224" t="str">
        <f t="shared" si="22"/>
        <v/>
      </c>
      <c r="CK14" s="85" t="str">
        <f t="shared" si="23"/>
        <v/>
      </c>
      <c r="CL14" s="85" t="str">
        <f t="shared" si="30"/>
        <v/>
      </c>
      <c r="CM14" s="168" t="str">
        <f t="shared" si="24"/>
        <v/>
      </c>
      <c r="CN14" s="327" t="str">
        <f t="shared" si="31"/>
        <v/>
      </c>
      <c r="CO14" s="168" t="str">
        <f t="shared" si="25"/>
        <v/>
      </c>
      <c r="CP14" s="168" t="str">
        <f t="shared" si="26"/>
        <v/>
      </c>
      <c r="CQ14" s="294" t="str">
        <f t="shared" si="27"/>
        <v/>
      </c>
      <c r="CR14" s="328" t="str">
        <f t="shared" si="32"/>
        <v/>
      </c>
      <c r="CS14" s="212"/>
      <c r="CT14" s="319"/>
      <c r="DJ14" s="107" t="s">
        <v>111</v>
      </c>
      <c r="DK14" s="108"/>
      <c r="DL14" s="108"/>
      <c r="DM14" s="108"/>
      <c r="DN14" s="108"/>
      <c r="DO14" s="108"/>
      <c r="DP14" s="108"/>
      <c r="DQ14" s="108"/>
      <c r="DR14" s="108"/>
      <c r="DS14" s="108"/>
      <c r="DT14" s="108"/>
      <c r="DU14" s="108"/>
      <c r="DV14" s="108"/>
      <c r="DW14" s="108"/>
      <c r="DX14" s="108"/>
      <c r="DY14" s="108"/>
      <c r="DZ14" s="108"/>
      <c r="EA14" s="108"/>
      <c r="EB14" s="108"/>
      <c r="ED14" s="120"/>
      <c r="EE14" s="269"/>
      <c r="EF14" s="269"/>
      <c r="EG14" s="269"/>
      <c r="EH14" s="269"/>
      <c r="EI14" s="269"/>
      <c r="EJ14" s="269"/>
      <c r="EK14" s="269"/>
      <c r="EL14" s="269"/>
      <c r="EM14" s="269"/>
      <c r="EN14" s="269"/>
      <c r="EO14" s="269"/>
      <c r="EP14" s="269"/>
      <c r="EQ14" s="269"/>
      <c r="ER14" s="269"/>
      <c r="ES14" s="269"/>
      <c r="ET14" s="269"/>
      <c r="EU14" s="269"/>
      <c r="EV14" s="269"/>
      <c r="EX14" s="218">
        <v>5.0</v>
      </c>
      <c r="EY14" s="228">
        <v>0.837</v>
      </c>
      <c r="EZ14" s="228">
        <v>0.511</v>
      </c>
      <c r="FA14" s="228">
        <v>0.786</v>
      </c>
      <c r="FB14" s="228">
        <v>0.762</v>
      </c>
      <c r="FC14" s="228">
        <v>0.739</v>
      </c>
      <c r="FD14" s="228">
        <v>0.707</v>
      </c>
      <c r="FE14" s="228">
        <v>0.68</v>
      </c>
      <c r="FF14" s="228">
        <v>0.653</v>
      </c>
      <c r="FG14" s="228">
        <v>0.626</v>
      </c>
      <c r="FH14" s="228">
        <v>0.599</v>
      </c>
      <c r="FI14" s="228">
        <v>0.572</v>
      </c>
      <c r="FJ14" s="228">
        <v>0.544</v>
      </c>
      <c r="FK14" s="208"/>
      <c r="FL14" s="218">
        <v>5.0</v>
      </c>
      <c r="FM14" s="228">
        <v>0.898</v>
      </c>
      <c r="FN14" s="228">
        <v>0.867</v>
      </c>
      <c r="FO14" s="228">
        <v>0.846</v>
      </c>
      <c r="FP14" s="228">
        <v>0.825</v>
      </c>
      <c r="FQ14" s="228">
        <v>0.805</v>
      </c>
      <c r="FR14" s="228">
        <v>0.786</v>
      </c>
      <c r="FS14" s="228">
        <v>0.767</v>
      </c>
      <c r="FT14" s="228">
        <v>0.749</v>
      </c>
      <c r="FU14" s="228">
        <v>0.731</v>
      </c>
      <c r="FV14" s="228">
        <v>0.713</v>
      </c>
      <c r="FW14" s="228">
        <v>0.696</v>
      </c>
      <c r="FX14" s="228">
        <v>0.679</v>
      </c>
      <c r="FY14" s="228"/>
      <c r="FZ14" s="84" t="str">
        <f t="array" ref="FZ14">IF(NOT($D$37=11),IFERROR(INDIRECT("'Bloque "&amp;$D$38&amp;" Semana "&amp;"11"&amp;"'"&amp;"!"&amp;"E37"),""),"S11")</f>
        <v/>
      </c>
      <c r="GA14" s="229" t="str">
        <f t="shared" si="4"/>
        <v/>
      </c>
      <c r="GB14" s="212" t="str">
        <f t="shared" si="5"/>
        <v/>
      </c>
      <c r="GC14" s="84" t="str">
        <f t="array" ref="GC14">IF(NOT($D$37=11),IFERROR(INDIRECT("'Bloque "&amp;$D$38&amp;" Semana "&amp;"11"&amp;"'"&amp;"!"&amp;"E37"),""),"S11")</f>
        <v/>
      </c>
      <c r="GD14" s="229" t="str">
        <f t="shared" si="6"/>
        <v/>
      </c>
      <c r="GE14" s="212" t="str">
        <f t="shared" si="7"/>
        <v/>
      </c>
      <c r="GF14" s="84" t="str">
        <f t="array" ref="GF14">IF(NOT($D$37=11),IFERROR(INDIRECT("'Bloque "&amp;$D$38&amp;" Semana "&amp;"11"&amp;"'"&amp;"!"&amp;"E37"),""),"S11")</f>
        <v/>
      </c>
      <c r="GG14" s="229" t="str">
        <f t="shared" si="8"/>
        <v/>
      </c>
      <c r="GH14" s="212" t="str">
        <f t="shared" si="9"/>
        <v/>
      </c>
    </row>
    <row r="15" ht="32.25" customHeight="1">
      <c r="B15" s="199"/>
      <c r="E15" s="336" t="s">
        <v>36</v>
      </c>
      <c r="F15" s="337">
        <v>115.0</v>
      </c>
      <c r="H15" s="106"/>
      <c r="I15" s="106"/>
      <c r="J15" s="225"/>
      <c r="T15" s="226"/>
      <c r="W15" s="201"/>
      <c r="AE15" s="203"/>
      <c r="AF15" s="204"/>
      <c r="AG15" s="270" t="s">
        <v>277</v>
      </c>
      <c r="AJ15" s="271"/>
      <c r="AK15" s="272" t="s">
        <v>561</v>
      </c>
      <c r="AN15" s="273"/>
      <c r="AO15" s="272"/>
      <c r="AR15" s="273"/>
      <c r="AS15" s="272"/>
      <c r="AV15" s="273"/>
      <c r="AW15" s="272"/>
      <c r="AZ15" s="273"/>
      <c r="BA15" s="272"/>
      <c r="BD15" s="273"/>
      <c r="BE15" s="274">
        <f t="shared" si="17"/>
        <v>1.428571429</v>
      </c>
      <c r="BH15" s="275"/>
      <c r="BI15" s="321"/>
      <c r="BL15" s="275"/>
      <c r="BM15" s="277"/>
      <c r="BQ15" s="278"/>
      <c r="BR15" s="340" t="b">
        <v>0</v>
      </c>
      <c r="BS15" s="341" t="str">
        <f t="shared" si="18"/>
        <v/>
      </c>
      <c r="BT15" s="342"/>
      <c r="BU15" s="343" t="b">
        <v>0</v>
      </c>
      <c r="BV15" s="341" t="str">
        <f t="shared" si="19"/>
        <v/>
      </c>
      <c r="BW15" s="344" t="str">
        <f t="shared" si="20"/>
        <v/>
      </c>
      <c r="BZ15" s="345" t="s">
        <v>21</v>
      </c>
      <c r="CA15" s="284">
        <f>SUMIF(D40:D186,"SQ*",AD40:AD186)</f>
        <v>7</v>
      </c>
      <c r="CB15" s="284">
        <f>SUMIF(D40:D186,"SQ*",CC40:CC186)</f>
        <v>27</v>
      </c>
      <c r="CC15" s="285">
        <f>SUMIF(D40:D186,"SQ*",CE40:CE186)</f>
        <v>3905</v>
      </c>
      <c r="CD15" s="286">
        <f>IFERROR( AVERAGEIF(D40:D186,"SQ*",CA40:CA186),"")</f>
        <v>0.7916666667</v>
      </c>
      <c r="CE15" s="287">
        <f>IFERROR( IFS($CE$14="e1RM Bryzcki",MAXIFS(CH40:CH186,D40:D186,"SQ*"),$CE$14="e1RM Steve Denovi F1",MAXIFS(CL40:CL186,D40:D186,"SQ*"),$CE$14="e1RM Steve Denovi F2",MAXIFS(CM40:CM186,D40:D186,"SQ*")),"")</f>
        <v>171.8022611</v>
      </c>
      <c r="CF15" s="346">
        <f>IFERROR( AVERAGEIF($D$40:$D186,"SQ*",$CK$40:$CK186),"")</f>
        <v>9.4</v>
      </c>
      <c r="CH15" s="289" t="str">
        <f t="array" ref="CH15">IF(NOT($D$37=7),IFERROR(INDIRECT("'Bloque "&amp;$D$38&amp;" Semana "&amp;"7"&amp;"'"&amp;"!"&amp;"E37"),""),"S7")</f>
        <v/>
      </c>
      <c r="CI15" s="316" t="str">
        <f t="shared" si="21"/>
        <v/>
      </c>
      <c r="CJ15" s="224" t="str">
        <f t="shared" si="22"/>
        <v/>
      </c>
      <c r="CK15" s="85" t="str">
        <f t="shared" si="23"/>
        <v/>
      </c>
      <c r="CL15" s="85" t="str">
        <f t="shared" si="30"/>
        <v/>
      </c>
      <c r="CM15" s="168" t="str">
        <f t="shared" si="24"/>
        <v/>
      </c>
      <c r="CN15" s="327" t="str">
        <f t="shared" si="31"/>
        <v/>
      </c>
      <c r="CO15" s="168" t="str">
        <f t="shared" si="25"/>
        <v/>
      </c>
      <c r="CP15" s="168" t="str">
        <f t="shared" si="26"/>
        <v/>
      </c>
      <c r="CQ15" s="294" t="str">
        <f t="shared" si="27"/>
        <v/>
      </c>
      <c r="CR15" s="328" t="str">
        <f t="shared" si="32"/>
        <v/>
      </c>
      <c r="CS15" s="212"/>
      <c r="CT15" s="319"/>
      <c r="DJ15" s="83"/>
      <c r="DK15" s="227" t="str">
        <f t="array" ref="DK15">IF(NOT($D$37=1),IFERROR(INDIRECT("'Bloque "&amp;$D$38&amp;" Semana "&amp;"1"&amp;"'"&amp;"!"&amp;"E37"),""),"S1")</f>
        <v/>
      </c>
      <c r="DL15" s="227" t="str">
        <f t="array" ref="DL15">IF(NOT($D$37=2),IFERROR(INDIRECT("'Bloque "&amp;$D$38&amp;" Semana "&amp;"2"&amp;"'"&amp;"!"&amp;"E37"),""),"S2")</f>
        <v>S2</v>
      </c>
      <c r="DM15" s="227" t="str">
        <f t="array" ref="DM15">IF(NOT($D$37=3),IFERROR(INDIRECT("'Bloque "&amp;$D$38&amp;" Semana "&amp;"3"&amp;"'"&amp;"!"&amp;"E37"),""),"S3")</f>
        <v/>
      </c>
      <c r="DN15" s="227" t="str">
        <f t="array" ref="DN15">IF(NOT($D$37=4),IFERROR(INDIRECT("'Bloque "&amp;$D$38&amp;" Semana "&amp;"4"&amp;"'"&amp;"!"&amp;"E37"),""),"S4")</f>
        <v/>
      </c>
      <c r="DO15" s="227" t="str">
        <f t="array" ref="DO15">IF(NOT($D$37=5),IFERROR(INDIRECT("'Bloque "&amp;$D$38&amp;" Semana "&amp;"5"&amp;"'"&amp;"!"&amp;"E37"),""),"S5")</f>
        <v/>
      </c>
      <c r="DP15" s="227" t="str">
        <f t="array" ref="DP15">IF(NOT($D$37=6),IFERROR(INDIRECT("'Bloque "&amp;$D$38&amp;" Semana "&amp;"6"&amp;"'"&amp;"!"&amp;"E37"),""),"S6")</f>
        <v/>
      </c>
      <c r="DQ15" s="227" t="str">
        <f t="array" ref="DQ15">IF(NOT($D$37=7),IFERROR(INDIRECT("'Bloque "&amp;$D$38&amp;" Semana "&amp;"7"&amp;"'"&amp;"!"&amp;"E37"),""),"S7")</f>
        <v/>
      </c>
      <c r="DR15" s="227" t="str">
        <f t="array" ref="DR15">IF(NOT($D$37=8),IFERROR(INDIRECT("'Bloque "&amp;$D$38&amp;" Semana "&amp;"8"&amp;"'"&amp;"!"&amp;"E37"),""),"S8")</f>
        <v/>
      </c>
      <c r="DS15" s="227" t="str">
        <f t="array" ref="DS15">IF(NOT($D$37=9),IFERROR(INDIRECT("'Bloque "&amp;$D$38&amp;" Semana "&amp;"9"&amp;"'"&amp;"!"&amp;"E37"),""),"S9")</f>
        <v/>
      </c>
      <c r="DT15" s="227" t="str">
        <f t="array" ref="DT15">IF(NOT($D$37=10),IFERROR(INDIRECT("'Bloque "&amp;$D$38&amp;" Semana "&amp;"10"&amp;"'"&amp;"!"&amp;"E37"),""),"S10")</f>
        <v/>
      </c>
      <c r="DU15" s="227" t="str">
        <f t="array" ref="DU15">IF(NOT($D$37=11),IFERROR(INDIRECT("'Bloque "&amp;$D$38&amp;" Semana "&amp;"11"&amp;"'"&amp;"!"&amp;"E37"),""),"S11")</f>
        <v/>
      </c>
      <c r="DV15" s="227" t="str">
        <f t="array" ref="DV15">IF(NOT($D$37=12),IFERROR(INDIRECT("'Bloque "&amp;$D$38&amp;" Semana "&amp;"12"&amp;"'"&amp;"!"&amp;"E37"),""),"S12")</f>
        <v/>
      </c>
      <c r="DW15" s="227" t="str">
        <f t="array" ref="DW15">IF(NOT($D$37=13),IFERROR(INDIRECT("'Bloque "&amp;$D$38&amp;" Semana "&amp;"13"&amp;"'"&amp;"!"&amp;"E37"),""),"S13")</f>
        <v/>
      </c>
      <c r="DX15" s="227" t="str">
        <f t="array" ref="DX15">IF(NOT($D$37=14),IFERROR(INDIRECT("'Bloque "&amp;$D$38&amp;" Semana "&amp;"14"&amp;"'"&amp;"!"&amp;"E37"),""),"S14")</f>
        <v/>
      </c>
      <c r="DY15" s="227" t="str">
        <f t="array" ref="DY15">IF(NOT($D$37=15),IFERROR(INDIRECT("'Bloque "&amp;$D$38&amp;" Semana "&amp;"15"&amp;"'"&amp;"!"&amp;"E37"),""),"S15")</f>
        <v/>
      </c>
      <c r="DZ15" s="227" t="str">
        <f t="array" ref="DZ15">IF(NOT($D$37=16),IFERROR(INDIRECT("'Bloque "&amp;$D$38&amp;" Semana "&amp;"16"&amp;"'"&amp;"!"&amp;"E37"),""),"S16")</f>
        <v/>
      </c>
      <c r="EA15" s="227" t="str">
        <f t="array" ref="EA15">IF(NOT($D$37=17),IFERROR(INDIRECT("'Bloque "&amp;$D$38&amp;" Semana "&amp;"17"&amp;"'"&amp;"!"&amp;"E37"),""),"S17")</f>
        <v/>
      </c>
      <c r="EB15" s="227" t="str">
        <f t="array" ref="EB15">IF(NOT($D$37=18),IFERROR(INDIRECT("'Bloque "&amp;$D$38&amp;" Semana "&amp;"18"&amp;"'"&amp;"!"&amp;"E37"),""),"S18")</f>
        <v/>
      </c>
      <c r="ED15" s="120"/>
      <c r="EE15" s="269"/>
      <c r="EF15" s="269"/>
      <c r="EG15" s="269"/>
      <c r="EH15" s="269"/>
      <c r="EI15" s="269"/>
      <c r="EJ15" s="269"/>
      <c r="EK15" s="269"/>
      <c r="EL15" s="269"/>
      <c r="EM15" s="269"/>
      <c r="EN15" s="269"/>
      <c r="EO15" s="269"/>
      <c r="EP15" s="269"/>
      <c r="EQ15" s="269"/>
      <c r="ER15" s="269"/>
      <c r="ES15" s="269"/>
      <c r="ET15" s="269"/>
      <c r="EU15" s="269"/>
      <c r="EV15" s="269"/>
      <c r="EX15" s="218">
        <v>4.5</v>
      </c>
      <c r="EY15" s="228">
        <v>0.824</v>
      </c>
      <c r="EZ15" s="228">
        <v>0.799</v>
      </c>
      <c r="FA15" s="228">
        <v>0.774</v>
      </c>
      <c r="FB15" s="228">
        <v>0.751</v>
      </c>
      <c r="FC15" s="228">
        <v>0.723</v>
      </c>
      <c r="FD15" s="228">
        <v>0.694</v>
      </c>
      <c r="FE15" s="228">
        <v>0.667</v>
      </c>
      <c r="FF15" s="228">
        <v>0.64</v>
      </c>
      <c r="FG15" s="228">
        <v>0.613</v>
      </c>
      <c r="FH15" s="228">
        <v>0.586</v>
      </c>
      <c r="FI15" s="228">
        <v>0.558</v>
      </c>
      <c r="FJ15" s="228">
        <v>0.53</v>
      </c>
      <c r="FK15" s="208"/>
      <c r="FL15" s="218">
        <v>4.5</v>
      </c>
      <c r="FM15" s="228">
        <v>0.888</v>
      </c>
      <c r="FN15" s="228">
        <v>0.857</v>
      </c>
      <c r="FO15" s="228">
        <v>0.837</v>
      </c>
      <c r="FP15" s="228">
        <v>0.816</v>
      </c>
      <c r="FQ15" s="228">
        <v>0.797</v>
      </c>
      <c r="FR15" s="228">
        <v>0.778</v>
      </c>
      <c r="FS15" s="228">
        <v>0.759</v>
      </c>
      <c r="FT15" s="228">
        <v>0.741</v>
      </c>
      <c r="FU15" s="228">
        <v>0.723</v>
      </c>
      <c r="FV15" s="228">
        <v>0.705</v>
      </c>
      <c r="FW15" s="228">
        <v>0.688</v>
      </c>
      <c r="FX15" s="228">
        <v>0.672</v>
      </c>
      <c r="FY15" s="228"/>
      <c r="FZ15" s="84" t="str">
        <f t="array" ref="FZ15">IF(NOT($D$37=12),IFERROR(INDIRECT("'Bloque "&amp;$D$38&amp;" Semana "&amp;"12"&amp;"'"&amp;"!"&amp;"E37"),""),"S12")</f>
        <v/>
      </c>
      <c r="GA15" s="229" t="str">
        <f t="shared" si="4"/>
        <v/>
      </c>
      <c r="GB15" s="212" t="str">
        <f t="shared" si="5"/>
        <v/>
      </c>
      <c r="GC15" s="84" t="str">
        <f t="array" ref="GC15">IF(NOT($D$37=12),IFERROR(INDIRECT("'Bloque "&amp;$D$38&amp;" Semana "&amp;"12"&amp;"'"&amp;"!"&amp;"E37"),""),"S12")</f>
        <v/>
      </c>
      <c r="GD15" s="229" t="str">
        <f t="shared" si="6"/>
        <v/>
      </c>
      <c r="GE15" s="212" t="str">
        <f t="shared" si="7"/>
        <v/>
      </c>
      <c r="GF15" s="84" t="str">
        <f t="array" ref="GF15">IF(NOT($D$37=12),IFERROR(INDIRECT("'Bloque "&amp;$D$38&amp;" Semana "&amp;"12"&amp;"'"&amp;"!"&amp;"E37"),""),"S12")</f>
        <v/>
      </c>
      <c r="GG15" s="229" t="str">
        <f t="shared" si="8"/>
        <v/>
      </c>
      <c r="GH15" s="212" t="str">
        <f t="shared" si="9"/>
        <v/>
      </c>
    </row>
    <row r="16" ht="37.5" customHeight="1">
      <c r="B16" s="199"/>
      <c r="E16" s="336" t="s">
        <v>42</v>
      </c>
      <c r="F16" s="337">
        <v>240.0</v>
      </c>
      <c r="H16" s="106"/>
      <c r="I16" s="106"/>
      <c r="J16" s="347"/>
      <c r="K16" s="348"/>
      <c r="L16" s="348"/>
      <c r="M16" s="348"/>
      <c r="N16" s="348"/>
      <c r="O16" s="348"/>
      <c r="P16" s="348"/>
      <c r="Q16" s="348"/>
      <c r="R16" s="348"/>
      <c r="S16" s="348"/>
      <c r="T16" s="349"/>
      <c r="W16" s="201"/>
      <c r="X16" s="350" t="s">
        <v>278</v>
      </c>
      <c r="Y16" s="210"/>
      <c r="Z16" s="210"/>
      <c r="AA16" s="210"/>
      <c r="AB16" s="210"/>
      <c r="AC16" s="210"/>
      <c r="AD16" s="351"/>
      <c r="AE16" s="203"/>
      <c r="AF16" s="204"/>
      <c r="AG16" s="352" t="s">
        <v>279</v>
      </c>
      <c r="AJ16" s="353"/>
      <c r="AK16" s="354">
        <f>IFERROR( IFERROR(IF(NOT(ISBLANK(AK9)),MID(AK9,1,2),"")+IF(NOT(ISBLANK(AK10)),MID(AK10,1,2),"")+IF(NOT(ISBLANK(AK11)),MID(AK11,1,2),"")+IF(NOT(ISBLANK(AK12)),MID(AK12,1,2),"")+IF(NOT(ISBLANK(AK13)),MID(AK13,1,2),"")+IF(NOT(ISBLANK(AK14)),MID(AK14,1,2),"")+IF(NOT(ISBLANK(AK15)),MID(AK15,1,2),""),"")/COUNTA(AK9:AK15),"")</f>
        <v>2.5</v>
      </c>
      <c r="AM16" s="355" t="s">
        <v>280</v>
      </c>
      <c r="AN16" s="355"/>
      <c r="AO16" s="354">
        <f>IFERROR( IFERROR(IF(NOT(ISBLANK(AO9)),MID(AO9,1,2),"")+IF(NOT(ISBLANK(AO10)),MID(AO10,1,2),"")+IF(NOT(ISBLANK(AO11)),MID(AO11,1,2),"")+IF(NOT(ISBLANK(AO12)),MID(AO12,1,2),"")+IF(NOT(ISBLANK(AO13)),MID(AO13,1,2),"")+IF(NOT(ISBLANK(AO14)),MID(AO14,1,2),"")+IF(NOT(ISBLANK(AO15)),MID(AO15,1,2),""),"")/COUNTA(AO9:AO15),"")</f>
        <v>3</v>
      </c>
      <c r="AQ16" s="355" t="s">
        <v>280</v>
      </c>
      <c r="AR16" s="355"/>
      <c r="AS16" s="354">
        <f>IFERROR( IFERROR(IF(NOT(ISBLANK(AS9)),MID(AS9,1,2),"")+IF(NOT(ISBLANK(AS10)),MID(AS10,1,2),"")+IF(NOT(ISBLANK(AS11)),MID(AS11,1,2),"")+IF(NOT(ISBLANK(AS12)),MID(AS12,1,2),"")+IF(NOT(ISBLANK(AS13)),MID(AS13,1,2),"")+IF(NOT(ISBLANK(AS14)),MID(AS14,1,2),"")+IF(NOT(ISBLANK(AS15)),MID(AS15,1,2),""),"")/COUNTA(AS9:AS15),"")</f>
        <v>3.5</v>
      </c>
      <c r="AU16" s="355" t="s">
        <v>280</v>
      </c>
      <c r="AV16" s="355"/>
      <c r="AW16" s="354">
        <f>IFERROR( IFERROR(IF(NOT(ISBLANK(AW9)),MID(AW9,1,2),"")+IF(NOT(ISBLANK(AW10)),MID(AW10,1,2),"")+IF(NOT(ISBLANK(AW11)),MID(AW11,1,2),"")+IF(NOT(ISBLANK(AW12)),MID(AW12,1,2),"")+IF(NOT(ISBLANK(AW13)),MID(AW13,1,2),"")+IF(NOT(ISBLANK(AW14)),MID(AW14,1,2),"")+IF(NOT(ISBLANK(AW15)),MID(AW15,1,2),""),"")/COUNTA(AW9:AW15),"")</f>
        <v>3</v>
      </c>
      <c r="AY16" s="355" t="s">
        <v>280</v>
      </c>
      <c r="AZ16" s="355"/>
      <c r="BA16" s="354">
        <f>IFERROR( IFERROR(IF(NOT(ISBLANK(BA9)),MID(BA9,1,2),"")+IF(NOT(ISBLANK(BA10)),MID(BA10,1,2),"")+IF(NOT(ISBLANK(BA11)),MID(BA11,1,2),"")+IF(NOT(ISBLANK(BA12)),MID(BA12,1,2),"")+IF(NOT(ISBLANK(BA13)),MID(BA13,1,2),"")+IF(NOT(ISBLANK(BA14)),MID(BA14,1,2),"")+IF(NOT(ISBLANK(BA15)),MID(BA15,1,2),""),"")/COUNTA(BA9:BA15),"")</f>
        <v>3</v>
      </c>
      <c r="BC16" s="355" t="s">
        <v>280</v>
      </c>
      <c r="BD16" s="355"/>
      <c r="BE16" s="128"/>
      <c r="BG16" s="356"/>
      <c r="BH16" s="356"/>
      <c r="BI16" s="357" t="str">
        <f>IFERROR( IFERROR(IF(NOT(ISBLANK(BI9)),MID(BI9,1,2),"")+IF(NOT(ISBLANK(BI10)),MID(BI10,1,2),"")+IF(NOT(ISBLANK(BI11)),MID(BI11,1,2),"")+IF(NOT(ISBLANK(BI12)),MID(BI12,1,2),"")+IF(NOT(ISBLANK(BI13)),MID(BI13,1,2),"")+IF(NOT(ISBLANK(BI14)),MID(BI14,1,2),"")+IF(NOT(ISBLANK(BI15)),MID(BI15,1,2),""),"")/COUNTA(BI9:BK15),"")</f>
        <v/>
      </c>
      <c r="BJ16" s="215"/>
      <c r="BK16" s="358" t="s">
        <v>281</v>
      </c>
      <c r="BL16" s="355"/>
      <c r="BM16" s="359" t="str">
        <f>IFERROR( IFERROR(IF(NOT(ISBLANK(BM9)),MID(BM9,1,2),"")+IF(NOT(ISBLANK(BM10)),MID(BM10,1,2),"")+IF(NOT(ISBLANK(BM11)),MID(BM11,1,2),"")+IF(NOT(ISBLANK(BM12)),MID(BM12,1,2),"")+IF(NOT(ISBLANK(BM13)),MID(BM13,1,2),"")+IF(NOT(ISBLANK(BM14)),MID(BM14,1,2),"")+IF(NOT(ISBLANK(BM15)),MID(BM15,1,2),""),"")/COUNTA(BM9:BQ15),"")</f>
        <v/>
      </c>
      <c r="BP16" s="359"/>
      <c r="BQ16" s="358" t="s">
        <v>281</v>
      </c>
      <c r="BR16" s="128"/>
      <c r="BS16" s="128"/>
      <c r="BT16" s="128"/>
      <c r="BU16" s="128"/>
      <c r="BV16" s="360" t="s">
        <v>282</v>
      </c>
      <c r="BW16" s="361" t="str">
        <f>IFERROR( AVERAGE(BW9:BW15),"")</f>
        <v/>
      </c>
      <c r="BZ16" s="362" t="s">
        <v>36</v>
      </c>
      <c r="CA16" s="311">
        <f>SUMIF(D40:D186,"BP*",AD40:AD186)</f>
        <v>9</v>
      </c>
      <c r="CB16" s="311">
        <f>SUMIF(D40:D186,"BP*",CC40:CC186)</f>
        <v>37</v>
      </c>
      <c r="CC16" s="312" t="str">
        <f>SUMIF(D40:D186,"BP*",CE40:CE186)</f>
        <v>#VALUE!</v>
      </c>
      <c r="CD16" s="313">
        <f>IFERROR( AVERAGEIF(D40:D186,"BP*",CA40:CA186),"")</f>
        <v>0.09565217391</v>
      </c>
      <c r="CE16" s="363">
        <f>IFERROR( IFS($CE$14="e1RM Bryzcki",MAXIFS(CH40:CH186,D40:D186,"BP*"),$CE$14="e1RM Steve Denovi F1",MAXIFS(CL40:CL186,D40:D186,"BP*"),$CE$14="e1RM Steve Denovi F2",MAXIFS(CM40:CM186,D40:D186,"BP*")),"")</f>
        <v>24.78873239</v>
      </c>
      <c r="CF16" s="364">
        <f>IFERROR( AVERAGEIF($D$40:$D186,"BP*",$CK$40:$CK186),"")</f>
        <v>5.791666667</v>
      </c>
      <c r="CH16" s="289" t="str">
        <f t="array" ref="CH16">IF(NOT($D$37=8),IFERROR(INDIRECT("'Bloque "&amp;$D$38&amp;" Semana "&amp;"8"&amp;"'"&amp;"!"&amp;"E37"),""),"S8")</f>
        <v/>
      </c>
      <c r="CI16" s="316" t="str">
        <f t="shared" si="21"/>
        <v/>
      </c>
      <c r="CJ16" s="224" t="str">
        <f t="shared" si="22"/>
        <v/>
      </c>
      <c r="CK16" s="85" t="str">
        <f t="shared" si="23"/>
        <v/>
      </c>
      <c r="CL16" s="85" t="str">
        <f t="shared" si="30"/>
        <v/>
      </c>
      <c r="CM16" s="168" t="str">
        <f t="shared" si="24"/>
        <v/>
      </c>
      <c r="CN16" s="327" t="str">
        <f t="shared" si="31"/>
        <v/>
      </c>
      <c r="CO16" s="168" t="str">
        <f t="shared" si="25"/>
        <v/>
      </c>
      <c r="CP16" s="168" t="str">
        <f t="shared" si="26"/>
        <v/>
      </c>
      <c r="CQ16" s="294" t="str">
        <f t="shared" si="27"/>
        <v/>
      </c>
      <c r="CR16" s="328" t="str">
        <f t="shared" si="32"/>
        <v/>
      </c>
      <c r="CS16" s="212"/>
      <c r="CT16" s="319"/>
      <c r="DJ16" s="120" t="s">
        <v>21</v>
      </c>
      <c r="DK16" s="172" t="str">
        <f t="shared" ref="DK16:EB16" si="35">IFERROR(INDIRECT("'Bloque "&amp;$D$38&amp;" Semana "&amp;MID(DK15,2,2)&amp;"'"&amp;"!"&amp;"CB15"),"")</f>
        <v/>
      </c>
      <c r="DL16" s="172" t="str">
        <f t="shared" si="35"/>
        <v/>
      </c>
      <c r="DM16" s="172" t="str">
        <f t="shared" si="35"/>
        <v/>
      </c>
      <c r="DN16" s="172" t="str">
        <f t="shared" si="35"/>
        <v/>
      </c>
      <c r="DO16" s="172" t="str">
        <f t="shared" si="35"/>
        <v/>
      </c>
      <c r="DP16" s="172" t="str">
        <f t="shared" si="35"/>
        <v/>
      </c>
      <c r="DQ16" s="172" t="str">
        <f t="shared" si="35"/>
        <v/>
      </c>
      <c r="DR16" s="172" t="str">
        <f t="shared" si="35"/>
        <v/>
      </c>
      <c r="DS16" s="172" t="str">
        <f t="shared" si="35"/>
        <v/>
      </c>
      <c r="DT16" s="172" t="str">
        <f t="shared" si="35"/>
        <v/>
      </c>
      <c r="DU16" s="172" t="str">
        <f t="shared" si="35"/>
        <v/>
      </c>
      <c r="DV16" s="172" t="str">
        <f t="shared" si="35"/>
        <v/>
      </c>
      <c r="DW16" s="172" t="str">
        <f t="shared" si="35"/>
        <v/>
      </c>
      <c r="DX16" s="172" t="str">
        <f t="shared" si="35"/>
        <v/>
      </c>
      <c r="DY16" s="172" t="str">
        <f t="shared" si="35"/>
        <v/>
      </c>
      <c r="DZ16" s="172" t="str">
        <f t="shared" si="35"/>
        <v/>
      </c>
      <c r="EA16" s="172" t="str">
        <f t="shared" si="35"/>
        <v/>
      </c>
      <c r="EB16" s="172" t="str">
        <f t="shared" si="35"/>
        <v/>
      </c>
      <c r="ED16" s="120"/>
      <c r="EE16" s="269"/>
      <c r="EF16" s="269"/>
      <c r="EG16" s="269"/>
      <c r="EH16" s="269"/>
      <c r="EI16" s="269"/>
      <c r="EJ16" s="269"/>
      <c r="EK16" s="269"/>
      <c r="EL16" s="269"/>
      <c r="EM16" s="269"/>
      <c r="EN16" s="269"/>
      <c r="EO16" s="269"/>
      <c r="EP16" s="269"/>
      <c r="EQ16" s="269"/>
      <c r="ER16" s="269"/>
      <c r="ES16" s="269"/>
      <c r="ET16" s="269"/>
      <c r="EU16" s="269"/>
      <c r="EV16" s="269"/>
      <c r="EX16" s="218">
        <v>4.0</v>
      </c>
      <c r="EY16" s="228">
        <v>0.811</v>
      </c>
      <c r="EZ16" s="228">
        <v>0.786</v>
      </c>
      <c r="FA16" s="228">
        <v>0.762</v>
      </c>
      <c r="FB16" s="228">
        <v>0.739</v>
      </c>
      <c r="FC16" s="228">
        <v>0.707</v>
      </c>
      <c r="FD16" s="228">
        <v>0.68</v>
      </c>
      <c r="FE16" s="228">
        <v>0.653</v>
      </c>
      <c r="FF16" s="228">
        <v>0.626</v>
      </c>
      <c r="FG16" s="228">
        <v>0.599</v>
      </c>
      <c r="FH16" s="228">
        <v>0.572</v>
      </c>
      <c r="FI16" s="228">
        <v>0.544</v>
      </c>
      <c r="FJ16" s="228">
        <v>0.516</v>
      </c>
      <c r="FK16" s="208"/>
      <c r="FL16" s="218">
        <v>4.0</v>
      </c>
      <c r="FM16" s="228">
        <v>0.879</v>
      </c>
      <c r="FN16" s="228">
        <v>0.848</v>
      </c>
      <c r="FO16" s="228">
        <v>0.828</v>
      </c>
      <c r="FP16" s="228">
        <v>0.808</v>
      </c>
      <c r="FQ16" s="228">
        <v>0.788</v>
      </c>
      <c r="FR16" s="228">
        <v>0.769</v>
      </c>
      <c r="FS16" s="228">
        <v>0.751</v>
      </c>
      <c r="FT16" s="228">
        <v>0.733</v>
      </c>
      <c r="FU16" s="228">
        <v>0.715</v>
      </c>
      <c r="FV16" s="228">
        <v>0.698</v>
      </c>
      <c r="FW16" s="228">
        <v>0.681</v>
      </c>
      <c r="FX16" s="228">
        <v>0.665</v>
      </c>
      <c r="FY16" s="228"/>
      <c r="FZ16" s="84" t="str">
        <f t="array" ref="FZ16">IF(NOT($D$37=13),IFERROR(INDIRECT("'Bloque "&amp;$D$38&amp;" Semana "&amp;"13"&amp;"'"&amp;"!"&amp;"E37"),""),"S13")</f>
        <v/>
      </c>
      <c r="GA16" s="229" t="str">
        <f t="shared" si="4"/>
        <v/>
      </c>
      <c r="GB16" s="212" t="str">
        <f t="shared" si="5"/>
        <v/>
      </c>
      <c r="GC16" s="84" t="str">
        <f t="array" ref="GC16">IF(NOT($D$37=13),IFERROR(INDIRECT("'Bloque "&amp;$D$38&amp;" Semana "&amp;"13"&amp;"'"&amp;"!"&amp;"E37"),""),"S13")</f>
        <v/>
      </c>
      <c r="GD16" s="229" t="str">
        <f t="shared" si="6"/>
        <v/>
      </c>
      <c r="GE16" s="212" t="str">
        <f t="shared" si="7"/>
        <v/>
      </c>
      <c r="GF16" s="84" t="str">
        <f t="array" ref="GF16">IF(NOT($D$37=13),IFERROR(INDIRECT("'Bloque "&amp;$D$38&amp;" Semana "&amp;"13"&amp;"'"&amp;"!"&amp;"E37"),""),"S13")</f>
        <v/>
      </c>
      <c r="GG16" s="229" t="str">
        <f t="shared" si="8"/>
        <v/>
      </c>
      <c r="GH16" s="212" t="str">
        <f t="shared" si="9"/>
        <v/>
      </c>
    </row>
    <row r="17" ht="36.0" customHeight="1">
      <c r="B17" s="199"/>
      <c r="D17" s="365"/>
      <c r="E17" s="366" t="str">
        <f>"BIENVENIDO A RV STRENGTH "&amp;'Introducción'!B19&amp;" "&amp;'Introducción'!B20</f>
        <v>#REF!</v>
      </c>
      <c r="F17" s="367"/>
      <c r="K17" s="200"/>
      <c r="L17" s="200"/>
      <c r="T17" s="368">
        <f>NOW()</f>
        <v>46052.88071</v>
      </c>
      <c r="W17" s="201"/>
      <c r="X17" s="369" t="s">
        <v>274</v>
      </c>
      <c r="Y17" s="334"/>
      <c r="Z17" s="334"/>
      <c r="AA17" s="334"/>
      <c r="AB17" s="334"/>
      <c r="AC17" s="334"/>
      <c r="AD17" s="370"/>
      <c r="AE17" s="203"/>
      <c r="AF17" s="204"/>
      <c r="AG17" s="371" t="s">
        <v>283</v>
      </c>
      <c r="AH17" s="348"/>
      <c r="AI17" s="348"/>
      <c r="AJ17" s="372"/>
      <c r="AK17" s="373">
        <f>IFERROR(AVERAGE(AK16,AO16,AS16,AW16,BA16)*10/7,"")</f>
        <v>4.285714286</v>
      </c>
      <c r="AL17" s="348"/>
      <c r="AM17" s="374" t="s">
        <v>281</v>
      </c>
      <c r="AN17" s="374"/>
      <c r="AO17" s="375"/>
      <c r="AP17" s="375"/>
      <c r="AQ17" s="375"/>
      <c r="AR17" s="375"/>
      <c r="AS17" s="375"/>
      <c r="AT17" s="375"/>
      <c r="AU17" s="375"/>
      <c r="AV17" s="375"/>
      <c r="AW17" s="375"/>
      <c r="AX17" s="375"/>
      <c r="AY17" s="375"/>
      <c r="AZ17" s="375"/>
      <c r="BA17" s="375"/>
      <c r="BB17" s="375"/>
      <c r="BC17" s="375"/>
      <c r="BD17" s="375"/>
      <c r="BE17" s="375"/>
      <c r="BF17" s="375"/>
      <c r="BG17" s="376"/>
      <c r="BH17" s="375"/>
      <c r="BI17" s="377"/>
      <c r="BJ17" s="377"/>
      <c r="BK17" s="378"/>
      <c r="BL17" s="378"/>
      <c r="BM17" s="378"/>
      <c r="BN17" s="378"/>
      <c r="BO17" s="378"/>
      <c r="BP17" s="378"/>
      <c r="BQ17" s="378"/>
      <c r="BR17" s="128"/>
      <c r="BS17" s="128"/>
      <c r="BT17" s="128"/>
      <c r="BU17" s="128"/>
      <c r="BV17" s="128"/>
      <c r="BW17" s="128"/>
      <c r="BZ17" s="379" t="s">
        <v>42</v>
      </c>
      <c r="CA17" s="322">
        <f>SUMIF(D40:D186,"DL*",AD40:AD186)</f>
        <v>2</v>
      </c>
      <c r="CB17" s="322">
        <f>SUMIF(D40:D186,"DL*",CC40:CC186)</f>
        <v>10</v>
      </c>
      <c r="CC17" s="323" t="str">
        <f>SUMIF(D40:D186,"DL*",CE40:CE186)</f>
        <v>#VALUE!</v>
      </c>
      <c r="CD17" s="324" t="str">
        <f>IFERROR( AVERAGEIF(D40:D186,"DL*",CA40:CA186),"")</f>
        <v/>
      </c>
      <c r="CE17" s="325">
        <f>IFERROR( IFS($CE$14="e1RM Bryzcki",MAXIFS(CH40:CH186,D40:D186,"DL*"),$CE$14="e1RM Steve Denovi F1",MAXIFS(CL40:CL186,D40:D186,"DL*"),$CE$14="e1RM Steve Denovi F2",MAXIFS(CM40:CM186,D40:D186,"DL*")),"")</f>
        <v>0</v>
      </c>
      <c r="CF17" s="380">
        <f>IFERROR( AVERAGEIF($D$40:$D186,"DL*",$CK$40:$CK186),"")</f>
        <v>10.75</v>
      </c>
      <c r="CH17" s="289" t="str">
        <f t="array" ref="CH17">IF(NOT($D$37=9),IFERROR(INDIRECT("'Bloque "&amp;$D$38&amp;" Semana "&amp;"9"&amp;"'"&amp;"!"&amp;"E37"),""),"S9")</f>
        <v/>
      </c>
      <c r="CI17" s="316" t="str">
        <f t="shared" si="21"/>
        <v/>
      </c>
      <c r="CJ17" s="224" t="str">
        <f t="shared" si="22"/>
        <v/>
      </c>
      <c r="CK17" s="85" t="str">
        <f t="shared" si="23"/>
        <v/>
      </c>
      <c r="CL17" s="85" t="str">
        <f t="shared" si="30"/>
        <v/>
      </c>
      <c r="CM17" s="168" t="str">
        <f t="shared" si="24"/>
        <v/>
      </c>
      <c r="CN17" s="327" t="str">
        <f t="shared" si="31"/>
        <v/>
      </c>
      <c r="CO17" s="168" t="str">
        <f t="shared" si="25"/>
        <v/>
      </c>
      <c r="CP17" s="168" t="str">
        <f t="shared" si="26"/>
        <v/>
      </c>
      <c r="CQ17" s="294" t="str">
        <f t="shared" si="27"/>
        <v/>
      </c>
      <c r="CR17" s="328" t="str">
        <f t="shared" si="32"/>
        <v/>
      </c>
      <c r="CS17" s="212"/>
      <c r="CT17" s="319"/>
      <c r="DJ17" s="120" t="s">
        <v>36</v>
      </c>
      <c r="DK17" s="172" t="str">
        <f t="shared" ref="DK17:EB17" si="36">IFERROR(INDIRECT("'Bloque "&amp;$D$38&amp;" Semana "&amp;MID(DK15,2,2)&amp;"'"&amp;"!"&amp;"CB16"),"")</f>
        <v/>
      </c>
      <c r="DL17" s="172" t="str">
        <f t="shared" si="36"/>
        <v/>
      </c>
      <c r="DM17" s="172" t="str">
        <f t="shared" si="36"/>
        <v/>
      </c>
      <c r="DN17" s="172" t="str">
        <f t="shared" si="36"/>
        <v/>
      </c>
      <c r="DO17" s="172" t="str">
        <f t="shared" si="36"/>
        <v/>
      </c>
      <c r="DP17" s="172" t="str">
        <f t="shared" si="36"/>
        <v/>
      </c>
      <c r="DQ17" s="172" t="str">
        <f t="shared" si="36"/>
        <v/>
      </c>
      <c r="DR17" s="172" t="str">
        <f t="shared" si="36"/>
        <v/>
      </c>
      <c r="DS17" s="172" t="str">
        <f t="shared" si="36"/>
        <v/>
      </c>
      <c r="DT17" s="172" t="str">
        <f t="shared" si="36"/>
        <v/>
      </c>
      <c r="DU17" s="172" t="str">
        <f t="shared" si="36"/>
        <v/>
      </c>
      <c r="DV17" s="172" t="str">
        <f t="shared" si="36"/>
        <v/>
      </c>
      <c r="DW17" s="172" t="str">
        <f t="shared" si="36"/>
        <v/>
      </c>
      <c r="DX17" s="172" t="str">
        <f t="shared" si="36"/>
        <v/>
      </c>
      <c r="DY17" s="172" t="str">
        <f t="shared" si="36"/>
        <v/>
      </c>
      <c r="DZ17" s="172" t="str">
        <f t="shared" si="36"/>
        <v/>
      </c>
      <c r="EA17" s="172" t="str">
        <f t="shared" si="36"/>
        <v/>
      </c>
      <c r="EB17" s="172" t="str">
        <f t="shared" si="36"/>
        <v/>
      </c>
      <c r="ED17" s="144" t="s">
        <v>284</v>
      </c>
      <c r="EE17" s="108"/>
      <c r="EF17" s="108"/>
      <c r="EG17" s="108"/>
      <c r="EH17" s="108"/>
      <c r="EI17" s="108"/>
      <c r="EJ17" s="108"/>
      <c r="EK17" s="108"/>
      <c r="EL17" s="108"/>
      <c r="EM17" s="108"/>
      <c r="EN17" s="108"/>
      <c r="EO17" s="108"/>
      <c r="EP17" s="108"/>
      <c r="EQ17" s="108"/>
      <c r="ER17" s="108"/>
      <c r="ES17" s="108"/>
      <c r="ET17" s="108"/>
      <c r="EU17" s="108"/>
      <c r="EV17" s="108"/>
      <c r="EX17" s="208"/>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84" t="str">
        <f t="array" ref="FZ17">IF(NOT($D$37=14),IFERROR(INDIRECT("'Bloque "&amp;$D$38&amp;" Semana "&amp;"14"&amp;"'"&amp;"!"&amp;"E37"),""),"S14")</f>
        <v/>
      </c>
      <c r="GA17" s="229" t="str">
        <f t="shared" si="4"/>
        <v/>
      </c>
      <c r="GB17" s="212" t="str">
        <f t="shared" si="5"/>
        <v/>
      </c>
      <c r="GC17" s="84" t="str">
        <f t="array" ref="GC17">IF(NOT($D$37=14),IFERROR(INDIRECT("'Bloque "&amp;$D$38&amp;" Semana "&amp;"14"&amp;"'"&amp;"!"&amp;"E37"),""),"S14")</f>
        <v/>
      </c>
      <c r="GD17" s="229" t="str">
        <f t="shared" si="6"/>
        <v/>
      </c>
      <c r="GE17" s="212" t="str">
        <f t="shared" si="7"/>
        <v/>
      </c>
      <c r="GF17" s="84" t="str">
        <f t="array" ref="GF17">IF(NOT($D$37=14),IFERROR(INDIRECT("'Bloque "&amp;$D$38&amp;" Semana "&amp;"14"&amp;"'"&amp;"!"&amp;"E37"),""),"S14")</f>
        <v/>
      </c>
      <c r="GG17" s="229" t="str">
        <f t="shared" si="8"/>
        <v/>
      </c>
      <c r="GH17" s="212" t="str">
        <f t="shared" si="9"/>
        <v/>
      </c>
    </row>
    <row r="18" ht="48.0" customHeight="1">
      <c r="B18" s="199"/>
      <c r="E18" s="381" t="s">
        <v>285</v>
      </c>
      <c r="F18" s="382"/>
      <c r="G18" s="383"/>
      <c r="H18" s="383"/>
      <c r="I18" s="383"/>
      <c r="J18" s="383"/>
      <c r="K18" s="383"/>
      <c r="L18" s="383"/>
      <c r="M18" s="383"/>
      <c r="N18" s="383"/>
      <c r="O18" s="383"/>
      <c r="P18" s="383"/>
      <c r="Q18" s="383"/>
      <c r="R18" s="383"/>
      <c r="S18" s="383"/>
      <c r="T18" s="384"/>
      <c r="U18" s="385"/>
      <c r="W18" s="201"/>
      <c r="X18" s="197" t="s">
        <v>246</v>
      </c>
      <c r="Y18" s="197" t="s">
        <v>286</v>
      </c>
      <c r="Z18" s="197" t="s">
        <v>224</v>
      </c>
      <c r="AA18" s="197" t="s">
        <v>200</v>
      </c>
      <c r="AB18" s="197" t="s">
        <v>248</v>
      </c>
      <c r="AC18" s="197" t="s">
        <v>251</v>
      </c>
      <c r="AD18" s="386"/>
      <c r="AE18" s="203"/>
      <c r="AF18" s="204"/>
      <c r="AG18" s="387" t="s">
        <v>287</v>
      </c>
      <c r="BZ18" s="388" t="s">
        <v>105</v>
      </c>
      <c r="CA18" s="389">
        <f t="shared" ref="CA18:CB18" si="37">SUM(CA15:CA17)</f>
        <v>18</v>
      </c>
      <c r="CB18" s="389">
        <f t="shared" si="37"/>
        <v>74</v>
      </c>
      <c r="CC18" s="390"/>
      <c r="CD18" s="391"/>
      <c r="CE18" s="392">
        <f>SUM(CE15:CE17)</f>
        <v>196.5909935</v>
      </c>
      <c r="CF18" s="393"/>
      <c r="CH18" s="289" t="str">
        <f t="array" ref="CH18">IF(NOT($D$37=10),IFERROR(INDIRECT("'Bloque "&amp;$D$38&amp;" Semana "&amp;"10"&amp;"'"&amp;"!"&amp;"E37"),""),"S10")</f>
        <v/>
      </c>
      <c r="CI18" s="316" t="str">
        <f t="shared" si="21"/>
        <v/>
      </c>
      <c r="CJ18" s="224" t="str">
        <f t="shared" si="22"/>
        <v/>
      </c>
      <c r="CK18" s="85" t="str">
        <f t="shared" si="23"/>
        <v/>
      </c>
      <c r="CL18" s="85" t="str">
        <f t="shared" si="30"/>
        <v/>
      </c>
      <c r="CM18" s="168" t="str">
        <f t="shared" si="24"/>
        <v/>
      </c>
      <c r="CN18" s="327" t="str">
        <f t="shared" si="31"/>
        <v/>
      </c>
      <c r="CO18" s="168" t="str">
        <f t="shared" si="25"/>
        <v/>
      </c>
      <c r="CP18" s="168" t="str">
        <f t="shared" si="26"/>
        <v/>
      </c>
      <c r="CQ18" s="294" t="str">
        <f t="shared" si="27"/>
        <v/>
      </c>
      <c r="CR18" s="328" t="str">
        <f t="shared" si="32"/>
        <v/>
      </c>
      <c r="CS18" s="212"/>
      <c r="CT18" s="319"/>
      <c r="DJ18" s="120" t="s">
        <v>42</v>
      </c>
      <c r="DK18" s="172" t="str">
        <f t="shared" ref="DK18:EB18" si="38">IFERROR(INDIRECT("'Bloque "&amp;$D$38&amp;" Semana "&amp;MID(DK15,2,2)&amp;"'"&amp;"!"&amp;"CB17"),"")</f>
        <v/>
      </c>
      <c r="DL18" s="172" t="str">
        <f t="shared" si="38"/>
        <v/>
      </c>
      <c r="DM18" s="172" t="str">
        <f t="shared" si="38"/>
        <v/>
      </c>
      <c r="DN18" s="172" t="str">
        <f t="shared" si="38"/>
        <v/>
      </c>
      <c r="DO18" s="172" t="str">
        <f t="shared" si="38"/>
        <v/>
      </c>
      <c r="DP18" s="172" t="str">
        <f t="shared" si="38"/>
        <v/>
      </c>
      <c r="DQ18" s="172" t="str">
        <f t="shared" si="38"/>
        <v/>
      </c>
      <c r="DR18" s="172" t="str">
        <f t="shared" si="38"/>
        <v/>
      </c>
      <c r="DS18" s="172" t="str">
        <f t="shared" si="38"/>
        <v/>
      </c>
      <c r="DT18" s="172" t="str">
        <f t="shared" si="38"/>
        <v/>
      </c>
      <c r="DU18" s="172" t="str">
        <f t="shared" si="38"/>
        <v/>
      </c>
      <c r="DV18" s="172" t="str">
        <f t="shared" si="38"/>
        <v/>
      </c>
      <c r="DW18" s="172" t="str">
        <f t="shared" si="38"/>
        <v/>
      </c>
      <c r="DX18" s="172" t="str">
        <f t="shared" si="38"/>
        <v/>
      </c>
      <c r="DY18" s="172" t="str">
        <f t="shared" si="38"/>
        <v/>
      </c>
      <c r="DZ18" s="172" t="str">
        <f t="shared" si="38"/>
        <v/>
      </c>
      <c r="EA18" s="172" t="str">
        <f t="shared" si="38"/>
        <v/>
      </c>
      <c r="EB18" s="172" t="str">
        <f t="shared" si="38"/>
        <v/>
      </c>
      <c r="ED18" s="83"/>
      <c r="EE18" s="227" t="str">
        <f t="array" ref="EE18">IF(NOT($D$37=1),IFERROR(INDIRECT("'Bloque "&amp;$D$38&amp;" Semana "&amp;"1"&amp;"'"&amp;"!"&amp;"E37"),""),"S1")</f>
        <v/>
      </c>
      <c r="EF18" s="227" t="str">
        <f t="array" ref="EF18">IF(NOT($D$37=2),IFERROR(INDIRECT("'Bloque "&amp;$D$38&amp;" Semana "&amp;"2"&amp;"'"&amp;"!"&amp;"E37"),""),"S2")</f>
        <v>S2</v>
      </c>
      <c r="EG18" s="227" t="str">
        <f t="array" ref="EG18">IF(NOT($D$37=3),IFERROR(INDIRECT("'Bloque "&amp;$D$38&amp;" Semana "&amp;"3"&amp;"'"&amp;"!"&amp;"E37"),""),"S3")</f>
        <v/>
      </c>
      <c r="EH18" s="227" t="str">
        <f t="array" ref="EH18">IF(NOT($D$37=4),IFERROR(INDIRECT("'Bloque "&amp;$D$38&amp;" Semana "&amp;"4"&amp;"'"&amp;"!"&amp;"E37"),""),"S4")</f>
        <v/>
      </c>
      <c r="EI18" s="227" t="str">
        <f t="array" ref="EI18">IF(NOT($D$37=5),IFERROR(INDIRECT("'Bloque "&amp;$D$38&amp;" Semana "&amp;"5"&amp;"'"&amp;"!"&amp;"E37"),""),"S5")</f>
        <v/>
      </c>
      <c r="EJ18" s="227" t="str">
        <f t="array" ref="EJ18">IF(NOT($D$37=6),IFERROR(INDIRECT("'Bloque "&amp;$D$38&amp;" Semana "&amp;"6"&amp;"'"&amp;"!"&amp;"E37"),""),"S6")</f>
        <v/>
      </c>
      <c r="EK18" s="227" t="str">
        <f t="array" ref="EK18">IF(NOT($D$37=7),IFERROR(INDIRECT("'Bloque "&amp;$D$38&amp;" Semana "&amp;"7"&amp;"'"&amp;"!"&amp;"E37"),""),"S7")</f>
        <v/>
      </c>
      <c r="EL18" s="227" t="str">
        <f t="array" ref="EL18">IF(NOT($D$37=8),IFERROR(INDIRECT("'Bloque "&amp;$D$38&amp;" Semana "&amp;"8"&amp;"'"&amp;"!"&amp;"E37"),""),"S8")</f>
        <v/>
      </c>
      <c r="EM18" s="227" t="str">
        <f t="array" ref="EM18">IF(NOT($D$37=9),IFERROR(INDIRECT("'Bloque "&amp;$D$38&amp;" Semana "&amp;"9"&amp;"'"&amp;"!"&amp;"E37"),""),"S9")</f>
        <v/>
      </c>
      <c r="EN18" s="227" t="str">
        <f t="array" ref="EN18">IF(NOT($D$37=10),IFERROR(INDIRECT("'Bloque "&amp;$D$38&amp;" Semana "&amp;"10"&amp;"'"&amp;"!"&amp;"E37"),""),"S10")</f>
        <v/>
      </c>
      <c r="EO18" s="227" t="str">
        <f t="array" ref="EO18">IF(NOT($D$37=11),IFERROR(INDIRECT("'Bloque "&amp;$D$38&amp;" Semana "&amp;"11"&amp;"'"&amp;"!"&amp;"E37"),""),"S11")</f>
        <v/>
      </c>
      <c r="EP18" s="227" t="str">
        <f t="array" ref="EP18">IF(NOT($D$37=12),IFERROR(INDIRECT("'Bloque "&amp;$D$38&amp;" Semana "&amp;"12"&amp;"'"&amp;"!"&amp;"E37"),""),"S12")</f>
        <v/>
      </c>
      <c r="EQ18" s="227" t="str">
        <f t="array" ref="EQ18">IF(NOT($D$37=13),IFERROR(INDIRECT("'Bloque "&amp;$D$38&amp;" Semana "&amp;"13"&amp;"'"&amp;"!"&amp;"E37"),""),"S13")</f>
        <v/>
      </c>
      <c r="ER18" s="227" t="str">
        <f t="array" ref="ER18">IF(NOT($D$37=14),IFERROR(INDIRECT("'Bloque "&amp;$D$38&amp;" Semana "&amp;"14"&amp;"'"&amp;"!"&amp;"E37"),""),"S14")</f>
        <v/>
      </c>
      <c r="ES18" s="227" t="str">
        <f t="array" ref="ES18">IF(NOT($D$37=15),IFERROR(INDIRECT("'Bloque "&amp;$D$38&amp;" Semana "&amp;"15"&amp;"'"&amp;"!"&amp;"E37"),""),"S15")</f>
        <v/>
      </c>
      <c r="ET18" s="227" t="str">
        <f t="array" ref="ET18">IF(NOT($D$37=16),IFERROR(INDIRECT("'Bloque "&amp;$D$38&amp;" Semana "&amp;"16"&amp;"'"&amp;"!"&amp;"E37"),""),"S16")</f>
        <v/>
      </c>
      <c r="EU18" s="227" t="str">
        <f t="array" ref="EU18">IF(NOT($D$37=17),IFERROR(INDIRECT("'Bloque "&amp;$D$38&amp;" Semana "&amp;"17"&amp;"'"&amp;"!"&amp;"E37"),""),"S17")</f>
        <v/>
      </c>
      <c r="EV18" s="227" t="str">
        <f t="array" ref="EV18">IF(NOT($D$37=18),IFERROR(INDIRECT("'Bloque "&amp;$D$38&amp;" Semana "&amp;"18"&amp;"'"&amp;"!"&amp;"E37"),""),"S18")</f>
        <v/>
      </c>
      <c r="EX18" s="144" t="s">
        <v>288</v>
      </c>
      <c r="EY18" s="108"/>
      <c r="EZ18" s="108"/>
      <c r="FA18" s="108"/>
      <c r="FB18" s="108"/>
      <c r="FC18" s="108"/>
      <c r="FD18" s="108"/>
      <c r="FE18" s="108"/>
      <c r="FF18" s="108"/>
      <c r="FG18" s="108"/>
      <c r="FH18" s="108"/>
      <c r="FI18" s="108"/>
      <c r="FJ18" s="108"/>
      <c r="FK18" s="108"/>
      <c r="FL18" s="108"/>
      <c r="FM18" s="108"/>
      <c r="FN18" s="108"/>
      <c r="FO18" s="108"/>
      <c r="FP18" s="108"/>
      <c r="FQ18" s="208"/>
      <c r="FR18" s="208"/>
      <c r="FS18" s="208"/>
      <c r="FT18" s="208"/>
      <c r="FU18" s="208"/>
      <c r="FV18" s="208"/>
      <c r="FW18" s="208"/>
      <c r="FX18" s="208"/>
      <c r="FY18" s="208"/>
      <c r="FZ18" s="84" t="str">
        <f t="array" ref="FZ18">IF(NOT($D$37=15),IFERROR(INDIRECT("'Bloque "&amp;$D$38&amp;" Semana "&amp;"15"&amp;"'"&amp;"!"&amp;"E37"),""),"S15")</f>
        <v/>
      </c>
      <c r="GA18" s="229" t="str">
        <f t="shared" si="4"/>
        <v/>
      </c>
      <c r="GB18" s="212" t="str">
        <f t="shared" si="5"/>
        <v/>
      </c>
      <c r="GC18" s="84" t="str">
        <f t="array" ref="GC18">IF(NOT($D$37=15),IFERROR(INDIRECT("'Bloque "&amp;$D$38&amp;" Semana "&amp;"15"&amp;"'"&amp;"!"&amp;"E37"),""),"S15")</f>
        <v/>
      </c>
      <c r="GD18" s="229" t="str">
        <f t="shared" si="6"/>
        <v/>
      </c>
      <c r="GE18" s="212" t="str">
        <f t="shared" si="7"/>
        <v/>
      </c>
      <c r="GF18" s="84" t="str">
        <f t="array" ref="GF18">IF(NOT($D$37=15),IFERROR(INDIRECT("'Bloque "&amp;$D$38&amp;" Semana "&amp;"15"&amp;"'"&amp;"!"&amp;"E37"),""),"S15")</f>
        <v/>
      </c>
      <c r="GG18" s="229" t="str">
        <f t="shared" si="8"/>
        <v/>
      </c>
      <c r="GH18" s="212" t="str">
        <f t="shared" si="9"/>
        <v/>
      </c>
    </row>
    <row r="19" ht="27.75" customHeight="1">
      <c r="B19" s="199"/>
      <c r="D19" s="106"/>
      <c r="E19" s="394"/>
      <c r="T19" s="34"/>
      <c r="W19" s="201"/>
      <c r="X19" s="395" t="s">
        <v>21</v>
      </c>
      <c r="Y19" s="396">
        <f>SUMIF(D40:D186,"SQ*",F40:F186)</f>
        <v>7</v>
      </c>
      <c r="Z19" s="396">
        <f>SUMIF(D40:D186,"SQ*",X40:X186)</f>
        <v>4552.5</v>
      </c>
      <c r="AA19" s="397" t="str">
        <f>IFERROR( AVERAGEIF($D$40:$D186,"SQ*",$AB$40:$AB186),"")</f>
        <v/>
      </c>
      <c r="AB19" s="398">
        <f>SUMIF(D40:D186,"SQ*",Z40:Z186)</f>
        <v>31</v>
      </c>
      <c r="AC19" s="399" t="str">
        <f>IFERROR( AVERAGEIF($D$40:$D186,"SQ*",$M$40:$M186),"")</f>
        <v/>
      </c>
      <c r="AE19" s="203"/>
      <c r="AF19" s="204"/>
      <c r="AG19" s="400" t="s">
        <v>289</v>
      </c>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4"/>
      <c r="BZ19" s="333" t="s">
        <v>290</v>
      </c>
      <c r="CA19" s="210"/>
      <c r="CB19" s="210"/>
      <c r="CC19" s="210"/>
      <c r="CD19" s="210"/>
      <c r="CE19" s="210"/>
      <c r="CF19" s="241"/>
      <c r="CG19" s="245"/>
      <c r="CH19" s="289" t="str">
        <f t="array" ref="CH19">IF(NOT($D$37=11),IFERROR(INDIRECT("'Bloque "&amp;$D$38&amp;" Semana "&amp;"11"&amp;"'"&amp;"!"&amp;"E37"),""),"S11")</f>
        <v/>
      </c>
      <c r="CI19" s="316" t="str">
        <f t="shared" si="21"/>
        <v/>
      </c>
      <c r="CJ19" s="224" t="str">
        <f t="shared" si="22"/>
        <v/>
      </c>
      <c r="CK19" s="85" t="str">
        <f t="shared" si="23"/>
        <v/>
      </c>
      <c r="CL19" s="85" t="str">
        <f t="shared" si="30"/>
        <v/>
      </c>
      <c r="CM19" s="168" t="str">
        <f t="shared" si="24"/>
        <v/>
      </c>
      <c r="CN19" s="327" t="str">
        <f t="shared" si="31"/>
        <v/>
      </c>
      <c r="CO19" s="168" t="str">
        <f t="shared" si="25"/>
        <v/>
      </c>
      <c r="CP19" s="168" t="str">
        <f t="shared" si="26"/>
        <v/>
      </c>
      <c r="CQ19" s="294" t="str">
        <f t="shared" si="27"/>
        <v/>
      </c>
      <c r="CR19" s="328" t="str">
        <f t="shared" si="32"/>
        <v/>
      </c>
      <c r="CS19" s="212"/>
      <c r="CT19" s="319"/>
      <c r="DJ19" s="4"/>
      <c r="DK19" s="4"/>
      <c r="DL19" s="4"/>
      <c r="DM19" s="4"/>
      <c r="DN19" s="4"/>
      <c r="DO19" s="4"/>
      <c r="DP19" s="4"/>
      <c r="DQ19" s="4"/>
      <c r="DR19" s="4"/>
      <c r="DS19" s="4"/>
      <c r="DT19" s="4"/>
      <c r="DU19" s="4"/>
      <c r="DV19" s="4"/>
      <c r="DW19" s="4"/>
      <c r="DX19" s="4"/>
      <c r="DY19" s="4"/>
      <c r="DZ19" s="4"/>
      <c r="EA19" s="4"/>
      <c r="EB19" s="4"/>
      <c r="ED19" s="120" t="str">
        <f t="shared" ref="ED19:ED24" si="40">BZ21</f>
        <v>Dominante de Rodilla</v>
      </c>
      <c r="EE19" s="231" t="str">
        <f t="shared" ref="EE19:EV19" si="39">IFERROR(INDIRECT("'Bloque "&amp;$D$38&amp;" Semana "&amp;MID(EE18,2,2)&amp;"'"&amp;"!"&amp;"CE21"),"")</f>
        <v/>
      </c>
      <c r="EF19" s="231" t="str">
        <f t="shared" si="39"/>
        <v/>
      </c>
      <c r="EG19" s="231" t="str">
        <f t="shared" si="39"/>
        <v/>
      </c>
      <c r="EH19" s="231" t="str">
        <f t="shared" si="39"/>
        <v/>
      </c>
      <c r="EI19" s="231" t="str">
        <f t="shared" si="39"/>
        <v/>
      </c>
      <c r="EJ19" s="231" t="str">
        <f t="shared" si="39"/>
        <v/>
      </c>
      <c r="EK19" s="231" t="str">
        <f t="shared" si="39"/>
        <v/>
      </c>
      <c r="EL19" s="231" t="str">
        <f t="shared" si="39"/>
        <v/>
      </c>
      <c r="EM19" s="231" t="str">
        <f t="shared" si="39"/>
        <v/>
      </c>
      <c r="EN19" s="231" t="str">
        <f t="shared" si="39"/>
        <v/>
      </c>
      <c r="EO19" s="231" t="str">
        <f t="shared" si="39"/>
        <v/>
      </c>
      <c r="EP19" s="231" t="str">
        <f t="shared" si="39"/>
        <v/>
      </c>
      <c r="EQ19" s="231" t="str">
        <f t="shared" si="39"/>
        <v/>
      </c>
      <c r="ER19" s="231" t="str">
        <f t="shared" si="39"/>
        <v/>
      </c>
      <c r="ES19" s="231" t="str">
        <f t="shared" si="39"/>
        <v/>
      </c>
      <c r="ET19" s="231" t="str">
        <f t="shared" si="39"/>
        <v/>
      </c>
      <c r="EU19" s="231" t="str">
        <f t="shared" si="39"/>
        <v/>
      </c>
      <c r="EV19" s="231" t="str">
        <f t="shared" si="39"/>
        <v/>
      </c>
      <c r="EX19" s="83"/>
      <c r="EY19" s="227" t="str">
        <f t="array" ref="EY19">IF(NOT($D$37=1),IFERROR(INDIRECT("'Bloque "&amp;$D$38&amp;" Semana "&amp;"1"&amp;"'"&amp;"!"&amp;"E37"),""),"S1")</f>
        <v/>
      </c>
      <c r="EZ19" s="227" t="str">
        <f t="array" ref="EZ19">IF(NOT($D$37=2),IFERROR(INDIRECT("'Bloque "&amp;$D$38&amp;" Semana "&amp;"2"&amp;"'"&amp;"!"&amp;"E37"),""),"S2")</f>
        <v>S2</v>
      </c>
      <c r="FA19" s="227" t="str">
        <f t="array" ref="FA19">IF(NOT($D$37=3),IFERROR(INDIRECT("'Bloque "&amp;$D$38&amp;" Semana "&amp;"3"&amp;"'"&amp;"!"&amp;"E37"),""),"S3")</f>
        <v/>
      </c>
      <c r="FB19" s="227" t="str">
        <f t="array" ref="FB19">IF(NOT($D$37=4),IFERROR(INDIRECT("'Bloque "&amp;$D$38&amp;" Semana "&amp;"4"&amp;"'"&amp;"!"&amp;"E37"),""),"S4")</f>
        <v/>
      </c>
      <c r="FC19" s="227" t="str">
        <f t="array" ref="FC19">IF(NOT($D$37=5),IFERROR(INDIRECT("'Bloque "&amp;$D$38&amp;" Semana "&amp;"5"&amp;"'"&amp;"!"&amp;"E37"),""),"S5")</f>
        <v/>
      </c>
      <c r="FD19" s="227" t="str">
        <f t="array" ref="FD19">IF(NOT($D$37=6),IFERROR(INDIRECT("'Bloque "&amp;$D$38&amp;" Semana "&amp;"6"&amp;"'"&amp;"!"&amp;"E37"),""),"S6")</f>
        <v/>
      </c>
      <c r="FE19" s="227" t="str">
        <f t="array" ref="FE19">IF(NOT($D$37=7),IFERROR(INDIRECT("'Bloque "&amp;$D$38&amp;" Semana "&amp;"7"&amp;"'"&amp;"!"&amp;"E37"),""),"S7")</f>
        <v/>
      </c>
      <c r="FF19" s="227" t="str">
        <f t="array" ref="FF19">IF(NOT($D$37=8),IFERROR(INDIRECT("'Bloque "&amp;$D$38&amp;" Semana "&amp;"8"&amp;"'"&amp;"!"&amp;"E37"),""),"S8")</f>
        <v/>
      </c>
      <c r="FG19" s="227" t="str">
        <f t="array" ref="FG19">IF(NOT($D$37=9),IFERROR(INDIRECT("'Bloque "&amp;$D$38&amp;" Semana "&amp;"9"&amp;"'"&amp;"!"&amp;"E37"),""),"S9")</f>
        <v/>
      </c>
      <c r="FH19" s="227" t="str">
        <f t="array" ref="FH19">IF(NOT($D$37=10),IFERROR(INDIRECT("'Bloque "&amp;$D$38&amp;" Semana "&amp;"10"&amp;"'"&amp;"!"&amp;"E37"),""),"S10")</f>
        <v/>
      </c>
      <c r="FI19" s="227" t="str">
        <f t="array" ref="FI19">IF(NOT($D$37=11),IFERROR(INDIRECT("'Bloque "&amp;$D$38&amp;" Semana "&amp;"11"&amp;"'"&amp;"!"&amp;"E37"),""),"S11")</f>
        <v/>
      </c>
      <c r="FJ19" s="227" t="str">
        <f t="array" ref="FJ19">IF(NOT($D$37=12),IFERROR(INDIRECT("'Bloque "&amp;$D$38&amp;" Semana "&amp;"12"&amp;"'"&amp;"!"&amp;"E37"),""),"S12")</f>
        <v/>
      </c>
      <c r="FK19" s="227" t="str">
        <f t="array" ref="FK19">IF(NOT($D$37=13),IFERROR(INDIRECT("'Bloque "&amp;$D$38&amp;" Semana "&amp;"13"&amp;"'"&amp;"!"&amp;"E37"),""),"S13")</f>
        <v/>
      </c>
      <c r="FL19" s="227" t="str">
        <f t="array" ref="FL19">IF(NOT($D$37=14),IFERROR(INDIRECT("'Bloque "&amp;$D$38&amp;" Semana "&amp;"14"&amp;"'"&amp;"!"&amp;"E37"),""),"S14")</f>
        <v/>
      </c>
      <c r="FM19" s="227" t="str">
        <f t="array" ref="FM19">IF(NOT($D$37=15),IFERROR(INDIRECT("'Bloque "&amp;$D$38&amp;" Semana "&amp;"15"&amp;"'"&amp;"!"&amp;"E37"),""),"S15")</f>
        <v/>
      </c>
      <c r="FN19" s="227" t="str">
        <f t="array" ref="FN19">IF(NOT($D$37=16),IFERROR(INDIRECT("'Bloque "&amp;$D$38&amp;" Semana "&amp;"16"&amp;"'"&amp;"!"&amp;"E37"),""),"S16")</f>
        <v/>
      </c>
      <c r="FO19" s="227" t="str">
        <f t="array" ref="FO19">IF(NOT($D$37=17),IFERROR(INDIRECT("'Bloque "&amp;$D$38&amp;" Semana "&amp;"17"&amp;"'"&amp;"!"&amp;"E37"),""),"S17")</f>
        <v/>
      </c>
      <c r="FP19" s="227" t="str">
        <f t="array" ref="FP19">IF(NOT($D$37=18),IFERROR(INDIRECT("'Bloque "&amp;$D$38&amp;" Semana "&amp;"18"&amp;"'"&amp;"!"&amp;"E37"),""),"S18")</f>
        <v/>
      </c>
      <c r="FQ19" s="208"/>
      <c r="FR19" s="208"/>
      <c r="FS19" s="208"/>
      <c r="FT19" s="208"/>
      <c r="FU19" s="208"/>
      <c r="FV19" s="208"/>
      <c r="FW19" s="208"/>
      <c r="FX19" s="208"/>
      <c r="FY19" s="208"/>
      <c r="FZ19" s="84" t="str">
        <f t="array" ref="FZ19">IF(NOT($D$37=16),IFERROR(INDIRECT("'Bloque "&amp;$D$38&amp;" Semana "&amp;"16"&amp;"'"&amp;"!"&amp;"E37"),""),"S16")</f>
        <v/>
      </c>
      <c r="GA19" s="229" t="str">
        <f t="shared" si="4"/>
        <v/>
      </c>
      <c r="GB19" s="212" t="str">
        <f t="shared" si="5"/>
        <v/>
      </c>
      <c r="GC19" s="84" t="str">
        <f t="array" ref="GC19">IF(NOT($D$37=16),IFERROR(INDIRECT("'Bloque "&amp;$D$38&amp;" Semana "&amp;"16"&amp;"'"&amp;"!"&amp;"E37"),""),"S16")</f>
        <v/>
      </c>
      <c r="GD19" s="229" t="str">
        <f t="shared" si="6"/>
        <v/>
      </c>
      <c r="GE19" s="212" t="str">
        <f t="shared" si="7"/>
        <v/>
      </c>
      <c r="GF19" s="84" t="str">
        <f t="array" ref="GF19">IF(NOT($D$37=16),IFERROR(INDIRECT("'Bloque "&amp;$D$38&amp;" Semana "&amp;"16"&amp;"'"&amp;"!"&amp;"E37"),""),"S16")</f>
        <v/>
      </c>
      <c r="GG19" s="229" t="str">
        <f t="shared" si="8"/>
        <v/>
      </c>
      <c r="GH19" s="212" t="str">
        <f t="shared" si="9"/>
        <v/>
      </c>
    </row>
    <row r="20" ht="27.75" customHeight="1">
      <c r="B20" s="199"/>
      <c r="D20" s="106"/>
      <c r="E20" s="401"/>
      <c r="F20" s="402"/>
      <c r="G20" s="403"/>
      <c r="H20" s="403"/>
      <c r="I20" s="403"/>
      <c r="J20" s="403"/>
      <c r="K20" s="403"/>
      <c r="L20" s="403"/>
      <c r="M20" s="403"/>
      <c r="N20" s="403"/>
      <c r="O20" s="403"/>
      <c r="P20" s="403"/>
      <c r="Q20" s="403"/>
      <c r="R20" s="403"/>
      <c r="S20" s="403"/>
      <c r="T20" s="404"/>
      <c r="W20" s="201"/>
      <c r="X20" s="405" t="s">
        <v>36</v>
      </c>
      <c r="Y20" s="396">
        <f>SUMIF(D40:D186,"BP*",F40:F186)</f>
        <v>11</v>
      </c>
      <c r="Z20" s="396">
        <f>SUMIF(D40:D186,"BP*",X40:X186)</f>
        <v>4157.5</v>
      </c>
      <c r="AA20" s="397" t="str">
        <f>IFERROR( AVERAGEIF($D$40:$D186,"BP*",$AB$40:$AB186),"")</f>
        <v/>
      </c>
      <c r="AB20" s="396">
        <f>SUMIF(D40:D186,"BP*",Z40:Z186)</f>
        <v>47</v>
      </c>
      <c r="AC20" s="399" t="str">
        <f>IFERROR( AVERAGEIF($D$40:$D186,"BP*",$M$40:$M186),"")</f>
        <v/>
      </c>
      <c r="AE20" s="203"/>
      <c r="AF20" s="204"/>
      <c r="AG20" s="406" t="s">
        <v>291</v>
      </c>
      <c r="BW20" s="34"/>
      <c r="BZ20" s="261" t="s">
        <v>292</v>
      </c>
      <c r="CC20" s="83" t="s">
        <v>293</v>
      </c>
      <c r="CD20" s="83" t="s">
        <v>248</v>
      </c>
      <c r="CE20" s="83" t="s">
        <v>294</v>
      </c>
      <c r="CF20" s="262"/>
      <c r="CG20" s="83"/>
      <c r="CH20" s="289" t="str">
        <f t="array" ref="CH20">IF(NOT($D$37=12),IFERROR(INDIRECT("'Bloque "&amp;$D$38&amp;" Semana "&amp;"12"&amp;"'"&amp;"!"&amp;"E37"),""),"S12")</f>
        <v/>
      </c>
      <c r="CI20" s="316" t="str">
        <f t="shared" si="21"/>
        <v/>
      </c>
      <c r="CJ20" s="224" t="str">
        <f t="shared" si="22"/>
        <v/>
      </c>
      <c r="CK20" s="85" t="str">
        <f t="shared" si="23"/>
        <v/>
      </c>
      <c r="CL20" s="85" t="str">
        <f t="shared" si="30"/>
        <v/>
      </c>
      <c r="CM20" s="168" t="str">
        <f t="shared" si="24"/>
        <v/>
      </c>
      <c r="CN20" s="327" t="str">
        <f t="shared" si="31"/>
        <v/>
      </c>
      <c r="CO20" s="168" t="str">
        <f t="shared" si="25"/>
        <v/>
      </c>
      <c r="CP20" s="168" t="str">
        <f t="shared" si="26"/>
        <v/>
      </c>
      <c r="CQ20" s="294" t="str">
        <f t="shared" si="27"/>
        <v/>
      </c>
      <c r="CR20" s="328" t="str">
        <f t="shared" si="32"/>
        <v/>
      </c>
      <c r="CS20" s="212"/>
      <c r="CT20" s="319"/>
      <c r="DE20" s="407"/>
      <c r="DF20" s="407"/>
      <c r="DG20" s="407"/>
      <c r="DH20" s="407"/>
      <c r="DI20" s="407"/>
      <c r="DJ20" s="144" t="s">
        <v>156</v>
      </c>
      <c r="DK20" s="108"/>
      <c r="DL20" s="108"/>
      <c r="DM20" s="108"/>
      <c r="DN20" s="108"/>
      <c r="DO20" s="108"/>
      <c r="DP20" s="108"/>
      <c r="DQ20" s="108"/>
      <c r="DR20" s="108"/>
      <c r="DS20" s="108"/>
      <c r="DT20" s="108"/>
      <c r="DU20" s="108"/>
      <c r="DV20" s="108"/>
      <c r="DW20" s="108"/>
      <c r="DX20" s="108"/>
      <c r="DY20" s="108"/>
      <c r="DZ20" s="108"/>
      <c r="EA20" s="108"/>
      <c r="EB20" s="108"/>
      <c r="EC20" s="407"/>
      <c r="ED20" s="120" t="str">
        <f t="shared" si="40"/>
        <v>Bisagra de Cadera</v>
      </c>
      <c r="EE20" s="231" t="str">
        <f t="shared" ref="EE20:EV20" si="41">IFERROR(INDIRECT("'Bloque "&amp;$D$38&amp;" Semana "&amp;MID(EE18,2,2)&amp;"'"&amp;"!"&amp;"CE22"),"")</f>
        <v/>
      </c>
      <c r="EF20" s="231" t="str">
        <f t="shared" si="41"/>
        <v/>
      </c>
      <c r="EG20" s="231" t="str">
        <f t="shared" si="41"/>
        <v/>
      </c>
      <c r="EH20" s="231" t="str">
        <f t="shared" si="41"/>
        <v/>
      </c>
      <c r="EI20" s="231" t="str">
        <f t="shared" si="41"/>
        <v/>
      </c>
      <c r="EJ20" s="231" t="str">
        <f t="shared" si="41"/>
        <v/>
      </c>
      <c r="EK20" s="231" t="str">
        <f t="shared" si="41"/>
        <v/>
      </c>
      <c r="EL20" s="231" t="str">
        <f t="shared" si="41"/>
        <v/>
      </c>
      <c r="EM20" s="231" t="str">
        <f t="shared" si="41"/>
        <v/>
      </c>
      <c r="EN20" s="231" t="str">
        <f t="shared" si="41"/>
        <v/>
      </c>
      <c r="EO20" s="231" t="str">
        <f t="shared" si="41"/>
        <v/>
      </c>
      <c r="EP20" s="231" t="str">
        <f t="shared" si="41"/>
        <v/>
      </c>
      <c r="EQ20" s="231" t="str">
        <f t="shared" si="41"/>
        <v/>
      </c>
      <c r="ER20" s="231" t="str">
        <f t="shared" si="41"/>
        <v/>
      </c>
      <c r="ES20" s="231" t="str">
        <f t="shared" si="41"/>
        <v/>
      </c>
      <c r="ET20" s="231" t="str">
        <f t="shared" si="41"/>
        <v/>
      </c>
      <c r="EU20" s="231" t="str">
        <f t="shared" si="41"/>
        <v/>
      </c>
      <c r="EV20" s="231" t="str">
        <f t="shared" si="41"/>
        <v/>
      </c>
      <c r="EX20" s="208" t="s">
        <v>4</v>
      </c>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208"/>
      <c r="FU20" s="208"/>
      <c r="FV20" s="208"/>
      <c r="FW20" s="208"/>
      <c r="FX20" s="208"/>
      <c r="FY20" s="208"/>
      <c r="FZ20" s="84" t="str">
        <f t="array" ref="FZ20">IF(NOT($D$37=17),IFERROR(INDIRECT("'Bloque "&amp;$D$38&amp;" Semana "&amp;"17"&amp;"'"&amp;"!"&amp;"E37"),""),"S17")</f>
        <v/>
      </c>
      <c r="GA20" s="229" t="str">
        <f t="shared" si="4"/>
        <v/>
      </c>
      <c r="GB20" s="212" t="str">
        <f t="shared" si="5"/>
        <v/>
      </c>
      <c r="GC20" s="84" t="str">
        <f t="array" ref="GC20">IF(NOT($D$37=17),IFERROR(INDIRECT("'Bloque "&amp;$D$38&amp;" Semana "&amp;"17"&amp;"'"&amp;"!"&amp;"E37"),""),"S17")</f>
        <v/>
      </c>
      <c r="GD20" s="229" t="str">
        <f t="shared" si="6"/>
        <v/>
      </c>
      <c r="GE20" s="212" t="str">
        <f t="shared" si="7"/>
        <v/>
      </c>
      <c r="GF20" s="84" t="str">
        <f t="array" ref="GF20">IF(NOT($D$37=17),IFERROR(INDIRECT("'Bloque "&amp;$D$38&amp;" Semana "&amp;"17"&amp;"'"&amp;"!"&amp;"E37"),""),"S17")</f>
        <v/>
      </c>
      <c r="GG20" s="229" t="str">
        <f t="shared" si="8"/>
        <v/>
      </c>
      <c r="GH20" s="212" t="str">
        <f t="shared" si="9"/>
        <v/>
      </c>
    </row>
    <row r="21" ht="21.75" customHeight="1">
      <c r="B21" s="199"/>
      <c r="D21" s="106"/>
      <c r="E21" s="4"/>
      <c r="F21" s="193"/>
      <c r="U21" s="408"/>
      <c r="V21" s="408"/>
      <c r="W21" s="201"/>
      <c r="X21" s="409" t="s">
        <v>42</v>
      </c>
      <c r="Y21" s="396">
        <f>SUMIF(D40:D186,"DL*",F40:F186)</f>
        <v>7</v>
      </c>
      <c r="Z21" s="396">
        <f>SUMIF(D40:D186,"DL*",X40:X186)</f>
        <v>5532.5</v>
      </c>
      <c r="AA21" s="397" t="str">
        <f>IFERROR( AVERAGEIF($D$40:$D186,"DL*",$AB$40:$AB186),"")</f>
        <v/>
      </c>
      <c r="AB21" s="396">
        <f>SUMIF(D40:D186,"DL*",Z40:Z186)</f>
        <v>31</v>
      </c>
      <c r="AC21" s="399" t="str">
        <f>IFERROR( AVERAGEIF($D$40:$D186,"DL*",$M$40:$M186),"")</f>
        <v/>
      </c>
      <c r="AE21" s="203"/>
      <c r="AF21" s="204"/>
      <c r="AG21" s="410"/>
      <c r="AH21" s="411"/>
      <c r="AI21" s="391"/>
      <c r="AJ21" s="391"/>
      <c r="AK21" s="391"/>
      <c r="AL21" s="391"/>
      <c r="AM21" s="412" t="s">
        <v>295</v>
      </c>
      <c r="AQ21" s="412" t="s">
        <v>296</v>
      </c>
      <c r="AU21" s="412" t="s">
        <v>297</v>
      </c>
      <c r="AY21" s="412" t="s">
        <v>298</v>
      </c>
      <c r="BC21" s="391"/>
      <c r="BD21" s="391"/>
      <c r="BE21" s="391"/>
      <c r="BF21" s="412" t="s">
        <v>299</v>
      </c>
      <c r="BJ21" s="412" t="s">
        <v>300</v>
      </c>
      <c r="BN21" s="412" t="s">
        <v>301</v>
      </c>
      <c r="BR21" s="391"/>
      <c r="BS21" s="391"/>
      <c r="BT21" s="391"/>
      <c r="BU21" s="413"/>
      <c r="BV21" s="414"/>
      <c r="BW21" s="415"/>
      <c r="BZ21" s="416" t="s">
        <v>302</v>
      </c>
      <c r="CC21" s="417">
        <f t="shared" ref="CC21:CC33" si="44">SUMIF($D$40:$D186,BZ21,$AD$40:$AD186)</f>
        <v>0</v>
      </c>
      <c r="CD21" s="417">
        <f t="shared" ref="CD21:CD33" si="45">SUMIF($D$40:$D186,BZ21,$CC$40:$CC186)</f>
        <v>0</v>
      </c>
      <c r="CE21" s="418" t="str">
        <f t="shared" ref="CE21:CE33" si="46">IFERROR( AVERAGEIF($D$40:$D186,BZ21,$CD$40:$CD186),"")</f>
        <v/>
      </c>
      <c r="CF21" s="419"/>
      <c r="CG21" s="418"/>
      <c r="CH21" s="289" t="str">
        <f t="array" ref="CH21">IF(NOT($D$37=13),IFERROR(INDIRECT("'Bloque "&amp;$D$38&amp;" Semana "&amp;"13"&amp;"'"&amp;"!"&amp;"E37"),""),"S13")</f>
        <v/>
      </c>
      <c r="CI21" s="316" t="str">
        <f t="shared" si="21"/>
        <v/>
      </c>
      <c r="CJ21" s="224" t="str">
        <f t="shared" si="22"/>
        <v/>
      </c>
      <c r="CK21" s="85" t="str">
        <f t="shared" si="23"/>
        <v/>
      </c>
      <c r="CL21" s="85" t="str">
        <f t="shared" si="30"/>
        <v/>
      </c>
      <c r="CM21" s="168" t="str">
        <f t="shared" si="24"/>
        <v/>
      </c>
      <c r="CN21" s="327" t="str">
        <f t="shared" si="31"/>
        <v/>
      </c>
      <c r="CO21" s="168" t="str">
        <f t="shared" si="25"/>
        <v/>
      </c>
      <c r="CP21" s="168" t="str">
        <f t="shared" si="26"/>
        <v/>
      </c>
      <c r="CQ21" s="294" t="str">
        <f t="shared" si="27"/>
        <v/>
      </c>
      <c r="CR21" s="328" t="str">
        <f t="shared" si="32"/>
        <v/>
      </c>
      <c r="CS21" s="212"/>
      <c r="CT21" s="319"/>
      <c r="DE21" s="4"/>
      <c r="DJ21" s="83"/>
      <c r="DK21" s="227" t="str">
        <f t="array" ref="DK21">IF(NOT($D$37=1),IFERROR(INDIRECT("'Bloque "&amp;$D$38&amp;" Semana "&amp;"1"&amp;"'"&amp;"!"&amp;"E37"),""),"S1")</f>
        <v/>
      </c>
      <c r="DL21" s="227" t="str">
        <f t="array" ref="DL21">IF(NOT($D$37=2),IFERROR(INDIRECT("'Bloque "&amp;$D$38&amp;" Semana "&amp;"2"&amp;"'"&amp;"!"&amp;"E37"),""),"S2")</f>
        <v>S2</v>
      </c>
      <c r="DM21" s="227" t="str">
        <f t="array" ref="DM21">IF(NOT($D$37=3),IFERROR(INDIRECT("'Bloque "&amp;$D$38&amp;" Semana "&amp;"3"&amp;"'"&amp;"!"&amp;"E37"),""),"S3")</f>
        <v/>
      </c>
      <c r="DN21" s="227" t="str">
        <f t="array" ref="DN21">IF(NOT($D$37=4),IFERROR(INDIRECT("'Bloque "&amp;$D$38&amp;" Semana "&amp;"4"&amp;"'"&amp;"!"&amp;"E37"),""),"S4")</f>
        <v/>
      </c>
      <c r="DO21" s="227" t="str">
        <f t="array" ref="DO21">IF(NOT($D$37=5),IFERROR(INDIRECT("'Bloque "&amp;$D$38&amp;" Semana "&amp;"5"&amp;"'"&amp;"!"&amp;"E37"),""),"S5")</f>
        <v/>
      </c>
      <c r="DP21" s="227" t="str">
        <f t="array" ref="DP21">IF(NOT($D$37=6),IFERROR(INDIRECT("'Bloque "&amp;$D$38&amp;" Semana "&amp;"6"&amp;"'"&amp;"!"&amp;"E37"),""),"S6")</f>
        <v/>
      </c>
      <c r="DQ21" s="227" t="str">
        <f t="array" ref="DQ21">IF(NOT($D$37=7),IFERROR(INDIRECT("'Bloque "&amp;$D$38&amp;" Semana "&amp;"7"&amp;"'"&amp;"!"&amp;"E37"),""),"S7")</f>
        <v/>
      </c>
      <c r="DR21" s="227" t="str">
        <f t="array" ref="DR21">IF(NOT($D$37=8),IFERROR(INDIRECT("'Bloque "&amp;$D$38&amp;" Semana "&amp;"8"&amp;"'"&amp;"!"&amp;"E37"),""),"S8")</f>
        <v/>
      </c>
      <c r="DS21" s="227" t="str">
        <f t="array" ref="DS21">IF(NOT($D$37=9),IFERROR(INDIRECT("'Bloque "&amp;$D$38&amp;" Semana "&amp;"9"&amp;"'"&amp;"!"&amp;"E37"),""),"S9")</f>
        <v/>
      </c>
      <c r="DT21" s="227" t="str">
        <f t="array" ref="DT21">IF(NOT($D$37=10),IFERROR(INDIRECT("'Bloque "&amp;$D$38&amp;" Semana "&amp;"10"&amp;"'"&amp;"!"&amp;"E37"),""),"S10")</f>
        <v/>
      </c>
      <c r="DU21" s="227" t="str">
        <f t="array" ref="DU21">IF(NOT($D$37=11),IFERROR(INDIRECT("'Bloque "&amp;$D$38&amp;" Semana "&amp;"11"&amp;"'"&amp;"!"&amp;"E37"),""),"S11")</f>
        <v/>
      </c>
      <c r="DV21" s="227" t="str">
        <f t="array" ref="DV21">IF(NOT($D$37=12),IFERROR(INDIRECT("'Bloque "&amp;$D$38&amp;" Semana "&amp;"12"&amp;"'"&amp;"!"&amp;"E37"),""),"S12")</f>
        <v/>
      </c>
      <c r="DW21" s="227" t="str">
        <f t="array" ref="DW21">IF(NOT($D$37=13),IFERROR(INDIRECT("'Bloque "&amp;$D$38&amp;" Semana "&amp;"13"&amp;"'"&amp;"!"&amp;"E37"),""),"S13")</f>
        <v/>
      </c>
      <c r="DX21" s="227" t="str">
        <f t="array" ref="DX21">IF(NOT($D$37=14),IFERROR(INDIRECT("'Bloque "&amp;$D$38&amp;" Semana "&amp;"14"&amp;"'"&amp;"!"&amp;"E37"),""),"S14")</f>
        <v/>
      </c>
      <c r="DY21" s="227" t="str">
        <f t="array" ref="DY21">IF(NOT($D$37=15),IFERROR(INDIRECT("'Bloque "&amp;$D$38&amp;" Semana "&amp;"15"&amp;"'"&amp;"!"&amp;"E37"),""),"S15")</f>
        <v/>
      </c>
      <c r="DZ21" s="227" t="str">
        <f t="array" ref="DZ21">IF(NOT($D$37=16),IFERROR(INDIRECT("'Bloque "&amp;$D$38&amp;" Semana "&amp;"16"&amp;"'"&amp;"!"&amp;"E37"),""),"S16")</f>
        <v/>
      </c>
      <c r="EA21" s="227" t="str">
        <f t="array" ref="EA21">IF(NOT($D$37=17),IFERROR(INDIRECT("'Bloque "&amp;$D$38&amp;" Semana "&amp;"17"&amp;"'"&amp;"!"&amp;"E37"),""),"S17")</f>
        <v/>
      </c>
      <c r="EB21" s="227" t="str">
        <f t="array" ref="EB21">IF(NOT($D$37=18),IFERROR(INDIRECT("'Bloque "&amp;$D$38&amp;" Semana "&amp;"18"&amp;"'"&amp;"!"&amp;"E37"),""),"S18")</f>
        <v/>
      </c>
      <c r="ED21" s="120" t="str">
        <f t="shared" si="40"/>
        <v>Empuje Horizontal</v>
      </c>
      <c r="EE21" s="231" t="str">
        <f t="shared" ref="EE21:EV21" si="42">IFERROR(INDIRECT("'Bloque "&amp;$D$38&amp;" Semana "&amp;MID(EE18,2,2)&amp;"'"&amp;"!"&amp;"CE23"),"")</f>
        <v/>
      </c>
      <c r="EF21" s="231" t="str">
        <f t="shared" si="42"/>
        <v/>
      </c>
      <c r="EG21" s="231" t="str">
        <f t="shared" si="42"/>
        <v/>
      </c>
      <c r="EH21" s="231" t="str">
        <f t="shared" si="42"/>
        <v/>
      </c>
      <c r="EI21" s="231" t="str">
        <f t="shared" si="42"/>
        <v/>
      </c>
      <c r="EJ21" s="231" t="str">
        <f t="shared" si="42"/>
        <v/>
      </c>
      <c r="EK21" s="231" t="str">
        <f t="shared" si="42"/>
        <v/>
      </c>
      <c r="EL21" s="231" t="str">
        <f t="shared" si="42"/>
        <v/>
      </c>
      <c r="EM21" s="231" t="str">
        <f t="shared" si="42"/>
        <v/>
      </c>
      <c r="EN21" s="231" t="str">
        <f t="shared" si="42"/>
        <v/>
      </c>
      <c r="EO21" s="231" t="str">
        <f t="shared" si="42"/>
        <v/>
      </c>
      <c r="EP21" s="231" t="str">
        <f t="shared" si="42"/>
        <v/>
      </c>
      <c r="EQ21" s="231" t="str">
        <f t="shared" si="42"/>
        <v/>
      </c>
      <c r="ER21" s="231" t="str">
        <f t="shared" si="42"/>
        <v/>
      </c>
      <c r="ES21" s="231" t="str">
        <f t="shared" si="42"/>
        <v/>
      </c>
      <c r="ET21" s="231" t="str">
        <f t="shared" si="42"/>
        <v/>
      </c>
      <c r="EU21" s="231" t="str">
        <f t="shared" si="42"/>
        <v/>
      </c>
      <c r="EV21" s="231" t="str">
        <f t="shared" si="42"/>
        <v/>
      </c>
      <c r="EX21" s="208" t="s">
        <v>303</v>
      </c>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420" t="str">
        <f t="array" ref="FZ21">IF(NOT($D$37=18),IFERROR(INDIRECT("'Bloque "&amp;$D$38&amp;" Semana "&amp;"18"&amp;"'"&amp;"!"&amp;"E37"),""),"S18")</f>
        <v/>
      </c>
      <c r="GA21" s="229" t="str">
        <f t="shared" si="4"/>
        <v/>
      </c>
      <c r="GB21" s="212" t="str">
        <f t="shared" si="5"/>
        <v/>
      </c>
      <c r="GC21" s="420" t="str">
        <f t="array" ref="GC21">IF(NOT($D$37=18),IFERROR(INDIRECT("'Bloque "&amp;$D$38&amp;" Semana "&amp;"18"&amp;"'"&amp;"!"&amp;"E37"),""),"S18")</f>
        <v/>
      </c>
      <c r="GD21" s="229" t="str">
        <f t="shared" si="6"/>
        <v/>
      </c>
      <c r="GE21" s="212" t="str">
        <f t="shared" si="7"/>
        <v/>
      </c>
      <c r="GF21" s="420" t="str">
        <f t="array" ref="GF21">IF(NOT($D$37=18),IFERROR(INDIRECT("'Bloque "&amp;$D$38&amp;" Semana "&amp;"18"&amp;"'"&amp;"!"&amp;"E37"),""),"S18")</f>
        <v/>
      </c>
      <c r="GG21" s="229" t="str">
        <f t="shared" si="8"/>
        <v/>
      </c>
      <c r="GH21" s="212" t="str">
        <f t="shared" si="9"/>
        <v/>
      </c>
    </row>
    <row r="22">
      <c r="B22" s="199"/>
      <c r="D22" s="106"/>
      <c r="E22" s="421" t="s">
        <v>304</v>
      </c>
      <c r="U22" s="408"/>
      <c r="V22" s="408"/>
      <c r="W22" s="201"/>
      <c r="X22" s="422" t="s">
        <v>105</v>
      </c>
      <c r="Y22" s="423">
        <f t="shared" ref="Y22:Z22" si="43">SUM(Y19:Y21)</f>
        <v>25</v>
      </c>
      <c r="Z22" s="423">
        <f t="shared" si="43"/>
        <v>14242.5</v>
      </c>
      <c r="AA22" s="424" t="str">
        <f>IFERROR( AVERAGE(AA19:AA21),"")</f>
        <v/>
      </c>
      <c r="AB22" s="425">
        <f>SUM(AB19:AB21)</f>
        <v>109</v>
      </c>
      <c r="AC22" s="426" t="str">
        <f>IFERROR( AVERAGE(AC19:AC21),"")</f>
        <v/>
      </c>
      <c r="AD22" s="427"/>
      <c r="AE22" s="203"/>
      <c r="AF22" s="204"/>
      <c r="AG22" s="428"/>
      <c r="AI22" s="391"/>
      <c r="AJ22" s="412" t="s">
        <v>305</v>
      </c>
      <c r="AM22" s="85"/>
      <c r="AQ22" s="429"/>
      <c r="AU22" s="429"/>
      <c r="AY22" s="429"/>
      <c r="BC22" s="412" t="s">
        <v>306</v>
      </c>
      <c r="BF22" s="429"/>
      <c r="BJ22" s="429"/>
      <c r="BN22" s="429"/>
      <c r="BR22" s="391"/>
      <c r="BS22" s="391"/>
      <c r="BT22" s="391"/>
      <c r="BU22" s="430"/>
      <c r="BV22" s="391"/>
      <c r="BW22" s="431"/>
      <c r="BZ22" s="432" t="s">
        <v>307</v>
      </c>
      <c r="CC22" s="417">
        <f t="shared" si="44"/>
        <v>0</v>
      </c>
      <c r="CD22" s="417">
        <f t="shared" si="45"/>
        <v>0</v>
      </c>
      <c r="CE22" s="418" t="str">
        <f t="shared" si="46"/>
        <v/>
      </c>
      <c r="CF22" s="419"/>
      <c r="CG22" s="418"/>
      <c r="CH22" s="289" t="str">
        <f t="array" ref="CH22">IF(NOT($D$37=14),IFERROR(INDIRECT("'Bloque "&amp;$D$38&amp;" Semana "&amp;"14"&amp;"'"&amp;"!"&amp;"E37"),""),"S14")</f>
        <v/>
      </c>
      <c r="CI22" s="316" t="str">
        <f t="shared" si="21"/>
        <v/>
      </c>
      <c r="CJ22" s="224" t="str">
        <f t="shared" si="22"/>
        <v/>
      </c>
      <c r="CK22" s="85" t="str">
        <f t="shared" si="23"/>
        <v/>
      </c>
      <c r="CL22" s="85" t="str">
        <f t="shared" si="30"/>
        <v/>
      </c>
      <c r="CM22" s="168" t="str">
        <f t="shared" si="24"/>
        <v/>
      </c>
      <c r="CN22" s="327" t="str">
        <f t="shared" si="31"/>
        <v/>
      </c>
      <c r="CO22" s="168" t="str">
        <f t="shared" si="25"/>
        <v/>
      </c>
      <c r="CP22" s="168" t="str">
        <f t="shared" si="26"/>
        <v/>
      </c>
      <c r="CQ22" s="294" t="str">
        <f t="shared" si="27"/>
        <v/>
      </c>
      <c r="CR22" s="328" t="str">
        <f t="shared" si="32"/>
        <v/>
      </c>
      <c r="CS22" s="212"/>
      <c r="CT22" s="319"/>
      <c r="DE22" s="4"/>
      <c r="DJ22" s="120" t="s">
        <v>21</v>
      </c>
      <c r="DK22" s="93" t="str">
        <f t="shared" ref="DK22:EB22" si="47">IFERROR(INDIRECT("'Bloque "&amp;$D$38&amp;" Semana "&amp;MID(DK15,2,2)&amp;"'"&amp;"!"&amp;"CE15"),"")</f>
        <v/>
      </c>
      <c r="DL22" s="93" t="str">
        <f t="shared" si="47"/>
        <v/>
      </c>
      <c r="DM22" s="93" t="str">
        <f t="shared" si="47"/>
        <v/>
      </c>
      <c r="DN22" s="93" t="str">
        <f t="shared" si="47"/>
        <v/>
      </c>
      <c r="DO22" s="93" t="str">
        <f t="shared" si="47"/>
        <v/>
      </c>
      <c r="DP22" s="93" t="str">
        <f t="shared" si="47"/>
        <v/>
      </c>
      <c r="DQ22" s="93" t="str">
        <f t="shared" si="47"/>
        <v/>
      </c>
      <c r="DR22" s="93" t="str">
        <f t="shared" si="47"/>
        <v/>
      </c>
      <c r="DS22" s="93" t="str">
        <f t="shared" si="47"/>
        <v/>
      </c>
      <c r="DT22" s="93" t="str">
        <f t="shared" si="47"/>
        <v/>
      </c>
      <c r="DU22" s="93" t="str">
        <f t="shared" si="47"/>
        <v/>
      </c>
      <c r="DV22" s="93" t="str">
        <f t="shared" si="47"/>
        <v/>
      </c>
      <c r="DW22" s="93" t="str">
        <f t="shared" si="47"/>
        <v/>
      </c>
      <c r="DX22" s="93" t="str">
        <f t="shared" si="47"/>
        <v/>
      </c>
      <c r="DY22" s="93" t="str">
        <f t="shared" si="47"/>
        <v/>
      </c>
      <c r="DZ22" s="93" t="str">
        <f t="shared" si="47"/>
        <v/>
      </c>
      <c r="EA22" s="93" t="str">
        <f t="shared" si="47"/>
        <v/>
      </c>
      <c r="EB22" s="93" t="str">
        <f t="shared" si="47"/>
        <v/>
      </c>
      <c r="ED22" s="120" t="str">
        <f t="shared" si="40"/>
        <v>Empuje Vertical</v>
      </c>
      <c r="EE22" s="269" t="str">
        <f t="shared" ref="EE22:EV22" si="48">IFERROR(INDIRECT("'Bloque "&amp;$D$38&amp;" Semana "&amp;MID(EE18,2,2)&amp;"'"&amp;"!"&amp;"CE24"),"")</f>
        <v/>
      </c>
      <c r="EF22" s="269" t="str">
        <f t="shared" si="48"/>
        <v/>
      </c>
      <c r="EG22" s="269" t="str">
        <f t="shared" si="48"/>
        <v/>
      </c>
      <c r="EH22" s="269" t="str">
        <f t="shared" si="48"/>
        <v/>
      </c>
      <c r="EI22" s="269" t="str">
        <f t="shared" si="48"/>
        <v/>
      </c>
      <c r="EJ22" s="269" t="str">
        <f t="shared" si="48"/>
        <v/>
      </c>
      <c r="EK22" s="269" t="str">
        <f t="shared" si="48"/>
        <v/>
      </c>
      <c r="EL22" s="269" t="str">
        <f t="shared" si="48"/>
        <v/>
      </c>
      <c r="EM22" s="269" t="str">
        <f t="shared" si="48"/>
        <v/>
      </c>
      <c r="EN22" s="269" t="str">
        <f t="shared" si="48"/>
        <v/>
      </c>
      <c r="EO22" s="269" t="str">
        <f t="shared" si="48"/>
        <v/>
      </c>
      <c r="EP22" s="269" t="str">
        <f t="shared" si="48"/>
        <v/>
      </c>
      <c r="EQ22" s="269" t="str">
        <f t="shared" si="48"/>
        <v/>
      </c>
      <c r="ER22" s="269" t="str">
        <f t="shared" si="48"/>
        <v/>
      </c>
      <c r="ES22" s="269" t="str">
        <f t="shared" si="48"/>
        <v/>
      </c>
      <c r="ET22" s="269" t="str">
        <f t="shared" si="48"/>
        <v/>
      </c>
      <c r="EU22" s="269" t="str">
        <f t="shared" si="48"/>
        <v/>
      </c>
      <c r="EV22" s="269" t="str">
        <f t="shared" si="48"/>
        <v/>
      </c>
      <c r="EX22" s="208" t="s">
        <v>308</v>
      </c>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row>
    <row r="23">
      <c r="B23" s="199"/>
      <c r="D23" s="106"/>
      <c r="U23" s="408"/>
      <c r="V23" s="408"/>
      <c r="W23" s="201"/>
      <c r="X23" s="433" t="s">
        <v>290</v>
      </c>
      <c r="Y23" s="434" t="s">
        <v>286</v>
      </c>
      <c r="Z23" s="435" t="s">
        <v>294</v>
      </c>
      <c r="AA23" s="436" t="s">
        <v>248</v>
      </c>
      <c r="AB23" s="437"/>
      <c r="AC23" s="438"/>
      <c r="AD23" s="439"/>
      <c r="AE23" s="203"/>
      <c r="AF23" s="204"/>
      <c r="AG23" s="440"/>
      <c r="AH23" s="413"/>
      <c r="AI23" s="391"/>
      <c r="AJ23" s="391"/>
      <c r="AK23" s="441"/>
      <c r="AL23" s="441"/>
      <c r="AM23" s="412" t="s">
        <v>309</v>
      </c>
      <c r="AQ23" s="412" t="s">
        <v>310</v>
      </c>
      <c r="AU23" s="412" t="s">
        <v>311</v>
      </c>
      <c r="AY23" s="412" t="s">
        <v>312</v>
      </c>
      <c r="BC23" s="411"/>
      <c r="BD23" s="411"/>
      <c r="BE23" s="411"/>
      <c r="BF23" s="411"/>
      <c r="BG23" s="411"/>
      <c r="BH23" s="411"/>
      <c r="BI23" s="411"/>
      <c r="BJ23" s="411"/>
      <c r="BK23" s="411"/>
      <c r="BL23" s="411"/>
      <c r="BM23" s="411"/>
      <c r="BN23" s="391"/>
      <c r="BO23" s="391"/>
      <c r="BP23" s="391"/>
      <c r="BQ23" s="391"/>
      <c r="BR23" s="391"/>
      <c r="BS23" s="391"/>
      <c r="BT23" s="391"/>
      <c r="BU23" s="430"/>
      <c r="BV23" s="391"/>
      <c r="BW23" s="431"/>
      <c r="BZ23" s="442" t="s">
        <v>313</v>
      </c>
      <c r="CC23" s="417">
        <f t="shared" si="44"/>
        <v>8</v>
      </c>
      <c r="CD23" s="417">
        <f t="shared" si="45"/>
        <v>80</v>
      </c>
      <c r="CE23" s="418">
        <f t="shared" si="46"/>
        <v>1.125</v>
      </c>
      <c r="CF23" s="419"/>
      <c r="CG23" s="418"/>
      <c r="CH23" s="289" t="str">
        <f t="array" ref="CH23">IF(NOT($D$37=15),IFERROR(INDIRECT("'Bloque "&amp;$D$38&amp;" Semana "&amp;"15"&amp;"'"&amp;"!"&amp;"E37"),""),"S15")</f>
        <v/>
      </c>
      <c r="CI23" s="316" t="str">
        <f t="shared" si="21"/>
        <v/>
      </c>
      <c r="CJ23" s="224" t="str">
        <f t="shared" si="22"/>
        <v/>
      </c>
      <c r="CK23" s="85" t="str">
        <f t="shared" si="23"/>
        <v/>
      </c>
      <c r="CL23" s="85" t="str">
        <f t="shared" si="30"/>
        <v/>
      </c>
      <c r="CM23" s="168" t="str">
        <f t="shared" si="24"/>
        <v/>
      </c>
      <c r="CN23" s="327" t="str">
        <f t="shared" si="31"/>
        <v/>
      </c>
      <c r="CO23" s="168" t="str">
        <f t="shared" si="25"/>
        <v/>
      </c>
      <c r="CP23" s="168" t="str">
        <f t="shared" si="26"/>
        <v/>
      </c>
      <c r="CQ23" s="294" t="str">
        <f t="shared" si="27"/>
        <v/>
      </c>
      <c r="CR23" s="328" t="str">
        <f t="shared" si="32"/>
        <v/>
      </c>
      <c r="CS23" s="212"/>
      <c r="CT23" s="319"/>
      <c r="DE23" s="4"/>
      <c r="DJ23" s="120" t="s">
        <v>36</v>
      </c>
      <c r="DK23" s="93" t="str">
        <f t="shared" ref="DK23:EB23" si="49">IFERROR(INDIRECT("'Bloque "&amp;$D$38&amp;" Semana "&amp;MID(DK15,2,2)&amp;"'"&amp;"!"&amp;"CE16"),"")</f>
        <v/>
      </c>
      <c r="DL23" s="93" t="str">
        <f t="shared" si="49"/>
        <v/>
      </c>
      <c r="DM23" s="93" t="str">
        <f t="shared" si="49"/>
        <v/>
      </c>
      <c r="DN23" s="93" t="str">
        <f t="shared" si="49"/>
        <v/>
      </c>
      <c r="DO23" s="93" t="str">
        <f t="shared" si="49"/>
        <v/>
      </c>
      <c r="DP23" s="93" t="str">
        <f t="shared" si="49"/>
        <v/>
      </c>
      <c r="DQ23" s="93" t="str">
        <f t="shared" si="49"/>
        <v/>
      </c>
      <c r="DR23" s="93" t="str">
        <f t="shared" si="49"/>
        <v/>
      </c>
      <c r="DS23" s="93" t="str">
        <f t="shared" si="49"/>
        <v/>
      </c>
      <c r="DT23" s="93" t="str">
        <f t="shared" si="49"/>
        <v/>
      </c>
      <c r="DU23" s="93" t="str">
        <f t="shared" si="49"/>
        <v/>
      </c>
      <c r="DV23" s="93" t="str">
        <f t="shared" si="49"/>
        <v/>
      </c>
      <c r="DW23" s="93" t="str">
        <f t="shared" si="49"/>
        <v/>
      </c>
      <c r="DX23" s="93" t="str">
        <f t="shared" si="49"/>
        <v/>
      </c>
      <c r="DY23" s="93" t="str">
        <f t="shared" si="49"/>
        <v/>
      </c>
      <c r="DZ23" s="93" t="str">
        <f t="shared" si="49"/>
        <v/>
      </c>
      <c r="EA23" s="93" t="str">
        <f t="shared" si="49"/>
        <v/>
      </c>
      <c r="EB23" s="93" t="str">
        <f t="shared" si="49"/>
        <v/>
      </c>
      <c r="ED23" s="120" t="str">
        <f t="shared" si="40"/>
        <v>Tracción Horizontal</v>
      </c>
      <c r="EE23" s="269" t="str">
        <f t="shared" ref="EE23:EV23" si="50">IFERROR(INDIRECT("'Bloque "&amp;$D$38&amp;" Semana "&amp;MID(EE18,2,2)&amp;"'"&amp;"!"&amp;"CE25"),"")</f>
        <v/>
      </c>
      <c r="EF23" s="269" t="str">
        <f t="shared" si="50"/>
        <v/>
      </c>
      <c r="EG23" s="269" t="str">
        <f t="shared" si="50"/>
        <v/>
      </c>
      <c r="EH23" s="269" t="str">
        <f t="shared" si="50"/>
        <v/>
      </c>
      <c r="EI23" s="269" t="str">
        <f t="shared" si="50"/>
        <v/>
      </c>
      <c r="EJ23" s="269" t="str">
        <f t="shared" si="50"/>
        <v/>
      </c>
      <c r="EK23" s="269" t="str">
        <f t="shared" si="50"/>
        <v/>
      </c>
      <c r="EL23" s="269" t="str">
        <f t="shared" si="50"/>
        <v/>
      </c>
      <c r="EM23" s="269" t="str">
        <f t="shared" si="50"/>
        <v/>
      </c>
      <c r="EN23" s="269" t="str">
        <f t="shared" si="50"/>
        <v/>
      </c>
      <c r="EO23" s="269" t="str">
        <f t="shared" si="50"/>
        <v/>
      </c>
      <c r="EP23" s="269" t="str">
        <f t="shared" si="50"/>
        <v/>
      </c>
      <c r="EQ23" s="269" t="str">
        <f t="shared" si="50"/>
        <v/>
      </c>
      <c r="ER23" s="269" t="str">
        <f t="shared" si="50"/>
        <v/>
      </c>
      <c r="ES23" s="269" t="str">
        <f t="shared" si="50"/>
        <v/>
      </c>
      <c r="ET23" s="269" t="str">
        <f t="shared" si="50"/>
        <v/>
      </c>
      <c r="EU23" s="269" t="str">
        <f t="shared" si="50"/>
        <v/>
      </c>
      <c r="EV23" s="269" t="str">
        <f t="shared" si="50"/>
        <v/>
      </c>
      <c r="EX23" s="208" t="s">
        <v>314</v>
      </c>
      <c r="EY23" s="208"/>
      <c r="EZ23" s="208"/>
      <c r="FA23" s="208"/>
      <c r="FB23" s="208"/>
      <c r="FC23" s="208"/>
      <c r="FD23" s="208"/>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row>
    <row r="24">
      <c r="B24" s="199"/>
      <c r="D24" s="106"/>
      <c r="U24" s="408"/>
      <c r="V24" s="408"/>
      <c r="W24" s="201"/>
      <c r="X24" s="443" t="s">
        <v>302</v>
      </c>
      <c r="Y24" s="444">
        <f t="shared" ref="Y24:Y36" si="53">SUMIF($D$40:$D186,X24,$F$40:$F186)</f>
        <v>14</v>
      </c>
      <c r="Z24" s="398">
        <f t="shared" ref="Z24:Z36" si="54">IFERROR( AVERAGEIF($D$40:$D186,X24,$K$40:$K186),"")</f>
        <v>1.75</v>
      </c>
      <c r="AA24" s="445">
        <f t="shared" ref="AA24:AA36" si="55">SUMIF($D$40:$D186,X24,$Z$40:$Z186)</f>
        <v>177</v>
      </c>
      <c r="AB24" s="446"/>
      <c r="AC24" s="212"/>
      <c r="AE24" s="203"/>
      <c r="AF24" s="204"/>
      <c r="AG24" s="428"/>
      <c r="AI24" s="391"/>
      <c r="AJ24" s="412" t="s">
        <v>315</v>
      </c>
      <c r="AM24" s="85"/>
      <c r="AQ24" s="85"/>
      <c r="AU24" s="429" t="s">
        <v>562</v>
      </c>
      <c r="AY24" s="429"/>
      <c r="BC24" s="412"/>
      <c r="BF24" s="411"/>
      <c r="BG24" s="411"/>
      <c r="BH24" s="411"/>
      <c r="BI24" s="411"/>
      <c r="BJ24" s="411"/>
      <c r="BK24" s="411"/>
      <c r="BL24" s="411"/>
      <c r="BM24" s="411"/>
      <c r="BN24" s="391"/>
      <c r="BO24" s="391"/>
      <c r="BP24" s="391"/>
      <c r="BQ24" s="391"/>
      <c r="BR24" s="391"/>
      <c r="BS24" s="391"/>
      <c r="BT24" s="391"/>
      <c r="BU24" s="430"/>
      <c r="BV24" s="391"/>
      <c r="BW24" s="431"/>
      <c r="BZ24" s="447" t="s">
        <v>316</v>
      </c>
      <c r="CC24" s="417">
        <f t="shared" si="44"/>
        <v>7</v>
      </c>
      <c r="CD24" s="417">
        <f t="shared" si="45"/>
        <v>79</v>
      </c>
      <c r="CE24" s="418">
        <f t="shared" si="46"/>
        <v>0.2857142857</v>
      </c>
      <c r="CF24" s="419"/>
      <c r="CG24" s="418"/>
      <c r="CH24" s="289" t="str">
        <f t="array" ref="CH24">IF(NOT($D$37=16),IFERROR(INDIRECT("'Bloque "&amp;$D$38&amp;" Semana "&amp;"16"&amp;"'"&amp;"!"&amp;"E37"),""),"S16")</f>
        <v/>
      </c>
      <c r="CI24" s="316" t="str">
        <f t="shared" si="21"/>
        <v/>
      </c>
      <c r="CJ24" s="224" t="str">
        <f t="shared" si="22"/>
        <v/>
      </c>
      <c r="CK24" s="85" t="str">
        <f t="shared" si="23"/>
        <v/>
      </c>
      <c r="CL24" s="85" t="str">
        <f t="shared" si="30"/>
        <v/>
      </c>
      <c r="CM24" s="168" t="str">
        <f t="shared" si="24"/>
        <v/>
      </c>
      <c r="CN24" s="327" t="str">
        <f t="shared" si="31"/>
        <v/>
      </c>
      <c r="CO24" s="168" t="str">
        <f t="shared" si="25"/>
        <v/>
      </c>
      <c r="CP24" s="168" t="str">
        <f t="shared" si="26"/>
        <v/>
      </c>
      <c r="CQ24" s="294" t="str">
        <f t="shared" si="27"/>
        <v/>
      </c>
      <c r="CR24" s="328" t="str">
        <f t="shared" si="32"/>
        <v/>
      </c>
      <c r="CS24" s="212"/>
      <c r="CT24" s="319"/>
      <c r="DE24" s="4"/>
      <c r="DJ24" s="120" t="s">
        <v>42</v>
      </c>
      <c r="DK24" s="93" t="str">
        <f t="shared" ref="DK24:EB24" si="51">IFERROR(INDIRECT("'Bloque "&amp;$D$38&amp;" Semana "&amp;MID(DK15,2,2)&amp;"'"&amp;"!"&amp;"CE17"),"")</f>
        <v/>
      </c>
      <c r="DL24" s="93" t="str">
        <f t="shared" si="51"/>
        <v/>
      </c>
      <c r="DM24" s="93" t="str">
        <f t="shared" si="51"/>
        <v/>
      </c>
      <c r="DN24" s="93" t="str">
        <f t="shared" si="51"/>
        <v/>
      </c>
      <c r="DO24" s="93" t="str">
        <f t="shared" si="51"/>
        <v/>
      </c>
      <c r="DP24" s="93" t="str">
        <f t="shared" si="51"/>
        <v/>
      </c>
      <c r="DQ24" s="93" t="str">
        <f t="shared" si="51"/>
        <v/>
      </c>
      <c r="DR24" s="93" t="str">
        <f t="shared" si="51"/>
        <v/>
      </c>
      <c r="DS24" s="93" t="str">
        <f t="shared" si="51"/>
        <v/>
      </c>
      <c r="DT24" s="93" t="str">
        <f t="shared" si="51"/>
        <v/>
      </c>
      <c r="DU24" s="93" t="str">
        <f t="shared" si="51"/>
        <v/>
      </c>
      <c r="DV24" s="93" t="str">
        <f t="shared" si="51"/>
        <v/>
      </c>
      <c r="DW24" s="93" t="str">
        <f t="shared" si="51"/>
        <v/>
      </c>
      <c r="DX24" s="93" t="str">
        <f t="shared" si="51"/>
        <v/>
      </c>
      <c r="DY24" s="93" t="str">
        <f t="shared" si="51"/>
        <v/>
      </c>
      <c r="DZ24" s="93" t="str">
        <f t="shared" si="51"/>
        <v/>
      </c>
      <c r="EA24" s="93" t="str">
        <f t="shared" si="51"/>
        <v/>
      </c>
      <c r="EB24" s="93" t="str">
        <f t="shared" si="51"/>
        <v/>
      </c>
      <c r="ED24" s="120" t="str">
        <f t="shared" si="40"/>
        <v>Tracción Vertical</v>
      </c>
      <c r="EE24" s="269" t="str">
        <f t="shared" ref="EE24:EV24" si="52">IFERROR(INDIRECT("'Bloque "&amp;$D$38&amp;" Semana "&amp;MID(EE18,2,2)&amp;"'"&amp;"!"&amp;"CE26"),"")</f>
        <v/>
      </c>
      <c r="EF24" s="269" t="str">
        <f t="shared" si="52"/>
        <v/>
      </c>
      <c r="EG24" s="269" t="str">
        <f t="shared" si="52"/>
        <v/>
      </c>
      <c r="EH24" s="269" t="str">
        <f t="shared" si="52"/>
        <v/>
      </c>
      <c r="EI24" s="269" t="str">
        <f t="shared" si="52"/>
        <v/>
      </c>
      <c r="EJ24" s="269" t="str">
        <f t="shared" si="52"/>
        <v/>
      </c>
      <c r="EK24" s="269" t="str">
        <f t="shared" si="52"/>
        <v/>
      </c>
      <c r="EL24" s="269" t="str">
        <f t="shared" si="52"/>
        <v/>
      </c>
      <c r="EM24" s="269" t="str">
        <f t="shared" si="52"/>
        <v/>
      </c>
      <c r="EN24" s="269" t="str">
        <f t="shared" si="52"/>
        <v/>
      </c>
      <c r="EO24" s="269" t="str">
        <f t="shared" si="52"/>
        <v/>
      </c>
      <c r="EP24" s="269" t="str">
        <f t="shared" si="52"/>
        <v/>
      </c>
      <c r="EQ24" s="269" t="str">
        <f t="shared" si="52"/>
        <v/>
      </c>
      <c r="ER24" s="269" t="str">
        <f t="shared" si="52"/>
        <v/>
      </c>
      <c r="ES24" s="269" t="str">
        <f t="shared" si="52"/>
        <v/>
      </c>
      <c r="ET24" s="269" t="str">
        <f t="shared" si="52"/>
        <v/>
      </c>
      <c r="EU24" s="269" t="str">
        <f t="shared" si="52"/>
        <v/>
      </c>
      <c r="EV24" s="269" t="str">
        <f t="shared" si="52"/>
        <v/>
      </c>
      <c r="EX24" s="208"/>
      <c r="EY24" s="208"/>
      <c r="EZ24" s="208"/>
      <c r="FA24" s="208"/>
      <c r="FB24" s="208"/>
      <c r="FC24" s="208"/>
      <c r="FD24" s="208"/>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row>
    <row r="25">
      <c r="B25" s="199"/>
      <c r="D25" s="106"/>
      <c r="E25" s="448" t="s">
        <v>148</v>
      </c>
      <c r="U25" s="408"/>
      <c r="V25" s="408"/>
      <c r="W25" s="201"/>
      <c r="X25" s="449" t="s">
        <v>307</v>
      </c>
      <c r="Y25" s="444">
        <f t="shared" si="53"/>
        <v>0</v>
      </c>
      <c r="Z25" s="398" t="str">
        <f t="shared" si="54"/>
        <v/>
      </c>
      <c r="AA25" s="445">
        <f t="shared" si="55"/>
        <v>0</v>
      </c>
      <c r="AB25" s="446"/>
      <c r="AC25" s="212"/>
      <c r="AE25" s="203"/>
      <c r="AF25" s="204"/>
      <c r="AG25" s="450"/>
      <c r="AH25" s="451"/>
      <c r="AI25" s="414"/>
      <c r="AJ25" s="414"/>
      <c r="AK25" s="414"/>
      <c r="AL25" s="414"/>
      <c r="AM25" s="414"/>
      <c r="AN25" s="414"/>
      <c r="AO25" s="414"/>
      <c r="AP25" s="414"/>
      <c r="AQ25" s="414"/>
      <c r="AR25" s="414"/>
      <c r="AS25" s="414"/>
      <c r="AT25" s="414"/>
      <c r="AU25" s="414"/>
      <c r="AV25" s="414"/>
      <c r="AW25" s="414"/>
      <c r="AX25" s="414"/>
      <c r="AY25" s="391"/>
      <c r="AZ25" s="391"/>
      <c r="BA25" s="391"/>
      <c r="BB25" s="391"/>
      <c r="BC25" s="391"/>
      <c r="BD25" s="391"/>
      <c r="BE25" s="391"/>
      <c r="BF25" s="391"/>
      <c r="BG25" s="391"/>
      <c r="BH25" s="391"/>
      <c r="BI25" s="391"/>
      <c r="BJ25" s="391"/>
      <c r="BK25" s="391"/>
      <c r="BL25" s="391"/>
      <c r="BM25" s="391"/>
      <c r="BN25" s="391"/>
      <c r="BO25" s="391"/>
      <c r="BP25" s="391"/>
      <c r="BQ25" s="391"/>
      <c r="BR25" s="391"/>
      <c r="BS25" s="391"/>
      <c r="BT25" s="391"/>
      <c r="BU25" s="391"/>
      <c r="BV25" s="391"/>
      <c r="BW25" s="431"/>
      <c r="BZ25" s="452" t="s">
        <v>317</v>
      </c>
      <c r="CC25" s="417">
        <f t="shared" si="44"/>
        <v>5</v>
      </c>
      <c r="CD25" s="417">
        <f t="shared" si="45"/>
        <v>53</v>
      </c>
      <c r="CE25" s="418">
        <f t="shared" si="46"/>
        <v>0.5</v>
      </c>
      <c r="CF25" s="419"/>
      <c r="CG25" s="418"/>
      <c r="CH25" s="289" t="str">
        <f t="array" ref="CH25">IF(NOT($D$37=17),IFERROR(INDIRECT("'Bloque "&amp;$D$38&amp;" Semana "&amp;"17"&amp;"'"&amp;"!"&amp;"E37"),""),"S17")</f>
        <v/>
      </c>
      <c r="CI25" s="316" t="str">
        <f t="shared" si="21"/>
        <v/>
      </c>
      <c r="CJ25" s="224" t="str">
        <f t="shared" si="22"/>
        <v/>
      </c>
      <c r="CK25" s="85" t="str">
        <f t="shared" si="23"/>
        <v/>
      </c>
      <c r="CL25" s="85" t="str">
        <f t="shared" si="30"/>
        <v/>
      </c>
      <c r="CM25" s="168" t="str">
        <f t="shared" si="24"/>
        <v/>
      </c>
      <c r="CN25" s="327" t="str">
        <f t="shared" si="31"/>
        <v/>
      </c>
      <c r="CO25" s="168" t="str">
        <f t="shared" si="25"/>
        <v/>
      </c>
      <c r="CP25" s="168" t="str">
        <f t="shared" si="26"/>
        <v/>
      </c>
      <c r="CQ25" s="294" t="str">
        <f t="shared" si="27"/>
        <v/>
      </c>
      <c r="CR25" s="328" t="str">
        <f t="shared" si="32"/>
        <v/>
      </c>
      <c r="CS25" s="212"/>
      <c r="CT25" s="319"/>
      <c r="DE25" s="4"/>
      <c r="DJ25" s="453" t="s">
        <v>105</v>
      </c>
      <c r="DK25" s="454" t="str">
        <f t="shared" ref="DK25:EB25" si="56">IFERROR(INDIRECT("'Bloque "&amp;$D$38&amp;" Semana "&amp;MID(DK15,2,2)&amp;"'"&amp;"!"&amp;"CE18"),"")</f>
        <v/>
      </c>
      <c r="DL25" s="454" t="str">
        <f t="shared" si="56"/>
        <v/>
      </c>
      <c r="DM25" s="454" t="str">
        <f t="shared" si="56"/>
        <v/>
      </c>
      <c r="DN25" s="454" t="str">
        <f t="shared" si="56"/>
        <v/>
      </c>
      <c r="DO25" s="454" t="str">
        <f t="shared" si="56"/>
        <v/>
      </c>
      <c r="DP25" s="454" t="str">
        <f t="shared" si="56"/>
        <v/>
      </c>
      <c r="DQ25" s="454" t="str">
        <f t="shared" si="56"/>
        <v/>
      </c>
      <c r="DR25" s="454" t="str">
        <f t="shared" si="56"/>
        <v/>
      </c>
      <c r="DS25" s="454" t="str">
        <f t="shared" si="56"/>
        <v/>
      </c>
      <c r="DT25" s="454" t="str">
        <f t="shared" si="56"/>
        <v/>
      </c>
      <c r="DU25" s="454" t="str">
        <f t="shared" si="56"/>
        <v/>
      </c>
      <c r="DV25" s="454" t="str">
        <f t="shared" si="56"/>
        <v/>
      </c>
      <c r="DW25" s="454" t="str">
        <f t="shared" si="56"/>
        <v/>
      </c>
      <c r="DX25" s="454" t="str">
        <f t="shared" si="56"/>
        <v/>
      </c>
      <c r="DY25" s="454" t="str">
        <f t="shared" si="56"/>
        <v/>
      </c>
      <c r="DZ25" s="454" t="str">
        <f t="shared" si="56"/>
        <v/>
      </c>
      <c r="EA25" s="454" t="str">
        <f t="shared" si="56"/>
        <v/>
      </c>
      <c r="EB25" s="454" t="str">
        <f t="shared" si="56"/>
        <v/>
      </c>
      <c r="ED25" s="120"/>
      <c r="EE25" s="269"/>
      <c r="EF25" s="269"/>
      <c r="EG25" s="269"/>
      <c r="EH25" s="269"/>
      <c r="EI25" s="269"/>
      <c r="EJ25" s="269"/>
      <c r="EK25" s="269"/>
      <c r="EL25" s="269"/>
      <c r="EM25" s="269"/>
      <c r="EN25" s="269"/>
      <c r="EO25" s="269"/>
      <c r="EP25" s="269"/>
      <c r="EQ25" s="269"/>
      <c r="ER25" s="269"/>
      <c r="ES25" s="269"/>
      <c r="ET25" s="269"/>
      <c r="EU25" s="269"/>
      <c r="EV25" s="269"/>
      <c r="EX25" s="208"/>
      <c r="EY25" s="208"/>
      <c r="EZ25" s="208"/>
      <c r="FA25" s="208"/>
      <c r="FB25" s="208"/>
      <c r="FC25" s="208"/>
      <c r="FD25" s="208"/>
      <c r="FE25" s="208"/>
      <c r="FF25" s="208"/>
      <c r="FG25" s="208"/>
      <c r="FH25" s="208"/>
      <c r="FI25" s="208"/>
      <c r="FJ25" s="208"/>
      <c r="FK25" s="208"/>
      <c r="FL25" s="208"/>
      <c r="FM25" s="208"/>
      <c r="FN25" s="208"/>
      <c r="FO25" s="208"/>
      <c r="FP25" s="208"/>
      <c r="FQ25" s="208"/>
      <c r="FR25" s="208"/>
      <c r="FS25" s="208"/>
      <c r="FT25" s="208"/>
      <c r="FU25" s="208"/>
      <c r="FV25" s="208"/>
      <c r="FW25" s="208"/>
      <c r="FX25" s="208"/>
      <c r="FY25" s="208"/>
      <c r="FZ25" s="208"/>
      <c r="GA25" s="208"/>
      <c r="GB25" s="208"/>
      <c r="GC25" s="208"/>
      <c r="GD25" s="208"/>
      <c r="GE25" s="208"/>
      <c r="GF25" s="208"/>
      <c r="GG25" s="208"/>
      <c r="GH25" s="208"/>
    </row>
    <row r="26">
      <c r="B26" s="199"/>
      <c r="D26" s="106"/>
      <c r="E26" s="455" t="s">
        <v>318</v>
      </c>
      <c r="T26" s="34"/>
      <c r="U26" s="208"/>
      <c r="W26" s="201"/>
      <c r="X26" s="456" t="s">
        <v>313</v>
      </c>
      <c r="Y26" s="444">
        <f t="shared" si="53"/>
        <v>7</v>
      </c>
      <c r="Z26" s="398">
        <f t="shared" si="54"/>
        <v>2</v>
      </c>
      <c r="AA26" s="445">
        <f t="shared" si="55"/>
        <v>70</v>
      </c>
      <c r="AB26" s="446"/>
      <c r="AC26" s="212"/>
      <c r="AE26" s="203"/>
      <c r="AF26" s="204"/>
      <c r="AG26" s="457"/>
      <c r="AH26" s="391"/>
      <c r="AI26" s="391"/>
      <c r="AJ26" s="391"/>
      <c r="AK26" s="391"/>
      <c r="AL26" s="391"/>
      <c r="AM26" s="412" t="s">
        <v>319</v>
      </c>
      <c r="BC26" s="391"/>
      <c r="BD26" s="391"/>
      <c r="BE26" s="391"/>
      <c r="BF26" s="458" t="s">
        <v>320</v>
      </c>
      <c r="BU26" s="391"/>
      <c r="BV26" s="391"/>
      <c r="BW26" s="431"/>
      <c r="BX26" s="106"/>
      <c r="BY26" s="106"/>
      <c r="BZ26" s="459" t="s">
        <v>321</v>
      </c>
      <c r="CC26" s="417">
        <f t="shared" si="44"/>
        <v>0</v>
      </c>
      <c r="CD26" s="417">
        <f t="shared" si="45"/>
        <v>0</v>
      </c>
      <c r="CE26" s="418" t="str">
        <f t="shared" si="46"/>
        <v/>
      </c>
      <c r="CF26" s="419"/>
      <c r="CG26" s="418"/>
      <c r="CH26" s="460" t="str">
        <f t="array" ref="CH26">IF(NOT($D$37=18),IFERROR(INDIRECT("'Bloque "&amp;$D$38&amp;" Semana "&amp;"18"&amp;"'"&amp;"!"&amp;"E37"),""),"S18")</f>
        <v/>
      </c>
      <c r="CI26" s="461" t="str">
        <f t="shared" si="21"/>
        <v/>
      </c>
      <c r="CJ26" s="462" t="str">
        <f t="shared" si="22"/>
        <v/>
      </c>
      <c r="CK26" s="463" t="str">
        <f t="shared" si="23"/>
        <v/>
      </c>
      <c r="CL26" s="463" t="str">
        <f t="shared" si="30"/>
        <v/>
      </c>
      <c r="CM26" s="464" t="str">
        <f t="shared" si="24"/>
        <v/>
      </c>
      <c r="CN26" s="465" t="str">
        <f t="shared" si="31"/>
        <v/>
      </c>
      <c r="CO26" s="464" t="str">
        <f t="shared" si="25"/>
        <v/>
      </c>
      <c r="CP26" s="464" t="str">
        <f t="shared" si="26"/>
        <v/>
      </c>
      <c r="CQ26" s="466" t="str">
        <f t="shared" si="27"/>
        <v/>
      </c>
      <c r="CR26" s="467" t="str">
        <f t="shared" si="32"/>
        <v/>
      </c>
      <c r="CS26" s="468"/>
      <c r="CT26" s="469"/>
      <c r="DE26" s="4"/>
      <c r="DJ26" s="144" t="s">
        <v>166</v>
      </c>
      <c r="DK26" s="108"/>
      <c r="DL26" s="108"/>
      <c r="DM26" s="108"/>
      <c r="DN26" s="108"/>
      <c r="DO26" s="108"/>
      <c r="DP26" s="108"/>
      <c r="DQ26" s="108"/>
      <c r="DR26" s="108"/>
      <c r="DS26" s="108"/>
      <c r="DT26" s="108"/>
      <c r="DU26" s="108"/>
      <c r="DV26" s="108"/>
      <c r="DW26" s="108"/>
      <c r="DX26" s="108"/>
      <c r="DY26" s="108"/>
      <c r="DZ26" s="108"/>
      <c r="EA26" s="108"/>
      <c r="EB26" s="108"/>
      <c r="ED26" s="120"/>
      <c r="EE26" s="269"/>
      <c r="EF26" s="269"/>
      <c r="EG26" s="269"/>
      <c r="EH26" s="269"/>
      <c r="EI26" s="269"/>
      <c r="EJ26" s="269"/>
      <c r="EK26" s="269"/>
      <c r="EL26" s="269"/>
      <c r="EM26" s="269"/>
      <c r="EN26" s="269"/>
      <c r="EO26" s="269"/>
      <c r="EP26" s="269"/>
      <c r="EQ26" s="269"/>
      <c r="ER26" s="269"/>
      <c r="ES26" s="269"/>
      <c r="ET26" s="269"/>
      <c r="EU26" s="269"/>
      <c r="EV26" s="269"/>
      <c r="EX26" s="208"/>
      <c r="EY26" s="208"/>
      <c r="EZ26" s="208"/>
      <c r="FA26" s="208"/>
      <c r="FB26" s="208"/>
      <c r="FC26" s="208"/>
      <c r="FD26" s="208"/>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row>
    <row r="27">
      <c r="B27" s="199"/>
      <c r="E27" s="470" t="s">
        <v>265</v>
      </c>
      <c r="F27" s="471" t="s">
        <v>267</v>
      </c>
      <c r="G27" s="37"/>
      <c r="H27" s="37"/>
      <c r="I27" s="37"/>
      <c r="J27" s="471"/>
      <c r="K27" s="471" t="s">
        <v>269</v>
      </c>
      <c r="L27" s="37"/>
      <c r="M27" s="37"/>
      <c r="N27" s="471" t="s">
        <v>271</v>
      </c>
      <c r="O27" s="37"/>
      <c r="P27" s="37"/>
      <c r="Q27" s="37"/>
      <c r="R27" s="471" t="s">
        <v>273</v>
      </c>
      <c r="S27" s="471" t="s">
        <v>275</v>
      </c>
      <c r="T27" s="472" t="s">
        <v>277</v>
      </c>
      <c r="U27" s="208"/>
      <c r="V27" s="106"/>
      <c r="W27" s="201"/>
      <c r="X27" s="473" t="s">
        <v>316</v>
      </c>
      <c r="Y27" s="444">
        <f t="shared" si="53"/>
        <v>4</v>
      </c>
      <c r="Z27" s="398">
        <f t="shared" si="54"/>
        <v>2</v>
      </c>
      <c r="AA27" s="445">
        <f t="shared" si="55"/>
        <v>24</v>
      </c>
      <c r="AB27" s="446"/>
      <c r="AC27" s="212"/>
      <c r="AE27" s="203"/>
      <c r="AF27" s="204"/>
      <c r="AG27" s="474"/>
      <c r="AH27" s="391"/>
      <c r="AI27" s="391"/>
      <c r="AJ27" s="391"/>
      <c r="AK27" s="391"/>
      <c r="AL27" s="391"/>
      <c r="AM27" s="475"/>
      <c r="BC27" s="391"/>
      <c r="BD27" s="391"/>
      <c r="BE27" s="391"/>
      <c r="BF27" s="476"/>
      <c r="BU27" s="391"/>
      <c r="BV27" s="391"/>
      <c r="BW27" s="431"/>
      <c r="BZ27" s="477" t="s">
        <v>312</v>
      </c>
      <c r="CC27" s="417">
        <f t="shared" si="44"/>
        <v>0</v>
      </c>
      <c r="CD27" s="417">
        <f t="shared" si="45"/>
        <v>0</v>
      </c>
      <c r="CE27" s="418" t="str">
        <f t="shared" si="46"/>
        <v/>
      </c>
      <c r="CF27" s="419"/>
      <c r="CG27" s="418"/>
      <c r="CH27" s="83" t="s">
        <v>251</v>
      </c>
      <c r="CI27" s="290" t="s">
        <v>322</v>
      </c>
      <c r="CJ27" s="290" t="s">
        <v>323</v>
      </c>
      <c r="CK27" s="478"/>
      <c r="CL27" s="479"/>
      <c r="CM27" s="479"/>
      <c r="CN27" s="479"/>
      <c r="CO27" s="479"/>
      <c r="CP27" s="479"/>
      <c r="CT27" s="330"/>
      <c r="DE27" s="4"/>
      <c r="DJ27" s="83"/>
      <c r="DK27" s="227" t="str">
        <f t="array" ref="DK27">IF(NOT($D$37=1),IFERROR(INDIRECT("'Bloque "&amp;$D$38&amp;" Semana "&amp;"1"&amp;"'"&amp;"!"&amp;"E37"),""),"S1")</f>
        <v/>
      </c>
      <c r="DL27" s="227" t="str">
        <f t="array" ref="DL27">IF(NOT($D$37=2),IFERROR(INDIRECT("'Bloque "&amp;$D$38&amp;" Semana "&amp;"2"&amp;"'"&amp;"!"&amp;"E37"),""),"S2")</f>
        <v>S2</v>
      </c>
      <c r="DM27" s="227" t="str">
        <f t="array" ref="DM27">IF(NOT($D$37=3),IFERROR(INDIRECT("'Bloque "&amp;$D$38&amp;" Semana "&amp;"3"&amp;"'"&amp;"!"&amp;"E37"),""),"S3")</f>
        <v/>
      </c>
      <c r="DN27" s="227" t="str">
        <f t="array" ref="DN27">IF(NOT($D$37=4),IFERROR(INDIRECT("'Bloque "&amp;$D$38&amp;" Semana "&amp;"4"&amp;"'"&amp;"!"&amp;"E37"),""),"S4")</f>
        <v/>
      </c>
      <c r="DO27" s="227" t="str">
        <f t="array" ref="DO27">IF(NOT($D$37=5),IFERROR(INDIRECT("'Bloque "&amp;$D$38&amp;" Semana "&amp;"5"&amp;"'"&amp;"!"&amp;"E37"),""),"S5")</f>
        <v/>
      </c>
      <c r="DP27" s="227" t="str">
        <f t="array" ref="DP27">IF(NOT($D$37=6),IFERROR(INDIRECT("'Bloque "&amp;$D$38&amp;" Semana "&amp;"6"&amp;"'"&amp;"!"&amp;"E37"),""),"S6")</f>
        <v/>
      </c>
      <c r="DQ27" s="227" t="str">
        <f t="array" ref="DQ27">IF(NOT($D$37=7),IFERROR(INDIRECT("'Bloque "&amp;$D$38&amp;" Semana "&amp;"7"&amp;"'"&amp;"!"&amp;"E37"),""),"S7")</f>
        <v/>
      </c>
      <c r="DR27" s="227" t="str">
        <f t="array" ref="DR27">IF(NOT($D$37=8),IFERROR(INDIRECT("'Bloque "&amp;$D$38&amp;" Semana "&amp;"8"&amp;"'"&amp;"!"&amp;"E37"),""),"S8")</f>
        <v/>
      </c>
      <c r="DS27" s="227" t="str">
        <f t="array" ref="DS27">IF(NOT($D$37=9),IFERROR(INDIRECT("'Bloque "&amp;$D$38&amp;" Semana "&amp;"9"&amp;"'"&amp;"!"&amp;"E37"),""),"S9")</f>
        <v/>
      </c>
      <c r="DT27" s="227" t="str">
        <f t="array" ref="DT27">IF(NOT($D$37=10),IFERROR(INDIRECT("'Bloque "&amp;$D$38&amp;" Semana "&amp;"10"&amp;"'"&amp;"!"&amp;"E37"),""),"S10")</f>
        <v/>
      </c>
      <c r="DU27" s="227" t="str">
        <f t="array" ref="DU27">IF(NOT($D$37=11),IFERROR(INDIRECT("'Bloque "&amp;$D$38&amp;" Semana "&amp;"11"&amp;"'"&amp;"!"&amp;"E37"),""),"S11")</f>
        <v/>
      </c>
      <c r="DV27" s="227" t="str">
        <f t="array" ref="DV27">IF(NOT($D$37=12),IFERROR(INDIRECT("'Bloque "&amp;$D$38&amp;" Semana "&amp;"12"&amp;"'"&amp;"!"&amp;"E37"),""),"S12")</f>
        <v/>
      </c>
      <c r="DW27" s="227" t="str">
        <f t="array" ref="DW27">IF(NOT($D$37=13),IFERROR(INDIRECT("'Bloque "&amp;$D$38&amp;" Semana "&amp;"13"&amp;"'"&amp;"!"&amp;"E37"),""),"S13")</f>
        <v/>
      </c>
      <c r="DX27" s="227" t="str">
        <f t="array" ref="DX27">IF(NOT($D$37=14),IFERROR(INDIRECT("'Bloque "&amp;$D$38&amp;" Semana "&amp;"14"&amp;"'"&amp;"!"&amp;"E37"),""),"S14")</f>
        <v/>
      </c>
      <c r="DY27" s="227" t="str">
        <f t="array" ref="DY27">IF(NOT($D$37=15),IFERROR(INDIRECT("'Bloque "&amp;$D$38&amp;" Semana "&amp;"15"&amp;"'"&amp;"!"&amp;"E37"),""),"S15")</f>
        <v/>
      </c>
      <c r="DZ27" s="227" t="str">
        <f t="array" ref="DZ27">IF(NOT($D$37=16),IFERROR(INDIRECT("'Bloque "&amp;$D$38&amp;" Semana "&amp;"16"&amp;"'"&amp;"!"&amp;"E37"),""),"S16")</f>
        <v/>
      </c>
      <c r="EA27" s="227" t="str">
        <f t="array" ref="EA27">IF(NOT($D$37=17),IFERROR(INDIRECT("'Bloque "&amp;$D$38&amp;" Semana "&amp;"17"&amp;"'"&amp;"!"&amp;"E37"),""),"S17")</f>
        <v/>
      </c>
      <c r="EB27" s="227" t="str">
        <f t="array" ref="EB27">IF(NOT($D$37=18),IFERROR(INDIRECT("'Bloque "&amp;$D$38&amp;" Semana "&amp;"18"&amp;"'"&amp;"!"&amp;"E37"),""),"S18")</f>
        <v/>
      </c>
      <c r="ED27" s="120"/>
      <c r="EE27" s="269"/>
      <c r="EF27" s="269"/>
      <c r="EG27" s="269"/>
      <c r="EH27" s="269"/>
      <c r="EI27" s="269"/>
      <c r="EJ27" s="269"/>
      <c r="EK27" s="269"/>
      <c r="EL27" s="269"/>
      <c r="EM27" s="269"/>
      <c r="EN27" s="269"/>
      <c r="EO27" s="269"/>
      <c r="EP27" s="269"/>
      <c r="EQ27" s="269"/>
      <c r="ER27" s="269"/>
      <c r="ES27" s="269"/>
      <c r="ET27" s="269"/>
      <c r="EU27" s="269"/>
      <c r="EV27" s="269"/>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row>
    <row r="28">
      <c r="B28" s="199"/>
      <c r="D28" s="106"/>
      <c r="E28" s="480" t="str">
        <f t="array" ref="E28">SUBSTITUTE(TEXTJOIN(CHAR(10),TRUE,IFERROR(INDIRECT("AF"&amp;MATCH("Día 1",B:B,0)+1&amp;":AF"&amp;MATCH("Día 2",B:B,0)-1),"")),".",";") </f>
        <v>SQ pausa ct3: 3 x 5 x 127,5 kg 
DL deficit 4cm: 3 x 5 x 147,5 kg 
KTB swing: 4 x 12 x  kg RIR 2 
Extension cuadriceps : 3 x 12 x  kg RIR 2 
Plate crunch: 3 x 15 x  kg RIR 2 </v>
      </c>
      <c r="F28" s="481" t="str">
        <f t="array" ref="F28">SUBSTITUTE(TEXTJOIN(CHAR(10),TRUE,IFERROR(INDIRECT("AF"&amp;MATCH("Día 2",B:B,0)+1&amp;":AF"&amp;MATCH("Día 3",B:B,0)-1),"")),".",";") </f>
        <v>BP Kodama: 4 x 4 x 87,5 kg 
Fondos : 3 x 10 x  kg RIR 2-3 
Dominadas: 3 x 8 x  kg RIR 2 
Remo con barra: 3 x 10 x  kg RIR 2 
Arnold press: 3 x 15 x  kg RIR 2 
Press frances mancuerna: 3 x 15 x  kg RIR 2 </v>
      </c>
      <c r="I28" s="482"/>
      <c r="J28" s="481" t="str">
        <f t="array" ref="J28">SUBSTITUTE(TEXTJOIN(CHAR(10),TRUE,IFERROR(INDIRECT("AF"&amp;MATCH("Día 3",B:B,0)+1&amp;":AF"&amp;MATCH("Día 4",B:B,0)-1),"")),".",";") </f>
        <v/>
      </c>
      <c r="M28" s="482"/>
      <c r="N28" s="481" t="str">
        <f t="array" ref="N28">SUBSTITUTE(TEXTJOIN(CHAR(10),TRUE,IFERROR(INDIRECT("AF"&amp;MATCH("Día 4",B:B,0)+1&amp;":AF"&amp;MATCH("Día 5",B:B,0)-1),"")),".",";") </f>
        <v>BP : 4 x 4 x 95 kg 
Floor press cg: 4 x 10 x  kg RIR 2-3 
Press militar sentado : 4 x 6 x  kg RIR 2-3 
Bench pisol sq : 3 x 15 x  kg RIR 2-3 
Pajaro polea baja : 3 x 12 x  kg RIR 1-2 </v>
      </c>
      <c r="Q28" s="482"/>
      <c r="R28" s="483" t="str">
        <f t="array" ref="R28">SUBSTITUTE(TEXTJOIN(CHAR(10),TRUE,IFERROR(INDIRECT("AF"&amp;MATCH("Día 5",B:B,0)+1&amp;":AF"&amp;MATCH("Día 6",B:B,0)-1),"")),".",";") </f>
        <v>SQ : 4 x 4 x 165 kg 
BP larsen: 3 x 5 x 82,5 kg 
DL : 4 x 4 x 207,5 kg 
aductor en paquina : 4 x 12 x  kg RIR 1-2 
Plancha de gluteo : 3 x 20s x  kg RIR 1-2 </v>
      </c>
      <c r="S28" s="484" t="str">
        <f t="array" ref="S28">SUBSTITUTE(TEXTJOIN(CHAR(10),TRUE,IFERROR(INDIRECT("AF"&amp;MATCH("Día 6",B:B,0)+1&amp;":AF"&amp;MATCH("Día 7",B:B,0)-1),"")),".",";") </f>
        <v/>
      </c>
      <c r="T28" s="485" t="str">
        <f t="array" ref="T28">SUBSTITUTE(TEXTJOIN(CHAR(10),TRUE,IFERROR(INDIRECT("AF"&amp;MATCH("Día 7",B:B,0)+1&amp;":AF"&amp;MATCH("Día 8",B:B,0)-1),"")),".",";") </f>
        <v/>
      </c>
      <c r="V28" s="106"/>
      <c r="W28" s="338"/>
      <c r="X28" s="486" t="s">
        <v>317</v>
      </c>
      <c r="Y28" s="444">
        <f t="shared" si="53"/>
        <v>9</v>
      </c>
      <c r="Z28" s="398">
        <f t="shared" si="54"/>
        <v>2</v>
      </c>
      <c r="AA28" s="445">
        <f t="shared" si="55"/>
        <v>99</v>
      </c>
      <c r="AB28" s="446"/>
      <c r="AC28" s="224"/>
      <c r="AE28" s="487"/>
      <c r="AF28" s="291"/>
      <c r="AG28" s="474"/>
      <c r="AH28" s="391"/>
      <c r="AI28" s="391"/>
      <c r="AJ28" s="391"/>
      <c r="AK28" s="391"/>
      <c r="AL28" s="391"/>
      <c r="AM28" s="412" t="s">
        <v>324</v>
      </c>
      <c r="BC28" s="391"/>
      <c r="BD28" s="391"/>
      <c r="BE28" s="391"/>
      <c r="BF28" s="412" t="s">
        <v>325</v>
      </c>
      <c r="BU28" s="391"/>
      <c r="BV28" s="391"/>
      <c r="BW28" s="431"/>
      <c r="BZ28" s="477" t="s">
        <v>301</v>
      </c>
      <c r="CC28" s="417">
        <f t="shared" si="44"/>
        <v>0</v>
      </c>
      <c r="CD28" s="417">
        <f t="shared" si="45"/>
        <v>0</v>
      </c>
      <c r="CE28" s="418" t="str">
        <f t="shared" si="46"/>
        <v/>
      </c>
      <c r="CF28" s="419"/>
      <c r="CG28" s="418"/>
      <c r="CH28" s="488" t="str">
        <f>IFERROR( AVERAGE(CM9:CM26),"")</f>
        <v/>
      </c>
      <c r="CI28" s="489">
        <f>SUM(CL9:CL26)</f>
        <v>0</v>
      </c>
      <c r="CJ28" s="490">
        <f>SUM(CN9:CN26)</f>
        <v>0</v>
      </c>
      <c r="CK28" s="120"/>
      <c r="CT28" s="330"/>
      <c r="DE28" s="4"/>
      <c r="DJ28" s="120" t="s">
        <v>194</v>
      </c>
      <c r="DK28" s="231" t="str">
        <f t="shared" ref="DK28:EB28" si="57">IFERROR(INDIRECT("'Bloque "&amp;$D$38&amp;" Semana "&amp;MID(DK15,2,2)&amp;"'"&amp;"!"&amp;"AK17"),"")</f>
        <v/>
      </c>
      <c r="DL28" s="231" t="str">
        <f t="shared" si="57"/>
        <v/>
      </c>
      <c r="DM28" s="231" t="str">
        <f t="shared" si="57"/>
        <v/>
      </c>
      <c r="DN28" s="231" t="str">
        <f t="shared" si="57"/>
        <v/>
      </c>
      <c r="DO28" s="231" t="str">
        <f t="shared" si="57"/>
        <v/>
      </c>
      <c r="DP28" s="231" t="str">
        <f t="shared" si="57"/>
        <v/>
      </c>
      <c r="DQ28" s="231" t="str">
        <f t="shared" si="57"/>
        <v/>
      </c>
      <c r="DR28" s="231" t="str">
        <f t="shared" si="57"/>
        <v/>
      </c>
      <c r="DS28" s="231" t="str">
        <f t="shared" si="57"/>
        <v/>
      </c>
      <c r="DT28" s="231" t="str">
        <f t="shared" si="57"/>
        <v/>
      </c>
      <c r="DU28" s="231" t="str">
        <f t="shared" si="57"/>
        <v/>
      </c>
      <c r="DV28" s="231" t="str">
        <f t="shared" si="57"/>
        <v/>
      </c>
      <c r="DW28" s="231" t="str">
        <f t="shared" si="57"/>
        <v/>
      </c>
      <c r="DX28" s="231" t="str">
        <f t="shared" si="57"/>
        <v/>
      </c>
      <c r="DY28" s="231" t="str">
        <f t="shared" si="57"/>
        <v/>
      </c>
      <c r="DZ28" s="231" t="str">
        <f t="shared" si="57"/>
        <v/>
      </c>
      <c r="EA28" s="231" t="str">
        <f t="shared" si="57"/>
        <v/>
      </c>
      <c r="EB28" s="231" t="str">
        <f t="shared" si="57"/>
        <v/>
      </c>
      <c r="ED28" s="120"/>
      <c r="EE28" s="269"/>
      <c r="EF28" s="269"/>
      <c r="EG28" s="269"/>
      <c r="EH28" s="269"/>
      <c r="EI28" s="269"/>
      <c r="EJ28" s="269"/>
      <c r="EK28" s="269"/>
      <c r="EL28" s="269"/>
      <c r="EM28" s="269"/>
      <c r="EN28" s="269"/>
      <c r="EO28" s="269"/>
      <c r="EP28" s="269"/>
      <c r="EQ28" s="269"/>
      <c r="ER28" s="269"/>
      <c r="ES28" s="269"/>
      <c r="ET28" s="269"/>
      <c r="EU28" s="269"/>
      <c r="EV28" s="269"/>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row>
    <row r="29">
      <c r="B29" s="199"/>
      <c r="D29" s="106"/>
      <c r="E29" s="491"/>
      <c r="I29" s="482"/>
      <c r="M29" s="482"/>
      <c r="Q29" s="482"/>
      <c r="R29" s="482"/>
      <c r="S29" s="482"/>
      <c r="T29" s="492"/>
      <c r="U29" s="106"/>
      <c r="V29" s="106"/>
      <c r="W29" s="338"/>
      <c r="X29" s="493" t="s">
        <v>321</v>
      </c>
      <c r="Y29" s="444">
        <f t="shared" si="53"/>
        <v>0</v>
      </c>
      <c r="Z29" s="398" t="str">
        <f t="shared" si="54"/>
        <v/>
      </c>
      <c r="AA29" s="445">
        <f t="shared" si="55"/>
        <v>0</v>
      </c>
      <c r="AB29" s="446"/>
      <c r="AC29" s="224"/>
      <c r="AE29" s="487"/>
      <c r="AF29" s="291"/>
      <c r="AG29" s="474"/>
      <c r="AH29" s="391"/>
      <c r="AI29" s="391"/>
      <c r="AJ29" s="391"/>
      <c r="AK29" s="391"/>
      <c r="AL29" s="391"/>
      <c r="AM29" s="475"/>
      <c r="BC29" s="391"/>
      <c r="BD29" s="391"/>
      <c r="BE29" s="391"/>
      <c r="BF29" s="475"/>
      <c r="BU29" s="391"/>
      <c r="BV29" s="391"/>
      <c r="BW29" s="431"/>
      <c r="BZ29" s="477" t="s">
        <v>326</v>
      </c>
      <c r="CC29" s="417">
        <f t="shared" si="44"/>
        <v>0</v>
      </c>
      <c r="CD29" s="417">
        <f t="shared" si="45"/>
        <v>0</v>
      </c>
      <c r="CE29" s="418" t="str">
        <f t="shared" si="46"/>
        <v/>
      </c>
      <c r="CF29" s="419"/>
      <c r="CG29" s="418"/>
      <c r="CK29" s="120"/>
      <c r="CT29" s="330"/>
      <c r="DE29" s="4"/>
      <c r="DJ29" s="120" t="s">
        <v>195</v>
      </c>
      <c r="DK29" s="494" t="str">
        <f t="shared" ref="DK29:EB29" si="58">IFERROR(INDIRECT("'Bloque "&amp;$D$38&amp;" Semana "&amp;MID(DK15,2,2)&amp;"'"&amp;"!"&amp;"BI16"),"")</f>
        <v/>
      </c>
      <c r="DL29" s="494" t="str">
        <f t="shared" si="58"/>
        <v/>
      </c>
      <c r="DM29" s="494" t="str">
        <f t="shared" si="58"/>
        <v/>
      </c>
      <c r="DN29" s="494" t="str">
        <f t="shared" si="58"/>
        <v/>
      </c>
      <c r="DO29" s="494" t="str">
        <f t="shared" si="58"/>
        <v/>
      </c>
      <c r="DP29" s="494" t="str">
        <f t="shared" si="58"/>
        <v/>
      </c>
      <c r="DQ29" s="494" t="str">
        <f t="shared" si="58"/>
        <v/>
      </c>
      <c r="DR29" s="494" t="str">
        <f t="shared" si="58"/>
        <v/>
      </c>
      <c r="DS29" s="494" t="str">
        <f t="shared" si="58"/>
        <v/>
      </c>
      <c r="DT29" s="494" t="str">
        <f t="shared" si="58"/>
        <v/>
      </c>
      <c r="DU29" s="494" t="str">
        <f t="shared" si="58"/>
        <v/>
      </c>
      <c r="DV29" s="494" t="str">
        <f t="shared" si="58"/>
        <v/>
      </c>
      <c r="DW29" s="494" t="str">
        <f t="shared" si="58"/>
        <v/>
      </c>
      <c r="DX29" s="494" t="str">
        <f t="shared" si="58"/>
        <v/>
      </c>
      <c r="DY29" s="494" t="str">
        <f t="shared" si="58"/>
        <v/>
      </c>
      <c r="DZ29" s="494" t="str">
        <f t="shared" si="58"/>
        <v/>
      </c>
      <c r="EA29" s="494" t="str">
        <f t="shared" si="58"/>
        <v/>
      </c>
      <c r="EB29" s="494" t="str">
        <f t="shared" si="58"/>
        <v/>
      </c>
      <c r="ED29" s="120"/>
      <c r="EE29" s="269"/>
      <c r="EF29" s="269"/>
      <c r="EG29" s="269"/>
      <c r="EH29" s="269"/>
      <c r="EI29" s="269"/>
      <c r="EJ29" s="269"/>
      <c r="EK29" s="269"/>
      <c r="EL29" s="269"/>
      <c r="EM29" s="269"/>
      <c r="EN29" s="269"/>
      <c r="EO29" s="269"/>
      <c r="EP29" s="269"/>
      <c r="EQ29" s="269"/>
      <c r="ER29" s="269"/>
      <c r="ES29" s="269"/>
      <c r="ET29" s="269"/>
      <c r="EU29" s="269"/>
      <c r="EV29" s="269"/>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row>
    <row r="30">
      <c r="B30" s="199"/>
      <c r="D30" s="106"/>
      <c r="E30" s="491"/>
      <c r="I30" s="482"/>
      <c r="M30" s="482"/>
      <c r="Q30" s="482"/>
      <c r="R30" s="482"/>
      <c r="S30" s="482"/>
      <c r="T30" s="492"/>
      <c r="U30" s="106"/>
      <c r="V30" s="106"/>
      <c r="W30" s="338"/>
      <c r="X30" s="156" t="s">
        <v>312</v>
      </c>
      <c r="Y30" s="444">
        <f t="shared" si="53"/>
        <v>0</v>
      </c>
      <c r="Z30" s="398" t="str">
        <f t="shared" si="54"/>
        <v/>
      </c>
      <c r="AA30" s="445">
        <f t="shared" si="55"/>
        <v>0</v>
      </c>
      <c r="AB30" s="446"/>
      <c r="AC30" s="224"/>
      <c r="AE30" s="487"/>
      <c r="AF30" s="291"/>
      <c r="AG30" s="474"/>
      <c r="AH30" s="391"/>
      <c r="AI30" s="391"/>
      <c r="AJ30" s="391"/>
      <c r="AK30" s="391"/>
      <c r="AL30" s="391"/>
      <c r="AM30" s="412" t="s">
        <v>327</v>
      </c>
      <c r="BC30" s="391"/>
      <c r="BD30" s="391"/>
      <c r="BE30" s="391"/>
      <c r="BF30" s="412" t="s">
        <v>328</v>
      </c>
      <c r="BU30" s="391"/>
      <c r="BV30" s="391"/>
      <c r="BW30" s="431"/>
      <c r="BZ30" s="477" t="s">
        <v>329</v>
      </c>
      <c r="CC30" s="417">
        <f t="shared" si="44"/>
        <v>0</v>
      </c>
      <c r="CD30" s="417">
        <f t="shared" si="45"/>
        <v>0</v>
      </c>
      <c r="CE30" s="418" t="str">
        <f t="shared" si="46"/>
        <v/>
      </c>
      <c r="CF30" s="419"/>
      <c r="CG30" s="418"/>
      <c r="CH30" s="418"/>
      <c r="CK30" s="495"/>
      <c r="CT30" s="330"/>
      <c r="DJ30" s="83" t="s">
        <v>196</v>
      </c>
      <c r="DK30" s="496" t="str">
        <f t="shared" ref="DK30:EB30" si="59">IFERROR(INDIRECT("'Bloque "&amp;$D$38&amp;" Semana "&amp;MID(DK15,2,2)&amp;"'"&amp;"!"&amp;"BM16"),"")</f>
        <v/>
      </c>
      <c r="DL30" s="496" t="str">
        <f t="shared" si="59"/>
        <v/>
      </c>
      <c r="DM30" s="496" t="str">
        <f t="shared" si="59"/>
        <v/>
      </c>
      <c r="DN30" s="496" t="str">
        <f t="shared" si="59"/>
        <v/>
      </c>
      <c r="DO30" s="496" t="str">
        <f t="shared" si="59"/>
        <v/>
      </c>
      <c r="DP30" s="496" t="str">
        <f t="shared" si="59"/>
        <v/>
      </c>
      <c r="DQ30" s="496" t="str">
        <f t="shared" si="59"/>
        <v/>
      </c>
      <c r="DR30" s="496" t="str">
        <f t="shared" si="59"/>
        <v/>
      </c>
      <c r="DS30" s="496" t="str">
        <f t="shared" si="59"/>
        <v/>
      </c>
      <c r="DT30" s="496" t="str">
        <f t="shared" si="59"/>
        <v/>
      </c>
      <c r="DU30" s="496" t="str">
        <f t="shared" si="59"/>
        <v/>
      </c>
      <c r="DV30" s="496" t="str">
        <f t="shared" si="59"/>
        <v/>
      </c>
      <c r="DW30" s="496" t="str">
        <f t="shared" si="59"/>
        <v/>
      </c>
      <c r="DX30" s="496" t="str">
        <f t="shared" si="59"/>
        <v/>
      </c>
      <c r="DY30" s="496" t="str">
        <f t="shared" si="59"/>
        <v/>
      </c>
      <c r="DZ30" s="496" t="str">
        <f t="shared" si="59"/>
        <v/>
      </c>
      <c r="EA30" s="496" t="str">
        <f t="shared" si="59"/>
        <v/>
      </c>
      <c r="EB30" s="496" t="str">
        <f t="shared" si="59"/>
        <v/>
      </c>
      <c r="ED30" s="120"/>
      <c r="EE30" s="269"/>
      <c r="EF30" s="269"/>
      <c r="EG30" s="269"/>
      <c r="EH30" s="269"/>
      <c r="EI30" s="269"/>
      <c r="EJ30" s="269"/>
      <c r="EK30" s="269"/>
      <c r="EL30" s="269"/>
      <c r="EM30" s="269"/>
      <c r="EN30" s="269"/>
      <c r="EO30" s="269"/>
      <c r="EP30" s="269"/>
      <c r="EQ30" s="269"/>
      <c r="ER30" s="269"/>
      <c r="ES30" s="269"/>
      <c r="ET30" s="269"/>
      <c r="EU30" s="269"/>
      <c r="EV30" s="269"/>
      <c r="EX30" s="208"/>
      <c r="EY30" s="208"/>
      <c r="EZ30" s="208"/>
      <c r="FA30" s="208"/>
      <c r="FB30" s="208"/>
      <c r="FC30" s="208"/>
      <c r="FD30" s="208"/>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row>
    <row r="31">
      <c r="B31" s="199"/>
      <c r="E31" s="491"/>
      <c r="I31" s="482"/>
      <c r="M31" s="482"/>
      <c r="Q31" s="482"/>
      <c r="R31" s="482"/>
      <c r="S31" s="482"/>
      <c r="T31" s="492"/>
      <c r="U31" s="106"/>
      <c r="V31" s="106"/>
      <c r="W31" s="338"/>
      <c r="X31" s="156" t="s">
        <v>301</v>
      </c>
      <c r="Y31" s="444">
        <f t="shared" si="53"/>
        <v>3</v>
      </c>
      <c r="Z31" s="398">
        <f t="shared" si="54"/>
        <v>1</v>
      </c>
      <c r="AA31" s="445">
        <f t="shared" si="55"/>
        <v>36</v>
      </c>
      <c r="AB31" s="446"/>
      <c r="AC31" s="224"/>
      <c r="AE31" s="487"/>
      <c r="AF31" s="291"/>
      <c r="AG31" s="474"/>
      <c r="AH31" s="391"/>
      <c r="AI31" s="391"/>
      <c r="AJ31" s="391"/>
      <c r="AK31" s="391"/>
      <c r="AL31" s="391"/>
      <c r="AM31" s="475"/>
      <c r="BC31" s="391"/>
      <c r="BD31" s="391"/>
      <c r="BE31" s="391"/>
      <c r="BF31" s="475"/>
      <c r="BU31" s="391"/>
      <c r="BV31" s="391"/>
      <c r="BW31" s="431"/>
      <c r="BZ31" s="477" t="s">
        <v>330</v>
      </c>
      <c r="CC31" s="417">
        <f t="shared" si="44"/>
        <v>0</v>
      </c>
      <c r="CD31" s="417">
        <f t="shared" si="45"/>
        <v>0</v>
      </c>
      <c r="CE31" s="418" t="str">
        <f t="shared" si="46"/>
        <v/>
      </c>
      <c r="CF31" s="419"/>
      <c r="CG31" s="418"/>
      <c r="CH31" s="418"/>
      <c r="CK31" s="83"/>
      <c r="CT31" s="330"/>
      <c r="EX31" s="208"/>
      <c r="EY31" s="208"/>
      <c r="EZ31" s="208"/>
      <c r="FA31" s="208"/>
      <c r="FB31" s="208"/>
      <c r="FC31" s="208"/>
      <c r="FD31" s="208"/>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row>
    <row r="32">
      <c r="B32" s="199"/>
      <c r="E32" s="491"/>
      <c r="I32" s="482"/>
      <c r="M32" s="482"/>
      <c r="Q32" s="482"/>
      <c r="R32" s="482"/>
      <c r="S32" s="482"/>
      <c r="T32" s="492"/>
      <c r="V32" s="106"/>
      <c r="W32" s="338"/>
      <c r="X32" s="156" t="s">
        <v>326</v>
      </c>
      <c r="Y32" s="444">
        <f t="shared" si="53"/>
        <v>3</v>
      </c>
      <c r="Z32" s="398">
        <f t="shared" si="54"/>
        <v>2</v>
      </c>
      <c r="AA32" s="445">
        <f t="shared" si="55"/>
        <v>45</v>
      </c>
      <c r="AB32" s="446"/>
      <c r="AC32" s="224"/>
      <c r="AE32" s="487"/>
      <c r="AF32" s="291"/>
      <c r="AG32" s="497"/>
      <c r="AH32" s="391"/>
      <c r="AI32" s="391"/>
      <c r="AJ32" s="391"/>
      <c r="AK32" s="391"/>
      <c r="AL32" s="391"/>
      <c r="AM32" s="498" t="s">
        <v>331</v>
      </c>
      <c r="BU32" s="391"/>
      <c r="BV32" s="391"/>
      <c r="BW32" s="431"/>
      <c r="BZ32" s="477" t="s">
        <v>332</v>
      </c>
      <c r="CC32" s="417">
        <f t="shared" si="44"/>
        <v>0</v>
      </c>
      <c r="CD32" s="417">
        <f t="shared" si="45"/>
        <v>0</v>
      </c>
      <c r="CE32" s="418" t="str">
        <f t="shared" si="46"/>
        <v/>
      </c>
      <c r="CF32" s="419"/>
      <c r="CG32" s="418"/>
      <c r="CH32" s="418"/>
      <c r="CK32" s="120"/>
      <c r="CT32" s="330"/>
      <c r="EX32" s="208"/>
      <c r="EY32" s="208"/>
      <c r="EZ32" s="208"/>
      <c r="FA32" s="208"/>
      <c r="FB32" s="208"/>
      <c r="FC32" s="208"/>
      <c r="FD32" s="208"/>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row>
    <row r="33">
      <c r="B33" s="199"/>
      <c r="E33" s="491"/>
      <c r="I33" s="482"/>
      <c r="M33" s="482"/>
      <c r="Q33" s="482"/>
      <c r="R33" s="482"/>
      <c r="S33" s="482"/>
      <c r="T33" s="492"/>
      <c r="U33" s="106"/>
      <c r="V33" s="106"/>
      <c r="W33" s="338"/>
      <c r="X33" s="156" t="s">
        <v>333</v>
      </c>
      <c r="Y33" s="444">
        <f t="shared" si="53"/>
        <v>0</v>
      </c>
      <c r="Z33" s="398" t="str">
        <f t="shared" si="54"/>
        <v/>
      </c>
      <c r="AA33" s="445">
        <f t="shared" si="55"/>
        <v>0</v>
      </c>
      <c r="AB33" s="446"/>
      <c r="AC33" s="224"/>
      <c r="AE33" s="487"/>
      <c r="AF33" s="291"/>
      <c r="AG33" s="428"/>
      <c r="AH33" s="499"/>
      <c r="AI33" s="499"/>
      <c r="AJ33" s="499"/>
      <c r="AK33" s="499"/>
      <c r="AL33" s="499"/>
      <c r="AM33" s="500" t="s">
        <v>563</v>
      </c>
      <c r="BU33" s="499"/>
      <c r="BV33" s="499"/>
      <c r="BW33" s="501"/>
      <c r="BZ33" s="502" t="s">
        <v>334</v>
      </c>
      <c r="CC33" s="417">
        <f t="shared" si="44"/>
        <v>0</v>
      </c>
      <c r="CD33" s="417">
        <f t="shared" si="45"/>
        <v>0</v>
      </c>
      <c r="CE33" s="418" t="str">
        <f t="shared" si="46"/>
        <v/>
      </c>
      <c r="CF33" s="330"/>
      <c r="CK33" s="120"/>
      <c r="CT33" s="330"/>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row>
    <row r="34">
      <c r="B34" s="199"/>
      <c r="E34" s="491"/>
      <c r="I34" s="482"/>
      <c r="M34" s="482"/>
      <c r="Q34" s="482"/>
      <c r="R34" s="482"/>
      <c r="S34" s="482"/>
      <c r="T34" s="492"/>
      <c r="U34" s="106"/>
      <c r="V34" s="106"/>
      <c r="W34" s="338"/>
      <c r="X34" s="156" t="s">
        <v>330</v>
      </c>
      <c r="Y34" s="444">
        <f t="shared" si="53"/>
        <v>0</v>
      </c>
      <c r="Z34" s="398" t="str">
        <f t="shared" si="54"/>
        <v/>
      </c>
      <c r="AA34" s="445">
        <f t="shared" si="55"/>
        <v>0</v>
      </c>
      <c r="AB34" s="446"/>
      <c r="AC34" s="224"/>
      <c r="AE34" s="487"/>
      <c r="AF34" s="291"/>
      <c r="AG34" s="497"/>
      <c r="AH34" s="503"/>
      <c r="AI34" s="503"/>
      <c r="AJ34" s="503"/>
      <c r="AK34" s="503"/>
      <c r="AL34" s="503"/>
      <c r="BU34" s="391"/>
      <c r="BV34" s="391"/>
      <c r="BW34" s="431"/>
      <c r="BZ34" s="504"/>
      <c r="CA34" s="505"/>
      <c r="CB34" s="505"/>
      <c r="CC34" s="505"/>
      <c r="CD34" s="505"/>
      <c r="CE34" s="505"/>
      <c r="CF34" s="506"/>
      <c r="CG34" s="505"/>
      <c r="CH34" s="505"/>
      <c r="CI34" s="505"/>
      <c r="CJ34" s="505"/>
      <c r="CK34" s="507"/>
      <c r="CL34" s="505"/>
      <c r="CM34" s="505"/>
      <c r="CN34" s="505"/>
      <c r="CO34" s="505"/>
      <c r="CP34" s="505"/>
      <c r="CQ34" s="505"/>
      <c r="CR34" s="505"/>
      <c r="CS34" s="505"/>
      <c r="CT34" s="506"/>
      <c r="EX34" s="208"/>
      <c r="EY34" s="208"/>
      <c r="EZ34" s="208"/>
      <c r="FA34" s="208"/>
      <c r="FB34" s="208"/>
      <c r="FC34" s="208"/>
      <c r="FD34" s="208"/>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row>
    <row r="35" ht="88.5" customHeight="1">
      <c r="B35" s="199"/>
      <c r="E35" s="508"/>
      <c r="F35" s="509"/>
      <c r="G35" s="509"/>
      <c r="H35" s="509"/>
      <c r="I35" s="510"/>
      <c r="J35" s="509"/>
      <c r="K35" s="509"/>
      <c r="L35" s="509"/>
      <c r="M35" s="510"/>
      <c r="N35" s="509"/>
      <c r="O35" s="509"/>
      <c r="P35" s="509"/>
      <c r="Q35" s="510"/>
      <c r="R35" s="510"/>
      <c r="S35" s="510"/>
      <c r="T35" s="511"/>
      <c r="V35" s="106"/>
      <c r="W35" s="338"/>
      <c r="X35" s="512" t="s">
        <v>332</v>
      </c>
      <c r="Y35" s="444">
        <f t="shared" si="53"/>
        <v>6</v>
      </c>
      <c r="Z35" s="398">
        <f t="shared" si="54"/>
        <v>1.5</v>
      </c>
      <c r="AA35" s="445">
        <f t="shared" si="55"/>
        <v>105</v>
      </c>
      <c r="AB35" s="446"/>
      <c r="AC35" s="224"/>
      <c r="AE35" s="487"/>
      <c r="AF35" s="291"/>
      <c r="AG35" s="513"/>
      <c r="AH35" s="514"/>
      <c r="AI35" s="514"/>
      <c r="AJ35" s="514"/>
      <c r="AK35" s="514"/>
      <c r="AL35" s="514"/>
      <c r="AM35" s="514"/>
      <c r="AN35" s="514"/>
      <c r="AO35" s="514"/>
      <c r="AP35" s="514"/>
      <c r="AQ35" s="514"/>
      <c r="AR35" s="514"/>
      <c r="AS35" s="514"/>
      <c r="AT35" s="514"/>
      <c r="AU35" s="514"/>
      <c r="AV35" s="514"/>
      <c r="AW35" s="514"/>
      <c r="AX35" s="514"/>
      <c r="AY35" s="514"/>
      <c r="AZ35" s="514"/>
      <c r="BA35" s="514"/>
      <c r="BB35" s="515"/>
      <c r="BC35" s="515"/>
      <c r="BD35" s="515"/>
      <c r="BE35" s="515"/>
      <c r="BF35" s="515"/>
      <c r="BG35" s="515"/>
      <c r="BH35" s="515"/>
      <c r="BI35" s="515"/>
      <c r="BJ35" s="515"/>
      <c r="BK35" s="515"/>
      <c r="BL35" s="515"/>
      <c r="BM35" s="515"/>
      <c r="BN35" s="515"/>
      <c r="BO35" s="515"/>
      <c r="BP35" s="515"/>
      <c r="BQ35" s="514"/>
      <c r="BR35" s="514"/>
      <c r="BS35" s="514"/>
      <c r="BT35" s="514"/>
      <c r="BU35" s="514"/>
      <c r="BV35" s="514"/>
      <c r="BW35" s="516"/>
      <c r="EX35" s="208"/>
      <c r="EY35" s="208"/>
      <c r="EZ35" s="208"/>
      <c r="FA35" s="208"/>
      <c r="FB35" s="208"/>
      <c r="FC35" s="208"/>
      <c r="FD35" s="208"/>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row>
    <row r="36">
      <c r="B36" s="199"/>
      <c r="K36" s="200"/>
      <c r="L36" s="200"/>
      <c r="U36" s="106"/>
      <c r="V36" s="106"/>
      <c r="W36" s="338"/>
      <c r="X36" s="517" t="s">
        <v>334</v>
      </c>
      <c r="Y36" s="444">
        <f t="shared" si="53"/>
        <v>0</v>
      </c>
      <c r="Z36" s="398" t="str">
        <f t="shared" si="54"/>
        <v/>
      </c>
      <c r="AA36" s="445">
        <f t="shared" si="55"/>
        <v>0</v>
      </c>
      <c r="AB36" s="518"/>
      <c r="AC36" s="224"/>
      <c r="AE36" s="487"/>
      <c r="AF36" s="291"/>
      <c r="BE36" s="519"/>
      <c r="BF36" s="519"/>
      <c r="BG36" s="519"/>
      <c r="BH36" s="519"/>
      <c r="BI36" s="519"/>
      <c r="BJ36" s="519"/>
      <c r="BK36" s="519"/>
      <c r="BL36" s="519"/>
      <c r="BM36" s="519"/>
      <c r="BN36" s="519"/>
      <c r="BO36" s="519"/>
      <c r="BP36" s="519"/>
      <c r="BQ36" s="519"/>
      <c r="BR36" s="519"/>
      <c r="EX36" s="208"/>
      <c r="EY36" s="208"/>
      <c r="EZ36" s="208"/>
      <c r="FA36" s="208"/>
      <c r="FB36" s="208"/>
      <c r="FC36" s="208"/>
      <c r="FD36" s="208"/>
      <c r="FE36" s="208"/>
      <c r="FF36" s="208"/>
      <c r="FG36" s="208"/>
      <c r="FH36" s="208"/>
      <c r="FI36" s="208"/>
      <c r="FJ36" s="208"/>
      <c r="FK36" s="208"/>
      <c r="FL36" s="208"/>
      <c r="FM36" s="208"/>
      <c r="FN36" s="208"/>
      <c r="FO36" s="208"/>
      <c r="FP36" s="208"/>
      <c r="FQ36" s="208"/>
      <c r="FR36" s="208"/>
      <c r="FS36" s="208"/>
      <c r="FT36" s="208"/>
      <c r="FU36" s="208"/>
      <c r="FV36" s="208"/>
      <c r="FW36" s="208"/>
      <c r="FX36" s="208"/>
      <c r="FY36" s="208"/>
      <c r="FZ36" s="208"/>
      <c r="GA36" s="208"/>
      <c r="GB36" s="208"/>
      <c r="GC36" s="208"/>
      <c r="GD36" s="208"/>
      <c r="GE36" s="208"/>
      <c r="GF36" s="208"/>
      <c r="GG36" s="208"/>
      <c r="GH36" s="208"/>
    </row>
    <row r="37">
      <c r="B37" s="199"/>
      <c r="C37" s="520" t="s">
        <v>335</v>
      </c>
      <c r="D37" s="360">
        <v>2.0</v>
      </c>
      <c r="E37" s="521" t="str">
        <f>"S"&amp;D37</f>
        <v>S2</v>
      </c>
      <c r="W37" s="201"/>
      <c r="X37" s="522"/>
      <c r="Y37" s="523"/>
      <c r="Z37" s="523"/>
      <c r="AA37" s="523"/>
      <c r="AB37" s="523"/>
      <c r="AC37" s="523"/>
      <c r="AD37" s="524"/>
      <c r="AE37" s="525"/>
      <c r="AF37" s="526" t="s">
        <v>336</v>
      </c>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527"/>
      <c r="BU37" s="528"/>
      <c r="BV37" s="528"/>
      <c r="BW37" s="528"/>
      <c r="BX37" s="106"/>
      <c r="BY37" s="106"/>
      <c r="BZ37" s="529" t="s">
        <v>337</v>
      </c>
      <c r="CA37" s="221"/>
      <c r="CB37" s="221"/>
      <c r="CC37" s="221"/>
      <c r="CD37" s="221"/>
      <c r="CE37" s="221"/>
      <c r="CF37" s="221"/>
      <c r="CG37" s="221"/>
      <c r="CH37" s="221"/>
      <c r="CI37" s="221"/>
      <c r="CJ37" s="221"/>
      <c r="CK37" s="221"/>
      <c r="CL37" s="221"/>
      <c r="CM37" s="222"/>
      <c r="DE37" s="106"/>
      <c r="DF37" s="106"/>
      <c r="DG37" s="106"/>
      <c r="DH37" s="106"/>
      <c r="DI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X37" s="208"/>
      <c r="EY37" s="208"/>
      <c r="EZ37" s="208"/>
      <c r="FA37" s="208"/>
      <c r="FB37" s="208"/>
      <c r="FC37" s="208"/>
      <c r="FD37" s="208"/>
      <c r="FE37" s="208"/>
      <c r="FF37" s="208"/>
      <c r="FG37" s="208"/>
      <c r="FH37" s="208"/>
      <c r="FI37" s="208"/>
      <c r="FJ37" s="208"/>
      <c r="FK37" s="208"/>
      <c r="FL37" s="208"/>
      <c r="FM37" s="208"/>
      <c r="FN37" s="208"/>
      <c r="FO37" s="208"/>
      <c r="FP37" s="208"/>
      <c r="FQ37" s="208"/>
      <c r="FR37" s="208"/>
      <c r="FS37" s="208"/>
      <c r="FT37" s="208"/>
      <c r="FU37" s="208"/>
      <c r="FV37" s="208"/>
      <c r="FW37" s="208"/>
      <c r="FX37" s="208"/>
      <c r="FY37" s="208"/>
      <c r="FZ37" s="208"/>
      <c r="GA37" s="208"/>
      <c r="GB37" s="208"/>
      <c r="GC37" s="208"/>
      <c r="GD37" s="208"/>
      <c r="GE37" s="208"/>
      <c r="GF37" s="208"/>
      <c r="GG37" s="208"/>
      <c r="GH37" s="208"/>
    </row>
    <row r="38">
      <c r="B38" s="199"/>
      <c r="C38" s="520" t="s">
        <v>338</v>
      </c>
      <c r="D38" s="360">
        <v>7.0</v>
      </c>
      <c r="E38" s="128"/>
      <c r="F38" s="530" t="s">
        <v>339</v>
      </c>
      <c r="Q38" s="531"/>
      <c r="R38" s="532"/>
      <c r="S38" s="532"/>
      <c r="T38" s="532"/>
      <c r="U38" s="128"/>
      <c r="W38" s="201"/>
      <c r="X38" s="360" t="s">
        <v>340</v>
      </c>
      <c r="AE38" s="533"/>
      <c r="AF38" s="360"/>
      <c r="AG38" s="534" t="s">
        <v>341</v>
      </c>
      <c r="AJ38" s="226"/>
      <c r="AK38" s="534" t="s">
        <v>342</v>
      </c>
      <c r="AO38" s="534" t="s">
        <v>343</v>
      </c>
      <c r="AS38" s="534" t="s">
        <v>344</v>
      </c>
      <c r="AW38" s="534" t="s">
        <v>345</v>
      </c>
      <c r="BA38" s="534" t="s">
        <v>346</v>
      </c>
      <c r="BE38" s="534" t="s">
        <v>347</v>
      </c>
      <c r="BI38" s="534" t="s">
        <v>348</v>
      </c>
      <c r="BM38" s="534" t="s">
        <v>349</v>
      </c>
      <c r="BQ38" s="534" t="s">
        <v>350</v>
      </c>
      <c r="BT38" s="492"/>
      <c r="BU38" s="535"/>
      <c r="BV38" s="535"/>
      <c r="BW38" s="535"/>
      <c r="BX38" s="106"/>
      <c r="BY38" s="106"/>
      <c r="BZ38" s="536"/>
      <c r="CA38" s="537"/>
      <c r="CB38" s="537"/>
      <c r="CC38" s="537"/>
      <c r="CD38" s="537"/>
      <c r="CE38" s="537"/>
      <c r="CF38" s="537"/>
      <c r="CG38" s="537"/>
      <c r="CH38" s="537"/>
      <c r="CI38" s="537"/>
      <c r="CJ38" s="537"/>
      <c r="CM38" s="226"/>
      <c r="DE38" s="106"/>
      <c r="DF38" s="106"/>
      <c r="DG38" s="106"/>
      <c r="DH38" s="106"/>
      <c r="DI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X38" s="208"/>
      <c r="EY38" s="208"/>
      <c r="EZ38" s="208"/>
      <c r="FA38" s="208"/>
      <c r="FB38" s="208"/>
      <c r="FC38" s="208"/>
      <c r="FD38" s="208"/>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row>
    <row r="39">
      <c r="A39" s="538"/>
      <c r="B39" s="539" t="s">
        <v>351</v>
      </c>
      <c r="C39" s="540"/>
      <c r="D39" s="537" t="s">
        <v>352</v>
      </c>
      <c r="E39" s="541" t="s">
        <v>353</v>
      </c>
      <c r="F39" s="537" t="s">
        <v>293</v>
      </c>
      <c r="G39" s="542" t="s">
        <v>254</v>
      </c>
      <c r="H39" s="537" t="s">
        <v>354</v>
      </c>
      <c r="I39" s="537" t="str">
        <f t="array" ref="I39:I186">{"KG (%)";IFERROR(MROUND(IFS(MID($D$40:$D186,1,2)=$E$14,$F$14*$H$40:$H186,MID($D$40:$D186,1,2)=$E$15,$F$15*$H$40:$H186,MID($D$40:$D186,1,2)=$E$16,$F$16*$H$40:$H186),2.5),"")}</f>
        <v>KG (%)</v>
      </c>
      <c r="J39" s="360" t="s">
        <v>355</v>
      </c>
      <c r="K39" s="537" t="s">
        <v>356</v>
      </c>
      <c r="M39" s="537" t="s">
        <v>257</v>
      </c>
      <c r="O39" s="537" t="s">
        <v>357</v>
      </c>
      <c r="P39" s="537" t="s">
        <v>358</v>
      </c>
      <c r="Q39" s="537" t="s">
        <v>359</v>
      </c>
      <c r="S39" s="542" t="s">
        <v>18</v>
      </c>
      <c r="U39" s="542" t="str">
        <f>"NOTAS DE "&amp;'Introducción'!B19&amp;" "&amp;'Introducción'!B20</f>
        <v>#REF!</v>
      </c>
      <c r="V39" s="542" t="s">
        <v>360</v>
      </c>
      <c r="W39" s="543"/>
      <c r="X39" s="360" t="str">
        <f t="array" ref="X39:X186">{"Tonelaje pre-establecido";IFERROR(F40:F186*G40:G186*I40:I186,"")+IFERROR(F40:F186*G40:G186*J40:J186,"")}</f>
        <v>Tonelaje pre-establecido</v>
      </c>
      <c r="Y39" s="360" t="str">
        <f t="array" ref="Y39:Y186">{"Tonelaje Realizado";CE40:CE186}</f>
        <v>Tonelaje Realizado</v>
      </c>
      <c r="Z39" s="360" t="str">
        <f t="array" ref="Z39:Z186">{"NL pre-establecido";IFERROR( IF(LEN(F40:F186),LEFT(G40:G186,2)*F40:F186,""),"")}</f>
        <v>NL pre-establecido</v>
      </c>
      <c r="AA39" s="360" t="str">
        <f t="array" ref="AA39:AA186">{"% (M)";IF(LEFT($D$40:$D186,2)="SQ",$J$40:$J186/$F$14,IF(LEFT($D$40:$D186,2)="BP",$J$40:$J186/$F$15,IF(LEFT($D$40:D186,2)="DL",$J$40:$J186/$F$16)))}</f>
        <v>% (M)</v>
      </c>
      <c r="AB39" s="360" t="s">
        <v>263</v>
      </c>
      <c r="AC39" s="360"/>
      <c r="AD39" s="360" t="str">
        <f t="array" ref="AD39:AD186">{"Series realizadas";IF(NOT(ISBLANK(AG40:AG186)),1,"")+IF(NOT(ISBLANK(AK40:AK186)),1,"")+IF(NOT(ISBLANK(AO40:AO186)),1,"")+IF(NOT(ISBLANK(AS40:AS186)),1,"")+IF(NOT(ISBLANK(AW40:AW186)),1,"")+IF(NOT(ISBLANK(BA40:BA186)),1,"")+IF(NOT(ISBLANK(BE40:BE186)),1,"")+IF(NOT(ISBLANK(BI40:BI186)),1,"")+IF(NOT(ISBLANK(BM40:BM186)),1,"")+IF(NOT(ISBLANK(BQ40:BQ186)),1,"")}</f>
        <v>Series realizadas</v>
      </c>
      <c r="AE39" s="533"/>
      <c r="AF39" s="360" t="str">
        <f t="array" ref="AF39:AF186">{"EJERCICIOS";IF(ISBLANK($D$40:$D186),"",$E$40:$E186&amp;": "&amp;$F$40:$F186&amp;" x "&amp;$G$40:$G186&amp;" x "&amp;IF(NOT(ISBLANK($H$40:$H186)),$I$40:$I186&amp;" kg",J40:J186&amp;" kg")&amp;IF(NOT(ISBLANK($K$40:$K186))," RIR "&amp;$K$40:$K186,"")&amp;IF(NOT(ISBLANK($L$40:$L186)),"-"&amp;$L$40:$L186,"")&amp;" "&amp;IF(NOT(ISBLANK($M$40:$M186)),"x RPE "&amp;$M$40:$M186,"")&amp;IF(NOT(ISBLANK($N$40:$N186)),"-"&amp;$N$40:$N186,""))}</f>
        <v>EJERCICIOS</v>
      </c>
      <c r="AG39" s="544" t="s">
        <v>254</v>
      </c>
      <c r="AH39" s="545" t="s">
        <v>262</v>
      </c>
      <c r="AI39" s="546" t="s">
        <v>356</v>
      </c>
      <c r="AJ39" s="547" t="s">
        <v>257</v>
      </c>
      <c r="AK39" s="548" t="s">
        <v>254</v>
      </c>
      <c r="AL39" s="545" t="s">
        <v>262</v>
      </c>
      <c r="AM39" s="546" t="s">
        <v>356</v>
      </c>
      <c r="AN39" s="547" t="s">
        <v>257</v>
      </c>
      <c r="AO39" s="548" t="s">
        <v>254</v>
      </c>
      <c r="AP39" s="549" t="s">
        <v>262</v>
      </c>
      <c r="AQ39" s="546" t="s">
        <v>356</v>
      </c>
      <c r="AR39" s="550" t="s">
        <v>257</v>
      </c>
      <c r="AS39" s="548" t="s">
        <v>254</v>
      </c>
      <c r="AT39" s="545" t="s">
        <v>262</v>
      </c>
      <c r="AU39" s="546" t="s">
        <v>356</v>
      </c>
      <c r="AV39" s="550" t="s">
        <v>257</v>
      </c>
      <c r="AW39" s="548" t="s">
        <v>254</v>
      </c>
      <c r="AX39" s="545" t="s">
        <v>262</v>
      </c>
      <c r="AY39" s="546" t="s">
        <v>356</v>
      </c>
      <c r="AZ39" s="550" t="s">
        <v>257</v>
      </c>
      <c r="BA39" s="548" t="s">
        <v>254</v>
      </c>
      <c r="BB39" s="545" t="s">
        <v>262</v>
      </c>
      <c r="BC39" s="546" t="s">
        <v>356</v>
      </c>
      <c r="BD39" s="550" t="s">
        <v>257</v>
      </c>
      <c r="BE39" s="548" t="s">
        <v>254</v>
      </c>
      <c r="BF39" s="545" t="s">
        <v>262</v>
      </c>
      <c r="BG39" s="546" t="s">
        <v>356</v>
      </c>
      <c r="BH39" s="550" t="s">
        <v>257</v>
      </c>
      <c r="BI39" s="548" t="s">
        <v>254</v>
      </c>
      <c r="BJ39" s="545" t="s">
        <v>262</v>
      </c>
      <c r="BK39" s="546" t="s">
        <v>356</v>
      </c>
      <c r="BL39" s="550" t="s">
        <v>257</v>
      </c>
      <c r="BM39" s="548" t="s">
        <v>254</v>
      </c>
      <c r="BN39" s="545" t="s">
        <v>262</v>
      </c>
      <c r="BO39" s="546" t="s">
        <v>356</v>
      </c>
      <c r="BP39" s="550" t="s">
        <v>257</v>
      </c>
      <c r="BQ39" s="548" t="s">
        <v>254</v>
      </c>
      <c r="BR39" s="545" t="s">
        <v>262</v>
      </c>
      <c r="BS39" s="546" t="s">
        <v>356</v>
      </c>
      <c r="BT39" s="551" t="s">
        <v>257</v>
      </c>
      <c r="BU39" s="552"/>
      <c r="BV39" s="540"/>
      <c r="BW39" s="552"/>
      <c r="BX39" s="553"/>
      <c r="BY39" s="553"/>
      <c r="BZ39" s="554" t="str">
        <f t="array" ref="BZ39:BZ186">{"1RM";IFERROR(IFS(MID(D40:D186,1,2)=$E$14,$F$14,MID(D40:D186,1,2)=$E$15,$F$15,MID(D40:D186,1,2)=$E$16,$F$16),)}</f>
        <v>1RM</v>
      </c>
      <c r="CA39" s="555" t="str">
        <f t="array" ref="CA39:CA186">{"aRI";IFERROR(IF(COUNTIF(D40:D186,E14)+COUNTIF(D40:D186,E15)+COUNTIF(D40:D186,E16)=0, IFS(MID(D40:D186,1,2)=E14, IF(MID(D40:D186,1,2)=E14, ((AH40:AH186)+(AL40:AL186)+(AP40:AP186)+(AT40:AT186)+(AX40:AX186)+(BB40:BB186)+(BF40:BF186)+(BJ40:BJ186)+(BN40:BN186)+(BR40:BR186))/AD40:AD186*100%/$F$14,((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15,IF(MID(D40:D186,1,2)=E15, ((AH40:AH186)+(AL40:AL186)+(AP40:AP186)+(AT40:AT186)+(AX40:AX186)+(BB40:BB186)+(BF40:BF186)+(BJ40:BJ186)+(BN40:BN186)+(BR40:BR186))/AD40:AD186*100%/$F$15,((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MID(D40:D186,1,2)=E16,IF(MID(D40:D186,1,2)=E16, ((AH40:AH186)+(AL40:AL186)+(AP40:AP186)+(AT40:AT186)+(AX40:AX186)+(BB40:BB186)+(BF40:BF186)+(BJ40:BJ186)+(BN40:BN186)+(BR40:BR186))/AD40:AD186*100%/$F$16,((AH40:AH186+AL40:AL186+AP40:AP186+AT40:AT186+AX40:AX186+BB40:BB186+BF40:BF186+BJ40:BJ186+BN40:BN186+BR40:BR186)/AD40:AD186*(((AG40:AG186+AK40:AK186+AO40:AO186+AS40:AS186+AW40:AW186+BA40:BA186+BC40:BC186+BE40:BE186+BI40:BI186+BM40:BM186+BQ40:BQ186)/AD40:AD186+((AI40:AI186+AM40:AM186+AQ40:AQ186+AU40:AU186+AY40:AY186+BG40:BG186+BK40:BK186+BO40:BO186+BS40:BS186)/#REF!))*0.0333)+(AH40:AH186+AL40:AL186+AP40:AP186+AT40:AT186+AX40:AX186+BB40:BB186+BF40:BF186+BJ40:BJ186+BN40:BN186+BR40:BR186)/AD40:AD186)))),"")}</f>
        <v>aRI</v>
      </c>
      <c r="CB39" s="555" t="str">
        <f t="array" ref="CB39:CB186">{"aI";IFERROR(((AH40:AH186)+(AL40:AL186)+(AP40:AP186)+(AT40:AT186)+(AX40:AX186)+(BB40:BB186)+(BF40:BF186)+(BJ40:BJ186)+(BN40:BN186)+(BR40:BR186))/(AD40:AD186),"")}</f>
        <v>aI</v>
      </c>
      <c r="CC39" s="556" t="str">
        <f t="array" ref="CC39:CC186">{"NL";AG40:AG186+AK40:AK186+AO40:AO186+AS40:AS186+AW40:AW186+BA40:BA186+BE40:BE186+BI40:BI186+BM40:BM186+BQ40:BQ186}</f>
        <v>NL</v>
      </c>
      <c r="CD39" s="555" t="str">
        <f t="array" ref="CD39:CD186">{"avg_RIR";IFERROR(((AI40:AI186)+(AM40:AM186)+(AQ40:AQ186)+(AU40:AU186)+(AY40:AY186)+(BC40:BC186)+(BG40:BG186)+(BK40:BK186)+(BO40:BO186)+(BS40:BS186))/(AD40:AD186),"")}</f>
        <v>avg_RIR</v>
      </c>
      <c r="CE39" s="555" t="str">
        <f t="array" ref="CE39:CE186">{"TONELAJE";(AG40:AG186*AH40:AH186)+(AK40:AK186*AL40:AL186)+(AO40:AO186*AP40:AP186)+(AS40:AS186*AT40:AT186)+(AW40:AW186*AX40:AX186)+(BA40:BA186*BB40:BB186)*(BE40:BE186*BF40:BF186)+(BI40:BI186*BJ40:BJ186)+(BM40:BM186*BN40:BN186)+(BQ40:BQ186*BR40:BR186)}</f>
        <v>TONELAJE</v>
      </c>
      <c r="CF39" s="556" t="str">
        <f t="array" ref="CF39:CF186">{"IMPULSO";IFERROR((CE40:CE186/BZ40:BZ186),"")}</f>
        <v>IMPULSO</v>
      </c>
      <c r="CG39" s="556" t="str">
        <f t="array" ref="CG39:CG186">{"INOL";(CC40:CC186)/(100-100*(CA40:CA186))}</f>
        <v>INOL</v>
      </c>
      <c r="CH39" s="555" t="str">
        <f t="array" ref="CH39:CH186">{"pred1RM";IFERROR(((AH40:AH186+AL40:AL186+AP40:AP186+AT40:AT186+AX40:AX186+BB40:BB186+BF40:BF186+BJ40:BJ186+BN40:BN186+BR40:BR186)/AD40:AD186*(((AG40:AG186+AK40:AK186+AO40:AO186+AS40:AS186+AW40:AW186+BA40:BA186+BC40:BC186+BE40:BE186+BI40:BI186+BM40:BM186+BQ40:BQ186)/AD40:AD186+(-(AJ40:AJ186+AN40:AN186+AR40:AR186+AV40:AV186+AZ40:AZ186+BD40:BD186+BH40:BH186+BL40:BL186+BP40:BP186+BT40:BT186)/#REF!)+10)*0.0333)+(AH40:AH186+AL40:AL186+AP40:AP186+AT40:AT186+AX40:AX186+BB40:BB186+BF40:BF186+BJ40:BJ186+BN40:BN186+BR40:BR186)/AD40:AD186),"")}</f>
        <v>pred1RM</v>
      </c>
      <c r="CI39" s="555" t="str">
        <f t="array" ref="CI39:CI186">{"prox1RM";IFERROR(((AH40:AH186+AL40:AL186+AP40:AP186+AT40:AT186+AX40:AX186+BB40:BB186+BF40:BF186+BJ40:BJ186+BN40:BN186+BR40:BR186)/AD40:AD186*(((AG40:AG186+AK40:AK186+AO40:AO186+AS40:AS186+AW40:AW186+BA40:BA186+BC40:BC186+BE40:BE186+BI40:BI186+BM40:BM186+BQ40:BQ186)/AD40:AD186)*0.0333)+(AH40:AH186+AL40:AL186+AP40:AP186+AT40:AT186+AX40:AX186+BB40:BB186+BF40:BF186+BJ40:BJ186+BN40:BN186+BR40:BR186)/AD40:AD186)/IFS(MID(D40:D186,1,2)=$E$14,$F$14,MID(D40:D186,1,2)=$E$15,$F$15,MID(D40:D186,1,2)=$E$16,$F$16),"")}</f>
        <v>prox1RM</v>
      </c>
      <c r="CJ39" s="557" t="str">
        <f t="array" ref="CJ39:CJ186">{"S.I.";IFERROR(IF(ISBLANK(AI40:AI186),"", IFS(AI40:AI186=0,1.6,AI40:AI186=1,1.2,AI40:AI186=2,1,AI40:AI186=3,0.8,AI40:AI186=4,0.6))+IF(ISBLANK(AM40:AM186),"", IFS(AM40:AM186=0,1.6,AM40:AM186=1,1.2,AM40:AM186=2,1,AM40:AM186=3,0.8,AM40:AM186=4,0.6))+IF(ISBLANK(AQ40:AQ186),"", IFS(AQ40:AQ186=0,1.6,AQ40:AQ186=1,1.2,AQ40:AQ186=2,1,AQ40:AQ186=3,0.8,AQ40:AQ186=4,0.6))+IF(ISBLANK(AU40:AU186),"", IFS(AU40:AU186=0,1.6,AU40:AU186=1,1.2,AU40:AU186=2,1,AU40:AU186=3,0.8,AU40:AU186=4,0.6))+IF(ISBLANK(AY40:AY186),"", IFS(AY40:AY186=0,1.6,AY40:AY186=1,1.2,AY40:AY186=2,1,AY40:AY186=3,0.8,AY40:AY186=4,0.6))+IF(ISBLANK(BC40:BC186),"", IFS(BC40:BC186=0,1.6,BC40:BC186=1,1.2,BC40:BC186=2,1,BC40:BC186=3,0.8,BC40:BC186=4,0.6))+IF(ISBLANK(BG40:BG186),"", IFS(BG40:BG186=0,1.6,BG40:BG186=1,1.2,BG40:BG186=2,1,BG40:BG186=3,0.8,BG40:BG186=4,0.6))+IF(ISBLANK(BK40:BK186),"", IFS(BK40:BK186=0,1.6,BK40:BK186=1,1.2,BK40:BK186=2,1,BK40:BK186=3,0.8,BK40:BK186=4,0.6))+IF(ISBLANK(BO40:BO186),"", IFS(BO40:BO186=0,1.6,BO40:BO186=1,1.2,BO40:BO186=2,1,BO40:BO186=3,0.8,BO40:BO186=4,0.6))+IF(ISBLANK(BS40:BS186),"", IFS(BS40:BS186=0,1.6,BS40:BS186=1,1.2,BS40:BS186=2,1,BS40:BS186=3,0.8,BS40:BS186=4,0.6)),"")}</f>
        <v>S.I.</v>
      </c>
      <c r="CK39" s="556" t="str">
        <f t="array" ref="CK39:CK186">{"avg_RPE";IFERROR(((AJ40:AJ186)+(AN40:AN186)+(AR40:AR186)+(AV40:AV186)+(AZ40:AZ186)+(BD40:BD186)+(BH40:BH186)+(BL40:BL186)+(BP40:BP186)+(BT40:BT186))/(AD40:AD186),"")}</f>
        <v>avg_RPE</v>
      </c>
      <c r="CL39" s="556" t="str">
        <f t="array" ref="CL39:CL186">{"e1RM Steve Denovi F1";IFERROR((AH40:AH186+AL40:AL186+AP40:AP186+AT40:AT186+AX40:AX186+BB40:BB186+BF40:BF186+BJ40:BJ186+BN40:BN186+BR40:BR186)/AD40:AD186/((VLOOKUP(AJ40:AJ186,$EX$3:$FJ$16,AG40:AG186+1,0))+IFERROR( VLOOKUP(AN40:AN186,$EX$3:$FJ$16,AK40:AK186+1,0),"")+IFERROR( VLOOKUP(AR40:AR186,$EX$3:$FJ$16,AO40:AO186+1,0),"")+IFERROR( VLOOKUP(AV40:AV186,$EX$3:$FJ$16,AS40:AS186+1,0),"")+IFERROR( VLOOKUP(AZ40:AZ186,$EX$3:$FJ$16,AW40:AW186+1,0),"")+IFERROR( VLOOKUP(BD40:BD186,$EX$3:$FJ$16,BA40:BA186+1,0),"")+IFERROR( VLOOKUP(BH40:BH186,$EX$3:$FJ$16,BE40:BE186+1,0),"")+IFERROR( VLOOKUP(BL40:BL186,$EX$3:$FJ$16,BI40:BI186+1,0),"")+IFERROR( VLOOKUP(BP40:BP186,$EX$3:$FJ$16,BM40:BM186+1,0),"")+IFERROR( VLOOKUP(BT40:BT186,$EX$3:$FJ$16,BQ40:BQ186+1,0),""))*AD40:AD186,"")}</f>
        <v>e1RM Steve Denovi F1</v>
      </c>
      <c r="CM39" s="558" t="str">
        <f t="array" ref="CM39:CM186">{"e1RM Steve Denovi F2";IFERROR((AH40:AH186+AL40:AL186+AP40:AP186+AT40:AT186+AX40:AX186+BB40:BB186+BF40:BF186+BJ40:BJ186+BN40:BN186+BR40:BR186)/AD40:AD186/((VLOOKUP(AJ40:AJ186,$FL$3:$FX$16,AG40:AG186+1,0))+IFERROR( VLOOKUP(AN40:AN186,$FL$3:$FX$16,AK40:AK186+1,0),"")+IFERROR( VLOOKUP(AR40:AR186,$FL$3:$FX$16,AO40:AO186+1,0),"")+IFERROR( VLOOKUP(AV40:AV186,$FL$3:$FX$16,AS40:AS186+1,0),"")+IFERROR( VLOOKUP(AZ40:AZ186,$FL$3:$FX$16,AW40:AW186+1,0),"")+IFERROR( VLOOKUP(BD40:BD186,$FL$3:$FX$16,BA40:BA186+1,0),"")+IFERROR( VLOOKUP(BH40:BH186,$FL$3:$FX$16,BE40:BE186+1,0),"")+IFERROR( VLOOKUP(BL40:BL186,$FL$3:$FX$16,BI40:BI186+1,0),"")+IFERROR( VLOOKUP(BP40:BP186,$FL$3:$FX$16,BM40:BM186+1,0),"")+IFERROR( VLOOKUP(BT40:BT186,$FL$3:$FX$16,BQ40:BQ186+1,0),""))*AD40:AD186,"")}</f>
        <v>e1RM Steve Denovi F2</v>
      </c>
      <c r="CN39" s="538"/>
      <c r="CO39" s="538"/>
      <c r="CP39" s="538"/>
      <c r="CQ39" s="538"/>
      <c r="CR39" s="538"/>
      <c r="CS39" s="538"/>
      <c r="CT39" s="538"/>
      <c r="CU39" s="538"/>
      <c r="CV39" s="538"/>
      <c r="CW39" s="538"/>
      <c r="CX39" s="538"/>
      <c r="CY39" s="538"/>
      <c r="CZ39" s="538"/>
      <c r="DA39" s="538"/>
      <c r="DB39" s="538"/>
      <c r="DC39" s="538"/>
      <c r="DD39" s="538"/>
      <c r="DE39" s="553"/>
      <c r="DF39" s="553"/>
      <c r="DG39" s="553"/>
      <c r="DH39" s="553"/>
      <c r="DI39" s="553"/>
      <c r="DJ39" s="538"/>
      <c r="DK39" s="538"/>
      <c r="DL39" s="538"/>
      <c r="DM39" s="538"/>
      <c r="DN39" s="538"/>
      <c r="DO39" s="538"/>
      <c r="DP39" s="538"/>
      <c r="DQ39" s="538"/>
      <c r="DR39" s="538"/>
      <c r="DS39" s="553"/>
      <c r="DT39" s="553"/>
      <c r="DU39" s="553"/>
      <c r="DV39" s="553"/>
      <c r="DW39" s="553"/>
      <c r="DX39" s="553"/>
      <c r="DY39" s="553"/>
      <c r="DZ39" s="553"/>
      <c r="EA39" s="553"/>
      <c r="EB39" s="553"/>
      <c r="EC39" s="553"/>
      <c r="ED39" s="553"/>
      <c r="EE39" s="553"/>
      <c r="EF39" s="553"/>
      <c r="EG39" s="553"/>
      <c r="EH39" s="553"/>
      <c r="EI39" s="553"/>
      <c r="EJ39" s="553"/>
      <c r="EK39" s="553"/>
      <c r="EL39" s="553"/>
      <c r="EM39" s="553"/>
      <c r="EN39" s="553"/>
      <c r="EO39" s="553"/>
      <c r="EP39" s="553"/>
      <c r="EQ39" s="553"/>
      <c r="ER39" s="553"/>
      <c r="ES39" s="553"/>
      <c r="ET39" s="553"/>
      <c r="EU39" s="553"/>
      <c r="EV39" s="553"/>
      <c r="EW39" s="538"/>
      <c r="EX39" s="559"/>
      <c r="EY39" s="559"/>
      <c r="EZ39" s="559"/>
      <c r="FA39" s="559"/>
      <c r="FB39" s="559"/>
      <c r="FC39" s="559"/>
      <c r="FD39" s="559"/>
      <c r="FE39" s="559"/>
      <c r="FF39" s="559"/>
      <c r="FG39" s="559"/>
      <c r="FH39" s="559"/>
      <c r="FI39" s="559"/>
      <c r="FJ39" s="559"/>
      <c r="FK39" s="559"/>
      <c r="FL39" s="559"/>
      <c r="FM39" s="559"/>
      <c r="FN39" s="559"/>
      <c r="FO39" s="559"/>
      <c r="FP39" s="559"/>
      <c r="FQ39" s="559"/>
      <c r="FR39" s="559"/>
      <c r="FS39" s="559"/>
      <c r="FT39" s="559"/>
      <c r="FU39" s="559"/>
      <c r="FV39" s="559"/>
      <c r="FW39" s="559"/>
      <c r="FX39" s="559"/>
      <c r="FY39" s="559"/>
      <c r="FZ39" s="559"/>
      <c r="GA39" s="559"/>
      <c r="GB39" s="559"/>
      <c r="GC39" s="559"/>
      <c r="GD39" s="559"/>
      <c r="GE39" s="559"/>
      <c r="GF39" s="559"/>
      <c r="GG39" s="559"/>
      <c r="GH39" s="559"/>
    </row>
    <row r="40">
      <c r="A40" s="538"/>
      <c r="B40" s="560"/>
      <c r="C40" s="47"/>
      <c r="D40" s="561" t="s">
        <v>266</v>
      </c>
      <c r="E40" s="562" t="s">
        <v>486</v>
      </c>
      <c r="F40" s="563">
        <v>3.0</v>
      </c>
      <c r="G40" s="560">
        <v>5.0</v>
      </c>
      <c r="H40" s="564"/>
      <c r="I40" s="565">
        <v>0.0</v>
      </c>
      <c r="J40" s="566">
        <v>127.5</v>
      </c>
      <c r="K40" s="567"/>
      <c r="L40" s="568"/>
      <c r="M40" s="569"/>
      <c r="N40" s="570"/>
      <c r="O40" s="571"/>
      <c r="P40" s="571"/>
      <c r="Q40" s="47"/>
      <c r="R40" s="47"/>
      <c r="S40" s="572"/>
      <c r="T40" s="572"/>
      <c r="U40" s="573"/>
      <c r="V40" s="574"/>
      <c r="W40" s="575"/>
      <c r="X40" s="576">
        <v>1912.5</v>
      </c>
      <c r="Y40" s="577">
        <v>1300.0</v>
      </c>
      <c r="Z40" s="577">
        <v>15.0</v>
      </c>
      <c r="AA40" s="578">
        <v>0.7083333333333334</v>
      </c>
      <c r="AB40" s="578"/>
      <c r="AC40" s="579"/>
      <c r="AD40" s="580">
        <v>2.0</v>
      </c>
      <c r="AE40" s="581"/>
      <c r="AF40" s="582" t="s">
        <v>564</v>
      </c>
      <c r="AG40" s="583">
        <v>5.0</v>
      </c>
      <c r="AH40" s="584">
        <v>130.0</v>
      </c>
      <c r="AI40" s="583">
        <v>3.0</v>
      </c>
      <c r="AJ40" s="585">
        <v>7.0</v>
      </c>
      <c r="AK40" s="583"/>
      <c r="AL40" s="584"/>
      <c r="AM40" s="583">
        <v>3.0</v>
      </c>
      <c r="AN40" s="585">
        <v>7.0</v>
      </c>
      <c r="AO40" s="583">
        <v>5.0</v>
      </c>
      <c r="AP40" s="584">
        <v>130.0</v>
      </c>
      <c r="AQ40" s="583">
        <v>3.0</v>
      </c>
      <c r="AR40" s="585">
        <v>7.0</v>
      </c>
      <c r="AS40" s="583"/>
      <c r="AT40" s="584"/>
      <c r="AU40" s="583"/>
      <c r="AV40" s="585"/>
      <c r="AW40" s="583"/>
      <c r="AX40" s="584"/>
      <c r="AY40" s="583"/>
      <c r="AZ40" s="585"/>
      <c r="BA40" s="583"/>
      <c r="BB40" s="584"/>
      <c r="BC40" s="583"/>
      <c r="BD40" s="585"/>
      <c r="BE40" s="583"/>
      <c r="BF40" s="584"/>
      <c r="BG40" s="583"/>
      <c r="BH40" s="585"/>
      <c r="BI40" s="583"/>
      <c r="BJ40" s="584"/>
      <c r="BK40" s="583"/>
      <c r="BL40" s="585"/>
      <c r="BM40" s="583"/>
      <c r="BN40" s="584"/>
      <c r="BO40" s="583"/>
      <c r="BP40" s="585"/>
      <c r="BQ40" s="583"/>
      <c r="BR40" s="584"/>
      <c r="BS40" s="583"/>
      <c r="BT40" s="586"/>
      <c r="BU40" s="540"/>
      <c r="BV40" s="540"/>
      <c r="BW40" s="540"/>
      <c r="BX40" s="538"/>
      <c r="BY40" s="538"/>
      <c r="BZ40" s="587">
        <v>180.0</v>
      </c>
      <c r="CA40" s="588">
        <v>0.7222222222222222</v>
      </c>
      <c r="CB40" s="589">
        <v>130.0</v>
      </c>
      <c r="CC40" s="590">
        <v>10.0</v>
      </c>
      <c r="CD40" s="590">
        <v>4.5</v>
      </c>
      <c r="CE40" s="590">
        <v>1300.0</v>
      </c>
      <c r="CF40" s="590">
        <v>7.222222222222222</v>
      </c>
      <c r="CG40" s="590">
        <v>0.3599999999999999</v>
      </c>
      <c r="CH40" s="590"/>
      <c r="CI40" s="591">
        <v>0.8424722222222223</v>
      </c>
      <c r="CJ40" s="590">
        <v>2.4000000000000004</v>
      </c>
      <c r="CK40" s="478">
        <v>10.5</v>
      </c>
      <c r="CL40" s="592">
        <v>30.331311245916943</v>
      </c>
      <c r="CM40" s="593">
        <v>29.94701681640175</v>
      </c>
      <c r="CN40" s="538"/>
      <c r="CO40" s="538"/>
      <c r="CP40" s="538"/>
      <c r="CQ40" s="538"/>
      <c r="CR40" s="538"/>
      <c r="CS40" s="538"/>
      <c r="CT40" s="538"/>
      <c r="CU40" s="538"/>
      <c r="CV40" s="538"/>
      <c r="CW40" s="538"/>
      <c r="CX40" s="538"/>
      <c r="CY40" s="538"/>
      <c r="CZ40" s="538"/>
      <c r="DA40" s="538"/>
      <c r="DB40" s="538"/>
      <c r="DC40" s="538"/>
      <c r="DD40" s="538"/>
      <c r="DE40" s="538"/>
      <c r="DF40" s="538"/>
      <c r="DG40" s="538"/>
      <c r="DH40" s="538"/>
      <c r="DI40" s="538"/>
      <c r="DJ40" s="538"/>
      <c r="DK40" s="538"/>
      <c r="DL40" s="538"/>
      <c r="DM40" s="538"/>
      <c r="DN40" s="538"/>
      <c r="DO40" s="538"/>
      <c r="DP40" s="538"/>
      <c r="DQ40" s="538"/>
      <c r="DR40" s="538"/>
      <c r="DS40" s="538"/>
      <c r="DT40" s="538"/>
      <c r="DU40" s="538"/>
      <c r="DV40" s="538"/>
      <c r="DW40" s="538"/>
      <c r="DX40" s="538"/>
      <c r="DY40" s="538"/>
      <c r="DZ40" s="538"/>
      <c r="EA40" s="538"/>
      <c r="EB40" s="538"/>
      <c r="EC40" s="538"/>
      <c r="ED40" s="538"/>
      <c r="EE40" s="538"/>
      <c r="EF40" s="538"/>
      <c r="EG40" s="538"/>
      <c r="EH40" s="538"/>
      <c r="EI40" s="538"/>
      <c r="EJ40" s="538"/>
      <c r="EK40" s="538"/>
      <c r="EL40" s="538"/>
      <c r="EM40" s="538"/>
      <c r="EN40" s="538"/>
      <c r="EO40" s="538"/>
      <c r="EP40" s="538"/>
      <c r="EQ40" s="538"/>
      <c r="ER40" s="538"/>
      <c r="ES40" s="538"/>
      <c r="ET40" s="538"/>
      <c r="EU40" s="538"/>
      <c r="EV40" s="538"/>
      <c r="EW40" s="538"/>
      <c r="EX40" s="559"/>
      <c r="EY40" s="559"/>
      <c r="EZ40" s="559"/>
      <c r="FA40" s="559"/>
      <c r="FB40" s="559"/>
      <c r="FC40" s="559"/>
      <c r="FD40" s="559"/>
      <c r="FE40" s="559"/>
      <c r="FF40" s="559"/>
      <c r="FG40" s="559"/>
      <c r="FH40" s="559"/>
      <c r="FI40" s="559"/>
      <c r="FJ40" s="559"/>
      <c r="FK40" s="559"/>
      <c r="FL40" s="559"/>
      <c r="FM40" s="559"/>
      <c r="FN40" s="559"/>
      <c r="FO40" s="559"/>
      <c r="FP40" s="559"/>
      <c r="FQ40" s="559"/>
      <c r="FR40" s="559"/>
      <c r="FS40" s="559"/>
      <c r="FT40" s="559"/>
      <c r="FU40" s="559"/>
      <c r="FV40" s="559"/>
      <c r="FW40" s="559"/>
      <c r="FX40" s="559"/>
      <c r="FY40" s="559"/>
      <c r="FZ40" s="559"/>
      <c r="GA40" s="559"/>
      <c r="GB40" s="559"/>
      <c r="GC40" s="559"/>
      <c r="GD40" s="559"/>
      <c r="GE40" s="559"/>
      <c r="GF40" s="559"/>
      <c r="GG40" s="559"/>
      <c r="GH40" s="559"/>
    </row>
    <row r="41">
      <c r="A41" s="538"/>
      <c r="B41" s="134"/>
      <c r="C41" s="57"/>
      <c r="D41" s="594" t="s">
        <v>270</v>
      </c>
      <c r="E41" s="562" t="s">
        <v>489</v>
      </c>
      <c r="F41" s="596">
        <v>3.0</v>
      </c>
      <c r="G41" s="134">
        <v>5.0</v>
      </c>
      <c r="H41" s="597"/>
      <c r="I41" s="598">
        <v>0.0</v>
      </c>
      <c r="J41" s="599">
        <v>147.5</v>
      </c>
      <c r="K41" s="600"/>
      <c r="L41" s="601"/>
      <c r="M41" s="602"/>
      <c r="N41" s="603"/>
      <c r="O41" s="604"/>
      <c r="P41" s="604"/>
      <c r="Q41" s="57"/>
      <c r="R41" s="57"/>
      <c r="S41" s="605"/>
      <c r="T41" s="605"/>
      <c r="U41" s="573"/>
      <c r="V41" s="574"/>
      <c r="W41" s="575"/>
      <c r="X41" s="576">
        <v>2212.5</v>
      </c>
      <c r="Y41" s="577" t="e">
        <v>#VALUE!</v>
      </c>
      <c r="Z41" s="577">
        <v>15.0</v>
      </c>
      <c r="AA41" s="578">
        <v>0.6145833333333334</v>
      </c>
      <c r="AB41" s="578"/>
      <c r="AC41" s="579"/>
      <c r="AD41" s="580">
        <v>2.0</v>
      </c>
      <c r="AE41" s="581"/>
      <c r="AF41" s="582" t="s">
        <v>565</v>
      </c>
      <c r="AG41" s="583">
        <v>5.0</v>
      </c>
      <c r="AH41" s="584" t="s">
        <v>566</v>
      </c>
      <c r="AI41" s="583">
        <v>3.0</v>
      </c>
      <c r="AJ41" s="585">
        <v>7.0</v>
      </c>
      <c r="AK41" s="583">
        <v>5.0</v>
      </c>
      <c r="AL41" s="584"/>
      <c r="AM41" s="583">
        <v>3.0</v>
      </c>
      <c r="AN41" s="585">
        <v>7.0</v>
      </c>
      <c r="AO41" s="583"/>
      <c r="AP41" s="584"/>
      <c r="AQ41" s="583">
        <v>3.0</v>
      </c>
      <c r="AR41" s="585">
        <v>7.5</v>
      </c>
      <c r="AS41" s="583"/>
      <c r="AT41" s="584"/>
      <c r="AU41" s="583"/>
      <c r="AV41" s="585"/>
      <c r="AW41" s="583"/>
      <c r="AX41" s="584"/>
      <c r="AY41" s="583"/>
      <c r="AZ41" s="585"/>
      <c r="BA41" s="583"/>
      <c r="BB41" s="584"/>
      <c r="BC41" s="583"/>
      <c r="BD41" s="585"/>
      <c r="BE41" s="583"/>
      <c r="BF41" s="584"/>
      <c r="BG41" s="583"/>
      <c r="BH41" s="585"/>
      <c r="BI41" s="583"/>
      <c r="BJ41" s="584"/>
      <c r="BK41" s="583"/>
      <c r="BL41" s="585"/>
      <c r="BM41" s="583"/>
      <c r="BN41" s="584"/>
      <c r="BO41" s="583"/>
      <c r="BP41" s="585"/>
      <c r="BQ41" s="583"/>
      <c r="BR41" s="584"/>
      <c r="BS41" s="583"/>
      <c r="BT41" s="586"/>
      <c r="BU41" s="540"/>
      <c r="BV41" s="540"/>
      <c r="BW41" s="540"/>
      <c r="BX41" s="538"/>
      <c r="BY41" s="538"/>
      <c r="BZ41" s="587">
        <v>240.0</v>
      </c>
      <c r="CA41" s="588"/>
      <c r="CB41" s="589" t="s">
        <v>365</v>
      </c>
      <c r="CC41" s="590">
        <v>10.0</v>
      </c>
      <c r="CD41" s="590">
        <v>4.5</v>
      </c>
      <c r="CE41" s="590" t="e">
        <v>#VALUE!</v>
      </c>
      <c r="CF41" s="590"/>
      <c r="CG41" s="590">
        <v>0.1</v>
      </c>
      <c r="CH41" s="590"/>
      <c r="CI41" s="591"/>
      <c r="CJ41" s="590">
        <v>2.4000000000000004</v>
      </c>
      <c r="CK41" s="478">
        <v>10.75</v>
      </c>
      <c r="CL41" s="592"/>
      <c r="CM41" s="593"/>
      <c r="CN41" s="538"/>
      <c r="CO41" s="538"/>
      <c r="CP41" s="538"/>
      <c r="CQ41" s="538"/>
      <c r="CR41" s="538"/>
      <c r="CS41" s="538"/>
      <c r="CT41" s="538"/>
      <c r="CU41" s="538"/>
      <c r="CV41" s="538"/>
      <c r="CW41" s="538"/>
      <c r="CX41" s="538"/>
      <c r="CY41" s="538"/>
      <c r="CZ41" s="538"/>
      <c r="DA41" s="538"/>
      <c r="DB41" s="538"/>
      <c r="DC41" s="538"/>
      <c r="DD41" s="538"/>
      <c r="DE41" s="538"/>
      <c r="DF41" s="538"/>
      <c r="DG41" s="538"/>
      <c r="DH41" s="538"/>
      <c r="DI41" s="538"/>
      <c r="DJ41" s="538"/>
      <c r="DK41" s="538"/>
      <c r="DL41" s="538"/>
      <c r="DM41" s="538"/>
      <c r="DN41" s="538"/>
      <c r="DO41" s="538"/>
      <c r="DP41" s="538"/>
      <c r="DQ41" s="538"/>
      <c r="DR41" s="538"/>
      <c r="DS41" s="538"/>
      <c r="DT41" s="538"/>
      <c r="DU41" s="538"/>
      <c r="DV41" s="538"/>
      <c r="DW41" s="538"/>
      <c r="DX41" s="538"/>
      <c r="DY41" s="538"/>
      <c r="DZ41" s="538"/>
      <c r="EA41" s="538"/>
      <c r="EB41" s="538"/>
      <c r="EC41" s="538"/>
      <c r="ED41" s="538"/>
      <c r="EE41" s="538"/>
      <c r="EF41" s="538"/>
      <c r="EG41" s="538"/>
      <c r="EH41" s="538"/>
      <c r="EI41" s="538"/>
      <c r="EJ41" s="538"/>
      <c r="EK41" s="538"/>
      <c r="EL41" s="538"/>
      <c r="EM41" s="538"/>
      <c r="EN41" s="538"/>
      <c r="EO41" s="538"/>
      <c r="EP41" s="538"/>
      <c r="EQ41" s="538"/>
      <c r="ER41" s="538"/>
      <c r="ES41" s="538"/>
      <c r="ET41" s="538"/>
      <c r="EU41" s="538"/>
      <c r="EV41" s="538"/>
      <c r="EW41" s="538"/>
      <c r="EX41" s="559"/>
      <c r="EY41" s="559"/>
      <c r="EZ41" s="559"/>
      <c r="FA41" s="559"/>
      <c r="FB41" s="559"/>
      <c r="FC41" s="559"/>
      <c r="FD41" s="559"/>
      <c r="FE41" s="559"/>
      <c r="FF41" s="559"/>
      <c r="FG41" s="559"/>
      <c r="FH41" s="559"/>
      <c r="FI41" s="559"/>
      <c r="FJ41" s="559"/>
      <c r="FK41" s="559"/>
      <c r="FL41" s="559"/>
      <c r="FM41" s="559"/>
      <c r="FN41" s="559"/>
      <c r="FO41" s="559"/>
      <c r="FP41" s="559"/>
      <c r="FQ41" s="559"/>
      <c r="FR41" s="559"/>
      <c r="FS41" s="559"/>
      <c r="FT41" s="559"/>
      <c r="FU41" s="559"/>
      <c r="FV41" s="559"/>
      <c r="FW41" s="559"/>
      <c r="FX41" s="559"/>
      <c r="FY41" s="559"/>
      <c r="FZ41" s="559"/>
      <c r="GA41" s="559"/>
      <c r="GB41" s="559"/>
      <c r="GC41" s="559"/>
      <c r="GD41" s="559"/>
      <c r="GE41" s="559"/>
      <c r="GF41" s="559"/>
      <c r="GG41" s="559"/>
      <c r="GH41" s="559"/>
    </row>
    <row r="42">
      <c r="A42" s="538"/>
      <c r="B42" s="560"/>
      <c r="C42" s="47"/>
      <c r="D42" s="561" t="s">
        <v>302</v>
      </c>
      <c r="E42" s="606" t="s">
        <v>492</v>
      </c>
      <c r="F42" s="563">
        <v>4.0</v>
      </c>
      <c r="G42" s="560">
        <v>12.0</v>
      </c>
      <c r="H42" s="564"/>
      <c r="I42" s="565" t="s">
        <v>365</v>
      </c>
      <c r="J42" s="566"/>
      <c r="K42" s="567">
        <v>2.0</v>
      </c>
      <c r="L42" s="568"/>
      <c r="M42" s="569"/>
      <c r="N42" s="570"/>
      <c r="O42" s="571"/>
      <c r="P42" s="571"/>
      <c r="Q42" s="47"/>
      <c r="R42" s="47"/>
      <c r="S42" s="572"/>
      <c r="T42" s="572"/>
      <c r="U42" s="573"/>
      <c r="V42" s="574"/>
      <c r="W42" s="575"/>
      <c r="X42" s="576">
        <v>0.0</v>
      </c>
      <c r="Y42" s="577">
        <v>0.0</v>
      </c>
      <c r="Z42" s="577">
        <v>48.0</v>
      </c>
      <c r="AA42" s="578" t="b">
        <v>0</v>
      </c>
      <c r="AB42" s="578"/>
      <c r="AC42" s="579"/>
      <c r="AD42" s="580">
        <v>0.0</v>
      </c>
      <c r="AE42" s="581"/>
      <c r="AF42" s="582" t="s">
        <v>493</v>
      </c>
      <c r="AG42" s="583"/>
      <c r="AH42" s="584"/>
      <c r="AI42" s="583"/>
      <c r="AJ42" s="585"/>
      <c r="AK42" s="583"/>
      <c r="AL42" s="584"/>
      <c r="AM42" s="583"/>
      <c r="AN42" s="585"/>
      <c r="AO42" s="583"/>
      <c r="AP42" s="584"/>
      <c r="AQ42" s="583"/>
      <c r="AR42" s="585"/>
      <c r="AS42" s="583"/>
      <c r="AT42" s="584"/>
      <c r="AU42" s="583"/>
      <c r="AV42" s="585"/>
      <c r="AW42" s="583"/>
      <c r="AX42" s="584"/>
      <c r="AY42" s="583"/>
      <c r="AZ42" s="585"/>
      <c r="BA42" s="583"/>
      <c r="BB42" s="584"/>
      <c r="BC42" s="583"/>
      <c r="BD42" s="585"/>
      <c r="BE42" s="583"/>
      <c r="BF42" s="584"/>
      <c r="BG42" s="583"/>
      <c r="BH42" s="585"/>
      <c r="BI42" s="583"/>
      <c r="BJ42" s="584"/>
      <c r="BK42" s="583"/>
      <c r="BL42" s="585"/>
      <c r="BM42" s="583"/>
      <c r="BN42" s="584"/>
      <c r="BO42" s="583"/>
      <c r="BP42" s="585"/>
      <c r="BQ42" s="583"/>
      <c r="BR42" s="584"/>
      <c r="BS42" s="583"/>
      <c r="BT42" s="586"/>
      <c r="BU42" s="540"/>
      <c r="BV42" s="540"/>
      <c r="BW42" s="540"/>
      <c r="BX42" s="538"/>
      <c r="BY42" s="538"/>
      <c r="BZ42" s="587"/>
      <c r="CA42" s="588"/>
      <c r="CB42" s="589" t="s">
        <v>365</v>
      </c>
      <c r="CC42" s="590">
        <v>0.0</v>
      </c>
      <c r="CD42" s="590" t="s">
        <v>365</v>
      </c>
      <c r="CE42" s="590">
        <v>0.0</v>
      </c>
      <c r="CF42" s="590"/>
      <c r="CG42" s="590">
        <v>0.0</v>
      </c>
      <c r="CH42" s="590"/>
      <c r="CI42" s="591"/>
      <c r="CJ42" s="590">
        <v>0.0</v>
      </c>
      <c r="CK42" s="478" t="s">
        <v>365</v>
      </c>
      <c r="CL42" s="592"/>
      <c r="CM42" s="593"/>
      <c r="CN42" s="538"/>
      <c r="CO42" s="538"/>
      <c r="CP42" s="538"/>
      <c r="CQ42" s="538"/>
      <c r="CR42" s="538"/>
      <c r="CS42" s="538"/>
      <c r="CT42" s="538"/>
      <c r="CU42" s="538"/>
      <c r="CV42" s="538"/>
      <c r="CW42" s="538"/>
      <c r="CX42" s="538"/>
      <c r="CY42" s="538"/>
      <c r="CZ42" s="538"/>
      <c r="DA42" s="538"/>
      <c r="DB42" s="538"/>
      <c r="DC42" s="538"/>
      <c r="DD42" s="538"/>
      <c r="DE42" s="538"/>
      <c r="DF42" s="538"/>
      <c r="DG42" s="538"/>
      <c r="DH42" s="538"/>
      <c r="DI42" s="538"/>
      <c r="DJ42" s="538"/>
      <c r="DK42" s="538"/>
      <c r="DL42" s="538"/>
      <c r="DM42" s="538"/>
      <c r="DN42" s="538"/>
      <c r="DO42" s="538"/>
      <c r="DP42" s="538"/>
      <c r="DQ42" s="538"/>
      <c r="DR42" s="538"/>
      <c r="DS42" s="538"/>
      <c r="DT42" s="538"/>
      <c r="DU42" s="538"/>
      <c r="DV42" s="538"/>
      <c r="DW42" s="538"/>
      <c r="DX42" s="538"/>
      <c r="DY42" s="538"/>
      <c r="DZ42" s="538"/>
      <c r="EA42" s="538"/>
      <c r="EB42" s="538"/>
      <c r="EC42" s="538"/>
      <c r="ED42" s="538"/>
      <c r="EE42" s="538"/>
      <c r="EF42" s="538"/>
      <c r="EG42" s="538"/>
      <c r="EH42" s="538"/>
      <c r="EI42" s="538"/>
      <c r="EJ42" s="538"/>
      <c r="EK42" s="538"/>
      <c r="EL42" s="538"/>
      <c r="EM42" s="538"/>
      <c r="EN42" s="538"/>
      <c r="EO42" s="538"/>
      <c r="EP42" s="538"/>
      <c r="EQ42" s="538"/>
      <c r="ER42" s="538"/>
      <c r="ES42" s="538"/>
      <c r="ET42" s="538"/>
      <c r="EU42" s="538"/>
      <c r="EV42" s="538"/>
      <c r="EW42" s="538"/>
      <c r="EX42" s="559"/>
      <c r="EY42" s="559"/>
      <c r="EZ42" s="559"/>
      <c r="FA42" s="559"/>
      <c r="FB42" s="559"/>
      <c r="FC42" s="559"/>
      <c r="FD42" s="559"/>
      <c r="FE42" s="559"/>
      <c r="FF42" s="559"/>
      <c r="FG42" s="559"/>
      <c r="FH42" s="559"/>
      <c r="FI42" s="559"/>
      <c r="FJ42" s="559"/>
      <c r="FK42" s="559"/>
      <c r="FL42" s="559"/>
      <c r="FM42" s="559"/>
      <c r="FN42" s="559"/>
      <c r="FO42" s="559"/>
      <c r="FP42" s="559"/>
      <c r="FQ42" s="559"/>
      <c r="FR42" s="559"/>
      <c r="FS42" s="559"/>
      <c r="FT42" s="559"/>
      <c r="FU42" s="559"/>
      <c r="FV42" s="559"/>
      <c r="FW42" s="559"/>
      <c r="FX42" s="559"/>
      <c r="FY42" s="559"/>
      <c r="FZ42" s="559"/>
      <c r="GA42" s="559"/>
      <c r="GB42" s="559"/>
      <c r="GC42" s="559"/>
      <c r="GD42" s="559"/>
      <c r="GE42" s="559"/>
      <c r="GF42" s="559"/>
      <c r="GG42" s="559"/>
      <c r="GH42" s="559"/>
    </row>
    <row r="43">
      <c r="A43" s="538"/>
      <c r="B43" s="134"/>
      <c r="C43" s="57"/>
      <c r="D43" s="594" t="s">
        <v>302</v>
      </c>
      <c r="E43" s="595" t="s">
        <v>495</v>
      </c>
      <c r="F43" s="596">
        <v>3.0</v>
      </c>
      <c r="G43" s="134">
        <v>12.0</v>
      </c>
      <c r="H43" s="597"/>
      <c r="I43" s="598" t="s">
        <v>365</v>
      </c>
      <c r="J43" s="599"/>
      <c r="K43" s="600">
        <v>2.0</v>
      </c>
      <c r="L43" s="601"/>
      <c r="M43" s="602"/>
      <c r="N43" s="603"/>
      <c r="O43" s="604"/>
      <c r="P43" s="604"/>
      <c r="Q43" s="57"/>
      <c r="S43" s="605"/>
      <c r="U43" s="573"/>
      <c r="V43" s="574"/>
      <c r="W43" s="575"/>
      <c r="X43" s="576">
        <v>0.0</v>
      </c>
      <c r="Y43" s="577" t="e">
        <v>#VALUE!</v>
      </c>
      <c r="Z43" s="577">
        <v>36.0</v>
      </c>
      <c r="AA43" s="578" t="b">
        <v>0</v>
      </c>
      <c r="AB43" s="578"/>
      <c r="AC43" s="579"/>
      <c r="AD43" s="580">
        <v>0.0</v>
      </c>
      <c r="AE43" s="581"/>
      <c r="AF43" s="582" t="s">
        <v>496</v>
      </c>
      <c r="AG43" s="583"/>
      <c r="AH43" s="584" t="s">
        <v>567</v>
      </c>
      <c r="AI43" s="583"/>
      <c r="AJ43" s="585"/>
      <c r="AK43" s="583"/>
      <c r="AL43" s="584" t="s">
        <v>568</v>
      </c>
      <c r="AM43" s="583"/>
      <c r="AN43" s="585"/>
      <c r="AO43" s="583"/>
      <c r="AP43" s="584"/>
      <c r="AQ43" s="583"/>
      <c r="AR43" s="585"/>
      <c r="AS43" s="583"/>
      <c r="AT43" s="584"/>
      <c r="AU43" s="583"/>
      <c r="AV43" s="585"/>
      <c r="AW43" s="583"/>
      <c r="AX43" s="584"/>
      <c r="AY43" s="583"/>
      <c r="AZ43" s="585"/>
      <c r="BA43" s="583"/>
      <c r="BB43" s="584"/>
      <c r="BC43" s="583"/>
      <c r="BD43" s="585"/>
      <c r="BE43" s="583"/>
      <c r="BF43" s="584"/>
      <c r="BG43" s="583"/>
      <c r="BH43" s="585"/>
      <c r="BI43" s="583"/>
      <c r="BJ43" s="584"/>
      <c r="BK43" s="583"/>
      <c r="BL43" s="585"/>
      <c r="BM43" s="583"/>
      <c r="BN43" s="584"/>
      <c r="BO43" s="583"/>
      <c r="BP43" s="585"/>
      <c r="BQ43" s="583"/>
      <c r="BR43" s="584"/>
      <c r="BS43" s="583"/>
      <c r="BT43" s="586"/>
      <c r="BU43" s="540"/>
      <c r="BV43" s="540"/>
      <c r="BW43" s="540"/>
      <c r="BX43" s="538"/>
      <c r="BY43" s="538"/>
      <c r="BZ43" s="587"/>
      <c r="CA43" s="588"/>
      <c r="CB43" s="589" t="s">
        <v>365</v>
      </c>
      <c r="CC43" s="590">
        <v>0.0</v>
      </c>
      <c r="CD43" s="590" t="s">
        <v>365</v>
      </c>
      <c r="CE43" s="590" t="e">
        <v>#VALUE!</v>
      </c>
      <c r="CF43" s="590"/>
      <c r="CG43" s="590">
        <v>0.0</v>
      </c>
      <c r="CH43" s="590"/>
      <c r="CI43" s="591"/>
      <c r="CJ43" s="590">
        <v>0.0</v>
      </c>
      <c r="CK43" s="478" t="s">
        <v>365</v>
      </c>
      <c r="CL43" s="592"/>
      <c r="CM43" s="593"/>
      <c r="CN43" s="538"/>
      <c r="CO43" s="538"/>
      <c r="CP43" s="538"/>
      <c r="CQ43" s="538"/>
      <c r="CR43" s="538"/>
      <c r="CS43" s="538"/>
      <c r="CT43" s="538"/>
      <c r="CU43" s="538"/>
      <c r="CV43" s="538"/>
      <c r="CW43" s="538"/>
      <c r="CX43" s="538"/>
      <c r="CY43" s="538"/>
      <c r="CZ43" s="538"/>
      <c r="DA43" s="538"/>
      <c r="DB43" s="538"/>
      <c r="DC43" s="538"/>
      <c r="DD43" s="538"/>
      <c r="DE43" s="538"/>
      <c r="DF43" s="538"/>
      <c r="DG43" s="538"/>
      <c r="DH43" s="538"/>
      <c r="DI43" s="538"/>
      <c r="DJ43" s="538"/>
      <c r="DK43" s="538"/>
      <c r="DL43" s="538"/>
      <c r="DM43" s="538"/>
      <c r="DN43" s="538"/>
      <c r="DO43" s="538"/>
      <c r="DP43" s="538"/>
      <c r="DQ43" s="538"/>
      <c r="DR43" s="538"/>
      <c r="DS43" s="538"/>
      <c r="DT43" s="538"/>
      <c r="DU43" s="538"/>
      <c r="DV43" s="538"/>
      <c r="DW43" s="538"/>
      <c r="DX43" s="538"/>
      <c r="DY43" s="538"/>
      <c r="DZ43" s="538"/>
      <c r="EA43" s="538"/>
      <c r="EB43" s="538"/>
      <c r="EC43" s="538"/>
      <c r="ED43" s="538"/>
      <c r="EE43" s="538"/>
      <c r="EF43" s="538"/>
      <c r="EG43" s="538"/>
      <c r="EH43" s="538"/>
      <c r="EI43" s="538"/>
      <c r="EJ43" s="538"/>
      <c r="EK43" s="538"/>
      <c r="EL43" s="538"/>
      <c r="EM43" s="538"/>
      <c r="EN43" s="538"/>
      <c r="EO43" s="538"/>
      <c r="EP43" s="538"/>
      <c r="EQ43" s="538"/>
      <c r="ER43" s="538"/>
      <c r="ES43" s="538"/>
      <c r="ET43" s="538"/>
      <c r="EU43" s="538"/>
      <c r="EV43" s="538"/>
      <c r="EW43" s="538"/>
      <c r="EX43" s="559"/>
      <c r="EY43" s="559"/>
      <c r="EZ43" s="559"/>
      <c r="FA43" s="559"/>
      <c r="FB43" s="559"/>
      <c r="FC43" s="559"/>
      <c r="FD43" s="559"/>
      <c r="FE43" s="559"/>
      <c r="FF43" s="559"/>
      <c r="FG43" s="559"/>
      <c r="FH43" s="559"/>
      <c r="FI43" s="559"/>
      <c r="FJ43" s="559"/>
      <c r="FK43" s="559"/>
      <c r="FL43" s="559"/>
      <c r="FM43" s="559"/>
      <c r="FN43" s="559"/>
      <c r="FO43" s="559"/>
      <c r="FP43" s="559"/>
      <c r="FQ43" s="559"/>
      <c r="FR43" s="559"/>
      <c r="FS43" s="559"/>
      <c r="FT43" s="559"/>
      <c r="FU43" s="559"/>
      <c r="FV43" s="559"/>
      <c r="FW43" s="559"/>
      <c r="FX43" s="559"/>
      <c r="FY43" s="559"/>
      <c r="FZ43" s="559"/>
      <c r="GA43" s="559"/>
      <c r="GB43" s="559"/>
      <c r="GC43" s="559"/>
      <c r="GD43" s="559"/>
      <c r="GE43" s="559"/>
      <c r="GF43" s="559"/>
      <c r="GG43" s="559"/>
      <c r="GH43" s="559"/>
    </row>
    <row r="44">
      <c r="A44" s="538"/>
      <c r="B44" s="560"/>
      <c r="C44" s="47"/>
      <c r="D44" s="561" t="s">
        <v>332</v>
      </c>
      <c r="E44" s="606" t="s">
        <v>499</v>
      </c>
      <c r="F44" s="563">
        <v>3.0</v>
      </c>
      <c r="G44" s="563">
        <v>15.0</v>
      </c>
      <c r="H44" s="564"/>
      <c r="I44" s="565" t="s">
        <v>365</v>
      </c>
      <c r="J44" s="607"/>
      <c r="K44" s="567">
        <v>2.0</v>
      </c>
      <c r="L44" s="568"/>
      <c r="M44" s="569"/>
      <c r="N44" s="570"/>
      <c r="O44" s="571"/>
      <c r="P44" s="571"/>
      <c r="Q44" s="47"/>
      <c r="S44" s="572"/>
      <c r="U44" s="573"/>
      <c r="V44" s="574"/>
      <c r="W44" s="575"/>
      <c r="X44" s="576">
        <v>0.0</v>
      </c>
      <c r="Y44" s="577">
        <v>0.0</v>
      </c>
      <c r="Z44" s="577">
        <v>45.0</v>
      </c>
      <c r="AA44" s="578" t="b">
        <v>0</v>
      </c>
      <c r="AB44" s="578"/>
      <c r="AC44" s="579"/>
      <c r="AD44" s="608">
        <v>0.0</v>
      </c>
      <c r="AE44" s="609"/>
      <c r="AF44" s="582" t="s">
        <v>500</v>
      </c>
      <c r="AG44" s="583"/>
      <c r="AH44" s="584"/>
      <c r="AI44" s="583"/>
      <c r="AJ44" s="585"/>
      <c r="AK44" s="610"/>
      <c r="AL44" s="611"/>
      <c r="AM44" s="612"/>
      <c r="AN44" s="613"/>
      <c r="AO44" s="610"/>
      <c r="AP44" s="611"/>
      <c r="AQ44" s="612"/>
      <c r="AR44" s="613"/>
      <c r="AS44" s="583"/>
      <c r="AT44" s="584"/>
      <c r="AU44" s="583"/>
      <c r="AV44" s="585"/>
      <c r="AX44" s="584"/>
      <c r="AY44" s="583"/>
      <c r="AZ44" s="585"/>
      <c r="BA44" s="583"/>
      <c r="BB44" s="584"/>
      <c r="BC44" s="583"/>
      <c r="BD44" s="585"/>
      <c r="BE44" s="583"/>
      <c r="BF44" s="584"/>
      <c r="BG44" s="583"/>
      <c r="BH44" s="585"/>
      <c r="BI44" s="583"/>
      <c r="BJ44" s="584"/>
      <c r="BK44" s="583"/>
      <c r="BL44" s="585"/>
      <c r="BM44" s="583"/>
      <c r="BN44" s="584"/>
      <c r="BO44" s="583"/>
      <c r="BP44" s="585"/>
      <c r="BQ44" s="583"/>
      <c r="BR44" s="584"/>
      <c r="BS44" s="583"/>
      <c r="BT44" s="586"/>
      <c r="BU44" s="540"/>
      <c r="BV44" s="540"/>
      <c r="BW44" s="540"/>
      <c r="BX44" s="538"/>
      <c r="BY44" s="538"/>
      <c r="BZ44" s="587"/>
      <c r="CA44" s="591"/>
      <c r="CB44" s="590" t="s">
        <v>365</v>
      </c>
      <c r="CC44" s="590">
        <v>0.0</v>
      </c>
      <c r="CD44" s="590" t="s">
        <v>365</v>
      </c>
      <c r="CE44" s="590">
        <v>0.0</v>
      </c>
      <c r="CF44" s="590"/>
      <c r="CG44" s="590">
        <v>0.0</v>
      </c>
      <c r="CH44" s="590"/>
      <c r="CI44" s="591"/>
      <c r="CJ44" s="590">
        <v>0.0</v>
      </c>
      <c r="CK44" s="478" t="s">
        <v>365</v>
      </c>
      <c r="CL44" s="592"/>
      <c r="CM44" s="593"/>
      <c r="CN44" s="538"/>
      <c r="CO44" s="538"/>
      <c r="CP44" s="538"/>
      <c r="CQ44" s="538"/>
      <c r="CR44" s="538"/>
      <c r="CS44" s="538"/>
      <c r="CT44" s="538"/>
      <c r="CU44" s="538"/>
      <c r="CV44" s="538"/>
      <c r="CW44" s="538"/>
      <c r="CX44" s="538"/>
      <c r="CY44" s="538"/>
      <c r="CZ44" s="538"/>
      <c r="DA44" s="538"/>
      <c r="DB44" s="538"/>
      <c r="DC44" s="538"/>
      <c r="DD44" s="538"/>
      <c r="DE44" s="538"/>
      <c r="DF44" s="538"/>
      <c r="DG44" s="538"/>
      <c r="DH44" s="538"/>
      <c r="DI44" s="538"/>
      <c r="DJ44" s="538"/>
      <c r="DK44" s="538"/>
      <c r="DL44" s="538"/>
      <c r="DM44" s="538"/>
      <c r="DN44" s="538"/>
      <c r="DO44" s="538"/>
      <c r="DP44" s="538"/>
      <c r="DQ44" s="538"/>
      <c r="DR44" s="538"/>
      <c r="DS44" s="538"/>
      <c r="DT44" s="538"/>
      <c r="DU44" s="538"/>
      <c r="DV44" s="538"/>
      <c r="DW44" s="538"/>
      <c r="DX44" s="538"/>
      <c r="DY44" s="538"/>
      <c r="DZ44" s="538"/>
      <c r="EA44" s="538"/>
      <c r="EB44" s="538"/>
      <c r="EC44" s="538"/>
      <c r="ED44" s="538"/>
      <c r="EE44" s="538"/>
      <c r="EF44" s="538"/>
      <c r="EG44" s="538"/>
      <c r="EH44" s="538"/>
      <c r="EI44" s="538"/>
      <c r="EJ44" s="538"/>
      <c r="EK44" s="538"/>
      <c r="EL44" s="538"/>
      <c r="EM44" s="538"/>
      <c r="EN44" s="538"/>
      <c r="EO44" s="538"/>
      <c r="EP44" s="538"/>
      <c r="EQ44" s="538"/>
      <c r="ER44" s="538"/>
      <c r="ES44" s="538"/>
      <c r="ET44" s="538"/>
      <c r="EU44" s="538"/>
      <c r="EV44" s="538"/>
      <c r="EW44" s="538"/>
      <c r="EX44" s="559"/>
      <c r="EY44" s="559"/>
      <c r="EZ44" s="559"/>
      <c r="FA44" s="559"/>
      <c r="FB44" s="559"/>
      <c r="FC44" s="559"/>
      <c r="FD44" s="559"/>
      <c r="FE44" s="559"/>
      <c r="FF44" s="559"/>
      <c r="FG44" s="559"/>
      <c r="FH44" s="559"/>
      <c r="FI44" s="559"/>
      <c r="FJ44" s="559"/>
      <c r="FK44" s="559"/>
      <c r="FL44" s="559"/>
      <c r="FM44" s="559"/>
      <c r="FN44" s="559"/>
      <c r="FO44" s="559"/>
      <c r="FP44" s="559"/>
      <c r="FQ44" s="559"/>
      <c r="FR44" s="559"/>
      <c r="FS44" s="559"/>
      <c r="FT44" s="559"/>
      <c r="FU44" s="559"/>
      <c r="FV44" s="559"/>
      <c r="FW44" s="559"/>
      <c r="FX44" s="559"/>
      <c r="FY44" s="559"/>
      <c r="FZ44" s="559"/>
      <c r="GA44" s="559"/>
      <c r="GB44" s="559"/>
      <c r="GC44" s="559"/>
      <c r="GD44" s="559"/>
      <c r="GE44" s="559"/>
      <c r="GF44" s="559"/>
      <c r="GG44" s="559"/>
      <c r="GH44" s="559"/>
    </row>
    <row r="45">
      <c r="A45" s="538"/>
      <c r="B45" s="156" t="s">
        <v>379</v>
      </c>
      <c r="C45" s="444"/>
      <c r="D45" s="614"/>
      <c r="E45" s="595"/>
      <c r="F45" s="596"/>
      <c r="G45" s="596"/>
      <c r="H45" s="615"/>
      <c r="I45" s="616" t="s">
        <v>365</v>
      </c>
      <c r="J45" s="599"/>
      <c r="K45" s="600"/>
      <c r="L45" s="601"/>
      <c r="M45" s="602"/>
      <c r="N45" s="617"/>
      <c r="O45" s="604"/>
      <c r="P45" s="57"/>
      <c r="Q45" s="57"/>
      <c r="S45" s="605"/>
      <c r="U45" s="573"/>
      <c r="V45" s="574"/>
      <c r="W45" s="618"/>
      <c r="X45" s="576">
        <v>0.0</v>
      </c>
      <c r="Y45" s="577">
        <v>0.0</v>
      </c>
      <c r="Z45" s="577" t="s">
        <v>365</v>
      </c>
      <c r="AA45" s="578" t="b">
        <v>0</v>
      </c>
      <c r="AB45" s="578"/>
      <c r="AC45" s="579"/>
      <c r="AD45" s="608">
        <v>0.0</v>
      </c>
      <c r="AE45" s="609"/>
      <c r="AF45" s="582" t="s">
        <v>365</v>
      </c>
      <c r="AG45" s="583"/>
      <c r="AH45" s="584"/>
      <c r="AI45" s="583"/>
      <c r="AJ45" s="585"/>
      <c r="AK45" s="583"/>
      <c r="AL45" s="584"/>
      <c r="AM45" s="583"/>
      <c r="AN45" s="585"/>
      <c r="AO45" s="583"/>
      <c r="AP45" s="584"/>
      <c r="AQ45" s="583"/>
      <c r="AR45" s="585"/>
      <c r="AS45" s="583"/>
      <c r="AT45" s="584"/>
      <c r="AU45" s="583"/>
      <c r="AV45" s="585"/>
      <c r="AW45" s="583"/>
      <c r="AX45" s="584"/>
      <c r="AY45" s="583"/>
      <c r="AZ45" s="585"/>
      <c r="BA45" s="583"/>
      <c r="BB45" s="584"/>
      <c r="BC45" s="583"/>
      <c r="BD45" s="585"/>
      <c r="BE45" s="583"/>
      <c r="BF45" s="584"/>
      <c r="BG45" s="583"/>
      <c r="BH45" s="585"/>
      <c r="BI45" s="583"/>
      <c r="BJ45" s="584"/>
      <c r="BK45" s="583"/>
      <c r="BL45" s="585"/>
      <c r="BM45" s="583"/>
      <c r="BN45" s="584"/>
      <c r="BO45" s="583"/>
      <c r="BP45" s="585"/>
      <c r="BQ45" s="583"/>
      <c r="BR45" s="584"/>
      <c r="BS45" s="583"/>
      <c r="BT45" s="586"/>
      <c r="BU45" s="540"/>
      <c r="BV45" s="540"/>
      <c r="BW45" s="540"/>
      <c r="BX45" s="538"/>
      <c r="BY45" s="538"/>
      <c r="BZ45" s="587"/>
      <c r="CA45" s="591"/>
      <c r="CB45" s="590" t="s">
        <v>365</v>
      </c>
      <c r="CC45" s="590">
        <v>0.0</v>
      </c>
      <c r="CD45" s="590" t="s">
        <v>365</v>
      </c>
      <c r="CE45" s="590">
        <v>0.0</v>
      </c>
      <c r="CF45" s="590"/>
      <c r="CG45" s="590">
        <v>0.0</v>
      </c>
      <c r="CH45" s="590"/>
      <c r="CI45" s="591"/>
      <c r="CJ45" s="590">
        <v>0.0</v>
      </c>
      <c r="CK45" s="479" t="s">
        <v>365</v>
      </c>
      <c r="CL45" s="592"/>
      <c r="CM45" s="593"/>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59"/>
      <c r="EY45" s="559"/>
      <c r="EZ45" s="559"/>
      <c r="FA45" s="559"/>
      <c r="FB45" s="559"/>
      <c r="FC45" s="559"/>
      <c r="FD45" s="559"/>
      <c r="FE45" s="559"/>
      <c r="FF45" s="559"/>
      <c r="FG45" s="559"/>
      <c r="FH45" s="559"/>
      <c r="FI45" s="559"/>
      <c r="FJ45" s="559"/>
      <c r="FK45" s="559"/>
      <c r="FL45" s="559"/>
      <c r="FM45" s="559"/>
      <c r="FN45" s="559"/>
      <c r="FO45" s="559"/>
      <c r="FP45" s="559"/>
      <c r="FQ45" s="559"/>
      <c r="FR45" s="559"/>
      <c r="FS45" s="559"/>
      <c r="FT45" s="559"/>
      <c r="FU45" s="559"/>
      <c r="FV45" s="559"/>
      <c r="FW45" s="559"/>
      <c r="FX45" s="559"/>
      <c r="FY45" s="559"/>
      <c r="FZ45" s="559"/>
      <c r="GA45" s="559"/>
      <c r="GB45" s="559"/>
      <c r="GC45" s="559"/>
      <c r="GD45" s="559"/>
      <c r="GE45" s="559"/>
      <c r="GF45" s="559"/>
      <c r="GG45" s="559"/>
      <c r="GH45" s="559"/>
    </row>
    <row r="46">
      <c r="A46" s="538"/>
      <c r="B46" s="156"/>
      <c r="C46" s="444"/>
      <c r="D46" s="614" t="s">
        <v>380</v>
      </c>
      <c r="E46" s="562" t="s">
        <v>501</v>
      </c>
      <c r="F46" s="563">
        <v>4.0</v>
      </c>
      <c r="G46" s="563">
        <v>4.0</v>
      </c>
      <c r="H46" s="564"/>
      <c r="I46" s="565">
        <v>0.0</v>
      </c>
      <c r="J46" s="566">
        <v>87.5</v>
      </c>
      <c r="K46" s="567"/>
      <c r="L46" s="568"/>
      <c r="M46" s="569"/>
      <c r="N46" s="619"/>
      <c r="O46" s="571"/>
      <c r="P46" s="560"/>
      <c r="Q46" s="47"/>
      <c r="S46" s="572"/>
      <c r="U46" s="573"/>
      <c r="V46" s="574"/>
      <c r="W46" s="618"/>
      <c r="X46" s="576">
        <v>1400.0</v>
      </c>
      <c r="Y46" s="577">
        <v>352.0</v>
      </c>
      <c r="Z46" s="577">
        <v>16.0</v>
      </c>
      <c r="AA46" s="578">
        <v>0.7608695652173914</v>
      </c>
      <c r="AB46" s="578"/>
      <c r="AC46" s="579"/>
      <c r="AD46" s="608">
        <v>4.0</v>
      </c>
      <c r="AE46" s="609"/>
      <c r="AF46" s="582" t="s">
        <v>569</v>
      </c>
      <c r="AG46" s="583">
        <v>4.0</v>
      </c>
      <c r="AH46" s="584">
        <v>88.0</v>
      </c>
      <c r="AI46" s="583">
        <v>1.0</v>
      </c>
      <c r="AJ46" s="585">
        <v>8.5</v>
      </c>
      <c r="AK46" s="583">
        <v>4.0</v>
      </c>
      <c r="AL46" s="584"/>
      <c r="AM46" s="583">
        <v>1.0</v>
      </c>
      <c r="AN46" s="585">
        <v>8.5</v>
      </c>
      <c r="AO46" s="583">
        <v>4.0</v>
      </c>
      <c r="AP46" s="584"/>
      <c r="AQ46" s="583">
        <v>1.0</v>
      </c>
      <c r="AR46" s="585">
        <v>8.5</v>
      </c>
      <c r="AS46" s="610">
        <v>4.0</v>
      </c>
      <c r="AT46" s="620"/>
      <c r="AU46" s="612">
        <v>1.0</v>
      </c>
      <c r="AV46" s="613">
        <v>8.0</v>
      </c>
      <c r="AW46" s="610"/>
      <c r="AX46" s="620"/>
      <c r="AY46" s="612"/>
      <c r="AZ46" s="613"/>
      <c r="BA46" s="583"/>
      <c r="BB46" s="584"/>
      <c r="BC46" s="583"/>
      <c r="BD46" s="585"/>
      <c r="BE46" s="583"/>
      <c r="BF46" s="584"/>
      <c r="BG46" s="583"/>
      <c r="BH46" s="585"/>
      <c r="BI46" s="583"/>
      <c r="BJ46" s="584"/>
      <c r="BK46" s="583"/>
      <c r="BL46" s="585"/>
      <c r="BM46" s="583"/>
      <c r="BN46" s="584"/>
      <c r="BO46" s="583"/>
      <c r="BP46" s="585"/>
      <c r="BQ46" s="583"/>
      <c r="BR46" s="584"/>
      <c r="BS46" s="583"/>
      <c r="BT46" s="586"/>
      <c r="BU46" s="540"/>
      <c r="BV46" s="540"/>
      <c r="BW46" s="540"/>
      <c r="BX46" s="538"/>
      <c r="BY46" s="538"/>
      <c r="BZ46" s="587">
        <v>115.0</v>
      </c>
      <c r="CA46" s="591">
        <v>0.19130434782608696</v>
      </c>
      <c r="CB46" s="590">
        <v>22.0</v>
      </c>
      <c r="CC46" s="590">
        <v>16.0</v>
      </c>
      <c r="CD46" s="590">
        <v>1.0</v>
      </c>
      <c r="CE46" s="590">
        <v>352.0</v>
      </c>
      <c r="CF46" s="590">
        <v>3.0608695652173914</v>
      </c>
      <c r="CG46" s="590">
        <v>0.19784946236559137</v>
      </c>
      <c r="CH46" s="590"/>
      <c r="CI46" s="591">
        <v>0.21678608695652174</v>
      </c>
      <c r="CJ46" s="590">
        <v>4.8</v>
      </c>
      <c r="CK46" s="479">
        <v>8.375</v>
      </c>
      <c r="CL46" s="592">
        <v>25.9816947150871</v>
      </c>
      <c r="CM46" s="593">
        <v>24.7887323943662</v>
      </c>
      <c r="CN46" s="538"/>
      <c r="CO46" s="538"/>
      <c r="CP46" s="538"/>
      <c r="CQ46" s="538"/>
      <c r="CR46" s="538"/>
      <c r="CS46" s="538"/>
      <c r="CT46" s="538"/>
      <c r="CU46" s="538"/>
      <c r="CV46" s="538"/>
      <c r="CW46" s="538"/>
      <c r="CX46" s="538"/>
      <c r="CY46" s="538"/>
      <c r="CZ46" s="538"/>
      <c r="DA46" s="538"/>
      <c r="DB46" s="538"/>
      <c r="DC46" s="538"/>
      <c r="DD46" s="538"/>
      <c r="DE46" s="538"/>
      <c r="DF46" s="538"/>
      <c r="DG46" s="538"/>
      <c r="DH46" s="538"/>
      <c r="DI46" s="538"/>
      <c r="DJ46" s="538"/>
      <c r="DK46" s="538"/>
      <c r="DL46" s="538"/>
      <c r="DM46" s="538"/>
      <c r="DN46" s="538"/>
      <c r="DO46" s="538"/>
      <c r="DP46" s="538"/>
      <c r="DQ46" s="538"/>
      <c r="DR46" s="538"/>
      <c r="DS46" s="538"/>
      <c r="DT46" s="538"/>
      <c r="DU46" s="538"/>
      <c r="DV46" s="538"/>
      <c r="DW46" s="538"/>
      <c r="DX46" s="538"/>
      <c r="DY46" s="538"/>
      <c r="DZ46" s="538"/>
      <c r="EA46" s="538"/>
      <c r="EB46" s="538"/>
      <c r="EC46" s="538"/>
      <c r="ED46" s="538"/>
      <c r="EE46" s="538"/>
      <c r="EF46" s="538"/>
      <c r="EG46" s="538"/>
      <c r="EH46" s="538"/>
      <c r="EI46" s="538"/>
      <c r="EJ46" s="538"/>
      <c r="EK46" s="538"/>
      <c r="EL46" s="538"/>
      <c r="EM46" s="538"/>
      <c r="EN46" s="538"/>
      <c r="EO46" s="538"/>
      <c r="EP46" s="538"/>
      <c r="EQ46" s="538"/>
      <c r="ER46" s="538"/>
      <c r="ES46" s="538"/>
      <c r="ET46" s="538"/>
      <c r="EU46" s="538"/>
      <c r="EV46" s="538"/>
      <c r="EW46" s="538"/>
      <c r="EX46" s="559"/>
      <c r="EY46" s="559"/>
      <c r="EZ46" s="559"/>
      <c r="FA46" s="559"/>
      <c r="FB46" s="559"/>
      <c r="FC46" s="559"/>
      <c r="FD46" s="559"/>
      <c r="FE46" s="559"/>
      <c r="FF46" s="559"/>
      <c r="FG46" s="559"/>
      <c r="FH46" s="559"/>
      <c r="FI46" s="559"/>
      <c r="FJ46" s="559"/>
      <c r="FK46" s="559"/>
      <c r="FL46" s="559"/>
      <c r="FM46" s="559"/>
      <c r="FN46" s="559"/>
      <c r="FO46" s="559"/>
      <c r="FP46" s="559"/>
      <c r="FQ46" s="559"/>
      <c r="FR46" s="559"/>
      <c r="FS46" s="559"/>
      <c r="FT46" s="559"/>
      <c r="FU46" s="559"/>
      <c r="FV46" s="559"/>
      <c r="FW46" s="559"/>
      <c r="FX46" s="559"/>
      <c r="FY46" s="559"/>
      <c r="FZ46" s="559"/>
      <c r="GA46" s="559"/>
      <c r="GB46" s="559"/>
      <c r="GC46" s="559"/>
      <c r="GD46" s="559"/>
      <c r="GE46" s="559"/>
      <c r="GF46" s="559"/>
      <c r="GG46" s="559"/>
      <c r="GH46" s="559"/>
    </row>
    <row r="47">
      <c r="A47" s="538"/>
      <c r="B47" s="156"/>
      <c r="C47" s="444"/>
      <c r="D47" s="614" t="s">
        <v>313</v>
      </c>
      <c r="E47" s="595" t="s">
        <v>505</v>
      </c>
      <c r="F47" s="596">
        <v>3.0</v>
      </c>
      <c r="G47" s="596">
        <v>10.0</v>
      </c>
      <c r="H47" s="597"/>
      <c r="I47" s="616" t="s">
        <v>365</v>
      </c>
      <c r="J47" s="599"/>
      <c r="K47" s="600">
        <v>2.0</v>
      </c>
      <c r="L47" s="601">
        <v>3.0</v>
      </c>
      <c r="M47" s="602"/>
      <c r="N47" s="603"/>
      <c r="O47" s="621"/>
      <c r="P47" s="57"/>
      <c r="Q47" s="57"/>
      <c r="R47" s="57"/>
      <c r="S47" s="605"/>
      <c r="T47" s="605"/>
      <c r="U47" s="573"/>
      <c r="V47" s="574"/>
      <c r="W47" s="618"/>
      <c r="X47" s="576">
        <v>0.0</v>
      </c>
      <c r="Y47" s="577" t="e">
        <v>#VALUE!</v>
      </c>
      <c r="Z47" s="577">
        <v>30.0</v>
      </c>
      <c r="AA47" s="578" t="b">
        <v>0</v>
      </c>
      <c r="AB47" s="578"/>
      <c r="AC47" s="579"/>
      <c r="AD47" s="608">
        <v>4.0</v>
      </c>
      <c r="AE47" s="609"/>
      <c r="AF47" s="582" t="s">
        <v>506</v>
      </c>
      <c r="AG47" s="583">
        <v>10.0</v>
      </c>
      <c r="AH47" s="584" t="s">
        <v>570</v>
      </c>
      <c r="AI47" s="583">
        <v>3.0</v>
      </c>
      <c r="AJ47" s="585"/>
      <c r="AK47" s="583">
        <v>10.0</v>
      </c>
      <c r="AL47" s="584">
        <v>20.0</v>
      </c>
      <c r="AM47" s="583">
        <v>3.0</v>
      </c>
      <c r="AN47" s="585"/>
      <c r="AO47" s="583">
        <v>10.0</v>
      </c>
      <c r="AP47" s="584">
        <v>20.0</v>
      </c>
      <c r="AQ47" s="583"/>
      <c r="AR47" s="585"/>
      <c r="AS47" s="583">
        <v>12.0</v>
      </c>
      <c r="AT47" s="584">
        <v>15.0</v>
      </c>
      <c r="AU47" s="583"/>
      <c r="AV47" s="585"/>
      <c r="AW47" s="583"/>
      <c r="AX47" s="584"/>
      <c r="AY47" s="583"/>
      <c r="AZ47" s="585"/>
      <c r="BA47" s="583"/>
      <c r="BB47" s="584"/>
      <c r="BC47" s="583"/>
      <c r="BD47" s="585"/>
      <c r="BE47" s="583"/>
      <c r="BF47" s="584"/>
      <c r="BG47" s="583"/>
      <c r="BH47" s="585"/>
      <c r="BI47" s="583"/>
      <c r="BJ47" s="584"/>
      <c r="BK47" s="583"/>
      <c r="BL47" s="585"/>
      <c r="BM47" s="583"/>
      <c r="BN47" s="584"/>
      <c r="BO47" s="583"/>
      <c r="BP47" s="585"/>
      <c r="BQ47" s="583"/>
      <c r="BR47" s="584"/>
      <c r="BS47" s="583"/>
      <c r="BT47" s="586"/>
      <c r="BU47" s="540"/>
      <c r="BV47" s="540"/>
      <c r="BW47" s="540"/>
      <c r="BX47" s="538"/>
      <c r="BY47" s="538"/>
      <c r="BZ47" s="587"/>
      <c r="CA47" s="591"/>
      <c r="CB47" s="590" t="s">
        <v>365</v>
      </c>
      <c r="CC47" s="590">
        <v>42.0</v>
      </c>
      <c r="CD47" s="590">
        <v>1.5</v>
      </c>
      <c r="CE47" s="590" t="e">
        <v>#VALUE!</v>
      </c>
      <c r="CF47" s="590"/>
      <c r="CG47" s="590">
        <v>0.42</v>
      </c>
      <c r="CH47" s="590"/>
      <c r="CI47" s="591"/>
      <c r="CJ47" s="590">
        <v>1.6</v>
      </c>
      <c r="CK47" s="479">
        <v>0.0</v>
      </c>
      <c r="CL47" s="592"/>
      <c r="CM47" s="593"/>
      <c r="CN47" s="538"/>
      <c r="CO47" s="538"/>
      <c r="CP47" s="538"/>
      <c r="CQ47" s="538"/>
      <c r="CR47" s="538"/>
      <c r="CS47" s="538"/>
      <c r="CT47" s="538"/>
      <c r="CU47" s="538"/>
      <c r="CV47" s="538"/>
      <c r="CW47" s="538"/>
      <c r="CX47" s="538"/>
      <c r="CY47" s="538"/>
      <c r="CZ47" s="538"/>
      <c r="DA47" s="538"/>
      <c r="DB47" s="538"/>
      <c r="DC47" s="538"/>
      <c r="DD47" s="538"/>
      <c r="DE47" s="538"/>
      <c r="DF47" s="538"/>
      <c r="DG47" s="538"/>
      <c r="DH47" s="538"/>
      <c r="DI47" s="538"/>
      <c r="DJ47" s="538"/>
      <c r="DK47" s="538"/>
      <c r="DL47" s="538"/>
      <c r="DM47" s="538"/>
      <c r="DN47" s="538"/>
      <c r="DO47" s="538"/>
      <c r="DP47" s="538"/>
      <c r="DQ47" s="538"/>
      <c r="DR47" s="538"/>
      <c r="DS47" s="538"/>
      <c r="DT47" s="538"/>
      <c r="DU47" s="538"/>
      <c r="DV47" s="538"/>
      <c r="DW47" s="538"/>
      <c r="DX47" s="538"/>
      <c r="DY47" s="538"/>
      <c r="DZ47" s="538"/>
      <c r="EA47" s="538"/>
      <c r="EB47" s="538"/>
      <c r="EC47" s="538"/>
      <c r="ED47" s="538"/>
      <c r="EE47" s="538"/>
      <c r="EF47" s="538"/>
      <c r="EG47" s="538"/>
      <c r="EH47" s="538"/>
      <c r="EI47" s="538"/>
      <c r="EJ47" s="538"/>
      <c r="EK47" s="538"/>
      <c r="EL47" s="538"/>
      <c r="EM47" s="538"/>
      <c r="EN47" s="538"/>
      <c r="EO47" s="538"/>
      <c r="EP47" s="538"/>
      <c r="EQ47" s="538"/>
      <c r="ER47" s="538"/>
      <c r="ES47" s="538"/>
      <c r="ET47" s="538"/>
      <c r="EU47" s="538"/>
      <c r="EV47" s="538"/>
      <c r="EW47" s="538"/>
      <c r="EX47" s="559"/>
      <c r="EY47" s="559"/>
      <c r="EZ47" s="559"/>
      <c r="FA47" s="559"/>
      <c r="FB47" s="559"/>
      <c r="FC47" s="559"/>
      <c r="FD47" s="559"/>
      <c r="FE47" s="559"/>
      <c r="FF47" s="559"/>
      <c r="FG47" s="559"/>
      <c r="FH47" s="559"/>
      <c r="FI47" s="559"/>
      <c r="FJ47" s="559"/>
      <c r="FK47" s="559"/>
      <c r="FL47" s="559"/>
      <c r="FM47" s="559"/>
      <c r="FN47" s="559"/>
      <c r="FO47" s="559"/>
      <c r="FP47" s="559"/>
      <c r="FQ47" s="559"/>
      <c r="FR47" s="559"/>
      <c r="FS47" s="559"/>
      <c r="FT47" s="559"/>
      <c r="FU47" s="559"/>
      <c r="FV47" s="559"/>
      <c r="FW47" s="559"/>
      <c r="FX47" s="559"/>
      <c r="FY47" s="559"/>
      <c r="FZ47" s="559"/>
      <c r="GA47" s="559"/>
      <c r="GB47" s="559"/>
      <c r="GC47" s="559"/>
      <c r="GD47" s="559"/>
      <c r="GE47" s="559"/>
      <c r="GF47" s="559"/>
      <c r="GG47" s="559"/>
      <c r="GH47" s="559"/>
    </row>
    <row r="48">
      <c r="A48" s="538"/>
      <c r="B48" s="156"/>
      <c r="C48" s="444"/>
      <c r="D48" s="614" t="s">
        <v>317</v>
      </c>
      <c r="E48" s="606" t="s">
        <v>511</v>
      </c>
      <c r="F48" s="563">
        <v>3.0</v>
      </c>
      <c r="G48" s="560">
        <v>8.0</v>
      </c>
      <c r="H48" s="564"/>
      <c r="I48" s="622" t="s">
        <v>365</v>
      </c>
      <c r="J48" s="566"/>
      <c r="K48" s="567">
        <v>2.0</v>
      </c>
      <c r="L48" s="568"/>
      <c r="M48" s="569"/>
      <c r="N48" s="570"/>
      <c r="O48" s="623"/>
      <c r="P48" s="47"/>
      <c r="Q48" s="47"/>
      <c r="S48" s="572"/>
      <c r="U48" s="573"/>
      <c r="V48" s="574"/>
      <c r="W48" s="618"/>
      <c r="X48" s="576">
        <v>0.0</v>
      </c>
      <c r="Y48" s="577">
        <v>0.0</v>
      </c>
      <c r="Z48" s="577">
        <v>24.0</v>
      </c>
      <c r="AA48" s="578" t="b">
        <v>0</v>
      </c>
      <c r="AB48" s="578"/>
      <c r="AC48" s="579"/>
      <c r="AD48" s="608">
        <v>3.0</v>
      </c>
      <c r="AE48" s="609"/>
      <c r="AF48" s="582" t="s">
        <v>512</v>
      </c>
      <c r="AG48" s="583">
        <v>8.0</v>
      </c>
      <c r="AH48" s="584"/>
      <c r="AI48" s="583">
        <v>2.0</v>
      </c>
      <c r="AJ48" s="585"/>
      <c r="AK48" s="583">
        <v>8.0</v>
      </c>
      <c r="AL48" s="584"/>
      <c r="AM48" s="583"/>
      <c r="AN48" s="585"/>
      <c r="AO48" s="583">
        <v>8.0</v>
      </c>
      <c r="AP48" s="584"/>
      <c r="AQ48" s="583">
        <v>1.0</v>
      </c>
      <c r="AR48" s="585"/>
      <c r="AS48" s="583"/>
      <c r="AT48" s="584"/>
      <c r="AU48" s="583"/>
      <c r="AV48" s="585"/>
      <c r="AW48" s="583"/>
      <c r="AX48" s="584"/>
      <c r="AY48" s="583"/>
      <c r="AZ48" s="585"/>
      <c r="BA48" s="583"/>
      <c r="BB48" s="584"/>
      <c r="BC48" s="583"/>
      <c r="BD48" s="585"/>
      <c r="BE48" s="583"/>
      <c r="BF48" s="584"/>
      <c r="BG48" s="583"/>
      <c r="BH48" s="585"/>
      <c r="BI48" s="583"/>
      <c r="BJ48" s="584"/>
      <c r="BK48" s="583"/>
      <c r="BL48" s="585"/>
      <c r="BM48" s="583"/>
      <c r="BN48" s="584"/>
      <c r="BO48" s="583"/>
      <c r="BP48" s="585"/>
      <c r="BQ48" s="583"/>
      <c r="BR48" s="584"/>
      <c r="BS48" s="583"/>
      <c r="BT48" s="586"/>
      <c r="BU48" s="540"/>
      <c r="BV48" s="540"/>
      <c r="BW48" s="540"/>
      <c r="BX48" s="538"/>
      <c r="BY48" s="538"/>
      <c r="BZ48" s="587"/>
      <c r="CA48" s="591"/>
      <c r="CB48" s="590">
        <v>0.0</v>
      </c>
      <c r="CC48" s="590">
        <v>24.0</v>
      </c>
      <c r="CD48" s="590">
        <v>1.0</v>
      </c>
      <c r="CE48" s="590">
        <v>0.0</v>
      </c>
      <c r="CF48" s="590"/>
      <c r="CG48" s="590">
        <v>0.24</v>
      </c>
      <c r="CH48" s="590"/>
      <c r="CI48" s="591"/>
      <c r="CJ48" s="590">
        <v>2.2</v>
      </c>
      <c r="CK48" s="479">
        <v>0.0</v>
      </c>
      <c r="CL48" s="592"/>
      <c r="CM48" s="593"/>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59"/>
      <c r="EY48" s="559"/>
      <c r="EZ48" s="559"/>
      <c r="FA48" s="559"/>
      <c r="FB48" s="559"/>
      <c r="FC48" s="559"/>
      <c r="FD48" s="559"/>
      <c r="FE48" s="559"/>
      <c r="FF48" s="559"/>
      <c r="FG48" s="559"/>
      <c r="FH48" s="559"/>
      <c r="FI48" s="559"/>
      <c r="FJ48" s="559"/>
      <c r="FK48" s="559"/>
      <c r="FL48" s="559"/>
      <c r="FM48" s="559"/>
      <c r="FN48" s="559"/>
      <c r="FO48" s="559"/>
      <c r="FP48" s="559"/>
      <c r="FQ48" s="559"/>
      <c r="FR48" s="559"/>
      <c r="FS48" s="559"/>
      <c r="FT48" s="559"/>
      <c r="FU48" s="559"/>
      <c r="FV48" s="559"/>
      <c r="FW48" s="559"/>
      <c r="FX48" s="559"/>
      <c r="FY48" s="559"/>
      <c r="FZ48" s="559"/>
      <c r="GA48" s="559"/>
      <c r="GB48" s="559"/>
      <c r="GC48" s="559"/>
      <c r="GD48" s="559"/>
      <c r="GE48" s="559"/>
      <c r="GF48" s="559"/>
      <c r="GG48" s="559"/>
      <c r="GH48" s="559"/>
    </row>
    <row r="49">
      <c r="A49" s="538"/>
      <c r="B49" s="156"/>
      <c r="C49" s="444"/>
      <c r="D49" s="614" t="s">
        <v>317</v>
      </c>
      <c r="E49" s="595" t="s">
        <v>515</v>
      </c>
      <c r="F49" s="596">
        <v>3.0</v>
      </c>
      <c r="G49" s="596">
        <v>10.0</v>
      </c>
      <c r="H49" s="597"/>
      <c r="I49" s="616" t="s">
        <v>365</v>
      </c>
      <c r="J49" s="624"/>
      <c r="K49" s="600">
        <v>2.0</v>
      </c>
      <c r="L49" s="601"/>
      <c r="M49" s="625"/>
      <c r="N49" s="617"/>
      <c r="O49" s="621"/>
      <c r="P49" s="57"/>
      <c r="Q49" s="57"/>
      <c r="S49" s="605"/>
      <c r="U49" s="573"/>
      <c r="V49" s="574"/>
      <c r="W49" s="618"/>
      <c r="X49" s="576">
        <v>0.0</v>
      </c>
      <c r="Y49" s="577">
        <v>0.0</v>
      </c>
      <c r="Z49" s="577">
        <v>30.0</v>
      </c>
      <c r="AA49" s="578" t="b">
        <v>0</v>
      </c>
      <c r="AB49" s="578"/>
      <c r="AC49" s="579"/>
      <c r="AD49" s="608">
        <v>0.0</v>
      </c>
      <c r="AE49" s="609"/>
      <c r="AF49" s="582" t="s">
        <v>516</v>
      </c>
      <c r="AG49" s="583"/>
      <c r="AH49" s="584"/>
      <c r="AI49" s="583"/>
      <c r="AJ49" s="585"/>
      <c r="AK49" s="583"/>
      <c r="AL49" s="584"/>
      <c r="AM49" s="583"/>
      <c r="AN49" s="585"/>
      <c r="AO49" s="583"/>
      <c r="AP49" s="584"/>
      <c r="AQ49" s="583"/>
      <c r="AR49" s="585"/>
      <c r="AS49" s="583"/>
      <c r="AT49" s="584"/>
      <c r="AU49" s="583"/>
      <c r="AV49" s="585"/>
      <c r="AW49" s="583"/>
      <c r="AX49" s="584"/>
      <c r="AY49" s="583"/>
      <c r="AZ49" s="585"/>
      <c r="BA49" s="583"/>
      <c r="BB49" s="584"/>
      <c r="BC49" s="583"/>
      <c r="BD49" s="585"/>
      <c r="BE49" s="583"/>
      <c r="BF49" s="584"/>
      <c r="BG49" s="583"/>
      <c r="BH49" s="585"/>
      <c r="BI49" s="583"/>
      <c r="BJ49" s="584"/>
      <c r="BK49" s="583"/>
      <c r="BL49" s="585"/>
      <c r="BM49" s="583"/>
      <c r="BN49" s="584"/>
      <c r="BO49" s="583"/>
      <c r="BP49" s="585"/>
      <c r="BQ49" s="583"/>
      <c r="BR49" s="584"/>
      <c r="BS49" s="583"/>
      <c r="BT49" s="586"/>
      <c r="BU49" s="540"/>
      <c r="BV49" s="540"/>
      <c r="BW49" s="540"/>
      <c r="BX49" s="538"/>
      <c r="BY49" s="538"/>
      <c r="BZ49" s="587"/>
      <c r="CA49" s="591"/>
      <c r="CB49" s="590" t="s">
        <v>365</v>
      </c>
      <c r="CC49" s="590">
        <v>0.0</v>
      </c>
      <c r="CD49" s="590" t="s">
        <v>365</v>
      </c>
      <c r="CE49" s="590">
        <v>0.0</v>
      </c>
      <c r="CF49" s="590"/>
      <c r="CG49" s="590">
        <v>0.0</v>
      </c>
      <c r="CH49" s="590"/>
      <c r="CI49" s="591"/>
      <c r="CJ49" s="590">
        <v>0.0</v>
      </c>
      <c r="CK49" s="479" t="s">
        <v>365</v>
      </c>
      <c r="CL49" s="592"/>
      <c r="CM49" s="593"/>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59"/>
      <c r="EY49" s="559"/>
      <c r="EZ49" s="559"/>
      <c r="FA49" s="559"/>
      <c r="FB49" s="559"/>
      <c r="FC49" s="559"/>
      <c r="FD49" s="559"/>
      <c r="FE49" s="559"/>
      <c r="FF49" s="559"/>
      <c r="FG49" s="559"/>
      <c r="FH49" s="559"/>
      <c r="FI49" s="559"/>
      <c r="FJ49" s="559"/>
      <c r="FK49" s="559"/>
      <c r="FL49" s="559"/>
      <c r="FM49" s="559"/>
      <c r="FN49" s="559"/>
      <c r="FO49" s="559"/>
      <c r="FP49" s="559"/>
      <c r="FQ49" s="559"/>
      <c r="FR49" s="559"/>
      <c r="FS49" s="559"/>
      <c r="FT49" s="559"/>
      <c r="FU49" s="559"/>
      <c r="FV49" s="559"/>
      <c r="FW49" s="559"/>
      <c r="FX49" s="559"/>
      <c r="FY49" s="559"/>
      <c r="FZ49" s="559"/>
      <c r="GA49" s="559"/>
      <c r="GB49" s="559"/>
      <c r="GC49" s="559"/>
      <c r="GD49" s="559"/>
      <c r="GE49" s="559"/>
      <c r="GF49" s="559"/>
      <c r="GG49" s="559"/>
      <c r="GH49" s="559"/>
    </row>
    <row r="50">
      <c r="A50" s="538"/>
      <c r="B50" s="156"/>
      <c r="C50" s="444"/>
      <c r="D50" s="614" t="s">
        <v>317</v>
      </c>
      <c r="E50" s="606" t="s">
        <v>521</v>
      </c>
      <c r="F50" s="563">
        <v>3.0</v>
      </c>
      <c r="G50" s="563">
        <v>15.0</v>
      </c>
      <c r="H50" s="564"/>
      <c r="I50" s="622" t="s">
        <v>365</v>
      </c>
      <c r="J50" s="607"/>
      <c r="K50" s="567">
        <v>2.0</v>
      </c>
      <c r="L50" s="568"/>
      <c r="M50" s="626"/>
      <c r="N50" s="619"/>
      <c r="O50" s="623"/>
      <c r="P50" s="47"/>
      <c r="Q50" s="47"/>
      <c r="S50" s="572"/>
      <c r="U50" s="573"/>
      <c r="V50" s="574"/>
      <c r="W50" s="618"/>
      <c r="X50" s="576">
        <v>0.0</v>
      </c>
      <c r="Y50" s="577" t="e">
        <v>#VALUE!</v>
      </c>
      <c r="Z50" s="577">
        <v>45.0</v>
      </c>
      <c r="AA50" s="578" t="b">
        <v>0</v>
      </c>
      <c r="AB50" s="578"/>
      <c r="AC50" s="579"/>
      <c r="AD50" s="608">
        <v>2.0</v>
      </c>
      <c r="AE50" s="609"/>
      <c r="AF50" s="582" t="s">
        <v>522</v>
      </c>
      <c r="AG50" s="583">
        <v>15.0</v>
      </c>
      <c r="AH50" s="584" t="s">
        <v>571</v>
      </c>
      <c r="AI50" s="583"/>
      <c r="AJ50" s="585"/>
      <c r="AK50" s="583">
        <v>14.0</v>
      </c>
      <c r="AL50" s="584" t="s">
        <v>572</v>
      </c>
      <c r="AM50" s="583"/>
      <c r="AN50" s="585"/>
      <c r="AO50" s="583"/>
      <c r="AP50" s="584"/>
      <c r="AQ50" s="583"/>
      <c r="AR50" s="585"/>
      <c r="AS50" s="583"/>
      <c r="AT50" s="584"/>
      <c r="AU50" s="583"/>
      <c r="AV50" s="585"/>
      <c r="AW50" s="583"/>
      <c r="AX50" s="584"/>
      <c r="AY50" s="583"/>
      <c r="AZ50" s="585"/>
      <c r="BA50" s="583"/>
      <c r="BB50" s="584"/>
      <c r="BC50" s="583"/>
      <c r="BD50" s="585"/>
      <c r="BE50" s="583"/>
      <c r="BF50" s="584"/>
      <c r="BG50" s="583"/>
      <c r="BH50" s="585"/>
      <c r="BI50" s="583"/>
      <c r="BJ50" s="584"/>
      <c r="BK50" s="583"/>
      <c r="BL50" s="585"/>
      <c r="BM50" s="583"/>
      <c r="BN50" s="584"/>
      <c r="BO50" s="583"/>
      <c r="BP50" s="585"/>
      <c r="BQ50" s="583"/>
      <c r="BR50" s="584"/>
      <c r="BS50" s="583"/>
      <c r="BT50" s="586"/>
      <c r="BU50" s="540"/>
      <c r="BV50" s="540"/>
      <c r="BW50" s="540"/>
      <c r="BX50" s="538"/>
      <c r="BY50" s="538"/>
      <c r="BZ50" s="587"/>
      <c r="CA50" s="591"/>
      <c r="CB50" s="590" t="s">
        <v>365</v>
      </c>
      <c r="CC50" s="590">
        <v>29.0</v>
      </c>
      <c r="CD50" s="590">
        <v>0.0</v>
      </c>
      <c r="CE50" s="590" t="e">
        <v>#VALUE!</v>
      </c>
      <c r="CF50" s="590"/>
      <c r="CG50" s="590">
        <v>0.29</v>
      </c>
      <c r="CH50" s="590"/>
      <c r="CI50" s="591"/>
      <c r="CJ50" s="590">
        <v>0.0</v>
      </c>
      <c r="CK50" s="479">
        <v>0.0</v>
      </c>
      <c r="CL50" s="592"/>
      <c r="CM50" s="593"/>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59"/>
      <c r="EY50" s="559"/>
      <c r="EZ50" s="559"/>
      <c r="FA50" s="559"/>
      <c r="FB50" s="559"/>
      <c r="FC50" s="559"/>
      <c r="FD50" s="559"/>
      <c r="FE50" s="559"/>
      <c r="FF50" s="559"/>
      <c r="FG50" s="559"/>
      <c r="FH50" s="559"/>
      <c r="FI50" s="559"/>
      <c r="FJ50" s="559"/>
      <c r="FK50" s="559"/>
      <c r="FL50" s="559"/>
      <c r="FM50" s="559"/>
      <c r="FN50" s="559"/>
      <c r="FO50" s="559"/>
      <c r="FP50" s="559"/>
      <c r="FQ50" s="559"/>
      <c r="FR50" s="559"/>
      <c r="FS50" s="559"/>
      <c r="FT50" s="559"/>
      <c r="FU50" s="559"/>
      <c r="FV50" s="559"/>
      <c r="FW50" s="559"/>
      <c r="FX50" s="559"/>
      <c r="FY50" s="559"/>
      <c r="FZ50" s="559"/>
      <c r="GA50" s="559"/>
      <c r="GB50" s="559"/>
      <c r="GC50" s="559"/>
      <c r="GD50" s="559"/>
      <c r="GE50" s="559"/>
      <c r="GF50" s="559"/>
      <c r="GG50" s="559"/>
      <c r="GH50" s="559"/>
    </row>
    <row r="51">
      <c r="A51" s="538"/>
      <c r="B51" s="156"/>
      <c r="C51" s="444"/>
      <c r="D51" s="614" t="s">
        <v>326</v>
      </c>
      <c r="E51" s="595" t="s">
        <v>524</v>
      </c>
      <c r="F51" s="596">
        <v>3.0</v>
      </c>
      <c r="G51" s="596">
        <v>15.0</v>
      </c>
      <c r="H51" s="615"/>
      <c r="I51" s="616" t="s">
        <v>365</v>
      </c>
      <c r="J51" s="624"/>
      <c r="K51" s="600">
        <v>2.0</v>
      </c>
      <c r="L51" s="601"/>
      <c r="M51" s="625"/>
      <c r="N51" s="617"/>
      <c r="O51" s="621"/>
      <c r="P51" s="57"/>
      <c r="Q51" s="57"/>
      <c r="S51" s="605"/>
      <c r="U51" s="573"/>
      <c r="V51" s="574"/>
      <c r="W51" s="618"/>
      <c r="X51" s="576">
        <v>0.0</v>
      </c>
      <c r="Y51" s="577">
        <v>0.0</v>
      </c>
      <c r="Z51" s="577">
        <v>45.0</v>
      </c>
      <c r="AA51" s="578" t="b">
        <v>0</v>
      </c>
      <c r="AB51" s="578"/>
      <c r="AC51" s="579"/>
      <c r="AD51" s="608">
        <v>0.0</v>
      </c>
      <c r="AE51" s="609"/>
      <c r="AF51" s="582" t="s">
        <v>525</v>
      </c>
      <c r="AG51" s="583"/>
      <c r="AH51" s="584"/>
      <c r="AI51" s="583"/>
      <c r="AJ51" s="585"/>
      <c r="AK51" s="583"/>
      <c r="AL51" s="584"/>
      <c r="AM51" s="583"/>
      <c r="AN51" s="585"/>
      <c r="AO51" s="583"/>
      <c r="AP51" s="584"/>
      <c r="AQ51" s="583"/>
      <c r="AR51" s="585"/>
      <c r="AS51" s="583"/>
      <c r="AT51" s="584"/>
      <c r="AU51" s="583"/>
      <c r="AV51" s="585"/>
      <c r="AW51" s="583"/>
      <c r="AX51" s="584"/>
      <c r="AY51" s="583"/>
      <c r="AZ51" s="585"/>
      <c r="BA51" s="583"/>
      <c r="BB51" s="584"/>
      <c r="BC51" s="583"/>
      <c r="BD51" s="585"/>
      <c r="BE51" s="583"/>
      <c r="BF51" s="584"/>
      <c r="BG51" s="583"/>
      <c r="BH51" s="585"/>
      <c r="BI51" s="583"/>
      <c r="BJ51" s="584"/>
      <c r="BK51" s="583"/>
      <c r="BL51" s="585"/>
      <c r="BM51" s="583"/>
      <c r="BN51" s="584"/>
      <c r="BO51" s="583"/>
      <c r="BP51" s="585"/>
      <c r="BQ51" s="583"/>
      <c r="BR51" s="584"/>
      <c r="BS51" s="583"/>
      <c r="BT51" s="586"/>
      <c r="BU51" s="540"/>
      <c r="BV51" s="540"/>
      <c r="BW51" s="540"/>
      <c r="BX51" s="538"/>
      <c r="BY51" s="538"/>
      <c r="BZ51" s="587"/>
      <c r="CA51" s="591"/>
      <c r="CB51" s="590" t="s">
        <v>365</v>
      </c>
      <c r="CC51" s="590">
        <v>0.0</v>
      </c>
      <c r="CD51" s="590" t="s">
        <v>365</v>
      </c>
      <c r="CE51" s="590">
        <v>0.0</v>
      </c>
      <c r="CF51" s="590"/>
      <c r="CG51" s="590">
        <v>0.0</v>
      </c>
      <c r="CH51" s="590"/>
      <c r="CI51" s="591"/>
      <c r="CJ51" s="590">
        <v>0.0</v>
      </c>
      <c r="CK51" s="479" t="s">
        <v>365</v>
      </c>
      <c r="CL51" s="592"/>
      <c r="CM51" s="593"/>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59"/>
      <c r="EY51" s="559"/>
      <c r="EZ51" s="559"/>
      <c r="FA51" s="559"/>
      <c r="FB51" s="559"/>
      <c r="FC51" s="559"/>
      <c r="FD51" s="559"/>
      <c r="FE51" s="559"/>
      <c r="FF51" s="559"/>
      <c r="FG51" s="559"/>
      <c r="FH51" s="559"/>
      <c r="FI51" s="559"/>
      <c r="FJ51" s="559"/>
      <c r="FK51" s="559"/>
      <c r="FL51" s="559"/>
      <c r="FM51" s="559"/>
      <c r="FN51" s="559"/>
      <c r="FO51" s="559"/>
      <c r="FP51" s="559"/>
      <c r="FQ51" s="559"/>
      <c r="FR51" s="559"/>
      <c r="FS51" s="559"/>
      <c r="FT51" s="559"/>
      <c r="FU51" s="559"/>
      <c r="FV51" s="559"/>
      <c r="FW51" s="559"/>
      <c r="FX51" s="559"/>
      <c r="FY51" s="559"/>
      <c r="FZ51" s="559"/>
      <c r="GA51" s="559"/>
      <c r="GB51" s="559"/>
      <c r="GC51" s="559"/>
      <c r="GD51" s="559"/>
      <c r="GE51" s="559"/>
      <c r="GF51" s="559"/>
      <c r="GG51" s="559"/>
      <c r="GH51" s="559"/>
    </row>
    <row r="52">
      <c r="A52" s="538"/>
      <c r="B52" s="156" t="s">
        <v>410</v>
      </c>
      <c r="C52" s="444"/>
      <c r="D52" s="614"/>
      <c r="E52" s="606"/>
      <c r="F52" s="563"/>
      <c r="G52" s="563"/>
      <c r="H52" s="627"/>
      <c r="I52" s="622" t="s">
        <v>365</v>
      </c>
      <c r="J52" s="607"/>
      <c r="K52" s="567"/>
      <c r="L52" s="628"/>
      <c r="M52" s="626"/>
      <c r="N52" s="619"/>
      <c r="O52" s="623"/>
      <c r="P52" s="47"/>
      <c r="Q52" s="47"/>
      <c r="S52" s="572"/>
      <c r="U52" s="573"/>
      <c r="V52" s="574"/>
      <c r="W52" s="618"/>
      <c r="X52" s="576">
        <v>0.0</v>
      </c>
      <c r="Y52" s="577">
        <v>0.0</v>
      </c>
      <c r="Z52" s="577" t="s">
        <v>365</v>
      </c>
      <c r="AA52" s="578" t="b">
        <v>0</v>
      </c>
      <c r="AB52" s="578"/>
      <c r="AC52" s="579"/>
      <c r="AD52" s="608">
        <v>0.0</v>
      </c>
      <c r="AE52" s="609"/>
      <c r="AF52" s="582" t="s">
        <v>365</v>
      </c>
      <c r="AG52" s="583"/>
      <c r="AH52" s="584"/>
      <c r="AI52" s="583"/>
      <c r="AJ52" s="585"/>
      <c r="AK52" s="583"/>
      <c r="AL52" s="584"/>
      <c r="AM52" s="583"/>
      <c r="AN52" s="585"/>
      <c r="AO52" s="583"/>
      <c r="AP52" s="584"/>
      <c r="AQ52" s="583"/>
      <c r="AR52" s="585"/>
      <c r="AS52" s="583"/>
      <c r="AT52" s="584"/>
      <c r="AU52" s="583"/>
      <c r="AV52" s="585"/>
      <c r="AW52" s="583"/>
      <c r="AX52" s="584"/>
      <c r="AY52" s="583"/>
      <c r="AZ52" s="585"/>
      <c r="BA52" s="583"/>
      <c r="BB52" s="584"/>
      <c r="BC52" s="583"/>
      <c r="BD52" s="585"/>
      <c r="BE52" s="583"/>
      <c r="BF52" s="584"/>
      <c r="BG52" s="583"/>
      <c r="BH52" s="585"/>
      <c r="BI52" s="583"/>
      <c r="BJ52" s="584"/>
      <c r="BK52" s="583"/>
      <c r="BL52" s="585"/>
      <c r="BM52" s="583"/>
      <c r="BN52" s="584"/>
      <c r="BO52" s="583"/>
      <c r="BP52" s="585"/>
      <c r="BQ52" s="583"/>
      <c r="BR52" s="584"/>
      <c r="BS52" s="583"/>
      <c r="BT52" s="586"/>
      <c r="BU52" s="540"/>
      <c r="BV52" s="540"/>
      <c r="BW52" s="540"/>
      <c r="BX52" s="538"/>
      <c r="BY52" s="538"/>
      <c r="BZ52" s="587"/>
      <c r="CA52" s="591"/>
      <c r="CB52" s="590" t="s">
        <v>365</v>
      </c>
      <c r="CC52" s="590">
        <v>0.0</v>
      </c>
      <c r="CD52" s="590" t="s">
        <v>365</v>
      </c>
      <c r="CE52" s="590">
        <v>0.0</v>
      </c>
      <c r="CF52" s="590"/>
      <c r="CG52" s="590">
        <v>0.0</v>
      </c>
      <c r="CH52" s="590"/>
      <c r="CI52" s="591"/>
      <c r="CJ52" s="590">
        <v>0.0</v>
      </c>
      <c r="CK52" s="479" t="s">
        <v>365</v>
      </c>
      <c r="CL52" s="592"/>
      <c r="CM52" s="593"/>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59"/>
      <c r="EY52" s="559"/>
      <c r="EZ52" s="559"/>
      <c r="FA52" s="559"/>
      <c r="FB52" s="559"/>
      <c r="FC52" s="559"/>
      <c r="FD52" s="559"/>
      <c r="FE52" s="559"/>
      <c r="FF52" s="559"/>
      <c r="FG52" s="559"/>
      <c r="FH52" s="559"/>
      <c r="FI52" s="559"/>
      <c r="FJ52" s="559"/>
      <c r="FK52" s="559"/>
      <c r="FL52" s="559"/>
      <c r="FM52" s="559"/>
      <c r="FN52" s="559"/>
      <c r="FO52" s="559"/>
      <c r="FP52" s="559"/>
      <c r="FQ52" s="559"/>
      <c r="FR52" s="559"/>
      <c r="FS52" s="559"/>
      <c r="FT52" s="559"/>
      <c r="FU52" s="559"/>
      <c r="FV52" s="559"/>
      <c r="FW52" s="559"/>
      <c r="FX52" s="559"/>
      <c r="FY52" s="559"/>
      <c r="FZ52" s="559"/>
      <c r="GA52" s="559"/>
      <c r="GB52" s="559"/>
      <c r="GC52" s="559"/>
      <c r="GD52" s="559"/>
      <c r="GE52" s="559"/>
      <c r="GF52" s="559"/>
      <c r="GG52" s="559"/>
      <c r="GH52" s="559"/>
    </row>
    <row r="53">
      <c r="A53" s="538"/>
      <c r="B53" s="156" t="s">
        <v>411</v>
      </c>
      <c r="C53" s="444"/>
      <c r="D53" s="614"/>
      <c r="E53" s="595"/>
      <c r="F53" s="596"/>
      <c r="G53" s="596"/>
      <c r="H53" s="615"/>
      <c r="I53" s="616" t="s">
        <v>365</v>
      </c>
      <c r="J53" s="624"/>
      <c r="K53" s="600"/>
      <c r="L53" s="601"/>
      <c r="M53" s="625"/>
      <c r="N53" s="617"/>
      <c r="O53" s="621"/>
      <c r="P53" s="57"/>
      <c r="Q53" s="57"/>
      <c r="S53" s="605"/>
      <c r="U53" s="573"/>
      <c r="V53" s="574"/>
      <c r="W53" s="618"/>
      <c r="X53" s="576">
        <v>0.0</v>
      </c>
      <c r="Y53" s="577">
        <v>0.0</v>
      </c>
      <c r="Z53" s="577" t="s">
        <v>365</v>
      </c>
      <c r="AA53" s="578" t="b">
        <v>0</v>
      </c>
      <c r="AB53" s="578"/>
      <c r="AC53" s="579"/>
      <c r="AD53" s="608">
        <v>0.0</v>
      </c>
      <c r="AE53" s="609"/>
      <c r="AF53" s="582" t="s">
        <v>365</v>
      </c>
      <c r="AG53" s="583"/>
      <c r="AH53" s="584"/>
      <c r="AI53" s="583"/>
      <c r="AJ53" s="585"/>
      <c r="AK53" s="583"/>
      <c r="AL53" s="584"/>
      <c r="AM53" s="583"/>
      <c r="AN53" s="585"/>
      <c r="AO53" s="583"/>
      <c r="AP53" s="584"/>
      <c r="AQ53" s="583"/>
      <c r="AR53" s="585"/>
      <c r="AS53" s="583"/>
      <c r="AT53" s="584"/>
      <c r="AU53" s="583"/>
      <c r="AV53" s="585"/>
      <c r="AW53" s="583"/>
      <c r="AX53" s="584"/>
      <c r="AY53" s="583"/>
      <c r="AZ53" s="585"/>
      <c r="BA53" s="583"/>
      <c r="BB53" s="584"/>
      <c r="BC53" s="583"/>
      <c r="BD53" s="585"/>
      <c r="BE53" s="583"/>
      <c r="BF53" s="584"/>
      <c r="BG53" s="583"/>
      <c r="BH53" s="585"/>
      <c r="BI53" s="583"/>
      <c r="BJ53" s="584"/>
      <c r="BK53" s="583"/>
      <c r="BL53" s="585"/>
      <c r="BM53" s="583"/>
      <c r="BN53" s="584"/>
      <c r="BO53" s="583"/>
      <c r="BP53" s="585"/>
      <c r="BQ53" s="583"/>
      <c r="BR53" s="584"/>
      <c r="BS53" s="583"/>
      <c r="BT53" s="586"/>
      <c r="BU53" s="540"/>
      <c r="BV53" s="540"/>
      <c r="BW53" s="540"/>
      <c r="BX53" s="538"/>
      <c r="BY53" s="538"/>
      <c r="BZ53" s="587"/>
      <c r="CA53" s="591"/>
      <c r="CB53" s="590" t="s">
        <v>365</v>
      </c>
      <c r="CC53" s="590">
        <v>0.0</v>
      </c>
      <c r="CD53" s="590" t="s">
        <v>365</v>
      </c>
      <c r="CE53" s="590">
        <v>0.0</v>
      </c>
      <c r="CF53" s="590"/>
      <c r="CG53" s="590">
        <v>0.0</v>
      </c>
      <c r="CH53" s="590"/>
      <c r="CI53" s="591"/>
      <c r="CJ53" s="590">
        <v>0.0</v>
      </c>
      <c r="CK53" s="479" t="s">
        <v>365</v>
      </c>
      <c r="CL53" s="592"/>
      <c r="CM53" s="593"/>
      <c r="CN53" s="538"/>
      <c r="CO53" s="538"/>
      <c r="CP53" s="538"/>
      <c r="CQ53" s="538"/>
      <c r="CR53" s="538"/>
      <c r="CS53" s="538"/>
      <c r="CT53" s="538"/>
      <c r="CU53" s="538"/>
      <c r="CV53" s="538"/>
      <c r="CW53" s="538"/>
      <c r="CX53" s="538"/>
      <c r="CY53" s="538"/>
      <c r="CZ53" s="538"/>
      <c r="DA53" s="538"/>
      <c r="DB53" s="538"/>
      <c r="DC53" s="538"/>
      <c r="DD53" s="538"/>
      <c r="DE53" s="538"/>
      <c r="DF53" s="538"/>
      <c r="DG53" s="538"/>
      <c r="DH53" s="538"/>
      <c r="DI53" s="538"/>
      <c r="DJ53" s="538"/>
      <c r="DK53" s="538"/>
      <c r="DL53" s="538"/>
      <c r="DM53" s="538"/>
      <c r="DN53" s="538"/>
      <c r="DO53" s="538"/>
      <c r="DP53" s="538"/>
      <c r="DQ53" s="538"/>
      <c r="DR53" s="538"/>
      <c r="DS53" s="538"/>
      <c r="DT53" s="538"/>
      <c r="DU53" s="538"/>
      <c r="DV53" s="538"/>
      <c r="DW53" s="538"/>
      <c r="DX53" s="538"/>
      <c r="DY53" s="538"/>
      <c r="DZ53" s="538"/>
      <c r="EA53" s="538"/>
      <c r="EB53" s="538"/>
      <c r="EC53" s="538"/>
      <c r="ED53" s="538"/>
      <c r="EE53" s="538"/>
      <c r="EF53" s="538"/>
      <c r="EG53" s="538"/>
      <c r="EH53" s="538"/>
      <c r="EI53" s="538"/>
      <c r="EJ53" s="538"/>
      <c r="EK53" s="538"/>
      <c r="EL53" s="538"/>
      <c r="EM53" s="538"/>
      <c r="EN53" s="538"/>
      <c r="EO53" s="538"/>
      <c r="EP53" s="538"/>
      <c r="EQ53" s="538"/>
      <c r="ER53" s="538"/>
      <c r="ES53" s="538"/>
      <c r="ET53" s="538"/>
      <c r="EU53" s="538"/>
      <c r="EV53" s="538"/>
      <c r="EW53" s="538"/>
      <c r="EX53" s="559"/>
      <c r="EY53" s="559"/>
      <c r="EZ53" s="559"/>
      <c r="FA53" s="559"/>
      <c r="FB53" s="559"/>
      <c r="FC53" s="559"/>
      <c r="FD53" s="559"/>
      <c r="FE53" s="559"/>
      <c r="FF53" s="559"/>
      <c r="FG53" s="559"/>
      <c r="FH53" s="559"/>
      <c r="FI53" s="559"/>
      <c r="FJ53" s="559"/>
      <c r="FK53" s="559"/>
      <c r="FL53" s="559"/>
      <c r="FM53" s="559"/>
      <c r="FN53" s="559"/>
      <c r="FO53" s="559"/>
      <c r="FP53" s="559"/>
      <c r="FQ53" s="559"/>
      <c r="FR53" s="559"/>
      <c r="FS53" s="559"/>
      <c r="FT53" s="559"/>
      <c r="FU53" s="559"/>
      <c r="FV53" s="559"/>
      <c r="FW53" s="559"/>
      <c r="FX53" s="559"/>
      <c r="FY53" s="559"/>
      <c r="FZ53" s="559"/>
      <c r="GA53" s="559"/>
      <c r="GB53" s="559"/>
      <c r="GC53" s="559"/>
      <c r="GD53" s="559"/>
      <c r="GE53" s="559"/>
      <c r="GF53" s="559"/>
      <c r="GG53" s="559"/>
      <c r="GH53" s="559"/>
    </row>
    <row r="54">
      <c r="A54" s="538"/>
      <c r="B54" s="134"/>
      <c r="C54" s="57"/>
      <c r="D54" s="594" t="s">
        <v>380</v>
      </c>
      <c r="E54" s="629" t="s">
        <v>412</v>
      </c>
      <c r="F54" s="596">
        <v>4.0</v>
      </c>
      <c r="G54" s="596">
        <v>4.0</v>
      </c>
      <c r="H54" s="597"/>
      <c r="I54" s="598">
        <v>0.0</v>
      </c>
      <c r="J54" s="599">
        <v>95.0</v>
      </c>
      <c r="K54" s="600"/>
      <c r="L54" s="568"/>
      <c r="M54" s="569"/>
      <c r="N54" s="619"/>
      <c r="O54" s="623"/>
      <c r="P54" s="47"/>
      <c r="Q54" s="47"/>
      <c r="R54" s="47"/>
      <c r="S54" s="572"/>
      <c r="T54" s="572"/>
      <c r="U54" s="573"/>
      <c r="V54" s="574"/>
      <c r="W54" s="618"/>
      <c r="X54" s="576">
        <v>1520.0</v>
      </c>
      <c r="Y54" s="630" t="e">
        <v>#VALUE!</v>
      </c>
      <c r="Z54" s="630">
        <v>16.0</v>
      </c>
      <c r="AA54" s="631">
        <v>0.8260869565217391</v>
      </c>
      <c r="AB54" s="631"/>
      <c r="AC54" s="576"/>
      <c r="AD54" s="479">
        <v>4.0</v>
      </c>
      <c r="AE54" s="632"/>
      <c r="AF54" s="582" t="s">
        <v>573</v>
      </c>
      <c r="AG54" s="583">
        <v>4.0</v>
      </c>
      <c r="AH54" s="584">
        <v>95.0</v>
      </c>
      <c r="AI54" s="583">
        <v>0.0</v>
      </c>
      <c r="AJ54" s="585">
        <v>9.0</v>
      </c>
      <c r="AK54" s="583">
        <v>4.0</v>
      </c>
      <c r="AL54" s="584">
        <v>95.0</v>
      </c>
      <c r="AM54" s="583">
        <v>0.0</v>
      </c>
      <c r="AN54" s="585">
        <v>9.5</v>
      </c>
      <c r="AO54" s="583">
        <v>4.0</v>
      </c>
      <c r="AP54" s="584" t="s">
        <v>574</v>
      </c>
      <c r="AQ54" s="583">
        <v>0.0</v>
      </c>
      <c r="AR54" s="585">
        <v>8.5</v>
      </c>
      <c r="AS54" s="583">
        <v>4.0</v>
      </c>
      <c r="AT54" s="584"/>
      <c r="AU54" s="583">
        <v>0.0</v>
      </c>
      <c r="AV54" s="585">
        <v>9.0</v>
      </c>
      <c r="AW54" s="583"/>
      <c r="AX54" s="584"/>
      <c r="AY54" s="583"/>
      <c r="AZ54" s="585"/>
      <c r="BA54" s="583"/>
      <c r="BB54" s="584"/>
      <c r="BC54" s="583"/>
      <c r="BD54" s="585"/>
      <c r="BE54" s="583"/>
      <c r="BF54" s="584"/>
      <c r="BG54" s="583"/>
      <c r="BH54" s="585"/>
      <c r="BI54" s="583"/>
      <c r="BJ54" s="584"/>
      <c r="BK54" s="583"/>
      <c r="BL54" s="585"/>
      <c r="BM54" s="583"/>
      <c r="BN54" s="584"/>
      <c r="BO54" s="583"/>
      <c r="BP54" s="585"/>
      <c r="BQ54" s="583"/>
      <c r="BR54" s="584"/>
      <c r="BS54" s="583"/>
      <c r="BT54" s="586"/>
      <c r="BU54" s="540"/>
      <c r="BV54" s="540"/>
      <c r="BW54" s="540"/>
      <c r="BX54" s="538"/>
      <c r="BY54" s="538"/>
      <c r="BZ54" s="592">
        <v>115.0</v>
      </c>
      <c r="CA54" s="633"/>
      <c r="CB54" s="592" t="s">
        <v>365</v>
      </c>
      <c r="CC54" s="592">
        <v>16.0</v>
      </c>
      <c r="CD54" s="592">
        <v>0.0</v>
      </c>
      <c r="CE54" s="592" t="e">
        <v>#VALUE!</v>
      </c>
      <c r="CF54" s="592"/>
      <c r="CG54" s="592">
        <v>0.16</v>
      </c>
      <c r="CH54" s="592"/>
      <c r="CI54" s="633"/>
      <c r="CJ54" s="592">
        <v>6.4</v>
      </c>
      <c r="CK54" s="479">
        <v>9.0</v>
      </c>
      <c r="CL54" s="592"/>
      <c r="CM54" s="593"/>
      <c r="CN54" s="538"/>
      <c r="CO54" s="538"/>
      <c r="CP54" s="538"/>
      <c r="CQ54" s="538"/>
      <c r="CR54" s="538"/>
      <c r="CS54" s="538"/>
      <c r="CT54" s="538"/>
      <c r="CU54" s="538"/>
      <c r="CV54" s="538"/>
      <c r="CW54" s="538"/>
      <c r="CX54" s="538"/>
      <c r="CY54" s="538"/>
      <c r="CZ54" s="538"/>
      <c r="DA54" s="538"/>
      <c r="DB54" s="538"/>
      <c r="DC54" s="538"/>
      <c r="DD54" s="538"/>
      <c r="DE54" s="538"/>
      <c r="DF54" s="538"/>
      <c r="DG54" s="538"/>
      <c r="DH54" s="538"/>
      <c r="DI54" s="538"/>
      <c r="DJ54" s="84"/>
      <c r="DK54" s="538"/>
      <c r="DL54" s="538"/>
      <c r="DM54" s="538"/>
      <c r="DN54" s="538"/>
      <c r="DO54" s="538"/>
      <c r="DP54" s="538"/>
      <c r="DQ54" s="538"/>
      <c r="DR54" s="538"/>
      <c r="DS54" s="538"/>
      <c r="DT54" s="538"/>
      <c r="DU54" s="538"/>
      <c r="DV54" s="538"/>
      <c r="DW54" s="538"/>
      <c r="DX54" s="538"/>
      <c r="DY54" s="538"/>
      <c r="DZ54" s="538"/>
      <c r="EA54" s="538"/>
      <c r="EB54" s="538"/>
      <c r="EC54" s="538"/>
      <c r="ED54" s="538"/>
      <c r="EE54" s="538"/>
      <c r="EF54" s="538"/>
      <c r="EG54" s="538"/>
      <c r="EH54" s="538"/>
      <c r="EI54" s="538"/>
      <c r="EJ54" s="538"/>
      <c r="EK54" s="538"/>
      <c r="EL54" s="538"/>
      <c r="EM54" s="538"/>
      <c r="EN54" s="538"/>
      <c r="EO54" s="538"/>
      <c r="EP54" s="538"/>
      <c r="EQ54" s="538"/>
      <c r="ER54" s="538"/>
      <c r="ES54" s="538"/>
      <c r="ET54" s="538"/>
      <c r="EU54" s="538"/>
      <c r="EV54" s="538"/>
      <c r="EW54" s="538"/>
      <c r="EX54" s="559"/>
      <c r="EY54" s="559"/>
      <c r="EZ54" s="559"/>
      <c r="FA54" s="559"/>
      <c r="FB54" s="559"/>
      <c r="FC54" s="559"/>
      <c r="FD54" s="559"/>
      <c r="FE54" s="559"/>
      <c r="FF54" s="559"/>
      <c r="FG54" s="559"/>
      <c r="FH54" s="559"/>
      <c r="FI54" s="559"/>
      <c r="FJ54" s="559"/>
      <c r="FK54" s="559"/>
      <c r="FL54" s="559"/>
      <c r="FM54" s="559"/>
      <c r="FN54" s="559"/>
      <c r="FO54" s="559"/>
      <c r="FP54" s="559"/>
      <c r="FQ54" s="559"/>
      <c r="FR54" s="559"/>
      <c r="FS54" s="559"/>
      <c r="FT54" s="559"/>
      <c r="FU54" s="559"/>
      <c r="FV54" s="559"/>
      <c r="FW54" s="559"/>
      <c r="FX54" s="559"/>
      <c r="FY54" s="559"/>
      <c r="FZ54" s="559"/>
      <c r="GA54" s="559"/>
      <c r="GB54" s="559"/>
      <c r="GC54" s="559"/>
      <c r="GD54" s="559"/>
      <c r="GE54" s="559"/>
      <c r="GF54" s="559"/>
      <c r="GG54" s="559"/>
      <c r="GH54" s="559"/>
    </row>
    <row r="55">
      <c r="A55" s="538"/>
      <c r="B55" s="134"/>
      <c r="C55" s="57"/>
      <c r="D55" s="594" t="s">
        <v>313</v>
      </c>
      <c r="E55" s="606" t="s">
        <v>534</v>
      </c>
      <c r="F55" s="563">
        <v>4.0</v>
      </c>
      <c r="G55" s="563">
        <v>10.0</v>
      </c>
      <c r="H55" s="564"/>
      <c r="I55" s="622" t="s">
        <v>365</v>
      </c>
      <c r="J55" s="566"/>
      <c r="K55" s="567">
        <v>2.0</v>
      </c>
      <c r="L55" s="568">
        <v>3.0</v>
      </c>
      <c r="M55" s="626"/>
      <c r="N55" s="617"/>
      <c r="O55" s="621"/>
      <c r="P55" s="57"/>
      <c r="Q55" s="57"/>
      <c r="R55" s="57"/>
      <c r="S55" s="605"/>
      <c r="T55" s="605"/>
      <c r="U55" s="573"/>
      <c r="V55" s="574"/>
      <c r="W55" s="618"/>
      <c r="X55" s="576">
        <v>0.0</v>
      </c>
      <c r="Y55" s="630">
        <v>2640.0</v>
      </c>
      <c r="Z55" s="630">
        <v>40.0</v>
      </c>
      <c r="AA55" s="631" t="b">
        <v>0</v>
      </c>
      <c r="AB55" s="631"/>
      <c r="AC55" s="576"/>
      <c r="AD55" s="479">
        <v>4.0</v>
      </c>
      <c r="AE55" s="632"/>
      <c r="AF55" s="582" t="s">
        <v>535</v>
      </c>
      <c r="AG55" s="583">
        <v>8.0</v>
      </c>
      <c r="AH55" s="584">
        <v>80.0</v>
      </c>
      <c r="AI55" s="583">
        <v>1.0</v>
      </c>
      <c r="AJ55" s="585"/>
      <c r="AK55" s="583">
        <v>10.0</v>
      </c>
      <c r="AL55" s="584">
        <v>70.0</v>
      </c>
      <c r="AM55" s="583">
        <v>2.0</v>
      </c>
      <c r="AN55" s="585"/>
      <c r="AO55" s="583">
        <v>10.0</v>
      </c>
      <c r="AP55" s="584">
        <v>65.0</v>
      </c>
      <c r="AQ55" s="583"/>
      <c r="AR55" s="585"/>
      <c r="AS55" s="583">
        <v>10.0</v>
      </c>
      <c r="AT55" s="584">
        <v>65.0</v>
      </c>
      <c r="AU55" s="583"/>
      <c r="AV55" s="585"/>
      <c r="AW55" s="583"/>
      <c r="AX55" s="584"/>
      <c r="AY55" s="583"/>
      <c r="AZ55" s="585"/>
      <c r="BA55" s="583"/>
      <c r="BB55" s="584"/>
      <c r="BC55" s="583"/>
      <c r="BD55" s="585"/>
      <c r="BE55" s="583"/>
      <c r="BF55" s="584"/>
      <c r="BG55" s="583"/>
      <c r="BH55" s="585"/>
      <c r="BI55" s="583"/>
      <c r="BJ55" s="584"/>
      <c r="BK55" s="583"/>
      <c r="BL55" s="585"/>
      <c r="BM55" s="583"/>
      <c r="BN55" s="584"/>
      <c r="BO55" s="583"/>
      <c r="BP55" s="585"/>
      <c r="BQ55" s="583"/>
      <c r="BR55" s="584"/>
      <c r="BS55" s="583"/>
      <c r="BT55" s="586"/>
      <c r="BU55" s="540"/>
      <c r="BV55" s="540"/>
      <c r="BW55" s="540"/>
      <c r="BX55" s="538"/>
      <c r="BY55" s="538"/>
      <c r="BZ55" s="592"/>
      <c r="CA55" s="633"/>
      <c r="CB55" s="592">
        <v>70.0</v>
      </c>
      <c r="CC55" s="592">
        <v>38.0</v>
      </c>
      <c r="CD55" s="592">
        <v>0.75</v>
      </c>
      <c r="CE55" s="592">
        <v>2640.0</v>
      </c>
      <c r="CF55" s="592"/>
      <c r="CG55" s="592">
        <v>0.38</v>
      </c>
      <c r="CH55" s="592"/>
      <c r="CI55" s="633"/>
      <c r="CJ55" s="592">
        <v>2.2</v>
      </c>
      <c r="CK55" s="479">
        <v>0.0</v>
      </c>
      <c r="CL55" s="592"/>
      <c r="CM55" s="593"/>
      <c r="CN55" s="538"/>
      <c r="CO55" s="538"/>
      <c r="CP55" s="538"/>
      <c r="CQ55" s="538"/>
      <c r="CR55" s="538"/>
      <c r="CS55" s="538"/>
      <c r="CT55" s="538"/>
      <c r="CU55" s="538"/>
      <c r="CV55" s="538"/>
      <c r="CW55" s="538"/>
      <c r="CX55" s="538"/>
      <c r="CY55" s="538"/>
      <c r="CZ55" s="538"/>
      <c r="DA55" s="538"/>
      <c r="DB55" s="538"/>
      <c r="DC55" s="538"/>
      <c r="DD55" s="538"/>
      <c r="DE55" s="538"/>
      <c r="DF55" s="538"/>
      <c r="DG55" s="538"/>
      <c r="DH55" s="538"/>
      <c r="DI55" s="538"/>
      <c r="DJ55" s="84"/>
      <c r="DK55" s="538"/>
      <c r="DL55" s="538"/>
      <c r="DM55" s="538"/>
      <c r="DN55" s="538"/>
      <c r="DO55" s="538"/>
      <c r="DP55" s="538"/>
      <c r="DQ55" s="538"/>
      <c r="DR55" s="538"/>
      <c r="DS55" s="538"/>
      <c r="DT55" s="538"/>
      <c r="DU55" s="538"/>
      <c r="DV55" s="538"/>
      <c r="DW55" s="538"/>
      <c r="DX55" s="538"/>
      <c r="DY55" s="538"/>
      <c r="DZ55" s="538"/>
      <c r="EA55" s="538"/>
      <c r="EB55" s="538"/>
      <c r="EC55" s="538"/>
      <c r="ED55" s="538"/>
      <c r="EE55" s="538"/>
      <c r="EF55" s="538"/>
      <c r="EG55" s="538"/>
      <c r="EH55" s="538"/>
      <c r="EI55" s="538"/>
      <c r="EJ55" s="538"/>
      <c r="EK55" s="538"/>
      <c r="EL55" s="538"/>
      <c r="EM55" s="538"/>
      <c r="EN55" s="538"/>
      <c r="EO55" s="538"/>
      <c r="EP55" s="538"/>
      <c r="EQ55" s="538"/>
      <c r="ER55" s="538"/>
      <c r="ES55" s="538"/>
      <c r="ET55" s="538"/>
      <c r="EU55" s="538"/>
      <c r="EV55" s="538"/>
      <c r="EW55" s="538"/>
      <c r="EX55" s="559"/>
      <c r="EY55" s="559"/>
      <c r="EZ55" s="559"/>
      <c r="FA55" s="559"/>
      <c r="FB55" s="559"/>
      <c r="FC55" s="559"/>
      <c r="FD55" s="559"/>
      <c r="FE55" s="559"/>
      <c r="FF55" s="559"/>
      <c r="FG55" s="559"/>
      <c r="FH55" s="559"/>
      <c r="FI55" s="559"/>
      <c r="FJ55" s="559"/>
      <c r="FK55" s="559"/>
      <c r="FL55" s="559"/>
      <c r="FM55" s="559"/>
      <c r="FN55" s="559"/>
      <c r="FO55" s="559"/>
      <c r="FP55" s="559"/>
      <c r="FQ55" s="559"/>
      <c r="FR55" s="559"/>
      <c r="FS55" s="559"/>
      <c r="FT55" s="559"/>
      <c r="FU55" s="559"/>
      <c r="FV55" s="559"/>
      <c r="FW55" s="559"/>
      <c r="FX55" s="559"/>
      <c r="FY55" s="559"/>
      <c r="FZ55" s="559"/>
      <c r="GA55" s="559"/>
      <c r="GB55" s="559"/>
      <c r="GC55" s="559"/>
      <c r="GD55" s="559"/>
      <c r="GE55" s="559"/>
      <c r="GF55" s="559"/>
      <c r="GG55" s="559"/>
      <c r="GH55" s="559"/>
    </row>
    <row r="56">
      <c r="A56" s="538"/>
      <c r="B56" s="134"/>
      <c r="C56" s="57"/>
      <c r="D56" s="594" t="s">
        <v>316</v>
      </c>
      <c r="E56" s="606" t="s">
        <v>537</v>
      </c>
      <c r="F56" s="563">
        <v>4.0</v>
      </c>
      <c r="G56" s="563">
        <v>6.0</v>
      </c>
      <c r="H56" s="564"/>
      <c r="I56" s="622" t="s">
        <v>365</v>
      </c>
      <c r="J56" s="566"/>
      <c r="K56" s="567">
        <v>2.0</v>
      </c>
      <c r="L56" s="568">
        <v>3.0</v>
      </c>
      <c r="M56" s="626"/>
      <c r="N56" s="619"/>
      <c r="O56" s="623"/>
      <c r="P56" s="47"/>
      <c r="Q56" s="47"/>
      <c r="R56" s="47"/>
      <c r="S56" s="572"/>
      <c r="T56" s="572"/>
      <c r="U56" s="573"/>
      <c r="V56" s="574"/>
      <c r="W56" s="618"/>
      <c r="X56" s="576">
        <v>0.0</v>
      </c>
      <c r="Y56" s="630" t="e">
        <v>#VALUE!</v>
      </c>
      <c r="Z56" s="630">
        <v>24.0</v>
      </c>
      <c r="AA56" s="631" t="b">
        <v>0</v>
      </c>
      <c r="AB56" s="631"/>
      <c r="AC56" s="576"/>
      <c r="AD56" s="479">
        <v>7.0</v>
      </c>
      <c r="AE56" s="632"/>
      <c r="AF56" s="582" t="s">
        <v>538</v>
      </c>
      <c r="AG56" s="583">
        <v>7.0</v>
      </c>
      <c r="AH56" s="584">
        <v>35.0</v>
      </c>
      <c r="AI56" s="583">
        <v>1.0</v>
      </c>
      <c r="AJ56" s="585"/>
      <c r="AK56" s="583">
        <v>8.0</v>
      </c>
      <c r="AL56" s="584" t="s">
        <v>575</v>
      </c>
      <c r="AM56" s="583"/>
      <c r="AN56" s="585"/>
      <c r="AO56" s="583">
        <v>6.0</v>
      </c>
      <c r="AP56" s="584" t="s">
        <v>576</v>
      </c>
      <c r="AQ56" s="583">
        <v>1.0</v>
      </c>
      <c r="AR56" s="585"/>
      <c r="AS56" s="583"/>
      <c r="AT56" s="584">
        <v>30.0</v>
      </c>
      <c r="AU56" s="583"/>
      <c r="AV56" s="585"/>
      <c r="AW56" s="583">
        <v>15.0</v>
      </c>
      <c r="AX56" s="584" t="s">
        <v>577</v>
      </c>
      <c r="AY56" s="583"/>
      <c r="AZ56" s="585"/>
      <c r="BA56" s="583">
        <v>12.0</v>
      </c>
      <c r="BB56" s="584" t="s">
        <v>578</v>
      </c>
      <c r="BC56" s="583"/>
      <c r="BD56" s="585"/>
      <c r="BE56" s="583">
        <v>12.0</v>
      </c>
      <c r="BF56" s="584" t="s">
        <v>579</v>
      </c>
      <c r="BG56" s="583"/>
      <c r="BH56" s="585"/>
      <c r="BI56" s="583">
        <v>19.0</v>
      </c>
      <c r="BJ56" s="584" t="s">
        <v>580</v>
      </c>
      <c r="BK56" s="583"/>
      <c r="BL56" s="585"/>
      <c r="BM56" s="583"/>
      <c r="BN56" s="584"/>
      <c r="BO56" s="583"/>
      <c r="BP56" s="585"/>
      <c r="BQ56" s="583"/>
      <c r="BR56" s="584"/>
      <c r="BS56" s="583"/>
      <c r="BT56" s="586"/>
      <c r="BU56" s="540"/>
      <c r="BV56" s="540"/>
      <c r="BW56" s="540"/>
      <c r="BX56" s="538"/>
      <c r="BY56" s="538"/>
      <c r="BZ56" s="592"/>
      <c r="CA56" s="633"/>
      <c r="CB56" s="592" t="s">
        <v>365</v>
      </c>
      <c r="CC56" s="592">
        <v>79.0</v>
      </c>
      <c r="CD56" s="592">
        <v>0.2857142857142857</v>
      </c>
      <c r="CE56" s="592" t="e">
        <v>#VALUE!</v>
      </c>
      <c r="CF56" s="592"/>
      <c r="CG56" s="592">
        <v>0.79</v>
      </c>
      <c r="CH56" s="592"/>
      <c r="CI56" s="633"/>
      <c r="CJ56" s="592">
        <v>2.4</v>
      </c>
      <c r="CK56" s="479">
        <v>0.0</v>
      </c>
      <c r="CL56" s="592"/>
      <c r="CM56" s="593"/>
      <c r="CN56" s="538"/>
      <c r="CO56" s="538"/>
      <c r="CP56" s="538"/>
      <c r="CQ56" s="538"/>
      <c r="CR56" s="538"/>
      <c r="CS56" s="538"/>
      <c r="CT56" s="538"/>
      <c r="CU56" s="538"/>
      <c r="CV56" s="538"/>
      <c r="CW56" s="538"/>
      <c r="CX56" s="538"/>
      <c r="CY56" s="538"/>
      <c r="CZ56" s="538"/>
      <c r="DA56" s="538"/>
      <c r="DB56" s="538"/>
      <c r="DC56" s="538"/>
      <c r="DD56" s="538"/>
      <c r="DE56" s="538"/>
      <c r="DF56" s="538"/>
      <c r="DG56" s="538"/>
      <c r="DH56" s="538"/>
      <c r="DI56" s="538"/>
      <c r="DJ56" s="84"/>
      <c r="DK56" s="538"/>
      <c r="DL56" s="538"/>
      <c r="DM56" s="538"/>
      <c r="DN56" s="538"/>
      <c r="DO56" s="538"/>
      <c r="DP56" s="538"/>
      <c r="DQ56" s="538"/>
      <c r="DR56" s="538"/>
      <c r="DS56" s="538"/>
      <c r="DT56" s="538"/>
      <c r="DU56" s="538"/>
      <c r="DV56" s="538"/>
      <c r="DW56" s="538"/>
      <c r="DX56" s="538"/>
      <c r="DY56" s="538"/>
      <c r="DZ56" s="538"/>
      <c r="EA56" s="538"/>
      <c r="EB56" s="538"/>
      <c r="EC56" s="538"/>
      <c r="ED56" s="538"/>
      <c r="EE56" s="538"/>
      <c r="EF56" s="538"/>
      <c r="EG56" s="538"/>
      <c r="EH56" s="538"/>
      <c r="EI56" s="538"/>
      <c r="EJ56" s="538"/>
      <c r="EK56" s="538"/>
      <c r="EL56" s="538"/>
      <c r="EM56" s="538"/>
      <c r="EN56" s="538"/>
      <c r="EO56" s="538"/>
      <c r="EP56" s="538"/>
      <c r="EQ56" s="538"/>
      <c r="ER56" s="538"/>
      <c r="ES56" s="538"/>
      <c r="ET56" s="538"/>
      <c r="EU56" s="538"/>
      <c r="EV56" s="538"/>
      <c r="EW56" s="538"/>
      <c r="EX56" s="559"/>
      <c r="EY56" s="559"/>
      <c r="EZ56" s="559"/>
      <c r="FA56" s="559"/>
      <c r="FB56" s="559"/>
      <c r="FC56" s="559"/>
      <c r="FD56" s="559"/>
      <c r="FE56" s="559"/>
      <c r="FF56" s="559"/>
      <c r="FG56" s="559"/>
      <c r="FH56" s="559"/>
      <c r="FI56" s="559"/>
      <c r="FJ56" s="559"/>
      <c r="FK56" s="559"/>
      <c r="FL56" s="559"/>
      <c r="FM56" s="559"/>
      <c r="FN56" s="559"/>
      <c r="FO56" s="559"/>
      <c r="FP56" s="559"/>
      <c r="FQ56" s="559"/>
      <c r="FR56" s="559"/>
      <c r="FS56" s="559"/>
      <c r="FT56" s="559"/>
      <c r="FU56" s="559"/>
      <c r="FV56" s="559"/>
      <c r="FW56" s="559"/>
      <c r="FX56" s="559"/>
      <c r="FY56" s="559"/>
      <c r="FZ56" s="559"/>
      <c r="GA56" s="559"/>
      <c r="GB56" s="559"/>
      <c r="GC56" s="559"/>
      <c r="GD56" s="559"/>
      <c r="GE56" s="559"/>
      <c r="GF56" s="559"/>
      <c r="GG56" s="559"/>
      <c r="GH56" s="559"/>
    </row>
    <row r="57">
      <c r="A57" s="538"/>
      <c r="B57" s="134"/>
      <c r="C57" s="57"/>
      <c r="D57" s="594" t="s">
        <v>302</v>
      </c>
      <c r="E57" s="595" t="s">
        <v>544</v>
      </c>
      <c r="F57" s="596">
        <v>3.0</v>
      </c>
      <c r="G57" s="596">
        <v>15.0</v>
      </c>
      <c r="H57" s="597"/>
      <c r="I57" s="616" t="s">
        <v>365</v>
      </c>
      <c r="J57" s="599"/>
      <c r="K57" s="600">
        <v>2.0</v>
      </c>
      <c r="L57" s="601">
        <v>3.0</v>
      </c>
      <c r="M57" s="625"/>
      <c r="N57" s="617"/>
      <c r="O57" s="134" t="s">
        <v>425</v>
      </c>
      <c r="P57" s="57"/>
      <c r="Q57" s="57"/>
      <c r="R57" s="57"/>
      <c r="S57" s="605"/>
      <c r="T57" s="605"/>
      <c r="U57" s="573"/>
      <c r="V57" s="574"/>
      <c r="W57" s="618"/>
      <c r="X57" s="576">
        <v>0.0</v>
      </c>
      <c r="Y57" s="630">
        <v>0.0</v>
      </c>
      <c r="Z57" s="630">
        <v>45.0</v>
      </c>
      <c r="AA57" s="631" t="b">
        <v>0</v>
      </c>
      <c r="AB57" s="631"/>
      <c r="AC57" s="576"/>
      <c r="AD57" s="479">
        <v>0.0</v>
      </c>
      <c r="AE57" s="632"/>
      <c r="AF57" s="582" t="s">
        <v>545</v>
      </c>
      <c r="AG57" s="583"/>
      <c r="AH57" s="584"/>
      <c r="AI57" s="583"/>
      <c r="AJ57" s="585"/>
      <c r="AK57" s="583"/>
      <c r="AL57" s="584"/>
      <c r="AM57" s="583"/>
      <c r="AN57" s="585"/>
      <c r="AO57" s="583"/>
      <c r="AP57" s="584"/>
      <c r="AQ57" s="583"/>
      <c r="AR57" s="585"/>
      <c r="AS57" s="583"/>
      <c r="AT57" s="584"/>
      <c r="AU57" s="583"/>
      <c r="AV57" s="585"/>
      <c r="AW57" s="583"/>
      <c r="AX57" s="584"/>
      <c r="AY57" s="583"/>
      <c r="AZ57" s="585"/>
      <c r="BA57" s="583"/>
      <c r="BB57" s="584"/>
      <c r="BC57" s="583"/>
      <c r="BD57" s="585"/>
      <c r="BE57" s="583"/>
      <c r="BF57" s="584"/>
      <c r="BG57" s="583"/>
      <c r="BH57" s="585"/>
      <c r="BI57" s="583"/>
      <c r="BJ57" s="584"/>
      <c r="BK57" s="583"/>
      <c r="BL57" s="585"/>
      <c r="BM57" s="583"/>
      <c r="BN57" s="584"/>
      <c r="BO57" s="583"/>
      <c r="BP57" s="585"/>
      <c r="BQ57" s="583"/>
      <c r="BR57" s="584"/>
      <c r="BS57" s="583"/>
      <c r="BT57" s="586"/>
      <c r="BU57" s="540"/>
      <c r="BV57" s="540"/>
      <c r="BW57" s="540"/>
      <c r="BX57" s="538"/>
      <c r="BY57" s="538"/>
      <c r="BZ57" s="592"/>
      <c r="CA57" s="633"/>
      <c r="CB57" s="592" t="s">
        <v>365</v>
      </c>
      <c r="CC57" s="592">
        <v>0.0</v>
      </c>
      <c r="CD57" s="592" t="s">
        <v>365</v>
      </c>
      <c r="CE57" s="592">
        <v>0.0</v>
      </c>
      <c r="CF57" s="592"/>
      <c r="CG57" s="592">
        <v>0.0</v>
      </c>
      <c r="CH57" s="592"/>
      <c r="CI57" s="633"/>
      <c r="CJ57" s="592">
        <v>0.0</v>
      </c>
      <c r="CK57" s="479" t="s">
        <v>365</v>
      </c>
      <c r="CL57" s="592"/>
      <c r="CM57" s="593"/>
      <c r="CN57" s="538"/>
      <c r="CO57" s="538"/>
      <c r="CP57" s="538"/>
      <c r="CQ57" s="538"/>
      <c r="CR57" s="538"/>
      <c r="CS57" s="538"/>
      <c r="CT57" s="538"/>
      <c r="CU57" s="538"/>
      <c r="CV57" s="538"/>
      <c r="CW57" s="538"/>
      <c r="CX57" s="538"/>
      <c r="CY57" s="538"/>
      <c r="CZ57" s="538"/>
      <c r="DA57" s="538"/>
      <c r="DB57" s="538"/>
      <c r="DC57" s="538"/>
      <c r="DD57" s="538"/>
      <c r="DE57" s="538"/>
      <c r="DF57" s="538"/>
      <c r="DG57" s="538"/>
      <c r="DH57" s="538"/>
      <c r="DI57" s="538"/>
      <c r="DJ57" s="84"/>
      <c r="DK57" s="538"/>
      <c r="DL57" s="538"/>
      <c r="DM57" s="538"/>
      <c r="DN57" s="538"/>
      <c r="DO57" s="538"/>
      <c r="DP57" s="538"/>
      <c r="DQ57" s="538"/>
      <c r="DR57" s="538"/>
      <c r="DS57" s="538"/>
      <c r="DT57" s="538"/>
      <c r="DU57" s="538"/>
      <c r="DV57" s="538"/>
      <c r="DW57" s="538"/>
      <c r="DX57" s="538"/>
      <c r="DY57" s="538"/>
      <c r="DZ57" s="538"/>
      <c r="EA57" s="538"/>
      <c r="EB57" s="538"/>
      <c r="EC57" s="538"/>
      <c r="ED57" s="538"/>
      <c r="EE57" s="538"/>
      <c r="EF57" s="538"/>
      <c r="EG57" s="538"/>
      <c r="EH57" s="538"/>
      <c r="EI57" s="538"/>
      <c r="EJ57" s="538"/>
      <c r="EK57" s="538"/>
      <c r="EL57" s="538"/>
      <c r="EM57" s="538"/>
      <c r="EN57" s="538"/>
      <c r="EO57" s="538"/>
      <c r="EP57" s="538"/>
      <c r="EQ57" s="538"/>
      <c r="ER57" s="538"/>
      <c r="ES57" s="538"/>
      <c r="ET57" s="538"/>
      <c r="EU57" s="538"/>
      <c r="EV57" s="538"/>
      <c r="EW57" s="538"/>
      <c r="EX57" s="559"/>
      <c r="EY57" s="559"/>
      <c r="EZ57" s="559"/>
      <c r="FA57" s="559"/>
      <c r="FB57" s="559"/>
      <c r="FC57" s="559"/>
      <c r="FD57" s="559"/>
      <c r="FE57" s="559"/>
      <c r="FF57" s="559"/>
      <c r="FG57" s="559"/>
      <c r="FH57" s="559"/>
      <c r="FI57" s="559"/>
      <c r="FJ57" s="559"/>
      <c r="FK57" s="559"/>
      <c r="FL57" s="559"/>
      <c r="FM57" s="559"/>
      <c r="FN57" s="559"/>
      <c r="FO57" s="559"/>
      <c r="FP57" s="559"/>
      <c r="FQ57" s="559"/>
      <c r="FR57" s="559"/>
      <c r="FS57" s="559"/>
      <c r="FT57" s="559"/>
      <c r="FU57" s="559"/>
      <c r="FV57" s="559"/>
      <c r="FW57" s="559"/>
      <c r="FX57" s="559"/>
      <c r="FY57" s="559"/>
      <c r="FZ57" s="559"/>
      <c r="GA57" s="559"/>
      <c r="GB57" s="559"/>
      <c r="GC57" s="559"/>
      <c r="GD57" s="559"/>
      <c r="GE57" s="559"/>
      <c r="GF57" s="559"/>
      <c r="GG57" s="559"/>
      <c r="GH57" s="559"/>
    </row>
    <row r="58">
      <c r="A58" s="538"/>
      <c r="B58" s="134"/>
      <c r="C58" s="57"/>
      <c r="D58" s="594" t="s">
        <v>301</v>
      </c>
      <c r="E58" s="595" t="s">
        <v>547</v>
      </c>
      <c r="F58" s="596">
        <v>3.0</v>
      </c>
      <c r="G58" s="596">
        <v>12.0</v>
      </c>
      <c r="H58" s="597"/>
      <c r="I58" s="616" t="s">
        <v>365</v>
      </c>
      <c r="J58" s="599"/>
      <c r="K58" s="600">
        <v>1.0</v>
      </c>
      <c r="L58" s="568">
        <v>2.0</v>
      </c>
      <c r="M58" s="626"/>
      <c r="N58" s="619"/>
      <c r="O58" s="623"/>
      <c r="P58" s="47"/>
      <c r="Q58" s="47"/>
      <c r="R58" s="47"/>
      <c r="S58" s="572"/>
      <c r="T58" s="572"/>
      <c r="U58" s="573"/>
      <c r="V58" s="574"/>
      <c r="W58" s="618"/>
      <c r="X58" s="576">
        <v>0.0</v>
      </c>
      <c r="Y58" s="630" t="e">
        <v>#VALUE!</v>
      </c>
      <c r="Z58" s="630">
        <v>36.0</v>
      </c>
      <c r="AA58" s="631" t="b">
        <v>0</v>
      </c>
      <c r="AB58" s="631"/>
      <c r="AC58" s="576"/>
      <c r="AD58" s="479">
        <v>0.0</v>
      </c>
      <c r="AE58" s="632"/>
      <c r="AF58" s="582" t="s">
        <v>548</v>
      </c>
      <c r="AG58" s="583"/>
      <c r="AH58" s="584" t="s">
        <v>581</v>
      </c>
      <c r="AI58" s="583"/>
      <c r="AJ58" s="585"/>
      <c r="AK58" s="583"/>
      <c r="AL58" s="584" t="s">
        <v>582</v>
      </c>
      <c r="AM58" s="583"/>
      <c r="AN58" s="585"/>
      <c r="AO58" s="583"/>
      <c r="AP58" s="584"/>
      <c r="AQ58" s="583"/>
      <c r="AR58" s="585"/>
      <c r="AS58" s="583"/>
      <c r="AT58" s="584"/>
      <c r="AU58" s="583"/>
      <c r="AV58" s="585"/>
      <c r="AW58" s="583"/>
      <c r="AX58" s="584"/>
      <c r="AY58" s="583"/>
      <c r="AZ58" s="585"/>
      <c r="BA58" s="583"/>
      <c r="BB58" s="584"/>
      <c r="BC58" s="583"/>
      <c r="BD58" s="585"/>
      <c r="BE58" s="583"/>
      <c r="BF58" s="584"/>
      <c r="BG58" s="583"/>
      <c r="BH58" s="585"/>
      <c r="BI58" s="583"/>
      <c r="BJ58" s="584"/>
      <c r="BK58" s="583"/>
      <c r="BL58" s="585"/>
      <c r="BM58" s="583"/>
      <c r="BN58" s="584"/>
      <c r="BO58" s="583"/>
      <c r="BP58" s="585"/>
      <c r="BQ58" s="583"/>
      <c r="BR58" s="584"/>
      <c r="BS58" s="583"/>
      <c r="BT58" s="586"/>
      <c r="BU58" s="540"/>
      <c r="BV58" s="540"/>
      <c r="BW58" s="540"/>
      <c r="BX58" s="538"/>
      <c r="BY58" s="538"/>
      <c r="BZ58" s="592"/>
      <c r="CA58" s="633"/>
      <c r="CB58" s="592" t="s">
        <v>365</v>
      </c>
      <c r="CC58" s="592">
        <v>0.0</v>
      </c>
      <c r="CD58" s="592" t="s">
        <v>365</v>
      </c>
      <c r="CE58" s="592" t="e">
        <v>#VALUE!</v>
      </c>
      <c r="CF58" s="592"/>
      <c r="CG58" s="592">
        <v>0.0</v>
      </c>
      <c r="CH58" s="592"/>
      <c r="CI58" s="633"/>
      <c r="CJ58" s="592">
        <v>0.0</v>
      </c>
      <c r="CK58" s="479" t="s">
        <v>365</v>
      </c>
      <c r="CL58" s="592"/>
      <c r="CM58" s="593"/>
      <c r="CN58" s="538"/>
      <c r="CO58" s="538"/>
      <c r="CP58" s="538"/>
      <c r="CQ58" s="538"/>
      <c r="CR58" s="538"/>
      <c r="CS58" s="538"/>
      <c r="CT58" s="538"/>
      <c r="CU58" s="538"/>
      <c r="CV58" s="538"/>
      <c r="CW58" s="538"/>
      <c r="CX58" s="538"/>
      <c r="CY58" s="538"/>
      <c r="CZ58" s="538"/>
      <c r="DA58" s="538"/>
      <c r="DB58" s="538"/>
      <c r="DC58" s="538"/>
      <c r="DD58" s="538"/>
      <c r="DE58" s="538"/>
      <c r="DF58" s="538"/>
      <c r="DG58" s="538"/>
      <c r="DH58" s="538"/>
      <c r="DI58" s="538"/>
      <c r="DJ58" s="84"/>
      <c r="DK58" s="538"/>
      <c r="DL58" s="538"/>
      <c r="DM58" s="538"/>
      <c r="DN58" s="538"/>
      <c r="DO58" s="538"/>
      <c r="DP58" s="538"/>
      <c r="DQ58" s="538"/>
      <c r="DR58" s="538"/>
      <c r="DS58" s="538"/>
      <c r="DT58" s="538"/>
      <c r="DU58" s="538"/>
      <c r="DV58" s="538"/>
      <c r="DW58" s="538"/>
      <c r="DX58" s="538"/>
      <c r="DY58" s="538"/>
      <c r="DZ58" s="538"/>
      <c r="EA58" s="538"/>
      <c r="EB58" s="538"/>
      <c r="EC58" s="538"/>
      <c r="ED58" s="538"/>
      <c r="EE58" s="538"/>
      <c r="EF58" s="538"/>
      <c r="EG58" s="538"/>
      <c r="EH58" s="538"/>
      <c r="EI58" s="538"/>
      <c r="EJ58" s="538"/>
      <c r="EK58" s="538"/>
      <c r="EL58" s="538"/>
      <c r="EM58" s="538"/>
      <c r="EN58" s="538"/>
      <c r="EO58" s="538"/>
      <c r="EP58" s="538"/>
      <c r="EQ58" s="538"/>
      <c r="ER58" s="538"/>
      <c r="ES58" s="538"/>
      <c r="ET58" s="538"/>
      <c r="EU58" s="538"/>
      <c r="EV58" s="538"/>
      <c r="EW58" s="538"/>
      <c r="EX58" s="559"/>
      <c r="EY58" s="559"/>
      <c r="EZ58" s="559"/>
      <c r="FA58" s="559"/>
      <c r="FB58" s="559"/>
      <c r="FC58" s="559"/>
      <c r="FD58" s="559"/>
      <c r="FE58" s="559"/>
      <c r="FF58" s="559"/>
      <c r="FG58" s="559"/>
      <c r="FH58" s="559"/>
      <c r="FI58" s="559"/>
      <c r="FJ58" s="559"/>
      <c r="FK58" s="559"/>
      <c r="FL58" s="559"/>
      <c r="FM58" s="559"/>
      <c r="FN58" s="559"/>
      <c r="FO58" s="559"/>
      <c r="FP58" s="559"/>
      <c r="FQ58" s="559"/>
      <c r="FR58" s="559"/>
      <c r="FS58" s="559"/>
      <c r="FT58" s="559"/>
      <c r="FU58" s="559"/>
      <c r="FV58" s="559"/>
      <c r="FW58" s="559"/>
      <c r="FX58" s="559"/>
      <c r="FY58" s="559"/>
      <c r="FZ58" s="559"/>
      <c r="GA58" s="559"/>
      <c r="GB58" s="559"/>
      <c r="GC58" s="559"/>
      <c r="GD58" s="559"/>
      <c r="GE58" s="559"/>
      <c r="GF58" s="559"/>
      <c r="GG58" s="559"/>
      <c r="GH58" s="559"/>
    </row>
    <row r="59">
      <c r="A59" s="538"/>
      <c r="B59" s="134" t="s">
        <v>430</v>
      </c>
      <c r="C59" s="57"/>
      <c r="D59" s="594"/>
      <c r="E59" s="595"/>
      <c r="F59" s="596"/>
      <c r="G59" s="596"/>
      <c r="H59" s="597"/>
      <c r="I59" s="616" t="s">
        <v>365</v>
      </c>
      <c r="J59" s="599"/>
      <c r="K59" s="600"/>
      <c r="L59" s="601"/>
      <c r="M59" s="625"/>
      <c r="N59" s="617"/>
      <c r="O59" s="621"/>
      <c r="P59" s="57"/>
      <c r="Q59" s="57"/>
      <c r="S59" s="605"/>
      <c r="U59" s="573"/>
      <c r="V59" s="574"/>
      <c r="W59" s="618"/>
      <c r="X59" s="576">
        <v>0.0</v>
      </c>
      <c r="Y59" s="630">
        <v>0.0</v>
      </c>
      <c r="Z59" s="630" t="s">
        <v>365</v>
      </c>
      <c r="AA59" s="631" t="b">
        <v>0</v>
      </c>
      <c r="AB59" s="631"/>
      <c r="AC59" s="576"/>
      <c r="AD59" s="479">
        <v>0.0</v>
      </c>
      <c r="AE59" s="632"/>
      <c r="AF59" s="582" t="s">
        <v>365</v>
      </c>
      <c r="AG59" s="583"/>
      <c r="AH59" s="584"/>
      <c r="AI59" s="583"/>
      <c r="AJ59" s="585"/>
      <c r="AK59" s="583"/>
      <c r="AL59" s="584"/>
      <c r="AM59" s="583"/>
      <c r="AN59" s="585"/>
      <c r="AO59" s="583"/>
      <c r="AP59" s="584"/>
      <c r="AQ59" s="583"/>
      <c r="AR59" s="585"/>
      <c r="AS59" s="583"/>
      <c r="AT59" s="584"/>
      <c r="AU59" s="583"/>
      <c r="AV59" s="585"/>
      <c r="AW59" s="583"/>
      <c r="AX59" s="584"/>
      <c r="AY59" s="583"/>
      <c r="AZ59" s="585"/>
      <c r="BA59" s="583"/>
      <c r="BB59" s="584"/>
      <c r="BC59" s="583"/>
      <c r="BD59" s="585"/>
      <c r="BE59" s="583"/>
      <c r="BF59" s="584"/>
      <c r="BG59" s="583"/>
      <c r="BH59" s="585"/>
      <c r="BI59" s="583"/>
      <c r="BJ59" s="584"/>
      <c r="BK59" s="583"/>
      <c r="BL59" s="585"/>
      <c r="BM59" s="583"/>
      <c r="BN59" s="584"/>
      <c r="BO59" s="583"/>
      <c r="BP59" s="585"/>
      <c r="BQ59" s="583"/>
      <c r="BR59" s="584"/>
      <c r="BS59" s="583"/>
      <c r="BT59" s="586"/>
      <c r="BU59" s="540"/>
      <c r="BV59" s="540"/>
      <c r="BW59" s="540"/>
      <c r="BX59" s="538"/>
      <c r="BY59" s="538"/>
      <c r="BZ59" s="592"/>
      <c r="CA59" s="633"/>
      <c r="CB59" s="592" t="s">
        <v>365</v>
      </c>
      <c r="CC59" s="592">
        <v>0.0</v>
      </c>
      <c r="CD59" s="592" t="s">
        <v>365</v>
      </c>
      <c r="CE59" s="592">
        <v>0.0</v>
      </c>
      <c r="CF59" s="592"/>
      <c r="CG59" s="592">
        <v>0.0</v>
      </c>
      <c r="CH59" s="592"/>
      <c r="CI59" s="633"/>
      <c r="CJ59" s="592">
        <v>0.0</v>
      </c>
      <c r="CK59" s="479" t="s">
        <v>365</v>
      </c>
      <c r="CL59" s="592"/>
      <c r="CM59" s="593"/>
      <c r="CN59" s="538"/>
      <c r="CO59" s="538"/>
      <c r="CP59" s="538"/>
      <c r="CQ59" s="538"/>
      <c r="CR59" s="538"/>
      <c r="CS59" s="538"/>
      <c r="CT59" s="538"/>
      <c r="CU59" s="538"/>
      <c r="CV59" s="538"/>
      <c r="CW59" s="538"/>
      <c r="CX59" s="538"/>
      <c r="CY59" s="538"/>
      <c r="CZ59" s="538"/>
      <c r="DA59" s="538"/>
      <c r="DB59" s="538"/>
      <c r="DC59" s="538"/>
      <c r="DD59" s="538"/>
      <c r="DE59" s="538"/>
      <c r="DF59" s="538"/>
      <c r="DG59" s="538"/>
      <c r="DH59" s="538"/>
      <c r="DI59" s="538"/>
      <c r="DJ59" s="84"/>
      <c r="DK59" s="538"/>
      <c r="DL59" s="538"/>
      <c r="DM59" s="538"/>
      <c r="DN59" s="538"/>
      <c r="DO59" s="538"/>
      <c r="DP59" s="538"/>
      <c r="DQ59" s="538"/>
      <c r="DR59" s="538"/>
      <c r="DS59" s="538"/>
      <c r="DT59" s="538"/>
      <c r="DU59" s="538"/>
      <c r="DV59" s="538"/>
      <c r="DW59" s="538"/>
      <c r="DX59" s="538"/>
      <c r="DY59" s="538"/>
      <c r="DZ59" s="538"/>
      <c r="EA59" s="538"/>
      <c r="EB59" s="538"/>
      <c r="EC59" s="538"/>
      <c r="ED59" s="538"/>
      <c r="EE59" s="538"/>
      <c r="EF59" s="538"/>
      <c r="EG59" s="538"/>
      <c r="EH59" s="538"/>
      <c r="EI59" s="538"/>
      <c r="EJ59" s="538"/>
      <c r="EK59" s="538"/>
      <c r="EL59" s="538"/>
      <c r="EM59" s="538"/>
      <c r="EN59" s="538"/>
      <c r="EO59" s="538"/>
      <c r="EP59" s="538"/>
      <c r="EQ59" s="538"/>
      <c r="ER59" s="538"/>
      <c r="ES59" s="538"/>
      <c r="ET59" s="538"/>
      <c r="EU59" s="538"/>
      <c r="EV59" s="538"/>
      <c r="EW59" s="538"/>
      <c r="EX59" s="559"/>
      <c r="EY59" s="559"/>
      <c r="EZ59" s="559"/>
      <c r="FA59" s="559"/>
      <c r="FB59" s="559"/>
      <c r="FC59" s="559"/>
      <c r="FD59" s="559"/>
      <c r="FE59" s="559"/>
      <c r="FF59" s="559"/>
      <c r="FG59" s="559"/>
      <c r="FH59" s="559"/>
      <c r="FI59" s="559"/>
      <c r="FJ59" s="559"/>
      <c r="FK59" s="559"/>
      <c r="FL59" s="559"/>
      <c r="FM59" s="559"/>
      <c r="FN59" s="559"/>
      <c r="FO59" s="559"/>
      <c r="FP59" s="559"/>
      <c r="FQ59" s="559"/>
      <c r="FR59" s="559"/>
      <c r="FS59" s="559"/>
      <c r="FT59" s="559"/>
      <c r="FU59" s="559"/>
      <c r="FV59" s="559"/>
      <c r="FW59" s="559"/>
      <c r="FX59" s="559"/>
      <c r="FY59" s="559"/>
      <c r="FZ59" s="559"/>
      <c r="GA59" s="559"/>
      <c r="GB59" s="559"/>
      <c r="GC59" s="559"/>
      <c r="GD59" s="559"/>
      <c r="GE59" s="559"/>
      <c r="GF59" s="559"/>
      <c r="GG59" s="559"/>
      <c r="GH59" s="559"/>
    </row>
    <row r="60">
      <c r="A60" s="538"/>
      <c r="B60" s="134"/>
      <c r="C60" s="57"/>
      <c r="D60" s="594" t="s">
        <v>266</v>
      </c>
      <c r="E60" s="629" t="s">
        <v>431</v>
      </c>
      <c r="F60" s="563">
        <v>4.0</v>
      </c>
      <c r="G60" s="563">
        <v>4.0</v>
      </c>
      <c r="H60" s="564"/>
      <c r="I60" s="622">
        <v>0.0</v>
      </c>
      <c r="J60" s="566">
        <v>165.0</v>
      </c>
      <c r="K60" s="567"/>
      <c r="L60" s="568"/>
      <c r="M60" s="626"/>
      <c r="N60" s="619"/>
      <c r="O60" s="623"/>
      <c r="P60" s="47"/>
      <c r="Q60" s="47"/>
      <c r="R60" s="47"/>
      <c r="S60" s="572"/>
      <c r="T60" s="572"/>
      <c r="U60" s="573"/>
      <c r="V60" s="574"/>
      <c r="W60" s="618"/>
      <c r="X60" s="576">
        <v>2640.0</v>
      </c>
      <c r="Y60" s="630">
        <v>2605.0</v>
      </c>
      <c r="Z60" s="630">
        <v>16.0</v>
      </c>
      <c r="AA60" s="631">
        <v>0.9166666666666666</v>
      </c>
      <c r="AB60" s="631"/>
      <c r="AC60" s="576"/>
      <c r="AD60" s="479">
        <v>5.0</v>
      </c>
      <c r="AE60" s="632"/>
      <c r="AF60" s="582" t="s">
        <v>583</v>
      </c>
      <c r="AG60" s="583">
        <v>4.0</v>
      </c>
      <c r="AH60" s="584">
        <v>165.0</v>
      </c>
      <c r="AI60" s="583">
        <v>1.0</v>
      </c>
      <c r="AJ60" s="585">
        <v>8.5</v>
      </c>
      <c r="AK60" s="583">
        <v>4.0</v>
      </c>
      <c r="AL60" s="584">
        <v>165.0</v>
      </c>
      <c r="AM60" s="583">
        <v>0.0</v>
      </c>
      <c r="AN60" s="585">
        <v>9.0</v>
      </c>
      <c r="AO60" s="583">
        <v>1.0</v>
      </c>
      <c r="AP60" s="584">
        <v>165.0</v>
      </c>
      <c r="AQ60" s="583">
        <v>1.0</v>
      </c>
      <c r="AR60" s="585">
        <v>9.0</v>
      </c>
      <c r="AS60" s="583">
        <v>4.0</v>
      </c>
      <c r="AT60" s="584">
        <v>140.0</v>
      </c>
      <c r="AU60" s="583"/>
      <c r="AV60" s="585">
        <v>7.0</v>
      </c>
      <c r="AW60" s="583">
        <v>4.0</v>
      </c>
      <c r="AX60" s="584">
        <v>140.0</v>
      </c>
      <c r="AY60" s="583"/>
      <c r="AZ60" s="585">
        <v>8.0</v>
      </c>
      <c r="BA60" s="583"/>
      <c r="BB60" s="584"/>
      <c r="BC60" s="583"/>
      <c r="BD60" s="585"/>
      <c r="BE60" s="583"/>
      <c r="BF60" s="584"/>
      <c r="BG60" s="583"/>
      <c r="BH60" s="585"/>
      <c r="BI60" s="583"/>
      <c r="BJ60" s="584"/>
      <c r="BK60" s="583"/>
      <c r="BL60" s="585"/>
      <c r="BM60" s="583"/>
      <c r="BN60" s="584"/>
      <c r="BO60" s="583"/>
      <c r="BP60" s="585"/>
      <c r="BQ60" s="583"/>
      <c r="BR60" s="584"/>
      <c r="BS60" s="583"/>
      <c r="BT60" s="586"/>
      <c r="BU60" s="540"/>
      <c r="BV60" s="540"/>
      <c r="BW60" s="540"/>
      <c r="BX60" s="538"/>
      <c r="BY60" s="538"/>
      <c r="BZ60" s="592">
        <v>180.0</v>
      </c>
      <c r="CA60" s="633">
        <v>0.8611111111111112</v>
      </c>
      <c r="CB60" s="592">
        <v>155.0</v>
      </c>
      <c r="CC60" s="592">
        <v>17.0</v>
      </c>
      <c r="CD60" s="592">
        <v>0.4</v>
      </c>
      <c r="CE60" s="592">
        <v>2605.0</v>
      </c>
      <c r="CF60" s="592">
        <v>14.472222222222221</v>
      </c>
      <c r="CG60" s="592">
        <v>1.2240000000000002</v>
      </c>
      <c r="CH60" s="592"/>
      <c r="CI60" s="633">
        <v>0.9586061111111112</v>
      </c>
      <c r="CJ60" s="592">
        <v>4.0</v>
      </c>
      <c r="CK60" s="479">
        <v>8.3</v>
      </c>
      <c r="CL60" s="592">
        <v>179.56441149212236</v>
      </c>
      <c r="CM60" s="593">
        <v>171.80226113943692</v>
      </c>
      <c r="CN60" s="538"/>
      <c r="CO60" s="538"/>
      <c r="CP60" s="538"/>
      <c r="CQ60" s="538"/>
      <c r="CR60" s="538"/>
      <c r="CS60" s="538"/>
      <c r="CT60" s="538"/>
      <c r="CU60" s="538"/>
      <c r="CV60" s="538"/>
      <c r="CW60" s="538"/>
      <c r="CX60" s="538"/>
      <c r="CY60" s="538"/>
      <c r="CZ60" s="538"/>
      <c r="DA60" s="538"/>
      <c r="DB60" s="538"/>
      <c r="DC60" s="538"/>
      <c r="DD60" s="538"/>
      <c r="DE60" s="538"/>
      <c r="DF60" s="538"/>
      <c r="DG60" s="538"/>
      <c r="DH60" s="538"/>
      <c r="DI60" s="538"/>
      <c r="DJ60" s="84"/>
      <c r="DK60" s="538"/>
      <c r="DL60" s="538"/>
      <c r="DM60" s="538"/>
      <c r="DN60" s="538"/>
      <c r="DO60" s="538"/>
      <c r="DP60" s="538"/>
      <c r="DQ60" s="538"/>
      <c r="DR60" s="538"/>
      <c r="DS60" s="538"/>
      <c r="DT60" s="538"/>
      <c r="DU60" s="538"/>
      <c r="DV60" s="538"/>
      <c r="DW60" s="538"/>
      <c r="DX60" s="538"/>
      <c r="DY60" s="538"/>
      <c r="DZ60" s="538"/>
      <c r="EA60" s="538"/>
      <c r="EB60" s="538"/>
      <c r="EC60" s="538"/>
      <c r="ED60" s="538"/>
      <c r="EE60" s="538"/>
      <c r="EF60" s="538"/>
      <c r="EG60" s="538"/>
      <c r="EH60" s="538"/>
      <c r="EI60" s="538"/>
      <c r="EJ60" s="538"/>
      <c r="EK60" s="538"/>
      <c r="EL60" s="538"/>
      <c r="EM60" s="538"/>
      <c r="EN60" s="538"/>
      <c r="EO60" s="538"/>
      <c r="EP60" s="538"/>
      <c r="EQ60" s="538"/>
      <c r="ER60" s="538"/>
      <c r="ES60" s="538"/>
      <c r="ET60" s="538"/>
      <c r="EU60" s="538"/>
      <c r="EV60" s="538"/>
      <c r="EW60" s="538"/>
      <c r="EX60" s="559"/>
      <c r="EY60" s="559"/>
      <c r="EZ60" s="559"/>
      <c r="FA60" s="559"/>
      <c r="FB60" s="559"/>
      <c r="FC60" s="559"/>
      <c r="FD60" s="559"/>
      <c r="FE60" s="559"/>
      <c r="FF60" s="559"/>
      <c r="FG60" s="559"/>
      <c r="FH60" s="559"/>
      <c r="FI60" s="559"/>
      <c r="FJ60" s="559"/>
      <c r="FK60" s="559"/>
      <c r="FL60" s="559"/>
      <c r="FM60" s="559"/>
      <c r="FN60" s="559"/>
      <c r="FO60" s="559"/>
      <c r="FP60" s="559"/>
      <c r="FQ60" s="559"/>
      <c r="FR60" s="559"/>
      <c r="FS60" s="559"/>
      <c r="FT60" s="559"/>
      <c r="FU60" s="559"/>
      <c r="FV60" s="559"/>
      <c r="FW60" s="559"/>
      <c r="FX60" s="559"/>
      <c r="FY60" s="559"/>
      <c r="FZ60" s="559"/>
      <c r="GA60" s="559"/>
      <c r="GB60" s="559"/>
      <c r="GC60" s="559"/>
      <c r="GD60" s="559"/>
      <c r="GE60" s="559"/>
      <c r="GF60" s="559"/>
      <c r="GG60" s="559"/>
      <c r="GH60" s="559"/>
    </row>
    <row r="61">
      <c r="A61" s="538"/>
      <c r="B61" s="134"/>
      <c r="C61" s="57"/>
      <c r="D61" s="594" t="s">
        <v>434</v>
      </c>
      <c r="E61" s="562" t="s">
        <v>552</v>
      </c>
      <c r="F61" s="563">
        <v>3.0</v>
      </c>
      <c r="G61" s="563">
        <v>5.0</v>
      </c>
      <c r="H61" s="627"/>
      <c r="I61" s="622">
        <v>0.0</v>
      </c>
      <c r="J61" s="566">
        <v>82.5</v>
      </c>
      <c r="K61" s="567"/>
      <c r="L61" s="601"/>
      <c r="M61" s="625"/>
      <c r="N61" s="617"/>
      <c r="O61" s="621"/>
      <c r="P61" s="57"/>
      <c r="Q61" s="57"/>
      <c r="S61" s="605"/>
      <c r="U61" s="573"/>
      <c r="V61" s="574"/>
      <c r="W61" s="618"/>
      <c r="X61" s="576">
        <v>1237.5</v>
      </c>
      <c r="Y61" s="630">
        <v>0.0</v>
      </c>
      <c r="Z61" s="630">
        <v>15.0</v>
      </c>
      <c r="AA61" s="631">
        <v>0.717391304347826</v>
      </c>
      <c r="AB61" s="631"/>
      <c r="AC61" s="576"/>
      <c r="AD61" s="479">
        <v>1.0</v>
      </c>
      <c r="AE61" s="632"/>
      <c r="AF61" s="582" t="s">
        <v>584</v>
      </c>
      <c r="AG61" s="583">
        <v>5.0</v>
      </c>
      <c r="AH61" s="584"/>
      <c r="AI61" s="583"/>
      <c r="AJ61" s="585"/>
      <c r="AK61" s="583"/>
      <c r="AL61" s="584"/>
      <c r="AM61" s="583"/>
      <c r="AN61" s="585"/>
      <c r="AO61" s="583"/>
      <c r="AP61" s="584"/>
      <c r="AQ61" s="583"/>
      <c r="AR61" s="585"/>
      <c r="AS61" s="583"/>
      <c r="AT61" s="584"/>
      <c r="AU61" s="583"/>
      <c r="AV61" s="585"/>
      <c r="AW61" s="583"/>
      <c r="AX61" s="584"/>
      <c r="AY61" s="583"/>
      <c r="AZ61" s="585"/>
      <c r="BA61" s="583"/>
      <c r="BB61" s="584"/>
      <c r="BC61" s="583"/>
      <c r="BD61" s="585"/>
      <c r="BE61" s="583"/>
      <c r="BF61" s="584"/>
      <c r="BG61" s="583"/>
      <c r="BH61" s="585"/>
      <c r="BI61" s="583"/>
      <c r="BJ61" s="584"/>
      <c r="BK61" s="583"/>
      <c r="BL61" s="585"/>
      <c r="BM61" s="583"/>
      <c r="BN61" s="584"/>
      <c r="BO61" s="583"/>
      <c r="BP61" s="585"/>
      <c r="BQ61" s="583"/>
      <c r="BR61" s="584"/>
      <c r="BS61" s="583"/>
      <c r="BT61" s="586"/>
      <c r="BU61" s="540"/>
      <c r="BV61" s="540"/>
      <c r="BW61" s="540"/>
      <c r="BX61" s="538"/>
      <c r="BY61" s="538"/>
      <c r="BZ61" s="592">
        <v>115.0</v>
      </c>
      <c r="CA61" s="633">
        <v>0.0</v>
      </c>
      <c r="CB61" s="592">
        <v>0.0</v>
      </c>
      <c r="CC61" s="592">
        <v>5.0</v>
      </c>
      <c r="CD61" s="592">
        <v>0.0</v>
      </c>
      <c r="CE61" s="592">
        <v>0.0</v>
      </c>
      <c r="CF61" s="592">
        <v>0.0</v>
      </c>
      <c r="CG61" s="592">
        <v>0.05</v>
      </c>
      <c r="CH61" s="592"/>
      <c r="CI61" s="633">
        <v>0.0</v>
      </c>
      <c r="CJ61" s="592">
        <v>0.0</v>
      </c>
      <c r="CK61" s="479">
        <v>0.0</v>
      </c>
      <c r="CL61" s="592"/>
      <c r="CM61" s="593"/>
      <c r="CN61" s="538"/>
      <c r="CO61" s="538"/>
      <c r="CP61" s="538"/>
      <c r="CQ61" s="538"/>
      <c r="CR61" s="538"/>
      <c r="CS61" s="538"/>
      <c r="CT61" s="538"/>
      <c r="CU61" s="538"/>
      <c r="CV61" s="538"/>
      <c r="CW61" s="538"/>
      <c r="CX61" s="538"/>
      <c r="CY61" s="538"/>
      <c r="CZ61" s="538"/>
      <c r="DA61" s="538"/>
      <c r="DB61" s="538"/>
      <c r="DC61" s="538"/>
      <c r="DD61" s="538"/>
      <c r="DE61" s="538"/>
      <c r="DF61" s="538"/>
      <c r="DG61" s="538"/>
      <c r="DH61" s="538"/>
      <c r="DI61" s="538"/>
      <c r="DJ61" s="84"/>
      <c r="DK61" s="538"/>
      <c r="DL61" s="538"/>
      <c r="DM61" s="538"/>
      <c r="DN61" s="538"/>
      <c r="DO61" s="538"/>
      <c r="DP61" s="538"/>
      <c r="DQ61" s="538"/>
      <c r="DR61" s="538"/>
      <c r="DS61" s="538"/>
      <c r="DT61" s="538"/>
      <c r="DU61" s="538"/>
      <c r="DV61" s="538"/>
      <c r="DW61" s="538"/>
      <c r="DX61" s="538"/>
      <c r="DY61" s="538"/>
      <c r="DZ61" s="538"/>
      <c r="EA61" s="538"/>
      <c r="EB61" s="538"/>
      <c r="EC61" s="538"/>
      <c r="ED61" s="538"/>
      <c r="EE61" s="538"/>
      <c r="EF61" s="538"/>
      <c r="EG61" s="538"/>
      <c r="EH61" s="538"/>
      <c r="EI61" s="538"/>
      <c r="EJ61" s="538"/>
      <c r="EK61" s="538"/>
      <c r="EL61" s="538"/>
      <c r="EM61" s="538"/>
      <c r="EN61" s="538"/>
      <c r="EO61" s="538"/>
      <c r="EP61" s="538"/>
      <c r="EQ61" s="538"/>
      <c r="ER61" s="538"/>
      <c r="ES61" s="538"/>
      <c r="ET61" s="538"/>
      <c r="EU61" s="538"/>
      <c r="EV61" s="538"/>
      <c r="EW61" s="538"/>
      <c r="EX61" s="559"/>
      <c r="EY61" s="559"/>
      <c r="EZ61" s="559"/>
      <c r="FA61" s="559"/>
      <c r="FB61" s="559"/>
      <c r="FC61" s="559"/>
      <c r="FD61" s="559"/>
      <c r="FE61" s="559"/>
      <c r="FF61" s="559"/>
      <c r="FG61" s="559"/>
      <c r="FH61" s="559"/>
      <c r="FI61" s="559"/>
      <c r="FJ61" s="559"/>
      <c r="FK61" s="559"/>
      <c r="FL61" s="559"/>
      <c r="FM61" s="559"/>
      <c r="FN61" s="559"/>
      <c r="FO61" s="559"/>
      <c r="FP61" s="559"/>
      <c r="FQ61" s="559"/>
      <c r="FR61" s="559"/>
      <c r="FS61" s="559"/>
      <c r="FT61" s="559"/>
      <c r="FU61" s="559"/>
      <c r="FV61" s="559"/>
      <c r="FW61" s="559"/>
      <c r="FX61" s="559"/>
      <c r="FY61" s="559"/>
      <c r="FZ61" s="559"/>
      <c r="GA61" s="559"/>
      <c r="GB61" s="559"/>
      <c r="GC61" s="559"/>
      <c r="GD61" s="559"/>
      <c r="GE61" s="559"/>
      <c r="GF61" s="559"/>
      <c r="GG61" s="559"/>
      <c r="GH61" s="559"/>
    </row>
    <row r="62">
      <c r="A62" s="538"/>
      <c r="B62" s="560"/>
      <c r="C62" s="47"/>
      <c r="D62" s="561" t="s">
        <v>270</v>
      </c>
      <c r="E62" s="629" t="s">
        <v>438</v>
      </c>
      <c r="F62" s="596">
        <v>4.0</v>
      </c>
      <c r="G62" s="596">
        <v>4.0</v>
      </c>
      <c r="H62" s="597"/>
      <c r="I62" s="616">
        <v>0.0</v>
      </c>
      <c r="J62" s="599">
        <v>207.5</v>
      </c>
      <c r="K62" s="600"/>
      <c r="L62" s="568"/>
      <c r="M62" s="626"/>
      <c r="N62" s="619"/>
      <c r="O62" s="623"/>
      <c r="P62" s="560"/>
      <c r="Q62" s="47"/>
      <c r="R62" s="47"/>
      <c r="S62" s="572"/>
      <c r="T62" s="572"/>
      <c r="U62" s="573"/>
      <c r="V62" s="574"/>
      <c r="W62" s="618"/>
      <c r="X62" s="576">
        <v>3320.0</v>
      </c>
      <c r="Y62" s="630">
        <v>0.0</v>
      </c>
      <c r="Z62" s="630">
        <v>16.0</v>
      </c>
      <c r="AA62" s="631">
        <v>0.8645833333333334</v>
      </c>
      <c r="AB62" s="631"/>
      <c r="AC62" s="576"/>
      <c r="AD62" s="479">
        <v>0.0</v>
      </c>
      <c r="AE62" s="632"/>
      <c r="AF62" s="582" t="s">
        <v>585</v>
      </c>
      <c r="AG62" s="583"/>
      <c r="AH62" s="584"/>
      <c r="AI62" s="583"/>
      <c r="AJ62" s="585"/>
      <c r="AK62" s="583"/>
      <c r="AL62" s="584"/>
      <c r="AM62" s="583"/>
      <c r="AN62" s="585"/>
      <c r="AO62" s="610"/>
      <c r="AP62" s="634"/>
      <c r="AQ62" s="635"/>
      <c r="AR62" s="636"/>
      <c r="AS62" s="637"/>
      <c r="AT62" s="638"/>
      <c r="AU62" s="49"/>
      <c r="AV62" s="639"/>
      <c r="AW62" s="583"/>
      <c r="AX62" s="584"/>
      <c r="AY62" s="583"/>
      <c r="AZ62" s="585"/>
      <c r="BA62" s="583"/>
      <c r="BB62" s="584"/>
      <c r="BC62" s="583"/>
      <c r="BD62" s="585"/>
      <c r="BE62" s="583"/>
      <c r="BF62" s="584"/>
      <c r="BG62" s="583"/>
      <c r="BH62" s="585"/>
      <c r="BI62" s="583"/>
      <c r="BJ62" s="584"/>
      <c r="BK62" s="583"/>
      <c r="BL62" s="585"/>
      <c r="BM62" s="583"/>
      <c r="BN62" s="584"/>
      <c r="BO62" s="583"/>
      <c r="BP62" s="585"/>
      <c r="BQ62" s="583"/>
      <c r="BR62" s="584"/>
      <c r="BS62" s="583"/>
      <c r="BT62" s="586"/>
      <c r="BU62" s="540"/>
      <c r="BV62" s="540"/>
      <c r="BW62" s="540"/>
      <c r="BX62" s="538"/>
      <c r="BY62" s="538"/>
      <c r="BZ62" s="592">
        <v>240.0</v>
      </c>
      <c r="CA62" s="633"/>
      <c r="CB62" s="592" t="s">
        <v>365</v>
      </c>
      <c r="CC62" s="592">
        <v>0.0</v>
      </c>
      <c r="CD62" s="592" t="s">
        <v>365</v>
      </c>
      <c r="CE62" s="592">
        <v>0.0</v>
      </c>
      <c r="CF62" s="592">
        <v>0.0</v>
      </c>
      <c r="CG62" s="592">
        <v>0.0</v>
      </c>
      <c r="CH62" s="592"/>
      <c r="CI62" s="633"/>
      <c r="CJ62" s="592">
        <v>0.0</v>
      </c>
      <c r="CK62" s="479" t="s">
        <v>365</v>
      </c>
      <c r="CL62" s="592"/>
      <c r="CM62" s="593"/>
      <c r="CN62" s="538"/>
      <c r="CO62" s="538"/>
      <c r="CP62" s="538"/>
      <c r="CQ62" s="538"/>
      <c r="CR62" s="538"/>
      <c r="CS62" s="538"/>
      <c r="CT62" s="538"/>
      <c r="CU62" s="538"/>
      <c r="CV62" s="538"/>
      <c r="CW62" s="538"/>
      <c r="CX62" s="538"/>
      <c r="CY62" s="538"/>
      <c r="CZ62" s="538"/>
      <c r="DA62" s="538"/>
      <c r="DB62" s="538"/>
      <c r="DC62" s="538"/>
      <c r="DD62" s="538"/>
      <c r="DE62" s="538"/>
      <c r="DF62" s="538"/>
      <c r="DG62" s="538"/>
      <c r="DH62" s="538"/>
      <c r="DI62" s="538"/>
      <c r="DJ62" s="84"/>
      <c r="DK62" s="538"/>
      <c r="DL62" s="538"/>
      <c r="DM62" s="538"/>
      <c r="DN62" s="538"/>
      <c r="DO62" s="538"/>
      <c r="DP62" s="538"/>
      <c r="DQ62" s="538"/>
      <c r="DR62" s="538"/>
      <c r="DS62" s="538"/>
      <c r="DT62" s="538"/>
      <c r="DU62" s="538"/>
      <c r="DV62" s="538"/>
      <c r="DW62" s="538"/>
      <c r="DX62" s="538"/>
      <c r="DY62" s="538"/>
      <c r="DZ62" s="538"/>
      <c r="EA62" s="538"/>
      <c r="EB62" s="538"/>
      <c r="EC62" s="538"/>
      <c r="ED62" s="538"/>
      <c r="EE62" s="538"/>
      <c r="EF62" s="538"/>
      <c r="EG62" s="538"/>
      <c r="EH62" s="538"/>
      <c r="EI62" s="538"/>
      <c r="EJ62" s="538"/>
      <c r="EK62" s="538"/>
      <c r="EL62" s="538"/>
      <c r="EM62" s="538"/>
      <c r="EN62" s="538"/>
      <c r="EO62" s="538"/>
      <c r="EP62" s="538"/>
      <c r="EQ62" s="538"/>
      <c r="ER62" s="538"/>
      <c r="ES62" s="538"/>
      <c r="ET62" s="538"/>
      <c r="EU62" s="538"/>
      <c r="EV62" s="538"/>
      <c r="EW62" s="538"/>
      <c r="EX62" s="559"/>
      <c r="EY62" s="559"/>
      <c r="EZ62" s="559"/>
      <c r="FA62" s="559"/>
      <c r="FB62" s="559"/>
      <c r="FC62" s="559"/>
      <c r="FD62" s="559"/>
      <c r="FE62" s="559"/>
      <c r="FF62" s="559"/>
      <c r="FG62" s="559"/>
      <c r="FH62" s="559"/>
      <c r="FI62" s="559"/>
      <c r="FJ62" s="559"/>
      <c r="FK62" s="559"/>
      <c r="FL62" s="559"/>
      <c r="FM62" s="559"/>
      <c r="FN62" s="559"/>
      <c r="FO62" s="559"/>
      <c r="FP62" s="559"/>
      <c r="FQ62" s="559"/>
      <c r="FR62" s="559"/>
      <c r="FS62" s="559"/>
      <c r="FT62" s="559"/>
      <c r="FU62" s="559"/>
      <c r="FV62" s="559"/>
      <c r="FW62" s="559"/>
      <c r="FX62" s="559"/>
      <c r="FY62" s="559"/>
      <c r="FZ62" s="559"/>
      <c r="GA62" s="559"/>
      <c r="GB62" s="559"/>
      <c r="GC62" s="559"/>
      <c r="GD62" s="559"/>
      <c r="GE62" s="559"/>
      <c r="GF62" s="559"/>
      <c r="GG62" s="559"/>
      <c r="GH62" s="559"/>
    </row>
    <row r="63">
      <c r="A63" s="538"/>
      <c r="B63" s="560"/>
      <c r="C63" s="47"/>
      <c r="D63" s="561" t="s">
        <v>302</v>
      </c>
      <c r="E63" s="595" t="s">
        <v>555</v>
      </c>
      <c r="F63" s="596">
        <v>4.0</v>
      </c>
      <c r="G63" s="596">
        <v>12.0</v>
      </c>
      <c r="H63" s="597"/>
      <c r="I63" s="616" t="s">
        <v>365</v>
      </c>
      <c r="J63" s="599"/>
      <c r="K63" s="600">
        <v>1.0</v>
      </c>
      <c r="L63" s="601">
        <v>2.0</v>
      </c>
      <c r="M63" s="625"/>
      <c r="N63" s="617"/>
      <c r="O63" s="621"/>
      <c r="P63" s="134"/>
      <c r="Q63" s="57"/>
      <c r="S63" s="605"/>
      <c r="U63" s="573"/>
      <c r="V63" s="574"/>
      <c r="W63" s="618"/>
      <c r="X63" s="576">
        <v>0.0</v>
      </c>
      <c r="Y63" s="630">
        <v>0.0</v>
      </c>
      <c r="Z63" s="630">
        <v>48.0</v>
      </c>
      <c r="AA63" s="631" t="b">
        <v>0</v>
      </c>
      <c r="AB63" s="631"/>
      <c r="AC63" s="576"/>
      <c r="AD63" s="479">
        <v>0.0</v>
      </c>
      <c r="AE63" s="632"/>
      <c r="AF63" s="582" t="s">
        <v>556</v>
      </c>
      <c r="AG63" s="583"/>
      <c r="AH63" s="584"/>
      <c r="AI63" s="583"/>
      <c r="AJ63" s="585"/>
      <c r="AK63" s="583"/>
      <c r="AL63" s="584"/>
      <c r="AM63" s="583"/>
      <c r="AN63" s="585"/>
      <c r="AO63" s="610"/>
      <c r="AP63" s="634"/>
      <c r="AQ63" s="635"/>
      <c r="AR63" s="636"/>
      <c r="AS63" s="637"/>
      <c r="AT63" s="638"/>
      <c r="AU63" s="49"/>
      <c r="AV63" s="639"/>
      <c r="AW63" s="583"/>
      <c r="AX63" s="584"/>
      <c r="AY63" s="583"/>
      <c r="AZ63" s="585"/>
      <c r="BA63" s="583"/>
      <c r="BB63" s="584"/>
      <c r="BC63" s="583"/>
      <c r="BD63" s="585"/>
      <c r="BE63" s="583"/>
      <c r="BF63" s="584"/>
      <c r="BG63" s="583"/>
      <c r="BH63" s="585"/>
      <c r="BI63" s="583"/>
      <c r="BJ63" s="584"/>
      <c r="BK63" s="583"/>
      <c r="BL63" s="585"/>
      <c r="BM63" s="583"/>
      <c r="BN63" s="584"/>
      <c r="BO63" s="583"/>
      <c r="BP63" s="585"/>
      <c r="BQ63" s="583"/>
      <c r="BR63" s="584"/>
      <c r="BS63" s="583"/>
      <c r="BT63" s="586"/>
      <c r="BU63" s="540"/>
      <c r="BV63" s="540"/>
      <c r="BW63" s="540"/>
      <c r="BX63" s="538"/>
      <c r="BY63" s="538"/>
      <c r="BZ63" s="592"/>
      <c r="CA63" s="633"/>
      <c r="CB63" s="592" t="s">
        <v>365</v>
      </c>
      <c r="CC63" s="592">
        <v>0.0</v>
      </c>
      <c r="CD63" s="592" t="s">
        <v>365</v>
      </c>
      <c r="CE63" s="592">
        <v>0.0</v>
      </c>
      <c r="CF63" s="592"/>
      <c r="CG63" s="592">
        <v>0.0</v>
      </c>
      <c r="CH63" s="592"/>
      <c r="CI63" s="633"/>
      <c r="CJ63" s="592">
        <v>0.0</v>
      </c>
      <c r="CK63" s="479" t="s">
        <v>365</v>
      </c>
      <c r="CL63" s="592"/>
      <c r="CM63" s="593"/>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84"/>
      <c r="DK63" s="538"/>
      <c r="DL63" s="538"/>
      <c r="DM63" s="538"/>
      <c r="DN63" s="538"/>
      <c r="DO63" s="538"/>
      <c r="DP63" s="538"/>
      <c r="DQ63" s="538"/>
      <c r="DR63" s="538"/>
      <c r="DS63" s="538"/>
      <c r="DT63" s="538"/>
      <c r="DU63" s="538"/>
      <c r="DV63" s="538"/>
      <c r="DW63" s="538"/>
      <c r="DX63" s="538"/>
      <c r="DY63" s="538"/>
      <c r="DZ63" s="538"/>
      <c r="EA63" s="538"/>
      <c r="EB63" s="538"/>
      <c r="EC63" s="538"/>
      <c r="ED63" s="538"/>
      <c r="EE63" s="538"/>
      <c r="EF63" s="538"/>
      <c r="EG63" s="538"/>
      <c r="EH63" s="538"/>
      <c r="EI63" s="538"/>
      <c r="EJ63" s="538"/>
      <c r="EK63" s="538"/>
      <c r="EL63" s="538"/>
      <c r="EM63" s="538"/>
      <c r="EN63" s="538"/>
      <c r="EO63" s="538"/>
      <c r="EP63" s="538"/>
      <c r="EQ63" s="538"/>
      <c r="ER63" s="538"/>
      <c r="ES63" s="538"/>
      <c r="ET63" s="538"/>
      <c r="EU63" s="538"/>
      <c r="EV63" s="538"/>
      <c r="EW63" s="538"/>
      <c r="EX63" s="559"/>
      <c r="EY63" s="559"/>
      <c r="EZ63" s="559"/>
      <c r="FA63" s="559"/>
      <c r="FB63" s="559"/>
      <c r="FC63" s="559"/>
      <c r="FD63" s="559"/>
      <c r="FE63" s="559"/>
      <c r="FF63" s="559"/>
      <c r="FG63" s="559"/>
      <c r="FH63" s="559"/>
      <c r="FI63" s="559"/>
      <c r="FJ63" s="559"/>
      <c r="FK63" s="559"/>
      <c r="FL63" s="559"/>
      <c r="FM63" s="559"/>
      <c r="FN63" s="559"/>
      <c r="FO63" s="559"/>
      <c r="FP63" s="559"/>
      <c r="FQ63" s="559"/>
      <c r="FR63" s="559"/>
      <c r="FS63" s="559"/>
      <c r="FT63" s="559"/>
      <c r="FU63" s="559"/>
      <c r="FV63" s="559"/>
      <c r="FW63" s="559"/>
      <c r="FX63" s="559"/>
      <c r="FY63" s="559"/>
      <c r="FZ63" s="559"/>
      <c r="GA63" s="559"/>
      <c r="GB63" s="559"/>
      <c r="GC63" s="559"/>
      <c r="GD63" s="559"/>
      <c r="GE63" s="559"/>
      <c r="GF63" s="559"/>
      <c r="GG63" s="559"/>
      <c r="GH63" s="559"/>
    </row>
    <row r="64">
      <c r="A64" s="538"/>
      <c r="B64" s="134"/>
      <c r="C64" s="57"/>
      <c r="D64" s="594" t="s">
        <v>332</v>
      </c>
      <c r="E64" s="606" t="s">
        <v>558</v>
      </c>
      <c r="F64" s="563">
        <v>3.0</v>
      </c>
      <c r="G64" s="563" t="s">
        <v>559</v>
      </c>
      <c r="H64" s="564"/>
      <c r="I64" s="622" t="s">
        <v>365</v>
      </c>
      <c r="J64" s="566"/>
      <c r="K64" s="567">
        <v>1.0</v>
      </c>
      <c r="L64" s="568">
        <v>2.0</v>
      </c>
      <c r="M64" s="569"/>
      <c r="N64" s="619"/>
      <c r="O64" s="623"/>
      <c r="P64" s="560"/>
      <c r="Q64" s="47"/>
      <c r="S64" s="572"/>
      <c r="U64" s="573"/>
      <c r="V64" s="574"/>
      <c r="W64" s="618"/>
      <c r="X64" s="576">
        <v>0.0</v>
      </c>
      <c r="Y64" s="630">
        <v>0.0</v>
      </c>
      <c r="Z64" s="630">
        <v>60.0</v>
      </c>
      <c r="AA64" s="631" t="b">
        <v>0</v>
      </c>
      <c r="AB64" s="631"/>
      <c r="AC64" s="576"/>
      <c r="AD64" s="479">
        <v>0.0</v>
      </c>
      <c r="AE64" s="632"/>
      <c r="AF64" s="582" t="s">
        <v>560</v>
      </c>
      <c r="AG64" s="583"/>
      <c r="AH64" s="584"/>
      <c r="AI64" s="583"/>
      <c r="AJ64" s="585"/>
      <c r="AK64" s="583"/>
      <c r="AL64" s="584"/>
      <c r="AM64" s="583"/>
      <c r="AN64" s="585"/>
      <c r="AO64" s="583"/>
      <c r="AP64" s="584"/>
      <c r="AQ64" s="583"/>
      <c r="AR64" s="585"/>
      <c r="AS64" s="583"/>
      <c r="AT64" s="584"/>
      <c r="AU64" s="583"/>
      <c r="AV64" s="585"/>
      <c r="AW64" s="583"/>
      <c r="AX64" s="584"/>
      <c r="AY64" s="583"/>
      <c r="AZ64" s="585"/>
      <c r="BA64" s="583"/>
      <c r="BB64" s="584"/>
      <c r="BC64" s="583"/>
      <c r="BD64" s="585"/>
      <c r="BE64" s="583"/>
      <c r="BF64" s="584"/>
      <c r="BG64" s="583"/>
      <c r="BH64" s="585"/>
      <c r="BI64" s="583"/>
      <c r="BJ64" s="584"/>
      <c r="BK64" s="583"/>
      <c r="BL64" s="585"/>
      <c r="BM64" s="583"/>
      <c r="BN64" s="584"/>
      <c r="BO64" s="583"/>
      <c r="BP64" s="585"/>
      <c r="BQ64" s="583"/>
      <c r="BR64" s="584"/>
      <c r="BS64" s="583"/>
      <c r="BT64" s="586"/>
      <c r="BU64" s="540"/>
      <c r="BV64" s="540"/>
      <c r="BW64" s="540"/>
      <c r="BX64" s="538"/>
      <c r="BY64" s="538"/>
      <c r="BZ64" s="592"/>
      <c r="CA64" s="633"/>
      <c r="CB64" s="592" t="s">
        <v>365</v>
      </c>
      <c r="CC64" s="592">
        <v>0.0</v>
      </c>
      <c r="CD64" s="592" t="s">
        <v>365</v>
      </c>
      <c r="CE64" s="592">
        <v>0.0</v>
      </c>
      <c r="CF64" s="592"/>
      <c r="CG64" s="592">
        <v>0.0</v>
      </c>
      <c r="CH64" s="592"/>
      <c r="CI64" s="633"/>
      <c r="CJ64" s="592">
        <v>0.0</v>
      </c>
      <c r="CK64" s="479" t="s">
        <v>365</v>
      </c>
      <c r="CL64" s="592"/>
      <c r="CM64" s="593"/>
      <c r="CN64" s="538"/>
      <c r="CO64" s="538"/>
      <c r="CP64" s="538"/>
      <c r="CQ64" s="538"/>
      <c r="CR64" s="538"/>
      <c r="CS64" s="538"/>
      <c r="CT64" s="538"/>
      <c r="CU64" s="538"/>
      <c r="CV64" s="538"/>
      <c r="CW64" s="538"/>
      <c r="CX64" s="538"/>
      <c r="CY64" s="538"/>
      <c r="CZ64" s="538"/>
      <c r="DA64" s="538"/>
      <c r="DB64" s="538"/>
      <c r="DC64" s="538"/>
      <c r="DD64" s="538"/>
      <c r="DE64" s="538"/>
      <c r="DF64" s="538"/>
      <c r="DG64" s="538"/>
      <c r="DH64" s="538"/>
      <c r="DI64" s="538"/>
      <c r="DJ64" s="84"/>
      <c r="DK64" s="538"/>
      <c r="DL64" s="538"/>
      <c r="DM64" s="538"/>
      <c r="DN64" s="538"/>
      <c r="DO64" s="538"/>
      <c r="DP64" s="538"/>
      <c r="DQ64" s="538"/>
      <c r="DR64" s="538"/>
      <c r="DS64" s="538"/>
      <c r="DT64" s="538"/>
      <c r="DU64" s="538"/>
      <c r="DV64" s="538"/>
      <c r="DW64" s="538"/>
      <c r="DX64" s="538"/>
      <c r="DY64" s="538"/>
      <c r="DZ64" s="538"/>
      <c r="EA64" s="538"/>
      <c r="EB64" s="538"/>
      <c r="EC64" s="538"/>
      <c r="ED64" s="538"/>
      <c r="EE64" s="538"/>
      <c r="EF64" s="538"/>
      <c r="EG64" s="538"/>
      <c r="EH64" s="538"/>
      <c r="EI64" s="538"/>
      <c r="EJ64" s="538"/>
      <c r="EK64" s="538"/>
      <c r="EL64" s="538"/>
      <c r="EM64" s="538"/>
      <c r="EN64" s="538"/>
      <c r="EO64" s="538"/>
      <c r="EP64" s="538"/>
      <c r="EQ64" s="538"/>
      <c r="ER64" s="538"/>
      <c r="ES64" s="538"/>
      <c r="ET64" s="538"/>
      <c r="EU64" s="538"/>
      <c r="EV64" s="538"/>
      <c r="EW64" s="538"/>
      <c r="EX64" s="559"/>
      <c r="EY64" s="559"/>
      <c r="EZ64" s="559"/>
      <c r="FA64" s="559"/>
      <c r="FB64" s="559"/>
      <c r="FC64" s="559"/>
      <c r="FD64" s="559"/>
      <c r="FE64" s="559"/>
      <c r="FF64" s="559"/>
      <c r="FG64" s="559"/>
      <c r="FH64" s="559"/>
      <c r="FI64" s="559"/>
      <c r="FJ64" s="559"/>
      <c r="FK64" s="559"/>
      <c r="FL64" s="559"/>
      <c r="FM64" s="559"/>
      <c r="FN64" s="559"/>
      <c r="FO64" s="559"/>
      <c r="FP64" s="559"/>
      <c r="FQ64" s="559"/>
      <c r="FR64" s="559"/>
      <c r="FS64" s="559"/>
      <c r="FT64" s="559"/>
      <c r="FU64" s="559"/>
      <c r="FV64" s="559"/>
      <c r="FW64" s="559"/>
      <c r="FX64" s="559"/>
      <c r="FY64" s="559"/>
      <c r="FZ64" s="559"/>
      <c r="GA64" s="559"/>
      <c r="GB64" s="559"/>
      <c r="GC64" s="559"/>
      <c r="GD64" s="559"/>
      <c r="GE64" s="559"/>
      <c r="GF64" s="559"/>
      <c r="GG64" s="559"/>
      <c r="GH64" s="559"/>
    </row>
    <row r="65">
      <c r="A65" s="538"/>
      <c r="B65" s="134" t="s">
        <v>444</v>
      </c>
      <c r="C65" s="57"/>
      <c r="D65" s="594"/>
      <c r="E65" s="595"/>
      <c r="F65" s="596"/>
      <c r="G65" s="596"/>
      <c r="H65" s="615"/>
      <c r="I65" s="616" t="s">
        <v>365</v>
      </c>
      <c r="J65" s="599"/>
      <c r="K65" s="600"/>
      <c r="L65" s="601"/>
      <c r="M65" s="625"/>
      <c r="N65" s="617"/>
      <c r="O65" s="621"/>
      <c r="P65" s="57"/>
      <c r="Q65" s="57"/>
      <c r="R65" s="57"/>
      <c r="S65" s="605"/>
      <c r="T65" s="605"/>
      <c r="U65" s="573"/>
      <c r="V65" s="574"/>
      <c r="W65" s="618"/>
      <c r="X65" s="576">
        <v>0.0</v>
      </c>
      <c r="Y65" s="630">
        <v>0.0</v>
      </c>
      <c r="Z65" s="630" t="s">
        <v>365</v>
      </c>
      <c r="AA65" s="631" t="b">
        <v>0</v>
      </c>
      <c r="AB65" s="631"/>
      <c r="AC65" s="576"/>
      <c r="AD65" s="479">
        <v>0.0</v>
      </c>
      <c r="AE65" s="632"/>
      <c r="AF65" s="582" t="s">
        <v>365</v>
      </c>
      <c r="AG65" s="583"/>
      <c r="AH65" s="584"/>
      <c r="AI65" s="583"/>
      <c r="AJ65" s="585"/>
      <c r="AK65" s="583"/>
      <c r="AL65" s="584"/>
      <c r="AM65" s="583"/>
      <c r="AN65" s="585"/>
      <c r="AO65" s="583"/>
      <c r="AP65" s="584"/>
      <c r="AQ65" s="583"/>
      <c r="AR65" s="585"/>
      <c r="AS65" s="583"/>
      <c r="AT65" s="584"/>
      <c r="AU65" s="583"/>
      <c r="AV65" s="585"/>
      <c r="AW65" s="583"/>
      <c r="AX65" s="584"/>
      <c r="AY65" s="583"/>
      <c r="AZ65" s="585"/>
      <c r="BA65" s="583"/>
      <c r="BB65" s="584"/>
      <c r="BC65" s="583"/>
      <c r="BD65" s="585"/>
      <c r="BE65" s="583"/>
      <c r="BF65" s="584"/>
      <c r="BG65" s="583"/>
      <c r="BH65" s="585"/>
      <c r="BI65" s="583"/>
      <c r="BJ65" s="584"/>
      <c r="BK65" s="583"/>
      <c r="BL65" s="585"/>
      <c r="BM65" s="583"/>
      <c r="BN65" s="584"/>
      <c r="BO65" s="583"/>
      <c r="BP65" s="585"/>
      <c r="BQ65" s="583"/>
      <c r="BR65" s="584"/>
      <c r="BS65" s="583"/>
      <c r="BT65" s="586"/>
      <c r="BU65" s="540"/>
      <c r="BV65" s="540"/>
      <c r="BW65" s="540"/>
      <c r="BX65" s="538"/>
      <c r="BY65" s="538"/>
      <c r="BZ65" s="592"/>
      <c r="CA65" s="633"/>
      <c r="CB65" s="592" t="s">
        <v>365</v>
      </c>
      <c r="CC65" s="592">
        <v>0.0</v>
      </c>
      <c r="CD65" s="592" t="s">
        <v>365</v>
      </c>
      <c r="CE65" s="592">
        <v>0.0</v>
      </c>
      <c r="CF65" s="592"/>
      <c r="CG65" s="592">
        <v>0.0</v>
      </c>
      <c r="CH65" s="592"/>
      <c r="CI65" s="633"/>
      <c r="CJ65" s="592">
        <v>0.0</v>
      </c>
      <c r="CK65" s="479" t="s">
        <v>365</v>
      </c>
      <c r="CL65" s="592"/>
      <c r="CM65" s="593"/>
      <c r="CN65" s="538"/>
      <c r="CO65" s="538"/>
      <c r="CP65" s="538"/>
      <c r="CQ65" s="538"/>
      <c r="CR65" s="538"/>
      <c r="CS65" s="538"/>
      <c r="CT65" s="538"/>
      <c r="CU65" s="538"/>
      <c r="CV65" s="538"/>
      <c r="CW65" s="538"/>
      <c r="CX65" s="538"/>
      <c r="CY65" s="538"/>
      <c r="CZ65" s="538"/>
      <c r="DA65" s="538"/>
      <c r="DB65" s="538"/>
      <c r="DC65" s="538"/>
      <c r="DD65" s="538"/>
      <c r="DE65" s="538"/>
      <c r="DF65" s="538"/>
      <c r="DG65" s="538"/>
      <c r="DH65" s="538"/>
      <c r="DI65" s="538"/>
      <c r="DJ65" s="84"/>
      <c r="DK65" s="538"/>
      <c r="DL65" s="538"/>
      <c r="DM65" s="538"/>
      <c r="DN65" s="538"/>
      <c r="DO65" s="538"/>
      <c r="DP65" s="538"/>
      <c r="DQ65" s="538"/>
      <c r="DR65" s="538"/>
      <c r="DS65" s="538"/>
      <c r="DT65" s="538"/>
      <c r="DU65" s="538"/>
      <c r="DV65" s="538"/>
      <c r="DW65" s="538"/>
      <c r="DX65" s="538"/>
      <c r="DY65" s="538"/>
      <c r="DZ65" s="538"/>
      <c r="EA65" s="538"/>
      <c r="EB65" s="538"/>
      <c r="EC65" s="538"/>
      <c r="ED65" s="538"/>
      <c r="EE65" s="538"/>
      <c r="EF65" s="538"/>
      <c r="EG65" s="538"/>
      <c r="EH65" s="538"/>
      <c r="EI65" s="538"/>
      <c r="EJ65" s="538"/>
      <c r="EK65" s="538"/>
      <c r="EL65" s="538"/>
      <c r="EM65" s="538"/>
      <c r="EN65" s="538"/>
      <c r="EO65" s="538"/>
      <c r="EP65" s="538"/>
      <c r="EQ65" s="538"/>
      <c r="ER65" s="538"/>
      <c r="ES65" s="538"/>
      <c r="ET65" s="538"/>
      <c r="EU65" s="538"/>
      <c r="EV65" s="538"/>
      <c r="EW65" s="538"/>
      <c r="EX65" s="559"/>
      <c r="EY65" s="559"/>
      <c r="EZ65" s="559"/>
      <c r="FA65" s="559"/>
      <c r="FB65" s="559"/>
      <c r="FC65" s="559"/>
      <c r="FD65" s="559"/>
      <c r="FE65" s="559"/>
      <c r="FF65" s="559"/>
      <c r="FG65" s="559"/>
      <c r="FH65" s="559"/>
      <c r="FI65" s="559"/>
      <c r="FJ65" s="559"/>
      <c r="FK65" s="559"/>
      <c r="FL65" s="559"/>
      <c r="FM65" s="559"/>
      <c r="FN65" s="559"/>
      <c r="FO65" s="559"/>
      <c r="FP65" s="559"/>
      <c r="FQ65" s="559"/>
      <c r="FR65" s="559"/>
      <c r="FS65" s="559"/>
      <c r="FT65" s="559"/>
      <c r="FU65" s="559"/>
      <c r="FV65" s="559"/>
      <c r="FW65" s="559"/>
      <c r="FX65" s="559"/>
      <c r="FY65" s="559"/>
      <c r="FZ65" s="559"/>
      <c r="GA65" s="559"/>
      <c r="GB65" s="559"/>
      <c r="GC65" s="559"/>
      <c r="GD65" s="559"/>
      <c r="GE65" s="559"/>
      <c r="GF65" s="559"/>
      <c r="GG65" s="559"/>
      <c r="GH65" s="559"/>
    </row>
    <row r="66">
      <c r="A66" s="538"/>
      <c r="B66" s="134"/>
      <c r="C66" s="57"/>
      <c r="D66" s="594"/>
      <c r="E66" s="606"/>
      <c r="F66" s="563"/>
      <c r="G66" s="563"/>
      <c r="H66" s="627"/>
      <c r="I66" s="622" t="s">
        <v>365</v>
      </c>
      <c r="J66" s="566"/>
      <c r="K66" s="567"/>
      <c r="L66" s="568"/>
      <c r="M66" s="626"/>
      <c r="N66" s="619"/>
      <c r="O66" s="623"/>
      <c r="P66" s="47"/>
      <c r="Q66" s="47"/>
      <c r="S66" s="572"/>
      <c r="U66" s="573"/>
      <c r="V66" s="574"/>
      <c r="W66" s="618"/>
      <c r="X66" s="576">
        <v>0.0</v>
      </c>
      <c r="Y66" s="630">
        <v>0.0</v>
      </c>
      <c r="Z66" s="630" t="s">
        <v>365</v>
      </c>
      <c r="AA66" s="631" t="b">
        <v>0</v>
      </c>
      <c r="AB66" s="631"/>
      <c r="AC66" s="576"/>
      <c r="AD66" s="479">
        <v>0.0</v>
      </c>
      <c r="AE66" s="632"/>
      <c r="AF66" s="582" t="s">
        <v>365</v>
      </c>
      <c r="AG66" s="583"/>
      <c r="AH66" s="584"/>
      <c r="AI66" s="583"/>
      <c r="AJ66" s="585"/>
      <c r="AK66" s="583"/>
      <c r="AL66" s="584"/>
      <c r="AM66" s="583"/>
      <c r="AN66" s="585"/>
      <c r="AO66" s="583"/>
      <c r="AP66" s="584"/>
      <c r="AQ66" s="583"/>
      <c r="AR66" s="585"/>
      <c r="AS66" s="583"/>
      <c r="AT66" s="584"/>
      <c r="AU66" s="583"/>
      <c r="AV66" s="585"/>
      <c r="AW66" s="583"/>
      <c r="AX66" s="584"/>
      <c r="AY66" s="583"/>
      <c r="AZ66" s="585"/>
      <c r="BA66" s="583"/>
      <c r="BB66" s="584"/>
      <c r="BC66" s="583"/>
      <c r="BD66" s="585"/>
      <c r="BE66" s="583"/>
      <c r="BF66" s="584"/>
      <c r="BG66" s="583"/>
      <c r="BH66" s="585"/>
      <c r="BI66" s="583"/>
      <c r="BJ66" s="584"/>
      <c r="BK66" s="583"/>
      <c r="BL66" s="585"/>
      <c r="BM66" s="583"/>
      <c r="BN66" s="584"/>
      <c r="BO66" s="583"/>
      <c r="BP66" s="585"/>
      <c r="BQ66" s="583"/>
      <c r="BR66" s="584"/>
      <c r="BS66" s="583"/>
      <c r="BT66" s="586"/>
      <c r="BU66" s="540"/>
      <c r="BV66" s="540"/>
      <c r="BW66" s="540"/>
      <c r="BX66" s="538"/>
      <c r="BY66" s="538"/>
      <c r="BZ66" s="592"/>
      <c r="CA66" s="633"/>
      <c r="CB66" s="592" t="s">
        <v>365</v>
      </c>
      <c r="CC66" s="592">
        <v>0.0</v>
      </c>
      <c r="CD66" s="592" t="s">
        <v>365</v>
      </c>
      <c r="CE66" s="592">
        <v>0.0</v>
      </c>
      <c r="CF66" s="592"/>
      <c r="CG66" s="592">
        <v>0.0</v>
      </c>
      <c r="CH66" s="592"/>
      <c r="CI66" s="633"/>
      <c r="CJ66" s="592">
        <v>0.0</v>
      </c>
      <c r="CK66" s="479" t="s">
        <v>365</v>
      </c>
      <c r="CL66" s="592"/>
      <c r="CM66" s="593"/>
      <c r="CN66" s="538"/>
      <c r="CO66" s="538"/>
      <c r="CP66" s="538"/>
      <c r="CQ66" s="538"/>
      <c r="CR66" s="538"/>
      <c r="CS66" s="538"/>
      <c r="CT66" s="538"/>
      <c r="CU66" s="538"/>
      <c r="CV66" s="538"/>
      <c r="CW66" s="538"/>
      <c r="CX66" s="538"/>
      <c r="CY66" s="538"/>
      <c r="CZ66" s="538"/>
      <c r="DA66" s="538"/>
      <c r="DB66" s="538"/>
      <c r="DC66" s="538"/>
      <c r="DD66" s="538"/>
      <c r="DE66" s="538"/>
      <c r="DF66" s="538"/>
      <c r="DG66" s="538"/>
      <c r="DH66" s="538"/>
      <c r="DI66" s="538"/>
      <c r="DJ66" s="84"/>
      <c r="DK66" s="538"/>
      <c r="DL66" s="538"/>
      <c r="DM66" s="538"/>
      <c r="DN66" s="538"/>
      <c r="DO66" s="538"/>
      <c r="DP66" s="538"/>
      <c r="DQ66" s="538"/>
      <c r="DR66" s="538"/>
      <c r="DS66" s="538"/>
      <c r="DT66" s="538"/>
      <c r="DU66" s="538"/>
      <c r="DV66" s="538"/>
      <c r="DW66" s="538"/>
      <c r="DX66" s="538"/>
      <c r="DY66" s="538"/>
      <c r="DZ66" s="538"/>
      <c r="EA66" s="538"/>
      <c r="EB66" s="538"/>
      <c r="EC66" s="538"/>
      <c r="ED66" s="538"/>
      <c r="EE66" s="538"/>
      <c r="EF66" s="538"/>
      <c r="EG66" s="538"/>
      <c r="EH66" s="538"/>
      <c r="EI66" s="538"/>
      <c r="EJ66" s="538"/>
      <c r="EK66" s="538"/>
      <c r="EL66" s="538"/>
      <c r="EM66" s="538"/>
      <c r="EN66" s="538"/>
      <c r="EO66" s="538"/>
      <c r="EP66" s="538"/>
      <c r="EQ66" s="538"/>
      <c r="ER66" s="538"/>
      <c r="ES66" s="538"/>
      <c r="ET66" s="538"/>
      <c r="EU66" s="538"/>
      <c r="EV66" s="538"/>
      <c r="EW66" s="538"/>
      <c r="EX66" s="559"/>
      <c r="EY66" s="559"/>
      <c r="EZ66" s="559"/>
      <c r="FA66" s="559"/>
      <c r="FB66" s="559"/>
      <c r="FC66" s="559"/>
      <c r="FD66" s="559"/>
      <c r="FE66" s="559"/>
      <c r="FF66" s="559"/>
      <c r="FG66" s="559"/>
      <c r="FH66" s="559"/>
      <c r="FI66" s="559"/>
      <c r="FJ66" s="559"/>
      <c r="FK66" s="559"/>
      <c r="FL66" s="559"/>
      <c r="FM66" s="559"/>
      <c r="FN66" s="559"/>
      <c r="FO66" s="559"/>
      <c r="FP66" s="559"/>
      <c r="FQ66" s="559"/>
      <c r="FR66" s="559"/>
      <c r="FS66" s="559"/>
      <c r="FT66" s="559"/>
      <c r="FU66" s="559"/>
      <c r="FV66" s="559"/>
      <c r="FW66" s="559"/>
      <c r="FX66" s="559"/>
      <c r="FY66" s="559"/>
      <c r="FZ66" s="559"/>
      <c r="GA66" s="559"/>
      <c r="GB66" s="559"/>
      <c r="GC66" s="559"/>
      <c r="GD66" s="559"/>
      <c r="GE66" s="559"/>
      <c r="GF66" s="559"/>
      <c r="GG66" s="559"/>
      <c r="GH66" s="559"/>
    </row>
    <row r="67">
      <c r="A67" s="538"/>
      <c r="B67" s="560"/>
      <c r="C67" s="47"/>
      <c r="D67" s="561"/>
      <c r="E67" s="606"/>
      <c r="F67" s="563"/>
      <c r="G67" s="563"/>
      <c r="H67" s="627"/>
      <c r="I67" s="622" t="s">
        <v>365</v>
      </c>
      <c r="J67" s="566"/>
      <c r="K67" s="567"/>
      <c r="L67" s="601"/>
      <c r="M67" s="625"/>
      <c r="N67" s="617"/>
      <c r="O67" s="621"/>
      <c r="P67" s="57"/>
      <c r="Q67" s="57"/>
      <c r="R67" s="57"/>
      <c r="S67" s="605"/>
      <c r="T67" s="605"/>
      <c r="U67" s="573"/>
      <c r="V67" s="574"/>
      <c r="W67" s="618"/>
      <c r="X67" s="576">
        <v>0.0</v>
      </c>
      <c r="Y67" s="630">
        <v>0.0</v>
      </c>
      <c r="Z67" s="630" t="s">
        <v>365</v>
      </c>
      <c r="AA67" s="631" t="b">
        <v>0</v>
      </c>
      <c r="AB67" s="631"/>
      <c r="AC67" s="576"/>
      <c r="AD67" s="479">
        <v>0.0</v>
      </c>
      <c r="AE67" s="632"/>
      <c r="AF67" s="582" t="s">
        <v>365</v>
      </c>
      <c r="AG67" s="583"/>
      <c r="AH67" s="584"/>
      <c r="AI67" s="583"/>
      <c r="AJ67" s="585"/>
      <c r="AK67" s="583"/>
      <c r="AL67" s="584"/>
      <c r="AM67" s="583"/>
      <c r="AN67" s="585"/>
      <c r="AO67" s="583"/>
      <c r="AP67" s="584"/>
      <c r="AQ67" s="583"/>
      <c r="AR67" s="585"/>
      <c r="AS67" s="583"/>
      <c r="AT67" s="584"/>
      <c r="AU67" s="583"/>
      <c r="AV67" s="585"/>
      <c r="AW67" s="583"/>
      <c r="AX67" s="584"/>
      <c r="AY67" s="583"/>
      <c r="AZ67" s="585"/>
      <c r="BA67" s="583"/>
      <c r="BB67" s="584"/>
      <c r="BC67" s="583"/>
      <c r="BD67" s="585"/>
      <c r="BE67" s="583"/>
      <c r="BF67" s="584"/>
      <c r="BG67" s="583"/>
      <c r="BH67" s="585"/>
      <c r="BI67" s="583"/>
      <c r="BJ67" s="584"/>
      <c r="BK67" s="583"/>
      <c r="BL67" s="585"/>
      <c r="BM67" s="583"/>
      <c r="BN67" s="584"/>
      <c r="BO67" s="583"/>
      <c r="BP67" s="585"/>
      <c r="BQ67" s="583"/>
      <c r="BR67" s="584"/>
      <c r="BS67" s="583"/>
      <c r="BT67" s="586"/>
      <c r="BU67" s="540"/>
      <c r="BV67" s="540"/>
      <c r="BW67" s="540"/>
      <c r="BX67" s="538"/>
      <c r="BY67" s="538"/>
      <c r="BZ67" s="592"/>
      <c r="CA67" s="633"/>
      <c r="CB67" s="592" t="s">
        <v>365</v>
      </c>
      <c r="CC67" s="592">
        <v>0.0</v>
      </c>
      <c r="CD67" s="592" t="s">
        <v>365</v>
      </c>
      <c r="CE67" s="592">
        <v>0.0</v>
      </c>
      <c r="CF67" s="592"/>
      <c r="CG67" s="592">
        <v>0.0</v>
      </c>
      <c r="CH67" s="592"/>
      <c r="CI67" s="633"/>
      <c r="CJ67" s="592">
        <v>0.0</v>
      </c>
      <c r="CK67" s="479" t="s">
        <v>365</v>
      </c>
      <c r="CL67" s="592"/>
      <c r="CM67" s="593"/>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84"/>
      <c r="DK67" s="538"/>
      <c r="DL67" s="538"/>
      <c r="DM67" s="538"/>
      <c r="DN67" s="538"/>
      <c r="DO67" s="538"/>
      <c r="DP67" s="538"/>
      <c r="DQ67" s="538"/>
      <c r="DR67" s="538"/>
      <c r="DS67" s="538"/>
      <c r="DT67" s="538"/>
      <c r="DU67" s="538"/>
      <c r="DV67" s="538"/>
      <c r="DW67" s="538"/>
      <c r="DX67" s="538"/>
      <c r="DY67" s="538"/>
      <c r="DZ67" s="538"/>
      <c r="EA67" s="538"/>
      <c r="EB67" s="538"/>
      <c r="EC67" s="538"/>
      <c r="ED67" s="538"/>
      <c r="EE67" s="538"/>
      <c r="EF67" s="538"/>
      <c r="EG67" s="538"/>
      <c r="EH67" s="538"/>
      <c r="EI67" s="538"/>
      <c r="EJ67" s="538"/>
      <c r="EK67" s="538"/>
      <c r="EL67" s="538"/>
      <c r="EM67" s="538"/>
      <c r="EN67" s="538"/>
      <c r="EO67" s="538"/>
      <c r="EP67" s="538"/>
      <c r="EQ67" s="538"/>
      <c r="ER67" s="538"/>
      <c r="ES67" s="538"/>
      <c r="ET67" s="538"/>
      <c r="EU67" s="538"/>
      <c r="EV67" s="538"/>
      <c r="EW67" s="538"/>
      <c r="EX67" s="559"/>
      <c r="EY67" s="559"/>
      <c r="EZ67" s="559"/>
      <c r="FA67" s="559"/>
      <c r="FB67" s="559"/>
      <c r="FC67" s="559"/>
      <c r="FD67" s="559"/>
      <c r="FE67" s="559"/>
      <c r="FF67" s="559"/>
      <c r="FG67" s="559"/>
      <c r="FH67" s="559"/>
      <c r="FI67" s="559"/>
      <c r="FJ67" s="559"/>
      <c r="FK67" s="559"/>
      <c r="FL67" s="559"/>
      <c r="FM67" s="559"/>
      <c r="FN67" s="559"/>
      <c r="FO67" s="559"/>
      <c r="FP67" s="559"/>
      <c r="FQ67" s="559"/>
      <c r="FR67" s="559"/>
      <c r="FS67" s="559"/>
      <c r="FT67" s="559"/>
      <c r="FU67" s="559"/>
      <c r="FV67" s="559"/>
      <c r="FW67" s="559"/>
      <c r="FX67" s="559"/>
      <c r="FY67" s="559"/>
      <c r="FZ67" s="559"/>
      <c r="GA67" s="559"/>
      <c r="GB67" s="559"/>
      <c r="GC67" s="559"/>
      <c r="GD67" s="559"/>
      <c r="GE67" s="559"/>
      <c r="GF67" s="559"/>
      <c r="GG67" s="559"/>
      <c r="GH67" s="559"/>
    </row>
    <row r="68">
      <c r="A68" s="538"/>
      <c r="B68" s="134"/>
      <c r="C68" s="57"/>
      <c r="D68" s="594"/>
      <c r="E68" s="595"/>
      <c r="F68" s="596"/>
      <c r="G68" s="596"/>
      <c r="H68" s="597"/>
      <c r="I68" s="616" t="s">
        <v>365</v>
      </c>
      <c r="J68" s="599"/>
      <c r="K68" s="600"/>
      <c r="L68" s="568"/>
      <c r="M68" s="626"/>
      <c r="N68" s="619"/>
      <c r="O68" s="623"/>
      <c r="P68" s="47"/>
      <c r="Q68" s="47"/>
      <c r="S68" s="572"/>
      <c r="U68" s="573"/>
      <c r="V68" s="574"/>
      <c r="W68" s="618"/>
      <c r="X68" s="576">
        <v>0.0</v>
      </c>
      <c r="Y68" s="630">
        <v>0.0</v>
      </c>
      <c r="Z68" s="630" t="s">
        <v>365</v>
      </c>
      <c r="AA68" s="631" t="b">
        <v>0</v>
      </c>
      <c r="AB68" s="631"/>
      <c r="AC68" s="576"/>
      <c r="AD68" s="479">
        <v>0.0</v>
      </c>
      <c r="AE68" s="632"/>
      <c r="AF68" s="582" t="s">
        <v>365</v>
      </c>
      <c r="AG68" s="583"/>
      <c r="AH68" s="584"/>
      <c r="AI68" s="583"/>
      <c r="AJ68" s="585"/>
      <c r="AK68" s="583"/>
      <c r="AL68" s="584"/>
      <c r="AM68" s="583"/>
      <c r="AN68" s="585"/>
      <c r="AO68" s="583"/>
      <c r="AP68" s="584"/>
      <c r="AQ68" s="583"/>
      <c r="AR68" s="585"/>
      <c r="AS68" s="583"/>
      <c r="AT68" s="584"/>
      <c r="AU68" s="583"/>
      <c r="AV68" s="585"/>
      <c r="AW68" s="583"/>
      <c r="AX68" s="584"/>
      <c r="AY68" s="583"/>
      <c r="AZ68" s="585"/>
      <c r="BA68" s="583"/>
      <c r="BB68" s="584"/>
      <c r="BC68" s="583"/>
      <c r="BD68" s="585"/>
      <c r="BE68" s="583"/>
      <c r="BF68" s="584"/>
      <c r="BG68" s="583"/>
      <c r="BH68" s="585"/>
      <c r="BI68" s="583"/>
      <c r="BJ68" s="584"/>
      <c r="BK68" s="583"/>
      <c r="BL68" s="585"/>
      <c r="BM68" s="583"/>
      <c r="BN68" s="584"/>
      <c r="BO68" s="583"/>
      <c r="BP68" s="585"/>
      <c r="BQ68" s="583"/>
      <c r="BR68" s="584"/>
      <c r="BS68" s="583"/>
      <c r="BT68" s="586"/>
      <c r="BU68" s="540"/>
      <c r="BV68" s="540"/>
      <c r="BW68" s="540"/>
      <c r="BX68" s="538"/>
      <c r="BY68" s="538"/>
      <c r="BZ68" s="592"/>
      <c r="CA68" s="633"/>
      <c r="CB68" s="592" t="s">
        <v>365</v>
      </c>
      <c r="CC68" s="592">
        <v>0.0</v>
      </c>
      <c r="CD68" s="592" t="s">
        <v>365</v>
      </c>
      <c r="CE68" s="592">
        <v>0.0</v>
      </c>
      <c r="CF68" s="592"/>
      <c r="CG68" s="592">
        <v>0.0</v>
      </c>
      <c r="CH68" s="592"/>
      <c r="CI68" s="633"/>
      <c r="CJ68" s="592">
        <v>0.0</v>
      </c>
      <c r="CK68" s="479" t="s">
        <v>365</v>
      </c>
      <c r="CL68" s="592"/>
      <c r="CM68" s="593"/>
      <c r="CN68" s="538"/>
      <c r="CO68" s="538"/>
      <c r="CP68" s="538"/>
      <c r="CQ68" s="538"/>
      <c r="CR68" s="538"/>
      <c r="CS68" s="538"/>
      <c r="CT68" s="538"/>
      <c r="CU68" s="538"/>
      <c r="CV68" s="538"/>
      <c r="CW68" s="538"/>
      <c r="CX68" s="538"/>
      <c r="CY68" s="538"/>
      <c r="CZ68" s="538"/>
      <c r="DA68" s="538"/>
      <c r="DB68" s="538"/>
      <c r="DC68" s="538"/>
      <c r="DD68" s="538"/>
      <c r="DE68" s="538"/>
      <c r="DF68" s="538"/>
      <c r="DG68" s="538"/>
      <c r="DH68" s="538"/>
      <c r="DI68" s="538"/>
      <c r="DJ68" s="84"/>
      <c r="DK68" s="538"/>
      <c r="DL68" s="538"/>
      <c r="DM68" s="538"/>
      <c r="DN68" s="538"/>
      <c r="DO68" s="538"/>
      <c r="DP68" s="538"/>
      <c r="DQ68" s="538"/>
      <c r="DR68" s="538"/>
      <c r="DS68" s="538"/>
      <c r="DT68" s="538"/>
      <c r="DU68" s="538"/>
      <c r="DV68" s="538"/>
      <c r="DW68" s="538"/>
      <c r="DX68" s="538"/>
      <c r="DY68" s="538"/>
      <c r="DZ68" s="538"/>
      <c r="EA68" s="538"/>
      <c r="EB68" s="538"/>
      <c r="EC68" s="538"/>
      <c r="ED68" s="538"/>
      <c r="EE68" s="538"/>
      <c r="EF68" s="538"/>
      <c r="EG68" s="538"/>
      <c r="EH68" s="538"/>
      <c r="EI68" s="538"/>
      <c r="EJ68" s="538"/>
      <c r="EK68" s="538"/>
      <c r="EL68" s="538"/>
      <c r="EM68" s="538"/>
      <c r="EN68" s="538"/>
      <c r="EO68" s="538"/>
      <c r="EP68" s="538"/>
      <c r="EQ68" s="538"/>
      <c r="ER68" s="538"/>
      <c r="ES68" s="538"/>
      <c r="ET68" s="538"/>
      <c r="EU68" s="538"/>
      <c r="EV68" s="538"/>
      <c r="EW68" s="538"/>
      <c r="EX68" s="559"/>
      <c r="EY68" s="559"/>
      <c r="EZ68" s="559"/>
      <c r="FA68" s="559"/>
      <c r="FB68" s="559"/>
      <c r="FC68" s="559"/>
      <c r="FD68" s="559"/>
      <c r="FE68" s="559"/>
      <c r="FF68" s="559"/>
      <c r="FG68" s="559"/>
      <c r="FH68" s="559"/>
      <c r="FI68" s="559"/>
      <c r="FJ68" s="559"/>
      <c r="FK68" s="559"/>
      <c r="FL68" s="559"/>
      <c r="FM68" s="559"/>
      <c r="FN68" s="559"/>
      <c r="FO68" s="559"/>
      <c r="FP68" s="559"/>
      <c r="FQ68" s="559"/>
      <c r="FR68" s="559"/>
      <c r="FS68" s="559"/>
      <c r="FT68" s="559"/>
      <c r="FU68" s="559"/>
      <c r="FV68" s="559"/>
      <c r="FW68" s="559"/>
      <c r="FX68" s="559"/>
      <c r="FY68" s="559"/>
      <c r="FZ68" s="559"/>
      <c r="GA68" s="559"/>
      <c r="GB68" s="559"/>
      <c r="GC68" s="559"/>
      <c r="GD68" s="559"/>
      <c r="GE68" s="559"/>
      <c r="GF68" s="559"/>
      <c r="GG68" s="559"/>
      <c r="GH68" s="559"/>
    </row>
    <row r="69">
      <c r="A69" s="538"/>
      <c r="B69" s="560"/>
      <c r="C69" s="47"/>
      <c r="D69" s="561"/>
      <c r="E69" s="606"/>
      <c r="F69" s="563"/>
      <c r="G69" s="563"/>
      <c r="H69" s="564"/>
      <c r="I69" s="622" t="s">
        <v>365</v>
      </c>
      <c r="J69" s="566"/>
      <c r="K69" s="567"/>
      <c r="L69" s="640"/>
      <c r="M69" s="625"/>
      <c r="N69" s="617"/>
      <c r="O69" s="621"/>
      <c r="P69" s="57"/>
      <c r="Q69" s="57"/>
      <c r="S69" s="605"/>
      <c r="U69" s="573"/>
      <c r="V69" s="574"/>
      <c r="W69" s="618"/>
      <c r="X69" s="576">
        <v>0.0</v>
      </c>
      <c r="Y69" s="630">
        <v>0.0</v>
      </c>
      <c r="Z69" s="630" t="s">
        <v>365</v>
      </c>
      <c r="AA69" s="631" t="b">
        <v>0</v>
      </c>
      <c r="AB69" s="631"/>
      <c r="AC69" s="576"/>
      <c r="AD69" s="479">
        <v>0.0</v>
      </c>
      <c r="AE69" s="632"/>
      <c r="AF69" s="582" t="s">
        <v>365</v>
      </c>
      <c r="AG69" s="583"/>
      <c r="AH69" s="584"/>
      <c r="AI69" s="583"/>
      <c r="AJ69" s="585"/>
      <c r="AK69" s="583"/>
      <c r="AL69" s="584"/>
      <c r="AM69" s="583"/>
      <c r="AN69" s="585"/>
      <c r="AO69" s="583"/>
      <c r="AP69" s="584"/>
      <c r="AQ69" s="583"/>
      <c r="AR69" s="585"/>
      <c r="AS69" s="583"/>
      <c r="AT69" s="584"/>
      <c r="AU69" s="583"/>
      <c r="AV69" s="585"/>
      <c r="AW69" s="583"/>
      <c r="AX69" s="584"/>
      <c r="AY69" s="583"/>
      <c r="AZ69" s="585"/>
      <c r="BA69" s="583"/>
      <c r="BB69" s="584"/>
      <c r="BC69" s="583"/>
      <c r="BD69" s="585"/>
      <c r="BE69" s="583"/>
      <c r="BF69" s="584"/>
      <c r="BG69" s="583"/>
      <c r="BH69" s="585"/>
      <c r="BI69" s="583"/>
      <c r="BJ69" s="584"/>
      <c r="BK69" s="583"/>
      <c r="BL69" s="585"/>
      <c r="BM69" s="583"/>
      <c r="BN69" s="584"/>
      <c r="BO69" s="583"/>
      <c r="BP69" s="585"/>
      <c r="BQ69" s="583"/>
      <c r="BR69" s="584"/>
      <c r="BS69" s="583"/>
      <c r="BT69" s="586"/>
      <c r="BU69" s="540"/>
      <c r="BV69" s="540"/>
      <c r="BW69" s="540"/>
      <c r="BX69" s="538"/>
      <c r="BY69" s="538"/>
      <c r="BZ69" s="592"/>
      <c r="CA69" s="633"/>
      <c r="CB69" s="592" t="s">
        <v>365</v>
      </c>
      <c r="CC69" s="592">
        <v>0.0</v>
      </c>
      <c r="CD69" s="592" t="s">
        <v>365</v>
      </c>
      <c r="CE69" s="592">
        <v>0.0</v>
      </c>
      <c r="CF69" s="592"/>
      <c r="CG69" s="592">
        <v>0.0</v>
      </c>
      <c r="CH69" s="592"/>
      <c r="CI69" s="633"/>
      <c r="CJ69" s="592">
        <v>0.0</v>
      </c>
      <c r="CK69" s="479" t="s">
        <v>365</v>
      </c>
      <c r="CL69" s="592"/>
      <c r="CM69" s="593"/>
      <c r="CN69" s="538"/>
      <c r="CO69" s="538"/>
      <c r="CP69" s="538"/>
      <c r="CQ69" s="538"/>
      <c r="CR69" s="538"/>
      <c r="CS69" s="538"/>
      <c r="CT69" s="538"/>
      <c r="CU69" s="538"/>
      <c r="CV69" s="538"/>
      <c r="CW69" s="538"/>
      <c r="CX69" s="538"/>
      <c r="CY69" s="538"/>
      <c r="CZ69" s="538"/>
      <c r="DA69" s="538"/>
      <c r="DB69" s="538"/>
      <c r="DC69" s="538"/>
      <c r="DD69" s="538"/>
      <c r="DE69" s="538"/>
      <c r="DF69" s="538"/>
      <c r="DG69" s="538"/>
      <c r="DH69" s="538"/>
      <c r="DI69" s="538"/>
      <c r="DJ69" s="538"/>
      <c r="DK69" s="538"/>
      <c r="DL69" s="538"/>
      <c r="DM69" s="538"/>
      <c r="DN69" s="538"/>
      <c r="DO69" s="538"/>
      <c r="DP69" s="538"/>
      <c r="DQ69" s="538"/>
      <c r="DR69" s="538"/>
      <c r="DS69" s="538"/>
      <c r="DT69" s="538"/>
      <c r="DU69" s="538"/>
      <c r="DV69" s="538"/>
      <c r="DW69" s="538"/>
      <c r="DX69" s="538"/>
      <c r="DY69" s="538"/>
      <c r="DZ69" s="538"/>
      <c r="EA69" s="538"/>
      <c r="EB69" s="538"/>
      <c r="EC69" s="538"/>
      <c r="ED69" s="538"/>
      <c r="EE69" s="538"/>
      <c r="EF69" s="538"/>
      <c r="EG69" s="538"/>
      <c r="EH69" s="538"/>
      <c r="EI69" s="538"/>
      <c r="EJ69" s="538"/>
      <c r="EK69" s="538"/>
      <c r="EL69" s="538"/>
      <c r="EM69" s="538"/>
      <c r="EN69" s="538"/>
      <c r="EO69" s="538"/>
      <c r="EP69" s="538"/>
      <c r="EQ69" s="538"/>
      <c r="ER69" s="538"/>
      <c r="ES69" s="538"/>
      <c r="ET69" s="538"/>
      <c r="EU69" s="538"/>
      <c r="EV69" s="538"/>
      <c r="EW69" s="538"/>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row>
    <row r="70">
      <c r="A70" s="538"/>
      <c r="B70" s="156"/>
      <c r="C70" s="444"/>
      <c r="D70" s="614"/>
      <c r="E70" s="606"/>
      <c r="F70" s="563"/>
      <c r="G70" s="563"/>
      <c r="H70" s="564"/>
      <c r="I70" s="622" t="s">
        <v>365</v>
      </c>
      <c r="J70" s="607"/>
      <c r="K70" s="567"/>
      <c r="L70" s="568"/>
      <c r="M70" s="626"/>
      <c r="N70" s="619"/>
      <c r="O70" s="623"/>
      <c r="P70" s="47"/>
      <c r="Q70" s="47"/>
      <c r="S70" s="572"/>
      <c r="U70" s="573"/>
      <c r="V70" s="574"/>
      <c r="W70" s="618"/>
      <c r="X70" s="576">
        <v>0.0</v>
      </c>
      <c r="Y70" s="630">
        <v>0.0</v>
      </c>
      <c r="Z70" s="630" t="s">
        <v>365</v>
      </c>
      <c r="AA70" s="631" t="b">
        <v>0</v>
      </c>
      <c r="AB70" s="631"/>
      <c r="AC70" s="576"/>
      <c r="AD70" s="479">
        <v>0.0</v>
      </c>
      <c r="AE70" s="632"/>
      <c r="AF70" s="582" t="s">
        <v>365</v>
      </c>
      <c r="AG70" s="583"/>
      <c r="AH70" s="584"/>
      <c r="AI70" s="583"/>
      <c r="AJ70" s="585"/>
      <c r="AK70" s="583"/>
      <c r="AL70" s="584"/>
      <c r="AM70" s="583"/>
      <c r="AN70" s="585"/>
      <c r="AO70" s="583"/>
      <c r="AP70" s="584"/>
      <c r="AQ70" s="583"/>
      <c r="AR70" s="585"/>
      <c r="AS70" s="583"/>
      <c r="AT70" s="584"/>
      <c r="AU70" s="583"/>
      <c r="AV70" s="585"/>
      <c r="AW70" s="583"/>
      <c r="AX70" s="584"/>
      <c r="AY70" s="583"/>
      <c r="AZ70" s="585"/>
      <c r="BA70" s="583"/>
      <c r="BB70" s="584"/>
      <c r="BC70" s="583"/>
      <c r="BD70" s="585"/>
      <c r="BE70" s="583"/>
      <c r="BF70" s="584"/>
      <c r="BG70" s="583"/>
      <c r="BH70" s="585"/>
      <c r="BI70" s="583"/>
      <c r="BJ70" s="584"/>
      <c r="BK70" s="583"/>
      <c r="BL70" s="585"/>
      <c r="BM70" s="583"/>
      <c r="BN70" s="584"/>
      <c r="BO70" s="583"/>
      <c r="BP70" s="585"/>
      <c r="BQ70" s="583"/>
      <c r="BR70" s="584"/>
      <c r="BS70" s="583"/>
      <c r="BT70" s="586"/>
      <c r="BU70" s="540"/>
      <c r="BV70" s="540"/>
      <c r="BW70" s="540"/>
      <c r="BX70" s="538"/>
      <c r="BY70" s="538"/>
      <c r="BZ70" s="592"/>
      <c r="CA70" s="633"/>
      <c r="CB70" s="592" t="s">
        <v>365</v>
      </c>
      <c r="CC70" s="592">
        <v>0.0</v>
      </c>
      <c r="CD70" s="592" t="s">
        <v>365</v>
      </c>
      <c r="CE70" s="592">
        <v>0.0</v>
      </c>
      <c r="CF70" s="592"/>
      <c r="CG70" s="592">
        <v>0.0</v>
      </c>
      <c r="CH70" s="592"/>
      <c r="CI70" s="633"/>
      <c r="CJ70" s="592">
        <v>0.0</v>
      </c>
      <c r="CK70" s="479" t="s">
        <v>365</v>
      </c>
      <c r="CL70" s="592"/>
      <c r="CM70" s="593"/>
      <c r="CN70" s="538"/>
      <c r="CO70" s="538"/>
      <c r="CP70" s="538"/>
      <c r="CQ70" s="538"/>
      <c r="CR70" s="538"/>
      <c r="CS70" s="538"/>
      <c r="CT70" s="538"/>
      <c r="CU70" s="538"/>
      <c r="CV70" s="538"/>
      <c r="CW70" s="538"/>
      <c r="CX70" s="538"/>
      <c r="CY70" s="538"/>
      <c r="CZ70" s="538"/>
      <c r="DA70" s="538"/>
      <c r="DB70" s="538"/>
      <c r="DC70" s="538"/>
      <c r="DD70" s="538"/>
      <c r="DE70" s="538"/>
      <c r="DF70" s="538"/>
      <c r="DG70" s="538"/>
      <c r="DH70" s="538"/>
      <c r="DI70" s="538"/>
      <c r="DJ70" s="538"/>
      <c r="DK70" s="538"/>
      <c r="DL70" s="538"/>
      <c r="DM70" s="538"/>
      <c r="DN70" s="538"/>
      <c r="DO70" s="538"/>
      <c r="DP70" s="538"/>
      <c r="DQ70" s="538"/>
      <c r="DR70" s="538"/>
      <c r="DS70" s="538"/>
      <c r="DT70" s="538"/>
      <c r="DU70" s="538"/>
      <c r="DV70" s="538"/>
      <c r="DW70" s="538"/>
      <c r="DX70" s="538"/>
      <c r="DY70" s="538"/>
      <c r="DZ70" s="538"/>
      <c r="EA70" s="538"/>
      <c r="EB70" s="538"/>
      <c r="EC70" s="538"/>
      <c r="ED70" s="538"/>
      <c r="EE70" s="538"/>
      <c r="EF70" s="538"/>
      <c r="EG70" s="538"/>
      <c r="EH70" s="538"/>
      <c r="EI70" s="538"/>
      <c r="EJ70" s="538"/>
      <c r="EK70" s="538"/>
      <c r="EL70" s="538"/>
      <c r="EM70" s="538"/>
      <c r="EN70" s="538"/>
      <c r="EO70" s="538"/>
      <c r="EP70" s="538"/>
      <c r="EQ70" s="538"/>
      <c r="ER70" s="538"/>
      <c r="ES70" s="538"/>
      <c r="ET70" s="538"/>
      <c r="EU70" s="538"/>
      <c r="EV70" s="538"/>
      <c r="EW70" s="538"/>
      <c r="EX70" s="559"/>
      <c r="EY70" s="559"/>
      <c r="EZ70" s="559"/>
      <c r="FA70" s="559"/>
      <c r="FB70" s="559"/>
      <c r="FC70" s="559"/>
      <c r="FD70" s="559"/>
      <c r="FE70" s="559"/>
      <c r="FF70" s="559"/>
      <c r="FG70" s="559"/>
      <c r="FH70" s="559"/>
      <c r="FI70" s="559"/>
      <c r="FJ70" s="559"/>
      <c r="FK70" s="559"/>
      <c r="FL70" s="559"/>
      <c r="FM70" s="559"/>
      <c r="FN70" s="559"/>
      <c r="FO70" s="559"/>
      <c r="FP70" s="559"/>
      <c r="FQ70" s="559"/>
      <c r="FR70" s="559"/>
      <c r="FS70" s="559"/>
      <c r="FT70" s="559"/>
      <c r="FU70" s="559"/>
      <c r="FV70" s="559"/>
      <c r="FW70" s="559"/>
      <c r="FX70" s="559"/>
      <c r="FY70" s="559"/>
      <c r="FZ70" s="559"/>
      <c r="GA70" s="559"/>
      <c r="GB70" s="559"/>
      <c r="GC70" s="559"/>
      <c r="GD70" s="559"/>
      <c r="GE70" s="559"/>
      <c r="GF70" s="559"/>
      <c r="GG70" s="559"/>
      <c r="GH70" s="559"/>
    </row>
    <row r="71">
      <c r="A71" s="538"/>
      <c r="B71" s="156"/>
      <c r="C71" s="444"/>
      <c r="D71" s="614"/>
      <c r="E71" s="595"/>
      <c r="F71" s="596"/>
      <c r="G71" s="596"/>
      <c r="H71" s="597"/>
      <c r="I71" s="616" t="s">
        <v>365</v>
      </c>
      <c r="J71" s="624"/>
      <c r="K71" s="600"/>
      <c r="L71" s="640"/>
      <c r="M71" s="625"/>
      <c r="N71" s="617"/>
      <c r="O71" s="621"/>
      <c r="P71" s="57"/>
      <c r="Q71" s="57"/>
      <c r="S71" s="605"/>
      <c r="U71" s="573"/>
      <c r="V71" s="574"/>
      <c r="W71" s="618"/>
      <c r="X71" s="576">
        <v>0.0</v>
      </c>
      <c r="Y71" s="630">
        <v>0.0</v>
      </c>
      <c r="Z71" s="630" t="s">
        <v>365</v>
      </c>
      <c r="AA71" s="631" t="b">
        <v>0</v>
      </c>
      <c r="AB71" s="631"/>
      <c r="AC71" s="576"/>
      <c r="AD71" s="479">
        <v>0.0</v>
      </c>
      <c r="AE71" s="632"/>
      <c r="AF71" s="582" t="s">
        <v>365</v>
      </c>
      <c r="AG71" s="583"/>
      <c r="AH71" s="584"/>
      <c r="AI71" s="583"/>
      <c r="AJ71" s="585"/>
      <c r="AK71" s="583"/>
      <c r="AL71" s="584"/>
      <c r="AM71" s="583"/>
      <c r="AN71" s="585"/>
      <c r="AO71" s="583"/>
      <c r="AP71" s="584"/>
      <c r="AQ71" s="583"/>
      <c r="AR71" s="585"/>
      <c r="AS71" s="583"/>
      <c r="AT71" s="584"/>
      <c r="AU71" s="583"/>
      <c r="AV71" s="585"/>
      <c r="AW71" s="583"/>
      <c r="AX71" s="584"/>
      <c r="AY71" s="583"/>
      <c r="AZ71" s="585"/>
      <c r="BA71" s="583"/>
      <c r="BB71" s="584"/>
      <c r="BC71" s="583"/>
      <c r="BD71" s="585"/>
      <c r="BE71" s="583"/>
      <c r="BF71" s="584"/>
      <c r="BG71" s="583"/>
      <c r="BH71" s="585"/>
      <c r="BI71" s="583"/>
      <c r="BJ71" s="584"/>
      <c r="BK71" s="583"/>
      <c r="BL71" s="585"/>
      <c r="BM71" s="583"/>
      <c r="BN71" s="584"/>
      <c r="BO71" s="583"/>
      <c r="BP71" s="585"/>
      <c r="BQ71" s="583"/>
      <c r="BR71" s="584"/>
      <c r="BS71" s="583"/>
      <c r="BT71" s="586"/>
      <c r="BU71" s="540"/>
      <c r="BV71" s="540"/>
      <c r="BW71" s="540"/>
      <c r="BX71" s="538"/>
      <c r="BY71" s="538"/>
      <c r="BZ71" s="592"/>
      <c r="CA71" s="633"/>
      <c r="CB71" s="592" t="s">
        <v>365</v>
      </c>
      <c r="CC71" s="592">
        <v>0.0</v>
      </c>
      <c r="CD71" s="592" t="s">
        <v>365</v>
      </c>
      <c r="CE71" s="592">
        <v>0.0</v>
      </c>
      <c r="CF71" s="592"/>
      <c r="CG71" s="592">
        <v>0.0</v>
      </c>
      <c r="CH71" s="592"/>
      <c r="CI71" s="633"/>
      <c r="CJ71" s="592">
        <v>0.0</v>
      </c>
      <c r="CK71" s="479" t="s">
        <v>365</v>
      </c>
      <c r="CL71" s="592"/>
      <c r="CM71" s="593"/>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c r="DS71" s="538"/>
      <c r="DT71" s="538"/>
      <c r="DU71" s="538"/>
      <c r="DV71" s="538"/>
      <c r="DW71" s="538"/>
      <c r="DX71" s="538"/>
      <c r="DY71" s="538"/>
      <c r="DZ71" s="538"/>
      <c r="EA71" s="538"/>
      <c r="EB71" s="538"/>
      <c r="EC71" s="538"/>
      <c r="ED71" s="538"/>
      <c r="EE71" s="538"/>
      <c r="EF71" s="538"/>
      <c r="EG71" s="538"/>
      <c r="EH71" s="538"/>
      <c r="EI71" s="538"/>
      <c r="EJ71" s="538"/>
      <c r="EK71" s="538"/>
      <c r="EL71" s="538"/>
      <c r="EM71" s="538"/>
      <c r="EN71" s="538"/>
      <c r="EO71" s="538"/>
      <c r="EP71" s="538"/>
      <c r="EQ71" s="538"/>
      <c r="ER71" s="538"/>
      <c r="ES71" s="538"/>
      <c r="ET71" s="538"/>
      <c r="EU71" s="538"/>
      <c r="EV71" s="538"/>
      <c r="EW71" s="538"/>
      <c r="EX71" s="559"/>
      <c r="EY71" s="559"/>
      <c r="EZ71" s="559"/>
      <c r="FA71" s="559"/>
      <c r="FB71" s="559"/>
      <c r="FC71" s="559"/>
      <c r="FD71" s="559"/>
      <c r="FE71" s="559"/>
      <c r="FF71" s="559"/>
      <c r="FG71" s="559"/>
      <c r="FH71" s="559"/>
      <c r="FI71" s="559"/>
      <c r="FJ71" s="559"/>
      <c r="FK71" s="559"/>
      <c r="FL71" s="559"/>
      <c r="FM71" s="559"/>
      <c r="FN71" s="559"/>
      <c r="FO71" s="559"/>
      <c r="FP71" s="559"/>
      <c r="FQ71" s="559"/>
      <c r="FR71" s="559"/>
      <c r="FS71" s="559"/>
      <c r="FT71" s="559"/>
      <c r="FU71" s="559"/>
      <c r="FV71" s="559"/>
      <c r="FW71" s="559"/>
      <c r="FX71" s="559"/>
      <c r="FY71" s="559"/>
      <c r="FZ71" s="559"/>
      <c r="GA71" s="559"/>
      <c r="GB71" s="559"/>
      <c r="GC71" s="559"/>
      <c r="GD71" s="559"/>
      <c r="GE71" s="559"/>
      <c r="GF71" s="559"/>
      <c r="GG71" s="559"/>
      <c r="GH71" s="559"/>
    </row>
    <row r="72">
      <c r="A72" s="538"/>
      <c r="B72" s="156"/>
      <c r="C72" s="444"/>
      <c r="D72" s="614"/>
      <c r="E72" s="606"/>
      <c r="F72" s="563"/>
      <c r="G72" s="563"/>
      <c r="H72" s="627"/>
      <c r="I72" s="622" t="s">
        <v>365</v>
      </c>
      <c r="J72" s="607"/>
      <c r="K72" s="567"/>
      <c r="L72" s="628"/>
      <c r="M72" s="626"/>
      <c r="N72" s="619"/>
      <c r="O72" s="623"/>
      <c r="P72" s="47"/>
      <c r="Q72" s="47"/>
      <c r="S72" s="572"/>
      <c r="U72" s="573"/>
      <c r="V72" s="574"/>
      <c r="W72" s="618"/>
      <c r="X72" s="576">
        <v>0.0</v>
      </c>
      <c r="Y72" s="630">
        <v>0.0</v>
      </c>
      <c r="Z72" s="630" t="s">
        <v>365</v>
      </c>
      <c r="AA72" s="631" t="b">
        <v>0</v>
      </c>
      <c r="AB72" s="631"/>
      <c r="AC72" s="576"/>
      <c r="AD72" s="479">
        <v>0.0</v>
      </c>
      <c r="AE72" s="632"/>
      <c r="AF72" s="582" t="s">
        <v>365</v>
      </c>
      <c r="AG72" s="583"/>
      <c r="AH72" s="584"/>
      <c r="AI72" s="583"/>
      <c r="AJ72" s="585"/>
      <c r="AK72" s="583"/>
      <c r="AL72" s="584"/>
      <c r="AM72" s="583"/>
      <c r="AN72" s="585"/>
      <c r="AO72" s="583"/>
      <c r="AP72" s="584"/>
      <c r="AQ72" s="583"/>
      <c r="AR72" s="585"/>
      <c r="AS72" s="583"/>
      <c r="AT72" s="584"/>
      <c r="AU72" s="583"/>
      <c r="AV72" s="585"/>
      <c r="AW72" s="583"/>
      <c r="AX72" s="584"/>
      <c r="AY72" s="583"/>
      <c r="AZ72" s="585"/>
      <c r="BA72" s="583"/>
      <c r="BB72" s="584"/>
      <c r="BC72" s="583"/>
      <c r="BD72" s="585"/>
      <c r="BE72" s="583"/>
      <c r="BF72" s="584"/>
      <c r="BG72" s="583"/>
      <c r="BH72" s="585"/>
      <c r="BI72" s="583"/>
      <c r="BJ72" s="584"/>
      <c r="BK72" s="583"/>
      <c r="BL72" s="585"/>
      <c r="BM72" s="583"/>
      <c r="BN72" s="584"/>
      <c r="BO72" s="583"/>
      <c r="BP72" s="585"/>
      <c r="BQ72" s="583"/>
      <c r="BR72" s="584"/>
      <c r="BS72" s="583"/>
      <c r="BT72" s="586"/>
      <c r="BU72" s="540"/>
      <c r="BV72" s="540"/>
      <c r="BW72" s="540"/>
      <c r="BX72" s="538"/>
      <c r="BY72" s="538"/>
      <c r="BZ72" s="592"/>
      <c r="CA72" s="633"/>
      <c r="CB72" s="592" t="s">
        <v>365</v>
      </c>
      <c r="CC72" s="592">
        <v>0.0</v>
      </c>
      <c r="CD72" s="592" t="s">
        <v>365</v>
      </c>
      <c r="CE72" s="592">
        <v>0.0</v>
      </c>
      <c r="CF72" s="592"/>
      <c r="CG72" s="592">
        <v>0.0</v>
      </c>
      <c r="CH72" s="592"/>
      <c r="CI72" s="633"/>
      <c r="CJ72" s="592">
        <v>0.0</v>
      </c>
      <c r="CK72" s="479" t="s">
        <v>365</v>
      </c>
      <c r="CL72" s="592"/>
      <c r="CM72" s="593"/>
      <c r="CN72" s="538"/>
      <c r="CO72" s="538"/>
      <c r="CP72" s="538"/>
      <c r="CQ72" s="538"/>
      <c r="CR72" s="538"/>
      <c r="CS72" s="538"/>
      <c r="CT72" s="538"/>
      <c r="CU72" s="538"/>
      <c r="CV72" s="538"/>
      <c r="CW72" s="538"/>
      <c r="CX72" s="538"/>
      <c r="CY72" s="538"/>
      <c r="CZ72" s="538"/>
      <c r="DA72" s="538"/>
      <c r="DB72" s="538"/>
      <c r="DC72" s="538"/>
      <c r="DD72" s="538"/>
      <c r="DE72" s="538"/>
      <c r="DF72" s="538"/>
      <c r="DG72" s="538"/>
      <c r="DH72" s="538"/>
      <c r="DI72" s="538"/>
      <c r="DJ72" s="538"/>
      <c r="DK72" s="538"/>
      <c r="DL72" s="538"/>
      <c r="DM72" s="538"/>
      <c r="DN72" s="538"/>
      <c r="DO72" s="538"/>
      <c r="DP72" s="538"/>
      <c r="DQ72" s="538"/>
      <c r="DR72" s="538"/>
      <c r="DS72" s="538"/>
      <c r="DT72" s="538"/>
      <c r="DU72" s="538"/>
      <c r="DV72" s="538"/>
      <c r="DW72" s="538"/>
      <c r="DX72" s="538"/>
      <c r="DY72" s="538"/>
      <c r="DZ72" s="538"/>
      <c r="EA72" s="538"/>
      <c r="EB72" s="538"/>
      <c r="EC72" s="538"/>
      <c r="ED72" s="538"/>
      <c r="EE72" s="538"/>
      <c r="EF72" s="538"/>
      <c r="EG72" s="538"/>
      <c r="EH72" s="538"/>
      <c r="EI72" s="538"/>
      <c r="EJ72" s="538"/>
      <c r="EK72" s="538"/>
      <c r="EL72" s="538"/>
      <c r="EM72" s="538"/>
      <c r="EN72" s="538"/>
      <c r="EO72" s="538"/>
      <c r="EP72" s="538"/>
      <c r="EQ72" s="538"/>
      <c r="ER72" s="538"/>
      <c r="ES72" s="538"/>
      <c r="ET72" s="538"/>
      <c r="EU72" s="538"/>
      <c r="EV72" s="538"/>
      <c r="EW72" s="538"/>
      <c r="EX72" s="559"/>
      <c r="EY72" s="559"/>
      <c r="EZ72" s="559"/>
      <c r="FA72" s="559"/>
      <c r="FB72" s="559"/>
      <c r="FC72" s="559"/>
      <c r="FD72" s="559"/>
      <c r="FE72" s="559"/>
      <c r="FF72" s="559"/>
      <c r="FG72" s="559"/>
      <c r="FH72" s="559"/>
      <c r="FI72" s="559"/>
      <c r="FJ72" s="559"/>
      <c r="FK72" s="559"/>
      <c r="FL72" s="559"/>
      <c r="FM72" s="559"/>
      <c r="FN72" s="559"/>
      <c r="FO72" s="559"/>
      <c r="FP72" s="559"/>
      <c r="FQ72" s="559"/>
      <c r="FR72" s="559"/>
      <c r="FS72" s="559"/>
      <c r="FT72" s="559"/>
      <c r="FU72" s="559"/>
      <c r="FV72" s="559"/>
      <c r="FW72" s="559"/>
      <c r="FX72" s="559"/>
      <c r="FY72" s="559"/>
      <c r="FZ72" s="559"/>
      <c r="GA72" s="559"/>
      <c r="GB72" s="559"/>
      <c r="GC72" s="559"/>
      <c r="GD72" s="559"/>
      <c r="GE72" s="559"/>
      <c r="GF72" s="559"/>
      <c r="GG72" s="559"/>
      <c r="GH72" s="559"/>
    </row>
    <row r="73">
      <c r="A73" s="538"/>
      <c r="B73" s="156"/>
      <c r="C73" s="444"/>
      <c r="D73" s="614"/>
      <c r="E73" s="595"/>
      <c r="F73" s="596"/>
      <c r="G73" s="596"/>
      <c r="H73" s="615"/>
      <c r="I73" s="616" t="s">
        <v>365</v>
      </c>
      <c r="J73" s="624"/>
      <c r="K73" s="600"/>
      <c r="L73" s="640"/>
      <c r="M73" s="625"/>
      <c r="N73" s="617"/>
      <c r="O73" s="621"/>
      <c r="P73" s="57"/>
      <c r="Q73" s="57"/>
      <c r="S73" s="605"/>
      <c r="U73" s="573"/>
      <c r="V73" s="574"/>
      <c r="W73" s="618"/>
      <c r="X73" s="576">
        <v>0.0</v>
      </c>
      <c r="Y73" s="630">
        <v>0.0</v>
      </c>
      <c r="Z73" s="630" t="s">
        <v>365</v>
      </c>
      <c r="AA73" s="631" t="b">
        <v>0</v>
      </c>
      <c r="AB73" s="631"/>
      <c r="AC73" s="576"/>
      <c r="AD73" s="479">
        <v>0.0</v>
      </c>
      <c r="AE73" s="632"/>
      <c r="AF73" s="582" t="s">
        <v>365</v>
      </c>
      <c r="AG73" s="583"/>
      <c r="AH73" s="584"/>
      <c r="AI73" s="583"/>
      <c r="AJ73" s="585"/>
      <c r="AK73" s="583"/>
      <c r="AL73" s="584"/>
      <c r="AM73" s="583"/>
      <c r="AN73" s="585"/>
      <c r="AO73" s="583"/>
      <c r="AP73" s="584"/>
      <c r="AQ73" s="583"/>
      <c r="AR73" s="585"/>
      <c r="AS73" s="583"/>
      <c r="AT73" s="584"/>
      <c r="AU73" s="583"/>
      <c r="AV73" s="585"/>
      <c r="AW73" s="583"/>
      <c r="AX73" s="584"/>
      <c r="AY73" s="583"/>
      <c r="AZ73" s="585"/>
      <c r="BA73" s="583"/>
      <c r="BB73" s="584"/>
      <c r="BC73" s="583"/>
      <c r="BD73" s="585"/>
      <c r="BE73" s="583"/>
      <c r="BF73" s="584"/>
      <c r="BG73" s="583"/>
      <c r="BH73" s="585"/>
      <c r="BI73" s="583"/>
      <c r="BJ73" s="584"/>
      <c r="BK73" s="583"/>
      <c r="BL73" s="585"/>
      <c r="BM73" s="583"/>
      <c r="BN73" s="584"/>
      <c r="BO73" s="583"/>
      <c r="BP73" s="585"/>
      <c r="BQ73" s="583"/>
      <c r="BR73" s="584"/>
      <c r="BS73" s="583"/>
      <c r="BT73" s="586"/>
      <c r="BU73" s="540"/>
      <c r="BV73" s="540"/>
      <c r="BW73" s="540"/>
      <c r="BX73" s="538"/>
      <c r="BY73" s="538"/>
      <c r="BZ73" s="592"/>
      <c r="CA73" s="633"/>
      <c r="CB73" s="592" t="s">
        <v>365</v>
      </c>
      <c r="CC73" s="592">
        <v>0.0</v>
      </c>
      <c r="CD73" s="592" t="s">
        <v>365</v>
      </c>
      <c r="CE73" s="592">
        <v>0.0</v>
      </c>
      <c r="CF73" s="592"/>
      <c r="CG73" s="592">
        <v>0.0</v>
      </c>
      <c r="CH73" s="592"/>
      <c r="CI73" s="633"/>
      <c r="CJ73" s="592">
        <v>0.0</v>
      </c>
      <c r="CK73" s="479" t="s">
        <v>365</v>
      </c>
      <c r="CL73" s="592"/>
      <c r="CM73" s="593"/>
      <c r="CN73" s="538"/>
      <c r="CO73" s="538"/>
      <c r="CP73" s="538"/>
      <c r="CQ73" s="538"/>
      <c r="CR73" s="538"/>
      <c r="CS73" s="538"/>
      <c r="CT73" s="538"/>
      <c r="CU73" s="538"/>
      <c r="CV73" s="538"/>
      <c r="CW73" s="538"/>
      <c r="CX73" s="538"/>
      <c r="CY73" s="538"/>
      <c r="CZ73" s="538"/>
      <c r="DA73" s="538"/>
      <c r="DB73" s="538"/>
      <c r="DC73" s="538"/>
      <c r="DD73" s="538"/>
      <c r="DE73" s="538"/>
      <c r="DF73" s="538"/>
      <c r="DG73" s="538"/>
      <c r="DH73" s="538"/>
      <c r="DI73" s="538"/>
      <c r="DJ73" s="538"/>
      <c r="DK73" s="538"/>
      <c r="DL73" s="538"/>
      <c r="DM73" s="538"/>
      <c r="DN73" s="538"/>
      <c r="DO73" s="538"/>
      <c r="DP73" s="538"/>
      <c r="DQ73" s="538"/>
      <c r="DR73" s="538"/>
      <c r="DS73" s="538"/>
      <c r="DT73" s="538"/>
      <c r="DU73" s="538"/>
      <c r="DV73" s="538"/>
      <c r="DW73" s="538"/>
      <c r="DX73" s="538"/>
      <c r="DY73" s="538"/>
      <c r="DZ73" s="538"/>
      <c r="EA73" s="538"/>
      <c r="EB73" s="538"/>
      <c r="EC73" s="538"/>
      <c r="ED73" s="538"/>
      <c r="EE73" s="538"/>
      <c r="EF73" s="538"/>
      <c r="EG73" s="538"/>
      <c r="EH73" s="538"/>
      <c r="EI73" s="538"/>
      <c r="EJ73" s="538"/>
      <c r="EK73" s="538"/>
      <c r="EL73" s="538"/>
      <c r="EM73" s="538"/>
      <c r="EN73" s="538"/>
      <c r="EO73" s="538"/>
      <c r="EP73" s="538"/>
      <c r="EQ73" s="538"/>
      <c r="ER73" s="538"/>
      <c r="ES73" s="538"/>
      <c r="ET73" s="538"/>
      <c r="EU73" s="538"/>
      <c r="EV73" s="538"/>
      <c r="EW73" s="538"/>
      <c r="EX73" s="559"/>
      <c r="EY73" s="559"/>
      <c r="EZ73" s="559"/>
      <c r="FA73" s="559"/>
      <c r="FB73" s="559"/>
      <c r="FC73" s="559"/>
      <c r="FD73" s="559"/>
      <c r="FE73" s="559"/>
      <c r="FF73" s="559"/>
      <c r="FG73" s="559"/>
      <c r="FH73" s="559"/>
      <c r="FI73" s="559"/>
      <c r="FJ73" s="559"/>
      <c r="FK73" s="559"/>
      <c r="FL73" s="559"/>
      <c r="FM73" s="559"/>
      <c r="FN73" s="559"/>
      <c r="FO73" s="559"/>
      <c r="FP73" s="559"/>
      <c r="FQ73" s="559"/>
      <c r="FR73" s="559"/>
      <c r="FS73" s="559"/>
      <c r="FT73" s="559"/>
      <c r="FU73" s="559"/>
      <c r="FV73" s="559"/>
      <c r="FW73" s="559"/>
      <c r="FX73" s="559"/>
      <c r="FY73" s="559"/>
      <c r="FZ73" s="559"/>
      <c r="GA73" s="559"/>
      <c r="GB73" s="559"/>
      <c r="GC73" s="559"/>
      <c r="GD73" s="559"/>
      <c r="GE73" s="559"/>
      <c r="GF73" s="559"/>
      <c r="GG73" s="559"/>
      <c r="GH73" s="559"/>
    </row>
    <row r="74">
      <c r="A74" s="538"/>
      <c r="B74" s="156"/>
      <c r="C74" s="444"/>
      <c r="D74" s="614"/>
      <c r="E74" s="606"/>
      <c r="F74" s="563"/>
      <c r="G74" s="563"/>
      <c r="H74" s="627"/>
      <c r="I74" s="622" t="s">
        <v>365</v>
      </c>
      <c r="J74" s="607"/>
      <c r="K74" s="567"/>
      <c r="L74" s="628"/>
      <c r="M74" s="626"/>
      <c r="N74" s="619"/>
      <c r="O74" s="623"/>
      <c r="P74" s="47"/>
      <c r="Q74" s="47"/>
      <c r="S74" s="572"/>
      <c r="U74" s="573"/>
      <c r="V74" s="574"/>
      <c r="W74" s="618"/>
      <c r="X74" s="576">
        <v>0.0</v>
      </c>
      <c r="Y74" s="630">
        <v>0.0</v>
      </c>
      <c r="Z74" s="630" t="s">
        <v>365</v>
      </c>
      <c r="AA74" s="631" t="b">
        <v>0</v>
      </c>
      <c r="AB74" s="631"/>
      <c r="AC74" s="576"/>
      <c r="AD74" s="479">
        <v>0.0</v>
      </c>
      <c r="AE74" s="632"/>
      <c r="AF74" s="582" t="s">
        <v>365</v>
      </c>
      <c r="AG74" s="583"/>
      <c r="AH74" s="584"/>
      <c r="AI74" s="583"/>
      <c r="AJ74" s="585"/>
      <c r="AK74" s="583"/>
      <c r="AL74" s="584"/>
      <c r="AM74" s="583"/>
      <c r="AN74" s="585"/>
      <c r="AO74" s="583"/>
      <c r="AP74" s="584"/>
      <c r="AQ74" s="583"/>
      <c r="AR74" s="585"/>
      <c r="AS74" s="583"/>
      <c r="AT74" s="584"/>
      <c r="AU74" s="583"/>
      <c r="AV74" s="585"/>
      <c r="AW74" s="583"/>
      <c r="AX74" s="584"/>
      <c r="AY74" s="583"/>
      <c r="AZ74" s="585"/>
      <c r="BA74" s="583"/>
      <c r="BB74" s="584"/>
      <c r="BC74" s="583"/>
      <c r="BD74" s="585"/>
      <c r="BE74" s="583"/>
      <c r="BF74" s="584"/>
      <c r="BG74" s="583"/>
      <c r="BH74" s="585"/>
      <c r="BI74" s="583"/>
      <c r="BJ74" s="584"/>
      <c r="BK74" s="583"/>
      <c r="BL74" s="585"/>
      <c r="BM74" s="583"/>
      <c r="BN74" s="584"/>
      <c r="BO74" s="583"/>
      <c r="BP74" s="585"/>
      <c r="BQ74" s="583"/>
      <c r="BR74" s="584"/>
      <c r="BS74" s="583"/>
      <c r="BT74" s="586"/>
      <c r="BU74" s="540"/>
      <c r="BV74" s="540"/>
      <c r="BW74" s="540"/>
      <c r="BX74" s="538"/>
      <c r="BY74" s="538"/>
      <c r="BZ74" s="592"/>
      <c r="CA74" s="633"/>
      <c r="CB74" s="592" t="s">
        <v>365</v>
      </c>
      <c r="CC74" s="592">
        <v>0.0</v>
      </c>
      <c r="CD74" s="592" t="s">
        <v>365</v>
      </c>
      <c r="CE74" s="592">
        <v>0.0</v>
      </c>
      <c r="CF74" s="592"/>
      <c r="CG74" s="592">
        <v>0.0</v>
      </c>
      <c r="CH74" s="592"/>
      <c r="CI74" s="633"/>
      <c r="CJ74" s="592">
        <v>0.0</v>
      </c>
      <c r="CK74" s="479" t="s">
        <v>365</v>
      </c>
      <c r="CL74" s="592"/>
      <c r="CM74" s="593"/>
      <c r="CN74" s="538"/>
      <c r="CO74" s="538"/>
      <c r="CP74" s="538"/>
      <c r="CQ74" s="538"/>
      <c r="CR74" s="538"/>
      <c r="CS74" s="538"/>
      <c r="CT74" s="538"/>
      <c r="CU74" s="538"/>
      <c r="CV74" s="538"/>
      <c r="CW74" s="538"/>
      <c r="CX74" s="538"/>
      <c r="CY74" s="538"/>
      <c r="CZ74" s="538"/>
      <c r="DA74" s="538"/>
      <c r="DB74" s="538"/>
      <c r="DC74" s="538"/>
      <c r="DD74" s="538"/>
      <c r="DE74" s="538"/>
      <c r="DF74" s="538"/>
      <c r="DG74" s="538"/>
      <c r="DH74" s="538"/>
      <c r="DI74" s="538"/>
      <c r="DJ74" s="538"/>
      <c r="DK74" s="538"/>
      <c r="DL74" s="538"/>
      <c r="DM74" s="538"/>
      <c r="DN74" s="538"/>
      <c r="DO74" s="538"/>
      <c r="DP74" s="538"/>
      <c r="DQ74" s="538"/>
      <c r="DR74" s="538"/>
      <c r="DS74" s="538"/>
      <c r="DT74" s="538"/>
      <c r="DU74" s="538"/>
      <c r="DV74" s="538"/>
      <c r="DW74" s="538"/>
      <c r="DX74" s="538"/>
      <c r="DY74" s="538"/>
      <c r="DZ74" s="538"/>
      <c r="EA74" s="538"/>
      <c r="EB74" s="538"/>
      <c r="EC74" s="538"/>
      <c r="ED74" s="538"/>
      <c r="EE74" s="538"/>
      <c r="EF74" s="538"/>
      <c r="EG74" s="538"/>
      <c r="EH74" s="538"/>
      <c r="EI74" s="538"/>
      <c r="EJ74" s="538"/>
      <c r="EK74" s="538"/>
      <c r="EL74" s="538"/>
      <c r="EM74" s="538"/>
      <c r="EN74" s="538"/>
      <c r="EO74" s="538"/>
      <c r="EP74" s="538"/>
      <c r="EQ74" s="538"/>
      <c r="ER74" s="538"/>
      <c r="ES74" s="538"/>
      <c r="ET74" s="538"/>
      <c r="EU74" s="538"/>
      <c r="EV74" s="538"/>
      <c r="EW74" s="538"/>
      <c r="EX74" s="559"/>
      <c r="EY74" s="559"/>
      <c r="EZ74" s="559"/>
      <c r="FA74" s="559"/>
      <c r="FB74" s="559"/>
      <c r="FC74" s="559"/>
      <c r="FD74" s="559"/>
      <c r="FE74" s="559"/>
      <c r="FF74" s="559"/>
      <c r="FG74" s="559"/>
      <c r="FH74" s="559"/>
      <c r="FI74" s="559"/>
      <c r="FJ74" s="559"/>
      <c r="FK74" s="559"/>
      <c r="FL74" s="559"/>
      <c r="FM74" s="559"/>
      <c r="FN74" s="559"/>
      <c r="FO74" s="559"/>
      <c r="FP74" s="559"/>
      <c r="FQ74" s="559"/>
      <c r="FR74" s="559"/>
      <c r="FS74" s="559"/>
      <c r="FT74" s="559"/>
      <c r="FU74" s="559"/>
      <c r="FV74" s="559"/>
      <c r="FW74" s="559"/>
      <c r="FX74" s="559"/>
      <c r="FY74" s="559"/>
      <c r="FZ74" s="559"/>
      <c r="GA74" s="559"/>
      <c r="GB74" s="559"/>
      <c r="GC74" s="559"/>
      <c r="GD74" s="559"/>
      <c r="GE74" s="559"/>
      <c r="GF74" s="559"/>
      <c r="GG74" s="559"/>
      <c r="GH74" s="559"/>
    </row>
    <row r="75">
      <c r="A75" s="538"/>
      <c r="B75" s="156"/>
      <c r="C75" s="444"/>
      <c r="D75" s="614"/>
      <c r="E75" s="595"/>
      <c r="F75" s="596"/>
      <c r="G75" s="596"/>
      <c r="H75" s="597"/>
      <c r="I75" s="616" t="s">
        <v>365</v>
      </c>
      <c r="J75" s="624"/>
      <c r="K75" s="600"/>
      <c r="L75" s="601"/>
      <c r="M75" s="625"/>
      <c r="N75" s="617"/>
      <c r="O75" s="621"/>
      <c r="P75" s="57"/>
      <c r="Q75" s="57"/>
      <c r="S75" s="605"/>
      <c r="U75" s="573"/>
      <c r="V75" s="574"/>
      <c r="W75" s="618"/>
      <c r="X75" s="576">
        <v>0.0</v>
      </c>
      <c r="Y75" s="630">
        <v>0.0</v>
      </c>
      <c r="Z75" s="630" t="s">
        <v>365</v>
      </c>
      <c r="AA75" s="631" t="b">
        <v>0</v>
      </c>
      <c r="AB75" s="631"/>
      <c r="AC75" s="576"/>
      <c r="AD75" s="479">
        <v>0.0</v>
      </c>
      <c r="AE75" s="632"/>
      <c r="AF75" s="582" t="s">
        <v>365</v>
      </c>
      <c r="AG75" s="583"/>
      <c r="AH75" s="584"/>
      <c r="AI75" s="583"/>
      <c r="AJ75" s="585"/>
      <c r="AK75" s="583"/>
      <c r="AL75" s="584"/>
      <c r="AM75" s="583"/>
      <c r="AN75" s="585"/>
      <c r="AO75" s="583"/>
      <c r="AP75" s="584"/>
      <c r="AQ75" s="583"/>
      <c r="AR75" s="585"/>
      <c r="AS75" s="583"/>
      <c r="AT75" s="584"/>
      <c r="AU75" s="583"/>
      <c r="AV75" s="585"/>
      <c r="AW75" s="583"/>
      <c r="AX75" s="584"/>
      <c r="AY75" s="583"/>
      <c r="AZ75" s="585"/>
      <c r="BA75" s="583"/>
      <c r="BB75" s="584"/>
      <c r="BC75" s="583"/>
      <c r="BD75" s="585"/>
      <c r="BE75" s="583"/>
      <c r="BF75" s="584"/>
      <c r="BG75" s="583"/>
      <c r="BH75" s="585"/>
      <c r="BI75" s="583"/>
      <c r="BJ75" s="584"/>
      <c r="BK75" s="583"/>
      <c r="BL75" s="585"/>
      <c r="BM75" s="583"/>
      <c r="BN75" s="584"/>
      <c r="BO75" s="583"/>
      <c r="BP75" s="585"/>
      <c r="BQ75" s="583"/>
      <c r="BR75" s="584"/>
      <c r="BS75" s="583"/>
      <c r="BT75" s="586"/>
      <c r="BU75" s="540"/>
      <c r="BV75" s="540"/>
      <c r="BW75" s="540"/>
      <c r="BX75" s="538"/>
      <c r="BY75" s="538"/>
      <c r="BZ75" s="592"/>
      <c r="CA75" s="633"/>
      <c r="CB75" s="592" t="s">
        <v>365</v>
      </c>
      <c r="CC75" s="592">
        <v>0.0</v>
      </c>
      <c r="CD75" s="592" t="s">
        <v>365</v>
      </c>
      <c r="CE75" s="592">
        <v>0.0</v>
      </c>
      <c r="CF75" s="592"/>
      <c r="CG75" s="592">
        <v>0.0</v>
      </c>
      <c r="CH75" s="592"/>
      <c r="CI75" s="633"/>
      <c r="CJ75" s="592">
        <v>0.0</v>
      </c>
      <c r="CK75" s="479" t="s">
        <v>365</v>
      </c>
      <c r="CL75" s="592"/>
      <c r="CM75" s="593"/>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c r="DS75" s="538"/>
      <c r="DT75" s="538"/>
      <c r="DU75" s="538"/>
      <c r="DV75" s="538"/>
      <c r="DW75" s="538"/>
      <c r="DX75" s="538"/>
      <c r="DY75" s="538"/>
      <c r="DZ75" s="538"/>
      <c r="EA75" s="538"/>
      <c r="EB75" s="538"/>
      <c r="EC75" s="538"/>
      <c r="ED75" s="538"/>
      <c r="EE75" s="538"/>
      <c r="EF75" s="538"/>
      <c r="EG75" s="538"/>
      <c r="EH75" s="538"/>
      <c r="EI75" s="538"/>
      <c r="EJ75" s="538"/>
      <c r="EK75" s="538"/>
      <c r="EL75" s="538"/>
      <c r="EM75" s="538"/>
      <c r="EN75" s="538"/>
      <c r="EO75" s="538"/>
      <c r="EP75" s="538"/>
      <c r="EQ75" s="538"/>
      <c r="ER75" s="538"/>
      <c r="ES75" s="538"/>
      <c r="ET75" s="538"/>
      <c r="EU75" s="538"/>
      <c r="EV75" s="538"/>
      <c r="EW75" s="538"/>
      <c r="EX75" s="559"/>
      <c r="EY75" s="559"/>
      <c r="EZ75" s="559"/>
      <c r="FA75" s="559"/>
      <c r="FB75" s="559"/>
      <c r="FC75" s="559"/>
      <c r="FD75" s="559"/>
      <c r="FE75" s="559"/>
      <c r="FF75" s="559"/>
      <c r="FG75" s="559"/>
      <c r="FH75" s="559"/>
      <c r="FI75" s="559"/>
      <c r="FJ75" s="559"/>
      <c r="FK75" s="559"/>
      <c r="FL75" s="559"/>
      <c r="FM75" s="559"/>
      <c r="FN75" s="559"/>
      <c r="FO75" s="559"/>
      <c r="FP75" s="559"/>
      <c r="FQ75" s="559"/>
      <c r="FR75" s="559"/>
      <c r="FS75" s="559"/>
      <c r="FT75" s="559"/>
      <c r="FU75" s="559"/>
      <c r="FV75" s="559"/>
      <c r="FW75" s="559"/>
      <c r="FX75" s="559"/>
      <c r="FY75" s="559"/>
      <c r="FZ75" s="559"/>
      <c r="GA75" s="559"/>
      <c r="GB75" s="559"/>
      <c r="GC75" s="559"/>
      <c r="GD75" s="559"/>
      <c r="GE75" s="559"/>
      <c r="GF75" s="559"/>
      <c r="GG75" s="559"/>
      <c r="GH75" s="559"/>
    </row>
    <row r="76">
      <c r="A76" s="538"/>
      <c r="B76" s="156"/>
      <c r="C76" s="444"/>
      <c r="D76" s="614"/>
      <c r="E76" s="606"/>
      <c r="F76" s="563"/>
      <c r="G76" s="563"/>
      <c r="H76" s="564"/>
      <c r="I76" s="622" t="s">
        <v>365</v>
      </c>
      <c r="J76" s="607"/>
      <c r="K76" s="641"/>
      <c r="L76" s="628"/>
      <c r="M76" s="626"/>
      <c r="N76" s="619"/>
      <c r="O76" s="623"/>
      <c r="P76" s="47"/>
      <c r="Q76" s="47"/>
      <c r="S76" s="572"/>
      <c r="U76" s="573"/>
      <c r="V76" s="574"/>
      <c r="W76" s="618"/>
      <c r="X76" s="576">
        <v>0.0</v>
      </c>
      <c r="Y76" s="630">
        <v>0.0</v>
      </c>
      <c r="Z76" s="630" t="s">
        <v>365</v>
      </c>
      <c r="AA76" s="631" t="b">
        <v>0</v>
      </c>
      <c r="AB76" s="631"/>
      <c r="AC76" s="576"/>
      <c r="AD76" s="479">
        <v>0.0</v>
      </c>
      <c r="AE76" s="632"/>
      <c r="AF76" s="582" t="s">
        <v>365</v>
      </c>
      <c r="AG76" s="583"/>
      <c r="AH76" s="584"/>
      <c r="AI76" s="583"/>
      <c r="AJ76" s="585"/>
      <c r="AK76" s="583"/>
      <c r="AL76" s="584"/>
      <c r="AM76" s="583"/>
      <c r="AN76" s="585"/>
      <c r="AO76" s="583"/>
      <c r="AP76" s="584"/>
      <c r="AQ76" s="583"/>
      <c r="AR76" s="585"/>
      <c r="AS76" s="583"/>
      <c r="AT76" s="584"/>
      <c r="AU76" s="583"/>
      <c r="AV76" s="585"/>
      <c r="AW76" s="583"/>
      <c r="AX76" s="584"/>
      <c r="AY76" s="583"/>
      <c r="AZ76" s="585"/>
      <c r="BA76" s="583"/>
      <c r="BB76" s="584"/>
      <c r="BC76" s="583"/>
      <c r="BD76" s="585"/>
      <c r="BE76" s="583"/>
      <c r="BF76" s="584"/>
      <c r="BG76" s="583"/>
      <c r="BH76" s="585"/>
      <c r="BI76" s="583"/>
      <c r="BJ76" s="584"/>
      <c r="BK76" s="583"/>
      <c r="BL76" s="585"/>
      <c r="BM76" s="583"/>
      <c r="BN76" s="584"/>
      <c r="BO76" s="583"/>
      <c r="BP76" s="585"/>
      <c r="BQ76" s="583"/>
      <c r="BR76" s="584"/>
      <c r="BS76" s="583"/>
      <c r="BT76" s="586"/>
      <c r="BU76" s="540"/>
      <c r="BV76" s="540"/>
      <c r="BW76" s="540"/>
      <c r="BX76" s="538"/>
      <c r="BY76" s="538"/>
      <c r="BZ76" s="592"/>
      <c r="CA76" s="633"/>
      <c r="CB76" s="592" t="s">
        <v>365</v>
      </c>
      <c r="CC76" s="592">
        <v>0.0</v>
      </c>
      <c r="CD76" s="592" t="s">
        <v>365</v>
      </c>
      <c r="CE76" s="592">
        <v>0.0</v>
      </c>
      <c r="CF76" s="592"/>
      <c r="CG76" s="592">
        <v>0.0</v>
      </c>
      <c r="CH76" s="592"/>
      <c r="CI76" s="633"/>
      <c r="CJ76" s="592">
        <v>0.0</v>
      </c>
      <c r="CK76" s="479" t="s">
        <v>365</v>
      </c>
      <c r="CL76" s="592"/>
      <c r="CM76" s="593"/>
      <c r="CN76" s="538"/>
      <c r="CO76" s="538"/>
      <c r="CP76" s="538"/>
      <c r="CQ76" s="538"/>
      <c r="CR76" s="538"/>
      <c r="CS76" s="538"/>
      <c r="CT76" s="538"/>
      <c r="CU76" s="538"/>
      <c r="CV76" s="538"/>
      <c r="CW76" s="538"/>
      <c r="CX76" s="538"/>
      <c r="CY76" s="538"/>
      <c r="CZ76" s="538"/>
      <c r="DA76" s="538"/>
      <c r="DB76" s="538"/>
      <c r="DC76" s="538"/>
      <c r="DD76" s="538"/>
      <c r="DE76" s="538"/>
      <c r="DF76" s="538"/>
      <c r="DG76" s="538"/>
      <c r="DH76" s="538"/>
      <c r="DI76" s="538"/>
      <c r="DJ76" s="538"/>
      <c r="DK76" s="538"/>
      <c r="DL76" s="538"/>
      <c r="DM76" s="538"/>
      <c r="DN76" s="538"/>
      <c r="DO76" s="538"/>
      <c r="DP76" s="538"/>
      <c r="DQ76" s="538"/>
      <c r="DR76" s="538"/>
      <c r="DS76" s="538"/>
      <c r="DT76" s="538"/>
      <c r="DU76" s="538"/>
      <c r="DV76" s="538"/>
      <c r="DW76" s="538"/>
      <c r="DX76" s="538"/>
      <c r="DY76" s="538"/>
      <c r="DZ76" s="538"/>
      <c r="EA76" s="538"/>
      <c r="EB76" s="538"/>
      <c r="EC76" s="538"/>
      <c r="ED76" s="538"/>
      <c r="EE76" s="538"/>
      <c r="EF76" s="538"/>
      <c r="EG76" s="538"/>
      <c r="EH76" s="538"/>
      <c r="EI76" s="538"/>
      <c r="EJ76" s="538"/>
      <c r="EK76" s="538"/>
      <c r="EL76" s="538"/>
      <c r="EM76" s="538"/>
      <c r="EN76" s="538"/>
      <c r="EO76" s="538"/>
      <c r="EP76" s="538"/>
      <c r="EQ76" s="538"/>
      <c r="ER76" s="538"/>
      <c r="ES76" s="538"/>
      <c r="ET76" s="538"/>
      <c r="EU76" s="538"/>
      <c r="EV76" s="538"/>
      <c r="EW76" s="538"/>
      <c r="EX76" s="559"/>
      <c r="EY76" s="559"/>
      <c r="EZ76" s="559"/>
      <c r="FA76" s="559"/>
      <c r="FB76" s="559"/>
      <c r="FC76" s="559"/>
      <c r="FD76" s="559"/>
      <c r="FE76" s="559"/>
      <c r="FF76" s="559"/>
      <c r="FG76" s="559"/>
      <c r="FH76" s="559"/>
      <c r="FI76" s="559"/>
      <c r="FJ76" s="559"/>
      <c r="FK76" s="559"/>
      <c r="FL76" s="559"/>
      <c r="FM76" s="559"/>
      <c r="FN76" s="559"/>
      <c r="FO76" s="559"/>
      <c r="FP76" s="559"/>
      <c r="FQ76" s="559"/>
      <c r="FR76" s="559"/>
      <c r="FS76" s="559"/>
      <c r="FT76" s="559"/>
      <c r="FU76" s="559"/>
      <c r="FV76" s="559"/>
      <c r="FW76" s="559"/>
      <c r="FX76" s="559"/>
      <c r="FY76" s="559"/>
      <c r="FZ76" s="559"/>
      <c r="GA76" s="559"/>
      <c r="GB76" s="559"/>
      <c r="GC76" s="559"/>
      <c r="GD76" s="559"/>
      <c r="GE76" s="559"/>
      <c r="GF76" s="559"/>
      <c r="GG76" s="559"/>
      <c r="GH76" s="559"/>
    </row>
    <row r="77">
      <c r="A77" s="538"/>
      <c r="B77" s="156"/>
      <c r="C77" s="444"/>
      <c r="D77" s="614"/>
      <c r="E77" s="595"/>
      <c r="F77" s="596"/>
      <c r="G77" s="596"/>
      <c r="H77" s="615"/>
      <c r="I77" s="616" t="s">
        <v>365</v>
      </c>
      <c r="J77" s="624"/>
      <c r="K77" s="600"/>
      <c r="L77" s="601"/>
      <c r="M77" s="625"/>
      <c r="N77" s="617"/>
      <c r="O77" s="621"/>
      <c r="P77" s="57"/>
      <c r="Q77" s="57"/>
      <c r="S77" s="605"/>
      <c r="U77" s="573"/>
      <c r="V77" s="574"/>
      <c r="W77" s="618"/>
      <c r="X77" s="576">
        <v>0.0</v>
      </c>
      <c r="Y77" s="630">
        <v>0.0</v>
      </c>
      <c r="Z77" s="630" t="s">
        <v>365</v>
      </c>
      <c r="AA77" s="631" t="b">
        <v>0</v>
      </c>
      <c r="AB77" s="631"/>
      <c r="AC77" s="576"/>
      <c r="AD77" s="479">
        <v>0.0</v>
      </c>
      <c r="AE77" s="632"/>
      <c r="AF77" s="582" t="s">
        <v>365</v>
      </c>
      <c r="AG77" s="583"/>
      <c r="AH77" s="584"/>
      <c r="AI77" s="583"/>
      <c r="AJ77" s="585"/>
      <c r="AK77" s="583"/>
      <c r="AL77" s="584"/>
      <c r="AM77" s="583"/>
      <c r="AN77" s="585"/>
      <c r="AO77" s="583"/>
      <c r="AP77" s="584"/>
      <c r="AQ77" s="583"/>
      <c r="AR77" s="585"/>
      <c r="AS77" s="583"/>
      <c r="AT77" s="584"/>
      <c r="AU77" s="583"/>
      <c r="AV77" s="585"/>
      <c r="AW77" s="583"/>
      <c r="AX77" s="584"/>
      <c r="AY77" s="583"/>
      <c r="AZ77" s="585"/>
      <c r="BA77" s="583"/>
      <c r="BB77" s="584"/>
      <c r="BC77" s="583"/>
      <c r="BD77" s="585"/>
      <c r="BE77" s="583"/>
      <c r="BF77" s="584"/>
      <c r="BG77" s="583"/>
      <c r="BH77" s="585"/>
      <c r="BI77" s="583"/>
      <c r="BJ77" s="584"/>
      <c r="BK77" s="583"/>
      <c r="BL77" s="585"/>
      <c r="BM77" s="583"/>
      <c r="BN77" s="584"/>
      <c r="BO77" s="583"/>
      <c r="BP77" s="585"/>
      <c r="BQ77" s="583"/>
      <c r="BR77" s="584"/>
      <c r="BS77" s="583"/>
      <c r="BT77" s="586"/>
      <c r="BU77" s="540"/>
      <c r="BV77" s="540"/>
      <c r="BW77" s="540"/>
      <c r="BX77" s="538"/>
      <c r="BY77" s="538"/>
      <c r="BZ77" s="592"/>
      <c r="CA77" s="633"/>
      <c r="CB77" s="592" t="s">
        <v>365</v>
      </c>
      <c r="CC77" s="592">
        <v>0.0</v>
      </c>
      <c r="CD77" s="592" t="s">
        <v>365</v>
      </c>
      <c r="CE77" s="592">
        <v>0.0</v>
      </c>
      <c r="CF77" s="592"/>
      <c r="CG77" s="592">
        <v>0.0</v>
      </c>
      <c r="CH77" s="592"/>
      <c r="CI77" s="633"/>
      <c r="CJ77" s="592">
        <v>0.0</v>
      </c>
      <c r="CK77" s="479" t="s">
        <v>365</v>
      </c>
      <c r="CL77" s="592"/>
      <c r="CM77" s="593"/>
      <c r="CN77" s="538"/>
      <c r="CO77" s="538"/>
      <c r="CP77" s="538"/>
      <c r="CQ77" s="538"/>
      <c r="CR77" s="538"/>
      <c r="CS77" s="538"/>
      <c r="CT77" s="538"/>
      <c r="CU77" s="538"/>
      <c r="CV77" s="538"/>
      <c r="CW77" s="538"/>
      <c r="CX77" s="538"/>
      <c r="CY77" s="538"/>
      <c r="CZ77" s="538"/>
      <c r="DA77" s="538"/>
      <c r="DB77" s="538"/>
      <c r="DC77" s="538"/>
      <c r="DD77" s="538"/>
      <c r="DE77" s="538"/>
      <c r="DF77" s="538"/>
      <c r="DG77" s="538"/>
      <c r="DH77" s="538"/>
      <c r="DI77" s="538"/>
      <c r="DJ77" s="538"/>
      <c r="DK77" s="538"/>
      <c r="DL77" s="538"/>
      <c r="DM77" s="538"/>
      <c r="DN77" s="538"/>
      <c r="DO77" s="538"/>
      <c r="DP77" s="538"/>
      <c r="DQ77" s="538"/>
      <c r="DR77" s="538"/>
      <c r="DS77" s="538"/>
      <c r="DT77" s="538"/>
      <c r="DU77" s="538"/>
      <c r="DV77" s="538"/>
      <c r="DW77" s="538"/>
      <c r="DX77" s="538"/>
      <c r="DY77" s="538"/>
      <c r="DZ77" s="538"/>
      <c r="EA77" s="538"/>
      <c r="EB77" s="538"/>
      <c r="EC77" s="538"/>
      <c r="ED77" s="538"/>
      <c r="EE77" s="538"/>
      <c r="EF77" s="538"/>
      <c r="EG77" s="538"/>
      <c r="EH77" s="538"/>
      <c r="EI77" s="538"/>
      <c r="EJ77" s="538"/>
      <c r="EK77" s="538"/>
      <c r="EL77" s="538"/>
      <c r="EM77" s="538"/>
      <c r="EN77" s="538"/>
      <c r="EO77" s="538"/>
      <c r="EP77" s="538"/>
      <c r="EQ77" s="538"/>
      <c r="ER77" s="538"/>
      <c r="ES77" s="538"/>
      <c r="ET77" s="538"/>
      <c r="EU77" s="538"/>
      <c r="EV77" s="538"/>
      <c r="EW77" s="538"/>
      <c r="EX77" s="559"/>
      <c r="EY77" s="559"/>
      <c r="EZ77" s="559"/>
      <c r="FA77" s="559"/>
      <c r="FB77" s="559"/>
      <c r="FC77" s="559"/>
      <c r="FD77" s="559"/>
      <c r="FE77" s="559"/>
      <c r="FF77" s="559"/>
      <c r="FG77" s="559"/>
      <c r="FH77" s="559"/>
      <c r="FI77" s="559"/>
      <c r="FJ77" s="559"/>
      <c r="FK77" s="559"/>
      <c r="FL77" s="559"/>
      <c r="FM77" s="559"/>
      <c r="FN77" s="559"/>
      <c r="FO77" s="559"/>
      <c r="FP77" s="559"/>
      <c r="FQ77" s="559"/>
      <c r="FR77" s="559"/>
      <c r="FS77" s="559"/>
      <c r="FT77" s="559"/>
      <c r="FU77" s="559"/>
      <c r="FV77" s="559"/>
      <c r="FW77" s="559"/>
      <c r="FX77" s="559"/>
      <c r="FY77" s="559"/>
      <c r="FZ77" s="559"/>
      <c r="GA77" s="559"/>
      <c r="GB77" s="559"/>
      <c r="GC77" s="559"/>
      <c r="GD77" s="559"/>
      <c r="GE77" s="559"/>
      <c r="GF77" s="559"/>
      <c r="GG77" s="559"/>
      <c r="GH77" s="559"/>
    </row>
    <row r="78">
      <c r="A78" s="538"/>
      <c r="B78" s="156"/>
      <c r="C78" s="444"/>
      <c r="D78" s="614"/>
      <c r="E78" s="606"/>
      <c r="F78" s="563"/>
      <c r="G78" s="563"/>
      <c r="H78" s="627"/>
      <c r="I78" s="622" t="s">
        <v>365</v>
      </c>
      <c r="J78" s="607"/>
      <c r="K78" s="567"/>
      <c r="L78" s="628"/>
      <c r="M78" s="626"/>
      <c r="N78" s="619"/>
      <c r="O78" s="623"/>
      <c r="P78" s="47"/>
      <c r="Q78" s="47"/>
      <c r="S78" s="572"/>
      <c r="U78" s="573"/>
      <c r="V78" s="574"/>
      <c r="W78" s="618"/>
      <c r="X78" s="576">
        <v>0.0</v>
      </c>
      <c r="Y78" s="630">
        <v>0.0</v>
      </c>
      <c r="Z78" s="630" t="s">
        <v>365</v>
      </c>
      <c r="AA78" s="631" t="b">
        <v>0</v>
      </c>
      <c r="AB78" s="631"/>
      <c r="AC78" s="576"/>
      <c r="AD78" s="479">
        <v>0.0</v>
      </c>
      <c r="AE78" s="632"/>
      <c r="AF78" s="582" t="s">
        <v>365</v>
      </c>
      <c r="AG78" s="583"/>
      <c r="AH78" s="584"/>
      <c r="AI78" s="583"/>
      <c r="AJ78" s="585"/>
      <c r="AK78" s="583"/>
      <c r="AL78" s="584"/>
      <c r="AM78" s="583"/>
      <c r="AN78" s="585"/>
      <c r="AO78" s="583"/>
      <c r="AP78" s="584"/>
      <c r="AQ78" s="583"/>
      <c r="AR78" s="585"/>
      <c r="AS78" s="583"/>
      <c r="AT78" s="584"/>
      <c r="AU78" s="583"/>
      <c r="AV78" s="585"/>
      <c r="AW78" s="583"/>
      <c r="AX78" s="584"/>
      <c r="AY78" s="583"/>
      <c r="AZ78" s="585"/>
      <c r="BA78" s="583"/>
      <c r="BB78" s="584"/>
      <c r="BC78" s="583"/>
      <c r="BD78" s="585"/>
      <c r="BE78" s="583"/>
      <c r="BF78" s="584"/>
      <c r="BG78" s="583"/>
      <c r="BH78" s="585"/>
      <c r="BI78" s="583"/>
      <c r="BJ78" s="584"/>
      <c r="BK78" s="583"/>
      <c r="BL78" s="585"/>
      <c r="BM78" s="583"/>
      <c r="BN78" s="584"/>
      <c r="BO78" s="583"/>
      <c r="BP78" s="585"/>
      <c r="BQ78" s="583"/>
      <c r="BR78" s="584"/>
      <c r="BS78" s="583"/>
      <c r="BT78" s="586"/>
      <c r="BU78" s="540"/>
      <c r="BV78" s="540"/>
      <c r="BW78" s="540"/>
      <c r="BX78" s="538"/>
      <c r="BY78" s="538"/>
      <c r="BZ78" s="592"/>
      <c r="CA78" s="633"/>
      <c r="CB78" s="592" t="s">
        <v>365</v>
      </c>
      <c r="CC78" s="592">
        <v>0.0</v>
      </c>
      <c r="CD78" s="592" t="s">
        <v>365</v>
      </c>
      <c r="CE78" s="592">
        <v>0.0</v>
      </c>
      <c r="CF78" s="592"/>
      <c r="CG78" s="592">
        <v>0.0</v>
      </c>
      <c r="CH78" s="592"/>
      <c r="CI78" s="633"/>
      <c r="CJ78" s="592">
        <v>0.0</v>
      </c>
      <c r="CK78" s="479" t="s">
        <v>365</v>
      </c>
      <c r="CL78" s="592"/>
      <c r="CM78" s="593"/>
      <c r="CN78" s="538"/>
      <c r="CO78" s="538"/>
      <c r="CP78" s="538"/>
      <c r="CQ78" s="538"/>
      <c r="CR78" s="538"/>
      <c r="CS78" s="538"/>
      <c r="CT78" s="538"/>
      <c r="CU78" s="538"/>
      <c r="CV78" s="538"/>
      <c r="CW78" s="538"/>
      <c r="CX78" s="538"/>
      <c r="CY78" s="538"/>
      <c r="CZ78" s="538"/>
      <c r="DA78" s="538"/>
      <c r="DB78" s="538"/>
      <c r="DC78" s="538"/>
      <c r="DD78" s="538"/>
      <c r="DE78" s="538"/>
      <c r="DF78" s="538"/>
      <c r="DG78" s="538"/>
      <c r="DH78" s="538"/>
      <c r="DI78" s="538"/>
      <c r="DJ78" s="538"/>
      <c r="DK78" s="538"/>
      <c r="DL78" s="538"/>
      <c r="DM78" s="538"/>
      <c r="DN78" s="538"/>
      <c r="DO78" s="538"/>
      <c r="DP78" s="538"/>
      <c r="DQ78" s="538"/>
      <c r="DR78" s="538"/>
      <c r="DS78" s="538"/>
      <c r="DT78" s="538"/>
      <c r="DU78" s="538"/>
      <c r="DV78" s="538"/>
      <c r="DW78" s="538"/>
      <c r="DX78" s="538"/>
      <c r="DY78" s="538"/>
      <c r="DZ78" s="538"/>
      <c r="EA78" s="538"/>
      <c r="EB78" s="538"/>
      <c r="EC78" s="538"/>
      <c r="ED78" s="538"/>
      <c r="EE78" s="538"/>
      <c r="EF78" s="538"/>
      <c r="EG78" s="538"/>
      <c r="EH78" s="538"/>
      <c r="EI78" s="538"/>
      <c r="EJ78" s="538"/>
      <c r="EK78" s="538"/>
      <c r="EL78" s="538"/>
      <c r="EM78" s="538"/>
      <c r="EN78" s="538"/>
      <c r="EO78" s="538"/>
      <c r="EP78" s="538"/>
      <c r="EQ78" s="538"/>
      <c r="ER78" s="538"/>
      <c r="ES78" s="538"/>
      <c r="ET78" s="538"/>
      <c r="EU78" s="538"/>
      <c r="EV78" s="538"/>
      <c r="EW78" s="538"/>
      <c r="EX78" s="559"/>
      <c r="EY78" s="559"/>
      <c r="EZ78" s="559"/>
      <c r="FA78" s="559"/>
      <c r="FB78" s="559"/>
      <c r="FC78" s="559"/>
      <c r="FD78" s="559"/>
      <c r="FE78" s="559"/>
      <c r="FF78" s="559"/>
      <c r="FG78" s="559"/>
      <c r="FH78" s="559"/>
      <c r="FI78" s="559"/>
      <c r="FJ78" s="559"/>
      <c r="FK78" s="559"/>
      <c r="FL78" s="559"/>
      <c r="FM78" s="559"/>
      <c r="FN78" s="559"/>
      <c r="FO78" s="559"/>
      <c r="FP78" s="559"/>
      <c r="FQ78" s="559"/>
      <c r="FR78" s="559"/>
      <c r="FS78" s="559"/>
      <c r="FT78" s="559"/>
      <c r="FU78" s="559"/>
      <c r="FV78" s="559"/>
      <c r="FW78" s="559"/>
      <c r="FX78" s="559"/>
      <c r="FY78" s="559"/>
      <c r="FZ78" s="559"/>
      <c r="GA78" s="559"/>
      <c r="GB78" s="559"/>
      <c r="GC78" s="559"/>
      <c r="GD78" s="559"/>
      <c r="GE78" s="559"/>
      <c r="GF78" s="559"/>
      <c r="GG78" s="559"/>
      <c r="GH78" s="559"/>
    </row>
    <row r="79">
      <c r="A79" s="538"/>
      <c r="B79" s="156"/>
      <c r="C79" s="444"/>
      <c r="D79" s="614"/>
      <c r="E79" s="595"/>
      <c r="F79" s="596"/>
      <c r="G79" s="596"/>
      <c r="H79" s="615"/>
      <c r="I79" s="616" t="s">
        <v>365</v>
      </c>
      <c r="J79" s="624"/>
      <c r="K79" s="600"/>
      <c r="L79" s="601"/>
      <c r="M79" s="625"/>
      <c r="N79" s="617"/>
      <c r="O79" s="621"/>
      <c r="P79" s="57"/>
      <c r="Q79" s="57"/>
      <c r="S79" s="605"/>
      <c r="U79" s="573"/>
      <c r="V79" s="574"/>
      <c r="W79" s="618"/>
      <c r="X79" s="576">
        <v>0.0</v>
      </c>
      <c r="Y79" s="630">
        <v>0.0</v>
      </c>
      <c r="Z79" s="630" t="s">
        <v>365</v>
      </c>
      <c r="AA79" s="631" t="b">
        <v>0</v>
      </c>
      <c r="AB79" s="631"/>
      <c r="AC79" s="576"/>
      <c r="AD79" s="479">
        <v>0.0</v>
      </c>
      <c r="AE79" s="632"/>
      <c r="AF79" s="582" t="s">
        <v>365</v>
      </c>
      <c r="AG79" s="583"/>
      <c r="AH79" s="584"/>
      <c r="AI79" s="583"/>
      <c r="AJ79" s="585"/>
      <c r="AK79" s="583"/>
      <c r="AL79" s="584"/>
      <c r="AM79" s="583"/>
      <c r="AN79" s="585"/>
      <c r="AO79" s="583"/>
      <c r="AP79" s="584"/>
      <c r="AQ79" s="583"/>
      <c r="AR79" s="585"/>
      <c r="AS79" s="583"/>
      <c r="AT79" s="584"/>
      <c r="AU79" s="583"/>
      <c r="AV79" s="585"/>
      <c r="AW79" s="583"/>
      <c r="AX79" s="584"/>
      <c r="AY79" s="583"/>
      <c r="AZ79" s="585"/>
      <c r="BA79" s="583"/>
      <c r="BB79" s="584"/>
      <c r="BC79" s="583"/>
      <c r="BD79" s="585"/>
      <c r="BE79" s="583"/>
      <c r="BF79" s="584"/>
      <c r="BG79" s="583"/>
      <c r="BH79" s="585"/>
      <c r="BI79" s="583"/>
      <c r="BJ79" s="584"/>
      <c r="BK79" s="583"/>
      <c r="BL79" s="585"/>
      <c r="BM79" s="583"/>
      <c r="BN79" s="584"/>
      <c r="BO79" s="583"/>
      <c r="BP79" s="585"/>
      <c r="BQ79" s="583"/>
      <c r="BR79" s="584"/>
      <c r="BS79" s="583"/>
      <c r="BT79" s="586"/>
      <c r="BU79" s="540"/>
      <c r="BV79" s="540"/>
      <c r="BW79" s="540"/>
      <c r="BX79" s="538"/>
      <c r="BY79" s="538"/>
      <c r="BZ79" s="592"/>
      <c r="CA79" s="633"/>
      <c r="CB79" s="592" t="s">
        <v>365</v>
      </c>
      <c r="CC79" s="592">
        <v>0.0</v>
      </c>
      <c r="CD79" s="592" t="s">
        <v>365</v>
      </c>
      <c r="CE79" s="592">
        <v>0.0</v>
      </c>
      <c r="CF79" s="592"/>
      <c r="CG79" s="592">
        <v>0.0</v>
      </c>
      <c r="CH79" s="592"/>
      <c r="CI79" s="633"/>
      <c r="CJ79" s="592">
        <v>0.0</v>
      </c>
      <c r="CK79" s="479" t="s">
        <v>365</v>
      </c>
      <c r="CL79" s="592"/>
      <c r="CM79" s="593"/>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c r="DS79" s="538"/>
      <c r="DT79" s="538"/>
      <c r="DU79" s="538"/>
      <c r="DV79" s="538"/>
      <c r="DW79" s="538"/>
      <c r="DX79" s="538"/>
      <c r="DY79" s="538"/>
      <c r="DZ79" s="538"/>
      <c r="EA79" s="538"/>
      <c r="EB79" s="538"/>
      <c r="EC79" s="538"/>
      <c r="ED79" s="538"/>
      <c r="EE79" s="538"/>
      <c r="EF79" s="538"/>
      <c r="EG79" s="538"/>
      <c r="EH79" s="538"/>
      <c r="EI79" s="538"/>
      <c r="EJ79" s="538"/>
      <c r="EK79" s="538"/>
      <c r="EL79" s="538"/>
      <c r="EM79" s="538"/>
      <c r="EN79" s="538"/>
      <c r="EO79" s="538"/>
      <c r="EP79" s="538"/>
      <c r="EQ79" s="538"/>
      <c r="ER79" s="538"/>
      <c r="ES79" s="538"/>
      <c r="ET79" s="538"/>
      <c r="EU79" s="538"/>
      <c r="EV79" s="538"/>
      <c r="EW79" s="538"/>
      <c r="EX79" s="559"/>
      <c r="EY79" s="559"/>
      <c r="EZ79" s="559"/>
      <c r="FA79" s="559"/>
      <c r="FB79" s="559"/>
      <c r="FC79" s="559"/>
      <c r="FD79" s="559"/>
      <c r="FE79" s="559"/>
      <c r="FF79" s="559"/>
      <c r="FG79" s="559"/>
      <c r="FH79" s="559"/>
      <c r="FI79" s="559"/>
      <c r="FJ79" s="559"/>
      <c r="FK79" s="559"/>
      <c r="FL79" s="559"/>
      <c r="FM79" s="559"/>
      <c r="FN79" s="559"/>
      <c r="FO79" s="559"/>
      <c r="FP79" s="559"/>
      <c r="FQ79" s="559"/>
      <c r="FR79" s="559"/>
      <c r="FS79" s="559"/>
      <c r="FT79" s="559"/>
      <c r="FU79" s="559"/>
      <c r="FV79" s="559"/>
      <c r="FW79" s="559"/>
      <c r="FX79" s="559"/>
      <c r="FY79" s="559"/>
      <c r="FZ79" s="559"/>
      <c r="GA79" s="559"/>
      <c r="GB79" s="559"/>
      <c r="GC79" s="559"/>
      <c r="GD79" s="559"/>
      <c r="GE79" s="559"/>
      <c r="GF79" s="559"/>
      <c r="GG79" s="559"/>
      <c r="GH79" s="559"/>
    </row>
    <row r="80">
      <c r="A80" s="538"/>
      <c r="B80" s="156"/>
      <c r="C80" s="444"/>
      <c r="D80" s="614"/>
      <c r="E80" s="606"/>
      <c r="F80" s="563"/>
      <c r="G80" s="563"/>
      <c r="H80" s="627"/>
      <c r="I80" s="622" t="s">
        <v>365</v>
      </c>
      <c r="J80" s="607"/>
      <c r="K80" s="567"/>
      <c r="L80" s="568"/>
      <c r="M80" s="626"/>
      <c r="N80" s="619"/>
      <c r="O80" s="623"/>
      <c r="P80" s="47"/>
      <c r="Q80" s="47"/>
      <c r="S80" s="572"/>
      <c r="U80" s="573"/>
      <c r="V80" s="574"/>
      <c r="W80" s="618"/>
      <c r="X80" s="576">
        <v>0.0</v>
      </c>
      <c r="Y80" s="630">
        <v>0.0</v>
      </c>
      <c r="Z80" s="630" t="s">
        <v>365</v>
      </c>
      <c r="AA80" s="631" t="b">
        <v>0</v>
      </c>
      <c r="AB80" s="631"/>
      <c r="AC80" s="576"/>
      <c r="AD80" s="479">
        <v>0.0</v>
      </c>
      <c r="AE80" s="632"/>
      <c r="AF80" s="582" t="s">
        <v>365</v>
      </c>
      <c r="AG80" s="583"/>
      <c r="AH80" s="584"/>
      <c r="AI80" s="583"/>
      <c r="AJ80" s="585"/>
      <c r="AK80" s="583"/>
      <c r="AL80" s="584"/>
      <c r="AM80" s="583"/>
      <c r="AN80" s="585"/>
      <c r="AO80" s="583"/>
      <c r="AP80" s="584"/>
      <c r="AQ80" s="583"/>
      <c r="AR80" s="585"/>
      <c r="AS80" s="583"/>
      <c r="AT80" s="584"/>
      <c r="AU80" s="583"/>
      <c r="AV80" s="585"/>
      <c r="AW80" s="583"/>
      <c r="AX80" s="584"/>
      <c r="AY80" s="583"/>
      <c r="AZ80" s="585"/>
      <c r="BA80" s="583"/>
      <c r="BB80" s="584"/>
      <c r="BC80" s="583"/>
      <c r="BD80" s="585"/>
      <c r="BE80" s="583"/>
      <c r="BF80" s="584"/>
      <c r="BG80" s="583"/>
      <c r="BH80" s="585"/>
      <c r="BI80" s="583"/>
      <c r="BJ80" s="584"/>
      <c r="BK80" s="583"/>
      <c r="BL80" s="585"/>
      <c r="BM80" s="583"/>
      <c r="BN80" s="584"/>
      <c r="BO80" s="583"/>
      <c r="BP80" s="585"/>
      <c r="BQ80" s="583"/>
      <c r="BR80" s="584"/>
      <c r="BS80" s="583"/>
      <c r="BT80" s="586"/>
      <c r="BU80" s="540"/>
      <c r="BV80" s="540"/>
      <c r="BW80" s="540"/>
      <c r="BX80" s="538"/>
      <c r="BY80" s="538"/>
      <c r="BZ80" s="592"/>
      <c r="CA80" s="633"/>
      <c r="CB80" s="592" t="s">
        <v>365</v>
      </c>
      <c r="CC80" s="592">
        <v>0.0</v>
      </c>
      <c r="CD80" s="592" t="s">
        <v>365</v>
      </c>
      <c r="CE80" s="592">
        <v>0.0</v>
      </c>
      <c r="CF80" s="592"/>
      <c r="CG80" s="592">
        <v>0.0</v>
      </c>
      <c r="CH80" s="592"/>
      <c r="CI80" s="633"/>
      <c r="CJ80" s="592">
        <v>0.0</v>
      </c>
      <c r="CK80" s="479" t="s">
        <v>365</v>
      </c>
      <c r="CL80" s="592"/>
      <c r="CM80" s="593"/>
      <c r="CN80" s="538"/>
      <c r="CO80" s="538"/>
      <c r="CP80" s="538"/>
      <c r="CQ80" s="538"/>
      <c r="CR80" s="538"/>
      <c r="CS80" s="538"/>
      <c r="CT80" s="538"/>
      <c r="CU80" s="538"/>
      <c r="CV80" s="538"/>
      <c r="CW80" s="538"/>
      <c r="CX80" s="538"/>
      <c r="CY80" s="538"/>
      <c r="CZ80" s="538"/>
      <c r="DA80" s="538"/>
      <c r="DB80" s="538"/>
      <c r="DC80" s="538"/>
      <c r="DD80" s="538"/>
      <c r="DE80" s="538"/>
      <c r="DF80" s="538"/>
      <c r="DG80" s="538"/>
      <c r="DH80" s="538"/>
      <c r="DI80" s="538"/>
      <c r="DJ80" s="538"/>
      <c r="DK80" s="538"/>
      <c r="DL80" s="538"/>
      <c r="DM80" s="538"/>
      <c r="DN80" s="538"/>
      <c r="DO80" s="538"/>
      <c r="DP80" s="538"/>
      <c r="DQ80" s="538"/>
      <c r="DR80" s="538"/>
      <c r="DS80" s="538"/>
      <c r="DT80" s="538"/>
      <c r="DU80" s="538"/>
      <c r="DV80" s="538"/>
      <c r="DW80" s="538"/>
      <c r="DX80" s="538"/>
      <c r="DY80" s="538"/>
      <c r="DZ80" s="538"/>
      <c r="EA80" s="538"/>
      <c r="EB80" s="538"/>
      <c r="EC80" s="538"/>
      <c r="ED80" s="538"/>
      <c r="EE80" s="538"/>
      <c r="EF80" s="538"/>
      <c r="EG80" s="538"/>
      <c r="EH80" s="538"/>
      <c r="EI80" s="538"/>
      <c r="EJ80" s="538"/>
      <c r="EK80" s="538"/>
      <c r="EL80" s="538"/>
      <c r="EM80" s="538"/>
      <c r="EN80" s="538"/>
      <c r="EO80" s="538"/>
      <c r="EP80" s="538"/>
      <c r="EQ80" s="538"/>
      <c r="ER80" s="538"/>
      <c r="ES80" s="538"/>
      <c r="ET80" s="538"/>
      <c r="EU80" s="538"/>
      <c r="EV80" s="538"/>
      <c r="EW80" s="538"/>
      <c r="EX80" s="559"/>
      <c r="EY80" s="559"/>
      <c r="EZ80" s="559"/>
      <c r="FA80" s="559"/>
      <c r="FB80" s="559"/>
      <c r="FC80" s="559"/>
      <c r="FD80" s="559"/>
      <c r="FE80" s="559"/>
      <c r="FF80" s="559"/>
      <c r="FG80" s="559"/>
      <c r="FH80" s="559"/>
      <c r="FI80" s="559"/>
      <c r="FJ80" s="559"/>
      <c r="FK80" s="559"/>
      <c r="FL80" s="559"/>
      <c r="FM80" s="559"/>
      <c r="FN80" s="559"/>
      <c r="FO80" s="559"/>
      <c r="FP80" s="559"/>
      <c r="FQ80" s="559"/>
      <c r="FR80" s="559"/>
      <c r="FS80" s="559"/>
      <c r="FT80" s="559"/>
      <c r="FU80" s="559"/>
      <c r="FV80" s="559"/>
      <c r="FW80" s="559"/>
      <c r="FX80" s="559"/>
      <c r="FY80" s="559"/>
      <c r="FZ80" s="559"/>
      <c r="GA80" s="559"/>
      <c r="GB80" s="559"/>
      <c r="GC80" s="559"/>
      <c r="GD80" s="559"/>
      <c r="GE80" s="559"/>
      <c r="GF80" s="559"/>
      <c r="GG80" s="559"/>
      <c r="GH80" s="559"/>
    </row>
    <row r="81">
      <c r="A81" s="538"/>
      <c r="B81" s="156"/>
      <c r="C81" s="444"/>
      <c r="D81" s="614"/>
      <c r="E81" s="66"/>
      <c r="F81" s="642"/>
      <c r="G81" s="642"/>
      <c r="H81" s="615"/>
      <c r="I81" s="616" t="s">
        <v>365</v>
      </c>
      <c r="J81" s="624"/>
      <c r="K81" s="643"/>
      <c r="L81" s="640"/>
      <c r="M81" s="625"/>
      <c r="N81" s="617"/>
      <c r="O81" s="621"/>
      <c r="P81" s="57"/>
      <c r="Q81" s="57"/>
      <c r="S81" s="605"/>
      <c r="U81" s="573"/>
      <c r="V81" s="574"/>
      <c r="W81" s="618"/>
      <c r="X81" s="576">
        <v>0.0</v>
      </c>
      <c r="Y81" s="630">
        <v>0.0</v>
      </c>
      <c r="Z81" s="630" t="s">
        <v>365</v>
      </c>
      <c r="AA81" s="631" t="b">
        <v>0</v>
      </c>
      <c r="AB81" s="631"/>
      <c r="AC81" s="576"/>
      <c r="AD81" s="479">
        <v>0.0</v>
      </c>
      <c r="AE81" s="632"/>
      <c r="AF81" s="582" t="s">
        <v>365</v>
      </c>
      <c r="AG81" s="583"/>
      <c r="AH81" s="584"/>
      <c r="AI81" s="583"/>
      <c r="AJ81" s="585"/>
      <c r="AK81" s="583"/>
      <c r="AL81" s="584"/>
      <c r="AM81" s="583"/>
      <c r="AN81" s="585"/>
      <c r="AO81" s="583"/>
      <c r="AP81" s="584"/>
      <c r="AQ81" s="583"/>
      <c r="AR81" s="585"/>
      <c r="AS81" s="583"/>
      <c r="AT81" s="584"/>
      <c r="AU81" s="583"/>
      <c r="AV81" s="585"/>
      <c r="AW81" s="583"/>
      <c r="AX81" s="584"/>
      <c r="AY81" s="583"/>
      <c r="AZ81" s="585"/>
      <c r="BA81" s="583"/>
      <c r="BB81" s="584"/>
      <c r="BC81" s="583"/>
      <c r="BD81" s="585"/>
      <c r="BE81" s="583"/>
      <c r="BF81" s="584"/>
      <c r="BG81" s="583"/>
      <c r="BH81" s="585"/>
      <c r="BI81" s="583"/>
      <c r="BJ81" s="584"/>
      <c r="BK81" s="583"/>
      <c r="BL81" s="585"/>
      <c r="BM81" s="583"/>
      <c r="BN81" s="584"/>
      <c r="BO81" s="583"/>
      <c r="BP81" s="585"/>
      <c r="BQ81" s="583"/>
      <c r="BR81" s="584"/>
      <c r="BS81" s="583"/>
      <c r="BT81" s="586"/>
      <c r="BU81" s="540"/>
      <c r="BV81" s="540"/>
      <c r="BW81" s="540"/>
      <c r="BX81" s="538"/>
      <c r="BY81" s="538"/>
      <c r="BZ81" s="592"/>
      <c r="CA81" s="633"/>
      <c r="CB81" s="592" t="s">
        <v>365</v>
      </c>
      <c r="CC81" s="592">
        <v>0.0</v>
      </c>
      <c r="CD81" s="592" t="s">
        <v>365</v>
      </c>
      <c r="CE81" s="592">
        <v>0.0</v>
      </c>
      <c r="CF81" s="592"/>
      <c r="CG81" s="592">
        <v>0.0</v>
      </c>
      <c r="CH81" s="592"/>
      <c r="CI81" s="633"/>
      <c r="CJ81" s="592">
        <v>0.0</v>
      </c>
      <c r="CK81" s="479" t="s">
        <v>365</v>
      </c>
      <c r="CL81" s="592"/>
      <c r="CM81" s="593"/>
      <c r="CN81" s="538"/>
      <c r="CO81" s="538"/>
      <c r="CP81" s="538"/>
      <c r="CQ81" s="538"/>
      <c r="CR81" s="538"/>
      <c r="CS81" s="538"/>
      <c r="CT81" s="538"/>
      <c r="CU81" s="538"/>
      <c r="CV81" s="538"/>
      <c r="CW81" s="538"/>
      <c r="CX81" s="538"/>
      <c r="CY81" s="538"/>
      <c r="CZ81" s="538"/>
      <c r="DA81" s="538"/>
      <c r="DB81" s="538"/>
      <c r="DC81" s="538"/>
      <c r="DD81" s="538"/>
      <c r="DE81" s="538"/>
      <c r="DF81" s="538"/>
      <c r="DG81" s="538"/>
      <c r="DH81" s="538"/>
      <c r="DI81" s="538"/>
      <c r="DJ81" s="538"/>
      <c r="DK81" s="538"/>
      <c r="DL81" s="538"/>
      <c r="DM81" s="538"/>
      <c r="DN81" s="538"/>
      <c r="DO81" s="538"/>
      <c r="DP81" s="538"/>
      <c r="DQ81" s="538"/>
      <c r="DR81" s="538"/>
      <c r="DS81" s="538"/>
      <c r="DT81" s="538"/>
      <c r="DU81" s="538"/>
      <c r="DV81" s="538"/>
      <c r="DW81" s="538"/>
      <c r="DX81" s="538"/>
      <c r="DY81" s="538"/>
      <c r="DZ81" s="538"/>
      <c r="EA81" s="538"/>
      <c r="EB81" s="538"/>
      <c r="EC81" s="538"/>
      <c r="ED81" s="538"/>
      <c r="EE81" s="538"/>
      <c r="EF81" s="538"/>
      <c r="EG81" s="538"/>
      <c r="EH81" s="538"/>
      <c r="EI81" s="538"/>
      <c r="EJ81" s="538"/>
      <c r="EK81" s="538"/>
      <c r="EL81" s="538"/>
      <c r="EM81" s="538"/>
      <c r="EN81" s="538"/>
      <c r="EO81" s="538"/>
      <c r="EP81" s="538"/>
      <c r="EQ81" s="538"/>
      <c r="ER81" s="538"/>
      <c r="ES81" s="538"/>
      <c r="ET81" s="538"/>
      <c r="EU81" s="538"/>
      <c r="EV81" s="538"/>
      <c r="EW81" s="538"/>
      <c r="EX81" s="559"/>
      <c r="EY81" s="559"/>
      <c r="EZ81" s="559"/>
      <c r="FA81" s="559"/>
      <c r="FB81" s="559"/>
      <c r="FC81" s="559"/>
      <c r="FD81" s="559"/>
      <c r="FE81" s="559"/>
      <c r="FF81" s="559"/>
      <c r="FG81" s="559"/>
      <c r="FH81" s="559"/>
      <c r="FI81" s="559"/>
      <c r="FJ81" s="559"/>
      <c r="FK81" s="559"/>
      <c r="FL81" s="559"/>
      <c r="FM81" s="559"/>
      <c r="FN81" s="559"/>
      <c r="FO81" s="559"/>
      <c r="FP81" s="559"/>
      <c r="FQ81" s="559"/>
      <c r="FR81" s="559"/>
      <c r="FS81" s="559"/>
      <c r="FT81" s="559"/>
      <c r="FU81" s="559"/>
      <c r="FV81" s="559"/>
      <c r="FW81" s="559"/>
      <c r="FX81" s="559"/>
      <c r="FY81" s="559"/>
      <c r="FZ81" s="559"/>
      <c r="GA81" s="559"/>
      <c r="GB81" s="559"/>
      <c r="GC81" s="559"/>
      <c r="GD81" s="559"/>
      <c r="GE81" s="559"/>
      <c r="GF81" s="559"/>
      <c r="GG81" s="559"/>
      <c r="GH81" s="559"/>
    </row>
    <row r="82">
      <c r="A82" s="538"/>
      <c r="B82" s="156"/>
      <c r="C82" s="444"/>
      <c r="D82" s="614"/>
      <c r="E82" s="606"/>
      <c r="F82" s="644"/>
      <c r="G82" s="644"/>
      <c r="H82" s="627"/>
      <c r="I82" s="622" t="s">
        <v>365</v>
      </c>
      <c r="J82" s="607"/>
      <c r="K82" s="641"/>
      <c r="L82" s="628"/>
      <c r="M82" s="626"/>
      <c r="N82" s="619"/>
      <c r="O82" s="623"/>
      <c r="P82" s="47"/>
      <c r="Q82" s="47"/>
      <c r="S82" s="572"/>
      <c r="U82" s="573"/>
      <c r="V82" s="574"/>
      <c r="W82" s="618"/>
      <c r="X82" s="576">
        <v>0.0</v>
      </c>
      <c r="Y82" s="630">
        <v>0.0</v>
      </c>
      <c r="Z82" s="630" t="s">
        <v>365</v>
      </c>
      <c r="AA82" s="631" t="b">
        <v>0</v>
      </c>
      <c r="AB82" s="631"/>
      <c r="AC82" s="576"/>
      <c r="AD82" s="479">
        <v>0.0</v>
      </c>
      <c r="AE82" s="632"/>
      <c r="AF82" s="582" t="s">
        <v>365</v>
      </c>
      <c r="AG82" s="583"/>
      <c r="AH82" s="584"/>
      <c r="AI82" s="583"/>
      <c r="AJ82" s="585"/>
      <c r="AK82" s="583"/>
      <c r="AL82" s="584"/>
      <c r="AM82" s="583"/>
      <c r="AN82" s="585"/>
      <c r="AO82" s="583"/>
      <c r="AP82" s="584"/>
      <c r="AQ82" s="583"/>
      <c r="AR82" s="585"/>
      <c r="AS82" s="583"/>
      <c r="AT82" s="584"/>
      <c r="AU82" s="583"/>
      <c r="AV82" s="585"/>
      <c r="AW82" s="583"/>
      <c r="AX82" s="584"/>
      <c r="AY82" s="583"/>
      <c r="AZ82" s="585"/>
      <c r="BA82" s="583"/>
      <c r="BB82" s="584"/>
      <c r="BC82" s="583"/>
      <c r="BD82" s="585"/>
      <c r="BE82" s="583"/>
      <c r="BF82" s="584"/>
      <c r="BG82" s="583"/>
      <c r="BH82" s="585"/>
      <c r="BI82" s="583"/>
      <c r="BJ82" s="584"/>
      <c r="BK82" s="583"/>
      <c r="BL82" s="585"/>
      <c r="BM82" s="583"/>
      <c r="BN82" s="584"/>
      <c r="BO82" s="583"/>
      <c r="BP82" s="585"/>
      <c r="BQ82" s="583"/>
      <c r="BR82" s="584"/>
      <c r="BS82" s="583"/>
      <c r="BT82" s="586"/>
      <c r="BU82" s="540"/>
      <c r="BV82" s="540"/>
      <c r="BW82" s="540"/>
      <c r="BX82" s="538"/>
      <c r="BY82" s="538"/>
      <c r="BZ82" s="592"/>
      <c r="CA82" s="633"/>
      <c r="CB82" s="592" t="s">
        <v>365</v>
      </c>
      <c r="CC82" s="592">
        <v>0.0</v>
      </c>
      <c r="CD82" s="592" t="s">
        <v>365</v>
      </c>
      <c r="CE82" s="592">
        <v>0.0</v>
      </c>
      <c r="CF82" s="592"/>
      <c r="CG82" s="592">
        <v>0.0</v>
      </c>
      <c r="CH82" s="592"/>
      <c r="CI82" s="633"/>
      <c r="CJ82" s="592">
        <v>0.0</v>
      </c>
      <c r="CK82" s="479" t="s">
        <v>365</v>
      </c>
      <c r="CL82" s="592"/>
      <c r="CM82" s="593"/>
      <c r="CN82" s="538"/>
      <c r="CO82" s="538"/>
      <c r="CP82" s="538"/>
      <c r="CQ82" s="538"/>
      <c r="CR82" s="538"/>
      <c r="CS82" s="538"/>
      <c r="CT82" s="538"/>
      <c r="CU82" s="538"/>
      <c r="CV82" s="538"/>
      <c r="CW82" s="538"/>
      <c r="CX82" s="538"/>
      <c r="CY82" s="538"/>
      <c r="CZ82" s="538"/>
      <c r="DA82" s="538"/>
      <c r="DB82" s="538"/>
      <c r="DC82" s="538"/>
      <c r="DD82" s="538"/>
      <c r="DE82" s="538"/>
      <c r="DF82" s="538"/>
      <c r="DG82" s="538"/>
      <c r="DH82" s="538"/>
      <c r="DI82" s="538"/>
      <c r="DJ82" s="538"/>
      <c r="DK82" s="538"/>
      <c r="DL82" s="538"/>
      <c r="DM82" s="538"/>
      <c r="DN82" s="538"/>
      <c r="DO82" s="538"/>
      <c r="DP82" s="538"/>
      <c r="DQ82" s="538"/>
      <c r="DR82" s="538"/>
      <c r="DS82" s="538"/>
      <c r="DT82" s="538"/>
      <c r="DU82" s="538"/>
      <c r="DV82" s="538"/>
      <c r="DW82" s="538"/>
      <c r="DX82" s="538"/>
      <c r="DY82" s="538"/>
      <c r="DZ82" s="538"/>
      <c r="EA82" s="538"/>
      <c r="EB82" s="538"/>
      <c r="EC82" s="538"/>
      <c r="ED82" s="538"/>
      <c r="EE82" s="538"/>
      <c r="EF82" s="538"/>
      <c r="EG82" s="538"/>
      <c r="EH82" s="538"/>
      <c r="EI82" s="538"/>
      <c r="EJ82" s="538"/>
      <c r="EK82" s="538"/>
      <c r="EL82" s="538"/>
      <c r="EM82" s="538"/>
      <c r="EN82" s="538"/>
      <c r="EO82" s="538"/>
      <c r="EP82" s="538"/>
      <c r="EQ82" s="538"/>
      <c r="ER82" s="538"/>
      <c r="ES82" s="538"/>
      <c r="ET82" s="538"/>
      <c r="EU82" s="538"/>
      <c r="EV82" s="538"/>
      <c r="EW82" s="538"/>
      <c r="EX82" s="559"/>
      <c r="EY82" s="559"/>
      <c r="EZ82" s="559"/>
      <c r="FA82" s="559"/>
      <c r="FB82" s="559"/>
      <c r="FC82" s="559"/>
      <c r="FD82" s="559"/>
      <c r="FE82" s="559"/>
      <c r="FF82" s="559"/>
      <c r="FG82" s="559"/>
      <c r="FH82" s="559"/>
      <c r="FI82" s="559"/>
      <c r="FJ82" s="559"/>
      <c r="FK82" s="559"/>
      <c r="FL82" s="559"/>
      <c r="FM82" s="559"/>
      <c r="FN82" s="559"/>
      <c r="FO82" s="559"/>
      <c r="FP82" s="559"/>
      <c r="FQ82" s="559"/>
      <c r="FR82" s="559"/>
      <c r="FS82" s="559"/>
      <c r="FT82" s="559"/>
      <c r="FU82" s="559"/>
      <c r="FV82" s="559"/>
      <c r="FW82" s="559"/>
      <c r="FX82" s="559"/>
      <c r="FY82" s="559"/>
      <c r="FZ82" s="559"/>
      <c r="GA82" s="559"/>
      <c r="GB82" s="559"/>
      <c r="GC82" s="559"/>
      <c r="GD82" s="559"/>
      <c r="GE82" s="559"/>
      <c r="GF82" s="559"/>
      <c r="GG82" s="559"/>
      <c r="GH82" s="559"/>
    </row>
    <row r="83">
      <c r="A83" s="538"/>
      <c r="B83" s="156"/>
      <c r="C83" s="444"/>
      <c r="D83" s="614"/>
      <c r="E83" s="595"/>
      <c r="F83" s="596"/>
      <c r="G83" s="596"/>
      <c r="H83" s="597"/>
      <c r="I83" s="616" t="s">
        <v>365</v>
      </c>
      <c r="J83" s="624"/>
      <c r="K83" s="600"/>
      <c r="L83" s="601"/>
      <c r="M83" s="602"/>
      <c r="N83" s="603"/>
      <c r="O83" s="134"/>
      <c r="P83" s="57"/>
      <c r="Q83" s="57"/>
      <c r="S83" s="605"/>
      <c r="U83" s="573"/>
      <c r="V83" s="574"/>
      <c r="W83" s="618"/>
      <c r="X83" s="576">
        <v>0.0</v>
      </c>
      <c r="Y83" s="630">
        <v>0.0</v>
      </c>
      <c r="Z83" s="630" t="s">
        <v>365</v>
      </c>
      <c r="AA83" s="631" t="b">
        <v>0</v>
      </c>
      <c r="AB83" s="631"/>
      <c r="AC83" s="576"/>
      <c r="AD83" s="479">
        <v>0.0</v>
      </c>
      <c r="AE83" s="632"/>
      <c r="AF83" s="582" t="s">
        <v>365</v>
      </c>
      <c r="AG83" s="583"/>
      <c r="AH83" s="584"/>
      <c r="AI83" s="583"/>
      <c r="AJ83" s="585"/>
      <c r="AK83" s="583"/>
      <c r="AL83" s="584"/>
      <c r="AM83" s="583"/>
      <c r="AN83" s="585"/>
      <c r="AO83" s="583"/>
      <c r="AP83" s="584"/>
      <c r="AQ83" s="583"/>
      <c r="AR83" s="585"/>
      <c r="AS83" s="583"/>
      <c r="AT83" s="584"/>
      <c r="AU83" s="583"/>
      <c r="AV83" s="585"/>
      <c r="AW83" s="583"/>
      <c r="AX83" s="584"/>
      <c r="AY83" s="583"/>
      <c r="AZ83" s="585"/>
      <c r="BA83" s="583"/>
      <c r="BB83" s="584"/>
      <c r="BC83" s="583"/>
      <c r="BD83" s="585"/>
      <c r="BE83" s="583"/>
      <c r="BF83" s="584"/>
      <c r="BG83" s="583"/>
      <c r="BH83" s="585"/>
      <c r="BI83" s="583"/>
      <c r="BJ83" s="584"/>
      <c r="BK83" s="583"/>
      <c r="BL83" s="585"/>
      <c r="BM83" s="583"/>
      <c r="BN83" s="584"/>
      <c r="BO83" s="583"/>
      <c r="BP83" s="585"/>
      <c r="BQ83" s="583"/>
      <c r="BR83" s="584"/>
      <c r="BS83" s="583"/>
      <c r="BT83" s="586"/>
      <c r="BU83" s="540"/>
      <c r="BV83" s="540"/>
      <c r="BW83" s="540"/>
      <c r="BX83" s="538"/>
      <c r="BY83" s="538"/>
      <c r="BZ83" s="592"/>
      <c r="CA83" s="633"/>
      <c r="CB83" s="592" t="s">
        <v>365</v>
      </c>
      <c r="CC83" s="592">
        <v>0.0</v>
      </c>
      <c r="CD83" s="592" t="s">
        <v>365</v>
      </c>
      <c r="CE83" s="592">
        <v>0.0</v>
      </c>
      <c r="CF83" s="592"/>
      <c r="CG83" s="592">
        <v>0.0</v>
      </c>
      <c r="CH83" s="592"/>
      <c r="CI83" s="633"/>
      <c r="CJ83" s="592">
        <v>0.0</v>
      </c>
      <c r="CK83" s="479" t="s">
        <v>365</v>
      </c>
      <c r="CL83" s="592"/>
      <c r="CM83" s="593"/>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c r="DS83" s="538"/>
      <c r="DT83" s="538"/>
      <c r="DU83" s="538"/>
      <c r="DV83" s="538"/>
      <c r="DW83" s="538"/>
      <c r="DX83" s="538"/>
      <c r="DY83" s="538"/>
      <c r="DZ83" s="538"/>
      <c r="EA83" s="538"/>
      <c r="EB83" s="538"/>
      <c r="EC83" s="538"/>
      <c r="ED83" s="538"/>
      <c r="EE83" s="538"/>
      <c r="EF83" s="538"/>
      <c r="EG83" s="538"/>
      <c r="EH83" s="538"/>
      <c r="EI83" s="538"/>
      <c r="EJ83" s="538"/>
      <c r="EK83" s="538"/>
      <c r="EL83" s="538"/>
      <c r="EM83" s="538"/>
      <c r="EN83" s="538"/>
      <c r="EO83" s="538"/>
      <c r="EP83" s="538"/>
      <c r="EQ83" s="538"/>
      <c r="ER83" s="538"/>
      <c r="ES83" s="538"/>
      <c r="ET83" s="538"/>
      <c r="EU83" s="538"/>
      <c r="EV83" s="538"/>
      <c r="EW83" s="538"/>
      <c r="EX83" s="559"/>
      <c r="EY83" s="559"/>
      <c r="EZ83" s="559"/>
      <c r="FA83" s="559"/>
      <c r="FB83" s="559"/>
      <c r="FC83" s="559"/>
      <c r="FD83" s="559"/>
      <c r="FE83" s="559"/>
      <c r="FF83" s="559"/>
      <c r="FG83" s="559"/>
      <c r="FH83" s="559"/>
      <c r="FI83" s="559"/>
      <c r="FJ83" s="559"/>
      <c r="FK83" s="559"/>
      <c r="FL83" s="559"/>
      <c r="FM83" s="559"/>
      <c r="FN83" s="559"/>
      <c r="FO83" s="559"/>
      <c r="FP83" s="559"/>
      <c r="FQ83" s="559"/>
      <c r="FR83" s="559"/>
      <c r="FS83" s="559"/>
      <c r="FT83" s="559"/>
      <c r="FU83" s="559"/>
      <c r="FV83" s="559"/>
      <c r="FW83" s="559"/>
      <c r="FX83" s="559"/>
      <c r="FY83" s="559"/>
      <c r="FZ83" s="559"/>
      <c r="GA83" s="559"/>
      <c r="GB83" s="559"/>
      <c r="GC83" s="559"/>
      <c r="GD83" s="559"/>
      <c r="GE83" s="559"/>
      <c r="GF83" s="559"/>
      <c r="GG83" s="559"/>
      <c r="GH83" s="559"/>
    </row>
    <row r="84">
      <c r="A84" s="538"/>
      <c r="B84" s="156"/>
      <c r="C84" s="444"/>
      <c r="D84" s="614"/>
      <c r="E84" s="68"/>
      <c r="F84" s="644"/>
      <c r="G84" s="644"/>
      <c r="H84" s="627"/>
      <c r="I84" s="622" t="s">
        <v>365</v>
      </c>
      <c r="J84" s="607"/>
      <c r="K84" s="641"/>
      <c r="L84" s="628"/>
      <c r="M84" s="626"/>
      <c r="N84" s="619"/>
      <c r="O84" s="560"/>
      <c r="P84" s="47"/>
      <c r="Q84" s="47"/>
      <c r="S84" s="572"/>
      <c r="U84" s="573"/>
      <c r="V84" s="574"/>
      <c r="W84" s="618"/>
      <c r="X84" s="576">
        <v>0.0</v>
      </c>
      <c r="Y84" s="630">
        <v>0.0</v>
      </c>
      <c r="Z84" s="630" t="s">
        <v>365</v>
      </c>
      <c r="AA84" s="631" t="b">
        <v>0</v>
      </c>
      <c r="AB84" s="631"/>
      <c r="AC84" s="576"/>
      <c r="AD84" s="479">
        <v>0.0</v>
      </c>
      <c r="AE84" s="632"/>
      <c r="AF84" s="582" t="s">
        <v>365</v>
      </c>
      <c r="AG84" s="583"/>
      <c r="AH84" s="584"/>
      <c r="AI84" s="583"/>
      <c r="AJ84" s="585"/>
      <c r="AK84" s="583"/>
      <c r="AL84" s="584"/>
      <c r="AM84" s="583"/>
      <c r="AN84" s="585"/>
      <c r="AO84" s="583"/>
      <c r="AP84" s="584"/>
      <c r="AQ84" s="583"/>
      <c r="AR84" s="585"/>
      <c r="AS84" s="583"/>
      <c r="AT84" s="584"/>
      <c r="AU84" s="583"/>
      <c r="AV84" s="585"/>
      <c r="AW84" s="583"/>
      <c r="AX84" s="584"/>
      <c r="AY84" s="583"/>
      <c r="AZ84" s="585"/>
      <c r="BA84" s="583"/>
      <c r="BB84" s="584"/>
      <c r="BC84" s="583"/>
      <c r="BD84" s="585"/>
      <c r="BE84" s="583"/>
      <c r="BF84" s="584"/>
      <c r="BG84" s="583"/>
      <c r="BH84" s="585"/>
      <c r="BI84" s="583"/>
      <c r="BJ84" s="584"/>
      <c r="BK84" s="583"/>
      <c r="BL84" s="585"/>
      <c r="BM84" s="583"/>
      <c r="BN84" s="584"/>
      <c r="BO84" s="583"/>
      <c r="BP84" s="585"/>
      <c r="BQ84" s="583"/>
      <c r="BR84" s="584"/>
      <c r="BS84" s="583"/>
      <c r="BT84" s="586"/>
      <c r="BU84" s="540"/>
      <c r="BV84" s="540"/>
      <c r="BW84" s="540"/>
      <c r="BX84" s="538"/>
      <c r="BY84" s="538"/>
      <c r="BZ84" s="592"/>
      <c r="CA84" s="633"/>
      <c r="CB84" s="592" t="s">
        <v>365</v>
      </c>
      <c r="CC84" s="592">
        <v>0.0</v>
      </c>
      <c r="CD84" s="592" t="s">
        <v>365</v>
      </c>
      <c r="CE84" s="592">
        <v>0.0</v>
      </c>
      <c r="CF84" s="592"/>
      <c r="CG84" s="592">
        <v>0.0</v>
      </c>
      <c r="CH84" s="592"/>
      <c r="CI84" s="633"/>
      <c r="CJ84" s="592">
        <v>0.0</v>
      </c>
      <c r="CK84" s="479" t="s">
        <v>365</v>
      </c>
      <c r="CL84" s="592"/>
      <c r="CM84" s="593"/>
      <c r="CN84" s="538"/>
      <c r="CO84" s="538"/>
      <c r="CP84" s="538"/>
      <c r="CQ84" s="538"/>
      <c r="CR84" s="538"/>
      <c r="CS84" s="538"/>
      <c r="CT84" s="538"/>
      <c r="CU84" s="538"/>
      <c r="CV84" s="538"/>
      <c r="CW84" s="538"/>
      <c r="CX84" s="538"/>
      <c r="CY84" s="538"/>
      <c r="CZ84" s="538"/>
      <c r="DA84" s="538"/>
      <c r="DB84" s="538"/>
      <c r="DC84" s="538"/>
      <c r="DD84" s="538"/>
      <c r="DE84" s="538"/>
      <c r="DF84" s="538"/>
      <c r="DG84" s="538"/>
      <c r="DH84" s="538"/>
      <c r="DI84" s="538"/>
      <c r="DJ84" s="538"/>
      <c r="DK84" s="538"/>
      <c r="DL84" s="538"/>
      <c r="DM84" s="538"/>
      <c r="DN84" s="538"/>
      <c r="DO84" s="538"/>
      <c r="DP84" s="538"/>
      <c r="DQ84" s="538"/>
      <c r="DR84" s="538"/>
      <c r="DS84" s="538"/>
      <c r="DT84" s="538"/>
      <c r="DU84" s="538"/>
      <c r="DV84" s="538"/>
      <c r="DW84" s="538"/>
      <c r="DX84" s="538"/>
      <c r="DY84" s="538"/>
      <c r="DZ84" s="538"/>
      <c r="EA84" s="538"/>
      <c r="EB84" s="538"/>
      <c r="EC84" s="538"/>
      <c r="ED84" s="538"/>
      <c r="EE84" s="538"/>
      <c r="EF84" s="538"/>
      <c r="EG84" s="538"/>
      <c r="EH84" s="538"/>
      <c r="EI84" s="538"/>
      <c r="EJ84" s="538"/>
      <c r="EK84" s="538"/>
      <c r="EL84" s="538"/>
      <c r="EM84" s="538"/>
      <c r="EN84" s="538"/>
      <c r="EO84" s="538"/>
      <c r="EP84" s="538"/>
      <c r="EQ84" s="538"/>
      <c r="ER84" s="538"/>
      <c r="ES84" s="538"/>
      <c r="ET84" s="538"/>
      <c r="EU84" s="538"/>
      <c r="EV84" s="538"/>
      <c r="EW84" s="538"/>
      <c r="EX84" s="559"/>
      <c r="EY84" s="559"/>
      <c r="EZ84" s="559"/>
      <c r="FA84" s="559"/>
      <c r="FB84" s="559"/>
      <c r="FC84" s="559"/>
      <c r="FD84" s="559"/>
      <c r="FE84" s="559"/>
      <c r="FF84" s="559"/>
      <c r="FG84" s="559"/>
      <c r="FH84" s="559"/>
      <c r="FI84" s="559"/>
      <c r="FJ84" s="559"/>
      <c r="FK84" s="559"/>
      <c r="FL84" s="559"/>
      <c r="FM84" s="559"/>
      <c r="FN84" s="559"/>
      <c r="FO84" s="559"/>
      <c r="FP84" s="559"/>
      <c r="FQ84" s="559"/>
      <c r="FR84" s="559"/>
      <c r="FS84" s="559"/>
      <c r="FT84" s="559"/>
      <c r="FU84" s="559"/>
      <c r="FV84" s="559"/>
      <c r="FW84" s="559"/>
      <c r="FX84" s="559"/>
      <c r="FY84" s="559"/>
      <c r="FZ84" s="559"/>
      <c r="GA84" s="559"/>
      <c r="GB84" s="559"/>
      <c r="GC84" s="559"/>
      <c r="GD84" s="559"/>
      <c r="GE84" s="559"/>
      <c r="GF84" s="559"/>
      <c r="GG84" s="559"/>
      <c r="GH84" s="559"/>
    </row>
    <row r="85">
      <c r="A85" s="538"/>
      <c r="B85" s="156"/>
      <c r="C85" s="444"/>
      <c r="D85" s="614"/>
      <c r="E85" s="66"/>
      <c r="F85" s="642"/>
      <c r="G85" s="642"/>
      <c r="H85" s="615"/>
      <c r="I85" s="616" t="s">
        <v>365</v>
      </c>
      <c r="J85" s="624"/>
      <c r="K85" s="643"/>
      <c r="L85" s="640"/>
      <c r="M85" s="625"/>
      <c r="N85" s="617"/>
      <c r="O85" s="134"/>
      <c r="P85" s="57"/>
      <c r="Q85" s="57"/>
      <c r="S85" s="605"/>
      <c r="U85" s="573"/>
      <c r="V85" s="574"/>
      <c r="W85" s="618"/>
      <c r="X85" s="576">
        <v>0.0</v>
      </c>
      <c r="Y85" s="630">
        <v>0.0</v>
      </c>
      <c r="Z85" s="630" t="s">
        <v>365</v>
      </c>
      <c r="AA85" s="631" t="b">
        <v>0</v>
      </c>
      <c r="AB85" s="631"/>
      <c r="AC85" s="576"/>
      <c r="AD85" s="479">
        <v>0.0</v>
      </c>
      <c r="AE85" s="632"/>
      <c r="AF85" s="582" t="s">
        <v>365</v>
      </c>
      <c r="AG85" s="583"/>
      <c r="AH85" s="584"/>
      <c r="AI85" s="583"/>
      <c r="AJ85" s="585"/>
      <c r="AK85" s="583"/>
      <c r="AL85" s="584"/>
      <c r="AM85" s="583"/>
      <c r="AN85" s="585"/>
      <c r="AO85" s="583"/>
      <c r="AP85" s="584"/>
      <c r="AQ85" s="583"/>
      <c r="AR85" s="585"/>
      <c r="AS85" s="583"/>
      <c r="AT85" s="584"/>
      <c r="AU85" s="583"/>
      <c r="AV85" s="585"/>
      <c r="AW85" s="583"/>
      <c r="AX85" s="584"/>
      <c r="AY85" s="583"/>
      <c r="AZ85" s="585"/>
      <c r="BA85" s="583"/>
      <c r="BB85" s="584"/>
      <c r="BC85" s="583"/>
      <c r="BD85" s="585"/>
      <c r="BE85" s="583"/>
      <c r="BF85" s="584"/>
      <c r="BG85" s="583"/>
      <c r="BH85" s="585"/>
      <c r="BI85" s="583"/>
      <c r="BJ85" s="584"/>
      <c r="BK85" s="583"/>
      <c r="BL85" s="585"/>
      <c r="BM85" s="583"/>
      <c r="BN85" s="584"/>
      <c r="BO85" s="583"/>
      <c r="BP85" s="585"/>
      <c r="BQ85" s="583"/>
      <c r="BR85" s="584"/>
      <c r="BS85" s="583"/>
      <c r="BT85" s="586"/>
      <c r="BU85" s="540"/>
      <c r="BV85" s="540"/>
      <c r="BW85" s="540"/>
      <c r="BX85" s="538"/>
      <c r="BY85" s="538"/>
      <c r="BZ85" s="592"/>
      <c r="CA85" s="633"/>
      <c r="CB85" s="592" t="s">
        <v>365</v>
      </c>
      <c r="CC85" s="592">
        <v>0.0</v>
      </c>
      <c r="CD85" s="592" t="s">
        <v>365</v>
      </c>
      <c r="CE85" s="592">
        <v>0.0</v>
      </c>
      <c r="CF85" s="592"/>
      <c r="CG85" s="592">
        <v>0.0</v>
      </c>
      <c r="CH85" s="592"/>
      <c r="CI85" s="633"/>
      <c r="CJ85" s="592">
        <v>0.0</v>
      </c>
      <c r="CK85" s="479" t="s">
        <v>365</v>
      </c>
      <c r="CL85" s="592"/>
      <c r="CM85" s="593"/>
      <c r="CN85" s="538"/>
      <c r="CO85" s="538"/>
      <c r="CP85" s="538"/>
      <c r="CQ85" s="538"/>
      <c r="CR85" s="538"/>
      <c r="CS85" s="538"/>
      <c r="CT85" s="538"/>
      <c r="CU85" s="538"/>
      <c r="CV85" s="538"/>
      <c r="CW85" s="538"/>
      <c r="CX85" s="538"/>
      <c r="CY85" s="538"/>
      <c r="CZ85" s="538"/>
      <c r="DA85" s="538"/>
      <c r="DB85" s="538"/>
      <c r="DC85" s="538"/>
      <c r="DD85" s="538"/>
      <c r="DE85" s="538"/>
      <c r="DF85" s="538"/>
      <c r="DG85" s="538"/>
      <c r="DH85" s="538"/>
      <c r="DI85" s="538"/>
      <c r="DJ85" s="538"/>
      <c r="DK85" s="538"/>
      <c r="DL85" s="538"/>
      <c r="DM85" s="538"/>
      <c r="DN85" s="538"/>
      <c r="DO85" s="538"/>
      <c r="DP85" s="538"/>
      <c r="DQ85" s="538"/>
      <c r="DR85" s="538"/>
      <c r="DS85" s="538"/>
      <c r="DT85" s="538"/>
      <c r="DU85" s="538"/>
      <c r="DV85" s="538"/>
      <c r="DW85" s="538"/>
      <c r="DX85" s="538"/>
      <c r="DY85" s="538"/>
      <c r="DZ85" s="538"/>
      <c r="EA85" s="538"/>
      <c r="EB85" s="538"/>
      <c r="EC85" s="538"/>
      <c r="ED85" s="538"/>
      <c r="EE85" s="538"/>
      <c r="EF85" s="538"/>
      <c r="EG85" s="538"/>
      <c r="EH85" s="538"/>
      <c r="EI85" s="538"/>
      <c r="EJ85" s="538"/>
      <c r="EK85" s="538"/>
      <c r="EL85" s="538"/>
      <c r="EM85" s="538"/>
      <c r="EN85" s="538"/>
      <c r="EO85" s="538"/>
      <c r="EP85" s="538"/>
      <c r="EQ85" s="538"/>
      <c r="ER85" s="538"/>
      <c r="ES85" s="538"/>
      <c r="ET85" s="538"/>
      <c r="EU85" s="538"/>
      <c r="EV85" s="538"/>
      <c r="EW85" s="538"/>
      <c r="EX85" s="559"/>
      <c r="EY85" s="559"/>
      <c r="EZ85" s="559"/>
      <c r="FA85" s="559"/>
      <c r="FB85" s="559"/>
      <c r="FC85" s="559"/>
      <c r="FD85" s="559"/>
      <c r="FE85" s="559"/>
      <c r="FF85" s="559"/>
      <c r="FG85" s="559"/>
      <c r="FH85" s="559"/>
      <c r="FI85" s="559"/>
      <c r="FJ85" s="559"/>
      <c r="FK85" s="559"/>
      <c r="FL85" s="559"/>
      <c r="FM85" s="559"/>
      <c r="FN85" s="559"/>
      <c r="FO85" s="559"/>
      <c r="FP85" s="559"/>
      <c r="FQ85" s="559"/>
      <c r="FR85" s="559"/>
      <c r="FS85" s="559"/>
      <c r="FT85" s="559"/>
      <c r="FU85" s="559"/>
      <c r="FV85" s="559"/>
      <c r="FW85" s="559"/>
      <c r="FX85" s="559"/>
      <c r="FY85" s="559"/>
      <c r="FZ85" s="559"/>
      <c r="GA85" s="559"/>
      <c r="GB85" s="559"/>
      <c r="GC85" s="559"/>
      <c r="GD85" s="559"/>
      <c r="GE85" s="559"/>
      <c r="GF85" s="559"/>
      <c r="GG85" s="559"/>
      <c r="GH85" s="559"/>
    </row>
    <row r="86">
      <c r="A86" s="538"/>
      <c r="B86" s="156"/>
      <c r="C86" s="444"/>
      <c r="D86" s="614"/>
      <c r="E86" s="68"/>
      <c r="F86" s="644"/>
      <c r="G86" s="644"/>
      <c r="H86" s="627"/>
      <c r="I86" s="622" t="s">
        <v>365</v>
      </c>
      <c r="J86" s="607"/>
      <c r="K86" s="641"/>
      <c r="L86" s="628"/>
      <c r="M86" s="626"/>
      <c r="N86" s="619"/>
      <c r="O86" s="560"/>
      <c r="P86" s="47"/>
      <c r="Q86" s="47"/>
      <c r="S86" s="572"/>
      <c r="U86" s="573"/>
      <c r="V86" s="574"/>
      <c r="W86" s="618"/>
      <c r="X86" s="576">
        <v>0.0</v>
      </c>
      <c r="Y86" s="630">
        <v>0.0</v>
      </c>
      <c r="Z86" s="630" t="s">
        <v>365</v>
      </c>
      <c r="AA86" s="631" t="b">
        <v>0</v>
      </c>
      <c r="AB86" s="631"/>
      <c r="AC86" s="576"/>
      <c r="AD86" s="479">
        <v>0.0</v>
      </c>
      <c r="AE86" s="632"/>
      <c r="AF86" s="582" t="s">
        <v>365</v>
      </c>
      <c r="AG86" s="583"/>
      <c r="AH86" s="584"/>
      <c r="AI86" s="583"/>
      <c r="AJ86" s="585"/>
      <c r="AK86" s="583"/>
      <c r="AL86" s="584"/>
      <c r="AM86" s="583"/>
      <c r="AN86" s="585"/>
      <c r="AO86" s="583"/>
      <c r="AP86" s="584"/>
      <c r="AQ86" s="583"/>
      <c r="AR86" s="585"/>
      <c r="AS86" s="583"/>
      <c r="AT86" s="584"/>
      <c r="AU86" s="583"/>
      <c r="AV86" s="585"/>
      <c r="AW86" s="583"/>
      <c r="AX86" s="584"/>
      <c r="AY86" s="583"/>
      <c r="AZ86" s="585"/>
      <c r="BA86" s="583"/>
      <c r="BB86" s="584"/>
      <c r="BC86" s="583"/>
      <c r="BD86" s="585"/>
      <c r="BE86" s="583"/>
      <c r="BF86" s="584"/>
      <c r="BG86" s="583"/>
      <c r="BH86" s="585"/>
      <c r="BI86" s="583"/>
      <c r="BJ86" s="584"/>
      <c r="BK86" s="583"/>
      <c r="BL86" s="585"/>
      <c r="BM86" s="583"/>
      <c r="BN86" s="584"/>
      <c r="BO86" s="583"/>
      <c r="BP86" s="585"/>
      <c r="BQ86" s="583"/>
      <c r="BR86" s="584"/>
      <c r="BS86" s="583"/>
      <c r="BT86" s="586"/>
      <c r="BU86" s="540"/>
      <c r="BV86" s="540"/>
      <c r="BW86" s="540"/>
      <c r="BX86" s="538"/>
      <c r="BY86" s="538"/>
      <c r="BZ86" s="592"/>
      <c r="CA86" s="633"/>
      <c r="CB86" s="592" t="s">
        <v>365</v>
      </c>
      <c r="CC86" s="592">
        <v>0.0</v>
      </c>
      <c r="CD86" s="592" t="s">
        <v>365</v>
      </c>
      <c r="CE86" s="592">
        <v>0.0</v>
      </c>
      <c r="CF86" s="592"/>
      <c r="CG86" s="592">
        <v>0.0</v>
      </c>
      <c r="CH86" s="592"/>
      <c r="CI86" s="633"/>
      <c r="CJ86" s="592">
        <v>0.0</v>
      </c>
      <c r="CK86" s="479" t="s">
        <v>365</v>
      </c>
      <c r="CL86" s="592"/>
      <c r="CM86" s="593"/>
      <c r="CN86" s="538"/>
      <c r="CO86" s="538"/>
      <c r="CP86" s="538"/>
      <c r="CQ86" s="538"/>
      <c r="CR86" s="538"/>
      <c r="CS86" s="538"/>
      <c r="CT86" s="538"/>
      <c r="CU86" s="538"/>
      <c r="CV86" s="538"/>
      <c r="CW86" s="538"/>
      <c r="CX86" s="538"/>
      <c r="CY86" s="538"/>
      <c r="CZ86" s="538"/>
      <c r="DA86" s="538"/>
      <c r="DB86" s="538"/>
      <c r="DC86" s="538"/>
      <c r="DD86" s="538"/>
      <c r="DE86" s="538"/>
      <c r="DF86" s="538"/>
      <c r="DG86" s="538"/>
      <c r="DH86" s="538"/>
      <c r="DI86" s="538"/>
      <c r="DJ86" s="538"/>
      <c r="DK86" s="538"/>
      <c r="DL86" s="538"/>
      <c r="DM86" s="538"/>
      <c r="DN86" s="538"/>
      <c r="DO86" s="538"/>
      <c r="DP86" s="538"/>
      <c r="DQ86" s="538"/>
      <c r="DR86" s="538"/>
      <c r="DS86" s="538"/>
      <c r="DT86" s="538"/>
      <c r="DU86" s="538"/>
      <c r="DV86" s="538"/>
      <c r="DW86" s="538"/>
      <c r="DX86" s="538"/>
      <c r="DY86" s="538"/>
      <c r="DZ86" s="538"/>
      <c r="EA86" s="538"/>
      <c r="EB86" s="538"/>
      <c r="EC86" s="538"/>
      <c r="ED86" s="538"/>
      <c r="EE86" s="538"/>
      <c r="EF86" s="538"/>
      <c r="EG86" s="538"/>
      <c r="EH86" s="538"/>
      <c r="EI86" s="538"/>
      <c r="EJ86" s="538"/>
      <c r="EK86" s="538"/>
      <c r="EL86" s="538"/>
      <c r="EM86" s="538"/>
      <c r="EN86" s="538"/>
      <c r="EO86" s="538"/>
      <c r="EP86" s="538"/>
      <c r="EQ86" s="538"/>
      <c r="ER86" s="538"/>
      <c r="ES86" s="538"/>
      <c r="ET86" s="538"/>
      <c r="EU86" s="538"/>
      <c r="EV86" s="538"/>
      <c r="EW86" s="538"/>
      <c r="EX86" s="559"/>
      <c r="EY86" s="559"/>
      <c r="EZ86" s="559"/>
      <c r="FA86" s="559"/>
      <c r="FB86" s="559"/>
      <c r="FC86" s="559"/>
      <c r="FD86" s="559"/>
      <c r="FE86" s="559"/>
      <c r="FF86" s="559"/>
      <c r="FG86" s="559"/>
      <c r="FH86" s="559"/>
      <c r="FI86" s="559"/>
      <c r="FJ86" s="559"/>
      <c r="FK86" s="559"/>
      <c r="FL86" s="559"/>
      <c r="FM86" s="559"/>
      <c r="FN86" s="559"/>
      <c r="FO86" s="559"/>
      <c r="FP86" s="559"/>
      <c r="FQ86" s="559"/>
      <c r="FR86" s="559"/>
      <c r="FS86" s="559"/>
      <c r="FT86" s="559"/>
      <c r="FU86" s="559"/>
      <c r="FV86" s="559"/>
      <c r="FW86" s="559"/>
      <c r="FX86" s="559"/>
      <c r="FY86" s="559"/>
      <c r="FZ86" s="559"/>
      <c r="GA86" s="559"/>
      <c r="GB86" s="559"/>
      <c r="GC86" s="559"/>
      <c r="GD86" s="559"/>
      <c r="GE86" s="559"/>
      <c r="GF86" s="559"/>
      <c r="GG86" s="559"/>
      <c r="GH86" s="559"/>
    </row>
    <row r="87">
      <c r="A87" s="538"/>
      <c r="B87" s="156"/>
      <c r="C87" s="444"/>
      <c r="D87" s="614"/>
      <c r="E87" s="66"/>
      <c r="F87" s="642"/>
      <c r="G87" s="642"/>
      <c r="H87" s="615"/>
      <c r="I87" s="616" t="s">
        <v>365</v>
      </c>
      <c r="J87" s="624"/>
      <c r="K87" s="643"/>
      <c r="L87" s="640"/>
      <c r="M87" s="625"/>
      <c r="N87" s="617"/>
      <c r="O87" s="134"/>
      <c r="P87" s="57"/>
      <c r="Q87" s="57"/>
      <c r="S87" s="605"/>
      <c r="U87" s="573"/>
      <c r="V87" s="574"/>
      <c r="W87" s="618"/>
      <c r="X87" s="576">
        <v>0.0</v>
      </c>
      <c r="Y87" s="630">
        <v>0.0</v>
      </c>
      <c r="Z87" s="630" t="s">
        <v>365</v>
      </c>
      <c r="AA87" s="631" t="b">
        <v>0</v>
      </c>
      <c r="AB87" s="631"/>
      <c r="AC87" s="576"/>
      <c r="AD87" s="479">
        <v>0.0</v>
      </c>
      <c r="AE87" s="632"/>
      <c r="AF87" s="582" t="s">
        <v>365</v>
      </c>
      <c r="AG87" s="583"/>
      <c r="AH87" s="584"/>
      <c r="AI87" s="583"/>
      <c r="AJ87" s="585"/>
      <c r="AK87" s="583"/>
      <c r="AL87" s="584"/>
      <c r="AM87" s="583"/>
      <c r="AN87" s="585"/>
      <c r="AO87" s="583"/>
      <c r="AP87" s="584"/>
      <c r="AQ87" s="583"/>
      <c r="AR87" s="585"/>
      <c r="AS87" s="583"/>
      <c r="AT87" s="584"/>
      <c r="AU87" s="583"/>
      <c r="AV87" s="585"/>
      <c r="AW87" s="583"/>
      <c r="AX87" s="584"/>
      <c r="AY87" s="583"/>
      <c r="AZ87" s="585"/>
      <c r="BA87" s="583"/>
      <c r="BB87" s="584"/>
      <c r="BC87" s="583"/>
      <c r="BD87" s="585"/>
      <c r="BE87" s="583"/>
      <c r="BF87" s="584"/>
      <c r="BG87" s="583"/>
      <c r="BH87" s="585"/>
      <c r="BI87" s="583"/>
      <c r="BJ87" s="584"/>
      <c r="BK87" s="583"/>
      <c r="BL87" s="585"/>
      <c r="BM87" s="583"/>
      <c r="BN87" s="584"/>
      <c r="BO87" s="583"/>
      <c r="BP87" s="585"/>
      <c r="BQ87" s="583"/>
      <c r="BR87" s="584"/>
      <c r="BS87" s="583"/>
      <c r="BT87" s="586"/>
      <c r="BU87" s="540"/>
      <c r="BV87" s="540"/>
      <c r="BW87" s="540"/>
      <c r="BX87" s="538"/>
      <c r="BY87" s="538"/>
      <c r="BZ87" s="592"/>
      <c r="CA87" s="633"/>
      <c r="CB87" s="592" t="s">
        <v>365</v>
      </c>
      <c r="CC87" s="592">
        <v>0.0</v>
      </c>
      <c r="CD87" s="592" t="s">
        <v>365</v>
      </c>
      <c r="CE87" s="592">
        <v>0.0</v>
      </c>
      <c r="CF87" s="592"/>
      <c r="CG87" s="592">
        <v>0.0</v>
      </c>
      <c r="CH87" s="592"/>
      <c r="CI87" s="633"/>
      <c r="CJ87" s="592">
        <v>0.0</v>
      </c>
      <c r="CK87" s="479" t="s">
        <v>365</v>
      </c>
      <c r="CL87" s="592"/>
      <c r="CM87" s="593"/>
      <c r="CN87" s="538"/>
      <c r="CO87" s="538"/>
      <c r="CP87" s="538"/>
      <c r="CQ87" s="538"/>
      <c r="CR87" s="538"/>
      <c r="CS87" s="538"/>
      <c r="CT87" s="538"/>
      <c r="CU87" s="538"/>
      <c r="CV87" s="538"/>
      <c r="CW87" s="538"/>
      <c r="CX87" s="538"/>
      <c r="CY87" s="538"/>
      <c r="CZ87" s="538"/>
      <c r="DA87" s="538"/>
      <c r="DB87" s="538"/>
      <c r="DC87" s="538"/>
      <c r="DD87" s="538"/>
      <c r="DE87" s="538"/>
      <c r="DF87" s="538"/>
      <c r="DG87" s="538"/>
      <c r="DH87" s="538"/>
      <c r="DI87" s="538"/>
      <c r="DJ87" s="538"/>
      <c r="DK87" s="538"/>
      <c r="DL87" s="538"/>
      <c r="DM87" s="538"/>
      <c r="DN87" s="538"/>
      <c r="DO87" s="538"/>
      <c r="DP87" s="538"/>
      <c r="DQ87" s="538"/>
      <c r="DR87" s="538"/>
      <c r="DS87" s="538"/>
      <c r="DT87" s="538"/>
      <c r="DU87" s="538"/>
      <c r="DV87" s="538"/>
      <c r="DW87" s="538"/>
      <c r="DX87" s="538"/>
      <c r="DY87" s="538"/>
      <c r="DZ87" s="538"/>
      <c r="EA87" s="538"/>
      <c r="EB87" s="538"/>
      <c r="EC87" s="538"/>
      <c r="ED87" s="538"/>
      <c r="EE87" s="538"/>
      <c r="EF87" s="538"/>
      <c r="EG87" s="538"/>
      <c r="EH87" s="538"/>
      <c r="EI87" s="538"/>
      <c r="EJ87" s="538"/>
      <c r="EK87" s="538"/>
      <c r="EL87" s="538"/>
      <c r="EM87" s="538"/>
      <c r="EN87" s="538"/>
      <c r="EO87" s="538"/>
      <c r="EP87" s="538"/>
      <c r="EQ87" s="538"/>
      <c r="ER87" s="538"/>
      <c r="ES87" s="538"/>
      <c r="ET87" s="538"/>
      <c r="EU87" s="538"/>
      <c r="EV87" s="538"/>
      <c r="EW87" s="538"/>
      <c r="EX87" s="559"/>
      <c r="EY87" s="559"/>
      <c r="EZ87" s="559"/>
      <c r="FA87" s="559"/>
      <c r="FB87" s="559"/>
      <c r="FC87" s="559"/>
      <c r="FD87" s="559"/>
      <c r="FE87" s="559"/>
      <c r="FF87" s="559"/>
      <c r="FG87" s="559"/>
      <c r="FH87" s="559"/>
      <c r="FI87" s="559"/>
      <c r="FJ87" s="559"/>
      <c r="FK87" s="559"/>
      <c r="FL87" s="559"/>
      <c r="FM87" s="559"/>
      <c r="FN87" s="559"/>
      <c r="FO87" s="559"/>
      <c r="FP87" s="559"/>
      <c r="FQ87" s="559"/>
      <c r="FR87" s="559"/>
      <c r="FS87" s="559"/>
      <c r="FT87" s="559"/>
      <c r="FU87" s="559"/>
      <c r="FV87" s="559"/>
      <c r="FW87" s="559"/>
      <c r="FX87" s="559"/>
      <c r="FY87" s="559"/>
      <c r="FZ87" s="559"/>
      <c r="GA87" s="559"/>
      <c r="GB87" s="559"/>
      <c r="GC87" s="559"/>
      <c r="GD87" s="559"/>
      <c r="GE87" s="559"/>
      <c r="GF87" s="559"/>
      <c r="GG87" s="559"/>
      <c r="GH87" s="559"/>
    </row>
    <row r="88">
      <c r="A88" s="538"/>
      <c r="B88" s="156"/>
      <c r="C88" s="444"/>
      <c r="D88" s="614"/>
      <c r="E88" s="68"/>
      <c r="F88" s="644"/>
      <c r="G88" s="644"/>
      <c r="H88" s="627"/>
      <c r="I88" s="622" t="s">
        <v>365</v>
      </c>
      <c r="J88" s="607"/>
      <c r="K88" s="641"/>
      <c r="L88" s="628"/>
      <c r="M88" s="626"/>
      <c r="N88" s="619"/>
      <c r="O88" s="560"/>
      <c r="P88" s="47"/>
      <c r="Q88" s="47"/>
      <c r="S88" s="572"/>
      <c r="U88" s="573"/>
      <c r="V88" s="574"/>
      <c r="W88" s="618"/>
      <c r="X88" s="576">
        <v>0.0</v>
      </c>
      <c r="Y88" s="630">
        <v>0.0</v>
      </c>
      <c r="Z88" s="630" t="s">
        <v>365</v>
      </c>
      <c r="AA88" s="631" t="b">
        <v>0</v>
      </c>
      <c r="AB88" s="631"/>
      <c r="AC88" s="576"/>
      <c r="AD88" s="479">
        <v>0.0</v>
      </c>
      <c r="AE88" s="632"/>
      <c r="AF88" s="582" t="s">
        <v>365</v>
      </c>
      <c r="AG88" s="583"/>
      <c r="AH88" s="584"/>
      <c r="AI88" s="583"/>
      <c r="AJ88" s="585"/>
      <c r="AK88" s="583"/>
      <c r="AL88" s="584"/>
      <c r="AM88" s="583"/>
      <c r="AN88" s="585"/>
      <c r="AO88" s="583"/>
      <c r="AP88" s="584"/>
      <c r="AQ88" s="583"/>
      <c r="AR88" s="585"/>
      <c r="AS88" s="583"/>
      <c r="AT88" s="584"/>
      <c r="AU88" s="583"/>
      <c r="AV88" s="585"/>
      <c r="AW88" s="583"/>
      <c r="AX88" s="584"/>
      <c r="AY88" s="583"/>
      <c r="AZ88" s="585"/>
      <c r="BA88" s="583"/>
      <c r="BB88" s="584"/>
      <c r="BC88" s="583"/>
      <c r="BD88" s="585"/>
      <c r="BE88" s="583"/>
      <c r="BF88" s="584"/>
      <c r="BG88" s="583"/>
      <c r="BH88" s="585"/>
      <c r="BI88" s="583"/>
      <c r="BJ88" s="584"/>
      <c r="BK88" s="583"/>
      <c r="BL88" s="585"/>
      <c r="BM88" s="583"/>
      <c r="BN88" s="584"/>
      <c r="BO88" s="583"/>
      <c r="BP88" s="585"/>
      <c r="BQ88" s="583"/>
      <c r="BR88" s="584"/>
      <c r="BS88" s="583"/>
      <c r="BT88" s="586"/>
      <c r="BU88" s="540"/>
      <c r="BV88" s="540"/>
      <c r="BW88" s="540"/>
      <c r="BX88" s="538"/>
      <c r="BY88" s="538"/>
      <c r="BZ88" s="592"/>
      <c r="CA88" s="633"/>
      <c r="CB88" s="592" t="s">
        <v>365</v>
      </c>
      <c r="CC88" s="592">
        <v>0.0</v>
      </c>
      <c r="CD88" s="592" t="s">
        <v>365</v>
      </c>
      <c r="CE88" s="592">
        <v>0.0</v>
      </c>
      <c r="CF88" s="592"/>
      <c r="CG88" s="592">
        <v>0.0</v>
      </c>
      <c r="CH88" s="592"/>
      <c r="CI88" s="633"/>
      <c r="CJ88" s="592">
        <v>0.0</v>
      </c>
      <c r="CK88" s="479" t="s">
        <v>365</v>
      </c>
      <c r="CL88" s="592"/>
      <c r="CM88" s="593"/>
      <c r="CN88" s="538"/>
      <c r="CO88" s="538"/>
      <c r="CP88" s="538"/>
      <c r="CQ88" s="538"/>
      <c r="CR88" s="538"/>
      <c r="CS88" s="538"/>
      <c r="CT88" s="538"/>
      <c r="CU88" s="538"/>
      <c r="CV88" s="538"/>
      <c r="CW88" s="538"/>
      <c r="CX88" s="538"/>
      <c r="CY88" s="538"/>
      <c r="CZ88" s="538"/>
      <c r="DA88" s="538"/>
      <c r="DB88" s="538"/>
      <c r="DC88" s="538"/>
      <c r="DD88" s="538"/>
      <c r="DE88" s="538"/>
      <c r="DF88" s="538"/>
      <c r="DG88" s="538"/>
      <c r="DH88" s="538"/>
      <c r="DI88" s="538"/>
      <c r="DJ88" s="538"/>
      <c r="DK88" s="538"/>
      <c r="DL88" s="538"/>
      <c r="DM88" s="538"/>
      <c r="DN88" s="538"/>
      <c r="DO88" s="538"/>
      <c r="DP88" s="538"/>
      <c r="DQ88" s="538"/>
      <c r="DR88" s="538"/>
      <c r="DS88" s="538"/>
      <c r="DT88" s="538"/>
      <c r="DU88" s="538"/>
      <c r="DV88" s="538"/>
      <c r="DW88" s="538"/>
      <c r="DX88" s="538"/>
      <c r="DY88" s="538"/>
      <c r="DZ88" s="538"/>
      <c r="EA88" s="538"/>
      <c r="EB88" s="538"/>
      <c r="EC88" s="538"/>
      <c r="ED88" s="538"/>
      <c r="EE88" s="538"/>
      <c r="EF88" s="538"/>
      <c r="EG88" s="538"/>
      <c r="EH88" s="538"/>
      <c r="EI88" s="538"/>
      <c r="EJ88" s="538"/>
      <c r="EK88" s="538"/>
      <c r="EL88" s="538"/>
      <c r="EM88" s="538"/>
      <c r="EN88" s="538"/>
      <c r="EO88" s="538"/>
      <c r="EP88" s="538"/>
      <c r="EQ88" s="538"/>
      <c r="ER88" s="538"/>
      <c r="ES88" s="538"/>
      <c r="ET88" s="538"/>
      <c r="EU88" s="538"/>
      <c r="EV88" s="538"/>
      <c r="EW88" s="538"/>
      <c r="EX88" s="559"/>
      <c r="EY88" s="559"/>
      <c r="EZ88" s="559"/>
      <c r="FA88" s="559"/>
      <c r="FB88" s="559"/>
      <c r="FC88" s="559"/>
      <c r="FD88" s="559"/>
      <c r="FE88" s="559"/>
      <c r="FF88" s="559"/>
      <c r="FG88" s="559"/>
      <c r="FH88" s="559"/>
      <c r="FI88" s="559"/>
      <c r="FJ88" s="559"/>
      <c r="FK88" s="559"/>
      <c r="FL88" s="559"/>
      <c r="FM88" s="559"/>
      <c r="FN88" s="559"/>
      <c r="FO88" s="559"/>
      <c r="FP88" s="559"/>
      <c r="FQ88" s="559"/>
      <c r="FR88" s="559"/>
      <c r="FS88" s="559"/>
      <c r="FT88" s="559"/>
      <c r="FU88" s="559"/>
      <c r="FV88" s="559"/>
      <c r="FW88" s="559"/>
      <c r="FX88" s="559"/>
      <c r="FY88" s="559"/>
      <c r="FZ88" s="559"/>
      <c r="GA88" s="559"/>
      <c r="GB88" s="559"/>
      <c r="GC88" s="559"/>
      <c r="GD88" s="559"/>
      <c r="GE88" s="559"/>
      <c r="GF88" s="559"/>
      <c r="GG88" s="559"/>
      <c r="GH88" s="559"/>
    </row>
    <row r="89">
      <c r="A89" s="538"/>
      <c r="B89" s="156"/>
      <c r="C89" s="444"/>
      <c r="D89" s="614"/>
      <c r="E89" s="66"/>
      <c r="F89" s="642"/>
      <c r="G89" s="642"/>
      <c r="H89" s="615"/>
      <c r="I89" s="616" t="s">
        <v>365</v>
      </c>
      <c r="J89" s="624"/>
      <c r="K89" s="643"/>
      <c r="L89" s="640"/>
      <c r="M89" s="625"/>
      <c r="N89" s="617"/>
      <c r="O89" s="134"/>
      <c r="P89" s="57"/>
      <c r="Q89" s="57"/>
      <c r="S89" s="605"/>
      <c r="U89" s="573"/>
      <c r="V89" s="574"/>
      <c r="W89" s="618"/>
      <c r="X89" s="576">
        <v>0.0</v>
      </c>
      <c r="Y89" s="630">
        <v>0.0</v>
      </c>
      <c r="Z89" s="630" t="s">
        <v>365</v>
      </c>
      <c r="AA89" s="631" t="b">
        <v>0</v>
      </c>
      <c r="AB89" s="631"/>
      <c r="AC89" s="576"/>
      <c r="AD89" s="479">
        <v>0.0</v>
      </c>
      <c r="AE89" s="632"/>
      <c r="AF89" s="582" t="s">
        <v>365</v>
      </c>
      <c r="AG89" s="583"/>
      <c r="AH89" s="584"/>
      <c r="AI89" s="583"/>
      <c r="AJ89" s="585"/>
      <c r="AK89" s="583"/>
      <c r="AL89" s="584"/>
      <c r="AM89" s="583"/>
      <c r="AN89" s="585"/>
      <c r="AO89" s="583"/>
      <c r="AP89" s="584"/>
      <c r="AQ89" s="583"/>
      <c r="AR89" s="585"/>
      <c r="AS89" s="583"/>
      <c r="AT89" s="584"/>
      <c r="AU89" s="583"/>
      <c r="AV89" s="585"/>
      <c r="AW89" s="583"/>
      <c r="AX89" s="584"/>
      <c r="AY89" s="583"/>
      <c r="AZ89" s="585"/>
      <c r="BA89" s="583"/>
      <c r="BB89" s="584"/>
      <c r="BC89" s="583"/>
      <c r="BD89" s="585"/>
      <c r="BE89" s="583"/>
      <c r="BF89" s="584"/>
      <c r="BG89" s="583"/>
      <c r="BH89" s="585"/>
      <c r="BI89" s="583"/>
      <c r="BJ89" s="584"/>
      <c r="BK89" s="583"/>
      <c r="BL89" s="585"/>
      <c r="BM89" s="583"/>
      <c r="BN89" s="584"/>
      <c r="BO89" s="583"/>
      <c r="BP89" s="585"/>
      <c r="BQ89" s="583"/>
      <c r="BR89" s="584"/>
      <c r="BS89" s="583"/>
      <c r="BT89" s="586"/>
      <c r="BU89" s="540"/>
      <c r="BV89" s="540"/>
      <c r="BW89" s="540"/>
      <c r="BX89" s="538"/>
      <c r="BY89" s="538"/>
      <c r="BZ89" s="592"/>
      <c r="CA89" s="633"/>
      <c r="CB89" s="592" t="s">
        <v>365</v>
      </c>
      <c r="CC89" s="592">
        <v>0.0</v>
      </c>
      <c r="CD89" s="592" t="s">
        <v>365</v>
      </c>
      <c r="CE89" s="592">
        <v>0.0</v>
      </c>
      <c r="CF89" s="592"/>
      <c r="CG89" s="592">
        <v>0.0</v>
      </c>
      <c r="CH89" s="592"/>
      <c r="CI89" s="633"/>
      <c r="CJ89" s="592">
        <v>0.0</v>
      </c>
      <c r="CK89" s="479" t="s">
        <v>365</v>
      </c>
      <c r="CL89" s="592"/>
      <c r="CM89" s="593"/>
      <c r="CN89" s="538"/>
      <c r="CO89" s="538"/>
      <c r="CP89" s="538"/>
      <c r="CQ89" s="538"/>
      <c r="CR89" s="538"/>
      <c r="CS89" s="538"/>
      <c r="CT89" s="538"/>
      <c r="CU89" s="538"/>
      <c r="CV89" s="538"/>
      <c r="CW89" s="538"/>
      <c r="CX89" s="538"/>
      <c r="CY89" s="538"/>
      <c r="CZ89" s="538"/>
      <c r="DA89" s="538"/>
      <c r="DB89" s="538"/>
      <c r="DC89" s="538"/>
      <c r="DD89" s="538"/>
      <c r="DE89" s="538"/>
      <c r="DF89" s="538"/>
      <c r="DG89" s="538"/>
      <c r="DH89" s="538"/>
      <c r="DI89" s="538"/>
      <c r="DJ89" s="538"/>
      <c r="DK89" s="538"/>
      <c r="DL89" s="538"/>
      <c r="DM89" s="538"/>
      <c r="DN89" s="538"/>
      <c r="DO89" s="538"/>
      <c r="DP89" s="538"/>
      <c r="DQ89" s="538"/>
      <c r="DR89" s="538"/>
      <c r="DS89" s="538"/>
      <c r="DT89" s="538"/>
      <c r="DU89" s="538"/>
      <c r="DV89" s="538"/>
      <c r="DW89" s="538"/>
      <c r="DX89" s="538"/>
      <c r="DY89" s="538"/>
      <c r="DZ89" s="538"/>
      <c r="EA89" s="538"/>
      <c r="EB89" s="538"/>
      <c r="EC89" s="538"/>
      <c r="ED89" s="538"/>
      <c r="EE89" s="538"/>
      <c r="EF89" s="538"/>
      <c r="EG89" s="538"/>
      <c r="EH89" s="538"/>
      <c r="EI89" s="538"/>
      <c r="EJ89" s="538"/>
      <c r="EK89" s="538"/>
      <c r="EL89" s="538"/>
      <c r="EM89" s="538"/>
      <c r="EN89" s="538"/>
      <c r="EO89" s="538"/>
      <c r="EP89" s="538"/>
      <c r="EQ89" s="538"/>
      <c r="ER89" s="538"/>
      <c r="ES89" s="538"/>
      <c r="ET89" s="538"/>
      <c r="EU89" s="538"/>
      <c r="EV89" s="538"/>
      <c r="EW89" s="538"/>
      <c r="EX89" s="559"/>
      <c r="EY89" s="559"/>
      <c r="EZ89" s="559"/>
      <c r="FA89" s="559"/>
      <c r="FB89" s="559"/>
      <c r="FC89" s="559"/>
      <c r="FD89" s="559"/>
      <c r="FE89" s="559"/>
      <c r="FF89" s="559"/>
      <c r="FG89" s="559"/>
      <c r="FH89" s="559"/>
      <c r="FI89" s="559"/>
      <c r="FJ89" s="559"/>
      <c r="FK89" s="559"/>
      <c r="FL89" s="559"/>
      <c r="FM89" s="559"/>
      <c r="FN89" s="559"/>
      <c r="FO89" s="559"/>
      <c r="FP89" s="559"/>
      <c r="FQ89" s="559"/>
      <c r="FR89" s="559"/>
      <c r="FS89" s="559"/>
      <c r="FT89" s="559"/>
      <c r="FU89" s="559"/>
      <c r="FV89" s="559"/>
      <c r="FW89" s="559"/>
      <c r="FX89" s="559"/>
      <c r="FY89" s="559"/>
      <c r="FZ89" s="559"/>
      <c r="GA89" s="559"/>
      <c r="GB89" s="559"/>
      <c r="GC89" s="559"/>
      <c r="GD89" s="559"/>
      <c r="GE89" s="559"/>
      <c r="GF89" s="559"/>
      <c r="GG89" s="559"/>
      <c r="GH89" s="559"/>
    </row>
    <row r="90">
      <c r="A90" s="538"/>
      <c r="B90" s="156"/>
      <c r="C90" s="444"/>
      <c r="D90" s="614"/>
      <c r="E90" s="68"/>
      <c r="F90" s="644"/>
      <c r="G90" s="644"/>
      <c r="H90" s="627"/>
      <c r="I90" s="622" t="s">
        <v>365</v>
      </c>
      <c r="J90" s="607"/>
      <c r="K90" s="641"/>
      <c r="L90" s="628"/>
      <c r="M90" s="626"/>
      <c r="N90" s="619"/>
      <c r="O90" s="560"/>
      <c r="P90" s="47"/>
      <c r="Q90" s="47"/>
      <c r="S90" s="572"/>
      <c r="U90" s="573"/>
      <c r="V90" s="574"/>
      <c r="W90" s="618"/>
      <c r="X90" s="576">
        <v>0.0</v>
      </c>
      <c r="Y90" s="630">
        <v>0.0</v>
      </c>
      <c r="Z90" s="630" t="s">
        <v>365</v>
      </c>
      <c r="AA90" s="631" t="b">
        <v>0</v>
      </c>
      <c r="AB90" s="631"/>
      <c r="AC90" s="576"/>
      <c r="AD90" s="479">
        <v>0.0</v>
      </c>
      <c r="AE90" s="632"/>
      <c r="AF90" s="582" t="s">
        <v>365</v>
      </c>
      <c r="AG90" s="583"/>
      <c r="AH90" s="584"/>
      <c r="AI90" s="583"/>
      <c r="AJ90" s="585"/>
      <c r="AK90" s="583"/>
      <c r="AL90" s="584"/>
      <c r="AM90" s="583"/>
      <c r="AN90" s="585"/>
      <c r="AO90" s="583"/>
      <c r="AP90" s="584"/>
      <c r="AQ90" s="583"/>
      <c r="AR90" s="585"/>
      <c r="AS90" s="583"/>
      <c r="AT90" s="584"/>
      <c r="AU90" s="583"/>
      <c r="AV90" s="585"/>
      <c r="AW90" s="583"/>
      <c r="AX90" s="584"/>
      <c r="AY90" s="583"/>
      <c r="AZ90" s="585"/>
      <c r="BA90" s="583"/>
      <c r="BB90" s="584"/>
      <c r="BC90" s="583"/>
      <c r="BD90" s="585"/>
      <c r="BE90" s="583"/>
      <c r="BF90" s="584"/>
      <c r="BG90" s="583"/>
      <c r="BH90" s="585"/>
      <c r="BI90" s="583"/>
      <c r="BJ90" s="584"/>
      <c r="BK90" s="583"/>
      <c r="BL90" s="585"/>
      <c r="BM90" s="583"/>
      <c r="BN90" s="584"/>
      <c r="BO90" s="583"/>
      <c r="BP90" s="585"/>
      <c r="BQ90" s="583"/>
      <c r="BR90" s="584"/>
      <c r="BS90" s="583"/>
      <c r="BT90" s="586"/>
      <c r="BU90" s="540"/>
      <c r="BV90" s="540"/>
      <c r="BW90" s="540"/>
      <c r="BX90" s="538"/>
      <c r="BY90" s="538"/>
      <c r="BZ90" s="592"/>
      <c r="CA90" s="633"/>
      <c r="CB90" s="592" t="s">
        <v>365</v>
      </c>
      <c r="CC90" s="592">
        <v>0.0</v>
      </c>
      <c r="CD90" s="592" t="s">
        <v>365</v>
      </c>
      <c r="CE90" s="592">
        <v>0.0</v>
      </c>
      <c r="CF90" s="592"/>
      <c r="CG90" s="592">
        <v>0.0</v>
      </c>
      <c r="CH90" s="592"/>
      <c r="CI90" s="633"/>
      <c r="CJ90" s="592">
        <v>0.0</v>
      </c>
      <c r="CK90" s="479" t="s">
        <v>365</v>
      </c>
      <c r="CL90" s="592"/>
      <c r="CM90" s="593"/>
      <c r="CN90" s="538"/>
      <c r="CO90" s="538"/>
      <c r="CP90" s="538"/>
      <c r="CQ90" s="538"/>
      <c r="CR90" s="538"/>
      <c r="CS90" s="538"/>
      <c r="CT90" s="538"/>
      <c r="CU90" s="538"/>
      <c r="CV90" s="538"/>
      <c r="CW90" s="538"/>
      <c r="CX90" s="538"/>
      <c r="CY90" s="538"/>
      <c r="CZ90" s="538"/>
      <c r="DA90" s="538"/>
      <c r="DB90" s="538"/>
      <c r="DC90" s="538"/>
      <c r="DD90" s="538"/>
      <c r="DE90" s="538"/>
      <c r="DF90" s="538"/>
      <c r="DG90" s="538"/>
      <c r="DH90" s="538"/>
      <c r="DI90" s="538"/>
      <c r="DJ90" s="538"/>
      <c r="DK90" s="538"/>
      <c r="DL90" s="538"/>
      <c r="DM90" s="538"/>
      <c r="DN90" s="538"/>
      <c r="DO90" s="538"/>
      <c r="DP90" s="538"/>
      <c r="DQ90" s="538"/>
      <c r="DR90" s="538"/>
      <c r="DS90" s="538"/>
      <c r="DT90" s="538"/>
      <c r="DU90" s="538"/>
      <c r="DV90" s="538"/>
      <c r="DW90" s="538"/>
      <c r="DX90" s="538"/>
      <c r="DY90" s="538"/>
      <c r="DZ90" s="538"/>
      <c r="EA90" s="538"/>
      <c r="EB90" s="538"/>
      <c r="EC90" s="538"/>
      <c r="ED90" s="538"/>
      <c r="EE90" s="538"/>
      <c r="EF90" s="538"/>
      <c r="EG90" s="538"/>
      <c r="EH90" s="538"/>
      <c r="EI90" s="538"/>
      <c r="EJ90" s="538"/>
      <c r="EK90" s="538"/>
      <c r="EL90" s="538"/>
      <c r="EM90" s="538"/>
      <c r="EN90" s="538"/>
      <c r="EO90" s="538"/>
      <c r="EP90" s="538"/>
      <c r="EQ90" s="538"/>
      <c r="ER90" s="538"/>
      <c r="ES90" s="538"/>
      <c r="ET90" s="538"/>
      <c r="EU90" s="538"/>
      <c r="EV90" s="538"/>
      <c r="EW90" s="538"/>
      <c r="EX90" s="559"/>
      <c r="EY90" s="559"/>
      <c r="EZ90" s="559"/>
      <c r="FA90" s="559"/>
      <c r="FB90" s="559"/>
      <c r="FC90" s="559"/>
      <c r="FD90" s="559"/>
      <c r="FE90" s="559"/>
      <c r="FF90" s="559"/>
      <c r="FG90" s="559"/>
      <c r="FH90" s="559"/>
      <c r="FI90" s="559"/>
      <c r="FJ90" s="559"/>
      <c r="FK90" s="559"/>
      <c r="FL90" s="559"/>
      <c r="FM90" s="559"/>
      <c r="FN90" s="559"/>
      <c r="FO90" s="559"/>
      <c r="FP90" s="559"/>
      <c r="FQ90" s="559"/>
      <c r="FR90" s="559"/>
      <c r="FS90" s="559"/>
      <c r="FT90" s="559"/>
      <c r="FU90" s="559"/>
      <c r="FV90" s="559"/>
      <c r="FW90" s="559"/>
      <c r="FX90" s="559"/>
      <c r="FY90" s="559"/>
      <c r="FZ90" s="559"/>
      <c r="GA90" s="559"/>
      <c r="GB90" s="559"/>
      <c r="GC90" s="559"/>
      <c r="GD90" s="559"/>
      <c r="GE90" s="559"/>
      <c r="GF90" s="559"/>
      <c r="GG90" s="559"/>
      <c r="GH90" s="559"/>
    </row>
    <row r="91">
      <c r="A91" s="538"/>
      <c r="B91" s="156"/>
      <c r="C91" s="444"/>
      <c r="D91" s="614"/>
      <c r="E91" s="66"/>
      <c r="F91" s="642"/>
      <c r="G91" s="642"/>
      <c r="H91" s="615"/>
      <c r="I91" s="616" t="s">
        <v>365</v>
      </c>
      <c r="J91" s="624"/>
      <c r="K91" s="643"/>
      <c r="L91" s="640"/>
      <c r="M91" s="625"/>
      <c r="N91" s="617"/>
      <c r="O91" s="134"/>
      <c r="P91" s="57"/>
      <c r="Q91" s="57"/>
      <c r="S91" s="605"/>
      <c r="U91" s="573"/>
      <c r="V91" s="574"/>
      <c r="W91" s="618"/>
      <c r="X91" s="576">
        <v>0.0</v>
      </c>
      <c r="Y91" s="630">
        <v>0.0</v>
      </c>
      <c r="Z91" s="630" t="s">
        <v>365</v>
      </c>
      <c r="AA91" s="631" t="b">
        <v>0</v>
      </c>
      <c r="AB91" s="631"/>
      <c r="AC91" s="576"/>
      <c r="AD91" s="479">
        <v>0.0</v>
      </c>
      <c r="AE91" s="632"/>
      <c r="AF91" s="582" t="s">
        <v>365</v>
      </c>
      <c r="AG91" s="583"/>
      <c r="AH91" s="584"/>
      <c r="AI91" s="583"/>
      <c r="AJ91" s="585"/>
      <c r="AK91" s="583"/>
      <c r="AL91" s="584"/>
      <c r="AM91" s="583"/>
      <c r="AN91" s="585"/>
      <c r="AO91" s="583"/>
      <c r="AP91" s="584"/>
      <c r="AQ91" s="583"/>
      <c r="AR91" s="585"/>
      <c r="AS91" s="583"/>
      <c r="AT91" s="584"/>
      <c r="AU91" s="583"/>
      <c r="AV91" s="585"/>
      <c r="AW91" s="583"/>
      <c r="AX91" s="584"/>
      <c r="AY91" s="583"/>
      <c r="AZ91" s="585"/>
      <c r="BA91" s="583"/>
      <c r="BB91" s="584"/>
      <c r="BC91" s="583"/>
      <c r="BD91" s="585"/>
      <c r="BE91" s="583"/>
      <c r="BF91" s="584"/>
      <c r="BG91" s="583"/>
      <c r="BH91" s="585"/>
      <c r="BI91" s="583"/>
      <c r="BJ91" s="584"/>
      <c r="BK91" s="583"/>
      <c r="BL91" s="585"/>
      <c r="BM91" s="583"/>
      <c r="BN91" s="584"/>
      <c r="BO91" s="583"/>
      <c r="BP91" s="585"/>
      <c r="BQ91" s="583"/>
      <c r="BR91" s="584"/>
      <c r="BS91" s="583"/>
      <c r="BT91" s="586"/>
      <c r="BU91" s="540"/>
      <c r="BV91" s="540"/>
      <c r="BW91" s="540"/>
      <c r="BX91" s="538"/>
      <c r="BY91" s="538"/>
      <c r="BZ91" s="592"/>
      <c r="CA91" s="633"/>
      <c r="CB91" s="592" t="s">
        <v>365</v>
      </c>
      <c r="CC91" s="592">
        <v>0.0</v>
      </c>
      <c r="CD91" s="592" t="s">
        <v>365</v>
      </c>
      <c r="CE91" s="592">
        <v>0.0</v>
      </c>
      <c r="CF91" s="592"/>
      <c r="CG91" s="592">
        <v>0.0</v>
      </c>
      <c r="CH91" s="592"/>
      <c r="CI91" s="633"/>
      <c r="CJ91" s="592">
        <v>0.0</v>
      </c>
      <c r="CK91" s="479" t="s">
        <v>365</v>
      </c>
      <c r="CL91" s="592"/>
      <c r="CM91" s="593"/>
      <c r="CN91" s="538"/>
      <c r="CO91" s="538"/>
      <c r="CP91" s="538"/>
      <c r="CQ91" s="538"/>
      <c r="CR91" s="538"/>
      <c r="CS91" s="538"/>
      <c r="CT91" s="538"/>
      <c r="CU91" s="538"/>
      <c r="CV91" s="538"/>
      <c r="CW91" s="538"/>
      <c r="CX91" s="538"/>
      <c r="CY91" s="538"/>
      <c r="CZ91" s="538"/>
      <c r="DA91" s="538"/>
      <c r="DB91" s="538"/>
      <c r="DC91" s="538"/>
      <c r="DD91" s="538"/>
      <c r="DE91" s="538"/>
      <c r="DF91" s="538"/>
      <c r="DG91" s="538"/>
      <c r="DH91" s="538"/>
      <c r="DI91" s="538"/>
      <c r="DJ91" s="538"/>
      <c r="DK91" s="538"/>
      <c r="DL91" s="538"/>
      <c r="DM91" s="538"/>
      <c r="DN91" s="538"/>
      <c r="DO91" s="538"/>
      <c r="DP91" s="538"/>
      <c r="DQ91" s="538"/>
      <c r="DR91" s="538"/>
      <c r="DS91" s="538"/>
      <c r="DT91" s="538"/>
      <c r="DU91" s="538"/>
      <c r="DV91" s="538"/>
      <c r="DW91" s="538"/>
      <c r="DX91" s="538"/>
      <c r="DY91" s="538"/>
      <c r="DZ91" s="538"/>
      <c r="EA91" s="538"/>
      <c r="EB91" s="538"/>
      <c r="EC91" s="538"/>
      <c r="ED91" s="538"/>
      <c r="EE91" s="538"/>
      <c r="EF91" s="538"/>
      <c r="EG91" s="538"/>
      <c r="EH91" s="538"/>
      <c r="EI91" s="538"/>
      <c r="EJ91" s="538"/>
      <c r="EK91" s="538"/>
      <c r="EL91" s="538"/>
      <c r="EM91" s="538"/>
      <c r="EN91" s="538"/>
      <c r="EO91" s="538"/>
      <c r="EP91" s="538"/>
      <c r="EQ91" s="538"/>
      <c r="ER91" s="538"/>
      <c r="ES91" s="538"/>
      <c r="ET91" s="538"/>
      <c r="EU91" s="538"/>
      <c r="EV91" s="538"/>
      <c r="EW91" s="538"/>
      <c r="EX91" s="559"/>
      <c r="EY91" s="559"/>
      <c r="EZ91" s="559"/>
      <c r="FA91" s="559"/>
      <c r="FB91" s="559"/>
      <c r="FC91" s="559"/>
      <c r="FD91" s="559"/>
      <c r="FE91" s="559"/>
      <c r="FF91" s="559"/>
      <c r="FG91" s="559"/>
      <c r="FH91" s="559"/>
      <c r="FI91" s="559"/>
      <c r="FJ91" s="559"/>
      <c r="FK91" s="559"/>
      <c r="FL91" s="559"/>
      <c r="FM91" s="559"/>
      <c r="FN91" s="559"/>
      <c r="FO91" s="559"/>
      <c r="FP91" s="559"/>
      <c r="FQ91" s="559"/>
      <c r="FR91" s="559"/>
      <c r="FS91" s="559"/>
      <c r="FT91" s="559"/>
      <c r="FU91" s="559"/>
      <c r="FV91" s="559"/>
      <c r="FW91" s="559"/>
      <c r="FX91" s="559"/>
      <c r="FY91" s="559"/>
      <c r="FZ91" s="559"/>
      <c r="GA91" s="559"/>
      <c r="GB91" s="559"/>
      <c r="GC91" s="559"/>
      <c r="GD91" s="559"/>
      <c r="GE91" s="559"/>
      <c r="GF91" s="559"/>
      <c r="GG91" s="559"/>
      <c r="GH91" s="559"/>
    </row>
    <row r="92">
      <c r="A92" s="538"/>
      <c r="B92" s="156"/>
      <c r="C92" s="444"/>
      <c r="D92" s="614"/>
      <c r="E92" s="68"/>
      <c r="F92" s="644"/>
      <c r="G92" s="644"/>
      <c r="H92" s="627"/>
      <c r="I92" s="622" t="s">
        <v>365</v>
      </c>
      <c r="J92" s="607"/>
      <c r="K92" s="641"/>
      <c r="L92" s="628"/>
      <c r="M92" s="626"/>
      <c r="N92" s="619"/>
      <c r="O92" s="560"/>
      <c r="P92" s="47"/>
      <c r="Q92" s="47"/>
      <c r="S92" s="572"/>
      <c r="U92" s="573"/>
      <c r="V92" s="574"/>
      <c r="W92" s="618"/>
      <c r="X92" s="576">
        <v>0.0</v>
      </c>
      <c r="Y92" s="630">
        <v>0.0</v>
      </c>
      <c r="Z92" s="630" t="s">
        <v>365</v>
      </c>
      <c r="AA92" s="631" t="b">
        <v>0</v>
      </c>
      <c r="AB92" s="631"/>
      <c r="AC92" s="576"/>
      <c r="AD92" s="479">
        <v>0.0</v>
      </c>
      <c r="AE92" s="632"/>
      <c r="AF92" s="582" t="s">
        <v>365</v>
      </c>
      <c r="AG92" s="583"/>
      <c r="AH92" s="584"/>
      <c r="AI92" s="583"/>
      <c r="AJ92" s="585"/>
      <c r="AK92" s="583"/>
      <c r="AL92" s="584"/>
      <c r="AM92" s="583"/>
      <c r="AN92" s="585"/>
      <c r="AO92" s="583"/>
      <c r="AP92" s="584"/>
      <c r="AQ92" s="583"/>
      <c r="AR92" s="585"/>
      <c r="AS92" s="583"/>
      <c r="AT92" s="584"/>
      <c r="AU92" s="583"/>
      <c r="AV92" s="585"/>
      <c r="AW92" s="583"/>
      <c r="AX92" s="584"/>
      <c r="AY92" s="583"/>
      <c r="AZ92" s="585"/>
      <c r="BA92" s="583"/>
      <c r="BB92" s="584"/>
      <c r="BC92" s="583"/>
      <c r="BD92" s="585"/>
      <c r="BE92" s="583"/>
      <c r="BF92" s="584"/>
      <c r="BG92" s="583"/>
      <c r="BH92" s="585"/>
      <c r="BI92" s="583"/>
      <c r="BJ92" s="584"/>
      <c r="BK92" s="583"/>
      <c r="BL92" s="585"/>
      <c r="BM92" s="583"/>
      <c r="BN92" s="584"/>
      <c r="BO92" s="583"/>
      <c r="BP92" s="585"/>
      <c r="BQ92" s="583"/>
      <c r="BR92" s="584"/>
      <c r="BS92" s="583"/>
      <c r="BT92" s="586"/>
      <c r="BU92" s="540"/>
      <c r="BV92" s="540"/>
      <c r="BW92" s="540"/>
      <c r="BX92" s="538"/>
      <c r="BY92" s="538"/>
      <c r="BZ92" s="592"/>
      <c r="CA92" s="633"/>
      <c r="CB92" s="592" t="s">
        <v>365</v>
      </c>
      <c r="CC92" s="592">
        <v>0.0</v>
      </c>
      <c r="CD92" s="592" t="s">
        <v>365</v>
      </c>
      <c r="CE92" s="592">
        <v>0.0</v>
      </c>
      <c r="CF92" s="592"/>
      <c r="CG92" s="592">
        <v>0.0</v>
      </c>
      <c r="CH92" s="592"/>
      <c r="CI92" s="633"/>
      <c r="CJ92" s="592">
        <v>0.0</v>
      </c>
      <c r="CK92" s="479" t="s">
        <v>365</v>
      </c>
      <c r="CL92" s="592"/>
      <c r="CM92" s="593"/>
      <c r="CN92" s="538"/>
      <c r="CO92" s="538"/>
      <c r="CP92" s="538"/>
      <c r="CQ92" s="538"/>
      <c r="CR92" s="538"/>
      <c r="CS92" s="538"/>
      <c r="CT92" s="538"/>
      <c r="CU92" s="538"/>
      <c r="CV92" s="538"/>
      <c r="CW92" s="538"/>
      <c r="CX92" s="538"/>
      <c r="CY92" s="538"/>
      <c r="CZ92" s="538"/>
      <c r="DA92" s="538"/>
      <c r="DB92" s="538"/>
      <c r="DC92" s="538"/>
      <c r="DD92" s="538"/>
      <c r="DE92" s="538"/>
      <c r="DF92" s="538"/>
      <c r="DG92" s="538"/>
      <c r="DH92" s="538"/>
      <c r="DI92" s="538"/>
      <c r="DJ92" s="538"/>
      <c r="DK92" s="538"/>
      <c r="DL92" s="538"/>
      <c r="DM92" s="538"/>
      <c r="DN92" s="538"/>
      <c r="DO92" s="538"/>
      <c r="DP92" s="538"/>
      <c r="DQ92" s="538"/>
      <c r="DR92" s="538"/>
      <c r="DS92" s="538"/>
      <c r="DT92" s="538"/>
      <c r="DU92" s="538"/>
      <c r="DV92" s="538"/>
      <c r="DW92" s="538"/>
      <c r="DX92" s="538"/>
      <c r="DY92" s="538"/>
      <c r="DZ92" s="538"/>
      <c r="EA92" s="538"/>
      <c r="EB92" s="538"/>
      <c r="EC92" s="538"/>
      <c r="ED92" s="538"/>
      <c r="EE92" s="538"/>
      <c r="EF92" s="538"/>
      <c r="EG92" s="538"/>
      <c r="EH92" s="538"/>
      <c r="EI92" s="538"/>
      <c r="EJ92" s="538"/>
      <c r="EK92" s="538"/>
      <c r="EL92" s="538"/>
      <c r="EM92" s="538"/>
      <c r="EN92" s="538"/>
      <c r="EO92" s="538"/>
      <c r="EP92" s="538"/>
      <c r="EQ92" s="538"/>
      <c r="ER92" s="538"/>
      <c r="ES92" s="538"/>
      <c r="ET92" s="538"/>
      <c r="EU92" s="538"/>
      <c r="EV92" s="538"/>
      <c r="EW92" s="538"/>
      <c r="EX92" s="559"/>
      <c r="EY92" s="559"/>
      <c r="EZ92" s="559"/>
      <c r="FA92" s="559"/>
      <c r="FB92" s="559"/>
      <c r="FC92" s="559"/>
      <c r="FD92" s="559"/>
      <c r="FE92" s="559"/>
      <c r="FF92" s="559"/>
      <c r="FG92" s="559"/>
      <c r="FH92" s="559"/>
      <c r="FI92" s="559"/>
      <c r="FJ92" s="559"/>
      <c r="FK92" s="559"/>
      <c r="FL92" s="559"/>
      <c r="FM92" s="559"/>
      <c r="FN92" s="559"/>
      <c r="FO92" s="559"/>
      <c r="FP92" s="559"/>
      <c r="FQ92" s="559"/>
      <c r="FR92" s="559"/>
      <c r="FS92" s="559"/>
      <c r="FT92" s="559"/>
      <c r="FU92" s="559"/>
      <c r="FV92" s="559"/>
      <c r="FW92" s="559"/>
      <c r="FX92" s="559"/>
      <c r="FY92" s="559"/>
      <c r="FZ92" s="559"/>
      <c r="GA92" s="559"/>
      <c r="GB92" s="559"/>
      <c r="GC92" s="559"/>
      <c r="GD92" s="559"/>
      <c r="GE92" s="559"/>
      <c r="GF92" s="559"/>
      <c r="GG92" s="559"/>
      <c r="GH92" s="559"/>
    </row>
    <row r="93">
      <c r="A93" s="538"/>
      <c r="B93" s="156"/>
      <c r="C93" s="444"/>
      <c r="D93" s="614"/>
      <c r="E93" s="66"/>
      <c r="F93" s="642"/>
      <c r="G93" s="642"/>
      <c r="H93" s="615"/>
      <c r="I93" s="616" t="s">
        <v>365</v>
      </c>
      <c r="J93" s="624"/>
      <c r="K93" s="643"/>
      <c r="L93" s="640"/>
      <c r="M93" s="625"/>
      <c r="N93" s="617"/>
      <c r="O93" s="134"/>
      <c r="P93" s="57"/>
      <c r="Q93" s="57"/>
      <c r="S93" s="605"/>
      <c r="U93" s="573"/>
      <c r="V93" s="574"/>
      <c r="W93" s="618"/>
      <c r="X93" s="576">
        <v>0.0</v>
      </c>
      <c r="Y93" s="630">
        <v>0.0</v>
      </c>
      <c r="Z93" s="630" t="s">
        <v>365</v>
      </c>
      <c r="AA93" s="631" t="b">
        <v>0</v>
      </c>
      <c r="AB93" s="631"/>
      <c r="AC93" s="576"/>
      <c r="AD93" s="479">
        <v>0.0</v>
      </c>
      <c r="AE93" s="632"/>
      <c r="AF93" s="582" t="s">
        <v>365</v>
      </c>
      <c r="AG93" s="583"/>
      <c r="AH93" s="584"/>
      <c r="AI93" s="583"/>
      <c r="AJ93" s="585"/>
      <c r="AK93" s="583"/>
      <c r="AL93" s="584"/>
      <c r="AM93" s="583"/>
      <c r="AN93" s="585"/>
      <c r="AO93" s="583"/>
      <c r="AP93" s="584"/>
      <c r="AQ93" s="583"/>
      <c r="AR93" s="585"/>
      <c r="AS93" s="583"/>
      <c r="AT93" s="584"/>
      <c r="AU93" s="583"/>
      <c r="AV93" s="585"/>
      <c r="AW93" s="583"/>
      <c r="AX93" s="584"/>
      <c r="AY93" s="583"/>
      <c r="AZ93" s="585"/>
      <c r="BA93" s="583"/>
      <c r="BB93" s="584"/>
      <c r="BC93" s="583"/>
      <c r="BD93" s="585"/>
      <c r="BE93" s="583"/>
      <c r="BF93" s="584"/>
      <c r="BG93" s="583"/>
      <c r="BH93" s="585"/>
      <c r="BI93" s="583"/>
      <c r="BJ93" s="584"/>
      <c r="BK93" s="583"/>
      <c r="BL93" s="585"/>
      <c r="BM93" s="583"/>
      <c r="BN93" s="584"/>
      <c r="BO93" s="583"/>
      <c r="BP93" s="585"/>
      <c r="BQ93" s="583"/>
      <c r="BR93" s="584"/>
      <c r="BS93" s="583"/>
      <c r="BT93" s="586"/>
      <c r="BU93" s="540"/>
      <c r="BV93" s="540"/>
      <c r="BW93" s="540"/>
      <c r="BX93" s="538"/>
      <c r="BY93" s="538"/>
      <c r="BZ93" s="592"/>
      <c r="CA93" s="633"/>
      <c r="CB93" s="592" t="s">
        <v>365</v>
      </c>
      <c r="CC93" s="592">
        <v>0.0</v>
      </c>
      <c r="CD93" s="592" t="s">
        <v>365</v>
      </c>
      <c r="CE93" s="592">
        <v>0.0</v>
      </c>
      <c r="CF93" s="592"/>
      <c r="CG93" s="592">
        <v>0.0</v>
      </c>
      <c r="CH93" s="592"/>
      <c r="CI93" s="633"/>
      <c r="CJ93" s="592">
        <v>0.0</v>
      </c>
      <c r="CK93" s="479" t="s">
        <v>365</v>
      </c>
      <c r="CL93" s="592"/>
      <c r="CM93" s="593"/>
      <c r="CN93" s="538"/>
      <c r="CO93" s="538"/>
      <c r="CP93" s="538"/>
      <c r="CQ93" s="538"/>
      <c r="CR93" s="538"/>
      <c r="CS93" s="538"/>
      <c r="CT93" s="538"/>
      <c r="CU93" s="538"/>
      <c r="CV93" s="538"/>
      <c r="CW93" s="538"/>
      <c r="CX93" s="538"/>
      <c r="CY93" s="538"/>
      <c r="CZ93" s="538"/>
      <c r="DA93" s="538"/>
      <c r="DB93" s="538"/>
      <c r="DC93" s="538"/>
      <c r="DD93" s="538"/>
      <c r="DE93" s="538"/>
      <c r="DF93" s="538"/>
      <c r="DG93" s="538"/>
      <c r="DH93" s="538"/>
      <c r="DI93" s="538"/>
      <c r="DJ93" s="538"/>
      <c r="DK93" s="538"/>
      <c r="DL93" s="538"/>
      <c r="DM93" s="538"/>
      <c r="DN93" s="538"/>
      <c r="DO93" s="538"/>
      <c r="DP93" s="538"/>
      <c r="DQ93" s="538"/>
      <c r="DR93" s="538"/>
      <c r="DS93" s="538"/>
      <c r="DT93" s="538"/>
      <c r="DU93" s="538"/>
      <c r="DV93" s="538"/>
      <c r="DW93" s="538"/>
      <c r="DX93" s="538"/>
      <c r="DY93" s="538"/>
      <c r="DZ93" s="538"/>
      <c r="EA93" s="538"/>
      <c r="EB93" s="538"/>
      <c r="EC93" s="538"/>
      <c r="ED93" s="538"/>
      <c r="EE93" s="538"/>
      <c r="EF93" s="538"/>
      <c r="EG93" s="538"/>
      <c r="EH93" s="538"/>
      <c r="EI93" s="538"/>
      <c r="EJ93" s="538"/>
      <c r="EK93" s="538"/>
      <c r="EL93" s="538"/>
      <c r="EM93" s="538"/>
      <c r="EN93" s="538"/>
      <c r="EO93" s="538"/>
      <c r="EP93" s="538"/>
      <c r="EQ93" s="538"/>
      <c r="ER93" s="538"/>
      <c r="ES93" s="538"/>
      <c r="ET93" s="538"/>
      <c r="EU93" s="538"/>
      <c r="EV93" s="538"/>
      <c r="EW93" s="538"/>
      <c r="EX93" s="559"/>
      <c r="EY93" s="559"/>
      <c r="EZ93" s="559"/>
      <c r="FA93" s="559"/>
      <c r="FB93" s="559"/>
      <c r="FC93" s="559"/>
      <c r="FD93" s="559"/>
      <c r="FE93" s="559"/>
      <c r="FF93" s="559"/>
      <c r="FG93" s="559"/>
      <c r="FH93" s="559"/>
      <c r="FI93" s="559"/>
      <c r="FJ93" s="559"/>
      <c r="FK93" s="559"/>
      <c r="FL93" s="559"/>
      <c r="FM93" s="559"/>
      <c r="FN93" s="559"/>
      <c r="FO93" s="559"/>
      <c r="FP93" s="559"/>
      <c r="FQ93" s="559"/>
      <c r="FR93" s="559"/>
      <c r="FS93" s="559"/>
      <c r="FT93" s="559"/>
      <c r="FU93" s="559"/>
      <c r="FV93" s="559"/>
      <c r="FW93" s="559"/>
      <c r="FX93" s="559"/>
      <c r="FY93" s="559"/>
      <c r="FZ93" s="559"/>
      <c r="GA93" s="559"/>
      <c r="GB93" s="559"/>
      <c r="GC93" s="559"/>
      <c r="GD93" s="559"/>
      <c r="GE93" s="559"/>
      <c r="GF93" s="559"/>
      <c r="GG93" s="559"/>
      <c r="GH93" s="559"/>
    </row>
    <row r="94">
      <c r="A94" s="538"/>
      <c r="B94" s="156"/>
      <c r="C94" s="444"/>
      <c r="D94" s="614"/>
      <c r="E94" s="68"/>
      <c r="F94" s="644"/>
      <c r="G94" s="644"/>
      <c r="H94" s="627"/>
      <c r="I94" s="622" t="s">
        <v>365</v>
      </c>
      <c r="J94" s="607"/>
      <c r="K94" s="641"/>
      <c r="L94" s="628"/>
      <c r="M94" s="626"/>
      <c r="N94" s="619"/>
      <c r="O94" s="560"/>
      <c r="P94" s="47"/>
      <c r="Q94" s="47"/>
      <c r="S94" s="572"/>
      <c r="U94" s="573"/>
      <c r="V94" s="574"/>
      <c r="W94" s="618"/>
      <c r="X94" s="576">
        <v>0.0</v>
      </c>
      <c r="Y94" s="630">
        <v>0.0</v>
      </c>
      <c r="Z94" s="630" t="s">
        <v>365</v>
      </c>
      <c r="AA94" s="631" t="b">
        <v>0</v>
      </c>
      <c r="AB94" s="631"/>
      <c r="AC94" s="576"/>
      <c r="AD94" s="479">
        <v>0.0</v>
      </c>
      <c r="AE94" s="632"/>
      <c r="AF94" s="582" t="s">
        <v>365</v>
      </c>
      <c r="AG94" s="583"/>
      <c r="AH94" s="584"/>
      <c r="AI94" s="583"/>
      <c r="AJ94" s="585"/>
      <c r="AK94" s="583"/>
      <c r="AL94" s="584"/>
      <c r="AM94" s="583"/>
      <c r="AN94" s="585"/>
      <c r="AO94" s="583"/>
      <c r="AP94" s="584"/>
      <c r="AQ94" s="583"/>
      <c r="AR94" s="585"/>
      <c r="AS94" s="583"/>
      <c r="AT94" s="584"/>
      <c r="AU94" s="583"/>
      <c r="AV94" s="585"/>
      <c r="AW94" s="583"/>
      <c r="AX94" s="584"/>
      <c r="AY94" s="583"/>
      <c r="AZ94" s="585"/>
      <c r="BA94" s="583"/>
      <c r="BB94" s="584"/>
      <c r="BC94" s="583"/>
      <c r="BD94" s="585"/>
      <c r="BE94" s="583"/>
      <c r="BF94" s="584"/>
      <c r="BG94" s="583"/>
      <c r="BH94" s="585"/>
      <c r="BI94" s="583"/>
      <c r="BJ94" s="584"/>
      <c r="BK94" s="583"/>
      <c r="BL94" s="585"/>
      <c r="BM94" s="583"/>
      <c r="BN94" s="584"/>
      <c r="BO94" s="583"/>
      <c r="BP94" s="585"/>
      <c r="BQ94" s="583"/>
      <c r="BR94" s="584"/>
      <c r="BS94" s="583"/>
      <c r="BT94" s="586"/>
      <c r="BU94" s="540"/>
      <c r="BV94" s="540"/>
      <c r="BW94" s="540"/>
      <c r="BX94" s="538"/>
      <c r="BY94" s="538"/>
      <c r="BZ94" s="592"/>
      <c r="CA94" s="633"/>
      <c r="CB94" s="592" t="s">
        <v>365</v>
      </c>
      <c r="CC94" s="592">
        <v>0.0</v>
      </c>
      <c r="CD94" s="592" t="s">
        <v>365</v>
      </c>
      <c r="CE94" s="592">
        <v>0.0</v>
      </c>
      <c r="CF94" s="592"/>
      <c r="CG94" s="592">
        <v>0.0</v>
      </c>
      <c r="CH94" s="592"/>
      <c r="CI94" s="633"/>
      <c r="CJ94" s="592">
        <v>0.0</v>
      </c>
      <c r="CK94" s="479" t="s">
        <v>365</v>
      </c>
      <c r="CL94" s="592"/>
      <c r="CM94" s="593"/>
      <c r="CN94" s="538"/>
      <c r="CO94" s="538"/>
      <c r="CP94" s="538"/>
      <c r="CQ94" s="538"/>
      <c r="CR94" s="538"/>
      <c r="CS94" s="538"/>
      <c r="CT94" s="538"/>
      <c r="CU94" s="538"/>
      <c r="CV94" s="538"/>
      <c r="CW94" s="538"/>
      <c r="CX94" s="538"/>
      <c r="CY94" s="538"/>
      <c r="CZ94" s="538"/>
      <c r="DA94" s="538"/>
      <c r="DB94" s="538"/>
      <c r="DC94" s="538"/>
      <c r="DD94" s="538"/>
      <c r="DE94" s="538"/>
      <c r="DF94" s="538"/>
      <c r="DG94" s="538"/>
      <c r="DH94" s="538"/>
      <c r="DI94" s="538"/>
      <c r="DJ94" s="538"/>
      <c r="DK94" s="538"/>
      <c r="DL94" s="538"/>
      <c r="DM94" s="538"/>
      <c r="DN94" s="538"/>
      <c r="DO94" s="538"/>
      <c r="DP94" s="538"/>
      <c r="DQ94" s="538"/>
      <c r="DR94" s="538"/>
      <c r="DS94" s="538"/>
      <c r="DT94" s="538"/>
      <c r="DU94" s="538"/>
      <c r="DV94" s="538"/>
      <c r="DW94" s="538"/>
      <c r="DX94" s="538"/>
      <c r="DY94" s="538"/>
      <c r="DZ94" s="538"/>
      <c r="EA94" s="538"/>
      <c r="EB94" s="538"/>
      <c r="EC94" s="538"/>
      <c r="ED94" s="538"/>
      <c r="EE94" s="538"/>
      <c r="EF94" s="538"/>
      <c r="EG94" s="538"/>
      <c r="EH94" s="538"/>
      <c r="EI94" s="538"/>
      <c r="EJ94" s="538"/>
      <c r="EK94" s="538"/>
      <c r="EL94" s="538"/>
      <c r="EM94" s="538"/>
      <c r="EN94" s="538"/>
      <c r="EO94" s="538"/>
      <c r="EP94" s="538"/>
      <c r="EQ94" s="538"/>
      <c r="ER94" s="538"/>
      <c r="ES94" s="538"/>
      <c r="ET94" s="538"/>
      <c r="EU94" s="538"/>
      <c r="EV94" s="538"/>
      <c r="EW94" s="538"/>
      <c r="EX94" s="559"/>
      <c r="EY94" s="559"/>
      <c r="EZ94" s="559"/>
      <c r="FA94" s="559"/>
      <c r="FB94" s="559"/>
      <c r="FC94" s="559"/>
      <c r="FD94" s="559"/>
      <c r="FE94" s="559"/>
      <c r="FF94" s="559"/>
      <c r="FG94" s="559"/>
      <c r="FH94" s="559"/>
      <c r="FI94" s="559"/>
      <c r="FJ94" s="559"/>
      <c r="FK94" s="559"/>
      <c r="FL94" s="559"/>
      <c r="FM94" s="559"/>
      <c r="FN94" s="559"/>
      <c r="FO94" s="559"/>
      <c r="FP94" s="559"/>
      <c r="FQ94" s="559"/>
      <c r="FR94" s="559"/>
      <c r="FS94" s="559"/>
      <c r="FT94" s="559"/>
      <c r="FU94" s="559"/>
      <c r="FV94" s="559"/>
      <c r="FW94" s="559"/>
      <c r="FX94" s="559"/>
      <c r="FY94" s="559"/>
      <c r="FZ94" s="559"/>
      <c r="GA94" s="559"/>
      <c r="GB94" s="559"/>
      <c r="GC94" s="559"/>
      <c r="GD94" s="559"/>
      <c r="GE94" s="559"/>
      <c r="GF94" s="559"/>
      <c r="GG94" s="559"/>
      <c r="GH94" s="559"/>
    </row>
    <row r="95">
      <c r="A95" s="538"/>
      <c r="B95" s="156"/>
      <c r="C95" s="444"/>
      <c r="D95" s="614"/>
      <c r="E95" s="66"/>
      <c r="F95" s="642"/>
      <c r="G95" s="642"/>
      <c r="H95" s="615"/>
      <c r="I95" s="616" t="s">
        <v>365</v>
      </c>
      <c r="J95" s="624"/>
      <c r="K95" s="643"/>
      <c r="L95" s="640"/>
      <c r="M95" s="625"/>
      <c r="N95" s="617"/>
      <c r="O95" s="134"/>
      <c r="P95" s="57"/>
      <c r="Q95" s="57"/>
      <c r="S95" s="605"/>
      <c r="U95" s="573"/>
      <c r="V95" s="574"/>
      <c r="W95" s="618"/>
      <c r="X95" s="576">
        <v>0.0</v>
      </c>
      <c r="Y95" s="630">
        <v>0.0</v>
      </c>
      <c r="Z95" s="630" t="s">
        <v>365</v>
      </c>
      <c r="AA95" s="631" t="b">
        <v>0</v>
      </c>
      <c r="AB95" s="631"/>
      <c r="AC95" s="576"/>
      <c r="AD95" s="479">
        <v>0.0</v>
      </c>
      <c r="AE95" s="632"/>
      <c r="AF95" s="582" t="s">
        <v>365</v>
      </c>
      <c r="AG95" s="583"/>
      <c r="AH95" s="584"/>
      <c r="AI95" s="583"/>
      <c r="AJ95" s="585"/>
      <c r="AK95" s="583"/>
      <c r="AL95" s="584"/>
      <c r="AM95" s="583"/>
      <c r="AN95" s="585"/>
      <c r="AO95" s="583"/>
      <c r="AP95" s="584"/>
      <c r="AQ95" s="583"/>
      <c r="AR95" s="585"/>
      <c r="AS95" s="583"/>
      <c r="AT95" s="584"/>
      <c r="AU95" s="583"/>
      <c r="AV95" s="585"/>
      <c r="AW95" s="583"/>
      <c r="AX95" s="584"/>
      <c r="AY95" s="583"/>
      <c r="AZ95" s="585"/>
      <c r="BA95" s="583"/>
      <c r="BB95" s="584"/>
      <c r="BC95" s="583"/>
      <c r="BD95" s="585"/>
      <c r="BE95" s="583"/>
      <c r="BF95" s="584"/>
      <c r="BG95" s="583"/>
      <c r="BH95" s="585"/>
      <c r="BI95" s="583"/>
      <c r="BJ95" s="584"/>
      <c r="BK95" s="583"/>
      <c r="BL95" s="585"/>
      <c r="BM95" s="583"/>
      <c r="BN95" s="584"/>
      <c r="BO95" s="583"/>
      <c r="BP95" s="585"/>
      <c r="BQ95" s="583"/>
      <c r="BR95" s="584"/>
      <c r="BS95" s="583"/>
      <c r="BT95" s="586"/>
      <c r="BU95" s="540"/>
      <c r="BV95" s="540"/>
      <c r="BW95" s="540"/>
      <c r="BX95" s="538"/>
      <c r="BY95" s="538"/>
      <c r="BZ95" s="592"/>
      <c r="CA95" s="633"/>
      <c r="CB95" s="592" t="s">
        <v>365</v>
      </c>
      <c r="CC95" s="592">
        <v>0.0</v>
      </c>
      <c r="CD95" s="592" t="s">
        <v>365</v>
      </c>
      <c r="CE95" s="592">
        <v>0.0</v>
      </c>
      <c r="CF95" s="592"/>
      <c r="CG95" s="592">
        <v>0.0</v>
      </c>
      <c r="CH95" s="592"/>
      <c r="CI95" s="633"/>
      <c r="CJ95" s="592">
        <v>0.0</v>
      </c>
      <c r="CK95" s="479" t="s">
        <v>365</v>
      </c>
      <c r="CL95" s="592"/>
      <c r="CM95" s="593"/>
      <c r="CN95" s="538"/>
      <c r="CO95" s="538"/>
      <c r="CP95" s="538"/>
      <c r="CQ95" s="538"/>
      <c r="CR95" s="538"/>
      <c r="CS95" s="538"/>
      <c r="CT95" s="538"/>
      <c r="CU95" s="538"/>
      <c r="CV95" s="538"/>
      <c r="CW95" s="538"/>
      <c r="CX95" s="538"/>
      <c r="CY95" s="538"/>
      <c r="CZ95" s="538"/>
      <c r="DA95" s="538"/>
      <c r="DB95" s="538"/>
      <c r="DC95" s="538"/>
      <c r="DD95" s="538"/>
      <c r="DE95" s="538"/>
      <c r="DF95" s="538"/>
      <c r="DG95" s="538"/>
      <c r="DH95" s="538"/>
      <c r="DI95" s="538"/>
      <c r="DJ95" s="538"/>
      <c r="DK95" s="538"/>
      <c r="DL95" s="538"/>
      <c r="DM95" s="538"/>
      <c r="DN95" s="538"/>
      <c r="DO95" s="538"/>
      <c r="DP95" s="538"/>
      <c r="DQ95" s="538"/>
      <c r="DR95" s="538"/>
      <c r="DS95" s="538"/>
      <c r="DT95" s="538"/>
      <c r="DU95" s="538"/>
      <c r="DV95" s="538"/>
      <c r="DW95" s="538"/>
      <c r="DX95" s="538"/>
      <c r="DY95" s="538"/>
      <c r="DZ95" s="538"/>
      <c r="EA95" s="538"/>
      <c r="EB95" s="538"/>
      <c r="EC95" s="538"/>
      <c r="ED95" s="538"/>
      <c r="EE95" s="538"/>
      <c r="EF95" s="538"/>
      <c r="EG95" s="538"/>
      <c r="EH95" s="538"/>
      <c r="EI95" s="538"/>
      <c r="EJ95" s="538"/>
      <c r="EK95" s="538"/>
      <c r="EL95" s="538"/>
      <c r="EM95" s="538"/>
      <c r="EN95" s="538"/>
      <c r="EO95" s="538"/>
      <c r="EP95" s="538"/>
      <c r="EQ95" s="538"/>
      <c r="ER95" s="538"/>
      <c r="ES95" s="538"/>
      <c r="ET95" s="538"/>
      <c r="EU95" s="538"/>
      <c r="EV95" s="538"/>
      <c r="EW95" s="538"/>
      <c r="EX95" s="559"/>
      <c r="EY95" s="559"/>
      <c r="EZ95" s="559"/>
      <c r="FA95" s="559"/>
      <c r="FB95" s="559"/>
      <c r="FC95" s="559"/>
      <c r="FD95" s="559"/>
      <c r="FE95" s="559"/>
      <c r="FF95" s="559"/>
      <c r="FG95" s="559"/>
      <c r="FH95" s="559"/>
      <c r="FI95" s="559"/>
      <c r="FJ95" s="559"/>
      <c r="FK95" s="559"/>
      <c r="FL95" s="559"/>
      <c r="FM95" s="559"/>
      <c r="FN95" s="559"/>
      <c r="FO95" s="559"/>
      <c r="FP95" s="559"/>
      <c r="FQ95" s="559"/>
      <c r="FR95" s="559"/>
      <c r="FS95" s="559"/>
      <c r="FT95" s="559"/>
      <c r="FU95" s="559"/>
      <c r="FV95" s="559"/>
      <c r="FW95" s="559"/>
      <c r="FX95" s="559"/>
      <c r="FY95" s="559"/>
      <c r="FZ95" s="559"/>
      <c r="GA95" s="559"/>
      <c r="GB95" s="559"/>
      <c r="GC95" s="559"/>
      <c r="GD95" s="559"/>
      <c r="GE95" s="559"/>
      <c r="GF95" s="559"/>
      <c r="GG95" s="559"/>
      <c r="GH95" s="559"/>
    </row>
    <row r="96">
      <c r="A96" s="538"/>
      <c r="B96" s="156"/>
      <c r="C96" s="444"/>
      <c r="D96" s="614"/>
      <c r="E96" s="68"/>
      <c r="F96" s="644"/>
      <c r="G96" s="644"/>
      <c r="H96" s="627"/>
      <c r="I96" s="622" t="s">
        <v>365</v>
      </c>
      <c r="J96" s="607"/>
      <c r="K96" s="641"/>
      <c r="L96" s="628"/>
      <c r="M96" s="626"/>
      <c r="N96" s="619"/>
      <c r="O96" s="560"/>
      <c r="P96" s="47"/>
      <c r="Q96" s="47"/>
      <c r="S96" s="572"/>
      <c r="U96" s="573"/>
      <c r="V96" s="574"/>
      <c r="W96" s="618"/>
      <c r="X96" s="576">
        <v>0.0</v>
      </c>
      <c r="Y96" s="630">
        <v>0.0</v>
      </c>
      <c r="Z96" s="630" t="s">
        <v>365</v>
      </c>
      <c r="AA96" s="631" t="b">
        <v>0</v>
      </c>
      <c r="AB96" s="631"/>
      <c r="AC96" s="576"/>
      <c r="AD96" s="479">
        <v>0.0</v>
      </c>
      <c r="AE96" s="632"/>
      <c r="AF96" s="582" t="s">
        <v>365</v>
      </c>
      <c r="AG96" s="583"/>
      <c r="AH96" s="584"/>
      <c r="AI96" s="583"/>
      <c r="AJ96" s="585"/>
      <c r="AK96" s="583"/>
      <c r="AL96" s="584"/>
      <c r="AM96" s="583"/>
      <c r="AN96" s="585"/>
      <c r="AO96" s="583"/>
      <c r="AP96" s="584"/>
      <c r="AQ96" s="583"/>
      <c r="AR96" s="585"/>
      <c r="AS96" s="583"/>
      <c r="AT96" s="584"/>
      <c r="AU96" s="583"/>
      <c r="AV96" s="585"/>
      <c r="AW96" s="583"/>
      <c r="AX96" s="584"/>
      <c r="AY96" s="583"/>
      <c r="AZ96" s="585"/>
      <c r="BA96" s="583"/>
      <c r="BB96" s="584"/>
      <c r="BC96" s="583"/>
      <c r="BD96" s="585"/>
      <c r="BE96" s="583"/>
      <c r="BF96" s="584"/>
      <c r="BG96" s="583"/>
      <c r="BH96" s="585"/>
      <c r="BI96" s="583"/>
      <c r="BJ96" s="584"/>
      <c r="BK96" s="583"/>
      <c r="BL96" s="585"/>
      <c r="BM96" s="583"/>
      <c r="BN96" s="584"/>
      <c r="BO96" s="583"/>
      <c r="BP96" s="585"/>
      <c r="BQ96" s="583"/>
      <c r="BR96" s="584"/>
      <c r="BS96" s="583"/>
      <c r="BT96" s="586"/>
      <c r="BU96" s="540"/>
      <c r="BV96" s="540"/>
      <c r="BW96" s="540"/>
      <c r="BX96" s="538"/>
      <c r="BY96" s="538"/>
      <c r="BZ96" s="592"/>
      <c r="CA96" s="633"/>
      <c r="CB96" s="592" t="s">
        <v>365</v>
      </c>
      <c r="CC96" s="592">
        <v>0.0</v>
      </c>
      <c r="CD96" s="592" t="s">
        <v>365</v>
      </c>
      <c r="CE96" s="592">
        <v>0.0</v>
      </c>
      <c r="CF96" s="592"/>
      <c r="CG96" s="592">
        <v>0.0</v>
      </c>
      <c r="CH96" s="592"/>
      <c r="CI96" s="633"/>
      <c r="CJ96" s="592">
        <v>0.0</v>
      </c>
      <c r="CK96" s="479" t="s">
        <v>365</v>
      </c>
      <c r="CL96" s="592"/>
      <c r="CM96" s="593"/>
      <c r="CN96" s="538"/>
      <c r="CO96" s="538"/>
      <c r="CP96" s="538"/>
      <c r="CQ96" s="538"/>
      <c r="CR96" s="538"/>
      <c r="CS96" s="538"/>
      <c r="CT96" s="538"/>
      <c r="CU96" s="538"/>
      <c r="CV96" s="538"/>
      <c r="CW96" s="538"/>
      <c r="CX96" s="538"/>
      <c r="CY96" s="538"/>
      <c r="CZ96" s="538"/>
      <c r="DA96" s="538"/>
      <c r="DB96" s="538"/>
      <c r="DC96" s="538"/>
      <c r="DD96" s="538"/>
      <c r="DE96" s="538"/>
      <c r="DF96" s="538"/>
      <c r="DG96" s="538"/>
      <c r="DH96" s="538"/>
      <c r="DI96" s="538"/>
      <c r="DJ96" s="538"/>
      <c r="DK96" s="538"/>
      <c r="DL96" s="538"/>
      <c r="DM96" s="538"/>
      <c r="DN96" s="538"/>
      <c r="DO96" s="538"/>
      <c r="DP96" s="538"/>
      <c r="DQ96" s="538"/>
      <c r="DR96" s="538"/>
      <c r="DS96" s="538"/>
      <c r="DT96" s="538"/>
      <c r="DU96" s="538"/>
      <c r="DV96" s="538"/>
      <c r="DW96" s="538"/>
      <c r="DX96" s="538"/>
      <c r="DY96" s="538"/>
      <c r="DZ96" s="538"/>
      <c r="EA96" s="538"/>
      <c r="EB96" s="538"/>
      <c r="EC96" s="538"/>
      <c r="ED96" s="538"/>
      <c r="EE96" s="538"/>
      <c r="EF96" s="538"/>
      <c r="EG96" s="538"/>
      <c r="EH96" s="538"/>
      <c r="EI96" s="538"/>
      <c r="EJ96" s="538"/>
      <c r="EK96" s="538"/>
      <c r="EL96" s="538"/>
      <c r="EM96" s="538"/>
      <c r="EN96" s="538"/>
      <c r="EO96" s="538"/>
      <c r="EP96" s="538"/>
      <c r="EQ96" s="538"/>
      <c r="ER96" s="538"/>
      <c r="ES96" s="538"/>
      <c r="ET96" s="538"/>
      <c r="EU96" s="538"/>
      <c r="EV96" s="538"/>
      <c r="EW96" s="538"/>
      <c r="EX96" s="559"/>
      <c r="EY96" s="559"/>
      <c r="EZ96" s="559"/>
      <c r="FA96" s="559"/>
      <c r="FB96" s="559"/>
      <c r="FC96" s="559"/>
      <c r="FD96" s="559"/>
      <c r="FE96" s="559"/>
      <c r="FF96" s="559"/>
      <c r="FG96" s="559"/>
      <c r="FH96" s="559"/>
      <c r="FI96" s="559"/>
      <c r="FJ96" s="559"/>
      <c r="FK96" s="559"/>
      <c r="FL96" s="559"/>
      <c r="FM96" s="559"/>
      <c r="FN96" s="559"/>
      <c r="FO96" s="559"/>
      <c r="FP96" s="559"/>
      <c r="FQ96" s="559"/>
      <c r="FR96" s="559"/>
      <c r="FS96" s="559"/>
      <c r="FT96" s="559"/>
      <c r="FU96" s="559"/>
      <c r="FV96" s="559"/>
      <c r="FW96" s="559"/>
      <c r="FX96" s="559"/>
      <c r="FY96" s="559"/>
      <c r="FZ96" s="559"/>
      <c r="GA96" s="559"/>
      <c r="GB96" s="559"/>
      <c r="GC96" s="559"/>
      <c r="GD96" s="559"/>
      <c r="GE96" s="559"/>
      <c r="GF96" s="559"/>
      <c r="GG96" s="559"/>
      <c r="GH96" s="559"/>
    </row>
    <row r="97">
      <c r="A97" s="538"/>
      <c r="B97" s="156"/>
      <c r="C97" s="444"/>
      <c r="D97" s="614"/>
      <c r="E97" s="66"/>
      <c r="F97" s="642"/>
      <c r="G97" s="642"/>
      <c r="H97" s="615"/>
      <c r="I97" s="616" t="s">
        <v>365</v>
      </c>
      <c r="J97" s="624"/>
      <c r="K97" s="643"/>
      <c r="L97" s="640"/>
      <c r="M97" s="625"/>
      <c r="N97" s="617"/>
      <c r="O97" s="134"/>
      <c r="P97" s="57"/>
      <c r="Q97" s="57"/>
      <c r="S97" s="605"/>
      <c r="U97" s="573"/>
      <c r="V97" s="574"/>
      <c r="W97" s="618"/>
      <c r="X97" s="576">
        <v>0.0</v>
      </c>
      <c r="Y97" s="630">
        <v>0.0</v>
      </c>
      <c r="Z97" s="630" t="s">
        <v>365</v>
      </c>
      <c r="AA97" s="631" t="b">
        <v>0</v>
      </c>
      <c r="AB97" s="631"/>
      <c r="AC97" s="576"/>
      <c r="AD97" s="479">
        <v>0.0</v>
      </c>
      <c r="AE97" s="632"/>
      <c r="AF97" s="582" t="s">
        <v>365</v>
      </c>
      <c r="AG97" s="583"/>
      <c r="AH97" s="584"/>
      <c r="AI97" s="583"/>
      <c r="AJ97" s="585"/>
      <c r="AK97" s="583"/>
      <c r="AL97" s="584"/>
      <c r="AM97" s="583"/>
      <c r="AN97" s="585"/>
      <c r="AO97" s="583"/>
      <c r="AP97" s="584"/>
      <c r="AQ97" s="583"/>
      <c r="AR97" s="585"/>
      <c r="AS97" s="583"/>
      <c r="AT97" s="584"/>
      <c r="AU97" s="583"/>
      <c r="AV97" s="585"/>
      <c r="AW97" s="583"/>
      <c r="AX97" s="584"/>
      <c r="AY97" s="583"/>
      <c r="AZ97" s="585"/>
      <c r="BA97" s="583"/>
      <c r="BB97" s="584"/>
      <c r="BC97" s="583"/>
      <c r="BD97" s="585"/>
      <c r="BE97" s="583"/>
      <c r="BF97" s="584"/>
      <c r="BG97" s="583"/>
      <c r="BH97" s="585"/>
      <c r="BI97" s="583"/>
      <c r="BJ97" s="584"/>
      <c r="BK97" s="583"/>
      <c r="BL97" s="585"/>
      <c r="BM97" s="583"/>
      <c r="BN97" s="584"/>
      <c r="BO97" s="583"/>
      <c r="BP97" s="585"/>
      <c r="BQ97" s="583"/>
      <c r="BR97" s="584"/>
      <c r="BS97" s="583"/>
      <c r="BT97" s="586"/>
      <c r="BU97" s="540"/>
      <c r="BV97" s="540"/>
      <c r="BW97" s="540"/>
      <c r="BX97" s="538"/>
      <c r="BY97" s="538"/>
      <c r="BZ97" s="592"/>
      <c r="CA97" s="633"/>
      <c r="CB97" s="592" t="s">
        <v>365</v>
      </c>
      <c r="CC97" s="592">
        <v>0.0</v>
      </c>
      <c r="CD97" s="592" t="s">
        <v>365</v>
      </c>
      <c r="CE97" s="592">
        <v>0.0</v>
      </c>
      <c r="CF97" s="592"/>
      <c r="CG97" s="592">
        <v>0.0</v>
      </c>
      <c r="CH97" s="592"/>
      <c r="CI97" s="633"/>
      <c r="CJ97" s="592">
        <v>0.0</v>
      </c>
      <c r="CK97" s="479" t="s">
        <v>365</v>
      </c>
      <c r="CL97" s="592"/>
      <c r="CM97" s="593"/>
      <c r="CN97" s="538"/>
      <c r="CO97" s="538"/>
      <c r="CP97" s="538"/>
      <c r="CQ97" s="538"/>
      <c r="CR97" s="538"/>
      <c r="CS97" s="538"/>
      <c r="CT97" s="538"/>
      <c r="CU97" s="538"/>
      <c r="CV97" s="538"/>
      <c r="CW97" s="538"/>
      <c r="CX97" s="538"/>
      <c r="CY97" s="538"/>
      <c r="CZ97" s="538"/>
      <c r="DA97" s="538"/>
      <c r="DB97" s="538"/>
      <c r="DC97" s="538"/>
      <c r="DD97" s="538"/>
      <c r="DE97" s="538"/>
      <c r="DF97" s="538"/>
      <c r="DG97" s="538"/>
      <c r="DH97" s="538"/>
      <c r="DI97" s="538"/>
      <c r="DJ97" s="538"/>
      <c r="DK97" s="538"/>
      <c r="DL97" s="538"/>
      <c r="DM97" s="538"/>
      <c r="DN97" s="538"/>
      <c r="DO97" s="538"/>
      <c r="DP97" s="538"/>
      <c r="DQ97" s="538"/>
      <c r="DR97" s="538"/>
      <c r="DS97" s="538"/>
      <c r="DT97" s="538"/>
      <c r="DU97" s="538"/>
      <c r="DV97" s="538"/>
      <c r="DW97" s="538"/>
      <c r="DX97" s="538"/>
      <c r="DY97" s="538"/>
      <c r="DZ97" s="538"/>
      <c r="EA97" s="538"/>
      <c r="EB97" s="538"/>
      <c r="EC97" s="538"/>
      <c r="ED97" s="538"/>
      <c r="EE97" s="538"/>
      <c r="EF97" s="538"/>
      <c r="EG97" s="538"/>
      <c r="EH97" s="538"/>
      <c r="EI97" s="538"/>
      <c r="EJ97" s="538"/>
      <c r="EK97" s="538"/>
      <c r="EL97" s="538"/>
      <c r="EM97" s="538"/>
      <c r="EN97" s="538"/>
      <c r="EO97" s="538"/>
      <c r="EP97" s="538"/>
      <c r="EQ97" s="538"/>
      <c r="ER97" s="538"/>
      <c r="ES97" s="538"/>
      <c r="ET97" s="538"/>
      <c r="EU97" s="538"/>
      <c r="EV97" s="538"/>
      <c r="EW97" s="538"/>
      <c r="EX97" s="559"/>
      <c r="EY97" s="559"/>
      <c r="EZ97" s="559"/>
      <c r="FA97" s="559"/>
      <c r="FB97" s="559"/>
      <c r="FC97" s="559"/>
      <c r="FD97" s="559"/>
      <c r="FE97" s="559"/>
      <c r="FF97" s="559"/>
      <c r="FG97" s="559"/>
      <c r="FH97" s="559"/>
      <c r="FI97" s="559"/>
      <c r="FJ97" s="559"/>
      <c r="FK97" s="559"/>
      <c r="FL97" s="559"/>
      <c r="FM97" s="559"/>
      <c r="FN97" s="559"/>
      <c r="FO97" s="559"/>
      <c r="FP97" s="559"/>
      <c r="FQ97" s="559"/>
      <c r="FR97" s="559"/>
      <c r="FS97" s="559"/>
      <c r="FT97" s="559"/>
      <c r="FU97" s="559"/>
      <c r="FV97" s="559"/>
      <c r="FW97" s="559"/>
      <c r="FX97" s="559"/>
      <c r="FY97" s="559"/>
      <c r="FZ97" s="559"/>
      <c r="GA97" s="559"/>
      <c r="GB97" s="559"/>
      <c r="GC97" s="559"/>
      <c r="GD97" s="559"/>
      <c r="GE97" s="559"/>
      <c r="GF97" s="559"/>
      <c r="GG97" s="559"/>
      <c r="GH97" s="559"/>
    </row>
    <row r="98">
      <c r="A98" s="538"/>
      <c r="B98" s="156"/>
      <c r="C98" s="444"/>
      <c r="D98" s="614"/>
      <c r="E98" s="68"/>
      <c r="F98" s="644"/>
      <c r="G98" s="644"/>
      <c r="H98" s="627"/>
      <c r="I98" s="622" t="s">
        <v>365</v>
      </c>
      <c r="J98" s="607"/>
      <c r="K98" s="641"/>
      <c r="L98" s="628"/>
      <c r="M98" s="626"/>
      <c r="N98" s="619"/>
      <c r="O98" s="560"/>
      <c r="P98" s="47"/>
      <c r="Q98" s="47"/>
      <c r="S98" s="572"/>
      <c r="U98" s="573"/>
      <c r="V98" s="574"/>
      <c r="W98" s="618"/>
      <c r="X98" s="576">
        <v>0.0</v>
      </c>
      <c r="Y98" s="630">
        <v>0.0</v>
      </c>
      <c r="Z98" s="630" t="s">
        <v>365</v>
      </c>
      <c r="AA98" s="631" t="b">
        <v>0</v>
      </c>
      <c r="AB98" s="631"/>
      <c r="AC98" s="576"/>
      <c r="AD98" s="479">
        <v>0.0</v>
      </c>
      <c r="AE98" s="632"/>
      <c r="AF98" s="582" t="s">
        <v>365</v>
      </c>
      <c r="AG98" s="583"/>
      <c r="AH98" s="584"/>
      <c r="AI98" s="583"/>
      <c r="AJ98" s="585"/>
      <c r="AK98" s="583"/>
      <c r="AL98" s="584"/>
      <c r="AM98" s="583"/>
      <c r="AN98" s="585"/>
      <c r="AO98" s="583"/>
      <c r="AP98" s="584"/>
      <c r="AQ98" s="583"/>
      <c r="AR98" s="585"/>
      <c r="AS98" s="583"/>
      <c r="AT98" s="584"/>
      <c r="AU98" s="583"/>
      <c r="AV98" s="585"/>
      <c r="AW98" s="583"/>
      <c r="AX98" s="584"/>
      <c r="AY98" s="583"/>
      <c r="AZ98" s="585"/>
      <c r="BA98" s="583"/>
      <c r="BB98" s="584"/>
      <c r="BC98" s="583"/>
      <c r="BD98" s="585"/>
      <c r="BE98" s="583"/>
      <c r="BF98" s="584"/>
      <c r="BG98" s="583"/>
      <c r="BH98" s="585"/>
      <c r="BI98" s="583"/>
      <c r="BJ98" s="584"/>
      <c r="BK98" s="583"/>
      <c r="BL98" s="585"/>
      <c r="BM98" s="583"/>
      <c r="BN98" s="584"/>
      <c r="BO98" s="583"/>
      <c r="BP98" s="585"/>
      <c r="BQ98" s="583"/>
      <c r="BR98" s="584"/>
      <c r="BS98" s="583"/>
      <c r="BT98" s="586"/>
      <c r="BU98" s="540"/>
      <c r="BV98" s="540"/>
      <c r="BW98" s="540"/>
      <c r="BX98" s="538"/>
      <c r="BY98" s="538"/>
      <c r="BZ98" s="592"/>
      <c r="CA98" s="633"/>
      <c r="CB98" s="592" t="s">
        <v>365</v>
      </c>
      <c r="CC98" s="592">
        <v>0.0</v>
      </c>
      <c r="CD98" s="592" t="s">
        <v>365</v>
      </c>
      <c r="CE98" s="592">
        <v>0.0</v>
      </c>
      <c r="CF98" s="592"/>
      <c r="CG98" s="592">
        <v>0.0</v>
      </c>
      <c r="CH98" s="592"/>
      <c r="CI98" s="633"/>
      <c r="CJ98" s="592">
        <v>0.0</v>
      </c>
      <c r="CK98" s="479" t="s">
        <v>365</v>
      </c>
      <c r="CL98" s="592"/>
      <c r="CM98" s="593"/>
      <c r="CN98" s="538"/>
      <c r="CO98" s="538"/>
      <c r="CP98" s="538"/>
      <c r="CQ98" s="538"/>
      <c r="CR98" s="538"/>
      <c r="CS98" s="538"/>
      <c r="CT98" s="538"/>
      <c r="CU98" s="538"/>
      <c r="CV98" s="538"/>
      <c r="CW98" s="538"/>
      <c r="CX98" s="538"/>
      <c r="CY98" s="538"/>
      <c r="CZ98" s="538"/>
      <c r="DA98" s="538"/>
      <c r="DB98" s="538"/>
      <c r="DC98" s="538"/>
      <c r="DD98" s="538"/>
      <c r="DE98" s="538"/>
      <c r="DF98" s="538"/>
      <c r="DG98" s="538"/>
      <c r="DH98" s="538"/>
      <c r="DI98" s="538"/>
      <c r="DJ98" s="538"/>
      <c r="DK98" s="538"/>
      <c r="DL98" s="538"/>
      <c r="DM98" s="538"/>
      <c r="DN98" s="538"/>
      <c r="DO98" s="538"/>
      <c r="DP98" s="538"/>
      <c r="DQ98" s="538"/>
      <c r="DR98" s="538"/>
      <c r="DS98" s="538"/>
      <c r="DT98" s="538"/>
      <c r="DU98" s="538"/>
      <c r="DV98" s="538"/>
      <c r="DW98" s="538"/>
      <c r="DX98" s="538"/>
      <c r="DY98" s="538"/>
      <c r="DZ98" s="538"/>
      <c r="EA98" s="538"/>
      <c r="EB98" s="538"/>
      <c r="EC98" s="538"/>
      <c r="ED98" s="538"/>
      <c r="EE98" s="538"/>
      <c r="EF98" s="538"/>
      <c r="EG98" s="538"/>
      <c r="EH98" s="538"/>
      <c r="EI98" s="538"/>
      <c r="EJ98" s="538"/>
      <c r="EK98" s="538"/>
      <c r="EL98" s="538"/>
      <c r="EM98" s="538"/>
      <c r="EN98" s="538"/>
      <c r="EO98" s="538"/>
      <c r="EP98" s="538"/>
      <c r="EQ98" s="538"/>
      <c r="ER98" s="538"/>
      <c r="ES98" s="538"/>
      <c r="ET98" s="538"/>
      <c r="EU98" s="538"/>
      <c r="EV98" s="538"/>
      <c r="EW98" s="538"/>
      <c r="EX98" s="559"/>
      <c r="EY98" s="559"/>
      <c r="EZ98" s="559"/>
      <c r="FA98" s="559"/>
      <c r="FB98" s="559"/>
      <c r="FC98" s="559"/>
      <c r="FD98" s="559"/>
      <c r="FE98" s="559"/>
      <c r="FF98" s="559"/>
      <c r="FG98" s="559"/>
      <c r="FH98" s="559"/>
      <c r="FI98" s="559"/>
      <c r="FJ98" s="559"/>
      <c r="FK98" s="559"/>
      <c r="FL98" s="559"/>
      <c r="FM98" s="559"/>
      <c r="FN98" s="559"/>
      <c r="FO98" s="559"/>
      <c r="FP98" s="559"/>
      <c r="FQ98" s="559"/>
      <c r="FR98" s="559"/>
      <c r="FS98" s="559"/>
      <c r="FT98" s="559"/>
      <c r="FU98" s="559"/>
      <c r="FV98" s="559"/>
      <c r="FW98" s="559"/>
      <c r="FX98" s="559"/>
      <c r="FY98" s="559"/>
      <c r="FZ98" s="559"/>
      <c r="GA98" s="559"/>
      <c r="GB98" s="559"/>
      <c r="GC98" s="559"/>
      <c r="GD98" s="559"/>
      <c r="GE98" s="559"/>
      <c r="GF98" s="559"/>
      <c r="GG98" s="559"/>
      <c r="GH98" s="559"/>
    </row>
    <row r="99">
      <c r="A99" s="538"/>
      <c r="B99" s="156"/>
      <c r="C99" s="444"/>
      <c r="D99" s="614"/>
      <c r="E99" s="66"/>
      <c r="F99" s="642"/>
      <c r="G99" s="642"/>
      <c r="H99" s="615"/>
      <c r="I99" s="616" t="s">
        <v>365</v>
      </c>
      <c r="J99" s="624"/>
      <c r="K99" s="643"/>
      <c r="L99" s="640"/>
      <c r="M99" s="625"/>
      <c r="N99" s="617"/>
      <c r="O99" s="134"/>
      <c r="P99" s="57"/>
      <c r="Q99" s="57"/>
      <c r="S99" s="605"/>
      <c r="U99" s="573"/>
      <c r="V99" s="574"/>
      <c r="W99" s="618"/>
      <c r="X99" s="576">
        <v>0.0</v>
      </c>
      <c r="Y99" s="630">
        <v>0.0</v>
      </c>
      <c r="Z99" s="630" t="s">
        <v>365</v>
      </c>
      <c r="AA99" s="631" t="b">
        <v>0</v>
      </c>
      <c r="AB99" s="631"/>
      <c r="AC99" s="576"/>
      <c r="AD99" s="479">
        <v>0.0</v>
      </c>
      <c r="AE99" s="632"/>
      <c r="AF99" s="582" t="s">
        <v>365</v>
      </c>
      <c r="AG99" s="583"/>
      <c r="AH99" s="584"/>
      <c r="AI99" s="583"/>
      <c r="AJ99" s="585"/>
      <c r="AK99" s="583"/>
      <c r="AL99" s="584"/>
      <c r="AM99" s="583"/>
      <c r="AN99" s="585"/>
      <c r="AO99" s="583"/>
      <c r="AP99" s="584"/>
      <c r="AQ99" s="583"/>
      <c r="AR99" s="585"/>
      <c r="AS99" s="583"/>
      <c r="AT99" s="584"/>
      <c r="AU99" s="583"/>
      <c r="AV99" s="585"/>
      <c r="AW99" s="583"/>
      <c r="AX99" s="584"/>
      <c r="AY99" s="583"/>
      <c r="AZ99" s="585"/>
      <c r="BA99" s="583"/>
      <c r="BB99" s="584"/>
      <c r="BC99" s="583"/>
      <c r="BD99" s="585"/>
      <c r="BE99" s="583"/>
      <c r="BF99" s="584"/>
      <c r="BG99" s="583"/>
      <c r="BH99" s="585"/>
      <c r="BI99" s="583"/>
      <c r="BJ99" s="584"/>
      <c r="BK99" s="583"/>
      <c r="BL99" s="585"/>
      <c r="BM99" s="583"/>
      <c r="BN99" s="584"/>
      <c r="BO99" s="583"/>
      <c r="BP99" s="585"/>
      <c r="BQ99" s="583"/>
      <c r="BR99" s="584"/>
      <c r="BS99" s="583"/>
      <c r="BT99" s="586"/>
      <c r="BU99" s="540"/>
      <c r="BV99" s="540"/>
      <c r="BW99" s="540"/>
      <c r="BX99" s="538"/>
      <c r="BY99" s="538"/>
      <c r="BZ99" s="592"/>
      <c r="CA99" s="633"/>
      <c r="CB99" s="592" t="s">
        <v>365</v>
      </c>
      <c r="CC99" s="592">
        <v>0.0</v>
      </c>
      <c r="CD99" s="592" t="s">
        <v>365</v>
      </c>
      <c r="CE99" s="592">
        <v>0.0</v>
      </c>
      <c r="CF99" s="592"/>
      <c r="CG99" s="592">
        <v>0.0</v>
      </c>
      <c r="CH99" s="592"/>
      <c r="CI99" s="633"/>
      <c r="CJ99" s="592">
        <v>0.0</v>
      </c>
      <c r="CK99" s="479" t="s">
        <v>365</v>
      </c>
      <c r="CL99" s="592"/>
      <c r="CM99" s="593"/>
      <c r="CN99" s="538"/>
      <c r="CO99" s="538"/>
      <c r="CP99" s="538"/>
      <c r="CQ99" s="538"/>
      <c r="CR99" s="538"/>
      <c r="CS99" s="538"/>
      <c r="CT99" s="538"/>
      <c r="CU99" s="538"/>
      <c r="CV99" s="538"/>
      <c r="CW99" s="538"/>
      <c r="CX99" s="538"/>
      <c r="CY99" s="538"/>
      <c r="CZ99" s="538"/>
      <c r="DA99" s="538"/>
      <c r="DB99" s="538"/>
      <c r="DC99" s="538"/>
      <c r="DD99" s="538"/>
      <c r="DE99" s="538"/>
      <c r="DF99" s="538"/>
      <c r="DG99" s="538"/>
      <c r="DH99" s="538"/>
      <c r="DI99" s="538"/>
      <c r="DJ99" s="538"/>
      <c r="DK99" s="538"/>
      <c r="DL99" s="538"/>
      <c r="DM99" s="538"/>
      <c r="DN99" s="538"/>
      <c r="DO99" s="538"/>
      <c r="DP99" s="538"/>
      <c r="DQ99" s="538"/>
      <c r="DR99" s="538"/>
      <c r="DS99" s="538"/>
      <c r="DT99" s="538"/>
      <c r="DU99" s="538"/>
      <c r="DV99" s="538"/>
      <c r="DW99" s="538"/>
      <c r="DX99" s="538"/>
      <c r="DY99" s="538"/>
      <c r="DZ99" s="538"/>
      <c r="EA99" s="538"/>
      <c r="EB99" s="538"/>
      <c r="EC99" s="538"/>
      <c r="ED99" s="538"/>
      <c r="EE99" s="538"/>
      <c r="EF99" s="538"/>
      <c r="EG99" s="538"/>
      <c r="EH99" s="538"/>
      <c r="EI99" s="538"/>
      <c r="EJ99" s="538"/>
      <c r="EK99" s="538"/>
      <c r="EL99" s="538"/>
      <c r="EM99" s="538"/>
      <c r="EN99" s="538"/>
      <c r="EO99" s="538"/>
      <c r="EP99" s="538"/>
      <c r="EQ99" s="538"/>
      <c r="ER99" s="538"/>
      <c r="ES99" s="538"/>
      <c r="ET99" s="538"/>
      <c r="EU99" s="538"/>
      <c r="EV99" s="538"/>
      <c r="EW99" s="538"/>
      <c r="EX99" s="559"/>
      <c r="EY99" s="559"/>
      <c r="EZ99" s="559"/>
      <c r="FA99" s="559"/>
      <c r="FB99" s="559"/>
      <c r="FC99" s="559"/>
      <c r="FD99" s="559"/>
      <c r="FE99" s="559"/>
      <c r="FF99" s="559"/>
      <c r="FG99" s="559"/>
      <c r="FH99" s="559"/>
      <c r="FI99" s="559"/>
      <c r="FJ99" s="559"/>
      <c r="FK99" s="559"/>
      <c r="FL99" s="559"/>
      <c r="FM99" s="559"/>
      <c r="FN99" s="559"/>
      <c r="FO99" s="559"/>
      <c r="FP99" s="559"/>
      <c r="FQ99" s="559"/>
      <c r="FR99" s="559"/>
      <c r="FS99" s="559"/>
      <c r="FT99" s="559"/>
      <c r="FU99" s="559"/>
      <c r="FV99" s="559"/>
      <c r="FW99" s="559"/>
      <c r="FX99" s="559"/>
      <c r="FY99" s="559"/>
      <c r="FZ99" s="559"/>
      <c r="GA99" s="559"/>
      <c r="GB99" s="559"/>
      <c r="GC99" s="559"/>
      <c r="GD99" s="559"/>
      <c r="GE99" s="559"/>
      <c r="GF99" s="559"/>
      <c r="GG99" s="559"/>
      <c r="GH99" s="559"/>
    </row>
    <row r="100">
      <c r="A100" s="538"/>
      <c r="B100" s="156"/>
      <c r="C100" s="444"/>
      <c r="D100" s="614"/>
      <c r="E100" s="68"/>
      <c r="F100" s="644"/>
      <c r="G100" s="644"/>
      <c r="H100" s="627"/>
      <c r="I100" s="622" t="s">
        <v>365</v>
      </c>
      <c r="J100" s="607"/>
      <c r="K100" s="641"/>
      <c r="L100" s="628"/>
      <c r="M100" s="626"/>
      <c r="N100" s="619"/>
      <c r="O100" s="560"/>
      <c r="P100" s="47"/>
      <c r="Q100" s="47"/>
      <c r="S100" s="572"/>
      <c r="U100" s="573"/>
      <c r="V100" s="574"/>
      <c r="W100" s="618"/>
      <c r="X100" s="576">
        <v>0.0</v>
      </c>
      <c r="Y100" s="630">
        <v>0.0</v>
      </c>
      <c r="Z100" s="630" t="s">
        <v>365</v>
      </c>
      <c r="AA100" s="631" t="b">
        <v>0</v>
      </c>
      <c r="AB100" s="631"/>
      <c r="AC100" s="576"/>
      <c r="AD100" s="479">
        <v>0.0</v>
      </c>
      <c r="AE100" s="632"/>
      <c r="AF100" s="582" t="s">
        <v>365</v>
      </c>
      <c r="AG100" s="583"/>
      <c r="AH100" s="584"/>
      <c r="AI100" s="583"/>
      <c r="AJ100" s="585"/>
      <c r="AK100" s="583"/>
      <c r="AL100" s="584"/>
      <c r="AM100" s="583"/>
      <c r="AN100" s="585"/>
      <c r="AO100" s="583"/>
      <c r="AP100" s="584"/>
      <c r="AQ100" s="583"/>
      <c r="AR100" s="585"/>
      <c r="AS100" s="583"/>
      <c r="AT100" s="584"/>
      <c r="AU100" s="583"/>
      <c r="AV100" s="585"/>
      <c r="AW100" s="583"/>
      <c r="AX100" s="584"/>
      <c r="AY100" s="583"/>
      <c r="AZ100" s="585"/>
      <c r="BA100" s="583"/>
      <c r="BB100" s="584"/>
      <c r="BC100" s="583"/>
      <c r="BD100" s="585"/>
      <c r="BE100" s="583"/>
      <c r="BF100" s="584"/>
      <c r="BG100" s="583"/>
      <c r="BH100" s="585"/>
      <c r="BI100" s="583"/>
      <c r="BJ100" s="584"/>
      <c r="BK100" s="583"/>
      <c r="BL100" s="585"/>
      <c r="BM100" s="583"/>
      <c r="BN100" s="584"/>
      <c r="BO100" s="583"/>
      <c r="BP100" s="585"/>
      <c r="BQ100" s="583"/>
      <c r="BR100" s="584"/>
      <c r="BS100" s="583"/>
      <c r="BT100" s="586"/>
      <c r="BU100" s="540"/>
      <c r="BV100" s="540"/>
      <c r="BW100" s="540"/>
      <c r="BX100" s="538"/>
      <c r="BY100" s="538"/>
      <c r="BZ100" s="592"/>
      <c r="CA100" s="633"/>
      <c r="CB100" s="592" t="s">
        <v>365</v>
      </c>
      <c r="CC100" s="592">
        <v>0.0</v>
      </c>
      <c r="CD100" s="592" t="s">
        <v>365</v>
      </c>
      <c r="CE100" s="592">
        <v>0.0</v>
      </c>
      <c r="CF100" s="592"/>
      <c r="CG100" s="592">
        <v>0.0</v>
      </c>
      <c r="CH100" s="592"/>
      <c r="CI100" s="633"/>
      <c r="CJ100" s="592">
        <v>0.0</v>
      </c>
      <c r="CK100" s="479" t="s">
        <v>365</v>
      </c>
      <c r="CL100" s="592"/>
      <c r="CM100" s="593"/>
      <c r="CN100" s="538"/>
      <c r="CO100" s="538"/>
      <c r="CP100" s="538"/>
      <c r="CQ100" s="538"/>
      <c r="CR100" s="538"/>
      <c r="CS100" s="538"/>
      <c r="CT100" s="538"/>
      <c r="CU100" s="538"/>
      <c r="CV100" s="538"/>
      <c r="CW100" s="538"/>
      <c r="CX100" s="538"/>
      <c r="CY100" s="538"/>
      <c r="CZ100" s="538"/>
      <c r="DA100" s="538"/>
      <c r="DB100" s="538"/>
      <c r="DC100" s="538"/>
      <c r="DD100" s="538"/>
      <c r="DE100" s="538"/>
      <c r="DF100" s="538"/>
      <c r="DG100" s="538"/>
      <c r="DH100" s="538"/>
      <c r="DI100" s="538"/>
      <c r="DJ100" s="538"/>
      <c r="DK100" s="538"/>
      <c r="DL100" s="538"/>
      <c r="DM100" s="538"/>
      <c r="DN100" s="538"/>
      <c r="DO100" s="538"/>
      <c r="DP100" s="538"/>
      <c r="DQ100" s="538"/>
      <c r="DR100" s="538"/>
      <c r="DS100" s="538"/>
      <c r="DT100" s="538"/>
      <c r="DU100" s="538"/>
      <c r="DV100" s="538"/>
      <c r="DW100" s="538"/>
      <c r="DX100" s="538"/>
      <c r="DY100" s="538"/>
      <c r="DZ100" s="538"/>
      <c r="EA100" s="538"/>
      <c r="EB100" s="538"/>
      <c r="EC100" s="538"/>
      <c r="ED100" s="538"/>
      <c r="EE100" s="538"/>
      <c r="EF100" s="538"/>
      <c r="EG100" s="538"/>
      <c r="EH100" s="538"/>
      <c r="EI100" s="538"/>
      <c r="EJ100" s="538"/>
      <c r="EK100" s="538"/>
      <c r="EL100" s="538"/>
      <c r="EM100" s="538"/>
      <c r="EN100" s="538"/>
      <c r="EO100" s="538"/>
      <c r="EP100" s="538"/>
      <c r="EQ100" s="538"/>
      <c r="ER100" s="538"/>
      <c r="ES100" s="538"/>
      <c r="ET100" s="538"/>
      <c r="EU100" s="538"/>
      <c r="EV100" s="538"/>
      <c r="EW100" s="538"/>
      <c r="EX100" s="559"/>
      <c r="EY100" s="559"/>
      <c r="EZ100" s="559"/>
      <c r="FA100" s="559"/>
      <c r="FB100" s="559"/>
      <c r="FC100" s="559"/>
      <c r="FD100" s="559"/>
      <c r="FE100" s="559"/>
      <c r="FF100" s="559"/>
      <c r="FG100" s="559"/>
      <c r="FH100" s="559"/>
      <c r="FI100" s="559"/>
      <c r="FJ100" s="559"/>
      <c r="FK100" s="559"/>
      <c r="FL100" s="559"/>
      <c r="FM100" s="559"/>
      <c r="FN100" s="559"/>
      <c r="FO100" s="559"/>
      <c r="FP100" s="559"/>
      <c r="FQ100" s="559"/>
      <c r="FR100" s="559"/>
      <c r="FS100" s="559"/>
      <c r="FT100" s="559"/>
      <c r="FU100" s="559"/>
      <c r="FV100" s="559"/>
      <c r="FW100" s="559"/>
      <c r="FX100" s="559"/>
      <c r="FY100" s="559"/>
      <c r="FZ100" s="559"/>
      <c r="GA100" s="559"/>
      <c r="GB100" s="559"/>
      <c r="GC100" s="559"/>
      <c r="GD100" s="559"/>
      <c r="GE100" s="559"/>
      <c r="GF100" s="559"/>
      <c r="GG100" s="559"/>
      <c r="GH100" s="559"/>
    </row>
    <row r="101">
      <c r="A101" s="538"/>
      <c r="B101" s="156"/>
      <c r="C101" s="444"/>
      <c r="D101" s="614"/>
      <c r="E101" s="66"/>
      <c r="F101" s="642"/>
      <c r="G101" s="642"/>
      <c r="H101" s="615"/>
      <c r="I101" s="616" t="s">
        <v>365</v>
      </c>
      <c r="J101" s="624"/>
      <c r="K101" s="643"/>
      <c r="L101" s="640"/>
      <c r="M101" s="625"/>
      <c r="N101" s="617"/>
      <c r="O101" s="134"/>
      <c r="P101" s="57"/>
      <c r="Q101" s="57"/>
      <c r="S101" s="605"/>
      <c r="U101" s="573"/>
      <c r="V101" s="574"/>
      <c r="W101" s="618"/>
      <c r="X101" s="576">
        <v>0.0</v>
      </c>
      <c r="Y101" s="630">
        <v>0.0</v>
      </c>
      <c r="Z101" s="630" t="s">
        <v>365</v>
      </c>
      <c r="AA101" s="631" t="b">
        <v>0</v>
      </c>
      <c r="AB101" s="631"/>
      <c r="AC101" s="576"/>
      <c r="AD101" s="479">
        <v>0.0</v>
      </c>
      <c r="AE101" s="632"/>
      <c r="AF101" s="582" t="s">
        <v>365</v>
      </c>
      <c r="AG101" s="583"/>
      <c r="AH101" s="584"/>
      <c r="AI101" s="583"/>
      <c r="AJ101" s="585"/>
      <c r="AK101" s="583"/>
      <c r="AL101" s="584"/>
      <c r="AM101" s="583"/>
      <c r="AN101" s="585"/>
      <c r="AO101" s="583"/>
      <c r="AP101" s="584"/>
      <c r="AQ101" s="583"/>
      <c r="AR101" s="585"/>
      <c r="AS101" s="583"/>
      <c r="AT101" s="584"/>
      <c r="AU101" s="583"/>
      <c r="AV101" s="585"/>
      <c r="AW101" s="583"/>
      <c r="AX101" s="584"/>
      <c r="AY101" s="583"/>
      <c r="AZ101" s="585"/>
      <c r="BA101" s="583"/>
      <c r="BB101" s="584"/>
      <c r="BC101" s="583"/>
      <c r="BD101" s="585"/>
      <c r="BE101" s="583"/>
      <c r="BF101" s="584"/>
      <c r="BG101" s="583"/>
      <c r="BH101" s="585"/>
      <c r="BI101" s="583"/>
      <c r="BJ101" s="584"/>
      <c r="BK101" s="583"/>
      <c r="BL101" s="585"/>
      <c r="BM101" s="583"/>
      <c r="BN101" s="584"/>
      <c r="BO101" s="583"/>
      <c r="BP101" s="585"/>
      <c r="BQ101" s="583"/>
      <c r="BR101" s="584"/>
      <c r="BS101" s="583"/>
      <c r="BT101" s="586"/>
      <c r="BU101" s="540"/>
      <c r="BV101" s="540"/>
      <c r="BW101" s="540"/>
      <c r="BX101" s="538"/>
      <c r="BY101" s="538"/>
      <c r="BZ101" s="592"/>
      <c r="CA101" s="633"/>
      <c r="CB101" s="592" t="s">
        <v>365</v>
      </c>
      <c r="CC101" s="592">
        <v>0.0</v>
      </c>
      <c r="CD101" s="592" t="s">
        <v>365</v>
      </c>
      <c r="CE101" s="592">
        <v>0.0</v>
      </c>
      <c r="CF101" s="592"/>
      <c r="CG101" s="592">
        <v>0.0</v>
      </c>
      <c r="CH101" s="592"/>
      <c r="CI101" s="633"/>
      <c r="CJ101" s="592">
        <v>0.0</v>
      </c>
      <c r="CK101" s="479" t="s">
        <v>365</v>
      </c>
      <c r="CL101" s="592"/>
      <c r="CM101" s="593"/>
      <c r="CN101" s="538"/>
      <c r="CO101" s="538"/>
      <c r="CP101" s="538"/>
      <c r="CQ101" s="538"/>
      <c r="CR101" s="538"/>
      <c r="CS101" s="538"/>
      <c r="CT101" s="538"/>
      <c r="CU101" s="538"/>
      <c r="CV101" s="538"/>
      <c r="CW101" s="538"/>
      <c r="CX101" s="538"/>
      <c r="CY101" s="538"/>
      <c r="CZ101" s="538"/>
      <c r="DA101" s="538"/>
      <c r="DB101" s="538"/>
      <c r="DC101" s="538"/>
      <c r="DD101" s="538"/>
      <c r="DE101" s="538"/>
      <c r="DF101" s="538"/>
      <c r="DG101" s="538"/>
      <c r="DH101" s="538"/>
      <c r="DI101" s="538"/>
      <c r="DJ101" s="538"/>
      <c r="DK101" s="538"/>
      <c r="DL101" s="538"/>
      <c r="DM101" s="538"/>
      <c r="DN101" s="538"/>
      <c r="DO101" s="538"/>
      <c r="DP101" s="538"/>
      <c r="DQ101" s="538"/>
      <c r="DR101" s="538"/>
      <c r="DS101" s="538"/>
      <c r="DT101" s="538"/>
      <c r="DU101" s="538"/>
      <c r="DV101" s="538"/>
      <c r="DW101" s="538"/>
      <c r="DX101" s="538"/>
      <c r="DY101" s="538"/>
      <c r="DZ101" s="538"/>
      <c r="EA101" s="538"/>
      <c r="EB101" s="538"/>
      <c r="EC101" s="538"/>
      <c r="ED101" s="538"/>
      <c r="EE101" s="538"/>
      <c r="EF101" s="538"/>
      <c r="EG101" s="538"/>
      <c r="EH101" s="538"/>
      <c r="EI101" s="538"/>
      <c r="EJ101" s="538"/>
      <c r="EK101" s="538"/>
      <c r="EL101" s="538"/>
      <c r="EM101" s="538"/>
      <c r="EN101" s="538"/>
      <c r="EO101" s="538"/>
      <c r="EP101" s="538"/>
      <c r="EQ101" s="538"/>
      <c r="ER101" s="538"/>
      <c r="ES101" s="538"/>
      <c r="ET101" s="538"/>
      <c r="EU101" s="538"/>
      <c r="EV101" s="538"/>
      <c r="EW101" s="538"/>
      <c r="EX101" s="559"/>
      <c r="EY101" s="559"/>
      <c r="EZ101" s="559"/>
      <c r="FA101" s="559"/>
      <c r="FB101" s="559"/>
      <c r="FC101" s="559"/>
      <c r="FD101" s="559"/>
      <c r="FE101" s="559"/>
      <c r="FF101" s="559"/>
      <c r="FG101" s="559"/>
      <c r="FH101" s="559"/>
      <c r="FI101" s="559"/>
      <c r="FJ101" s="559"/>
      <c r="FK101" s="559"/>
      <c r="FL101" s="559"/>
      <c r="FM101" s="559"/>
      <c r="FN101" s="559"/>
      <c r="FO101" s="559"/>
      <c r="FP101" s="559"/>
      <c r="FQ101" s="559"/>
      <c r="FR101" s="559"/>
      <c r="FS101" s="559"/>
      <c r="FT101" s="559"/>
      <c r="FU101" s="559"/>
      <c r="FV101" s="559"/>
      <c r="FW101" s="559"/>
      <c r="FX101" s="559"/>
      <c r="FY101" s="559"/>
      <c r="FZ101" s="559"/>
      <c r="GA101" s="559"/>
      <c r="GB101" s="559"/>
      <c r="GC101" s="559"/>
      <c r="GD101" s="559"/>
      <c r="GE101" s="559"/>
      <c r="GF101" s="559"/>
      <c r="GG101" s="559"/>
      <c r="GH101" s="559"/>
    </row>
    <row r="102">
      <c r="A102" s="538"/>
      <c r="B102" s="156"/>
      <c r="C102" s="444"/>
      <c r="D102" s="614"/>
      <c r="E102" s="68"/>
      <c r="F102" s="644"/>
      <c r="G102" s="644"/>
      <c r="H102" s="627"/>
      <c r="I102" s="622" t="s">
        <v>365</v>
      </c>
      <c r="J102" s="607"/>
      <c r="K102" s="641"/>
      <c r="L102" s="628"/>
      <c r="M102" s="626"/>
      <c r="N102" s="619"/>
      <c r="O102" s="560"/>
      <c r="P102" s="47"/>
      <c r="Q102" s="47"/>
      <c r="S102" s="572"/>
      <c r="U102" s="573"/>
      <c r="V102" s="574"/>
      <c r="W102" s="618"/>
      <c r="X102" s="576">
        <v>0.0</v>
      </c>
      <c r="Y102" s="630">
        <v>0.0</v>
      </c>
      <c r="Z102" s="630" t="s">
        <v>365</v>
      </c>
      <c r="AA102" s="631" t="b">
        <v>0</v>
      </c>
      <c r="AB102" s="631"/>
      <c r="AC102" s="576"/>
      <c r="AD102" s="479">
        <v>0.0</v>
      </c>
      <c r="AE102" s="632"/>
      <c r="AF102" s="582" t="s">
        <v>365</v>
      </c>
      <c r="AG102" s="583"/>
      <c r="AH102" s="584"/>
      <c r="AI102" s="583"/>
      <c r="AJ102" s="585"/>
      <c r="AK102" s="583"/>
      <c r="AL102" s="584"/>
      <c r="AM102" s="583"/>
      <c r="AN102" s="585"/>
      <c r="AO102" s="583"/>
      <c r="AP102" s="584"/>
      <c r="AQ102" s="583"/>
      <c r="AR102" s="585"/>
      <c r="AS102" s="583"/>
      <c r="AT102" s="584"/>
      <c r="AU102" s="583"/>
      <c r="AV102" s="585"/>
      <c r="AW102" s="583"/>
      <c r="AX102" s="584"/>
      <c r="AY102" s="583"/>
      <c r="AZ102" s="585"/>
      <c r="BA102" s="583"/>
      <c r="BB102" s="584"/>
      <c r="BC102" s="583"/>
      <c r="BD102" s="585"/>
      <c r="BE102" s="583"/>
      <c r="BF102" s="584"/>
      <c r="BG102" s="583"/>
      <c r="BH102" s="585"/>
      <c r="BI102" s="583"/>
      <c r="BJ102" s="584"/>
      <c r="BK102" s="583"/>
      <c r="BL102" s="585"/>
      <c r="BM102" s="583"/>
      <c r="BN102" s="584"/>
      <c r="BO102" s="583"/>
      <c r="BP102" s="585"/>
      <c r="BQ102" s="583"/>
      <c r="BR102" s="584"/>
      <c r="BS102" s="583"/>
      <c r="BT102" s="586"/>
      <c r="BU102" s="540"/>
      <c r="BV102" s="540"/>
      <c r="BW102" s="540"/>
      <c r="BX102" s="538"/>
      <c r="BY102" s="538"/>
      <c r="BZ102" s="592"/>
      <c r="CA102" s="633"/>
      <c r="CB102" s="592" t="s">
        <v>365</v>
      </c>
      <c r="CC102" s="592">
        <v>0.0</v>
      </c>
      <c r="CD102" s="592" t="s">
        <v>365</v>
      </c>
      <c r="CE102" s="592">
        <v>0.0</v>
      </c>
      <c r="CF102" s="592"/>
      <c r="CG102" s="592">
        <v>0.0</v>
      </c>
      <c r="CH102" s="592"/>
      <c r="CI102" s="633"/>
      <c r="CJ102" s="592">
        <v>0.0</v>
      </c>
      <c r="CK102" s="479" t="s">
        <v>365</v>
      </c>
      <c r="CL102" s="592"/>
      <c r="CM102" s="593"/>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c r="DS102" s="538"/>
      <c r="DT102" s="538"/>
      <c r="DU102" s="538"/>
      <c r="DV102" s="538"/>
      <c r="DW102" s="538"/>
      <c r="DX102" s="538"/>
      <c r="DY102" s="538"/>
      <c r="DZ102" s="538"/>
      <c r="EA102" s="538"/>
      <c r="EB102" s="538"/>
      <c r="EC102" s="538"/>
      <c r="ED102" s="538"/>
      <c r="EE102" s="538"/>
      <c r="EF102" s="538"/>
      <c r="EG102" s="538"/>
      <c r="EH102" s="538"/>
      <c r="EI102" s="538"/>
      <c r="EJ102" s="538"/>
      <c r="EK102" s="538"/>
      <c r="EL102" s="538"/>
      <c r="EM102" s="538"/>
      <c r="EN102" s="538"/>
      <c r="EO102" s="538"/>
      <c r="EP102" s="538"/>
      <c r="EQ102" s="538"/>
      <c r="ER102" s="538"/>
      <c r="ES102" s="538"/>
      <c r="ET102" s="538"/>
      <c r="EU102" s="538"/>
      <c r="EV102" s="538"/>
      <c r="EW102" s="538"/>
      <c r="EX102" s="559"/>
      <c r="EY102" s="559"/>
      <c r="EZ102" s="559"/>
      <c r="FA102" s="559"/>
      <c r="FB102" s="559"/>
      <c r="FC102" s="559"/>
      <c r="FD102" s="559"/>
      <c r="FE102" s="559"/>
      <c r="FF102" s="559"/>
      <c r="FG102" s="559"/>
      <c r="FH102" s="559"/>
      <c r="FI102" s="559"/>
      <c r="FJ102" s="559"/>
      <c r="FK102" s="559"/>
      <c r="FL102" s="559"/>
      <c r="FM102" s="559"/>
      <c r="FN102" s="559"/>
      <c r="FO102" s="559"/>
      <c r="FP102" s="559"/>
      <c r="FQ102" s="559"/>
      <c r="FR102" s="559"/>
      <c r="FS102" s="559"/>
      <c r="FT102" s="559"/>
      <c r="FU102" s="559"/>
      <c r="FV102" s="559"/>
      <c r="FW102" s="559"/>
      <c r="FX102" s="559"/>
      <c r="FY102" s="559"/>
      <c r="FZ102" s="559"/>
      <c r="GA102" s="559"/>
      <c r="GB102" s="559"/>
      <c r="GC102" s="559"/>
      <c r="GD102" s="559"/>
      <c r="GE102" s="559"/>
      <c r="GF102" s="559"/>
      <c r="GG102" s="559"/>
      <c r="GH102" s="559"/>
    </row>
    <row r="103">
      <c r="A103" s="538"/>
      <c r="B103" s="156"/>
      <c r="C103" s="444"/>
      <c r="D103" s="614"/>
      <c r="E103" s="66"/>
      <c r="F103" s="642"/>
      <c r="G103" s="642"/>
      <c r="H103" s="615"/>
      <c r="I103" s="616" t="s">
        <v>365</v>
      </c>
      <c r="J103" s="624"/>
      <c r="K103" s="643"/>
      <c r="L103" s="640"/>
      <c r="M103" s="625"/>
      <c r="N103" s="617"/>
      <c r="O103" s="134"/>
      <c r="P103" s="57"/>
      <c r="Q103" s="57"/>
      <c r="S103" s="605"/>
      <c r="U103" s="573"/>
      <c r="V103" s="574"/>
      <c r="W103" s="618"/>
      <c r="X103" s="576">
        <v>0.0</v>
      </c>
      <c r="Y103" s="630">
        <v>0.0</v>
      </c>
      <c r="Z103" s="630" t="s">
        <v>365</v>
      </c>
      <c r="AA103" s="631" t="b">
        <v>0</v>
      </c>
      <c r="AB103" s="631"/>
      <c r="AC103" s="576"/>
      <c r="AD103" s="479">
        <v>0.0</v>
      </c>
      <c r="AE103" s="632"/>
      <c r="AF103" s="582" t="s">
        <v>365</v>
      </c>
      <c r="AG103" s="583"/>
      <c r="AH103" s="584"/>
      <c r="AI103" s="583"/>
      <c r="AJ103" s="585"/>
      <c r="AK103" s="583"/>
      <c r="AL103" s="584"/>
      <c r="AM103" s="583"/>
      <c r="AN103" s="585"/>
      <c r="AO103" s="583"/>
      <c r="AP103" s="584"/>
      <c r="AQ103" s="583"/>
      <c r="AR103" s="585"/>
      <c r="AS103" s="583"/>
      <c r="AT103" s="584"/>
      <c r="AU103" s="583"/>
      <c r="AV103" s="585"/>
      <c r="AW103" s="583"/>
      <c r="AX103" s="584"/>
      <c r="AY103" s="583"/>
      <c r="AZ103" s="585"/>
      <c r="BA103" s="583"/>
      <c r="BB103" s="584"/>
      <c r="BC103" s="583"/>
      <c r="BD103" s="585"/>
      <c r="BE103" s="583"/>
      <c r="BF103" s="584"/>
      <c r="BG103" s="583"/>
      <c r="BH103" s="585"/>
      <c r="BI103" s="583"/>
      <c r="BJ103" s="584"/>
      <c r="BK103" s="583"/>
      <c r="BL103" s="585"/>
      <c r="BM103" s="583"/>
      <c r="BN103" s="584"/>
      <c r="BO103" s="583"/>
      <c r="BP103" s="585"/>
      <c r="BQ103" s="583"/>
      <c r="BR103" s="584"/>
      <c r="BS103" s="583"/>
      <c r="BT103" s="586"/>
      <c r="BU103" s="540"/>
      <c r="BV103" s="540"/>
      <c r="BW103" s="540"/>
      <c r="BX103" s="538"/>
      <c r="BY103" s="538"/>
      <c r="BZ103" s="592"/>
      <c r="CA103" s="633"/>
      <c r="CB103" s="592" t="s">
        <v>365</v>
      </c>
      <c r="CC103" s="592">
        <v>0.0</v>
      </c>
      <c r="CD103" s="592" t="s">
        <v>365</v>
      </c>
      <c r="CE103" s="592">
        <v>0.0</v>
      </c>
      <c r="CF103" s="592"/>
      <c r="CG103" s="592">
        <v>0.0</v>
      </c>
      <c r="CH103" s="592"/>
      <c r="CI103" s="633"/>
      <c r="CJ103" s="592">
        <v>0.0</v>
      </c>
      <c r="CK103" s="479" t="s">
        <v>365</v>
      </c>
      <c r="CL103" s="592"/>
      <c r="CM103" s="593"/>
      <c r="CN103" s="538"/>
      <c r="CO103" s="538"/>
      <c r="CP103" s="538"/>
      <c r="CQ103" s="538"/>
      <c r="CR103" s="538"/>
      <c r="CS103" s="538"/>
      <c r="CT103" s="538"/>
      <c r="CU103" s="538"/>
      <c r="CV103" s="538"/>
      <c r="CW103" s="538"/>
      <c r="CX103" s="538"/>
      <c r="CY103" s="538"/>
      <c r="CZ103" s="538"/>
      <c r="DA103" s="538"/>
      <c r="DB103" s="538"/>
      <c r="DC103" s="538"/>
      <c r="DD103" s="538"/>
      <c r="DE103" s="538"/>
      <c r="DF103" s="538"/>
      <c r="DG103" s="538"/>
      <c r="DH103" s="538"/>
      <c r="DI103" s="538"/>
      <c r="DJ103" s="538"/>
      <c r="DK103" s="538"/>
      <c r="DL103" s="538"/>
      <c r="DM103" s="538"/>
      <c r="DN103" s="538"/>
      <c r="DO103" s="538"/>
      <c r="DP103" s="538"/>
      <c r="DQ103" s="538"/>
      <c r="DR103" s="538"/>
      <c r="DS103" s="538"/>
      <c r="DT103" s="538"/>
      <c r="DU103" s="538"/>
      <c r="DV103" s="538"/>
      <c r="DW103" s="538"/>
      <c r="DX103" s="538"/>
      <c r="DY103" s="538"/>
      <c r="DZ103" s="538"/>
      <c r="EA103" s="538"/>
      <c r="EB103" s="538"/>
      <c r="EC103" s="538"/>
      <c r="ED103" s="538"/>
      <c r="EE103" s="538"/>
      <c r="EF103" s="538"/>
      <c r="EG103" s="538"/>
      <c r="EH103" s="538"/>
      <c r="EI103" s="538"/>
      <c r="EJ103" s="538"/>
      <c r="EK103" s="538"/>
      <c r="EL103" s="538"/>
      <c r="EM103" s="538"/>
      <c r="EN103" s="538"/>
      <c r="EO103" s="538"/>
      <c r="EP103" s="538"/>
      <c r="EQ103" s="538"/>
      <c r="ER103" s="538"/>
      <c r="ES103" s="538"/>
      <c r="ET103" s="538"/>
      <c r="EU103" s="538"/>
      <c r="EV103" s="538"/>
      <c r="EW103" s="538"/>
      <c r="EX103" s="559"/>
      <c r="EY103" s="559"/>
      <c r="EZ103" s="559"/>
      <c r="FA103" s="559"/>
      <c r="FB103" s="559"/>
      <c r="FC103" s="559"/>
      <c r="FD103" s="559"/>
      <c r="FE103" s="559"/>
      <c r="FF103" s="559"/>
      <c r="FG103" s="559"/>
      <c r="FH103" s="559"/>
      <c r="FI103" s="559"/>
      <c r="FJ103" s="559"/>
      <c r="FK103" s="559"/>
      <c r="FL103" s="559"/>
      <c r="FM103" s="559"/>
      <c r="FN103" s="559"/>
      <c r="FO103" s="559"/>
      <c r="FP103" s="559"/>
      <c r="FQ103" s="559"/>
      <c r="FR103" s="559"/>
      <c r="FS103" s="559"/>
      <c r="FT103" s="559"/>
      <c r="FU103" s="559"/>
      <c r="FV103" s="559"/>
      <c r="FW103" s="559"/>
      <c r="FX103" s="559"/>
      <c r="FY103" s="559"/>
      <c r="FZ103" s="559"/>
      <c r="GA103" s="559"/>
      <c r="GB103" s="559"/>
      <c r="GC103" s="559"/>
      <c r="GD103" s="559"/>
      <c r="GE103" s="559"/>
      <c r="GF103" s="559"/>
      <c r="GG103" s="559"/>
      <c r="GH103" s="559"/>
    </row>
    <row r="104">
      <c r="A104" s="538"/>
      <c r="B104" s="156"/>
      <c r="C104" s="444"/>
      <c r="D104" s="614"/>
      <c r="E104" s="68"/>
      <c r="F104" s="644"/>
      <c r="G104" s="644"/>
      <c r="H104" s="627"/>
      <c r="I104" s="622" t="s">
        <v>365</v>
      </c>
      <c r="J104" s="607"/>
      <c r="K104" s="641"/>
      <c r="L104" s="628"/>
      <c r="M104" s="626"/>
      <c r="N104" s="619"/>
      <c r="O104" s="560"/>
      <c r="P104" s="47"/>
      <c r="Q104" s="47"/>
      <c r="S104" s="572"/>
      <c r="U104" s="573"/>
      <c r="V104" s="574"/>
      <c r="W104" s="618"/>
      <c r="X104" s="576">
        <v>0.0</v>
      </c>
      <c r="Y104" s="630">
        <v>0.0</v>
      </c>
      <c r="Z104" s="630" t="s">
        <v>365</v>
      </c>
      <c r="AA104" s="631" t="b">
        <v>0</v>
      </c>
      <c r="AB104" s="631"/>
      <c r="AC104" s="576"/>
      <c r="AD104" s="479">
        <v>0.0</v>
      </c>
      <c r="AE104" s="632"/>
      <c r="AF104" s="582" t="s">
        <v>365</v>
      </c>
      <c r="AG104" s="583"/>
      <c r="AH104" s="584"/>
      <c r="AI104" s="583"/>
      <c r="AJ104" s="585"/>
      <c r="AK104" s="583"/>
      <c r="AL104" s="584"/>
      <c r="AM104" s="583"/>
      <c r="AN104" s="585"/>
      <c r="AO104" s="583"/>
      <c r="AP104" s="584"/>
      <c r="AQ104" s="583"/>
      <c r="AR104" s="585"/>
      <c r="AS104" s="583"/>
      <c r="AT104" s="584"/>
      <c r="AU104" s="583"/>
      <c r="AV104" s="585"/>
      <c r="AW104" s="583"/>
      <c r="AX104" s="584"/>
      <c r="AY104" s="583"/>
      <c r="AZ104" s="585"/>
      <c r="BA104" s="583"/>
      <c r="BB104" s="584"/>
      <c r="BC104" s="583"/>
      <c r="BD104" s="585"/>
      <c r="BE104" s="583"/>
      <c r="BF104" s="584"/>
      <c r="BG104" s="583"/>
      <c r="BH104" s="585"/>
      <c r="BI104" s="583"/>
      <c r="BJ104" s="584"/>
      <c r="BK104" s="583"/>
      <c r="BL104" s="585"/>
      <c r="BM104" s="583"/>
      <c r="BN104" s="584"/>
      <c r="BO104" s="583"/>
      <c r="BP104" s="585"/>
      <c r="BQ104" s="583"/>
      <c r="BR104" s="584"/>
      <c r="BS104" s="583"/>
      <c r="BT104" s="586"/>
      <c r="BU104" s="540"/>
      <c r="BV104" s="540"/>
      <c r="BW104" s="540"/>
      <c r="BX104" s="538"/>
      <c r="BY104" s="538"/>
      <c r="BZ104" s="592"/>
      <c r="CA104" s="633"/>
      <c r="CB104" s="592" t="s">
        <v>365</v>
      </c>
      <c r="CC104" s="592">
        <v>0.0</v>
      </c>
      <c r="CD104" s="592" t="s">
        <v>365</v>
      </c>
      <c r="CE104" s="592">
        <v>0.0</v>
      </c>
      <c r="CF104" s="592"/>
      <c r="CG104" s="592">
        <v>0.0</v>
      </c>
      <c r="CH104" s="592"/>
      <c r="CI104" s="633"/>
      <c r="CJ104" s="592">
        <v>0.0</v>
      </c>
      <c r="CK104" s="479" t="s">
        <v>365</v>
      </c>
      <c r="CL104" s="592"/>
      <c r="CM104" s="593"/>
      <c r="CN104" s="538"/>
      <c r="CO104" s="538"/>
      <c r="CP104" s="538"/>
      <c r="CQ104" s="538"/>
      <c r="CR104" s="538"/>
      <c r="CS104" s="538"/>
      <c r="CT104" s="538"/>
      <c r="CU104" s="538"/>
      <c r="CV104" s="538"/>
      <c r="CW104" s="538"/>
      <c r="CX104" s="538"/>
      <c r="CY104" s="538"/>
      <c r="CZ104" s="538"/>
      <c r="DA104" s="538"/>
      <c r="DB104" s="538"/>
      <c r="DC104" s="538"/>
      <c r="DD104" s="538"/>
      <c r="DE104" s="538"/>
      <c r="DF104" s="538"/>
      <c r="DG104" s="538"/>
      <c r="DH104" s="538"/>
      <c r="DI104" s="538"/>
      <c r="DJ104" s="538"/>
      <c r="DK104" s="538"/>
      <c r="DL104" s="538"/>
      <c r="DM104" s="538"/>
      <c r="DN104" s="538"/>
      <c r="DO104" s="538"/>
      <c r="DP104" s="538"/>
      <c r="DQ104" s="538"/>
      <c r="DR104" s="538"/>
      <c r="DS104" s="538"/>
      <c r="DT104" s="538"/>
      <c r="DU104" s="538"/>
      <c r="DV104" s="538"/>
      <c r="DW104" s="538"/>
      <c r="DX104" s="538"/>
      <c r="DY104" s="538"/>
      <c r="DZ104" s="538"/>
      <c r="EA104" s="538"/>
      <c r="EB104" s="538"/>
      <c r="EC104" s="538"/>
      <c r="ED104" s="538"/>
      <c r="EE104" s="538"/>
      <c r="EF104" s="538"/>
      <c r="EG104" s="538"/>
      <c r="EH104" s="538"/>
      <c r="EI104" s="538"/>
      <c r="EJ104" s="538"/>
      <c r="EK104" s="538"/>
      <c r="EL104" s="538"/>
      <c r="EM104" s="538"/>
      <c r="EN104" s="538"/>
      <c r="EO104" s="538"/>
      <c r="EP104" s="538"/>
      <c r="EQ104" s="538"/>
      <c r="ER104" s="538"/>
      <c r="ES104" s="538"/>
      <c r="ET104" s="538"/>
      <c r="EU104" s="538"/>
      <c r="EV104" s="538"/>
      <c r="EW104" s="538"/>
      <c r="EX104" s="559"/>
      <c r="EY104" s="559"/>
      <c r="EZ104" s="559"/>
      <c r="FA104" s="559"/>
      <c r="FB104" s="559"/>
      <c r="FC104" s="559"/>
      <c r="FD104" s="559"/>
      <c r="FE104" s="559"/>
      <c r="FF104" s="559"/>
      <c r="FG104" s="559"/>
      <c r="FH104" s="559"/>
      <c r="FI104" s="559"/>
      <c r="FJ104" s="559"/>
      <c r="FK104" s="559"/>
      <c r="FL104" s="559"/>
      <c r="FM104" s="559"/>
      <c r="FN104" s="559"/>
      <c r="FO104" s="559"/>
      <c r="FP104" s="559"/>
      <c r="FQ104" s="559"/>
      <c r="FR104" s="559"/>
      <c r="FS104" s="559"/>
      <c r="FT104" s="559"/>
      <c r="FU104" s="559"/>
      <c r="FV104" s="559"/>
      <c r="FW104" s="559"/>
      <c r="FX104" s="559"/>
      <c r="FY104" s="559"/>
      <c r="FZ104" s="559"/>
      <c r="GA104" s="559"/>
      <c r="GB104" s="559"/>
      <c r="GC104" s="559"/>
      <c r="GD104" s="559"/>
      <c r="GE104" s="559"/>
      <c r="GF104" s="559"/>
      <c r="GG104" s="559"/>
      <c r="GH104" s="559"/>
    </row>
    <row r="105">
      <c r="A105" s="538"/>
      <c r="B105" s="156"/>
      <c r="C105" s="444"/>
      <c r="D105" s="614"/>
      <c r="E105" s="66"/>
      <c r="F105" s="642"/>
      <c r="G105" s="642"/>
      <c r="H105" s="615"/>
      <c r="I105" s="616" t="s">
        <v>365</v>
      </c>
      <c r="J105" s="624"/>
      <c r="K105" s="643"/>
      <c r="L105" s="640"/>
      <c r="M105" s="625"/>
      <c r="N105" s="617"/>
      <c r="O105" s="134"/>
      <c r="P105" s="57"/>
      <c r="Q105" s="57"/>
      <c r="S105" s="605"/>
      <c r="U105" s="573"/>
      <c r="V105" s="574"/>
      <c r="W105" s="618"/>
      <c r="X105" s="576">
        <v>0.0</v>
      </c>
      <c r="Y105" s="630">
        <v>0.0</v>
      </c>
      <c r="Z105" s="630" t="s">
        <v>365</v>
      </c>
      <c r="AA105" s="631" t="b">
        <v>0</v>
      </c>
      <c r="AB105" s="631"/>
      <c r="AC105" s="576"/>
      <c r="AD105" s="479">
        <v>0.0</v>
      </c>
      <c r="AE105" s="632"/>
      <c r="AF105" s="582" t="s">
        <v>365</v>
      </c>
      <c r="AG105" s="583"/>
      <c r="AH105" s="584"/>
      <c r="AI105" s="583"/>
      <c r="AJ105" s="585"/>
      <c r="AK105" s="583"/>
      <c r="AL105" s="584"/>
      <c r="AM105" s="583"/>
      <c r="AN105" s="585"/>
      <c r="AO105" s="583"/>
      <c r="AP105" s="584"/>
      <c r="AQ105" s="583"/>
      <c r="AR105" s="585"/>
      <c r="AS105" s="583"/>
      <c r="AT105" s="584"/>
      <c r="AU105" s="583"/>
      <c r="AV105" s="585"/>
      <c r="AW105" s="583"/>
      <c r="AX105" s="584"/>
      <c r="AY105" s="583"/>
      <c r="AZ105" s="585"/>
      <c r="BA105" s="583"/>
      <c r="BB105" s="584"/>
      <c r="BC105" s="583"/>
      <c r="BD105" s="585"/>
      <c r="BE105" s="583"/>
      <c r="BF105" s="584"/>
      <c r="BG105" s="583"/>
      <c r="BH105" s="585"/>
      <c r="BI105" s="583"/>
      <c r="BJ105" s="584"/>
      <c r="BK105" s="583"/>
      <c r="BL105" s="585"/>
      <c r="BM105" s="583"/>
      <c r="BN105" s="584"/>
      <c r="BO105" s="583"/>
      <c r="BP105" s="585"/>
      <c r="BQ105" s="583"/>
      <c r="BR105" s="584"/>
      <c r="BS105" s="583"/>
      <c r="BT105" s="586"/>
      <c r="BU105" s="540"/>
      <c r="BV105" s="540"/>
      <c r="BW105" s="540"/>
      <c r="BX105" s="538"/>
      <c r="BY105" s="538"/>
      <c r="BZ105" s="592"/>
      <c r="CA105" s="633"/>
      <c r="CB105" s="592" t="s">
        <v>365</v>
      </c>
      <c r="CC105" s="592">
        <v>0.0</v>
      </c>
      <c r="CD105" s="592" t="s">
        <v>365</v>
      </c>
      <c r="CE105" s="592">
        <v>0.0</v>
      </c>
      <c r="CF105" s="592"/>
      <c r="CG105" s="592">
        <v>0.0</v>
      </c>
      <c r="CH105" s="592"/>
      <c r="CI105" s="633"/>
      <c r="CJ105" s="592">
        <v>0.0</v>
      </c>
      <c r="CK105" s="479" t="s">
        <v>365</v>
      </c>
      <c r="CL105" s="592"/>
      <c r="CM105" s="593"/>
      <c r="CN105" s="538"/>
      <c r="CO105" s="538"/>
      <c r="CP105" s="538"/>
      <c r="CQ105" s="538"/>
      <c r="CR105" s="538"/>
      <c r="CS105" s="538"/>
      <c r="CT105" s="538"/>
      <c r="CU105" s="538"/>
      <c r="CV105" s="538"/>
      <c r="CW105" s="538"/>
      <c r="CX105" s="538"/>
      <c r="CY105" s="538"/>
      <c r="CZ105" s="538"/>
      <c r="DA105" s="538"/>
      <c r="DB105" s="538"/>
      <c r="DC105" s="538"/>
      <c r="DD105" s="538"/>
      <c r="DE105" s="538"/>
      <c r="DF105" s="538"/>
      <c r="DG105" s="538"/>
      <c r="DH105" s="538"/>
      <c r="DI105" s="538"/>
      <c r="DJ105" s="538"/>
      <c r="DK105" s="538"/>
      <c r="DL105" s="538"/>
      <c r="DM105" s="538"/>
      <c r="DN105" s="538"/>
      <c r="DO105" s="538"/>
      <c r="DP105" s="538"/>
      <c r="DQ105" s="538"/>
      <c r="DR105" s="538"/>
      <c r="DS105" s="538"/>
      <c r="DT105" s="538"/>
      <c r="DU105" s="538"/>
      <c r="DV105" s="538"/>
      <c r="DW105" s="538"/>
      <c r="DX105" s="538"/>
      <c r="DY105" s="538"/>
      <c r="DZ105" s="538"/>
      <c r="EA105" s="538"/>
      <c r="EB105" s="538"/>
      <c r="EC105" s="538"/>
      <c r="ED105" s="538"/>
      <c r="EE105" s="538"/>
      <c r="EF105" s="538"/>
      <c r="EG105" s="538"/>
      <c r="EH105" s="538"/>
      <c r="EI105" s="538"/>
      <c r="EJ105" s="538"/>
      <c r="EK105" s="538"/>
      <c r="EL105" s="538"/>
      <c r="EM105" s="538"/>
      <c r="EN105" s="538"/>
      <c r="EO105" s="538"/>
      <c r="EP105" s="538"/>
      <c r="EQ105" s="538"/>
      <c r="ER105" s="538"/>
      <c r="ES105" s="538"/>
      <c r="ET105" s="538"/>
      <c r="EU105" s="538"/>
      <c r="EV105" s="538"/>
      <c r="EW105" s="538"/>
      <c r="EX105" s="559"/>
      <c r="EY105" s="559"/>
      <c r="EZ105" s="559"/>
      <c r="FA105" s="559"/>
      <c r="FB105" s="559"/>
      <c r="FC105" s="559"/>
      <c r="FD105" s="559"/>
      <c r="FE105" s="559"/>
      <c r="FF105" s="559"/>
      <c r="FG105" s="559"/>
      <c r="FH105" s="559"/>
      <c r="FI105" s="559"/>
      <c r="FJ105" s="559"/>
      <c r="FK105" s="559"/>
      <c r="FL105" s="559"/>
      <c r="FM105" s="559"/>
      <c r="FN105" s="559"/>
      <c r="FO105" s="559"/>
      <c r="FP105" s="559"/>
      <c r="FQ105" s="559"/>
      <c r="FR105" s="559"/>
      <c r="FS105" s="559"/>
      <c r="FT105" s="559"/>
      <c r="FU105" s="559"/>
      <c r="FV105" s="559"/>
      <c r="FW105" s="559"/>
      <c r="FX105" s="559"/>
      <c r="FY105" s="559"/>
      <c r="FZ105" s="559"/>
      <c r="GA105" s="559"/>
      <c r="GB105" s="559"/>
      <c r="GC105" s="559"/>
      <c r="GD105" s="559"/>
      <c r="GE105" s="559"/>
      <c r="GF105" s="559"/>
      <c r="GG105" s="559"/>
      <c r="GH105" s="559"/>
    </row>
    <row r="106">
      <c r="A106" s="538"/>
      <c r="B106" s="156"/>
      <c r="C106" s="444"/>
      <c r="D106" s="614"/>
      <c r="E106" s="68"/>
      <c r="F106" s="644"/>
      <c r="G106" s="644"/>
      <c r="H106" s="627"/>
      <c r="I106" s="622" t="s">
        <v>365</v>
      </c>
      <c r="J106" s="607"/>
      <c r="K106" s="641"/>
      <c r="L106" s="628"/>
      <c r="M106" s="626"/>
      <c r="N106" s="619"/>
      <c r="O106" s="560"/>
      <c r="P106" s="47"/>
      <c r="Q106" s="47"/>
      <c r="S106" s="572"/>
      <c r="U106" s="573"/>
      <c r="V106" s="574"/>
      <c r="W106" s="618"/>
      <c r="X106" s="576">
        <v>0.0</v>
      </c>
      <c r="Y106" s="630">
        <v>0.0</v>
      </c>
      <c r="Z106" s="630" t="s">
        <v>365</v>
      </c>
      <c r="AA106" s="631" t="b">
        <v>0</v>
      </c>
      <c r="AB106" s="631"/>
      <c r="AC106" s="576"/>
      <c r="AD106" s="479">
        <v>0.0</v>
      </c>
      <c r="AE106" s="632"/>
      <c r="AF106" s="582" t="s">
        <v>365</v>
      </c>
      <c r="AG106" s="583"/>
      <c r="AH106" s="584"/>
      <c r="AI106" s="583"/>
      <c r="AJ106" s="585"/>
      <c r="AK106" s="583"/>
      <c r="AL106" s="584"/>
      <c r="AM106" s="583"/>
      <c r="AN106" s="585"/>
      <c r="AO106" s="583"/>
      <c r="AP106" s="584"/>
      <c r="AQ106" s="583"/>
      <c r="AR106" s="585"/>
      <c r="AS106" s="583"/>
      <c r="AT106" s="584"/>
      <c r="AU106" s="583"/>
      <c r="AV106" s="585"/>
      <c r="AW106" s="583"/>
      <c r="AX106" s="584"/>
      <c r="AY106" s="583"/>
      <c r="AZ106" s="585"/>
      <c r="BA106" s="583"/>
      <c r="BB106" s="584"/>
      <c r="BC106" s="583"/>
      <c r="BD106" s="585"/>
      <c r="BE106" s="583"/>
      <c r="BF106" s="584"/>
      <c r="BG106" s="583"/>
      <c r="BH106" s="585"/>
      <c r="BI106" s="583"/>
      <c r="BJ106" s="584"/>
      <c r="BK106" s="583"/>
      <c r="BL106" s="585"/>
      <c r="BM106" s="583"/>
      <c r="BN106" s="584"/>
      <c r="BO106" s="583"/>
      <c r="BP106" s="585"/>
      <c r="BQ106" s="583"/>
      <c r="BR106" s="584"/>
      <c r="BS106" s="583"/>
      <c r="BT106" s="586"/>
      <c r="BU106" s="540"/>
      <c r="BV106" s="540"/>
      <c r="BW106" s="540"/>
      <c r="BX106" s="538"/>
      <c r="BY106" s="538"/>
      <c r="BZ106" s="592"/>
      <c r="CA106" s="633"/>
      <c r="CB106" s="592" t="s">
        <v>365</v>
      </c>
      <c r="CC106" s="592">
        <v>0.0</v>
      </c>
      <c r="CD106" s="592" t="s">
        <v>365</v>
      </c>
      <c r="CE106" s="592">
        <v>0.0</v>
      </c>
      <c r="CF106" s="592"/>
      <c r="CG106" s="592">
        <v>0.0</v>
      </c>
      <c r="CH106" s="592"/>
      <c r="CI106" s="633"/>
      <c r="CJ106" s="592">
        <v>0.0</v>
      </c>
      <c r="CK106" s="479" t="s">
        <v>365</v>
      </c>
      <c r="CL106" s="592"/>
      <c r="CM106" s="593"/>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c r="DS106" s="538"/>
      <c r="DT106" s="538"/>
      <c r="DU106" s="538"/>
      <c r="DV106" s="538"/>
      <c r="DW106" s="538"/>
      <c r="DX106" s="538"/>
      <c r="DY106" s="538"/>
      <c r="DZ106" s="538"/>
      <c r="EA106" s="538"/>
      <c r="EB106" s="538"/>
      <c r="EC106" s="538"/>
      <c r="ED106" s="538"/>
      <c r="EE106" s="538"/>
      <c r="EF106" s="538"/>
      <c r="EG106" s="538"/>
      <c r="EH106" s="538"/>
      <c r="EI106" s="538"/>
      <c r="EJ106" s="538"/>
      <c r="EK106" s="538"/>
      <c r="EL106" s="538"/>
      <c r="EM106" s="538"/>
      <c r="EN106" s="538"/>
      <c r="EO106" s="538"/>
      <c r="EP106" s="538"/>
      <c r="EQ106" s="538"/>
      <c r="ER106" s="538"/>
      <c r="ES106" s="538"/>
      <c r="ET106" s="538"/>
      <c r="EU106" s="538"/>
      <c r="EV106" s="538"/>
      <c r="EW106" s="538"/>
      <c r="EX106" s="559"/>
      <c r="EY106" s="559"/>
      <c r="EZ106" s="559"/>
      <c r="FA106" s="559"/>
      <c r="FB106" s="559"/>
      <c r="FC106" s="559"/>
      <c r="FD106" s="559"/>
      <c r="FE106" s="559"/>
      <c r="FF106" s="559"/>
      <c r="FG106" s="559"/>
      <c r="FH106" s="559"/>
      <c r="FI106" s="559"/>
      <c r="FJ106" s="559"/>
      <c r="FK106" s="559"/>
      <c r="FL106" s="559"/>
      <c r="FM106" s="559"/>
      <c r="FN106" s="559"/>
      <c r="FO106" s="559"/>
      <c r="FP106" s="559"/>
      <c r="FQ106" s="559"/>
      <c r="FR106" s="559"/>
      <c r="FS106" s="559"/>
      <c r="FT106" s="559"/>
      <c r="FU106" s="559"/>
      <c r="FV106" s="559"/>
      <c r="FW106" s="559"/>
      <c r="FX106" s="559"/>
      <c r="FY106" s="559"/>
      <c r="FZ106" s="559"/>
      <c r="GA106" s="559"/>
      <c r="GB106" s="559"/>
      <c r="GC106" s="559"/>
      <c r="GD106" s="559"/>
      <c r="GE106" s="559"/>
      <c r="GF106" s="559"/>
      <c r="GG106" s="559"/>
      <c r="GH106" s="559"/>
    </row>
    <row r="107">
      <c r="A107" s="538"/>
      <c r="B107" s="156"/>
      <c r="C107" s="444"/>
      <c r="D107" s="614"/>
      <c r="E107" s="66"/>
      <c r="F107" s="642"/>
      <c r="G107" s="642"/>
      <c r="H107" s="615"/>
      <c r="I107" s="616" t="s">
        <v>365</v>
      </c>
      <c r="J107" s="624"/>
      <c r="K107" s="643"/>
      <c r="L107" s="640"/>
      <c r="M107" s="625"/>
      <c r="N107" s="617"/>
      <c r="O107" s="134"/>
      <c r="P107" s="57"/>
      <c r="Q107" s="57"/>
      <c r="S107" s="605"/>
      <c r="U107" s="573"/>
      <c r="V107" s="574"/>
      <c r="W107" s="618"/>
      <c r="X107" s="576">
        <v>0.0</v>
      </c>
      <c r="Y107" s="630">
        <v>0.0</v>
      </c>
      <c r="Z107" s="630" t="s">
        <v>365</v>
      </c>
      <c r="AA107" s="631" t="b">
        <v>0</v>
      </c>
      <c r="AB107" s="631"/>
      <c r="AC107" s="576"/>
      <c r="AD107" s="479">
        <v>0.0</v>
      </c>
      <c r="AE107" s="632"/>
      <c r="AF107" s="582" t="s">
        <v>365</v>
      </c>
      <c r="AG107" s="583"/>
      <c r="AH107" s="584"/>
      <c r="AI107" s="583"/>
      <c r="AJ107" s="585"/>
      <c r="AK107" s="583"/>
      <c r="AL107" s="584"/>
      <c r="AM107" s="583"/>
      <c r="AN107" s="585"/>
      <c r="AO107" s="583"/>
      <c r="AP107" s="584"/>
      <c r="AQ107" s="583"/>
      <c r="AR107" s="585"/>
      <c r="AS107" s="583"/>
      <c r="AT107" s="584"/>
      <c r="AU107" s="583"/>
      <c r="AV107" s="585"/>
      <c r="AW107" s="583"/>
      <c r="AX107" s="584"/>
      <c r="AY107" s="583"/>
      <c r="AZ107" s="585"/>
      <c r="BA107" s="583"/>
      <c r="BB107" s="584"/>
      <c r="BC107" s="583"/>
      <c r="BD107" s="585"/>
      <c r="BE107" s="583"/>
      <c r="BF107" s="584"/>
      <c r="BG107" s="583"/>
      <c r="BH107" s="585"/>
      <c r="BI107" s="583"/>
      <c r="BJ107" s="584"/>
      <c r="BK107" s="583"/>
      <c r="BL107" s="585"/>
      <c r="BM107" s="583"/>
      <c r="BN107" s="584"/>
      <c r="BO107" s="583"/>
      <c r="BP107" s="585"/>
      <c r="BQ107" s="583"/>
      <c r="BR107" s="584"/>
      <c r="BS107" s="583"/>
      <c r="BT107" s="586"/>
      <c r="BU107" s="540"/>
      <c r="BV107" s="540"/>
      <c r="BW107" s="540"/>
      <c r="BX107" s="538"/>
      <c r="BY107" s="538"/>
      <c r="BZ107" s="592"/>
      <c r="CA107" s="633"/>
      <c r="CB107" s="592" t="s">
        <v>365</v>
      </c>
      <c r="CC107" s="592">
        <v>0.0</v>
      </c>
      <c r="CD107" s="592" t="s">
        <v>365</v>
      </c>
      <c r="CE107" s="592">
        <v>0.0</v>
      </c>
      <c r="CF107" s="592"/>
      <c r="CG107" s="592">
        <v>0.0</v>
      </c>
      <c r="CH107" s="592"/>
      <c r="CI107" s="633"/>
      <c r="CJ107" s="592">
        <v>0.0</v>
      </c>
      <c r="CK107" s="479" t="s">
        <v>365</v>
      </c>
      <c r="CL107" s="592"/>
      <c r="CM107" s="593"/>
      <c r="CN107" s="538"/>
      <c r="CO107" s="538"/>
      <c r="CP107" s="538"/>
      <c r="CQ107" s="538"/>
      <c r="CR107" s="538"/>
      <c r="CS107" s="538"/>
      <c r="CT107" s="538"/>
      <c r="CU107" s="538"/>
      <c r="CV107" s="538"/>
      <c r="CW107" s="538"/>
      <c r="CX107" s="538"/>
      <c r="CY107" s="538"/>
      <c r="CZ107" s="538"/>
      <c r="DA107" s="538"/>
      <c r="DB107" s="538"/>
      <c r="DC107" s="538"/>
      <c r="DD107" s="538"/>
      <c r="DE107" s="538"/>
      <c r="DF107" s="538"/>
      <c r="DG107" s="538"/>
      <c r="DH107" s="538"/>
      <c r="DI107" s="538"/>
      <c r="DJ107" s="538"/>
      <c r="DK107" s="538"/>
      <c r="DL107" s="538"/>
      <c r="DM107" s="538"/>
      <c r="DN107" s="538"/>
      <c r="DO107" s="538"/>
      <c r="DP107" s="538"/>
      <c r="DQ107" s="538"/>
      <c r="DR107" s="538"/>
      <c r="DS107" s="538"/>
      <c r="DT107" s="538"/>
      <c r="DU107" s="538"/>
      <c r="DV107" s="538"/>
      <c r="DW107" s="538"/>
      <c r="DX107" s="538"/>
      <c r="DY107" s="538"/>
      <c r="DZ107" s="538"/>
      <c r="EA107" s="538"/>
      <c r="EB107" s="538"/>
      <c r="EC107" s="538"/>
      <c r="ED107" s="538"/>
      <c r="EE107" s="538"/>
      <c r="EF107" s="538"/>
      <c r="EG107" s="538"/>
      <c r="EH107" s="538"/>
      <c r="EI107" s="538"/>
      <c r="EJ107" s="538"/>
      <c r="EK107" s="538"/>
      <c r="EL107" s="538"/>
      <c r="EM107" s="538"/>
      <c r="EN107" s="538"/>
      <c r="EO107" s="538"/>
      <c r="EP107" s="538"/>
      <c r="EQ107" s="538"/>
      <c r="ER107" s="538"/>
      <c r="ES107" s="538"/>
      <c r="ET107" s="538"/>
      <c r="EU107" s="538"/>
      <c r="EV107" s="538"/>
      <c r="EW107" s="538"/>
      <c r="EX107" s="559"/>
      <c r="EY107" s="559"/>
      <c r="EZ107" s="559"/>
      <c r="FA107" s="559"/>
      <c r="FB107" s="559"/>
      <c r="FC107" s="559"/>
      <c r="FD107" s="559"/>
      <c r="FE107" s="559"/>
      <c r="FF107" s="559"/>
      <c r="FG107" s="559"/>
      <c r="FH107" s="559"/>
      <c r="FI107" s="559"/>
      <c r="FJ107" s="559"/>
      <c r="FK107" s="559"/>
      <c r="FL107" s="559"/>
      <c r="FM107" s="559"/>
      <c r="FN107" s="559"/>
      <c r="FO107" s="559"/>
      <c r="FP107" s="559"/>
      <c r="FQ107" s="559"/>
      <c r="FR107" s="559"/>
      <c r="FS107" s="559"/>
      <c r="FT107" s="559"/>
      <c r="FU107" s="559"/>
      <c r="FV107" s="559"/>
      <c r="FW107" s="559"/>
      <c r="FX107" s="559"/>
      <c r="FY107" s="559"/>
      <c r="FZ107" s="559"/>
      <c r="GA107" s="559"/>
      <c r="GB107" s="559"/>
      <c r="GC107" s="559"/>
      <c r="GD107" s="559"/>
      <c r="GE107" s="559"/>
      <c r="GF107" s="559"/>
      <c r="GG107" s="559"/>
      <c r="GH107" s="559"/>
    </row>
    <row r="108">
      <c r="A108" s="538"/>
      <c r="B108" s="156"/>
      <c r="C108" s="444"/>
      <c r="D108" s="614"/>
      <c r="E108" s="68"/>
      <c r="F108" s="644"/>
      <c r="G108" s="644"/>
      <c r="H108" s="627"/>
      <c r="I108" s="622" t="s">
        <v>365</v>
      </c>
      <c r="J108" s="607"/>
      <c r="K108" s="641"/>
      <c r="L108" s="628"/>
      <c r="M108" s="626"/>
      <c r="N108" s="619"/>
      <c r="O108" s="560"/>
      <c r="P108" s="47"/>
      <c r="Q108" s="47"/>
      <c r="S108" s="572"/>
      <c r="U108" s="573"/>
      <c r="V108" s="574"/>
      <c r="W108" s="618"/>
      <c r="X108" s="576">
        <v>0.0</v>
      </c>
      <c r="Y108" s="630">
        <v>0.0</v>
      </c>
      <c r="Z108" s="630" t="s">
        <v>365</v>
      </c>
      <c r="AA108" s="631" t="b">
        <v>0</v>
      </c>
      <c r="AB108" s="631"/>
      <c r="AC108" s="576"/>
      <c r="AD108" s="479">
        <v>0.0</v>
      </c>
      <c r="AE108" s="632"/>
      <c r="AF108" s="582" t="s">
        <v>365</v>
      </c>
      <c r="AG108" s="583"/>
      <c r="AH108" s="584"/>
      <c r="AI108" s="583"/>
      <c r="AJ108" s="585"/>
      <c r="AK108" s="583"/>
      <c r="AL108" s="584"/>
      <c r="AM108" s="583"/>
      <c r="AN108" s="585"/>
      <c r="AO108" s="583"/>
      <c r="AP108" s="584"/>
      <c r="AQ108" s="583"/>
      <c r="AR108" s="585"/>
      <c r="AS108" s="583"/>
      <c r="AT108" s="584"/>
      <c r="AU108" s="583"/>
      <c r="AV108" s="585"/>
      <c r="AW108" s="583"/>
      <c r="AX108" s="584"/>
      <c r="AY108" s="583"/>
      <c r="AZ108" s="585"/>
      <c r="BA108" s="583"/>
      <c r="BB108" s="584"/>
      <c r="BC108" s="583"/>
      <c r="BD108" s="585"/>
      <c r="BE108" s="583"/>
      <c r="BF108" s="584"/>
      <c r="BG108" s="583"/>
      <c r="BH108" s="585"/>
      <c r="BI108" s="583"/>
      <c r="BJ108" s="584"/>
      <c r="BK108" s="583"/>
      <c r="BL108" s="585"/>
      <c r="BM108" s="583"/>
      <c r="BN108" s="584"/>
      <c r="BO108" s="583"/>
      <c r="BP108" s="585"/>
      <c r="BQ108" s="583"/>
      <c r="BR108" s="584"/>
      <c r="BS108" s="583"/>
      <c r="BT108" s="586"/>
      <c r="BU108" s="540"/>
      <c r="BV108" s="540"/>
      <c r="BW108" s="540"/>
      <c r="BX108" s="538"/>
      <c r="BY108" s="538"/>
      <c r="BZ108" s="592"/>
      <c r="CA108" s="633"/>
      <c r="CB108" s="592" t="s">
        <v>365</v>
      </c>
      <c r="CC108" s="592">
        <v>0.0</v>
      </c>
      <c r="CD108" s="592" t="s">
        <v>365</v>
      </c>
      <c r="CE108" s="592">
        <v>0.0</v>
      </c>
      <c r="CF108" s="592"/>
      <c r="CG108" s="592">
        <v>0.0</v>
      </c>
      <c r="CH108" s="592"/>
      <c r="CI108" s="633"/>
      <c r="CJ108" s="592">
        <v>0.0</v>
      </c>
      <c r="CK108" s="479" t="s">
        <v>365</v>
      </c>
      <c r="CL108" s="592"/>
      <c r="CM108" s="593"/>
      <c r="CN108" s="538"/>
      <c r="CO108" s="538"/>
      <c r="CP108" s="538"/>
      <c r="CQ108" s="538"/>
      <c r="CR108" s="538"/>
      <c r="CS108" s="538"/>
      <c r="CT108" s="538"/>
      <c r="CU108" s="538"/>
      <c r="CV108" s="538"/>
      <c r="CW108" s="538"/>
      <c r="CX108" s="538"/>
      <c r="CY108" s="538"/>
      <c r="CZ108" s="538"/>
      <c r="DA108" s="538"/>
      <c r="DB108" s="538"/>
      <c r="DC108" s="538"/>
      <c r="DD108" s="538"/>
      <c r="DE108" s="538"/>
      <c r="DF108" s="538"/>
      <c r="DG108" s="538"/>
      <c r="DH108" s="538"/>
      <c r="DI108" s="538"/>
      <c r="DJ108" s="538"/>
      <c r="DK108" s="538"/>
      <c r="DL108" s="538"/>
      <c r="DM108" s="538"/>
      <c r="DN108" s="538"/>
      <c r="DO108" s="538"/>
      <c r="DP108" s="538"/>
      <c r="DQ108" s="538"/>
      <c r="DR108" s="538"/>
      <c r="DS108" s="538"/>
      <c r="DT108" s="538"/>
      <c r="DU108" s="538"/>
      <c r="DV108" s="538"/>
      <c r="DW108" s="538"/>
      <c r="DX108" s="538"/>
      <c r="DY108" s="538"/>
      <c r="DZ108" s="538"/>
      <c r="EA108" s="538"/>
      <c r="EB108" s="538"/>
      <c r="EC108" s="538"/>
      <c r="ED108" s="538"/>
      <c r="EE108" s="538"/>
      <c r="EF108" s="538"/>
      <c r="EG108" s="538"/>
      <c r="EH108" s="538"/>
      <c r="EI108" s="538"/>
      <c r="EJ108" s="538"/>
      <c r="EK108" s="538"/>
      <c r="EL108" s="538"/>
      <c r="EM108" s="538"/>
      <c r="EN108" s="538"/>
      <c r="EO108" s="538"/>
      <c r="EP108" s="538"/>
      <c r="EQ108" s="538"/>
      <c r="ER108" s="538"/>
      <c r="ES108" s="538"/>
      <c r="ET108" s="538"/>
      <c r="EU108" s="538"/>
      <c r="EV108" s="538"/>
      <c r="EW108" s="538"/>
      <c r="EX108" s="559"/>
      <c r="EY108" s="559"/>
      <c r="EZ108" s="559"/>
      <c r="FA108" s="559"/>
      <c r="FB108" s="559"/>
      <c r="FC108" s="559"/>
      <c r="FD108" s="559"/>
      <c r="FE108" s="559"/>
      <c r="FF108" s="559"/>
      <c r="FG108" s="559"/>
      <c r="FH108" s="559"/>
      <c r="FI108" s="559"/>
      <c r="FJ108" s="559"/>
      <c r="FK108" s="559"/>
      <c r="FL108" s="559"/>
      <c r="FM108" s="559"/>
      <c r="FN108" s="559"/>
      <c r="FO108" s="559"/>
      <c r="FP108" s="559"/>
      <c r="FQ108" s="559"/>
      <c r="FR108" s="559"/>
      <c r="FS108" s="559"/>
      <c r="FT108" s="559"/>
      <c r="FU108" s="559"/>
      <c r="FV108" s="559"/>
      <c r="FW108" s="559"/>
      <c r="FX108" s="559"/>
      <c r="FY108" s="559"/>
      <c r="FZ108" s="559"/>
      <c r="GA108" s="559"/>
      <c r="GB108" s="559"/>
      <c r="GC108" s="559"/>
      <c r="GD108" s="559"/>
      <c r="GE108" s="559"/>
      <c r="GF108" s="559"/>
      <c r="GG108" s="559"/>
      <c r="GH108" s="559"/>
    </row>
    <row r="109">
      <c r="A109" s="538"/>
      <c r="B109" s="156"/>
      <c r="C109" s="444"/>
      <c r="D109" s="614"/>
      <c r="E109" s="66"/>
      <c r="F109" s="642"/>
      <c r="G109" s="642"/>
      <c r="H109" s="615"/>
      <c r="I109" s="616" t="s">
        <v>365</v>
      </c>
      <c r="J109" s="624"/>
      <c r="K109" s="643"/>
      <c r="L109" s="640"/>
      <c r="M109" s="625"/>
      <c r="N109" s="617"/>
      <c r="O109" s="134"/>
      <c r="P109" s="57"/>
      <c r="Q109" s="57"/>
      <c r="S109" s="605"/>
      <c r="U109" s="573"/>
      <c r="V109" s="574"/>
      <c r="W109" s="618"/>
      <c r="X109" s="576">
        <v>0.0</v>
      </c>
      <c r="Y109" s="630">
        <v>0.0</v>
      </c>
      <c r="Z109" s="630" t="s">
        <v>365</v>
      </c>
      <c r="AA109" s="631" t="b">
        <v>0</v>
      </c>
      <c r="AB109" s="631"/>
      <c r="AC109" s="576"/>
      <c r="AD109" s="479">
        <v>0.0</v>
      </c>
      <c r="AE109" s="632"/>
      <c r="AF109" s="582" t="s">
        <v>365</v>
      </c>
      <c r="AG109" s="583"/>
      <c r="AH109" s="584"/>
      <c r="AI109" s="583"/>
      <c r="AJ109" s="585"/>
      <c r="AK109" s="583"/>
      <c r="AL109" s="584"/>
      <c r="AM109" s="583"/>
      <c r="AN109" s="585"/>
      <c r="AO109" s="583"/>
      <c r="AP109" s="584"/>
      <c r="AQ109" s="583"/>
      <c r="AR109" s="585"/>
      <c r="AS109" s="583"/>
      <c r="AT109" s="584"/>
      <c r="AU109" s="583"/>
      <c r="AV109" s="585"/>
      <c r="AW109" s="583"/>
      <c r="AX109" s="584"/>
      <c r="AY109" s="583"/>
      <c r="AZ109" s="585"/>
      <c r="BA109" s="583"/>
      <c r="BB109" s="584"/>
      <c r="BC109" s="583"/>
      <c r="BD109" s="585"/>
      <c r="BE109" s="583"/>
      <c r="BF109" s="584"/>
      <c r="BG109" s="583"/>
      <c r="BH109" s="585"/>
      <c r="BI109" s="583"/>
      <c r="BJ109" s="584"/>
      <c r="BK109" s="583"/>
      <c r="BL109" s="585"/>
      <c r="BM109" s="583"/>
      <c r="BN109" s="584"/>
      <c r="BO109" s="583"/>
      <c r="BP109" s="585"/>
      <c r="BQ109" s="583"/>
      <c r="BR109" s="584"/>
      <c r="BS109" s="583"/>
      <c r="BT109" s="586"/>
      <c r="BU109" s="540"/>
      <c r="BV109" s="540"/>
      <c r="BW109" s="540"/>
      <c r="BX109" s="538"/>
      <c r="BY109" s="538"/>
      <c r="BZ109" s="592"/>
      <c r="CA109" s="633"/>
      <c r="CB109" s="592" t="s">
        <v>365</v>
      </c>
      <c r="CC109" s="592">
        <v>0.0</v>
      </c>
      <c r="CD109" s="592" t="s">
        <v>365</v>
      </c>
      <c r="CE109" s="592">
        <v>0.0</v>
      </c>
      <c r="CF109" s="592"/>
      <c r="CG109" s="592">
        <v>0.0</v>
      </c>
      <c r="CH109" s="592"/>
      <c r="CI109" s="633"/>
      <c r="CJ109" s="592">
        <v>0.0</v>
      </c>
      <c r="CK109" s="479" t="s">
        <v>365</v>
      </c>
      <c r="CL109" s="592"/>
      <c r="CM109" s="593"/>
      <c r="CN109" s="538"/>
      <c r="CO109" s="538"/>
      <c r="CP109" s="538"/>
      <c r="CQ109" s="538"/>
      <c r="CR109" s="538"/>
      <c r="CS109" s="538"/>
      <c r="CT109" s="538"/>
      <c r="CU109" s="538"/>
      <c r="CV109" s="538"/>
      <c r="CW109" s="538"/>
      <c r="CX109" s="538"/>
      <c r="CY109" s="538"/>
      <c r="CZ109" s="538"/>
      <c r="DA109" s="538"/>
      <c r="DB109" s="538"/>
      <c r="DC109" s="538"/>
      <c r="DD109" s="538"/>
      <c r="DE109" s="538"/>
      <c r="DF109" s="538"/>
      <c r="DG109" s="538"/>
      <c r="DH109" s="538"/>
      <c r="DI109" s="538"/>
      <c r="DJ109" s="538"/>
      <c r="DK109" s="538"/>
      <c r="DL109" s="538"/>
      <c r="DM109" s="538"/>
      <c r="DN109" s="538"/>
      <c r="DO109" s="538"/>
      <c r="DP109" s="538"/>
      <c r="DQ109" s="538"/>
      <c r="DR109" s="538"/>
      <c r="DS109" s="538"/>
      <c r="DT109" s="538"/>
      <c r="DU109" s="538"/>
      <c r="DV109" s="538"/>
      <c r="DW109" s="538"/>
      <c r="DX109" s="538"/>
      <c r="DY109" s="538"/>
      <c r="DZ109" s="538"/>
      <c r="EA109" s="538"/>
      <c r="EB109" s="538"/>
      <c r="EC109" s="538"/>
      <c r="ED109" s="538"/>
      <c r="EE109" s="538"/>
      <c r="EF109" s="538"/>
      <c r="EG109" s="538"/>
      <c r="EH109" s="538"/>
      <c r="EI109" s="538"/>
      <c r="EJ109" s="538"/>
      <c r="EK109" s="538"/>
      <c r="EL109" s="538"/>
      <c r="EM109" s="538"/>
      <c r="EN109" s="538"/>
      <c r="EO109" s="538"/>
      <c r="EP109" s="538"/>
      <c r="EQ109" s="538"/>
      <c r="ER109" s="538"/>
      <c r="ES109" s="538"/>
      <c r="ET109" s="538"/>
      <c r="EU109" s="538"/>
      <c r="EV109" s="538"/>
      <c r="EW109" s="538"/>
      <c r="EX109" s="559"/>
      <c r="EY109" s="559"/>
      <c r="EZ109" s="559"/>
      <c r="FA109" s="559"/>
      <c r="FB109" s="559"/>
      <c r="FC109" s="559"/>
      <c r="FD109" s="559"/>
      <c r="FE109" s="559"/>
      <c r="FF109" s="559"/>
      <c r="FG109" s="559"/>
      <c r="FH109" s="559"/>
      <c r="FI109" s="559"/>
      <c r="FJ109" s="559"/>
      <c r="FK109" s="559"/>
      <c r="FL109" s="559"/>
      <c r="FM109" s="559"/>
      <c r="FN109" s="559"/>
      <c r="FO109" s="559"/>
      <c r="FP109" s="559"/>
      <c r="FQ109" s="559"/>
      <c r="FR109" s="559"/>
      <c r="FS109" s="559"/>
      <c r="FT109" s="559"/>
      <c r="FU109" s="559"/>
      <c r="FV109" s="559"/>
      <c r="FW109" s="559"/>
      <c r="FX109" s="559"/>
      <c r="FY109" s="559"/>
      <c r="FZ109" s="559"/>
      <c r="GA109" s="559"/>
      <c r="GB109" s="559"/>
      <c r="GC109" s="559"/>
      <c r="GD109" s="559"/>
      <c r="GE109" s="559"/>
      <c r="GF109" s="559"/>
      <c r="GG109" s="559"/>
      <c r="GH109" s="559"/>
    </row>
    <row r="110">
      <c r="A110" s="538"/>
      <c r="B110" s="156"/>
      <c r="C110" s="444"/>
      <c r="D110" s="614"/>
      <c r="E110" s="68"/>
      <c r="F110" s="644"/>
      <c r="G110" s="644"/>
      <c r="H110" s="627"/>
      <c r="I110" s="622" t="s">
        <v>365</v>
      </c>
      <c r="J110" s="607"/>
      <c r="K110" s="641"/>
      <c r="L110" s="628"/>
      <c r="M110" s="626"/>
      <c r="N110" s="619"/>
      <c r="O110" s="560"/>
      <c r="P110" s="47"/>
      <c r="Q110" s="47"/>
      <c r="S110" s="572"/>
      <c r="U110" s="573"/>
      <c r="V110" s="574"/>
      <c r="W110" s="618"/>
      <c r="X110" s="576">
        <v>0.0</v>
      </c>
      <c r="Y110" s="630">
        <v>0.0</v>
      </c>
      <c r="Z110" s="630" t="s">
        <v>365</v>
      </c>
      <c r="AA110" s="631" t="b">
        <v>0</v>
      </c>
      <c r="AB110" s="631"/>
      <c r="AC110" s="576"/>
      <c r="AD110" s="479">
        <v>0.0</v>
      </c>
      <c r="AE110" s="632"/>
      <c r="AF110" s="582" t="s">
        <v>365</v>
      </c>
      <c r="AG110" s="583"/>
      <c r="AH110" s="584"/>
      <c r="AI110" s="583"/>
      <c r="AJ110" s="585"/>
      <c r="AK110" s="583"/>
      <c r="AL110" s="584"/>
      <c r="AM110" s="583"/>
      <c r="AN110" s="585"/>
      <c r="AO110" s="583"/>
      <c r="AP110" s="584"/>
      <c r="AQ110" s="583"/>
      <c r="AR110" s="585"/>
      <c r="AS110" s="583"/>
      <c r="AT110" s="584"/>
      <c r="AU110" s="583"/>
      <c r="AV110" s="585"/>
      <c r="AW110" s="583"/>
      <c r="AX110" s="584"/>
      <c r="AY110" s="583"/>
      <c r="AZ110" s="585"/>
      <c r="BA110" s="583"/>
      <c r="BB110" s="584"/>
      <c r="BC110" s="583"/>
      <c r="BD110" s="585"/>
      <c r="BE110" s="583"/>
      <c r="BF110" s="584"/>
      <c r="BG110" s="583"/>
      <c r="BH110" s="585"/>
      <c r="BI110" s="583"/>
      <c r="BJ110" s="584"/>
      <c r="BK110" s="583"/>
      <c r="BL110" s="585"/>
      <c r="BM110" s="583"/>
      <c r="BN110" s="584"/>
      <c r="BO110" s="583"/>
      <c r="BP110" s="585"/>
      <c r="BQ110" s="583"/>
      <c r="BR110" s="584"/>
      <c r="BS110" s="583"/>
      <c r="BT110" s="586"/>
      <c r="BU110" s="540"/>
      <c r="BV110" s="540"/>
      <c r="BW110" s="540"/>
      <c r="BX110" s="538"/>
      <c r="BY110" s="538"/>
      <c r="BZ110" s="592"/>
      <c r="CA110" s="633"/>
      <c r="CB110" s="592" t="s">
        <v>365</v>
      </c>
      <c r="CC110" s="592">
        <v>0.0</v>
      </c>
      <c r="CD110" s="592" t="s">
        <v>365</v>
      </c>
      <c r="CE110" s="592">
        <v>0.0</v>
      </c>
      <c r="CF110" s="592"/>
      <c r="CG110" s="592">
        <v>0.0</v>
      </c>
      <c r="CH110" s="592"/>
      <c r="CI110" s="633"/>
      <c r="CJ110" s="592">
        <v>0.0</v>
      </c>
      <c r="CK110" s="479" t="s">
        <v>365</v>
      </c>
      <c r="CL110" s="592"/>
      <c r="CM110" s="593"/>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c r="DS110" s="538"/>
      <c r="DT110" s="538"/>
      <c r="DU110" s="538"/>
      <c r="DV110" s="538"/>
      <c r="DW110" s="538"/>
      <c r="DX110" s="538"/>
      <c r="DY110" s="538"/>
      <c r="DZ110" s="538"/>
      <c r="EA110" s="538"/>
      <c r="EB110" s="538"/>
      <c r="EC110" s="538"/>
      <c r="ED110" s="538"/>
      <c r="EE110" s="538"/>
      <c r="EF110" s="538"/>
      <c r="EG110" s="538"/>
      <c r="EH110" s="538"/>
      <c r="EI110" s="538"/>
      <c r="EJ110" s="538"/>
      <c r="EK110" s="538"/>
      <c r="EL110" s="538"/>
      <c r="EM110" s="538"/>
      <c r="EN110" s="538"/>
      <c r="EO110" s="538"/>
      <c r="EP110" s="538"/>
      <c r="EQ110" s="538"/>
      <c r="ER110" s="538"/>
      <c r="ES110" s="538"/>
      <c r="ET110" s="538"/>
      <c r="EU110" s="538"/>
      <c r="EV110" s="538"/>
      <c r="EW110" s="538"/>
      <c r="EX110" s="559"/>
      <c r="EY110" s="559"/>
      <c r="EZ110" s="559"/>
      <c r="FA110" s="559"/>
      <c r="FB110" s="559"/>
      <c r="FC110" s="559"/>
      <c r="FD110" s="559"/>
      <c r="FE110" s="559"/>
      <c r="FF110" s="559"/>
      <c r="FG110" s="559"/>
      <c r="FH110" s="559"/>
      <c r="FI110" s="559"/>
      <c r="FJ110" s="559"/>
      <c r="FK110" s="559"/>
      <c r="FL110" s="559"/>
      <c r="FM110" s="559"/>
      <c r="FN110" s="559"/>
      <c r="FO110" s="559"/>
      <c r="FP110" s="559"/>
      <c r="FQ110" s="559"/>
      <c r="FR110" s="559"/>
      <c r="FS110" s="559"/>
      <c r="FT110" s="559"/>
      <c r="FU110" s="559"/>
      <c r="FV110" s="559"/>
      <c r="FW110" s="559"/>
      <c r="FX110" s="559"/>
      <c r="FY110" s="559"/>
      <c r="FZ110" s="559"/>
      <c r="GA110" s="559"/>
      <c r="GB110" s="559"/>
      <c r="GC110" s="559"/>
      <c r="GD110" s="559"/>
      <c r="GE110" s="559"/>
      <c r="GF110" s="559"/>
      <c r="GG110" s="559"/>
      <c r="GH110" s="559"/>
    </row>
    <row r="111">
      <c r="A111" s="538"/>
      <c r="B111" s="156"/>
      <c r="C111" s="444"/>
      <c r="D111" s="614"/>
      <c r="E111" s="66"/>
      <c r="F111" s="642"/>
      <c r="G111" s="642"/>
      <c r="H111" s="615"/>
      <c r="I111" s="616" t="s">
        <v>365</v>
      </c>
      <c r="J111" s="624"/>
      <c r="K111" s="643"/>
      <c r="L111" s="640"/>
      <c r="M111" s="625"/>
      <c r="N111" s="617"/>
      <c r="O111" s="134"/>
      <c r="P111" s="57"/>
      <c r="Q111" s="57"/>
      <c r="S111" s="605"/>
      <c r="U111" s="573"/>
      <c r="V111" s="574"/>
      <c r="W111" s="618"/>
      <c r="X111" s="576">
        <v>0.0</v>
      </c>
      <c r="Y111" s="630">
        <v>0.0</v>
      </c>
      <c r="Z111" s="630" t="s">
        <v>365</v>
      </c>
      <c r="AA111" s="631" t="b">
        <v>0</v>
      </c>
      <c r="AB111" s="631"/>
      <c r="AC111" s="576"/>
      <c r="AD111" s="479">
        <v>0.0</v>
      </c>
      <c r="AE111" s="632"/>
      <c r="AF111" s="582" t="s">
        <v>365</v>
      </c>
      <c r="AG111" s="583"/>
      <c r="AH111" s="584"/>
      <c r="AI111" s="583"/>
      <c r="AJ111" s="585"/>
      <c r="AK111" s="583"/>
      <c r="AL111" s="584"/>
      <c r="AM111" s="583"/>
      <c r="AN111" s="585"/>
      <c r="AO111" s="583"/>
      <c r="AP111" s="584"/>
      <c r="AQ111" s="583"/>
      <c r="AR111" s="585"/>
      <c r="AS111" s="583"/>
      <c r="AT111" s="584"/>
      <c r="AU111" s="583"/>
      <c r="AV111" s="585"/>
      <c r="AW111" s="583"/>
      <c r="AX111" s="584"/>
      <c r="AY111" s="583"/>
      <c r="AZ111" s="585"/>
      <c r="BA111" s="583"/>
      <c r="BB111" s="584"/>
      <c r="BC111" s="583"/>
      <c r="BD111" s="585"/>
      <c r="BE111" s="583"/>
      <c r="BF111" s="584"/>
      <c r="BG111" s="583"/>
      <c r="BH111" s="585"/>
      <c r="BI111" s="583"/>
      <c r="BJ111" s="584"/>
      <c r="BK111" s="583"/>
      <c r="BL111" s="585"/>
      <c r="BM111" s="583"/>
      <c r="BN111" s="584"/>
      <c r="BO111" s="583"/>
      <c r="BP111" s="585"/>
      <c r="BQ111" s="583"/>
      <c r="BR111" s="584"/>
      <c r="BS111" s="583"/>
      <c r="BT111" s="586"/>
      <c r="BU111" s="540"/>
      <c r="BV111" s="540"/>
      <c r="BW111" s="540"/>
      <c r="BX111" s="538"/>
      <c r="BY111" s="538"/>
      <c r="BZ111" s="592"/>
      <c r="CA111" s="633"/>
      <c r="CB111" s="592" t="s">
        <v>365</v>
      </c>
      <c r="CC111" s="592">
        <v>0.0</v>
      </c>
      <c r="CD111" s="592" t="s">
        <v>365</v>
      </c>
      <c r="CE111" s="592">
        <v>0.0</v>
      </c>
      <c r="CF111" s="592"/>
      <c r="CG111" s="592">
        <v>0.0</v>
      </c>
      <c r="CH111" s="592"/>
      <c r="CI111" s="633"/>
      <c r="CJ111" s="592">
        <v>0.0</v>
      </c>
      <c r="CK111" s="479" t="s">
        <v>365</v>
      </c>
      <c r="CL111" s="592"/>
      <c r="CM111" s="593"/>
      <c r="CN111" s="538"/>
      <c r="CO111" s="538"/>
      <c r="CP111" s="538"/>
      <c r="CQ111" s="538"/>
      <c r="CR111" s="538"/>
      <c r="CS111" s="538"/>
      <c r="CT111" s="538"/>
      <c r="CU111" s="538"/>
      <c r="CV111" s="538"/>
      <c r="CW111" s="538"/>
      <c r="CX111" s="538"/>
      <c r="CY111" s="538"/>
      <c r="CZ111" s="538"/>
      <c r="DA111" s="538"/>
      <c r="DB111" s="538"/>
      <c r="DC111" s="538"/>
      <c r="DD111" s="538"/>
      <c r="DE111" s="538"/>
      <c r="DF111" s="538"/>
      <c r="DG111" s="538"/>
      <c r="DH111" s="538"/>
      <c r="DI111" s="538"/>
      <c r="DJ111" s="538"/>
      <c r="DK111" s="538"/>
      <c r="DL111" s="538"/>
      <c r="DM111" s="538"/>
      <c r="DN111" s="538"/>
      <c r="DO111" s="538"/>
      <c r="DP111" s="538"/>
      <c r="DQ111" s="538"/>
      <c r="DR111" s="538"/>
      <c r="DS111" s="538"/>
      <c r="DT111" s="538"/>
      <c r="DU111" s="538"/>
      <c r="DV111" s="538"/>
      <c r="DW111" s="538"/>
      <c r="DX111" s="538"/>
      <c r="DY111" s="538"/>
      <c r="DZ111" s="538"/>
      <c r="EA111" s="538"/>
      <c r="EB111" s="538"/>
      <c r="EC111" s="538"/>
      <c r="ED111" s="538"/>
      <c r="EE111" s="538"/>
      <c r="EF111" s="538"/>
      <c r="EG111" s="538"/>
      <c r="EH111" s="538"/>
      <c r="EI111" s="538"/>
      <c r="EJ111" s="538"/>
      <c r="EK111" s="538"/>
      <c r="EL111" s="538"/>
      <c r="EM111" s="538"/>
      <c r="EN111" s="538"/>
      <c r="EO111" s="538"/>
      <c r="EP111" s="538"/>
      <c r="EQ111" s="538"/>
      <c r="ER111" s="538"/>
      <c r="ES111" s="538"/>
      <c r="ET111" s="538"/>
      <c r="EU111" s="538"/>
      <c r="EV111" s="538"/>
      <c r="EW111" s="538"/>
      <c r="EX111" s="559"/>
      <c r="EY111" s="559"/>
      <c r="EZ111" s="559"/>
      <c r="FA111" s="559"/>
      <c r="FB111" s="559"/>
      <c r="FC111" s="559"/>
      <c r="FD111" s="559"/>
      <c r="FE111" s="559"/>
      <c r="FF111" s="559"/>
      <c r="FG111" s="559"/>
      <c r="FH111" s="559"/>
      <c r="FI111" s="559"/>
      <c r="FJ111" s="559"/>
      <c r="FK111" s="559"/>
      <c r="FL111" s="559"/>
      <c r="FM111" s="559"/>
      <c r="FN111" s="559"/>
      <c r="FO111" s="559"/>
      <c r="FP111" s="559"/>
      <c r="FQ111" s="559"/>
      <c r="FR111" s="559"/>
      <c r="FS111" s="559"/>
      <c r="FT111" s="559"/>
      <c r="FU111" s="559"/>
      <c r="FV111" s="559"/>
      <c r="FW111" s="559"/>
      <c r="FX111" s="559"/>
      <c r="FY111" s="559"/>
      <c r="FZ111" s="559"/>
      <c r="GA111" s="559"/>
      <c r="GB111" s="559"/>
      <c r="GC111" s="559"/>
      <c r="GD111" s="559"/>
      <c r="GE111" s="559"/>
      <c r="GF111" s="559"/>
      <c r="GG111" s="559"/>
      <c r="GH111" s="559"/>
    </row>
    <row r="112">
      <c r="A112" s="538"/>
      <c r="B112" s="156"/>
      <c r="C112" s="444"/>
      <c r="D112" s="614"/>
      <c r="E112" s="68"/>
      <c r="F112" s="644"/>
      <c r="G112" s="644"/>
      <c r="H112" s="627"/>
      <c r="I112" s="622" t="s">
        <v>365</v>
      </c>
      <c r="J112" s="607"/>
      <c r="K112" s="641"/>
      <c r="L112" s="628"/>
      <c r="M112" s="626"/>
      <c r="N112" s="619"/>
      <c r="O112" s="560"/>
      <c r="P112" s="47"/>
      <c r="Q112" s="47"/>
      <c r="S112" s="572"/>
      <c r="U112" s="573"/>
      <c r="V112" s="574"/>
      <c r="W112" s="618"/>
      <c r="X112" s="576">
        <v>0.0</v>
      </c>
      <c r="Y112" s="630">
        <v>0.0</v>
      </c>
      <c r="Z112" s="630" t="s">
        <v>365</v>
      </c>
      <c r="AA112" s="631" t="b">
        <v>0</v>
      </c>
      <c r="AB112" s="631"/>
      <c r="AC112" s="576"/>
      <c r="AD112" s="479">
        <v>0.0</v>
      </c>
      <c r="AE112" s="632"/>
      <c r="AF112" s="582" t="s">
        <v>365</v>
      </c>
      <c r="AG112" s="583"/>
      <c r="AH112" s="584"/>
      <c r="AI112" s="583"/>
      <c r="AJ112" s="585"/>
      <c r="AK112" s="583"/>
      <c r="AL112" s="584"/>
      <c r="AM112" s="583"/>
      <c r="AN112" s="585"/>
      <c r="AO112" s="583"/>
      <c r="AP112" s="584"/>
      <c r="AQ112" s="583"/>
      <c r="AR112" s="585"/>
      <c r="AS112" s="583"/>
      <c r="AT112" s="584"/>
      <c r="AU112" s="583"/>
      <c r="AV112" s="585"/>
      <c r="AW112" s="583"/>
      <c r="AX112" s="584"/>
      <c r="AY112" s="583"/>
      <c r="AZ112" s="585"/>
      <c r="BA112" s="583"/>
      <c r="BB112" s="584"/>
      <c r="BC112" s="583"/>
      <c r="BD112" s="585"/>
      <c r="BE112" s="583"/>
      <c r="BF112" s="584"/>
      <c r="BG112" s="583"/>
      <c r="BH112" s="585"/>
      <c r="BI112" s="583"/>
      <c r="BJ112" s="584"/>
      <c r="BK112" s="583"/>
      <c r="BL112" s="585"/>
      <c r="BM112" s="583"/>
      <c r="BN112" s="584"/>
      <c r="BO112" s="583"/>
      <c r="BP112" s="585"/>
      <c r="BQ112" s="583"/>
      <c r="BR112" s="584"/>
      <c r="BS112" s="583"/>
      <c r="BT112" s="586"/>
      <c r="BU112" s="540"/>
      <c r="BV112" s="540"/>
      <c r="BW112" s="540"/>
      <c r="BX112" s="538"/>
      <c r="BY112" s="538"/>
      <c r="BZ112" s="592"/>
      <c r="CA112" s="633"/>
      <c r="CB112" s="592" t="s">
        <v>365</v>
      </c>
      <c r="CC112" s="592">
        <v>0.0</v>
      </c>
      <c r="CD112" s="592" t="s">
        <v>365</v>
      </c>
      <c r="CE112" s="592">
        <v>0.0</v>
      </c>
      <c r="CF112" s="592"/>
      <c r="CG112" s="592">
        <v>0.0</v>
      </c>
      <c r="CH112" s="592"/>
      <c r="CI112" s="633"/>
      <c r="CJ112" s="592">
        <v>0.0</v>
      </c>
      <c r="CK112" s="479" t="s">
        <v>365</v>
      </c>
      <c r="CL112" s="592"/>
      <c r="CM112" s="593"/>
      <c r="CN112" s="538"/>
      <c r="CO112" s="538"/>
      <c r="CP112" s="538"/>
      <c r="CQ112" s="538"/>
      <c r="CR112" s="538"/>
      <c r="CS112" s="538"/>
      <c r="CT112" s="538"/>
      <c r="CU112" s="538"/>
      <c r="CV112" s="538"/>
      <c r="CW112" s="538"/>
      <c r="CX112" s="538"/>
      <c r="CY112" s="538"/>
      <c r="CZ112" s="538"/>
      <c r="DA112" s="538"/>
      <c r="DB112" s="538"/>
      <c r="DC112" s="538"/>
      <c r="DD112" s="538"/>
      <c r="DE112" s="538"/>
      <c r="DF112" s="538"/>
      <c r="DG112" s="538"/>
      <c r="DH112" s="538"/>
      <c r="DI112" s="538"/>
      <c r="DJ112" s="538"/>
      <c r="DK112" s="538"/>
      <c r="DL112" s="538"/>
      <c r="DM112" s="538"/>
      <c r="DN112" s="538"/>
      <c r="DO112" s="538"/>
      <c r="DP112" s="538"/>
      <c r="DQ112" s="538"/>
      <c r="DR112" s="538"/>
      <c r="DS112" s="538"/>
      <c r="DT112" s="538"/>
      <c r="DU112" s="538"/>
      <c r="DV112" s="538"/>
      <c r="DW112" s="538"/>
      <c r="DX112" s="538"/>
      <c r="DY112" s="538"/>
      <c r="DZ112" s="538"/>
      <c r="EA112" s="538"/>
      <c r="EB112" s="538"/>
      <c r="EC112" s="538"/>
      <c r="ED112" s="538"/>
      <c r="EE112" s="538"/>
      <c r="EF112" s="538"/>
      <c r="EG112" s="538"/>
      <c r="EH112" s="538"/>
      <c r="EI112" s="538"/>
      <c r="EJ112" s="538"/>
      <c r="EK112" s="538"/>
      <c r="EL112" s="538"/>
      <c r="EM112" s="538"/>
      <c r="EN112" s="538"/>
      <c r="EO112" s="538"/>
      <c r="EP112" s="538"/>
      <c r="EQ112" s="538"/>
      <c r="ER112" s="538"/>
      <c r="ES112" s="538"/>
      <c r="ET112" s="538"/>
      <c r="EU112" s="538"/>
      <c r="EV112" s="538"/>
      <c r="EW112" s="538"/>
      <c r="EX112" s="559"/>
      <c r="EY112" s="559"/>
      <c r="EZ112" s="559"/>
      <c r="FA112" s="559"/>
      <c r="FB112" s="559"/>
      <c r="FC112" s="559"/>
      <c r="FD112" s="559"/>
      <c r="FE112" s="559"/>
      <c r="FF112" s="559"/>
      <c r="FG112" s="559"/>
      <c r="FH112" s="559"/>
      <c r="FI112" s="559"/>
      <c r="FJ112" s="559"/>
      <c r="FK112" s="559"/>
      <c r="FL112" s="559"/>
      <c r="FM112" s="559"/>
      <c r="FN112" s="559"/>
      <c r="FO112" s="559"/>
      <c r="FP112" s="559"/>
      <c r="FQ112" s="559"/>
      <c r="FR112" s="559"/>
      <c r="FS112" s="559"/>
      <c r="FT112" s="559"/>
      <c r="FU112" s="559"/>
      <c r="FV112" s="559"/>
      <c r="FW112" s="559"/>
      <c r="FX112" s="559"/>
      <c r="FY112" s="559"/>
      <c r="FZ112" s="559"/>
      <c r="GA112" s="559"/>
      <c r="GB112" s="559"/>
      <c r="GC112" s="559"/>
      <c r="GD112" s="559"/>
      <c r="GE112" s="559"/>
      <c r="GF112" s="559"/>
      <c r="GG112" s="559"/>
      <c r="GH112" s="559"/>
    </row>
    <row r="113">
      <c r="A113" s="538"/>
      <c r="B113" s="156"/>
      <c r="C113" s="444"/>
      <c r="D113" s="614"/>
      <c r="E113" s="66"/>
      <c r="F113" s="642"/>
      <c r="G113" s="642"/>
      <c r="H113" s="615"/>
      <c r="I113" s="616" t="s">
        <v>365</v>
      </c>
      <c r="J113" s="624"/>
      <c r="K113" s="643"/>
      <c r="L113" s="640"/>
      <c r="M113" s="625"/>
      <c r="N113" s="617"/>
      <c r="O113" s="134"/>
      <c r="P113" s="57"/>
      <c r="Q113" s="57"/>
      <c r="S113" s="605"/>
      <c r="U113" s="573"/>
      <c r="V113" s="574"/>
      <c r="W113" s="618"/>
      <c r="X113" s="576">
        <v>0.0</v>
      </c>
      <c r="Y113" s="630">
        <v>0.0</v>
      </c>
      <c r="Z113" s="630" t="s">
        <v>365</v>
      </c>
      <c r="AA113" s="631" t="b">
        <v>0</v>
      </c>
      <c r="AB113" s="631"/>
      <c r="AC113" s="576"/>
      <c r="AD113" s="479">
        <v>0.0</v>
      </c>
      <c r="AE113" s="632"/>
      <c r="AF113" s="582" t="s">
        <v>365</v>
      </c>
      <c r="AG113" s="583"/>
      <c r="AH113" s="584"/>
      <c r="AI113" s="583"/>
      <c r="AJ113" s="585"/>
      <c r="AK113" s="583"/>
      <c r="AL113" s="584"/>
      <c r="AM113" s="583"/>
      <c r="AN113" s="585"/>
      <c r="AO113" s="583"/>
      <c r="AP113" s="584"/>
      <c r="AQ113" s="583"/>
      <c r="AR113" s="585"/>
      <c r="AS113" s="583"/>
      <c r="AT113" s="584"/>
      <c r="AU113" s="583"/>
      <c r="AV113" s="585"/>
      <c r="AW113" s="583"/>
      <c r="AX113" s="584"/>
      <c r="AY113" s="583"/>
      <c r="AZ113" s="585"/>
      <c r="BA113" s="583"/>
      <c r="BB113" s="584"/>
      <c r="BC113" s="583"/>
      <c r="BD113" s="585"/>
      <c r="BE113" s="583"/>
      <c r="BF113" s="584"/>
      <c r="BG113" s="583"/>
      <c r="BH113" s="585"/>
      <c r="BI113" s="583"/>
      <c r="BJ113" s="584"/>
      <c r="BK113" s="583"/>
      <c r="BL113" s="585"/>
      <c r="BM113" s="583"/>
      <c r="BN113" s="584"/>
      <c r="BO113" s="583"/>
      <c r="BP113" s="585"/>
      <c r="BQ113" s="583"/>
      <c r="BR113" s="584"/>
      <c r="BS113" s="583"/>
      <c r="BT113" s="586"/>
      <c r="BU113" s="540"/>
      <c r="BV113" s="540"/>
      <c r="BW113" s="540"/>
      <c r="BX113" s="538"/>
      <c r="BY113" s="538"/>
      <c r="BZ113" s="592"/>
      <c r="CA113" s="633"/>
      <c r="CB113" s="592" t="s">
        <v>365</v>
      </c>
      <c r="CC113" s="592">
        <v>0.0</v>
      </c>
      <c r="CD113" s="592" t="s">
        <v>365</v>
      </c>
      <c r="CE113" s="592">
        <v>0.0</v>
      </c>
      <c r="CF113" s="592"/>
      <c r="CG113" s="592">
        <v>0.0</v>
      </c>
      <c r="CH113" s="592"/>
      <c r="CI113" s="633"/>
      <c r="CJ113" s="592">
        <v>0.0</v>
      </c>
      <c r="CK113" s="479" t="s">
        <v>365</v>
      </c>
      <c r="CL113" s="592"/>
      <c r="CM113" s="593"/>
      <c r="CN113" s="538"/>
      <c r="CO113" s="538"/>
      <c r="CP113" s="538"/>
      <c r="CQ113" s="538"/>
      <c r="CR113" s="538"/>
      <c r="CS113" s="538"/>
      <c r="CT113" s="538"/>
      <c r="CU113" s="538"/>
      <c r="CV113" s="538"/>
      <c r="CW113" s="538"/>
      <c r="CX113" s="538"/>
      <c r="CY113" s="538"/>
      <c r="CZ113" s="538"/>
      <c r="DA113" s="538"/>
      <c r="DB113" s="538"/>
      <c r="DC113" s="538"/>
      <c r="DD113" s="538"/>
      <c r="DE113" s="538"/>
      <c r="DF113" s="538"/>
      <c r="DG113" s="538"/>
      <c r="DH113" s="538"/>
      <c r="DI113" s="538"/>
      <c r="DJ113" s="538"/>
      <c r="DK113" s="538"/>
      <c r="DL113" s="538"/>
      <c r="DM113" s="538"/>
      <c r="DN113" s="538"/>
      <c r="DO113" s="538"/>
      <c r="DP113" s="538"/>
      <c r="DQ113" s="538"/>
      <c r="DR113" s="538"/>
      <c r="DS113" s="538"/>
      <c r="DT113" s="538"/>
      <c r="DU113" s="538"/>
      <c r="DV113" s="538"/>
      <c r="DW113" s="538"/>
      <c r="DX113" s="538"/>
      <c r="DY113" s="538"/>
      <c r="DZ113" s="538"/>
      <c r="EA113" s="538"/>
      <c r="EB113" s="538"/>
      <c r="EC113" s="538"/>
      <c r="ED113" s="538"/>
      <c r="EE113" s="538"/>
      <c r="EF113" s="538"/>
      <c r="EG113" s="538"/>
      <c r="EH113" s="538"/>
      <c r="EI113" s="538"/>
      <c r="EJ113" s="538"/>
      <c r="EK113" s="538"/>
      <c r="EL113" s="538"/>
      <c r="EM113" s="538"/>
      <c r="EN113" s="538"/>
      <c r="EO113" s="538"/>
      <c r="EP113" s="538"/>
      <c r="EQ113" s="538"/>
      <c r="ER113" s="538"/>
      <c r="ES113" s="538"/>
      <c r="ET113" s="538"/>
      <c r="EU113" s="538"/>
      <c r="EV113" s="538"/>
      <c r="EW113" s="538"/>
      <c r="EX113" s="559"/>
      <c r="EY113" s="559"/>
      <c r="EZ113" s="559"/>
      <c r="FA113" s="559"/>
      <c r="FB113" s="559"/>
      <c r="FC113" s="559"/>
      <c r="FD113" s="559"/>
      <c r="FE113" s="559"/>
      <c r="FF113" s="559"/>
      <c r="FG113" s="559"/>
      <c r="FH113" s="559"/>
      <c r="FI113" s="559"/>
      <c r="FJ113" s="559"/>
      <c r="FK113" s="559"/>
      <c r="FL113" s="559"/>
      <c r="FM113" s="559"/>
      <c r="FN113" s="559"/>
      <c r="FO113" s="559"/>
      <c r="FP113" s="559"/>
      <c r="FQ113" s="559"/>
      <c r="FR113" s="559"/>
      <c r="FS113" s="559"/>
      <c r="FT113" s="559"/>
      <c r="FU113" s="559"/>
      <c r="FV113" s="559"/>
      <c r="FW113" s="559"/>
      <c r="FX113" s="559"/>
      <c r="FY113" s="559"/>
      <c r="FZ113" s="559"/>
      <c r="GA113" s="559"/>
      <c r="GB113" s="559"/>
      <c r="GC113" s="559"/>
      <c r="GD113" s="559"/>
      <c r="GE113" s="559"/>
      <c r="GF113" s="559"/>
      <c r="GG113" s="559"/>
      <c r="GH113" s="559"/>
    </row>
    <row r="114">
      <c r="A114" s="538"/>
      <c r="B114" s="156"/>
      <c r="C114" s="444"/>
      <c r="D114" s="614"/>
      <c r="E114" s="68"/>
      <c r="F114" s="644"/>
      <c r="G114" s="644"/>
      <c r="H114" s="627"/>
      <c r="I114" s="622" t="s">
        <v>365</v>
      </c>
      <c r="J114" s="607"/>
      <c r="K114" s="641"/>
      <c r="L114" s="628"/>
      <c r="M114" s="626"/>
      <c r="N114" s="619"/>
      <c r="O114" s="560"/>
      <c r="P114" s="47"/>
      <c r="Q114" s="47"/>
      <c r="S114" s="572"/>
      <c r="U114" s="573"/>
      <c r="V114" s="574"/>
      <c r="W114" s="618"/>
      <c r="X114" s="576">
        <v>0.0</v>
      </c>
      <c r="Y114" s="630">
        <v>0.0</v>
      </c>
      <c r="Z114" s="630" t="s">
        <v>365</v>
      </c>
      <c r="AA114" s="631" t="b">
        <v>0</v>
      </c>
      <c r="AB114" s="631"/>
      <c r="AC114" s="576"/>
      <c r="AD114" s="479">
        <v>0.0</v>
      </c>
      <c r="AE114" s="632"/>
      <c r="AF114" s="582" t="s">
        <v>365</v>
      </c>
      <c r="AG114" s="583"/>
      <c r="AH114" s="584"/>
      <c r="AI114" s="583"/>
      <c r="AJ114" s="585"/>
      <c r="AK114" s="583"/>
      <c r="AL114" s="584"/>
      <c r="AM114" s="583"/>
      <c r="AN114" s="585"/>
      <c r="AO114" s="583"/>
      <c r="AP114" s="584"/>
      <c r="AQ114" s="583"/>
      <c r="AR114" s="585"/>
      <c r="AS114" s="583"/>
      <c r="AT114" s="584"/>
      <c r="AU114" s="583"/>
      <c r="AV114" s="585"/>
      <c r="AW114" s="583"/>
      <c r="AX114" s="584"/>
      <c r="AY114" s="583"/>
      <c r="AZ114" s="585"/>
      <c r="BA114" s="583"/>
      <c r="BB114" s="584"/>
      <c r="BC114" s="583"/>
      <c r="BD114" s="585"/>
      <c r="BE114" s="583"/>
      <c r="BF114" s="584"/>
      <c r="BG114" s="583"/>
      <c r="BH114" s="585"/>
      <c r="BI114" s="583"/>
      <c r="BJ114" s="584"/>
      <c r="BK114" s="583"/>
      <c r="BL114" s="585"/>
      <c r="BM114" s="583"/>
      <c r="BN114" s="584"/>
      <c r="BO114" s="583"/>
      <c r="BP114" s="585"/>
      <c r="BQ114" s="583"/>
      <c r="BR114" s="584"/>
      <c r="BS114" s="583"/>
      <c r="BT114" s="586"/>
      <c r="BU114" s="540"/>
      <c r="BV114" s="540"/>
      <c r="BW114" s="540"/>
      <c r="BX114" s="538"/>
      <c r="BY114" s="538"/>
      <c r="BZ114" s="592"/>
      <c r="CA114" s="633"/>
      <c r="CB114" s="592" t="s">
        <v>365</v>
      </c>
      <c r="CC114" s="592">
        <v>0.0</v>
      </c>
      <c r="CD114" s="592" t="s">
        <v>365</v>
      </c>
      <c r="CE114" s="592">
        <v>0.0</v>
      </c>
      <c r="CF114" s="592"/>
      <c r="CG114" s="592">
        <v>0.0</v>
      </c>
      <c r="CH114" s="592"/>
      <c r="CI114" s="633"/>
      <c r="CJ114" s="592">
        <v>0.0</v>
      </c>
      <c r="CK114" s="479" t="s">
        <v>365</v>
      </c>
      <c r="CL114" s="592"/>
      <c r="CM114" s="593"/>
      <c r="CN114" s="538"/>
      <c r="CO114" s="538"/>
      <c r="CP114" s="538"/>
      <c r="CQ114" s="538"/>
      <c r="CR114" s="538"/>
      <c r="CS114" s="538"/>
      <c r="CT114" s="538"/>
      <c r="CU114" s="538"/>
      <c r="CV114" s="538"/>
      <c r="CW114" s="538"/>
      <c r="CX114" s="538"/>
      <c r="CY114" s="538"/>
      <c r="CZ114" s="538"/>
      <c r="DA114" s="538"/>
      <c r="DB114" s="538"/>
      <c r="DC114" s="538"/>
      <c r="DD114" s="538"/>
      <c r="DE114" s="538"/>
      <c r="DF114" s="538"/>
      <c r="DG114" s="538"/>
      <c r="DH114" s="538"/>
      <c r="DI114" s="538"/>
      <c r="DJ114" s="538"/>
      <c r="DK114" s="538"/>
      <c r="DL114" s="538"/>
      <c r="DM114" s="538"/>
      <c r="DN114" s="538"/>
      <c r="DO114" s="538"/>
      <c r="DP114" s="538"/>
      <c r="DQ114" s="538"/>
      <c r="DR114" s="538"/>
      <c r="DS114" s="538"/>
      <c r="DT114" s="538"/>
      <c r="DU114" s="538"/>
      <c r="DV114" s="538"/>
      <c r="DW114" s="538"/>
      <c r="DX114" s="538"/>
      <c r="DY114" s="538"/>
      <c r="DZ114" s="538"/>
      <c r="EA114" s="538"/>
      <c r="EB114" s="538"/>
      <c r="EC114" s="538"/>
      <c r="ED114" s="538"/>
      <c r="EE114" s="538"/>
      <c r="EF114" s="538"/>
      <c r="EG114" s="538"/>
      <c r="EH114" s="538"/>
      <c r="EI114" s="538"/>
      <c r="EJ114" s="538"/>
      <c r="EK114" s="538"/>
      <c r="EL114" s="538"/>
      <c r="EM114" s="538"/>
      <c r="EN114" s="538"/>
      <c r="EO114" s="538"/>
      <c r="EP114" s="538"/>
      <c r="EQ114" s="538"/>
      <c r="ER114" s="538"/>
      <c r="ES114" s="538"/>
      <c r="ET114" s="538"/>
      <c r="EU114" s="538"/>
      <c r="EV114" s="538"/>
      <c r="EW114" s="538"/>
      <c r="EX114" s="559"/>
      <c r="EY114" s="559"/>
      <c r="EZ114" s="559"/>
      <c r="FA114" s="559"/>
      <c r="FB114" s="559"/>
      <c r="FC114" s="559"/>
      <c r="FD114" s="559"/>
      <c r="FE114" s="559"/>
      <c r="FF114" s="559"/>
      <c r="FG114" s="559"/>
      <c r="FH114" s="559"/>
      <c r="FI114" s="559"/>
      <c r="FJ114" s="559"/>
      <c r="FK114" s="559"/>
      <c r="FL114" s="559"/>
      <c r="FM114" s="559"/>
      <c r="FN114" s="559"/>
      <c r="FO114" s="559"/>
      <c r="FP114" s="559"/>
      <c r="FQ114" s="559"/>
      <c r="FR114" s="559"/>
      <c r="FS114" s="559"/>
      <c r="FT114" s="559"/>
      <c r="FU114" s="559"/>
      <c r="FV114" s="559"/>
      <c r="FW114" s="559"/>
      <c r="FX114" s="559"/>
      <c r="FY114" s="559"/>
      <c r="FZ114" s="559"/>
      <c r="GA114" s="559"/>
      <c r="GB114" s="559"/>
      <c r="GC114" s="559"/>
      <c r="GD114" s="559"/>
      <c r="GE114" s="559"/>
      <c r="GF114" s="559"/>
      <c r="GG114" s="559"/>
      <c r="GH114" s="559"/>
    </row>
    <row r="115">
      <c r="A115" s="538"/>
      <c r="B115" s="156"/>
      <c r="C115" s="444"/>
      <c r="D115" s="614"/>
      <c r="E115" s="66"/>
      <c r="F115" s="642"/>
      <c r="G115" s="642"/>
      <c r="H115" s="615"/>
      <c r="I115" s="616" t="s">
        <v>365</v>
      </c>
      <c r="J115" s="624"/>
      <c r="K115" s="643"/>
      <c r="L115" s="640"/>
      <c r="M115" s="625"/>
      <c r="N115" s="617"/>
      <c r="O115" s="134"/>
      <c r="P115" s="57"/>
      <c r="Q115" s="57"/>
      <c r="S115" s="605"/>
      <c r="U115" s="573"/>
      <c r="V115" s="574"/>
      <c r="W115" s="618"/>
      <c r="X115" s="576">
        <v>0.0</v>
      </c>
      <c r="Y115" s="630">
        <v>0.0</v>
      </c>
      <c r="Z115" s="630" t="s">
        <v>365</v>
      </c>
      <c r="AA115" s="631" t="b">
        <v>0</v>
      </c>
      <c r="AB115" s="631"/>
      <c r="AC115" s="576"/>
      <c r="AD115" s="479">
        <v>0.0</v>
      </c>
      <c r="AE115" s="632"/>
      <c r="AF115" s="582" t="s">
        <v>365</v>
      </c>
      <c r="AG115" s="583"/>
      <c r="AH115" s="584"/>
      <c r="AI115" s="583"/>
      <c r="AJ115" s="585"/>
      <c r="AK115" s="583"/>
      <c r="AL115" s="584"/>
      <c r="AM115" s="583"/>
      <c r="AN115" s="585"/>
      <c r="AO115" s="583"/>
      <c r="AP115" s="584"/>
      <c r="AQ115" s="583"/>
      <c r="AR115" s="585"/>
      <c r="AS115" s="583"/>
      <c r="AT115" s="584"/>
      <c r="AU115" s="583"/>
      <c r="AV115" s="585"/>
      <c r="AW115" s="583"/>
      <c r="AX115" s="584"/>
      <c r="AY115" s="583"/>
      <c r="AZ115" s="585"/>
      <c r="BA115" s="583"/>
      <c r="BB115" s="584"/>
      <c r="BC115" s="583"/>
      <c r="BD115" s="585"/>
      <c r="BE115" s="583"/>
      <c r="BF115" s="584"/>
      <c r="BG115" s="583"/>
      <c r="BH115" s="585"/>
      <c r="BI115" s="583"/>
      <c r="BJ115" s="584"/>
      <c r="BK115" s="583"/>
      <c r="BL115" s="585"/>
      <c r="BM115" s="583"/>
      <c r="BN115" s="584"/>
      <c r="BO115" s="583"/>
      <c r="BP115" s="585"/>
      <c r="BQ115" s="583"/>
      <c r="BR115" s="584"/>
      <c r="BS115" s="583"/>
      <c r="BT115" s="586"/>
      <c r="BU115" s="540"/>
      <c r="BV115" s="540"/>
      <c r="BW115" s="540"/>
      <c r="BX115" s="538"/>
      <c r="BY115" s="538"/>
      <c r="BZ115" s="592"/>
      <c r="CA115" s="633"/>
      <c r="CB115" s="592" t="s">
        <v>365</v>
      </c>
      <c r="CC115" s="592">
        <v>0.0</v>
      </c>
      <c r="CD115" s="592" t="s">
        <v>365</v>
      </c>
      <c r="CE115" s="592">
        <v>0.0</v>
      </c>
      <c r="CF115" s="592"/>
      <c r="CG115" s="592">
        <v>0.0</v>
      </c>
      <c r="CH115" s="592"/>
      <c r="CI115" s="633"/>
      <c r="CJ115" s="592">
        <v>0.0</v>
      </c>
      <c r="CK115" s="479" t="s">
        <v>365</v>
      </c>
      <c r="CL115" s="592"/>
      <c r="CM115" s="593"/>
      <c r="CN115" s="538"/>
      <c r="CO115" s="538"/>
      <c r="CP115" s="538"/>
      <c r="CQ115" s="538"/>
      <c r="CR115" s="538"/>
      <c r="CS115" s="538"/>
      <c r="CT115" s="538"/>
      <c r="CU115" s="538"/>
      <c r="CV115" s="538"/>
      <c r="CW115" s="538"/>
      <c r="CX115" s="538"/>
      <c r="CY115" s="538"/>
      <c r="CZ115" s="538"/>
      <c r="DA115" s="538"/>
      <c r="DB115" s="538"/>
      <c r="DC115" s="538"/>
      <c r="DD115" s="538"/>
      <c r="DE115" s="538"/>
      <c r="DF115" s="538"/>
      <c r="DG115" s="538"/>
      <c r="DH115" s="538"/>
      <c r="DI115" s="538"/>
      <c r="DJ115" s="538"/>
      <c r="DK115" s="538"/>
      <c r="DL115" s="538"/>
      <c r="DM115" s="538"/>
      <c r="DN115" s="538"/>
      <c r="DO115" s="538"/>
      <c r="DP115" s="538"/>
      <c r="DQ115" s="538"/>
      <c r="DR115" s="538"/>
      <c r="DS115" s="538"/>
      <c r="DT115" s="538"/>
      <c r="DU115" s="538"/>
      <c r="DV115" s="538"/>
      <c r="DW115" s="538"/>
      <c r="DX115" s="538"/>
      <c r="DY115" s="538"/>
      <c r="DZ115" s="538"/>
      <c r="EA115" s="538"/>
      <c r="EB115" s="538"/>
      <c r="EC115" s="538"/>
      <c r="ED115" s="538"/>
      <c r="EE115" s="538"/>
      <c r="EF115" s="538"/>
      <c r="EG115" s="538"/>
      <c r="EH115" s="538"/>
      <c r="EI115" s="538"/>
      <c r="EJ115" s="538"/>
      <c r="EK115" s="538"/>
      <c r="EL115" s="538"/>
      <c r="EM115" s="538"/>
      <c r="EN115" s="538"/>
      <c r="EO115" s="538"/>
      <c r="EP115" s="538"/>
      <c r="EQ115" s="538"/>
      <c r="ER115" s="538"/>
      <c r="ES115" s="538"/>
      <c r="ET115" s="538"/>
      <c r="EU115" s="538"/>
      <c r="EV115" s="538"/>
      <c r="EW115" s="538"/>
      <c r="EX115" s="559"/>
      <c r="EY115" s="559"/>
      <c r="EZ115" s="559"/>
      <c r="FA115" s="559"/>
      <c r="FB115" s="559"/>
      <c r="FC115" s="559"/>
      <c r="FD115" s="559"/>
      <c r="FE115" s="559"/>
      <c r="FF115" s="559"/>
      <c r="FG115" s="559"/>
      <c r="FH115" s="559"/>
      <c r="FI115" s="559"/>
      <c r="FJ115" s="559"/>
      <c r="FK115" s="559"/>
      <c r="FL115" s="559"/>
      <c r="FM115" s="559"/>
      <c r="FN115" s="559"/>
      <c r="FO115" s="559"/>
      <c r="FP115" s="559"/>
      <c r="FQ115" s="559"/>
      <c r="FR115" s="559"/>
      <c r="FS115" s="559"/>
      <c r="FT115" s="559"/>
      <c r="FU115" s="559"/>
      <c r="FV115" s="559"/>
      <c r="FW115" s="559"/>
      <c r="FX115" s="559"/>
      <c r="FY115" s="559"/>
      <c r="FZ115" s="559"/>
      <c r="GA115" s="559"/>
      <c r="GB115" s="559"/>
      <c r="GC115" s="559"/>
      <c r="GD115" s="559"/>
      <c r="GE115" s="559"/>
      <c r="GF115" s="559"/>
      <c r="GG115" s="559"/>
      <c r="GH115" s="559"/>
    </row>
    <row r="116">
      <c r="A116" s="538"/>
      <c r="B116" s="156"/>
      <c r="C116" s="444"/>
      <c r="D116" s="614"/>
      <c r="E116" s="68"/>
      <c r="F116" s="644"/>
      <c r="G116" s="644"/>
      <c r="H116" s="627"/>
      <c r="I116" s="622" t="s">
        <v>365</v>
      </c>
      <c r="J116" s="607"/>
      <c r="K116" s="641"/>
      <c r="L116" s="628"/>
      <c r="M116" s="626"/>
      <c r="N116" s="619"/>
      <c r="O116" s="560"/>
      <c r="P116" s="47"/>
      <c r="Q116" s="47"/>
      <c r="S116" s="572"/>
      <c r="U116" s="573"/>
      <c r="V116" s="574"/>
      <c r="W116" s="618"/>
      <c r="X116" s="576">
        <v>0.0</v>
      </c>
      <c r="Y116" s="630">
        <v>0.0</v>
      </c>
      <c r="Z116" s="630" t="s">
        <v>365</v>
      </c>
      <c r="AA116" s="631" t="b">
        <v>0</v>
      </c>
      <c r="AB116" s="631"/>
      <c r="AC116" s="576"/>
      <c r="AD116" s="479">
        <v>0.0</v>
      </c>
      <c r="AE116" s="632"/>
      <c r="AF116" s="582" t="s">
        <v>365</v>
      </c>
      <c r="AG116" s="583"/>
      <c r="AH116" s="584"/>
      <c r="AI116" s="583"/>
      <c r="AJ116" s="585"/>
      <c r="AK116" s="583"/>
      <c r="AL116" s="584"/>
      <c r="AM116" s="583"/>
      <c r="AN116" s="585"/>
      <c r="AO116" s="583"/>
      <c r="AP116" s="584"/>
      <c r="AQ116" s="583"/>
      <c r="AR116" s="585"/>
      <c r="AS116" s="583"/>
      <c r="AT116" s="584"/>
      <c r="AU116" s="583"/>
      <c r="AV116" s="585"/>
      <c r="AW116" s="583"/>
      <c r="AX116" s="584"/>
      <c r="AY116" s="583"/>
      <c r="AZ116" s="585"/>
      <c r="BA116" s="583"/>
      <c r="BB116" s="584"/>
      <c r="BC116" s="583"/>
      <c r="BD116" s="585"/>
      <c r="BE116" s="583"/>
      <c r="BF116" s="584"/>
      <c r="BG116" s="583"/>
      <c r="BH116" s="585"/>
      <c r="BI116" s="583"/>
      <c r="BJ116" s="584"/>
      <c r="BK116" s="583"/>
      <c r="BL116" s="585"/>
      <c r="BM116" s="583"/>
      <c r="BN116" s="584"/>
      <c r="BO116" s="583"/>
      <c r="BP116" s="585"/>
      <c r="BQ116" s="583"/>
      <c r="BR116" s="584"/>
      <c r="BS116" s="583"/>
      <c r="BT116" s="586"/>
      <c r="BU116" s="540"/>
      <c r="BV116" s="540"/>
      <c r="BW116" s="540"/>
      <c r="BX116" s="538"/>
      <c r="BY116" s="538"/>
      <c r="BZ116" s="592"/>
      <c r="CA116" s="633"/>
      <c r="CB116" s="592" t="s">
        <v>365</v>
      </c>
      <c r="CC116" s="592">
        <v>0.0</v>
      </c>
      <c r="CD116" s="592" t="s">
        <v>365</v>
      </c>
      <c r="CE116" s="592">
        <v>0.0</v>
      </c>
      <c r="CF116" s="592"/>
      <c r="CG116" s="592">
        <v>0.0</v>
      </c>
      <c r="CH116" s="592"/>
      <c r="CI116" s="633"/>
      <c r="CJ116" s="592">
        <v>0.0</v>
      </c>
      <c r="CK116" s="479" t="s">
        <v>365</v>
      </c>
      <c r="CL116" s="592"/>
      <c r="CM116" s="593"/>
      <c r="CN116" s="538"/>
      <c r="CO116" s="538"/>
      <c r="CP116" s="538"/>
      <c r="CQ116" s="538"/>
      <c r="CR116" s="538"/>
      <c r="CS116" s="538"/>
      <c r="CT116" s="538"/>
      <c r="CU116" s="538"/>
      <c r="CV116" s="538"/>
      <c r="CW116" s="538"/>
      <c r="CX116" s="538"/>
      <c r="CY116" s="538"/>
      <c r="CZ116" s="538"/>
      <c r="DA116" s="538"/>
      <c r="DB116" s="538"/>
      <c r="DC116" s="538"/>
      <c r="DD116" s="538"/>
      <c r="DE116" s="538"/>
      <c r="DF116" s="538"/>
      <c r="DG116" s="538"/>
      <c r="DH116" s="538"/>
      <c r="DI116" s="538"/>
      <c r="DJ116" s="538"/>
      <c r="DK116" s="538"/>
      <c r="DL116" s="538"/>
      <c r="DM116" s="538"/>
      <c r="DN116" s="538"/>
      <c r="DO116" s="538"/>
      <c r="DP116" s="538"/>
      <c r="DQ116" s="538"/>
      <c r="DR116" s="538"/>
      <c r="DS116" s="538"/>
      <c r="DT116" s="538"/>
      <c r="DU116" s="538"/>
      <c r="DV116" s="538"/>
      <c r="DW116" s="538"/>
      <c r="DX116" s="538"/>
      <c r="DY116" s="538"/>
      <c r="DZ116" s="538"/>
      <c r="EA116" s="538"/>
      <c r="EB116" s="538"/>
      <c r="EC116" s="538"/>
      <c r="ED116" s="538"/>
      <c r="EE116" s="538"/>
      <c r="EF116" s="538"/>
      <c r="EG116" s="538"/>
      <c r="EH116" s="538"/>
      <c r="EI116" s="538"/>
      <c r="EJ116" s="538"/>
      <c r="EK116" s="538"/>
      <c r="EL116" s="538"/>
      <c r="EM116" s="538"/>
      <c r="EN116" s="538"/>
      <c r="EO116" s="538"/>
      <c r="EP116" s="538"/>
      <c r="EQ116" s="538"/>
      <c r="ER116" s="538"/>
      <c r="ES116" s="538"/>
      <c r="ET116" s="538"/>
      <c r="EU116" s="538"/>
      <c r="EV116" s="538"/>
      <c r="EW116" s="538"/>
      <c r="EX116" s="559"/>
      <c r="EY116" s="559"/>
      <c r="EZ116" s="559"/>
      <c r="FA116" s="559"/>
      <c r="FB116" s="559"/>
      <c r="FC116" s="559"/>
      <c r="FD116" s="559"/>
      <c r="FE116" s="559"/>
      <c r="FF116" s="559"/>
      <c r="FG116" s="559"/>
      <c r="FH116" s="559"/>
      <c r="FI116" s="559"/>
      <c r="FJ116" s="559"/>
      <c r="FK116" s="559"/>
      <c r="FL116" s="559"/>
      <c r="FM116" s="559"/>
      <c r="FN116" s="559"/>
      <c r="FO116" s="559"/>
      <c r="FP116" s="559"/>
      <c r="FQ116" s="559"/>
      <c r="FR116" s="559"/>
      <c r="FS116" s="559"/>
      <c r="FT116" s="559"/>
      <c r="FU116" s="559"/>
      <c r="FV116" s="559"/>
      <c r="FW116" s="559"/>
      <c r="FX116" s="559"/>
      <c r="FY116" s="559"/>
      <c r="FZ116" s="559"/>
      <c r="GA116" s="559"/>
      <c r="GB116" s="559"/>
      <c r="GC116" s="559"/>
      <c r="GD116" s="559"/>
      <c r="GE116" s="559"/>
      <c r="GF116" s="559"/>
      <c r="GG116" s="559"/>
      <c r="GH116" s="559"/>
    </row>
    <row r="117">
      <c r="A117" s="538"/>
      <c r="B117" s="156"/>
      <c r="C117" s="444"/>
      <c r="D117" s="614"/>
      <c r="E117" s="66"/>
      <c r="F117" s="642"/>
      <c r="G117" s="642"/>
      <c r="H117" s="615"/>
      <c r="I117" s="616" t="s">
        <v>365</v>
      </c>
      <c r="J117" s="624"/>
      <c r="K117" s="643"/>
      <c r="L117" s="640"/>
      <c r="M117" s="625"/>
      <c r="N117" s="617"/>
      <c r="O117" s="134"/>
      <c r="P117" s="57"/>
      <c r="Q117" s="57"/>
      <c r="S117" s="605"/>
      <c r="U117" s="573"/>
      <c r="V117" s="574"/>
      <c r="W117" s="618"/>
      <c r="X117" s="576">
        <v>0.0</v>
      </c>
      <c r="Y117" s="630">
        <v>0.0</v>
      </c>
      <c r="Z117" s="630" t="s">
        <v>365</v>
      </c>
      <c r="AA117" s="631" t="b">
        <v>0</v>
      </c>
      <c r="AB117" s="631"/>
      <c r="AC117" s="576"/>
      <c r="AD117" s="479">
        <v>0.0</v>
      </c>
      <c r="AE117" s="632"/>
      <c r="AF117" s="582" t="s">
        <v>365</v>
      </c>
      <c r="AG117" s="583"/>
      <c r="AH117" s="584"/>
      <c r="AI117" s="583"/>
      <c r="AJ117" s="585"/>
      <c r="AK117" s="583"/>
      <c r="AL117" s="584"/>
      <c r="AM117" s="583"/>
      <c r="AN117" s="585"/>
      <c r="AO117" s="583"/>
      <c r="AP117" s="584"/>
      <c r="AQ117" s="583"/>
      <c r="AR117" s="585"/>
      <c r="AS117" s="583"/>
      <c r="AT117" s="584"/>
      <c r="AU117" s="583"/>
      <c r="AV117" s="585"/>
      <c r="AW117" s="583"/>
      <c r="AX117" s="584"/>
      <c r="AY117" s="583"/>
      <c r="AZ117" s="585"/>
      <c r="BA117" s="583"/>
      <c r="BB117" s="584"/>
      <c r="BC117" s="583"/>
      <c r="BD117" s="585"/>
      <c r="BE117" s="583"/>
      <c r="BF117" s="584"/>
      <c r="BG117" s="583"/>
      <c r="BH117" s="585"/>
      <c r="BI117" s="583"/>
      <c r="BJ117" s="584"/>
      <c r="BK117" s="583"/>
      <c r="BL117" s="585"/>
      <c r="BM117" s="583"/>
      <c r="BN117" s="584"/>
      <c r="BO117" s="583"/>
      <c r="BP117" s="585"/>
      <c r="BQ117" s="583"/>
      <c r="BR117" s="584"/>
      <c r="BS117" s="583"/>
      <c r="BT117" s="586"/>
      <c r="BU117" s="540"/>
      <c r="BV117" s="540"/>
      <c r="BW117" s="540"/>
      <c r="BX117" s="538"/>
      <c r="BY117" s="538"/>
      <c r="BZ117" s="592"/>
      <c r="CA117" s="633"/>
      <c r="CB117" s="592" t="s">
        <v>365</v>
      </c>
      <c r="CC117" s="592">
        <v>0.0</v>
      </c>
      <c r="CD117" s="592" t="s">
        <v>365</v>
      </c>
      <c r="CE117" s="592">
        <v>0.0</v>
      </c>
      <c r="CF117" s="592"/>
      <c r="CG117" s="592">
        <v>0.0</v>
      </c>
      <c r="CH117" s="592"/>
      <c r="CI117" s="633"/>
      <c r="CJ117" s="592">
        <v>0.0</v>
      </c>
      <c r="CK117" s="479" t="s">
        <v>365</v>
      </c>
      <c r="CL117" s="592"/>
      <c r="CM117" s="593"/>
      <c r="CN117" s="538"/>
      <c r="CO117" s="538"/>
      <c r="CP117" s="538"/>
      <c r="CQ117" s="538"/>
      <c r="CR117" s="538"/>
      <c r="CS117" s="538"/>
      <c r="CT117" s="538"/>
      <c r="CU117" s="538"/>
      <c r="CV117" s="538"/>
      <c r="CW117" s="538"/>
      <c r="CX117" s="538"/>
      <c r="CY117" s="538"/>
      <c r="CZ117" s="538"/>
      <c r="DA117" s="538"/>
      <c r="DB117" s="538"/>
      <c r="DC117" s="538"/>
      <c r="DD117" s="538"/>
      <c r="DE117" s="538"/>
      <c r="DF117" s="538"/>
      <c r="DG117" s="538"/>
      <c r="DH117" s="538"/>
      <c r="DI117" s="538"/>
      <c r="DJ117" s="538"/>
      <c r="DK117" s="538"/>
      <c r="DL117" s="538"/>
      <c r="DM117" s="538"/>
      <c r="DN117" s="538"/>
      <c r="DO117" s="538"/>
      <c r="DP117" s="538"/>
      <c r="DQ117" s="538"/>
      <c r="DR117" s="538"/>
      <c r="DS117" s="538"/>
      <c r="DT117" s="538"/>
      <c r="DU117" s="538"/>
      <c r="DV117" s="538"/>
      <c r="DW117" s="538"/>
      <c r="DX117" s="538"/>
      <c r="DY117" s="538"/>
      <c r="DZ117" s="538"/>
      <c r="EA117" s="538"/>
      <c r="EB117" s="538"/>
      <c r="EC117" s="538"/>
      <c r="ED117" s="538"/>
      <c r="EE117" s="538"/>
      <c r="EF117" s="538"/>
      <c r="EG117" s="538"/>
      <c r="EH117" s="538"/>
      <c r="EI117" s="538"/>
      <c r="EJ117" s="538"/>
      <c r="EK117" s="538"/>
      <c r="EL117" s="538"/>
      <c r="EM117" s="538"/>
      <c r="EN117" s="538"/>
      <c r="EO117" s="538"/>
      <c r="EP117" s="538"/>
      <c r="EQ117" s="538"/>
      <c r="ER117" s="538"/>
      <c r="ES117" s="538"/>
      <c r="ET117" s="538"/>
      <c r="EU117" s="538"/>
      <c r="EV117" s="538"/>
      <c r="EW117" s="538"/>
      <c r="EX117" s="559"/>
      <c r="EY117" s="559"/>
      <c r="EZ117" s="559"/>
      <c r="FA117" s="559"/>
      <c r="FB117" s="559"/>
      <c r="FC117" s="559"/>
      <c r="FD117" s="559"/>
      <c r="FE117" s="559"/>
      <c r="FF117" s="559"/>
      <c r="FG117" s="559"/>
      <c r="FH117" s="559"/>
      <c r="FI117" s="559"/>
      <c r="FJ117" s="559"/>
      <c r="FK117" s="559"/>
      <c r="FL117" s="559"/>
      <c r="FM117" s="559"/>
      <c r="FN117" s="559"/>
      <c r="FO117" s="559"/>
      <c r="FP117" s="559"/>
      <c r="FQ117" s="559"/>
      <c r="FR117" s="559"/>
      <c r="FS117" s="559"/>
      <c r="FT117" s="559"/>
      <c r="FU117" s="559"/>
      <c r="FV117" s="559"/>
      <c r="FW117" s="559"/>
      <c r="FX117" s="559"/>
      <c r="FY117" s="559"/>
      <c r="FZ117" s="559"/>
      <c r="GA117" s="559"/>
      <c r="GB117" s="559"/>
      <c r="GC117" s="559"/>
      <c r="GD117" s="559"/>
      <c r="GE117" s="559"/>
      <c r="GF117" s="559"/>
      <c r="GG117" s="559"/>
      <c r="GH117" s="559"/>
    </row>
    <row r="118">
      <c r="A118" s="538"/>
      <c r="B118" s="156"/>
      <c r="C118" s="444"/>
      <c r="D118" s="614"/>
      <c r="E118" s="68"/>
      <c r="F118" s="644"/>
      <c r="G118" s="644"/>
      <c r="H118" s="627"/>
      <c r="I118" s="622" t="s">
        <v>365</v>
      </c>
      <c r="J118" s="607"/>
      <c r="K118" s="641"/>
      <c r="L118" s="628"/>
      <c r="M118" s="626"/>
      <c r="N118" s="619"/>
      <c r="O118" s="560"/>
      <c r="P118" s="47"/>
      <c r="Q118" s="47"/>
      <c r="S118" s="572"/>
      <c r="U118" s="573"/>
      <c r="V118" s="574"/>
      <c r="W118" s="618"/>
      <c r="X118" s="576">
        <v>0.0</v>
      </c>
      <c r="Y118" s="630">
        <v>0.0</v>
      </c>
      <c r="Z118" s="630" t="s">
        <v>365</v>
      </c>
      <c r="AA118" s="631" t="b">
        <v>0</v>
      </c>
      <c r="AB118" s="631"/>
      <c r="AC118" s="576"/>
      <c r="AD118" s="479">
        <v>0.0</v>
      </c>
      <c r="AE118" s="632"/>
      <c r="AF118" s="582" t="s">
        <v>365</v>
      </c>
      <c r="AG118" s="583"/>
      <c r="AH118" s="584"/>
      <c r="AI118" s="583"/>
      <c r="AJ118" s="585"/>
      <c r="AK118" s="583"/>
      <c r="AL118" s="584"/>
      <c r="AM118" s="583"/>
      <c r="AN118" s="585"/>
      <c r="AO118" s="583"/>
      <c r="AP118" s="584"/>
      <c r="AQ118" s="583"/>
      <c r="AR118" s="585"/>
      <c r="AS118" s="583"/>
      <c r="AT118" s="584"/>
      <c r="AU118" s="583"/>
      <c r="AV118" s="585"/>
      <c r="AW118" s="583"/>
      <c r="AX118" s="584"/>
      <c r="AY118" s="583"/>
      <c r="AZ118" s="585"/>
      <c r="BA118" s="583"/>
      <c r="BB118" s="584"/>
      <c r="BC118" s="583"/>
      <c r="BD118" s="585"/>
      <c r="BE118" s="583"/>
      <c r="BF118" s="584"/>
      <c r="BG118" s="583"/>
      <c r="BH118" s="585"/>
      <c r="BI118" s="583"/>
      <c r="BJ118" s="584"/>
      <c r="BK118" s="583"/>
      <c r="BL118" s="585"/>
      <c r="BM118" s="583"/>
      <c r="BN118" s="584"/>
      <c r="BO118" s="583"/>
      <c r="BP118" s="585"/>
      <c r="BQ118" s="583"/>
      <c r="BR118" s="584"/>
      <c r="BS118" s="583"/>
      <c r="BT118" s="586"/>
      <c r="BU118" s="540"/>
      <c r="BV118" s="540"/>
      <c r="BW118" s="540"/>
      <c r="BX118" s="538"/>
      <c r="BY118" s="538"/>
      <c r="BZ118" s="592"/>
      <c r="CA118" s="633"/>
      <c r="CB118" s="592" t="s">
        <v>365</v>
      </c>
      <c r="CC118" s="592">
        <v>0.0</v>
      </c>
      <c r="CD118" s="592" t="s">
        <v>365</v>
      </c>
      <c r="CE118" s="592">
        <v>0.0</v>
      </c>
      <c r="CF118" s="592"/>
      <c r="CG118" s="592">
        <v>0.0</v>
      </c>
      <c r="CH118" s="592"/>
      <c r="CI118" s="633"/>
      <c r="CJ118" s="592">
        <v>0.0</v>
      </c>
      <c r="CK118" s="479" t="s">
        <v>365</v>
      </c>
      <c r="CL118" s="592"/>
      <c r="CM118" s="593"/>
      <c r="CN118" s="538"/>
      <c r="CO118" s="538"/>
      <c r="CP118" s="538"/>
      <c r="CQ118" s="538"/>
      <c r="CR118" s="538"/>
      <c r="CS118" s="538"/>
      <c r="CT118" s="538"/>
      <c r="CU118" s="538"/>
      <c r="CV118" s="538"/>
      <c r="CW118" s="538"/>
      <c r="CX118" s="538"/>
      <c r="CY118" s="538"/>
      <c r="CZ118" s="538"/>
      <c r="DA118" s="538"/>
      <c r="DB118" s="538"/>
      <c r="DC118" s="538"/>
      <c r="DD118" s="538"/>
      <c r="DE118" s="538"/>
      <c r="DF118" s="538"/>
      <c r="DG118" s="538"/>
      <c r="DH118" s="538"/>
      <c r="DI118" s="538"/>
      <c r="DJ118" s="538"/>
      <c r="DK118" s="538"/>
      <c r="DL118" s="538"/>
      <c r="DM118" s="538"/>
      <c r="DN118" s="538"/>
      <c r="DO118" s="538"/>
      <c r="DP118" s="538"/>
      <c r="DQ118" s="538"/>
      <c r="DR118" s="538"/>
      <c r="DS118" s="538"/>
      <c r="DT118" s="538"/>
      <c r="DU118" s="538"/>
      <c r="DV118" s="538"/>
      <c r="DW118" s="538"/>
      <c r="DX118" s="538"/>
      <c r="DY118" s="538"/>
      <c r="DZ118" s="538"/>
      <c r="EA118" s="538"/>
      <c r="EB118" s="538"/>
      <c r="EC118" s="538"/>
      <c r="ED118" s="538"/>
      <c r="EE118" s="538"/>
      <c r="EF118" s="538"/>
      <c r="EG118" s="538"/>
      <c r="EH118" s="538"/>
      <c r="EI118" s="538"/>
      <c r="EJ118" s="538"/>
      <c r="EK118" s="538"/>
      <c r="EL118" s="538"/>
      <c r="EM118" s="538"/>
      <c r="EN118" s="538"/>
      <c r="EO118" s="538"/>
      <c r="EP118" s="538"/>
      <c r="EQ118" s="538"/>
      <c r="ER118" s="538"/>
      <c r="ES118" s="538"/>
      <c r="ET118" s="538"/>
      <c r="EU118" s="538"/>
      <c r="EV118" s="538"/>
      <c r="EW118" s="538"/>
      <c r="EX118" s="559"/>
      <c r="EY118" s="559"/>
      <c r="EZ118" s="559"/>
      <c r="FA118" s="559"/>
      <c r="FB118" s="559"/>
      <c r="FC118" s="559"/>
      <c r="FD118" s="559"/>
      <c r="FE118" s="559"/>
      <c r="FF118" s="559"/>
      <c r="FG118" s="559"/>
      <c r="FH118" s="559"/>
      <c r="FI118" s="559"/>
      <c r="FJ118" s="559"/>
      <c r="FK118" s="559"/>
      <c r="FL118" s="559"/>
      <c r="FM118" s="559"/>
      <c r="FN118" s="559"/>
      <c r="FO118" s="559"/>
      <c r="FP118" s="559"/>
      <c r="FQ118" s="559"/>
      <c r="FR118" s="559"/>
      <c r="FS118" s="559"/>
      <c r="FT118" s="559"/>
      <c r="FU118" s="559"/>
      <c r="FV118" s="559"/>
      <c r="FW118" s="559"/>
      <c r="FX118" s="559"/>
      <c r="FY118" s="559"/>
      <c r="FZ118" s="559"/>
      <c r="GA118" s="559"/>
      <c r="GB118" s="559"/>
      <c r="GC118" s="559"/>
      <c r="GD118" s="559"/>
      <c r="GE118" s="559"/>
      <c r="GF118" s="559"/>
      <c r="GG118" s="559"/>
      <c r="GH118" s="559"/>
    </row>
    <row r="119">
      <c r="A119" s="538"/>
      <c r="B119" s="156"/>
      <c r="C119" s="444"/>
      <c r="D119" s="614"/>
      <c r="E119" s="66"/>
      <c r="F119" s="642"/>
      <c r="G119" s="642"/>
      <c r="H119" s="615"/>
      <c r="I119" s="616" t="s">
        <v>365</v>
      </c>
      <c r="J119" s="624"/>
      <c r="K119" s="643"/>
      <c r="L119" s="640"/>
      <c r="M119" s="625"/>
      <c r="N119" s="617"/>
      <c r="O119" s="134"/>
      <c r="P119" s="57"/>
      <c r="Q119" s="57"/>
      <c r="S119" s="605"/>
      <c r="U119" s="573"/>
      <c r="V119" s="574"/>
      <c r="W119" s="618"/>
      <c r="X119" s="576">
        <v>0.0</v>
      </c>
      <c r="Y119" s="630">
        <v>0.0</v>
      </c>
      <c r="Z119" s="630" t="s">
        <v>365</v>
      </c>
      <c r="AA119" s="631" t="b">
        <v>0</v>
      </c>
      <c r="AB119" s="631"/>
      <c r="AC119" s="576"/>
      <c r="AD119" s="479">
        <v>0.0</v>
      </c>
      <c r="AE119" s="632"/>
      <c r="AF119" s="582" t="s">
        <v>365</v>
      </c>
      <c r="AG119" s="583"/>
      <c r="AH119" s="584"/>
      <c r="AI119" s="583"/>
      <c r="AJ119" s="585"/>
      <c r="AK119" s="583"/>
      <c r="AL119" s="584"/>
      <c r="AM119" s="583"/>
      <c r="AN119" s="585"/>
      <c r="AO119" s="583"/>
      <c r="AP119" s="584"/>
      <c r="AQ119" s="583"/>
      <c r="AR119" s="585"/>
      <c r="AS119" s="583"/>
      <c r="AT119" s="584"/>
      <c r="AU119" s="583"/>
      <c r="AV119" s="585"/>
      <c r="AW119" s="583"/>
      <c r="AX119" s="584"/>
      <c r="AY119" s="583"/>
      <c r="AZ119" s="585"/>
      <c r="BA119" s="583"/>
      <c r="BB119" s="584"/>
      <c r="BC119" s="583"/>
      <c r="BD119" s="585"/>
      <c r="BE119" s="583"/>
      <c r="BF119" s="584"/>
      <c r="BG119" s="583"/>
      <c r="BH119" s="585"/>
      <c r="BI119" s="583"/>
      <c r="BJ119" s="584"/>
      <c r="BK119" s="583"/>
      <c r="BL119" s="585"/>
      <c r="BM119" s="583"/>
      <c r="BN119" s="584"/>
      <c r="BO119" s="583"/>
      <c r="BP119" s="585"/>
      <c r="BQ119" s="583"/>
      <c r="BR119" s="584"/>
      <c r="BS119" s="583"/>
      <c r="BT119" s="586"/>
      <c r="BU119" s="540"/>
      <c r="BV119" s="540"/>
      <c r="BW119" s="540"/>
      <c r="BX119" s="538"/>
      <c r="BY119" s="538"/>
      <c r="BZ119" s="592"/>
      <c r="CA119" s="633"/>
      <c r="CB119" s="592" t="s">
        <v>365</v>
      </c>
      <c r="CC119" s="592">
        <v>0.0</v>
      </c>
      <c r="CD119" s="592" t="s">
        <v>365</v>
      </c>
      <c r="CE119" s="592">
        <v>0.0</v>
      </c>
      <c r="CF119" s="592"/>
      <c r="CG119" s="592">
        <v>0.0</v>
      </c>
      <c r="CH119" s="592"/>
      <c r="CI119" s="633"/>
      <c r="CJ119" s="592">
        <v>0.0</v>
      </c>
      <c r="CK119" s="479" t="s">
        <v>365</v>
      </c>
      <c r="CL119" s="592"/>
      <c r="CM119" s="593"/>
      <c r="CN119" s="538"/>
      <c r="CO119" s="538"/>
      <c r="CP119" s="538"/>
      <c r="CQ119" s="538"/>
      <c r="CR119" s="538"/>
      <c r="CS119" s="538"/>
      <c r="CT119" s="538"/>
      <c r="CU119" s="538"/>
      <c r="CV119" s="538"/>
      <c r="CW119" s="538"/>
      <c r="CX119" s="538"/>
      <c r="CY119" s="538"/>
      <c r="CZ119" s="538"/>
      <c r="DA119" s="538"/>
      <c r="DB119" s="538"/>
      <c r="DC119" s="538"/>
      <c r="DD119" s="538"/>
      <c r="DE119" s="538"/>
      <c r="DF119" s="538"/>
      <c r="DG119" s="538"/>
      <c r="DH119" s="538"/>
      <c r="DI119" s="538"/>
      <c r="DJ119" s="538"/>
      <c r="DK119" s="538"/>
      <c r="DL119" s="538"/>
      <c r="DM119" s="538"/>
      <c r="DN119" s="538"/>
      <c r="DO119" s="538"/>
      <c r="DP119" s="538"/>
      <c r="DQ119" s="538"/>
      <c r="DR119" s="538"/>
      <c r="DS119" s="538"/>
      <c r="DT119" s="538"/>
      <c r="DU119" s="538"/>
      <c r="DV119" s="538"/>
      <c r="DW119" s="538"/>
      <c r="DX119" s="538"/>
      <c r="DY119" s="538"/>
      <c r="DZ119" s="538"/>
      <c r="EA119" s="538"/>
      <c r="EB119" s="538"/>
      <c r="EC119" s="538"/>
      <c r="ED119" s="538"/>
      <c r="EE119" s="538"/>
      <c r="EF119" s="538"/>
      <c r="EG119" s="538"/>
      <c r="EH119" s="538"/>
      <c r="EI119" s="538"/>
      <c r="EJ119" s="538"/>
      <c r="EK119" s="538"/>
      <c r="EL119" s="538"/>
      <c r="EM119" s="538"/>
      <c r="EN119" s="538"/>
      <c r="EO119" s="538"/>
      <c r="EP119" s="538"/>
      <c r="EQ119" s="538"/>
      <c r="ER119" s="538"/>
      <c r="ES119" s="538"/>
      <c r="ET119" s="538"/>
      <c r="EU119" s="538"/>
      <c r="EV119" s="538"/>
      <c r="EW119" s="538"/>
      <c r="EX119" s="559"/>
      <c r="EY119" s="559"/>
      <c r="EZ119" s="559"/>
      <c r="FA119" s="559"/>
      <c r="FB119" s="559"/>
      <c r="FC119" s="559"/>
      <c r="FD119" s="559"/>
      <c r="FE119" s="559"/>
      <c r="FF119" s="559"/>
      <c r="FG119" s="559"/>
      <c r="FH119" s="559"/>
      <c r="FI119" s="559"/>
      <c r="FJ119" s="559"/>
      <c r="FK119" s="559"/>
      <c r="FL119" s="559"/>
      <c r="FM119" s="559"/>
      <c r="FN119" s="559"/>
      <c r="FO119" s="559"/>
      <c r="FP119" s="559"/>
      <c r="FQ119" s="559"/>
      <c r="FR119" s="559"/>
      <c r="FS119" s="559"/>
      <c r="FT119" s="559"/>
      <c r="FU119" s="559"/>
      <c r="FV119" s="559"/>
      <c r="FW119" s="559"/>
      <c r="FX119" s="559"/>
      <c r="FY119" s="559"/>
      <c r="FZ119" s="559"/>
      <c r="GA119" s="559"/>
      <c r="GB119" s="559"/>
      <c r="GC119" s="559"/>
      <c r="GD119" s="559"/>
      <c r="GE119" s="559"/>
      <c r="GF119" s="559"/>
      <c r="GG119" s="559"/>
      <c r="GH119" s="559"/>
    </row>
    <row r="120">
      <c r="A120" s="538"/>
      <c r="B120" s="156"/>
      <c r="C120" s="444"/>
      <c r="D120" s="614"/>
      <c r="E120" s="68"/>
      <c r="F120" s="644"/>
      <c r="G120" s="644"/>
      <c r="H120" s="627"/>
      <c r="I120" s="622" t="s">
        <v>365</v>
      </c>
      <c r="J120" s="607"/>
      <c r="K120" s="641"/>
      <c r="L120" s="628"/>
      <c r="M120" s="626"/>
      <c r="N120" s="619"/>
      <c r="O120" s="560"/>
      <c r="P120" s="47"/>
      <c r="Q120" s="47"/>
      <c r="S120" s="572"/>
      <c r="U120" s="573"/>
      <c r="V120" s="574"/>
      <c r="W120" s="618"/>
      <c r="X120" s="576">
        <v>0.0</v>
      </c>
      <c r="Y120" s="630">
        <v>0.0</v>
      </c>
      <c r="Z120" s="630" t="s">
        <v>365</v>
      </c>
      <c r="AA120" s="631" t="b">
        <v>0</v>
      </c>
      <c r="AB120" s="631"/>
      <c r="AC120" s="576"/>
      <c r="AD120" s="479">
        <v>0.0</v>
      </c>
      <c r="AE120" s="632"/>
      <c r="AF120" s="582" t="s">
        <v>365</v>
      </c>
      <c r="AG120" s="583"/>
      <c r="AH120" s="584"/>
      <c r="AI120" s="583"/>
      <c r="AJ120" s="585"/>
      <c r="AK120" s="583"/>
      <c r="AL120" s="584"/>
      <c r="AM120" s="583"/>
      <c r="AN120" s="585"/>
      <c r="AO120" s="583"/>
      <c r="AP120" s="584"/>
      <c r="AQ120" s="583"/>
      <c r="AR120" s="585"/>
      <c r="AS120" s="583"/>
      <c r="AT120" s="584"/>
      <c r="AU120" s="583"/>
      <c r="AV120" s="585"/>
      <c r="AW120" s="583"/>
      <c r="AX120" s="584"/>
      <c r="AY120" s="583"/>
      <c r="AZ120" s="585"/>
      <c r="BA120" s="583"/>
      <c r="BB120" s="584"/>
      <c r="BC120" s="583"/>
      <c r="BD120" s="585"/>
      <c r="BE120" s="583"/>
      <c r="BF120" s="584"/>
      <c r="BG120" s="583"/>
      <c r="BH120" s="585"/>
      <c r="BI120" s="583"/>
      <c r="BJ120" s="584"/>
      <c r="BK120" s="583"/>
      <c r="BL120" s="585"/>
      <c r="BM120" s="583"/>
      <c r="BN120" s="584"/>
      <c r="BO120" s="583"/>
      <c r="BP120" s="585"/>
      <c r="BQ120" s="583"/>
      <c r="BR120" s="584"/>
      <c r="BS120" s="583"/>
      <c r="BT120" s="586"/>
      <c r="BU120" s="540"/>
      <c r="BV120" s="540"/>
      <c r="BW120" s="540"/>
      <c r="BX120" s="538"/>
      <c r="BY120" s="538"/>
      <c r="BZ120" s="592"/>
      <c r="CA120" s="633"/>
      <c r="CB120" s="592" t="s">
        <v>365</v>
      </c>
      <c r="CC120" s="592">
        <v>0.0</v>
      </c>
      <c r="CD120" s="592" t="s">
        <v>365</v>
      </c>
      <c r="CE120" s="592">
        <v>0.0</v>
      </c>
      <c r="CF120" s="592"/>
      <c r="CG120" s="592">
        <v>0.0</v>
      </c>
      <c r="CH120" s="592"/>
      <c r="CI120" s="633"/>
      <c r="CJ120" s="592">
        <v>0.0</v>
      </c>
      <c r="CK120" s="479" t="s">
        <v>365</v>
      </c>
      <c r="CL120" s="592"/>
      <c r="CM120" s="593"/>
      <c r="CN120" s="538"/>
      <c r="CO120" s="538"/>
      <c r="CP120" s="538"/>
      <c r="CQ120" s="538"/>
      <c r="CR120" s="538"/>
      <c r="CS120" s="538"/>
      <c r="CT120" s="538"/>
      <c r="CU120" s="538"/>
      <c r="CV120" s="538"/>
      <c r="CW120" s="538"/>
      <c r="CX120" s="538"/>
      <c r="CY120" s="538"/>
      <c r="CZ120" s="538"/>
      <c r="DA120" s="538"/>
      <c r="DB120" s="538"/>
      <c r="DC120" s="538"/>
      <c r="DD120" s="538"/>
      <c r="DE120" s="538"/>
      <c r="DF120" s="538"/>
      <c r="DG120" s="538"/>
      <c r="DH120" s="538"/>
      <c r="DI120" s="538"/>
      <c r="DJ120" s="538"/>
      <c r="DK120" s="538"/>
      <c r="DL120" s="538"/>
      <c r="DM120" s="538"/>
      <c r="DN120" s="538"/>
      <c r="DO120" s="538"/>
      <c r="DP120" s="538"/>
      <c r="DQ120" s="538"/>
      <c r="DR120" s="538"/>
      <c r="DS120" s="538"/>
      <c r="DT120" s="538"/>
      <c r="DU120" s="538"/>
      <c r="DV120" s="538"/>
      <c r="DW120" s="538"/>
      <c r="DX120" s="538"/>
      <c r="DY120" s="538"/>
      <c r="DZ120" s="538"/>
      <c r="EA120" s="538"/>
      <c r="EB120" s="538"/>
      <c r="EC120" s="538"/>
      <c r="ED120" s="538"/>
      <c r="EE120" s="538"/>
      <c r="EF120" s="538"/>
      <c r="EG120" s="538"/>
      <c r="EH120" s="538"/>
      <c r="EI120" s="538"/>
      <c r="EJ120" s="538"/>
      <c r="EK120" s="538"/>
      <c r="EL120" s="538"/>
      <c r="EM120" s="538"/>
      <c r="EN120" s="538"/>
      <c r="EO120" s="538"/>
      <c r="EP120" s="538"/>
      <c r="EQ120" s="538"/>
      <c r="ER120" s="538"/>
      <c r="ES120" s="538"/>
      <c r="ET120" s="538"/>
      <c r="EU120" s="538"/>
      <c r="EV120" s="538"/>
      <c r="EW120" s="538"/>
      <c r="EX120" s="559"/>
      <c r="EY120" s="559"/>
      <c r="EZ120" s="559"/>
      <c r="FA120" s="559"/>
      <c r="FB120" s="559"/>
      <c r="FC120" s="559"/>
      <c r="FD120" s="559"/>
      <c r="FE120" s="559"/>
      <c r="FF120" s="559"/>
      <c r="FG120" s="559"/>
      <c r="FH120" s="559"/>
      <c r="FI120" s="559"/>
      <c r="FJ120" s="559"/>
      <c r="FK120" s="559"/>
      <c r="FL120" s="559"/>
      <c r="FM120" s="559"/>
      <c r="FN120" s="559"/>
      <c r="FO120" s="559"/>
      <c r="FP120" s="559"/>
      <c r="FQ120" s="559"/>
      <c r="FR120" s="559"/>
      <c r="FS120" s="559"/>
      <c r="FT120" s="559"/>
      <c r="FU120" s="559"/>
      <c r="FV120" s="559"/>
      <c r="FW120" s="559"/>
      <c r="FX120" s="559"/>
      <c r="FY120" s="559"/>
      <c r="FZ120" s="559"/>
      <c r="GA120" s="559"/>
      <c r="GB120" s="559"/>
      <c r="GC120" s="559"/>
      <c r="GD120" s="559"/>
      <c r="GE120" s="559"/>
      <c r="GF120" s="559"/>
      <c r="GG120" s="559"/>
      <c r="GH120" s="559"/>
    </row>
    <row r="121">
      <c r="A121" s="538"/>
      <c r="B121" s="156"/>
      <c r="C121" s="444"/>
      <c r="D121" s="614"/>
      <c r="E121" s="66"/>
      <c r="F121" s="642"/>
      <c r="G121" s="642"/>
      <c r="H121" s="615"/>
      <c r="I121" s="616" t="s">
        <v>365</v>
      </c>
      <c r="J121" s="624"/>
      <c r="K121" s="643"/>
      <c r="L121" s="640"/>
      <c r="M121" s="625"/>
      <c r="N121" s="617"/>
      <c r="O121" s="134"/>
      <c r="P121" s="57"/>
      <c r="Q121" s="57"/>
      <c r="S121" s="605"/>
      <c r="U121" s="573"/>
      <c r="V121" s="574"/>
      <c r="W121" s="618"/>
      <c r="X121" s="576">
        <v>0.0</v>
      </c>
      <c r="Y121" s="630">
        <v>0.0</v>
      </c>
      <c r="Z121" s="630" t="s">
        <v>365</v>
      </c>
      <c r="AA121" s="631" t="b">
        <v>0</v>
      </c>
      <c r="AB121" s="631"/>
      <c r="AC121" s="576"/>
      <c r="AD121" s="479">
        <v>0.0</v>
      </c>
      <c r="AE121" s="632"/>
      <c r="AF121" s="582" t="s">
        <v>365</v>
      </c>
      <c r="AG121" s="583"/>
      <c r="AH121" s="584"/>
      <c r="AI121" s="583"/>
      <c r="AJ121" s="585"/>
      <c r="AK121" s="583"/>
      <c r="AL121" s="584"/>
      <c r="AM121" s="583"/>
      <c r="AN121" s="585"/>
      <c r="AO121" s="583"/>
      <c r="AP121" s="584"/>
      <c r="AQ121" s="583"/>
      <c r="AR121" s="585"/>
      <c r="AS121" s="583"/>
      <c r="AT121" s="584"/>
      <c r="AU121" s="583"/>
      <c r="AV121" s="585"/>
      <c r="AW121" s="583"/>
      <c r="AX121" s="584"/>
      <c r="AY121" s="583"/>
      <c r="AZ121" s="585"/>
      <c r="BA121" s="583"/>
      <c r="BB121" s="584"/>
      <c r="BC121" s="583"/>
      <c r="BD121" s="585"/>
      <c r="BE121" s="583"/>
      <c r="BF121" s="584"/>
      <c r="BG121" s="583"/>
      <c r="BH121" s="585"/>
      <c r="BI121" s="583"/>
      <c r="BJ121" s="584"/>
      <c r="BK121" s="583"/>
      <c r="BL121" s="585"/>
      <c r="BM121" s="583"/>
      <c r="BN121" s="584"/>
      <c r="BO121" s="583"/>
      <c r="BP121" s="585"/>
      <c r="BQ121" s="583"/>
      <c r="BR121" s="584"/>
      <c r="BS121" s="583"/>
      <c r="BT121" s="586"/>
      <c r="BU121" s="540"/>
      <c r="BV121" s="540"/>
      <c r="BW121" s="540"/>
      <c r="BX121" s="538"/>
      <c r="BY121" s="538"/>
      <c r="BZ121" s="592"/>
      <c r="CA121" s="633"/>
      <c r="CB121" s="592" t="s">
        <v>365</v>
      </c>
      <c r="CC121" s="592">
        <v>0.0</v>
      </c>
      <c r="CD121" s="592" t="s">
        <v>365</v>
      </c>
      <c r="CE121" s="592">
        <v>0.0</v>
      </c>
      <c r="CF121" s="592"/>
      <c r="CG121" s="592">
        <v>0.0</v>
      </c>
      <c r="CH121" s="592"/>
      <c r="CI121" s="633"/>
      <c r="CJ121" s="592">
        <v>0.0</v>
      </c>
      <c r="CK121" s="479" t="s">
        <v>365</v>
      </c>
      <c r="CL121" s="592"/>
      <c r="CM121" s="593"/>
      <c r="CN121" s="538"/>
      <c r="CO121" s="538"/>
      <c r="CP121" s="538"/>
      <c r="CQ121" s="538"/>
      <c r="CR121" s="538"/>
      <c r="CS121" s="538"/>
      <c r="CT121" s="538"/>
      <c r="CU121" s="538"/>
      <c r="CV121" s="538"/>
      <c r="CW121" s="538"/>
      <c r="CX121" s="538"/>
      <c r="CY121" s="538"/>
      <c r="CZ121" s="538"/>
      <c r="DA121" s="538"/>
      <c r="DB121" s="538"/>
      <c r="DC121" s="538"/>
      <c r="DD121" s="538"/>
      <c r="DE121" s="538"/>
      <c r="DF121" s="538"/>
      <c r="DG121" s="538"/>
      <c r="DH121" s="538"/>
      <c r="DI121" s="538"/>
      <c r="DJ121" s="538"/>
      <c r="DK121" s="538"/>
      <c r="DL121" s="538"/>
      <c r="DM121" s="538"/>
      <c r="DN121" s="538"/>
      <c r="DO121" s="538"/>
      <c r="DP121" s="538"/>
      <c r="DQ121" s="538"/>
      <c r="DR121" s="538"/>
      <c r="DS121" s="538"/>
      <c r="DT121" s="538"/>
      <c r="DU121" s="538"/>
      <c r="DV121" s="538"/>
      <c r="DW121" s="538"/>
      <c r="DX121" s="538"/>
      <c r="DY121" s="538"/>
      <c r="DZ121" s="538"/>
      <c r="EA121" s="538"/>
      <c r="EB121" s="538"/>
      <c r="EC121" s="538"/>
      <c r="ED121" s="538"/>
      <c r="EE121" s="538"/>
      <c r="EF121" s="538"/>
      <c r="EG121" s="538"/>
      <c r="EH121" s="538"/>
      <c r="EI121" s="538"/>
      <c r="EJ121" s="538"/>
      <c r="EK121" s="538"/>
      <c r="EL121" s="538"/>
      <c r="EM121" s="538"/>
      <c r="EN121" s="538"/>
      <c r="EO121" s="538"/>
      <c r="EP121" s="538"/>
      <c r="EQ121" s="538"/>
      <c r="ER121" s="538"/>
      <c r="ES121" s="538"/>
      <c r="ET121" s="538"/>
      <c r="EU121" s="538"/>
      <c r="EV121" s="538"/>
      <c r="EW121" s="538"/>
      <c r="EX121" s="559"/>
      <c r="EY121" s="559"/>
      <c r="EZ121" s="559"/>
      <c r="FA121" s="559"/>
      <c r="FB121" s="559"/>
      <c r="FC121" s="559"/>
      <c r="FD121" s="559"/>
      <c r="FE121" s="559"/>
      <c r="FF121" s="559"/>
      <c r="FG121" s="559"/>
      <c r="FH121" s="559"/>
      <c r="FI121" s="559"/>
      <c r="FJ121" s="559"/>
      <c r="FK121" s="559"/>
      <c r="FL121" s="559"/>
      <c r="FM121" s="559"/>
      <c r="FN121" s="559"/>
      <c r="FO121" s="559"/>
      <c r="FP121" s="559"/>
      <c r="FQ121" s="559"/>
      <c r="FR121" s="559"/>
      <c r="FS121" s="559"/>
      <c r="FT121" s="559"/>
      <c r="FU121" s="559"/>
      <c r="FV121" s="559"/>
      <c r="FW121" s="559"/>
      <c r="FX121" s="559"/>
      <c r="FY121" s="559"/>
      <c r="FZ121" s="559"/>
      <c r="GA121" s="559"/>
      <c r="GB121" s="559"/>
      <c r="GC121" s="559"/>
      <c r="GD121" s="559"/>
      <c r="GE121" s="559"/>
      <c r="GF121" s="559"/>
      <c r="GG121" s="559"/>
      <c r="GH121" s="559"/>
    </row>
    <row r="122">
      <c r="A122" s="538"/>
      <c r="B122" s="156"/>
      <c r="C122" s="444"/>
      <c r="D122" s="614"/>
      <c r="E122" s="68"/>
      <c r="F122" s="644"/>
      <c r="G122" s="644"/>
      <c r="H122" s="627"/>
      <c r="I122" s="622" t="s">
        <v>365</v>
      </c>
      <c r="J122" s="607"/>
      <c r="K122" s="641"/>
      <c r="L122" s="628"/>
      <c r="M122" s="626"/>
      <c r="N122" s="619"/>
      <c r="O122" s="560"/>
      <c r="P122" s="47"/>
      <c r="Q122" s="47"/>
      <c r="S122" s="572"/>
      <c r="U122" s="573"/>
      <c r="V122" s="574"/>
      <c r="W122" s="618"/>
      <c r="X122" s="576">
        <v>0.0</v>
      </c>
      <c r="Y122" s="630">
        <v>0.0</v>
      </c>
      <c r="Z122" s="630" t="s">
        <v>365</v>
      </c>
      <c r="AA122" s="631" t="b">
        <v>0</v>
      </c>
      <c r="AB122" s="631"/>
      <c r="AC122" s="576"/>
      <c r="AD122" s="479">
        <v>0.0</v>
      </c>
      <c r="AE122" s="632"/>
      <c r="AF122" s="582" t="s">
        <v>365</v>
      </c>
      <c r="AG122" s="583"/>
      <c r="AH122" s="584"/>
      <c r="AI122" s="583"/>
      <c r="AJ122" s="585"/>
      <c r="AK122" s="583"/>
      <c r="AL122" s="584"/>
      <c r="AM122" s="583"/>
      <c r="AN122" s="585"/>
      <c r="AO122" s="583"/>
      <c r="AP122" s="584"/>
      <c r="AQ122" s="583"/>
      <c r="AR122" s="585"/>
      <c r="AS122" s="583"/>
      <c r="AT122" s="584"/>
      <c r="AU122" s="583"/>
      <c r="AV122" s="585"/>
      <c r="AW122" s="583"/>
      <c r="AX122" s="584"/>
      <c r="AY122" s="583"/>
      <c r="AZ122" s="585"/>
      <c r="BA122" s="583"/>
      <c r="BB122" s="584"/>
      <c r="BC122" s="583"/>
      <c r="BD122" s="585"/>
      <c r="BE122" s="583"/>
      <c r="BF122" s="584"/>
      <c r="BG122" s="583"/>
      <c r="BH122" s="585"/>
      <c r="BI122" s="583"/>
      <c r="BJ122" s="584"/>
      <c r="BK122" s="583"/>
      <c r="BL122" s="585"/>
      <c r="BM122" s="583"/>
      <c r="BN122" s="584"/>
      <c r="BO122" s="583"/>
      <c r="BP122" s="585"/>
      <c r="BQ122" s="583"/>
      <c r="BR122" s="584"/>
      <c r="BS122" s="583"/>
      <c r="BT122" s="586"/>
      <c r="BU122" s="540"/>
      <c r="BV122" s="540"/>
      <c r="BW122" s="540"/>
      <c r="BX122" s="538"/>
      <c r="BY122" s="538"/>
      <c r="BZ122" s="592"/>
      <c r="CA122" s="633"/>
      <c r="CB122" s="592" t="s">
        <v>365</v>
      </c>
      <c r="CC122" s="592">
        <v>0.0</v>
      </c>
      <c r="CD122" s="592" t="s">
        <v>365</v>
      </c>
      <c r="CE122" s="592">
        <v>0.0</v>
      </c>
      <c r="CF122" s="592"/>
      <c r="CG122" s="592">
        <v>0.0</v>
      </c>
      <c r="CH122" s="592"/>
      <c r="CI122" s="633"/>
      <c r="CJ122" s="592">
        <v>0.0</v>
      </c>
      <c r="CK122" s="479" t="s">
        <v>365</v>
      </c>
      <c r="CL122" s="592"/>
      <c r="CM122" s="593"/>
      <c r="CN122" s="538"/>
      <c r="CO122" s="538"/>
      <c r="CP122" s="538"/>
      <c r="CQ122" s="538"/>
      <c r="CR122" s="538"/>
      <c r="CS122" s="538"/>
      <c r="CT122" s="538"/>
      <c r="CU122" s="538"/>
      <c r="CV122" s="538"/>
      <c r="CW122" s="538"/>
      <c r="CX122" s="538"/>
      <c r="CY122" s="538"/>
      <c r="CZ122" s="538"/>
      <c r="DA122" s="538"/>
      <c r="DB122" s="538"/>
      <c r="DC122" s="538"/>
      <c r="DD122" s="538"/>
      <c r="DE122" s="538"/>
      <c r="DF122" s="538"/>
      <c r="DG122" s="538"/>
      <c r="DH122" s="538"/>
      <c r="DI122" s="538"/>
      <c r="DJ122" s="538"/>
      <c r="DK122" s="538"/>
      <c r="DL122" s="538"/>
      <c r="DM122" s="538"/>
      <c r="DN122" s="538"/>
      <c r="DO122" s="538"/>
      <c r="DP122" s="538"/>
      <c r="DQ122" s="538"/>
      <c r="DR122" s="538"/>
      <c r="DS122" s="538"/>
      <c r="DT122" s="538"/>
      <c r="DU122" s="538"/>
      <c r="DV122" s="538"/>
      <c r="DW122" s="538"/>
      <c r="DX122" s="538"/>
      <c r="DY122" s="538"/>
      <c r="DZ122" s="538"/>
      <c r="EA122" s="538"/>
      <c r="EB122" s="538"/>
      <c r="EC122" s="538"/>
      <c r="ED122" s="538"/>
      <c r="EE122" s="538"/>
      <c r="EF122" s="538"/>
      <c r="EG122" s="538"/>
      <c r="EH122" s="538"/>
      <c r="EI122" s="538"/>
      <c r="EJ122" s="538"/>
      <c r="EK122" s="538"/>
      <c r="EL122" s="538"/>
      <c r="EM122" s="538"/>
      <c r="EN122" s="538"/>
      <c r="EO122" s="538"/>
      <c r="EP122" s="538"/>
      <c r="EQ122" s="538"/>
      <c r="ER122" s="538"/>
      <c r="ES122" s="538"/>
      <c r="ET122" s="538"/>
      <c r="EU122" s="538"/>
      <c r="EV122" s="538"/>
      <c r="EW122" s="538"/>
      <c r="EX122" s="559"/>
      <c r="EY122" s="559"/>
      <c r="EZ122" s="559"/>
      <c r="FA122" s="559"/>
      <c r="FB122" s="559"/>
      <c r="FC122" s="559"/>
      <c r="FD122" s="559"/>
      <c r="FE122" s="559"/>
      <c r="FF122" s="559"/>
      <c r="FG122" s="559"/>
      <c r="FH122" s="559"/>
      <c r="FI122" s="559"/>
      <c r="FJ122" s="559"/>
      <c r="FK122" s="559"/>
      <c r="FL122" s="559"/>
      <c r="FM122" s="559"/>
      <c r="FN122" s="559"/>
      <c r="FO122" s="559"/>
      <c r="FP122" s="559"/>
      <c r="FQ122" s="559"/>
      <c r="FR122" s="559"/>
      <c r="FS122" s="559"/>
      <c r="FT122" s="559"/>
      <c r="FU122" s="559"/>
      <c r="FV122" s="559"/>
      <c r="FW122" s="559"/>
      <c r="FX122" s="559"/>
      <c r="FY122" s="559"/>
      <c r="FZ122" s="559"/>
      <c r="GA122" s="559"/>
      <c r="GB122" s="559"/>
      <c r="GC122" s="559"/>
      <c r="GD122" s="559"/>
      <c r="GE122" s="559"/>
      <c r="GF122" s="559"/>
      <c r="GG122" s="559"/>
      <c r="GH122" s="559"/>
    </row>
    <row r="123">
      <c r="A123" s="538"/>
      <c r="B123" s="156"/>
      <c r="C123" s="444"/>
      <c r="D123" s="614"/>
      <c r="E123" s="66"/>
      <c r="F123" s="642"/>
      <c r="G123" s="642"/>
      <c r="H123" s="615"/>
      <c r="I123" s="616" t="s">
        <v>365</v>
      </c>
      <c r="J123" s="624"/>
      <c r="K123" s="643"/>
      <c r="L123" s="640"/>
      <c r="M123" s="625"/>
      <c r="N123" s="617"/>
      <c r="O123" s="134"/>
      <c r="P123" s="57"/>
      <c r="Q123" s="57"/>
      <c r="S123" s="605"/>
      <c r="U123" s="573"/>
      <c r="V123" s="574"/>
      <c r="W123" s="618"/>
      <c r="X123" s="576">
        <v>0.0</v>
      </c>
      <c r="Y123" s="630">
        <v>0.0</v>
      </c>
      <c r="Z123" s="630" t="s">
        <v>365</v>
      </c>
      <c r="AA123" s="631" t="b">
        <v>0</v>
      </c>
      <c r="AB123" s="631"/>
      <c r="AC123" s="576"/>
      <c r="AD123" s="479">
        <v>0.0</v>
      </c>
      <c r="AE123" s="632"/>
      <c r="AF123" s="582" t="s">
        <v>365</v>
      </c>
      <c r="AG123" s="583"/>
      <c r="AH123" s="584"/>
      <c r="AI123" s="583"/>
      <c r="AJ123" s="585"/>
      <c r="AK123" s="583"/>
      <c r="AL123" s="584"/>
      <c r="AM123" s="583"/>
      <c r="AN123" s="585"/>
      <c r="AO123" s="583"/>
      <c r="AP123" s="584"/>
      <c r="AQ123" s="583"/>
      <c r="AR123" s="585"/>
      <c r="AS123" s="583"/>
      <c r="AT123" s="584"/>
      <c r="AU123" s="583"/>
      <c r="AV123" s="585"/>
      <c r="AW123" s="583"/>
      <c r="AX123" s="584"/>
      <c r="AY123" s="583"/>
      <c r="AZ123" s="585"/>
      <c r="BA123" s="583"/>
      <c r="BB123" s="584"/>
      <c r="BC123" s="583"/>
      <c r="BD123" s="585"/>
      <c r="BE123" s="583"/>
      <c r="BF123" s="584"/>
      <c r="BG123" s="583"/>
      <c r="BH123" s="585"/>
      <c r="BI123" s="583"/>
      <c r="BJ123" s="584"/>
      <c r="BK123" s="583"/>
      <c r="BL123" s="585"/>
      <c r="BM123" s="583"/>
      <c r="BN123" s="584"/>
      <c r="BO123" s="583"/>
      <c r="BP123" s="585"/>
      <c r="BQ123" s="583"/>
      <c r="BR123" s="584"/>
      <c r="BS123" s="583"/>
      <c r="BT123" s="586"/>
      <c r="BU123" s="540"/>
      <c r="BV123" s="540"/>
      <c r="BW123" s="540"/>
      <c r="BX123" s="538"/>
      <c r="BY123" s="538"/>
      <c r="BZ123" s="592"/>
      <c r="CA123" s="633"/>
      <c r="CB123" s="592" t="s">
        <v>365</v>
      </c>
      <c r="CC123" s="592">
        <v>0.0</v>
      </c>
      <c r="CD123" s="592" t="s">
        <v>365</v>
      </c>
      <c r="CE123" s="592">
        <v>0.0</v>
      </c>
      <c r="CF123" s="592"/>
      <c r="CG123" s="592">
        <v>0.0</v>
      </c>
      <c r="CH123" s="592"/>
      <c r="CI123" s="633"/>
      <c r="CJ123" s="592">
        <v>0.0</v>
      </c>
      <c r="CK123" s="479" t="s">
        <v>365</v>
      </c>
      <c r="CL123" s="592"/>
      <c r="CM123" s="593"/>
      <c r="CN123" s="538"/>
      <c r="CO123" s="538"/>
      <c r="CP123" s="538"/>
      <c r="CQ123" s="538"/>
      <c r="CR123" s="538"/>
      <c r="CS123" s="538"/>
      <c r="CT123" s="538"/>
      <c r="CU123" s="538"/>
      <c r="CV123" s="538"/>
      <c r="CW123" s="538"/>
      <c r="CX123" s="538"/>
      <c r="CY123" s="538"/>
      <c r="CZ123" s="538"/>
      <c r="DA123" s="538"/>
      <c r="DB123" s="538"/>
      <c r="DC123" s="538"/>
      <c r="DD123" s="538"/>
      <c r="DE123" s="538"/>
      <c r="DF123" s="538"/>
      <c r="DG123" s="538"/>
      <c r="DH123" s="538"/>
      <c r="DI123" s="538"/>
      <c r="DJ123" s="538"/>
      <c r="DK123" s="538"/>
      <c r="DL123" s="538"/>
      <c r="DM123" s="538"/>
      <c r="DN123" s="538"/>
      <c r="DO123" s="538"/>
      <c r="DP123" s="538"/>
      <c r="DQ123" s="538"/>
      <c r="DR123" s="538"/>
      <c r="DS123" s="538"/>
      <c r="DT123" s="538"/>
      <c r="DU123" s="538"/>
      <c r="DV123" s="538"/>
      <c r="DW123" s="538"/>
      <c r="DX123" s="538"/>
      <c r="DY123" s="538"/>
      <c r="DZ123" s="538"/>
      <c r="EA123" s="538"/>
      <c r="EB123" s="538"/>
      <c r="EC123" s="538"/>
      <c r="ED123" s="538"/>
      <c r="EE123" s="538"/>
      <c r="EF123" s="538"/>
      <c r="EG123" s="538"/>
      <c r="EH123" s="538"/>
      <c r="EI123" s="538"/>
      <c r="EJ123" s="538"/>
      <c r="EK123" s="538"/>
      <c r="EL123" s="538"/>
      <c r="EM123" s="538"/>
      <c r="EN123" s="538"/>
      <c r="EO123" s="538"/>
      <c r="EP123" s="538"/>
      <c r="EQ123" s="538"/>
      <c r="ER123" s="538"/>
      <c r="ES123" s="538"/>
      <c r="ET123" s="538"/>
      <c r="EU123" s="538"/>
      <c r="EV123" s="538"/>
      <c r="EW123" s="538"/>
      <c r="EX123" s="559"/>
      <c r="EY123" s="559"/>
      <c r="EZ123" s="559"/>
      <c r="FA123" s="559"/>
      <c r="FB123" s="559"/>
      <c r="FC123" s="559"/>
      <c r="FD123" s="559"/>
      <c r="FE123" s="559"/>
      <c r="FF123" s="559"/>
      <c r="FG123" s="559"/>
      <c r="FH123" s="559"/>
      <c r="FI123" s="559"/>
      <c r="FJ123" s="559"/>
      <c r="FK123" s="559"/>
      <c r="FL123" s="559"/>
      <c r="FM123" s="559"/>
      <c r="FN123" s="559"/>
      <c r="FO123" s="559"/>
      <c r="FP123" s="559"/>
      <c r="FQ123" s="559"/>
      <c r="FR123" s="559"/>
      <c r="FS123" s="559"/>
      <c r="FT123" s="559"/>
      <c r="FU123" s="559"/>
      <c r="FV123" s="559"/>
      <c r="FW123" s="559"/>
      <c r="FX123" s="559"/>
      <c r="FY123" s="559"/>
      <c r="FZ123" s="559"/>
      <c r="GA123" s="559"/>
      <c r="GB123" s="559"/>
      <c r="GC123" s="559"/>
      <c r="GD123" s="559"/>
      <c r="GE123" s="559"/>
      <c r="GF123" s="559"/>
      <c r="GG123" s="559"/>
      <c r="GH123" s="559"/>
    </row>
    <row r="124">
      <c r="A124" s="538"/>
      <c r="B124" s="156"/>
      <c r="C124" s="444"/>
      <c r="D124" s="614"/>
      <c r="E124" s="68"/>
      <c r="F124" s="644"/>
      <c r="G124" s="644"/>
      <c r="H124" s="627"/>
      <c r="I124" s="622" t="s">
        <v>365</v>
      </c>
      <c r="J124" s="607"/>
      <c r="K124" s="641"/>
      <c r="L124" s="628"/>
      <c r="M124" s="626"/>
      <c r="N124" s="619"/>
      <c r="O124" s="560"/>
      <c r="P124" s="47"/>
      <c r="Q124" s="47"/>
      <c r="S124" s="572"/>
      <c r="U124" s="573"/>
      <c r="V124" s="574"/>
      <c r="W124" s="618"/>
      <c r="X124" s="576">
        <v>0.0</v>
      </c>
      <c r="Y124" s="630">
        <v>0.0</v>
      </c>
      <c r="Z124" s="630" t="s">
        <v>365</v>
      </c>
      <c r="AA124" s="631" t="b">
        <v>0</v>
      </c>
      <c r="AB124" s="631"/>
      <c r="AC124" s="576"/>
      <c r="AD124" s="479">
        <v>0.0</v>
      </c>
      <c r="AE124" s="632"/>
      <c r="AF124" s="582" t="s">
        <v>365</v>
      </c>
      <c r="AG124" s="583"/>
      <c r="AH124" s="584"/>
      <c r="AI124" s="583"/>
      <c r="AJ124" s="585"/>
      <c r="AK124" s="583"/>
      <c r="AL124" s="584"/>
      <c r="AM124" s="583"/>
      <c r="AN124" s="585"/>
      <c r="AO124" s="583"/>
      <c r="AP124" s="584"/>
      <c r="AQ124" s="583"/>
      <c r="AR124" s="585"/>
      <c r="AS124" s="583"/>
      <c r="AT124" s="584"/>
      <c r="AU124" s="583"/>
      <c r="AV124" s="585"/>
      <c r="AW124" s="583"/>
      <c r="AX124" s="584"/>
      <c r="AY124" s="583"/>
      <c r="AZ124" s="585"/>
      <c r="BA124" s="583"/>
      <c r="BB124" s="584"/>
      <c r="BC124" s="583"/>
      <c r="BD124" s="585"/>
      <c r="BE124" s="583"/>
      <c r="BF124" s="584"/>
      <c r="BG124" s="583"/>
      <c r="BH124" s="585"/>
      <c r="BI124" s="583"/>
      <c r="BJ124" s="584"/>
      <c r="BK124" s="583"/>
      <c r="BL124" s="585"/>
      <c r="BM124" s="583"/>
      <c r="BN124" s="584"/>
      <c r="BO124" s="583"/>
      <c r="BP124" s="585"/>
      <c r="BQ124" s="583"/>
      <c r="BR124" s="584"/>
      <c r="BS124" s="583"/>
      <c r="BT124" s="586"/>
      <c r="BU124" s="540"/>
      <c r="BV124" s="540"/>
      <c r="BW124" s="540"/>
      <c r="BX124" s="538"/>
      <c r="BY124" s="538"/>
      <c r="BZ124" s="592"/>
      <c r="CA124" s="633"/>
      <c r="CB124" s="592" t="s">
        <v>365</v>
      </c>
      <c r="CC124" s="592">
        <v>0.0</v>
      </c>
      <c r="CD124" s="592" t="s">
        <v>365</v>
      </c>
      <c r="CE124" s="592">
        <v>0.0</v>
      </c>
      <c r="CF124" s="592"/>
      <c r="CG124" s="592">
        <v>0.0</v>
      </c>
      <c r="CH124" s="592"/>
      <c r="CI124" s="633"/>
      <c r="CJ124" s="592">
        <v>0.0</v>
      </c>
      <c r="CK124" s="479" t="s">
        <v>365</v>
      </c>
      <c r="CL124" s="592"/>
      <c r="CM124" s="593"/>
      <c r="CN124" s="538"/>
      <c r="CO124" s="538"/>
      <c r="CP124" s="538"/>
      <c r="CQ124" s="538"/>
      <c r="CR124" s="538"/>
      <c r="CS124" s="538"/>
      <c r="CT124" s="538"/>
      <c r="CU124" s="538"/>
      <c r="CV124" s="538"/>
      <c r="CW124" s="538"/>
      <c r="CX124" s="538"/>
      <c r="CY124" s="538"/>
      <c r="CZ124" s="538"/>
      <c r="DA124" s="538"/>
      <c r="DB124" s="538"/>
      <c r="DC124" s="538"/>
      <c r="DD124" s="538"/>
      <c r="DE124" s="538"/>
      <c r="DF124" s="538"/>
      <c r="DG124" s="538"/>
      <c r="DH124" s="538"/>
      <c r="DI124" s="538"/>
      <c r="DJ124" s="538"/>
      <c r="DK124" s="538"/>
      <c r="DL124" s="538"/>
      <c r="DM124" s="538"/>
      <c r="DN124" s="538"/>
      <c r="DO124" s="538"/>
      <c r="DP124" s="538"/>
      <c r="DQ124" s="538"/>
      <c r="DR124" s="538"/>
      <c r="DS124" s="538"/>
      <c r="DT124" s="538"/>
      <c r="DU124" s="538"/>
      <c r="DV124" s="538"/>
      <c r="DW124" s="538"/>
      <c r="DX124" s="538"/>
      <c r="DY124" s="538"/>
      <c r="DZ124" s="538"/>
      <c r="EA124" s="538"/>
      <c r="EB124" s="538"/>
      <c r="EC124" s="538"/>
      <c r="ED124" s="538"/>
      <c r="EE124" s="538"/>
      <c r="EF124" s="538"/>
      <c r="EG124" s="538"/>
      <c r="EH124" s="538"/>
      <c r="EI124" s="538"/>
      <c r="EJ124" s="538"/>
      <c r="EK124" s="538"/>
      <c r="EL124" s="538"/>
      <c r="EM124" s="538"/>
      <c r="EN124" s="538"/>
      <c r="EO124" s="538"/>
      <c r="EP124" s="538"/>
      <c r="EQ124" s="538"/>
      <c r="ER124" s="538"/>
      <c r="ES124" s="538"/>
      <c r="ET124" s="538"/>
      <c r="EU124" s="538"/>
      <c r="EV124" s="538"/>
      <c r="EW124" s="538"/>
      <c r="EX124" s="559"/>
      <c r="EY124" s="559"/>
      <c r="EZ124" s="559"/>
      <c r="FA124" s="559"/>
      <c r="FB124" s="559"/>
      <c r="FC124" s="559"/>
      <c r="FD124" s="559"/>
      <c r="FE124" s="559"/>
      <c r="FF124" s="559"/>
      <c r="FG124" s="559"/>
      <c r="FH124" s="559"/>
      <c r="FI124" s="559"/>
      <c r="FJ124" s="559"/>
      <c r="FK124" s="559"/>
      <c r="FL124" s="559"/>
      <c r="FM124" s="559"/>
      <c r="FN124" s="559"/>
      <c r="FO124" s="559"/>
      <c r="FP124" s="559"/>
      <c r="FQ124" s="559"/>
      <c r="FR124" s="559"/>
      <c r="FS124" s="559"/>
      <c r="FT124" s="559"/>
      <c r="FU124" s="559"/>
      <c r="FV124" s="559"/>
      <c r="FW124" s="559"/>
      <c r="FX124" s="559"/>
      <c r="FY124" s="559"/>
      <c r="FZ124" s="559"/>
      <c r="GA124" s="559"/>
      <c r="GB124" s="559"/>
      <c r="GC124" s="559"/>
      <c r="GD124" s="559"/>
      <c r="GE124" s="559"/>
      <c r="GF124" s="559"/>
      <c r="GG124" s="559"/>
      <c r="GH124" s="559"/>
    </row>
    <row r="125">
      <c r="A125" s="538"/>
      <c r="B125" s="156"/>
      <c r="C125" s="444"/>
      <c r="D125" s="614"/>
      <c r="E125" s="66"/>
      <c r="F125" s="642"/>
      <c r="G125" s="642"/>
      <c r="H125" s="615"/>
      <c r="I125" s="616" t="s">
        <v>365</v>
      </c>
      <c r="J125" s="624"/>
      <c r="K125" s="643"/>
      <c r="L125" s="640"/>
      <c r="M125" s="625"/>
      <c r="N125" s="617"/>
      <c r="O125" s="134"/>
      <c r="P125" s="57"/>
      <c r="Q125" s="57"/>
      <c r="S125" s="605"/>
      <c r="U125" s="573"/>
      <c r="V125" s="574"/>
      <c r="W125" s="618"/>
      <c r="X125" s="576">
        <v>0.0</v>
      </c>
      <c r="Y125" s="630">
        <v>0.0</v>
      </c>
      <c r="Z125" s="630" t="s">
        <v>365</v>
      </c>
      <c r="AA125" s="631" t="b">
        <v>0</v>
      </c>
      <c r="AB125" s="631"/>
      <c r="AC125" s="576"/>
      <c r="AD125" s="479">
        <v>0.0</v>
      </c>
      <c r="AE125" s="632"/>
      <c r="AF125" s="582" t="s">
        <v>365</v>
      </c>
      <c r="AG125" s="583"/>
      <c r="AH125" s="584"/>
      <c r="AI125" s="583"/>
      <c r="AJ125" s="585"/>
      <c r="AK125" s="583"/>
      <c r="AL125" s="584"/>
      <c r="AM125" s="583"/>
      <c r="AN125" s="585"/>
      <c r="AO125" s="583"/>
      <c r="AP125" s="584"/>
      <c r="AQ125" s="583"/>
      <c r="AR125" s="585"/>
      <c r="AS125" s="583"/>
      <c r="AT125" s="584"/>
      <c r="AU125" s="583"/>
      <c r="AV125" s="585"/>
      <c r="AW125" s="583"/>
      <c r="AX125" s="584"/>
      <c r="AY125" s="583"/>
      <c r="AZ125" s="585"/>
      <c r="BA125" s="583"/>
      <c r="BB125" s="584"/>
      <c r="BC125" s="583"/>
      <c r="BD125" s="585"/>
      <c r="BE125" s="583"/>
      <c r="BF125" s="584"/>
      <c r="BG125" s="583"/>
      <c r="BH125" s="585"/>
      <c r="BI125" s="583"/>
      <c r="BJ125" s="584"/>
      <c r="BK125" s="583"/>
      <c r="BL125" s="585"/>
      <c r="BM125" s="583"/>
      <c r="BN125" s="584"/>
      <c r="BO125" s="583"/>
      <c r="BP125" s="585"/>
      <c r="BQ125" s="583"/>
      <c r="BR125" s="584"/>
      <c r="BS125" s="583"/>
      <c r="BT125" s="586"/>
      <c r="BU125" s="540"/>
      <c r="BV125" s="540"/>
      <c r="BW125" s="540"/>
      <c r="BX125" s="538"/>
      <c r="BY125" s="538"/>
      <c r="BZ125" s="592"/>
      <c r="CA125" s="633"/>
      <c r="CB125" s="592" t="s">
        <v>365</v>
      </c>
      <c r="CC125" s="592">
        <v>0.0</v>
      </c>
      <c r="CD125" s="592" t="s">
        <v>365</v>
      </c>
      <c r="CE125" s="592">
        <v>0.0</v>
      </c>
      <c r="CF125" s="592"/>
      <c r="CG125" s="592">
        <v>0.0</v>
      </c>
      <c r="CH125" s="592"/>
      <c r="CI125" s="633"/>
      <c r="CJ125" s="592">
        <v>0.0</v>
      </c>
      <c r="CK125" s="479" t="s">
        <v>365</v>
      </c>
      <c r="CL125" s="592"/>
      <c r="CM125" s="593"/>
      <c r="CN125" s="538"/>
      <c r="CO125" s="538"/>
      <c r="CP125" s="538"/>
      <c r="CQ125" s="538"/>
      <c r="CR125" s="538"/>
      <c r="CS125" s="538"/>
      <c r="CT125" s="538"/>
      <c r="CU125" s="538"/>
      <c r="CV125" s="538"/>
      <c r="CW125" s="538"/>
      <c r="CX125" s="538"/>
      <c r="CY125" s="538"/>
      <c r="CZ125" s="538"/>
      <c r="DA125" s="538"/>
      <c r="DB125" s="538"/>
      <c r="DC125" s="538"/>
      <c r="DD125" s="538"/>
      <c r="DE125" s="538"/>
      <c r="DF125" s="538"/>
      <c r="DG125" s="538"/>
      <c r="DH125" s="538"/>
      <c r="DI125" s="538"/>
      <c r="DJ125" s="538"/>
      <c r="DK125" s="538"/>
      <c r="DL125" s="538"/>
      <c r="DM125" s="538"/>
      <c r="DN125" s="538"/>
      <c r="DO125" s="538"/>
      <c r="DP125" s="538"/>
      <c r="DQ125" s="538"/>
      <c r="DR125" s="538"/>
      <c r="DS125" s="538"/>
      <c r="DT125" s="538"/>
      <c r="DU125" s="538"/>
      <c r="DV125" s="538"/>
      <c r="DW125" s="538"/>
      <c r="DX125" s="538"/>
      <c r="DY125" s="538"/>
      <c r="DZ125" s="538"/>
      <c r="EA125" s="538"/>
      <c r="EB125" s="538"/>
      <c r="EC125" s="538"/>
      <c r="ED125" s="538"/>
      <c r="EE125" s="538"/>
      <c r="EF125" s="538"/>
      <c r="EG125" s="538"/>
      <c r="EH125" s="538"/>
      <c r="EI125" s="538"/>
      <c r="EJ125" s="538"/>
      <c r="EK125" s="538"/>
      <c r="EL125" s="538"/>
      <c r="EM125" s="538"/>
      <c r="EN125" s="538"/>
      <c r="EO125" s="538"/>
      <c r="EP125" s="538"/>
      <c r="EQ125" s="538"/>
      <c r="ER125" s="538"/>
      <c r="ES125" s="538"/>
      <c r="ET125" s="538"/>
      <c r="EU125" s="538"/>
      <c r="EV125" s="538"/>
      <c r="EW125" s="538"/>
      <c r="EX125" s="559"/>
      <c r="EY125" s="559"/>
      <c r="EZ125" s="559"/>
      <c r="FA125" s="559"/>
      <c r="FB125" s="559"/>
      <c r="FC125" s="559"/>
      <c r="FD125" s="559"/>
      <c r="FE125" s="559"/>
      <c r="FF125" s="559"/>
      <c r="FG125" s="559"/>
      <c r="FH125" s="559"/>
      <c r="FI125" s="559"/>
      <c r="FJ125" s="559"/>
      <c r="FK125" s="559"/>
      <c r="FL125" s="559"/>
      <c r="FM125" s="559"/>
      <c r="FN125" s="559"/>
      <c r="FO125" s="559"/>
      <c r="FP125" s="559"/>
      <c r="FQ125" s="559"/>
      <c r="FR125" s="559"/>
      <c r="FS125" s="559"/>
      <c r="FT125" s="559"/>
      <c r="FU125" s="559"/>
      <c r="FV125" s="559"/>
      <c r="FW125" s="559"/>
      <c r="FX125" s="559"/>
      <c r="FY125" s="559"/>
      <c r="FZ125" s="559"/>
      <c r="GA125" s="559"/>
      <c r="GB125" s="559"/>
      <c r="GC125" s="559"/>
      <c r="GD125" s="559"/>
      <c r="GE125" s="559"/>
      <c r="GF125" s="559"/>
      <c r="GG125" s="559"/>
      <c r="GH125" s="559"/>
    </row>
    <row r="126">
      <c r="A126" s="538"/>
      <c r="B126" s="156"/>
      <c r="C126" s="444"/>
      <c r="D126" s="614"/>
      <c r="E126" s="68"/>
      <c r="F126" s="644"/>
      <c r="G126" s="644"/>
      <c r="H126" s="627"/>
      <c r="I126" s="622" t="s">
        <v>365</v>
      </c>
      <c r="J126" s="607"/>
      <c r="K126" s="641"/>
      <c r="L126" s="628"/>
      <c r="M126" s="626"/>
      <c r="N126" s="619"/>
      <c r="O126" s="560"/>
      <c r="P126" s="47"/>
      <c r="Q126" s="47"/>
      <c r="S126" s="572"/>
      <c r="U126" s="573"/>
      <c r="V126" s="574"/>
      <c r="W126" s="618"/>
      <c r="X126" s="576">
        <v>0.0</v>
      </c>
      <c r="Y126" s="630">
        <v>0.0</v>
      </c>
      <c r="Z126" s="630" t="s">
        <v>365</v>
      </c>
      <c r="AA126" s="631" t="b">
        <v>0</v>
      </c>
      <c r="AB126" s="631"/>
      <c r="AC126" s="576"/>
      <c r="AD126" s="479">
        <v>0.0</v>
      </c>
      <c r="AE126" s="632"/>
      <c r="AF126" s="582" t="s">
        <v>365</v>
      </c>
      <c r="AG126" s="583"/>
      <c r="AH126" s="584"/>
      <c r="AI126" s="583"/>
      <c r="AJ126" s="585"/>
      <c r="AK126" s="583"/>
      <c r="AL126" s="584"/>
      <c r="AM126" s="583"/>
      <c r="AN126" s="585"/>
      <c r="AO126" s="583"/>
      <c r="AP126" s="584"/>
      <c r="AQ126" s="583"/>
      <c r="AR126" s="585"/>
      <c r="AS126" s="583"/>
      <c r="AT126" s="584"/>
      <c r="AU126" s="583"/>
      <c r="AV126" s="585"/>
      <c r="AW126" s="583"/>
      <c r="AX126" s="584"/>
      <c r="AY126" s="583"/>
      <c r="AZ126" s="585"/>
      <c r="BA126" s="583"/>
      <c r="BB126" s="584"/>
      <c r="BC126" s="583"/>
      <c r="BD126" s="585"/>
      <c r="BE126" s="583"/>
      <c r="BF126" s="584"/>
      <c r="BG126" s="583"/>
      <c r="BH126" s="585"/>
      <c r="BI126" s="583"/>
      <c r="BJ126" s="584"/>
      <c r="BK126" s="583"/>
      <c r="BL126" s="585"/>
      <c r="BM126" s="583"/>
      <c r="BN126" s="584"/>
      <c r="BO126" s="583"/>
      <c r="BP126" s="585"/>
      <c r="BQ126" s="583"/>
      <c r="BR126" s="584"/>
      <c r="BS126" s="583"/>
      <c r="BT126" s="586"/>
      <c r="BU126" s="540"/>
      <c r="BV126" s="540"/>
      <c r="BW126" s="540"/>
      <c r="BX126" s="538"/>
      <c r="BY126" s="538"/>
      <c r="BZ126" s="592"/>
      <c r="CA126" s="633"/>
      <c r="CB126" s="592" t="s">
        <v>365</v>
      </c>
      <c r="CC126" s="592">
        <v>0.0</v>
      </c>
      <c r="CD126" s="592" t="s">
        <v>365</v>
      </c>
      <c r="CE126" s="592">
        <v>0.0</v>
      </c>
      <c r="CF126" s="592"/>
      <c r="CG126" s="592">
        <v>0.0</v>
      </c>
      <c r="CH126" s="592"/>
      <c r="CI126" s="633"/>
      <c r="CJ126" s="592">
        <v>0.0</v>
      </c>
      <c r="CK126" s="479" t="s">
        <v>365</v>
      </c>
      <c r="CL126" s="592"/>
      <c r="CM126" s="593"/>
      <c r="CN126" s="538"/>
      <c r="CO126" s="538"/>
      <c r="CP126" s="538"/>
      <c r="CQ126" s="538"/>
      <c r="CR126" s="538"/>
      <c r="CS126" s="538"/>
      <c r="CT126" s="538"/>
      <c r="CU126" s="538"/>
      <c r="CV126" s="538"/>
      <c r="CW126" s="538"/>
      <c r="CX126" s="538"/>
      <c r="CY126" s="538"/>
      <c r="CZ126" s="538"/>
      <c r="DA126" s="538"/>
      <c r="DB126" s="538"/>
      <c r="DC126" s="538"/>
      <c r="DD126" s="538"/>
      <c r="DE126" s="538"/>
      <c r="DF126" s="538"/>
      <c r="DG126" s="538"/>
      <c r="DH126" s="538"/>
      <c r="DI126" s="538"/>
      <c r="DJ126" s="538"/>
      <c r="DK126" s="538"/>
      <c r="DL126" s="538"/>
      <c r="DM126" s="538"/>
      <c r="DN126" s="538"/>
      <c r="DO126" s="538"/>
      <c r="DP126" s="538"/>
      <c r="DQ126" s="538"/>
      <c r="DR126" s="538"/>
      <c r="DS126" s="538"/>
      <c r="DT126" s="538"/>
      <c r="DU126" s="538"/>
      <c r="DV126" s="538"/>
      <c r="DW126" s="538"/>
      <c r="DX126" s="538"/>
      <c r="DY126" s="538"/>
      <c r="DZ126" s="538"/>
      <c r="EA126" s="538"/>
      <c r="EB126" s="538"/>
      <c r="EC126" s="538"/>
      <c r="ED126" s="538"/>
      <c r="EE126" s="538"/>
      <c r="EF126" s="538"/>
      <c r="EG126" s="538"/>
      <c r="EH126" s="538"/>
      <c r="EI126" s="538"/>
      <c r="EJ126" s="538"/>
      <c r="EK126" s="538"/>
      <c r="EL126" s="538"/>
      <c r="EM126" s="538"/>
      <c r="EN126" s="538"/>
      <c r="EO126" s="538"/>
      <c r="EP126" s="538"/>
      <c r="EQ126" s="538"/>
      <c r="ER126" s="538"/>
      <c r="ES126" s="538"/>
      <c r="ET126" s="538"/>
      <c r="EU126" s="538"/>
      <c r="EV126" s="538"/>
      <c r="EW126" s="538"/>
      <c r="EX126" s="559"/>
      <c r="EY126" s="559"/>
      <c r="EZ126" s="559"/>
      <c r="FA126" s="559"/>
      <c r="FB126" s="559"/>
      <c r="FC126" s="559"/>
      <c r="FD126" s="559"/>
      <c r="FE126" s="559"/>
      <c r="FF126" s="559"/>
      <c r="FG126" s="559"/>
      <c r="FH126" s="559"/>
      <c r="FI126" s="559"/>
      <c r="FJ126" s="559"/>
      <c r="FK126" s="559"/>
      <c r="FL126" s="559"/>
      <c r="FM126" s="559"/>
      <c r="FN126" s="559"/>
      <c r="FO126" s="559"/>
      <c r="FP126" s="559"/>
      <c r="FQ126" s="559"/>
      <c r="FR126" s="559"/>
      <c r="FS126" s="559"/>
      <c r="FT126" s="559"/>
      <c r="FU126" s="559"/>
      <c r="FV126" s="559"/>
      <c r="FW126" s="559"/>
      <c r="FX126" s="559"/>
      <c r="FY126" s="559"/>
      <c r="FZ126" s="559"/>
      <c r="GA126" s="559"/>
      <c r="GB126" s="559"/>
      <c r="GC126" s="559"/>
      <c r="GD126" s="559"/>
      <c r="GE126" s="559"/>
      <c r="GF126" s="559"/>
      <c r="GG126" s="559"/>
      <c r="GH126" s="559"/>
    </row>
    <row r="127">
      <c r="A127" s="538"/>
      <c r="B127" s="156"/>
      <c r="C127" s="444"/>
      <c r="D127" s="614"/>
      <c r="E127" s="66"/>
      <c r="F127" s="642"/>
      <c r="G127" s="642"/>
      <c r="H127" s="615"/>
      <c r="I127" s="616" t="s">
        <v>365</v>
      </c>
      <c r="J127" s="624"/>
      <c r="K127" s="643"/>
      <c r="L127" s="640"/>
      <c r="M127" s="625"/>
      <c r="N127" s="617"/>
      <c r="O127" s="134"/>
      <c r="P127" s="57"/>
      <c r="Q127" s="57"/>
      <c r="S127" s="605"/>
      <c r="U127" s="573"/>
      <c r="V127" s="574"/>
      <c r="W127" s="618"/>
      <c r="X127" s="576">
        <v>0.0</v>
      </c>
      <c r="Y127" s="630">
        <v>0.0</v>
      </c>
      <c r="Z127" s="630" t="s">
        <v>365</v>
      </c>
      <c r="AA127" s="631" t="b">
        <v>0</v>
      </c>
      <c r="AB127" s="631"/>
      <c r="AC127" s="576"/>
      <c r="AD127" s="479">
        <v>0.0</v>
      </c>
      <c r="AE127" s="632"/>
      <c r="AF127" s="582" t="s">
        <v>365</v>
      </c>
      <c r="AG127" s="583"/>
      <c r="AH127" s="584"/>
      <c r="AI127" s="583"/>
      <c r="AJ127" s="585"/>
      <c r="AK127" s="583"/>
      <c r="AL127" s="584"/>
      <c r="AM127" s="583"/>
      <c r="AN127" s="585"/>
      <c r="AO127" s="583"/>
      <c r="AP127" s="584"/>
      <c r="AQ127" s="583"/>
      <c r="AR127" s="585"/>
      <c r="AS127" s="583"/>
      <c r="AT127" s="584"/>
      <c r="AU127" s="583"/>
      <c r="AV127" s="585"/>
      <c r="AW127" s="583"/>
      <c r="AX127" s="584"/>
      <c r="AY127" s="583"/>
      <c r="AZ127" s="585"/>
      <c r="BA127" s="583"/>
      <c r="BB127" s="584"/>
      <c r="BC127" s="583"/>
      <c r="BD127" s="585"/>
      <c r="BE127" s="583"/>
      <c r="BF127" s="584"/>
      <c r="BG127" s="583"/>
      <c r="BH127" s="585"/>
      <c r="BI127" s="583"/>
      <c r="BJ127" s="584"/>
      <c r="BK127" s="583"/>
      <c r="BL127" s="585"/>
      <c r="BM127" s="583"/>
      <c r="BN127" s="584"/>
      <c r="BO127" s="583"/>
      <c r="BP127" s="585"/>
      <c r="BQ127" s="583"/>
      <c r="BR127" s="584"/>
      <c r="BS127" s="583"/>
      <c r="BT127" s="586"/>
      <c r="BU127" s="540"/>
      <c r="BV127" s="540"/>
      <c r="BW127" s="540"/>
      <c r="BX127" s="538"/>
      <c r="BY127" s="538"/>
      <c r="BZ127" s="592"/>
      <c r="CA127" s="633"/>
      <c r="CB127" s="592" t="s">
        <v>365</v>
      </c>
      <c r="CC127" s="592">
        <v>0.0</v>
      </c>
      <c r="CD127" s="592" t="s">
        <v>365</v>
      </c>
      <c r="CE127" s="592">
        <v>0.0</v>
      </c>
      <c r="CF127" s="592"/>
      <c r="CG127" s="592">
        <v>0.0</v>
      </c>
      <c r="CH127" s="592"/>
      <c r="CI127" s="633"/>
      <c r="CJ127" s="592">
        <v>0.0</v>
      </c>
      <c r="CK127" s="479" t="s">
        <v>365</v>
      </c>
      <c r="CL127" s="592"/>
      <c r="CM127" s="593"/>
      <c r="CN127" s="538"/>
      <c r="CO127" s="538"/>
      <c r="CP127" s="538"/>
      <c r="CQ127" s="538"/>
      <c r="CR127" s="538"/>
      <c r="CS127" s="538"/>
      <c r="CT127" s="538"/>
      <c r="CU127" s="538"/>
      <c r="CV127" s="538"/>
      <c r="CW127" s="538"/>
      <c r="CX127" s="538"/>
      <c r="CY127" s="538"/>
      <c r="CZ127" s="538"/>
      <c r="DA127" s="538"/>
      <c r="DB127" s="538"/>
      <c r="DC127" s="538"/>
      <c r="DD127" s="538"/>
      <c r="DE127" s="538"/>
      <c r="DF127" s="538"/>
      <c r="DG127" s="538"/>
      <c r="DH127" s="538"/>
      <c r="DI127" s="538"/>
      <c r="DJ127" s="538"/>
      <c r="DK127" s="538"/>
      <c r="DL127" s="538"/>
      <c r="DM127" s="538"/>
      <c r="DN127" s="538"/>
      <c r="DO127" s="538"/>
      <c r="DP127" s="538"/>
      <c r="DQ127" s="538"/>
      <c r="DR127" s="538"/>
      <c r="DS127" s="538"/>
      <c r="DT127" s="538"/>
      <c r="DU127" s="538"/>
      <c r="DV127" s="538"/>
      <c r="DW127" s="538"/>
      <c r="DX127" s="538"/>
      <c r="DY127" s="538"/>
      <c r="DZ127" s="538"/>
      <c r="EA127" s="538"/>
      <c r="EB127" s="538"/>
      <c r="EC127" s="538"/>
      <c r="ED127" s="538"/>
      <c r="EE127" s="538"/>
      <c r="EF127" s="538"/>
      <c r="EG127" s="538"/>
      <c r="EH127" s="538"/>
      <c r="EI127" s="538"/>
      <c r="EJ127" s="538"/>
      <c r="EK127" s="538"/>
      <c r="EL127" s="538"/>
      <c r="EM127" s="538"/>
      <c r="EN127" s="538"/>
      <c r="EO127" s="538"/>
      <c r="EP127" s="538"/>
      <c r="EQ127" s="538"/>
      <c r="ER127" s="538"/>
      <c r="ES127" s="538"/>
      <c r="ET127" s="538"/>
      <c r="EU127" s="538"/>
      <c r="EV127" s="538"/>
      <c r="EW127" s="538"/>
      <c r="EX127" s="559"/>
      <c r="EY127" s="559"/>
      <c r="EZ127" s="559"/>
      <c r="FA127" s="559"/>
      <c r="FB127" s="559"/>
      <c r="FC127" s="559"/>
      <c r="FD127" s="559"/>
      <c r="FE127" s="559"/>
      <c r="FF127" s="559"/>
      <c r="FG127" s="559"/>
      <c r="FH127" s="559"/>
      <c r="FI127" s="559"/>
      <c r="FJ127" s="559"/>
      <c r="FK127" s="559"/>
      <c r="FL127" s="559"/>
      <c r="FM127" s="559"/>
      <c r="FN127" s="559"/>
      <c r="FO127" s="559"/>
      <c r="FP127" s="559"/>
      <c r="FQ127" s="559"/>
      <c r="FR127" s="559"/>
      <c r="FS127" s="559"/>
      <c r="FT127" s="559"/>
      <c r="FU127" s="559"/>
      <c r="FV127" s="559"/>
      <c r="FW127" s="559"/>
      <c r="FX127" s="559"/>
      <c r="FY127" s="559"/>
      <c r="FZ127" s="559"/>
      <c r="GA127" s="559"/>
      <c r="GB127" s="559"/>
      <c r="GC127" s="559"/>
      <c r="GD127" s="559"/>
      <c r="GE127" s="559"/>
      <c r="GF127" s="559"/>
      <c r="GG127" s="559"/>
      <c r="GH127" s="559"/>
    </row>
    <row r="128">
      <c r="A128" s="538"/>
      <c r="B128" s="156"/>
      <c r="C128" s="444"/>
      <c r="D128" s="614"/>
      <c r="E128" s="68"/>
      <c r="F128" s="644"/>
      <c r="G128" s="644"/>
      <c r="H128" s="627"/>
      <c r="I128" s="622" t="s">
        <v>365</v>
      </c>
      <c r="J128" s="607"/>
      <c r="K128" s="641"/>
      <c r="L128" s="628"/>
      <c r="M128" s="626"/>
      <c r="N128" s="619"/>
      <c r="O128" s="560"/>
      <c r="P128" s="47"/>
      <c r="Q128" s="47"/>
      <c r="S128" s="572"/>
      <c r="U128" s="573"/>
      <c r="V128" s="574"/>
      <c r="W128" s="618"/>
      <c r="X128" s="576">
        <v>0.0</v>
      </c>
      <c r="Y128" s="630">
        <v>0.0</v>
      </c>
      <c r="Z128" s="630" t="s">
        <v>365</v>
      </c>
      <c r="AA128" s="631" t="b">
        <v>0</v>
      </c>
      <c r="AB128" s="631"/>
      <c r="AC128" s="576"/>
      <c r="AD128" s="479">
        <v>0.0</v>
      </c>
      <c r="AE128" s="632"/>
      <c r="AF128" s="582" t="s">
        <v>365</v>
      </c>
      <c r="AG128" s="583"/>
      <c r="AH128" s="584"/>
      <c r="AI128" s="583"/>
      <c r="AJ128" s="585"/>
      <c r="AK128" s="583"/>
      <c r="AL128" s="584"/>
      <c r="AM128" s="583"/>
      <c r="AN128" s="585"/>
      <c r="AO128" s="583"/>
      <c r="AP128" s="584"/>
      <c r="AQ128" s="583"/>
      <c r="AR128" s="585"/>
      <c r="AS128" s="583"/>
      <c r="AT128" s="584"/>
      <c r="AU128" s="583"/>
      <c r="AV128" s="585"/>
      <c r="AW128" s="583"/>
      <c r="AX128" s="584"/>
      <c r="AY128" s="583"/>
      <c r="AZ128" s="585"/>
      <c r="BA128" s="583"/>
      <c r="BB128" s="584"/>
      <c r="BC128" s="583"/>
      <c r="BD128" s="585"/>
      <c r="BE128" s="583"/>
      <c r="BF128" s="584"/>
      <c r="BG128" s="583"/>
      <c r="BH128" s="585"/>
      <c r="BI128" s="583"/>
      <c r="BJ128" s="584"/>
      <c r="BK128" s="583"/>
      <c r="BL128" s="585"/>
      <c r="BM128" s="583"/>
      <c r="BN128" s="584"/>
      <c r="BO128" s="583"/>
      <c r="BP128" s="585"/>
      <c r="BQ128" s="583"/>
      <c r="BR128" s="584"/>
      <c r="BS128" s="583"/>
      <c r="BT128" s="586"/>
      <c r="BU128" s="540"/>
      <c r="BV128" s="540"/>
      <c r="BW128" s="540"/>
      <c r="BX128" s="538"/>
      <c r="BY128" s="538"/>
      <c r="BZ128" s="592"/>
      <c r="CA128" s="633"/>
      <c r="CB128" s="592" t="s">
        <v>365</v>
      </c>
      <c r="CC128" s="592">
        <v>0.0</v>
      </c>
      <c r="CD128" s="592" t="s">
        <v>365</v>
      </c>
      <c r="CE128" s="592">
        <v>0.0</v>
      </c>
      <c r="CF128" s="592"/>
      <c r="CG128" s="592">
        <v>0.0</v>
      </c>
      <c r="CH128" s="592"/>
      <c r="CI128" s="633"/>
      <c r="CJ128" s="592">
        <v>0.0</v>
      </c>
      <c r="CK128" s="479" t="s">
        <v>365</v>
      </c>
      <c r="CL128" s="592"/>
      <c r="CM128" s="593"/>
      <c r="CN128" s="538"/>
      <c r="CO128" s="538"/>
      <c r="CP128" s="538"/>
      <c r="CQ128" s="538"/>
      <c r="CR128" s="538"/>
      <c r="CS128" s="538"/>
      <c r="CT128" s="538"/>
      <c r="CU128" s="538"/>
      <c r="CV128" s="538"/>
      <c r="CW128" s="538"/>
      <c r="CX128" s="538"/>
      <c r="CY128" s="538"/>
      <c r="CZ128" s="538"/>
      <c r="DA128" s="538"/>
      <c r="DB128" s="538"/>
      <c r="DC128" s="538"/>
      <c r="DD128" s="538"/>
      <c r="DE128" s="538"/>
      <c r="DF128" s="538"/>
      <c r="DG128" s="538"/>
      <c r="DH128" s="538"/>
      <c r="DI128" s="538"/>
      <c r="DJ128" s="538"/>
      <c r="DK128" s="538"/>
      <c r="DL128" s="538"/>
      <c r="DM128" s="538"/>
      <c r="DN128" s="538"/>
      <c r="DO128" s="538"/>
      <c r="DP128" s="538"/>
      <c r="DQ128" s="538"/>
      <c r="DR128" s="538"/>
      <c r="DS128" s="538"/>
      <c r="DT128" s="538"/>
      <c r="DU128" s="538"/>
      <c r="DV128" s="538"/>
      <c r="DW128" s="538"/>
      <c r="DX128" s="538"/>
      <c r="DY128" s="538"/>
      <c r="DZ128" s="538"/>
      <c r="EA128" s="538"/>
      <c r="EB128" s="538"/>
      <c r="EC128" s="538"/>
      <c r="ED128" s="538"/>
      <c r="EE128" s="538"/>
      <c r="EF128" s="538"/>
      <c r="EG128" s="538"/>
      <c r="EH128" s="538"/>
      <c r="EI128" s="538"/>
      <c r="EJ128" s="538"/>
      <c r="EK128" s="538"/>
      <c r="EL128" s="538"/>
      <c r="EM128" s="538"/>
      <c r="EN128" s="538"/>
      <c r="EO128" s="538"/>
      <c r="EP128" s="538"/>
      <c r="EQ128" s="538"/>
      <c r="ER128" s="538"/>
      <c r="ES128" s="538"/>
      <c r="ET128" s="538"/>
      <c r="EU128" s="538"/>
      <c r="EV128" s="538"/>
      <c r="EW128" s="538"/>
      <c r="EX128" s="559"/>
      <c r="EY128" s="559"/>
      <c r="EZ128" s="559"/>
      <c r="FA128" s="559"/>
      <c r="FB128" s="559"/>
      <c r="FC128" s="559"/>
      <c r="FD128" s="559"/>
      <c r="FE128" s="559"/>
      <c r="FF128" s="559"/>
      <c r="FG128" s="559"/>
      <c r="FH128" s="559"/>
      <c r="FI128" s="559"/>
      <c r="FJ128" s="559"/>
      <c r="FK128" s="559"/>
      <c r="FL128" s="559"/>
      <c r="FM128" s="559"/>
      <c r="FN128" s="559"/>
      <c r="FO128" s="559"/>
      <c r="FP128" s="559"/>
      <c r="FQ128" s="559"/>
      <c r="FR128" s="559"/>
      <c r="FS128" s="559"/>
      <c r="FT128" s="559"/>
      <c r="FU128" s="559"/>
      <c r="FV128" s="559"/>
      <c r="FW128" s="559"/>
      <c r="FX128" s="559"/>
      <c r="FY128" s="559"/>
      <c r="FZ128" s="559"/>
      <c r="GA128" s="559"/>
      <c r="GB128" s="559"/>
      <c r="GC128" s="559"/>
      <c r="GD128" s="559"/>
      <c r="GE128" s="559"/>
      <c r="GF128" s="559"/>
      <c r="GG128" s="559"/>
      <c r="GH128" s="559"/>
    </row>
    <row r="129">
      <c r="A129" s="538"/>
      <c r="B129" s="156"/>
      <c r="C129" s="444"/>
      <c r="D129" s="614"/>
      <c r="E129" s="66"/>
      <c r="F129" s="642"/>
      <c r="G129" s="642"/>
      <c r="H129" s="615"/>
      <c r="I129" s="616" t="s">
        <v>365</v>
      </c>
      <c r="J129" s="624"/>
      <c r="K129" s="643"/>
      <c r="L129" s="640"/>
      <c r="M129" s="625"/>
      <c r="N129" s="617"/>
      <c r="O129" s="134"/>
      <c r="P129" s="57"/>
      <c r="Q129" s="57"/>
      <c r="S129" s="605"/>
      <c r="U129" s="573"/>
      <c r="V129" s="574"/>
      <c r="W129" s="618"/>
      <c r="X129" s="576">
        <v>0.0</v>
      </c>
      <c r="Y129" s="630">
        <v>0.0</v>
      </c>
      <c r="Z129" s="630" t="s">
        <v>365</v>
      </c>
      <c r="AA129" s="631" t="b">
        <v>0</v>
      </c>
      <c r="AB129" s="631"/>
      <c r="AC129" s="576"/>
      <c r="AD129" s="479">
        <v>0.0</v>
      </c>
      <c r="AE129" s="632"/>
      <c r="AF129" s="582" t="s">
        <v>365</v>
      </c>
      <c r="AG129" s="583"/>
      <c r="AH129" s="584"/>
      <c r="AI129" s="583"/>
      <c r="AJ129" s="585"/>
      <c r="AK129" s="583"/>
      <c r="AL129" s="584"/>
      <c r="AM129" s="583"/>
      <c r="AN129" s="585"/>
      <c r="AO129" s="583"/>
      <c r="AP129" s="584"/>
      <c r="AQ129" s="583"/>
      <c r="AR129" s="585"/>
      <c r="AS129" s="583"/>
      <c r="AT129" s="584"/>
      <c r="AU129" s="583"/>
      <c r="AV129" s="585"/>
      <c r="AW129" s="583"/>
      <c r="AX129" s="584"/>
      <c r="AY129" s="583"/>
      <c r="AZ129" s="585"/>
      <c r="BA129" s="583"/>
      <c r="BB129" s="584"/>
      <c r="BC129" s="583"/>
      <c r="BD129" s="585"/>
      <c r="BE129" s="583"/>
      <c r="BF129" s="584"/>
      <c r="BG129" s="583"/>
      <c r="BH129" s="585"/>
      <c r="BI129" s="583"/>
      <c r="BJ129" s="584"/>
      <c r="BK129" s="583"/>
      <c r="BL129" s="585"/>
      <c r="BM129" s="583"/>
      <c r="BN129" s="584"/>
      <c r="BO129" s="583"/>
      <c r="BP129" s="585"/>
      <c r="BQ129" s="583"/>
      <c r="BR129" s="584"/>
      <c r="BS129" s="583"/>
      <c r="BT129" s="586"/>
      <c r="BU129" s="540"/>
      <c r="BV129" s="540"/>
      <c r="BW129" s="540"/>
      <c r="BX129" s="538"/>
      <c r="BY129" s="538"/>
      <c r="BZ129" s="592"/>
      <c r="CA129" s="633"/>
      <c r="CB129" s="592" t="s">
        <v>365</v>
      </c>
      <c r="CC129" s="592">
        <v>0.0</v>
      </c>
      <c r="CD129" s="592" t="s">
        <v>365</v>
      </c>
      <c r="CE129" s="592">
        <v>0.0</v>
      </c>
      <c r="CF129" s="592"/>
      <c r="CG129" s="592">
        <v>0.0</v>
      </c>
      <c r="CH129" s="592"/>
      <c r="CI129" s="633"/>
      <c r="CJ129" s="592">
        <v>0.0</v>
      </c>
      <c r="CK129" s="479" t="s">
        <v>365</v>
      </c>
      <c r="CL129" s="592"/>
      <c r="CM129" s="593"/>
      <c r="CN129" s="538"/>
      <c r="CO129" s="538"/>
      <c r="CP129" s="538"/>
      <c r="CQ129" s="538"/>
      <c r="CR129" s="538"/>
      <c r="CS129" s="538"/>
      <c r="CT129" s="538"/>
      <c r="CU129" s="538"/>
      <c r="CV129" s="538"/>
      <c r="CW129" s="538"/>
      <c r="CX129" s="538"/>
      <c r="CY129" s="538"/>
      <c r="CZ129" s="538"/>
      <c r="DA129" s="538"/>
      <c r="DB129" s="538"/>
      <c r="DC129" s="538"/>
      <c r="DD129" s="538"/>
      <c r="DE129" s="538"/>
      <c r="DF129" s="538"/>
      <c r="DG129" s="538"/>
      <c r="DH129" s="538"/>
      <c r="DI129" s="538"/>
      <c r="DJ129" s="538"/>
      <c r="DK129" s="538"/>
      <c r="DL129" s="538"/>
      <c r="DM129" s="538"/>
      <c r="DN129" s="538"/>
      <c r="DO129" s="538"/>
      <c r="DP129" s="538"/>
      <c r="DQ129" s="538"/>
      <c r="DR129" s="538"/>
      <c r="DS129" s="538"/>
      <c r="DT129" s="538"/>
      <c r="DU129" s="538"/>
      <c r="DV129" s="538"/>
      <c r="DW129" s="538"/>
      <c r="DX129" s="538"/>
      <c r="DY129" s="538"/>
      <c r="DZ129" s="538"/>
      <c r="EA129" s="538"/>
      <c r="EB129" s="538"/>
      <c r="EC129" s="538"/>
      <c r="ED129" s="538"/>
      <c r="EE129" s="538"/>
      <c r="EF129" s="538"/>
      <c r="EG129" s="538"/>
      <c r="EH129" s="538"/>
      <c r="EI129" s="538"/>
      <c r="EJ129" s="538"/>
      <c r="EK129" s="538"/>
      <c r="EL129" s="538"/>
      <c r="EM129" s="538"/>
      <c r="EN129" s="538"/>
      <c r="EO129" s="538"/>
      <c r="EP129" s="538"/>
      <c r="EQ129" s="538"/>
      <c r="ER129" s="538"/>
      <c r="ES129" s="538"/>
      <c r="ET129" s="538"/>
      <c r="EU129" s="538"/>
      <c r="EV129" s="538"/>
      <c r="EW129" s="538"/>
      <c r="EX129" s="559"/>
      <c r="EY129" s="559"/>
      <c r="EZ129" s="559"/>
      <c r="FA129" s="559"/>
      <c r="FB129" s="559"/>
      <c r="FC129" s="559"/>
      <c r="FD129" s="559"/>
      <c r="FE129" s="559"/>
      <c r="FF129" s="559"/>
      <c r="FG129" s="559"/>
      <c r="FH129" s="559"/>
      <c r="FI129" s="559"/>
      <c r="FJ129" s="559"/>
      <c r="FK129" s="559"/>
      <c r="FL129" s="559"/>
      <c r="FM129" s="559"/>
      <c r="FN129" s="559"/>
      <c r="FO129" s="559"/>
      <c r="FP129" s="559"/>
      <c r="FQ129" s="559"/>
      <c r="FR129" s="559"/>
      <c r="FS129" s="559"/>
      <c r="FT129" s="559"/>
      <c r="FU129" s="559"/>
      <c r="FV129" s="559"/>
      <c r="FW129" s="559"/>
      <c r="FX129" s="559"/>
      <c r="FY129" s="559"/>
      <c r="FZ129" s="559"/>
      <c r="GA129" s="559"/>
      <c r="GB129" s="559"/>
      <c r="GC129" s="559"/>
      <c r="GD129" s="559"/>
      <c r="GE129" s="559"/>
      <c r="GF129" s="559"/>
      <c r="GG129" s="559"/>
      <c r="GH129" s="559"/>
    </row>
    <row r="130">
      <c r="A130" s="538"/>
      <c r="B130" s="156"/>
      <c r="C130" s="444"/>
      <c r="D130" s="614"/>
      <c r="E130" s="68"/>
      <c r="F130" s="644"/>
      <c r="G130" s="644"/>
      <c r="H130" s="627"/>
      <c r="I130" s="622" t="s">
        <v>365</v>
      </c>
      <c r="J130" s="607"/>
      <c r="K130" s="641"/>
      <c r="L130" s="628"/>
      <c r="M130" s="626"/>
      <c r="N130" s="619"/>
      <c r="O130" s="560"/>
      <c r="P130" s="47"/>
      <c r="Q130" s="47"/>
      <c r="S130" s="572"/>
      <c r="U130" s="573"/>
      <c r="V130" s="574"/>
      <c r="W130" s="618"/>
      <c r="X130" s="576">
        <v>0.0</v>
      </c>
      <c r="Y130" s="630">
        <v>0.0</v>
      </c>
      <c r="Z130" s="630" t="s">
        <v>365</v>
      </c>
      <c r="AA130" s="631" t="b">
        <v>0</v>
      </c>
      <c r="AB130" s="631"/>
      <c r="AC130" s="576"/>
      <c r="AD130" s="479">
        <v>0.0</v>
      </c>
      <c r="AE130" s="632"/>
      <c r="AF130" s="582" t="s">
        <v>365</v>
      </c>
      <c r="AG130" s="583"/>
      <c r="AH130" s="584"/>
      <c r="AI130" s="583"/>
      <c r="AJ130" s="585"/>
      <c r="AK130" s="583"/>
      <c r="AL130" s="584"/>
      <c r="AM130" s="583"/>
      <c r="AN130" s="585"/>
      <c r="AO130" s="583"/>
      <c r="AP130" s="584"/>
      <c r="AQ130" s="583"/>
      <c r="AR130" s="585"/>
      <c r="AS130" s="583"/>
      <c r="AT130" s="584"/>
      <c r="AU130" s="583"/>
      <c r="AV130" s="585"/>
      <c r="AW130" s="583"/>
      <c r="AX130" s="584"/>
      <c r="AY130" s="583"/>
      <c r="AZ130" s="585"/>
      <c r="BA130" s="583"/>
      <c r="BB130" s="584"/>
      <c r="BC130" s="583"/>
      <c r="BD130" s="585"/>
      <c r="BE130" s="583"/>
      <c r="BF130" s="584"/>
      <c r="BG130" s="583"/>
      <c r="BH130" s="585"/>
      <c r="BI130" s="583"/>
      <c r="BJ130" s="584"/>
      <c r="BK130" s="583"/>
      <c r="BL130" s="585"/>
      <c r="BM130" s="583"/>
      <c r="BN130" s="584"/>
      <c r="BO130" s="583"/>
      <c r="BP130" s="585"/>
      <c r="BQ130" s="583"/>
      <c r="BR130" s="584"/>
      <c r="BS130" s="583"/>
      <c r="BT130" s="586"/>
      <c r="BU130" s="540"/>
      <c r="BV130" s="540"/>
      <c r="BW130" s="540"/>
      <c r="BX130" s="538"/>
      <c r="BY130" s="538"/>
      <c r="BZ130" s="592"/>
      <c r="CA130" s="633"/>
      <c r="CB130" s="592" t="s">
        <v>365</v>
      </c>
      <c r="CC130" s="592">
        <v>0.0</v>
      </c>
      <c r="CD130" s="592" t="s">
        <v>365</v>
      </c>
      <c r="CE130" s="592">
        <v>0.0</v>
      </c>
      <c r="CF130" s="592"/>
      <c r="CG130" s="592">
        <v>0.0</v>
      </c>
      <c r="CH130" s="592"/>
      <c r="CI130" s="633"/>
      <c r="CJ130" s="592">
        <v>0.0</v>
      </c>
      <c r="CK130" s="479" t="s">
        <v>365</v>
      </c>
      <c r="CL130" s="592"/>
      <c r="CM130" s="593"/>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8"/>
      <c r="DS130" s="538"/>
      <c r="DT130" s="538"/>
      <c r="DU130" s="538"/>
      <c r="DV130" s="538"/>
      <c r="DW130" s="538"/>
      <c r="DX130" s="538"/>
      <c r="DY130" s="538"/>
      <c r="DZ130" s="538"/>
      <c r="EA130" s="538"/>
      <c r="EB130" s="538"/>
      <c r="EC130" s="538"/>
      <c r="ED130" s="538"/>
      <c r="EE130" s="538"/>
      <c r="EF130" s="538"/>
      <c r="EG130" s="538"/>
      <c r="EH130" s="538"/>
      <c r="EI130" s="538"/>
      <c r="EJ130" s="538"/>
      <c r="EK130" s="538"/>
      <c r="EL130" s="538"/>
      <c r="EM130" s="538"/>
      <c r="EN130" s="538"/>
      <c r="EO130" s="538"/>
      <c r="EP130" s="538"/>
      <c r="EQ130" s="538"/>
      <c r="ER130" s="538"/>
      <c r="ES130" s="538"/>
      <c r="ET130" s="538"/>
      <c r="EU130" s="538"/>
      <c r="EV130" s="538"/>
      <c r="EW130" s="538"/>
      <c r="EX130" s="559"/>
      <c r="EY130" s="559"/>
      <c r="EZ130" s="559"/>
      <c r="FA130" s="559"/>
      <c r="FB130" s="559"/>
      <c r="FC130" s="559"/>
      <c r="FD130" s="559"/>
      <c r="FE130" s="559"/>
      <c r="FF130" s="559"/>
      <c r="FG130" s="559"/>
      <c r="FH130" s="559"/>
      <c r="FI130" s="559"/>
      <c r="FJ130" s="559"/>
      <c r="FK130" s="559"/>
      <c r="FL130" s="559"/>
      <c r="FM130" s="559"/>
      <c r="FN130" s="559"/>
      <c r="FO130" s="559"/>
      <c r="FP130" s="559"/>
      <c r="FQ130" s="559"/>
      <c r="FR130" s="559"/>
      <c r="FS130" s="559"/>
      <c r="FT130" s="559"/>
      <c r="FU130" s="559"/>
      <c r="FV130" s="559"/>
      <c r="FW130" s="559"/>
      <c r="FX130" s="559"/>
      <c r="FY130" s="559"/>
      <c r="FZ130" s="559"/>
      <c r="GA130" s="559"/>
      <c r="GB130" s="559"/>
      <c r="GC130" s="559"/>
      <c r="GD130" s="559"/>
      <c r="GE130" s="559"/>
      <c r="GF130" s="559"/>
      <c r="GG130" s="559"/>
      <c r="GH130" s="559"/>
    </row>
    <row r="131">
      <c r="A131" s="538"/>
      <c r="B131" s="156"/>
      <c r="C131" s="444"/>
      <c r="D131" s="614"/>
      <c r="E131" s="66"/>
      <c r="F131" s="642"/>
      <c r="G131" s="642"/>
      <c r="H131" s="615"/>
      <c r="I131" s="616" t="s">
        <v>365</v>
      </c>
      <c r="J131" s="624"/>
      <c r="K131" s="643"/>
      <c r="L131" s="640"/>
      <c r="M131" s="625"/>
      <c r="N131" s="617"/>
      <c r="O131" s="134"/>
      <c r="P131" s="57"/>
      <c r="Q131" s="57"/>
      <c r="S131" s="605"/>
      <c r="U131" s="573"/>
      <c r="V131" s="574"/>
      <c r="W131" s="618"/>
      <c r="X131" s="576">
        <v>0.0</v>
      </c>
      <c r="Y131" s="630">
        <v>0.0</v>
      </c>
      <c r="Z131" s="630" t="s">
        <v>365</v>
      </c>
      <c r="AA131" s="631" t="b">
        <v>0</v>
      </c>
      <c r="AB131" s="631"/>
      <c r="AC131" s="576"/>
      <c r="AD131" s="479">
        <v>0.0</v>
      </c>
      <c r="AE131" s="632"/>
      <c r="AF131" s="582" t="s">
        <v>365</v>
      </c>
      <c r="AG131" s="583"/>
      <c r="AH131" s="584"/>
      <c r="AI131" s="583"/>
      <c r="AJ131" s="585"/>
      <c r="AK131" s="583"/>
      <c r="AL131" s="584"/>
      <c r="AM131" s="583"/>
      <c r="AN131" s="585"/>
      <c r="AO131" s="583"/>
      <c r="AP131" s="584"/>
      <c r="AQ131" s="583"/>
      <c r="AR131" s="585"/>
      <c r="AS131" s="583"/>
      <c r="AT131" s="584"/>
      <c r="AU131" s="583"/>
      <c r="AV131" s="585"/>
      <c r="AW131" s="583"/>
      <c r="AX131" s="584"/>
      <c r="AY131" s="583"/>
      <c r="AZ131" s="585"/>
      <c r="BA131" s="583"/>
      <c r="BB131" s="584"/>
      <c r="BC131" s="583"/>
      <c r="BD131" s="585"/>
      <c r="BE131" s="583"/>
      <c r="BF131" s="584"/>
      <c r="BG131" s="583"/>
      <c r="BH131" s="585"/>
      <c r="BI131" s="583"/>
      <c r="BJ131" s="584"/>
      <c r="BK131" s="583"/>
      <c r="BL131" s="585"/>
      <c r="BM131" s="583"/>
      <c r="BN131" s="584"/>
      <c r="BO131" s="583"/>
      <c r="BP131" s="585"/>
      <c r="BQ131" s="583"/>
      <c r="BR131" s="584"/>
      <c r="BS131" s="583"/>
      <c r="BT131" s="586"/>
      <c r="BU131" s="540"/>
      <c r="BV131" s="540"/>
      <c r="BW131" s="540"/>
      <c r="BX131" s="538"/>
      <c r="BY131" s="538"/>
      <c r="BZ131" s="592"/>
      <c r="CA131" s="633"/>
      <c r="CB131" s="592" t="s">
        <v>365</v>
      </c>
      <c r="CC131" s="592">
        <v>0.0</v>
      </c>
      <c r="CD131" s="592" t="s">
        <v>365</v>
      </c>
      <c r="CE131" s="592">
        <v>0.0</v>
      </c>
      <c r="CF131" s="592"/>
      <c r="CG131" s="592">
        <v>0.0</v>
      </c>
      <c r="CH131" s="592"/>
      <c r="CI131" s="633"/>
      <c r="CJ131" s="592">
        <v>0.0</v>
      </c>
      <c r="CK131" s="479" t="s">
        <v>365</v>
      </c>
      <c r="CL131" s="592"/>
      <c r="CM131" s="593"/>
      <c r="CN131" s="538"/>
      <c r="CO131" s="538"/>
      <c r="CP131" s="538"/>
      <c r="CQ131" s="538"/>
      <c r="CR131" s="538"/>
      <c r="CS131" s="538"/>
      <c r="CT131" s="538"/>
      <c r="CU131" s="538"/>
      <c r="CV131" s="538"/>
      <c r="CW131" s="538"/>
      <c r="CX131" s="538"/>
      <c r="CY131" s="538"/>
      <c r="CZ131" s="538"/>
      <c r="DA131" s="538"/>
      <c r="DB131" s="538"/>
      <c r="DC131" s="538"/>
      <c r="DD131" s="538"/>
      <c r="DE131" s="538"/>
      <c r="DF131" s="538"/>
      <c r="DG131" s="538"/>
      <c r="DH131" s="538"/>
      <c r="DI131" s="538"/>
      <c r="DJ131" s="538"/>
      <c r="DK131" s="538"/>
      <c r="DL131" s="538"/>
      <c r="DM131" s="538"/>
      <c r="DN131" s="538"/>
      <c r="DO131" s="538"/>
      <c r="DP131" s="538"/>
      <c r="DQ131" s="538"/>
      <c r="DR131" s="538"/>
      <c r="DS131" s="538"/>
      <c r="DT131" s="538"/>
      <c r="DU131" s="538"/>
      <c r="DV131" s="538"/>
      <c r="DW131" s="538"/>
      <c r="DX131" s="538"/>
      <c r="DY131" s="538"/>
      <c r="DZ131" s="538"/>
      <c r="EA131" s="538"/>
      <c r="EB131" s="538"/>
      <c r="EC131" s="538"/>
      <c r="ED131" s="538"/>
      <c r="EE131" s="538"/>
      <c r="EF131" s="538"/>
      <c r="EG131" s="538"/>
      <c r="EH131" s="538"/>
      <c r="EI131" s="538"/>
      <c r="EJ131" s="538"/>
      <c r="EK131" s="538"/>
      <c r="EL131" s="538"/>
      <c r="EM131" s="538"/>
      <c r="EN131" s="538"/>
      <c r="EO131" s="538"/>
      <c r="EP131" s="538"/>
      <c r="EQ131" s="538"/>
      <c r="ER131" s="538"/>
      <c r="ES131" s="538"/>
      <c r="ET131" s="538"/>
      <c r="EU131" s="538"/>
      <c r="EV131" s="538"/>
      <c r="EW131" s="538"/>
      <c r="EX131" s="559"/>
      <c r="EY131" s="559"/>
      <c r="EZ131" s="559"/>
      <c r="FA131" s="559"/>
      <c r="FB131" s="559"/>
      <c r="FC131" s="559"/>
      <c r="FD131" s="559"/>
      <c r="FE131" s="559"/>
      <c r="FF131" s="559"/>
      <c r="FG131" s="559"/>
      <c r="FH131" s="559"/>
      <c r="FI131" s="559"/>
      <c r="FJ131" s="559"/>
      <c r="FK131" s="559"/>
      <c r="FL131" s="559"/>
      <c r="FM131" s="559"/>
      <c r="FN131" s="559"/>
      <c r="FO131" s="559"/>
      <c r="FP131" s="559"/>
      <c r="FQ131" s="559"/>
      <c r="FR131" s="559"/>
      <c r="FS131" s="559"/>
      <c r="FT131" s="559"/>
      <c r="FU131" s="559"/>
      <c r="FV131" s="559"/>
      <c r="FW131" s="559"/>
      <c r="FX131" s="559"/>
      <c r="FY131" s="559"/>
      <c r="FZ131" s="559"/>
      <c r="GA131" s="559"/>
      <c r="GB131" s="559"/>
      <c r="GC131" s="559"/>
      <c r="GD131" s="559"/>
      <c r="GE131" s="559"/>
      <c r="GF131" s="559"/>
      <c r="GG131" s="559"/>
      <c r="GH131" s="559"/>
    </row>
    <row r="132">
      <c r="A132" s="538"/>
      <c r="B132" s="156"/>
      <c r="C132" s="444"/>
      <c r="D132" s="614"/>
      <c r="E132" s="68"/>
      <c r="F132" s="644"/>
      <c r="G132" s="644"/>
      <c r="H132" s="627"/>
      <c r="I132" s="622" t="s">
        <v>365</v>
      </c>
      <c r="J132" s="607"/>
      <c r="K132" s="641"/>
      <c r="L132" s="628"/>
      <c r="M132" s="626"/>
      <c r="N132" s="619"/>
      <c r="O132" s="560"/>
      <c r="P132" s="47"/>
      <c r="Q132" s="47"/>
      <c r="S132" s="572"/>
      <c r="U132" s="573"/>
      <c r="V132" s="574"/>
      <c r="W132" s="618"/>
      <c r="X132" s="576">
        <v>0.0</v>
      </c>
      <c r="Y132" s="630">
        <v>0.0</v>
      </c>
      <c r="Z132" s="630" t="s">
        <v>365</v>
      </c>
      <c r="AA132" s="631" t="b">
        <v>0</v>
      </c>
      <c r="AB132" s="631"/>
      <c r="AC132" s="576"/>
      <c r="AD132" s="479">
        <v>0.0</v>
      </c>
      <c r="AE132" s="632"/>
      <c r="AF132" s="582" t="s">
        <v>365</v>
      </c>
      <c r="AG132" s="583"/>
      <c r="AH132" s="584"/>
      <c r="AI132" s="583"/>
      <c r="AJ132" s="585"/>
      <c r="AK132" s="583"/>
      <c r="AL132" s="584"/>
      <c r="AM132" s="583"/>
      <c r="AN132" s="585"/>
      <c r="AO132" s="583"/>
      <c r="AP132" s="584"/>
      <c r="AQ132" s="583"/>
      <c r="AR132" s="585"/>
      <c r="AS132" s="583"/>
      <c r="AT132" s="584"/>
      <c r="AU132" s="583"/>
      <c r="AV132" s="585"/>
      <c r="AW132" s="583"/>
      <c r="AX132" s="584"/>
      <c r="AY132" s="583"/>
      <c r="AZ132" s="585"/>
      <c r="BA132" s="583"/>
      <c r="BB132" s="584"/>
      <c r="BC132" s="583"/>
      <c r="BD132" s="585"/>
      <c r="BE132" s="583"/>
      <c r="BF132" s="584"/>
      <c r="BG132" s="583"/>
      <c r="BH132" s="585"/>
      <c r="BI132" s="583"/>
      <c r="BJ132" s="584"/>
      <c r="BK132" s="583"/>
      <c r="BL132" s="585"/>
      <c r="BM132" s="583"/>
      <c r="BN132" s="584"/>
      <c r="BO132" s="583"/>
      <c r="BP132" s="585"/>
      <c r="BQ132" s="583"/>
      <c r="BR132" s="584"/>
      <c r="BS132" s="583"/>
      <c r="BT132" s="586"/>
      <c r="BU132" s="540"/>
      <c r="BV132" s="540"/>
      <c r="BW132" s="540"/>
      <c r="BX132" s="538"/>
      <c r="BY132" s="538"/>
      <c r="BZ132" s="592"/>
      <c r="CA132" s="633"/>
      <c r="CB132" s="592" t="s">
        <v>365</v>
      </c>
      <c r="CC132" s="592">
        <v>0.0</v>
      </c>
      <c r="CD132" s="592" t="s">
        <v>365</v>
      </c>
      <c r="CE132" s="592">
        <v>0.0</v>
      </c>
      <c r="CF132" s="592"/>
      <c r="CG132" s="592">
        <v>0.0</v>
      </c>
      <c r="CH132" s="592"/>
      <c r="CI132" s="633"/>
      <c r="CJ132" s="592">
        <v>0.0</v>
      </c>
      <c r="CK132" s="479" t="s">
        <v>365</v>
      </c>
      <c r="CL132" s="592"/>
      <c r="CM132" s="593"/>
      <c r="CN132" s="538"/>
      <c r="CO132" s="538"/>
      <c r="CP132" s="538"/>
      <c r="CQ132" s="538"/>
      <c r="CR132" s="538"/>
      <c r="CS132" s="538"/>
      <c r="CT132" s="538"/>
      <c r="CU132" s="538"/>
      <c r="CV132" s="538"/>
      <c r="CW132" s="538"/>
      <c r="CX132" s="538"/>
      <c r="CY132" s="538"/>
      <c r="CZ132" s="538"/>
      <c r="DA132" s="538"/>
      <c r="DB132" s="538"/>
      <c r="DC132" s="538"/>
      <c r="DD132" s="538"/>
      <c r="DE132" s="538"/>
      <c r="DF132" s="538"/>
      <c r="DG132" s="538"/>
      <c r="DH132" s="538"/>
      <c r="DI132" s="538"/>
      <c r="DJ132" s="538"/>
      <c r="DK132" s="538"/>
      <c r="DL132" s="538"/>
      <c r="DM132" s="538"/>
      <c r="DN132" s="538"/>
      <c r="DO132" s="538"/>
      <c r="DP132" s="538"/>
      <c r="DQ132" s="538"/>
      <c r="DR132" s="538"/>
      <c r="DS132" s="538"/>
      <c r="DT132" s="538"/>
      <c r="DU132" s="538"/>
      <c r="DV132" s="538"/>
      <c r="DW132" s="538"/>
      <c r="DX132" s="538"/>
      <c r="DY132" s="538"/>
      <c r="DZ132" s="538"/>
      <c r="EA132" s="538"/>
      <c r="EB132" s="538"/>
      <c r="EC132" s="538"/>
      <c r="ED132" s="538"/>
      <c r="EE132" s="538"/>
      <c r="EF132" s="538"/>
      <c r="EG132" s="538"/>
      <c r="EH132" s="538"/>
      <c r="EI132" s="538"/>
      <c r="EJ132" s="538"/>
      <c r="EK132" s="538"/>
      <c r="EL132" s="538"/>
      <c r="EM132" s="538"/>
      <c r="EN132" s="538"/>
      <c r="EO132" s="538"/>
      <c r="EP132" s="538"/>
      <c r="EQ132" s="538"/>
      <c r="ER132" s="538"/>
      <c r="ES132" s="538"/>
      <c r="ET132" s="538"/>
      <c r="EU132" s="538"/>
      <c r="EV132" s="538"/>
      <c r="EW132" s="538"/>
      <c r="EX132" s="559"/>
      <c r="EY132" s="559"/>
      <c r="EZ132" s="559"/>
      <c r="FA132" s="559"/>
      <c r="FB132" s="559"/>
      <c r="FC132" s="559"/>
      <c r="FD132" s="559"/>
      <c r="FE132" s="559"/>
      <c r="FF132" s="559"/>
      <c r="FG132" s="559"/>
      <c r="FH132" s="559"/>
      <c r="FI132" s="559"/>
      <c r="FJ132" s="559"/>
      <c r="FK132" s="559"/>
      <c r="FL132" s="559"/>
      <c r="FM132" s="559"/>
      <c r="FN132" s="559"/>
      <c r="FO132" s="559"/>
      <c r="FP132" s="559"/>
      <c r="FQ132" s="559"/>
      <c r="FR132" s="559"/>
      <c r="FS132" s="559"/>
      <c r="FT132" s="559"/>
      <c r="FU132" s="559"/>
      <c r="FV132" s="559"/>
      <c r="FW132" s="559"/>
      <c r="FX132" s="559"/>
      <c r="FY132" s="559"/>
      <c r="FZ132" s="559"/>
      <c r="GA132" s="559"/>
      <c r="GB132" s="559"/>
      <c r="GC132" s="559"/>
      <c r="GD132" s="559"/>
      <c r="GE132" s="559"/>
      <c r="GF132" s="559"/>
      <c r="GG132" s="559"/>
      <c r="GH132" s="559"/>
    </row>
    <row r="133">
      <c r="A133" s="538"/>
      <c r="B133" s="156"/>
      <c r="C133" s="444"/>
      <c r="D133" s="614"/>
      <c r="E133" s="66"/>
      <c r="F133" s="642"/>
      <c r="G133" s="642"/>
      <c r="H133" s="615"/>
      <c r="I133" s="616" t="s">
        <v>365</v>
      </c>
      <c r="J133" s="624"/>
      <c r="K133" s="643"/>
      <c r="L133" s="640"/>
      <c r="M133" s="625"/>
      <c r="N133" s="617"/>
      <c r="O133" s="134"/>
      <c r="P133" s="57"/>
      <c r="Q133" s="57"/>
      <c r="S133" s="605"/>
      <c r="U133" s="573"/>
      <c r="V133" s="574"/>
      <c r="W133" s="618"/>
      <c r="X133" s="576">
        <v>0.0</v>
      </c>
      <c r="Y133" s="630">
        <v>0.0</v>
      </c>
      <c r="Z133" s="630" t="s">
        <v>365</v>
      </c>
      <c r="AA133" s="631" t="b">
        <v>0</v>
      </c>
      <c r="AB133" s="631"/>
      <c r="AC133" s="576"/>
      <c r="AD133" s="479">
        <v>0.0</v>
      </c>
      <c r="AE133" s="632"/>
      <c r="AF133" s="582" t="s">
        <v>365</v>
      </c>
      <c r="AG133" s="583"/>
      <c r="AH133" s="584"/>
      <c r="AI133" s="583"/>
      <c r="AJ133" s="585"/>
      <c r="AK133" s="583"/>
      <c r="AL133" s="584"/>
      <c r="AM133" s="583"/>
      <c r="AN133" s="585"/>
      <c r="AO133" s="583"/>
      <c r="AP133" s="584"/>
      <c r="AQ133" s="583"/>
      <c r="AR133" s="585"/>
      <c r="AS133" s="583"/>
      <c r="AT133" s="584"/>
      <c r="AU133" s="583"/>
      <c r="AV133" s="585"/>
      <c r="AW133" s="583"/>
      <c r="AX133" s="584"/>
      <c r="AY133" s="583"/>
      <c r="AZ133" s="585"/>
      <c r="BA133" s="583"/>
      <c r="BB133" s="584"/>
      <c r="BC133" s="583"/>
      <c r="BD133" s="585"/>
      <c r="BE133" s="583"/>
      <c r="BF133" s="584"/>
      <c r="BG133" s="583"/>
      <c r="BH133" s="585"/>
      <c r="BI133" s="583"/>
      <c r="BJ133" s="584"/>
      <c r="BK133" s="583"/>
      <c r="BL133" s="585"/>
      <c r="BM133" s="583"/>
      <c r="BN133" s="584"/>
      <c r="BO133" s="583"/>
      <c r="BP133" s="585"/>
      <c r="BQ133" s="583"/>
      <c r="BR133" s="584"/>
      <c r="BS133" s="583"/>
      <c r="BT133" s="586"/>
      <c r="BU133" s="540"/>
      <c r="BV133" s="540"/>
      <c r="BW133" s="540"/>
      <c r="BX133" s="538"/>
      <c r="BY133" s="538"/>
      <c r="BZ133" s="592"/>
      <c r="CA133" s="633"/>
      <c r="CB133" s="592" t="s">
        <v>365</v>
      </c>
      <c r="CC133" s="592">
        <v>0.0</v>
      </c>
      <c r="CD133" s="592" t="s">
        <v>365</v>
      </c>
      <c r="CE133" s="592">
        <v>0.0</v>
      </c>
      <c r="CF133" s="592"/>
      <c r="CG133" s="592">
        <v>0.0</v>
      </c>
      <c r="CH133" s="592"/>
      <c r="CI133" s="633"/>
      <c r="CJ133" s="592">
        <v>0.0</v>
      </c>
      <c r="CK133" s="479" t="s">
        <v>365</v>
      </c>
      <c r="CL133" s="592"/>
      <c r="CM133" s="593"/>
      <c r="CN133" s="538"/>
      <c r="CO133" s="538"/>
      <c r="CP133" s="538"/>
      <c r="CQ133" s="538"/>
      <c r="CR133" s="538"/>
      <c r="CS133" s="538"/>
      <c r="CT133" s="538"/>
      <c r="CU133" s="538"/>
      <c r="CV133" s="538"/>
      <c r="CW133" s="538"/>
      <c r="CX133" s="538"/>
      <c r="CY133" s="538"/>
      <c r="CZ133" s="538"/>
      <c r="DA133" s="538"/>
      <c r="DB133" s="538"/>
      <c r="DC133" s="538"/>
      <c r="DD133" s="538"/>
      <c r="DE133" s="538"/>
      <c r="DF133" s="538"/>
      <c r="DG133" s="538"/>
      <c r="DH133" s="538"/>
      <c r="DI133" s="538"/>
      <c r="DJ133" s="538"/>
      <c r="DK133" s="538"/>
      <c r="DL133" s="538"/>
      <c r="DM133" s="538"/>
      <c r="DN133" s="538"/>
      <c r="DO133" s="538"/>
      <c r="DP133" s="538"/>
      <c r="DQ133" s="538"/>
      <c r="DR133" s="538"/>
      <c r="DS133" s="538"/>
      <c r="DT133" s="538"/>
      <c r="DU133" s="538"/>
      <c r="DV133" s="538"/>
      <c r="DW133" s="538"/>
      <c r="DX133" s="538"/>
      <c r="DY133" s="538"/>
      <c r="DZ133" s="538"/>
      <c r="EA133" s="538"/>
      <c r="EB133" s="538"/>
      <c r="EC133" s="538"/>
      <c r="ED133" s="538"/>
      <c r="EE133" s="538"/>
      <c r="EF133" s="538"/>
      <c r="EG133" s="538"/>
      <c r="EH133" s="538"/>
      <c r="EI133" s="538"/>
      <c r="EJ133" s="538"/>
      <c r="EK133" s="538"/>
      <c r="EL133" s="538"/>
      <c r="EM133" s="538"/>
      <c r="EN133" s="538"/>
      <c r="EO133" s="538"/>
      <c r="EP133" s="538"/>
      <c r="EQ133" s="538"/>
      <c r="ER133" s="538"/>
      <c r="ES133" s="538"/>
      <c r="ET133" s="538"/>
      <c r="EU133" s="538"/>
      <c r="EV133" s="538"/>
      <c r="EW133" s="538"/>
      <c r="EX133" s="559"/>
      <c r="EY133" s="559"/>
      <c r="EZ133" s="559"/>
      <c r="FA133" s="559"/>
      <c r="FB133" s="559"/>
      <c r="FC133" s="559"/>
      <c r="FD133" s="559"/>
      <c r="FE133" s="559"/>
      <c r="FF133" s="559"/>
      <c r="FG133" s="559"/>
      <c r="FH133" s="559"/>
      <c r="FI133" s="559"/>
      <c r="FJ133" s="559"/>
      <c r="FK133" s="559"/>
      <c r="FL133" s="559"/>
      <c r="FM133" s="559"/>
      <c r="FN133" s="559"/>
      <c r="FO133" s="559"/>
      <c r="FP133" s="559"/>
      <c r="FQ133" s="559"/>
      <c r="FR133" s="559"/>
      <c r="FS133" s="559"/>
      <c r="FT133" s="559"/>
      <c r="FU133" s="559"/>
      <c r="FV133" s="559"/>
      <c r="FW133" s="559"/>
      <c r="FX133" s="559"/>
      <c r="FY133" s="559"/>
      <c r="FZ133" s="559"/>
      <c r="GA133" s="559"/>
      <c r="GB133" s="559"/>
      <c r="GC133" s="559"/>
      <c r="GD133" s="559"/>
      <c r="GE133" s="559"/>
      <c r="GF133" s="559"/>
      <c r="GG133" s="559"/>
      <c r="GH133" s="559"/>
    </row>
    <row r="134">
      <c r="A134" s="538"/>
      <c r="B134" s="156"/>
      <c r="C134" s="444"/>
      <c r="D134" s="614"/>
      <c r="E134" s="68"/>
      <c r="F134" s="644"/>
      <c r="G134" s="644"/>
      <c r="H134" s="627"/>
      <c r="I134" s="622" t="s">
        <v>365</v>
      </c>
      <c r="J134" s="607"/>
      <c r="K134" s="641"/>
      <c r="L134" s="628"/>
      <c r="M134" s="626"/>
      <c r="N134" s="619"/>
      <c r="O134" s="560"/>
      <c r="P134" s="47"/>
      <c r="Q134" s="47"/>
      <c r="S134" s="572"/>
      <c r="U134" s="573"/>
      <c r="V134" s="574"/>
      <c r="W134" s="618"/>
      <c r="X134" s="576">
        <v>0.0</v>
      </c>
      <c r="Y134" s="630">
        <v>0.0</v>
      </c>
      <c r="Z134" s="630" t="s">
        <v>365</v>
      </c>
      <c r="AA134" s="631" t="b">
        <v>0</v>
      </c>
      <c r="AB134" s="631"/>
      <c r="AC134" s="576"/>
      <c r="AD134" s="479">
        <v>0.0</v>
      </c>
      <c r="AE134" s="632"/>
      <c r="AF134" s="582" t="s">
        <v>365</v>
      </c>
      <c r="AG134" s="583"/>
      <c r="AH134" s="584"/>
      <c r="AI134" s="583"/>
      <c r="AJ134" s="585"/>
      <c r="AK134" s="583"/>
      <c r="AL134" s="584"/>
      <c r="AM134" s="583"/>
      <c r="AN134" s="585"/>
      <c r="AO134" s="583"/>
      <c r="AP134" s="584"/>
      <c r="AQ134" s="583"/>
      <c r="AR134" s="585"/>
      <c r="AS134" s="583"/>
      <c r="AT134" s="584"/>
      <c r="AU134" s="583"/>
      <c r="AV134" s="585"/>
      <c r="AW134" s="583"/>
      <c r="AX134" s="584"/>
      <c r="AY134" s="583"/>
      <c r="AZ134" s="585"/>
      <c r="BA134" s="583"/>
      <c r="BB134" s="584"/>
      <c r="BC134" s="583"/>
      <c r="BD134" s="585"/>
      <c r="BE134" s="583"/>
      <c r="BF134" s="584"/>
      <c r="BG134" s="583"/>
      <c r="BH134" s="585"/>
      <c r="BI134" s="583"/>
      <c r="BJ134" s="584"/>
      <c r="BK134" s="583"/>
      <c r="BL134" s="585"/>
      <c r="BM134" s="583"/>
      <c r="BN134" s="584"/>
      <c r="BO134" s="583"/>
      <c r="BP134" s="585"/>
      <c r="BQ134" s="583"/>
      <c r="BR134" s="584"/>
      <c r="BS134" s="583"/>
      <c r="BT134" s="586"/>
      <c r="BU134" s="540"/>
      <c r="BV134" s="540"/>
      <c r="BW134" s="540"/>
      <c r="BX134" s="538"/>
      <c r="BY134" s="538"/>
      <c r="BZ134" s="592"/>
      <c r="CA134" s="633"/>
      <c r="CB134" s="592" t="s">
        <v>365</v>
      </c>
      <c r="CC134" s="592">
        <v>0.0</v>
      </c>
      <c r="CD134" s="592" t="s">
        <v>365</v>
      </c>
      <c r="CE134" s="592">
        <v>0.0</v>
      </c>
      <c r="CF134" s="592"/>
      <c r="CG134" s="592">
        <v>0.0</v>
      </c>
      <c r="CH134" s="592"/>
      <c r="CI134" s="633"/>
      <c r="CJ134" s="592">
        <v>0.0</v>
      </c>
      <c r="CK134" s="479" t="s">
        <v>365</v>
      </c>
      <c r="CL134" s="592"/>
      <c r="CM134" s="593"/>
      <c r="CN134" s="538"/>
      <c r="CO134" s="538"/>
      <c r="CP134" s="538"/>
      <c r="CQ134" s="538"/>
      <c r="CR134" s="538"/>
      <c r="CS134" s="538"/>
      <c r="CT134" s="538"/>
      <c r="CU134" s="538"/>
      <c r="CV134" s="538"/>
      <c r="CW134" s="538"/>
      <c r="CX134" s="538"/>
      <c r="CY134" s="538"/>
      <c r="CZ134" s="538"/>
      <c r="DA134" s="538"/>
      <c r="DB134" s="538"/>
      <c r="DC134" s="538"/>
      <c r="DD134" s="538"/>
      <c r="DE134" s="538"/>
      <c r="DF134" s="538"/>
      <c r="DG134" s="538"/>
      <c r="DH134" s="538"/>
      <c r="DI134" s="538"/>
      <c r="DJ134" s="538"/>
      <c r="DK134" s="538"/>
      <c r="DL134" s="538"/>
      <c r="DM134" s="538"/>
      <c r="DN134" s="538"/>
      <c r="DO134" s="538"/>
      <c r="DP134" s="538"/>
      <c r="DQ134" s="538"/>
      <c r="DR134" s="538"/>
      <c r="DS134" s="538"/>
      <c r="DT134" s="538"/>
      <c r="DU134" s="538"/>
      <c r="DV134" s="538"/>
      <c r="DW134" s="538"/>
      <c r="DX134" s="538"/>
      <c r="DY134" s="538"/>
      <c r="DZ134" s="538"/>
      <c r="EA134" s="538"/>
      <c r="EB134" s="538"/>
      <c r="EC134" s="538"/>
      <c r="ED134" s="538"/>
      <c r="EE134" s="538"/>
      <c r="EF134" s="538"/>
      <c r="EG134" s="538"/>
      <c r="EH134" s="538"/>
      <c r="EI134" s="538"/>
      <c r="EJ134" s="538"/>
      <c r="EK134" s="538"/>
      <c r="EL134" s="538"/>
      <c r="EM134" s="538"/>
      <c r="EN134" s="538"/>
      <c r="EO134" s="538"/>
      <c r="EP134" s="538"/>
      <c r="EQ134" s="538"/>
      <c r="ER134" s="538"/>
      <c r="ES134" s="538"/>
      <c r="ET134" s="538"/>
      <c r="EU134" s="538"/>
      <c r="EV134" s="538"/>
      <c r="EW134" s="538"/>
      <c r="EX134" s="559"/>
      <c r="EY134" s="559"/>
      <c r="EZ134" s="559"/>
      <c r="FA134" s="559"/>
      <c r="FB134" s="559"/>
      <c r="FC134" s="559"/>
      <c r="FD134" s="559"/>
      <c r="FE134" s="559"/>
      <c r="FF134" s="559"/>
      <c r="FG134" s="559"/>
      <c r="FH134" s="559"/>
      <c r="FI134" s="559"/>
      <c r="FJ134" s="559"/>
      <c r="FK134" s="559"/>
      <c r="FL134" s="559"/>
      <c r="FM134" s="559"/>
      <c r="FN134" s="559"/>
      <c r="FO134" s="559"/>
      <c r="FP134" s="559"/>
      <c r="FQ134" s="559"/>
      <c r="FR134" s="559"/>
      <c r="FS134" s="559"/>
      <c r="FT134" s="559"/>
      <c r="FU134" s="559"/>
      <c r="FV134" s="559"/>
      <c r="FW134" s="559"/>
      <c r="FX134" s="559"/>
      <c r="FY134" s="559"/>
      <c r="FZ134" s="559"/>
      <c r="GA134" s="559"/>
      <c r="GB134" s="559"/>
      <c r="GC134" s="559"/>
      <c r="GD134" s="559"/>
      <c r="GE134" s="559"/>
      <c r="GF134" s="559"/>
      <c r="GG134" s="559"/>
      <c r="GH134" s="559"/>
    </row>
    <row r="135">
      <c r="A135" s="538"/>
      <c r="B135" s="156"/>
      <c r="C135" s="444"/>
      <c r="D135" s="614"/>
      <c r="E135" s="66"/>
      <c r="F135" s="642"/>
      <c r="G135" s="642"/>
      <c r="H135" s="615"/>
      <c r="I135" s="616" t="s">
        <v>365</v>
      </c>
      <c r="J135" s="624"/>
      <c r="K135" s="643"/>
      <c r="L135" s="640"/>
      <c r="M135" s="625"/>
      <c r="N135" s="617"/>
      <c r="O135" s="134"/>
      <c r="P135" s="57"/>
      <c r="Q135" s="57"/>
      <c r="S135" s="605"/>
      <c r="U135" s="573"/>
      <c r="V135" s="574"/>
      <c r="W135" s="618"/>
      <c r="X135" s="576">
        <v>0.0</v>
      </c>
      <c r="Y135" s="630">
        <v>0.0</v>
      </c>
      <c r="Z135" s="630" t="s">
        <v>365</v>
      </c>
      <c r="AA135" s="631" t="b">
        <v>0</v>
      </c>
      <c r="AB135" s="631"/>
      <c r="AC135" s="576"/>
      <c r="AD135" s="479">
        <v>0.0</v>
      </c>
      <c r="AE135" s="632"/>
      <c r="AF135" s="582" t="s">
        <v>365</v>
      </c>
      <c r="AG135" s="583"/>
      <c r="AH135" s="584"/>
      <c r="AI135" s="583"/>
      <c r="AJ135" s="585"/>
      <c r="AK135" s="583"/>
      <c r="AL135" s="584"/>
      <c r="AM135" s="583"/>
      <c r="AN135" s="585"/>
      <c r="AO135" s="583"/>
      <c r="AP135" s="584"/>
      <c r="AQ135" s="583"/>
      <c r="AR135" s="585"/>
      <c r="AS135" s="583"/>
      <c r="AT135" s="584"/>
      <c r="AU135" s="583"/>
      <c r="AV135" s="585"/>
      <c r="AW135" s="583"/>
      <c r="AX135" s="584"/>
      <c r="AY135" s="583"/>
      <c r="AZ135" s="585"/>
      <c r="BA135" s="583"/>
      <c r="BB135" s="584"/>
      <c r="BC135" s="583"/>
      <c r="BD135" s="585"/>
      <c r="BE135" s="583"/>
      <c r="BF135" s="584"/>
      <c r="BG135" s="583"/>
      <c r="BH135" s="585"/>
      <c r="BI135" s="583"/>
      <c r="BJ135" s="584"/>
      <c r="BK135" s="583"/>
      <c r="BL135" s="585"/>
      <c r="BM135" s="583"/>
      <c r="BN135" s="584"/>
      <c r="BO135" s="583"/>
      <c r="BP135" s="585"/>
      <c r="BQ135" s="583"/>
      <c r="BR135" s="584"/>
      <c r="BS135" s="583"/>
      <c r="BT135" s="586"/>
      <c r="BU135" s="540"/>
      <c r="BV135" s="540"/>
      <c r="BW135" s="540"/>
      <c r="BX135" s="538"/>
      <c r="BY135" s="538"/>
      <c r="BZ135" s="592"/>
      <c r="CA135" s="633"/>
      <c r="CB135" s="592" t="s">
        <v>365</v>
      </c>
      <c r="CC135" s="592">
        <v>0.0</v>
      </c>
      <c r="CD135" s="592" t="s">
        <v>365</v>
      </c>
      <c r="CE135" s="592">
        <v>0.0</v>
      </c>
      <c r="CF135" s="592"/>
      <c r="CG135" s="592">
        <v>0.0</v>
      </c>
      <c r="CH135" s="592"/>
      <c r="CI135" s="633"/>
      <c r="CJ135" s="592">
        <v>0.0</v>
      </c>
      <c r="CK135" s="479" t="s">
        <v>365</v>
      </c>
      <c r="CL135" s="592"/>
      <c r="CM135" s="593"/>
      <c r="CN135" s="538"/>
      <c r="CO135" s="538"/>
      <c r="CP135" s="538"/>
      <c r="CQ135" s="538"/>
      <c r="CR135" s="538"/>
      <c r="CS135" s="538"/>
      <c r="CT135" s="538"/>
      <c r="CU135" s="538"/>
      <c r="CV135" s="538"/>
      <c r="CW135" s="538"/>
      <c r="CX135" s="538"/>
      <c r="CY135" s="538"/>
      <c r="CZ135" s="538"/>
      <c r="DA135" s="538"/>
      <c r="DB135" s="538"/>
      <c r="DC135" s="538"/>
      <c r="DD135" s="538"/>
      <c r="DE135" s="538"/>
      <c r="DF135" s="538"/>
      <c r="DG135" s="538"/>
      <c r="DH135" s="538"/>
      <c r="DI135" s="538"/>
      <c r="DJ135" s="538"/>
      <c r="DK135" s="538"/>
      <c r="DL135" s="538"/>
      <c r="DM135" s="538"/>
      <c r="DN135" s="538"/>
      <c r="DO135" s="538"/>
      <c r="DP135" s="538"/>
      <c r="DQ135" s="538"/>
      <c r="DR135" s="538"/>
      <c r="DS135" s="538"/>
      <c r="DT135" s="538"/>
      <c r="DU135" s="538"/>
      <c r="DV135" s="538"/>
      <c r="DW135" s="538"/>
      <c r="DX135" s="538"/>
      <c r="DY135" s="538"/>
      <c r="DZ135" s="538"/>
      <c r="EA135" s="538"/>
      <c r="EB135" s="538"/>
      <c r="EC135" s="538"/>
      <c r="ED135" s="538"/>
      <c r="EE135" s="538"/>
      <c r="EF135" s="538"/>
      <c r="EG135" s="538"/>
      <c r="EH135" s="538"/>
      <c r="EI135" s="538"/>
      <c r="EJ135" s="538"/>
      <c r="EK135" s="538"/>
      <c r="EL135" s="538"/>
      <c r="EM135" s="538"/>
      <c r="EN135" s="538"/>
      <c r="EO135" s="538"/>
      <c r="EP135" s="538"/>
      <c r="EQ135" s="538"/>
      <c r="ER135" s="538"/>
      <c r="ES135" s="538"/>
      <c r="ET135" s="538"/>
      <c r="EU135" s="538"/>
      <c r="EV135" s="538"/>
      <c r="EW135" s="538"/>
      <c r="EX135" s="559"/>
      <c r="EY135" s="559"/>
      <c r="EZ135" s="559"/>
      <c r="FA135" s="559"/>
      <c r="FB135" s="559"/>
      <c r="FC135" s="559"/>
      <c r="FD135" s="559"/>
      <c r="FE135" s="559"/>
      <c r="FF135" s="559"/>
      <c r="FG135" s="559"/>
      <c r="FH135" s="559"/>
      <c r="FI135" s="559"/>
      <c r="FJ135" s="559"/>
      <c r="FK135" s="559"/>
      <c r="FL135" s="559"/>
      <c r="FM135" s="559"/>
      <c r="FN135" s="559"/>
      <c r="FO135" s="559"/>
      <c r="FP135" s="559"/>
      <c r="FQ135" s="559"/>
      <c r="FR135" s="559"/>
      <c r="FS135" s="559"/>
      <c r="FT135" s="559"/>
      <c r="FU135" s="559"/>
      <c r="FV135" s="559"/>
      <c r="FW135" s="559"/>
      <c r="FX135" s="559"/>
      <c r="FY135" s="559"/>
      <c r="FZ135" s="559"/>
      <c r="GA135" s="559"/>
      <c r="GB135" s="559"/>
      <c r="GC135" s="559"/>
      <c r="GD135" s="559"/>
      <c r="GE135" s="559"/>
      <c r="GF135" s="559"/>
      <c r="GG135" s="559"/>
      <c r="GH135" s="559"/>
    </row>
    <row r="136">
      <c r="A136" s="538"/>
      <c r="B136" s="156"/>
      <c r="C136" s="444"/>
      <c r="D136" s="614"/>
      <c r="E136" s="68"/>
      <c r="F136" s="644"/>
      <c r="G136" s="644"/>
      <c r="H136" s="627"/>
      <c r="I136" s="622" t="s">
        <v>365</v>
      </c>
      <c r="J136" s="607"/>
      <c r="K136" s="641"/>
      <c r="L136" s="628"/>
      <c r="M136" s="626"/>
      <c r="N136" s="619"/>
      <c r="O136" s="560"/>
      <c r="P136" s="47"/>
      <c r="Q136" s="47"/>
      <c r="S136" s="572"/>
      <c r="U136" s="573"/>
      <c r="V136" s="574"/>
      <c r="W136" s="618"/>
      <c r="X136" s="576">
        <v>0.0</v>
      </c>
      <c r="Y136" s="630">
        <v>0.0</v>
      </c>
      <c r="Z136" s="630" t="s">
        <v>365</v>
      </c>
      <c r="AA136" s="631" t="b">
        <v>0</v>
      </c>
      <c r="AB136" s="631"/>
      <c r="AC136" s="576"/>
      <c r="AD136" s="479">
        <v>0.0</v>
      </c>
      <c r="AE136" s="632"/>
      <c r="AF136" s="582" t="s">
        <v>365</v>
      </c>
      <c r="AG136" s="583"/>
      <c r="AH136" s="584"/>
      <c r="AI136" s="583"/>
      <c r="AJ136" s="585"/>
      <c r="AK136" s="583"/>
      <c r="AL136" s="584"/>
      <c r="AM136" s="583"/>
      <c r="AN136" s="585"/>
      <c r="AO136" s="583"/>
      <c r="AP136" s="584"/>
      <c r="AQ136" s="583"/>
      <c r="AR136" s="585"/>
      <c r="AS136" s="583"/>
      <c r="AT136" s="584"/>
      <c r="AU136" s="583"/>
      <c r="AV136" s="585"/>
      <c r="AW136" s="583"/>
      <c r="AX136" s="584"/>
      <c r="AY136" s="583"/>
      <c r="AZ136" s="585"/>
      <c r="BA136" s="583"/>
      <c r="BB136" s="584"/>
      <c r="BC136" s="583"/>
      <c r="BD136" s="585"/>
      <c r="BE136" s="583"/>
      <c r="BF136" s="584"/>
      <c r="BG136" s="583"/>
      <c r="BH136" s="585"/>
      <c r="BI136" s="583"/>
      <c r="BJ136" s="584"/>
      <c r="BK136" s="583"/>
      <c r="BL136" s="585"/>
      <c r="BM136" s="583"/>
      <c r="BN136" s="584"/>
      <c r="BO136" s="583"/>
      <c r="BP136" s="585"/>
      <c r="BQ136" s="583"/>
      <c r="BR136" s="584"/>
      <c r="BS136" s="583"/>
      <c r="BT136" s="586"/>
      <c r="BU136" s="540"/>
      <c r="BV136" s="540"/>
      <c r="BW136" s="540"/>
      <c r="BX136" s="538"/>
      <c r="BY136" s="538"/>
      <c r="BZ136" s="592"/>
      <c r="CA136" s="633"/>
      <c r="CB136" s="592" t="s">
        <v>365</v>
      </c>
      <c r="CC136" s="592">
        <v>0.0</v>
      </c>
      <c r="CD136" s="592" t="s">
        <v>365</v>
      </c>
      <c r="CE136" s="592">
        <v>0.0</v>
      </c>
      <c r="CF136" s="592"/>
      <c r="CG136" s="592">
        <v>0.0</v>
      </c>
      <c r="CH136" s="592"/>
      <c r="CI136" s="633"/>
      <c r="CJ136" s="592">
        <v>0.0</v>
      </c>
      <c r="CK136" s="479" t="s">
        <v>365</v>
      </c>
      <c r="CL136" s="592"/>
      <c r="CM136" s="593"/>
      <c r="CN136" s="538"/>
      <c r="CO136" s="538"/>
      <c r="CP136" s="538"/>
      <c r="CQ136" s="538"/>
      <c r="CR136" s="538"/>
      <c r="CS136" s="538"/>
      <c r="CT136" s="538"/>
      <c r="CU136" s="538"/>
      <c r="CV136" s="538"/>
      <c r="CW136" s="538"/>
      <c r="CX136" s="538"/>
      <c r="CY136" s="538"/>
      <c r="CZ136" s="538"/>
      <c r="DA136" s="538"/>
      <c r="DB136" s="538"/>
      <c r="DC136" s="538"/>
      <c r="DD136" s="538"/>
      <c r="DE136" s="538"/>
      <c r="DF136" s="538"/>
      <c r="DG136" s="538"/>
      <c r="DH136" s="538"/>
      <c r="DI136" s="538"/>
      <c r="DJ136" s="538"/>
      <c r="DK136" s="538"/>
      <c r="DL136" s="538"/>
      <c r="DM136" s="538"/>
      <c r="DN136" s="538"/>
      <c r="DO136" s="538"/>
      <c r="DP136" s="538"/>
      <c r="DQ136" s="538"/>
      <c r="DR136" s="538"/>
      <c r="DS136" s="538"/>
      <c r="DT136" s="538"/>
      <c r="DU136" s="538"/>
      <c r="DV136" s="538"/>
      <c r="DW136" s="538"/>
      <c r="DX136" s="538"/>
      <c r="DY136" s="538"/>
      <c r="DZ136" s="538"/>
      <c r="EA136" s="538"/>
      <c r="EB136" s="538"/>
      <c r="EC136" s="538"/>
      <c r="ED136" s="538"/>
      <c r="EE136" s="538"/>
      <c r="EF136" s="538"/>
      <c r="EG136" s="538"/>
      <c r="EH136" s="538"/>
      <c r="EI136" s="538"/>
      <c r="EJ136" s="538"/>
      <c r="EK136" s="538"/>
      <c r="EL136" s="538"/>
      <c r="EM136" s="538"/>
      <c r="EN136" s="538"/>
      <c r="EO136" s="538"/>
      <c r="EP136" s="538"/>
      <c r="EQ136" s="538"/>
      <c r="ER136" s="538"/>
      <c r="ES136" s="538"/>
      <c r="ET136" s="538"/>
      <c r="EU136" s="538"/>
      <c r="EV136" s="538"/>
      <c r="EW136" s="538"/>
      <c r="EX136" s="559"/>
      <c r="EY136" s="559"/>
      <c r="EZ136" s="559"/>
      <c r="FA136" s="559"/>
      <c r="FB136" s="559"/>
      <c r="FC136" s="559"/>
      <c r="FD136" s="559"/>
      <c r="FE136" s="559"/>
      <c r="FF136" s="559"/>
      <c r="FG136" s="559"/>
      <c r="FH136" s="559"/>
      <c r="FI136" s="559"/>
      <c r="FJ136" s="559"/>
      <c r="FK136" s="559"/>
      <c r="FL136" s="559"/>
      <c r="FM136" s="559"/>
      <c r="FN136" s="559"/>
      <c r="FO136" s="559"/>
      <c r="FP136" s="559"/>
      <c r="FQ136" s="559"/>
      <c r="FR136" s="559"/>
      <c r="FS136" s="559"/>
      <c r="FT136" s="559"/>
      <c r="FU136" s="559"/>
      <c r="FV136" s="559"/>
      <c r="FW136" s="559"/>
      <c r="FX136" s="559"/>
      <c r="FY136" s="559"/>
      <c r="FZ136" s="559"/>
      <c r="GA136" s="559"/>
      <c r="GB136" s="559"/>
      <c r="GC136" s="559"/>
      <c r="GD136" s="559"/>
      <c r="GE136" s="559"/>
      <c r="GF136" s="559"/>
      <c r="GG136" s="559"/>
      <c r="GH136" s="559"/>
    </row>
    <row r="137">
      <c r="A137" s="538"/>
      <c r="B137" s="156"/>
      <c r="C137" s="444"/>
      <c r="D137" s="614"/>
      <c r="E137" s="66"/>
      <c r="F137" s="642"/>
      <c r="G137" s="642"/>
      <c r="H137" s="615"/>
      <c r="I137" s="616" t="s">
        <v>365</v>
      </c>
      <c r="J137" s="624"/>
      <c r="K137" s="643"/>
      <c r="L137" s="640"/>
      <c r="M137" s="625"/>
      <c r="N137" s="617"/>
      <c r="O137" s="134"/>
      <c r="P137" s="57"/>
      <c r="Q137" s="57"/>
      <c r="S137" s="605"/>
      <c r="U137" s="573"/>
      <c r="V137" s="574"/>
      <c r="W137" s="618"/>
      <c r="X137" s="576">
        <v>0.0</v>
      </c>
      <c r="Y137" s="630">
        <v>0.0</v>
      </c>
      <c r="Z137" s="630" t="s">
        <v>365</v>
      </c>
      <c r="AA137" s="631" t="b">
        <v>0</v>
      </c>
      <c r="AB137" s="631"/>
      <c r="AC137" s="576"/>
      <c r="AD137" s="479">
        <v>0.0</v>
      </c>
      <c r="AE137" s="632"/>
      <c r="AF137" s="582" t="s">
        <v>365</v>
      </c>
      <c r="AG137" s="583"/>
      <c r="AH137" s="584"/>
      <c r="AI137" s="583"/>
      <c r="AJ137" s="585"/>
      <c r="AK137" s="583"/>
      <c r="AL137" s="584"/>
      <c r="AM137" s="583"/>
      <c r="AN137" s="585"/>
      <c r="AO137" s="583"/>
      <c r="AP137" s="584"/>
      <c r="AQ137" s="583"/>
      <c r="AR137" s="585"/>
      <c r="AS137" s="583"/>
      <c r="AT137" s="584"/>
      <c r="AU137" s="583"/>
      <c r="AV137" s="585"/>
      <c r="AW137" s="583"/>
      <c r="AX137" s="584"/>
      <c r="AY137" s="583"/>
      <c r="AZ137" s="585"/>
      <c r="BA137" s="583"/>
      <c r="BB137" s="584"/>
      <c r="BC137" s="583"/>
      <c r="BD137" s="585"/>
      <c r="BE137" s="583"/>
      <c r="BF137" s="584"/>
      <c r="BG137" s="583"/>
      <c r="BH137" s="585"/>
      <c r="BI137" s="583"/>
      <c r="BJ137" s="584"/>
      <c r="BK137" s="583"/>
      <c r="BL137" s="585"/>
      <c r="BM137" s="583"/>
      <c r="BN137" s="584"/>
      <c r="BO137" s="583"/>
      <c r="BP137" s="585"/>
      <c r="BQ137" s="583"/>
      <c r="BR137" s="584"/>
      <c r="BS137" s="583"/>
      <c r="BT137" s="586"/>
      <c r="BU137" s="540"/>
      <c r="BV137" s="540"/>
      <c r="BW137" s="540"/>
      <c r="BX137" s="538"/>
      <c r="BY137" s="538"/>
      <c r="BZ137" s="592"/>
      <c r="CA137" s="633"/>
      <c r="CB137" s="592" t="s">
        <v>365</v>
      </c>
      <c r="CC137" s="592">
        <v>0.0</v>
      </c>
      <c r="CD137" s="592" t="s">
        <v>365</v>
      </c>
      <c r="CE137" s="592">
        <v>0.0</v>
      </c>
      <c r="CF137" s="592"/>
      <c r="CG137" s="592">
        <v>0.0</v>
      </c>
      <c r="CH137" s="592"/>
      <c r="CI137" s="633"/>
      <c r="CJ137" s="592">
        <v>0.0</v>
      </c>
      <c r="CK137" s="479" t="s">
        <v>365</v>
      </c>
      <c r="CL137" s="592"/>
      <c r="CM137" s="593"/>
      <c r="CN137" s="538"/>
      <c r="CO137" s="538"/>
      <c r="CP137" s="538"/>
      <c r="CQ137" s="538"/>
      <c r="CR137" s="538"/>
      <c r="CS137" s="538"/>
      <c r="CT137" s="538"/>
      <c r="CU137" s="538"/>
      <c r="CV137" s="538"/>
      <c r="CW137" s="538"/>
      <c r="CX137" s="538"/>
      <c r="CY137" s="538"/>
      <c r="CZ137" s="538"/>
      <c r="DA137" s="538"/>
      <c r="DB137" s="538"/>
      <c r="DC137" s="538"/>
      <c r="DD137" s="538"/>
      <c r="DE137" s="538"/>
      <c r="DF137" s="538"/>
      <c r="DG137" s="538"/>
      <c r="DH137" s="538"/>
      <c r="DI137" s="538"/>
      <c r="DJ137" s="538"/>
      <c r="DK137" s="538"/>
      <c r="DL137" s="538"/>
      <c r="DM137" s="538"/>
      <c r="DN137" s="538"/>
      <c r="DO137" s="538"/>
      <c r="DP137" s="538"/>
      <c r="DQ137" s="538"/>
      <c r="DR137" s="538"/>
      <c r="DS137" s="538"/>
      <c r="DT137" s="538"/>
      <c r="DU137" s="538"/>
      <c r="DV137" s="538"/>
      <c r="DW137" s="538"/>
      <c r="DX137" s="538"/>
      <c r="DY137" s="538"/>
      <c r="DZ137" s="538"/>
      <c r="EA137" s="538"/>
      <c r="EB137" s="538"/>
      <c r="EC137" s="538"/>
      <c r="ED137" s="538"/>
      <c r="EE137" s="538"/>
      <c r="EF137" s="538"/>
      <c r="EG137" s="538"/>
      <c r="EH137" s="538"/>
      <c r="EI137" s="538"/>
      <c r="EJ137" s="538"/>
      <c r="EK137" s="538"/>
      <c r="EL137" s="538"/>
      <c r="EM137" s="538"/>
      <c r="EN137" s="538"/>
      <c r="EO137" s="538"/>
      <c r="EP137" s="538"/>
      <c r="EQ137" s="538"/>
      <c r="ER137" s="538"/>
      <c r="ES137" s="538"/>
      <c r="ET137" s="538"/>
      <c r="EU137" s="538"/>
      <c r="EV137" s="538"/>
      <c r="EW137" s="538"/>
      <c r="EX137" s="559"/>
      <c r="EY137" s="559"/>
      <c r="EZ137" s="559"/>
      <c r="FA137" s="559"/>
      <c r="FB137" s="559"/>
      <c r="FC137" s="559"/>
      <c r="FD137" s="559"/>
      <c r="FE137" s="559"/>
      <c r="FF137" s="559"/>
      <c r="FG137" s="559"/>
      <c r="FH137" s="559"/>
      <c r="FI137" s="559"/>
      <c r="FJ137" s="559"/>
      <c r="FK137" s="559"/>
      <c r="FL137" s="559"/>
      <c r="FM137" s="559"/>
      <c r="FN137" s="559"/>
      <c r="FO137" s="559"/>
      <c r="FP137" s="559"/>
      <c r="FQ137" s="559"/>
      <c r="FR137" s="559"/>
      <c r="FS137" s="559"/>
      <c r="FT137" s="559"/>
      <c r="FU137" s="559"/>
      <c r="FV137" s="559"/>
      <c r="FW137" s="559"/>
      <c r="FX137" s="559"/>
      <c r="FY137" s="559"/>
      <c r="FZ137" s="559"/>
      <c r="GA137" s="559"/>
      <c r="GB137" s="559"/>
      <c r="GC137" s="559"/>
      <c r="GD137" s="559"/>
      <c r="GE137" s="559"/>
      <c r="GF137" s="559"/>
      <c r="GG137" s="559"/>
      <c r="GH137" s="559"/>
    </row>
    <row r="138">
      <c r="A138" s="538"/>
      <c r="B138" s="156"/>
      <c r="C138" s="444"/>
      <c r="D138" s="614"/>
      <c r="E138" s="68"/>
      <c r="F138" s="644"/>
      <c r="G138" s="644"/>
      <c r="H138" s="627"/>
      <c r="I138" s="622" t="s">
        <v>365</v>
      </c>
      <c r="J138" s="607"/>
      <c r="K138" s="641"/>
      <c r="L138" s="628"/>
      <c r="M138" s="626"/>
      <c r="N138" s="619"/>
      <c r="O138" s="560"/>
      <c r="P138" s="47"/>
      <c r="Q138" s="47"/>
      <c r="S138" s="572"/>
      <c r="U138" s="573"/>
      <c r="V138" s="574"/>
      <c r="W138" s="618"/>
      <c r="X138" s="576">
        <v>0.0</v>
      </c>
      <c r="Y138" s="630">
        <v>0.0</v>
      </c>
      <c r="Z138" s="630" t="s">
        <v>365</v>
      </c>
      <c r="AA138" s="631" t="b">
        <v>0</v>
      </c>
      <c r="AB138" s="631"/>
      <c r="AC138" s="576"/>
      <c r="AD138" s="479">
        <v>0.0</v>
      </c>
      <c r="AE138" s="632"/>
      <c r="AF138" s="582" t="s">
        <v>365</v>
      </c>
      <c r="AG138" s="583"/>
      <c r="AH138" s="584"/>
      <c r="AI138" s="583"/>
      <c r="AJ138" s="585"/>
      <c r="AK138" s="583"/>
      <c r="AL138" s="584"/>
      <c r="AM138" s="583"/>
      <c r="AN138" s="585"/>
      <c r="AO138" s="583"/>
      <c r="AP138" s="584"/>
      <c r="AQ138" s="583"/>
      <c r="AR138" s="585"/>
      <c r="AS138" s="583"/>
      <c r="AT138" s="584"/>
      <c r="AU138" s="583"/>
      <c r="AV138" s="585"/>
      <c r="AW138" s="583"/>
      <c r="AX138" s="584"/>
      <c r="AY138" s="583"/>
      <c r="AZ138" s="585"/>
      <c r="BA138" s="583"/>
      <c r="BB138" s="584"/>
      <c r="BC138" s="583"/>
      <c r="BD138" s="585"/>
      <c r="BE138" s="583"/>
      <c r="BF138" s="584"/>
      <c r="BG138" s="583"/>
      <c r="BH138" s="585"/>
      <c r="BI138" s="583"/>
      <c r="BJ138" s="584"/>
      <c r="BK138" s="583"/>
      <c r="BL138" s="585"/>
      <c r="BM138" s="583"/>
      <c r="BN138" s="584"/>
      <c r="BO138" s="583"/>
      <c r="BP138" s="585"/>
      <c r="BQ138" s="583"/>
      <c r="BR138" s="584"/>
      <c r="BS138" s="583"/>
      <c r="BT138" s="586"/>
      <c r="BU138" s="540"/>
      <c r="BV138" s="540"/>
      <c r="BW138" s="540"/>
      <c r="BX138" s="538"/>
      <c r="BY138" s="538"/>
      <c r="BZ138" s="592"/>
      <c r="CA138" s="633"/>
      <c r="CB138" s="592" t="s">
        <v>365</v>
      </c>
      <c r="CC138" s="592">
        <v>0.0</v>
      </c>
      <c r="CD138" s="592" t="s">
        <v>365</v>
      </c>
      <c r="CE138" s="592">
        <v>0.0</v>
      </c>
      <c r="CF138" s="592"/>
      <c r="CG138" s="592">
        <v>0.0</v>
      </c>
      <c r="CH138" s="592"/>
      <c r="CI138" s="633"/>
      <c r="CJ138" s="592">
        <v>0.0</v>
      </c>
      <c r="CK138" s="479" t="s">
        <v>365</v>
      </c>
      <c r="CL138" s="592"/>
      <c r="CM138" s="593"/>
      <c r="CN138" s="538"/>
      <c r="CO138" s="538"/>
      <c r="CP138" s="538"/>
      <c r="CQ138" s="538"/>
      <c r="CR138" s="538"/>
      <c r="CS138" s="538"/>
      <c r="CT138" s="538"/>
      <c r="CU138" s="538"/>
      <c r="CV138" s="538"/>
      <c r="CW138" s="538"/>
      <c r="CX138" s="538"/>
      <c r="CY138" s="538"/>
      <c r="CZ138" s="538"/>
      <c r="DA138" s="538"/>
      <c r="DB138" s="538"/>
      <c r="DC138" s="538"/>
      <c r="DD138" s="538"/>
      <c r="DE138" s="538"/>
      <c r="DF138" s="538"/>
      <c r="DG138" s="538"/>
      <c r="DH138" s="538"/>
      <c r="DI138" s="538"/>
      <c r="DJ138" s="538"/>
      <c r="DK138" s="538"/>
      <c r="DL138" s="538"/>
      <c r="DM138" s="538"/>
      <c r="DN138" s="538"/>
      <c r="DO138" s="538"/>
      <c r="DP138" s="538"/>
      <c r="DQ138" s="538"/>
      <c r="DR138" s="538"/>
      <c r="DS138" s="538"/>
      <c r="DT138" s="538"/>
      <c r="DU138" s="538"/>
      <c r="DV138" s="538"/>
      <c r="DW138" s="538"/>
      <c r="DX138" s="538"/>
      <c r="DY138" s="538"/>
      <c r="DZ138" s="538"/>
      <c r="EA138" s="538"/>
      <c r="EB138" s="538"/>
      <c r="EC138" s="538"/>
      <c r="ED138" s="538"/>
      <c r="EE138" s="538"/>
      <c r="EF138" s="538"/>
      <c r="EG138" s="538"/>
      <c r="EH138" s="538"/>
      <c r="EI138" s="538"/>
      <c r="EJ138" s="538"/>
      <c r="EK138" s="538"/>
      <c r="EL138" s="538"/>
      <c r="EM138" s="538"/>
      <c r="EN138" s="538"/>
      <c r="EO138" s="538"/>
      <c r="EP138" s="538"/>
      <c r="EQ138" s="538"/>
      <c r="ER138" s="538"/>
      <c r="ES138" s="538"/>
      <c r="ET138" s="538"/>
      <c r="EU138" s="538"/>
      <c r="EV138" s="538"/>
      <c r="EW138" s="538"/>
      <c r="EX138" s="559"/>
      <c r="EY138" s="559"/>
      <c r="EZ138" s="559"/>
      <c r="FA138" s="559"/>
      <c r="FB138" s="559"/>
      <c r="FC138" s="559"/>
      <c r="FD138" s="559"/>
      <c r="FE138" s="559"/>
      <c r="FF138" s="559"/>
      <c r="FG138" s="559"/>
      <c r="FH138" s="559"/>
      <c r="FI138" s="559"/>
      <c r="FJ138" s="559"/>
      <c r="FK138" s="559"/>
      <c r="FL138" s="559"/>
      <c r="FM138" s="559"/>
      <c r="FN138" s="559"/>
      <c r="FO138" s="559"/>
      <c r="FP138" s="559"/>
      <c r="FQ138" s="559"/>
      <c r="FR138" s="559"/>
      <c r="FS138" s="559"/>
      <c r="FT138" s="559"/>
      <c r="FU138" s="559"/>
      <c r="FV138" s="559"/>
      <c r="FW138" s="559"/>
      <c r="FX138" s="559"/>
      <c r="FY138" s="559"/>
      <c r="FZ138" s="559"/>
      <c r="GA138" s="559"/>
      <c r="GB138" s="559"/>
      <c r="GC138" s="559"/>
      <c r="GD138" s="559"/>
      <c r="GE138" s="559"/>
      <c r="GF138" s="559"/>
      <c r="GG138" s="559"/>
      <c r="GH138" s="559"/>
    </row>
    <row r="139">
      <c r="A139" s="538"/>
      <c r="B139" s="156"/>
      <c r="C139" s="444"/>
      <c r="D139" s="614"/>
      <c r="E139" s="66"/>
      <c r="F139" s="642"/>
      <c r="G139" s="642"/>
      <c r="H139" s="615"/>
      <c r="I139" s="616" t="s">
        <v>365</v>
      </c>
      <c r="J139" s="624"/>
      <c r="K139" s="643"/>
      <c r="L139" s="640"/>
      <c r="M139" s="625"/>
      <c r="N139" s="617"/>
      <c r="O139" s="134"/>
      <c r="P139" s="57"/>
      <c r="Q139" s="57"/>
      <c r="S139" s="605"/>
      <c r="U139" s="573"/>
      <c r="V139" s="574"/>
      <c r="W139" s="618"/>
      <c r="X139" s="576">
        <v>0.0</v>
      </c>
      <c r="Y139" s="630">
        <v>0.0</v>
      </c>
      <c r="Z139" s="630" t="s">
        <v>365</v>
      </c>
      <c r="AA139" s="631" t="b">
        <v>0</v>
      </c>
      <c r="AB139" s="631"/>
      <c r="AC139" s="576"/>
      <c r="AD139" s="479">
        <v>0.0</v>
      </c>
      <c r="AE139" s="632"/>
      <c r="AF139" s="582" t="s">
        <v>365</v>
      </c>
      <c r="AG139" s="583"/>
      <c r="AH139" s="584"/>
      <c r="AI139" s="583"/>
      <c r="AJ139" s="585"/>
      <c r="AK139" s="583"/>
      <c r="AL139" s="584"/>
      <c r="AM139" s="583"/>
      <c r="AN139" s="585"/>
      <c r="AO139" s="583"/>
      <c r="AP139" s="584"/>
      <c r="AQ139" s="583"/>
      <c r="AR139" s="585"/>
      <c r="AS139" s="583"/>
      <c r="AT139" s="584"/>
      <c r="AU139" s="583"/>
      <c r="AV139" s="585"/>
      <c r="AW139" s="583"/>
      <c r="AX139" s="584"/>
      <c r="AY139" s="583"/>
      <c r="AZ139" s="585"/>
      <c r="BA139" s="583"/>
      <c r="BB139" s="584"/>
      <c r="BC139" s="583"/>
      <c r="BD139" s="585"/>
      <c r="BE139" s="583"/>
      <c r="BF139" s="584"/>
      <c r="BG139" s="583"/>
      <c r="BH139" s="585"/>
      <c r="BI139" s="583"/>
      <c r="BJ139" s="584"/>
      <c r="BK139" s="583"/>
      <c r="BL139" s="585"/>
      <c r="BM139" s="583"/>
      <c r="BN139" s="584"/>
      <c r="BO139" s="583"/>
      <c r="BP139" s="585"/>
      <c r="BQ139" s="583"/>
      <c r="BR139" s="584"/>
      <c r="BS139" s="583"/>
      <c r="BT139" s="586"/>
      <c r="BU139" s="540"/>
      <c r="BV139" s="540"/>
      <c r="BW139" s="540"/>
      <c r="BX139" s="538"/>
      <c r="BY139" s="538"/>
      <c r="BZ139" s="592"/>
      <c r="CA139" s="633"/>
      <c r="CB139" s="592" t="s">
        <v>365</v>
      </c>
      <c r="CC139" s="592">
        <v>0.0</v>
      </c>
      <c r="CD139" s="592" t="s">
        <v>365</v>
      </c>
      <c r="CE139" s="592">
        <v>0.0</v>
      </c>
      <c r="CF139" s="592"/>
      <c r="CG139" s="592">
        <v>0.0</v>
      </c>
      <c r="CH139" s="592"/>
      <c r="CI139" s="633"/>
      <c r="CJ139" s="592">
        <v>0.0</v>
      </c>
      <c r="CK139" s="479" t="s">
        <v>365</v>
      </c>
      <c r="CL139" s="592"/>
      <c r="CM139" s="593"/>
      <c r="CN139" s="538"/>
      <c r="CO139" s="538"/>
      <c r="CP139" s="538"/>
      <c r="CQ139" s="538"/>
      <c r="CR139" s="538"/>
      <c r="CS139" s="538"/>
      <c r="CT139" s="538"/>
      <c r="CU139" s="538"/>
      <c r="CV139" s="538"/>
      <c r="CW139" s="538"/>
      <c r="CX139" s="538"/>
      <c r="CY139" s="538"/>
      <c r="CZ139" s="538"/>
      <c r="DA139" s="538"/>
      <c r="DB139" s="538"/>
      <c r="DC139" s="538"/>
      <c r="DD139" s="538"/>
      <c r="DE139" s="538"/>
      <c r="DF139" s="538"/>
      <c r="DG139" s="538"/>
      <c r="DH139" s="538"/>
      <c r="DI139" s="538"/>
      <c r="DJ139" s="538"/>
      <c r="DK139" s="538"/>
      <c r="DL139" s="538"/>
      <c r="DM139" s="538"/>
      <c r="DN139" s="538"/>
      <c r="DO139" s="538"/>
      <c r="DP139" s="538"/>
      <c r="DQ139" s="538"/>
      <c r="DR139" s="538"/>
      <c r="DS139" s="538"/>
      <c r="DT139" s="538"/>
      <c r="DU139" s="538"/>
      <c r="DV139" s="538"/>
      <c r="DW139" s="538"/>
      <c r="DX139" s="538"/>
      <c r="DY139" s="538"/>
      <c r="DZ139" s="538"/>
      <c r="EA139" s="538"/>
      <c r="EB139" s="538"/>
      <c r="EC139" s="538"/>
      <c r="ED139" s="538"/>
      <c r="EE139" s="538"/>
      <c r="EF139" s="538"/>
      <c r="EG139" s="538"/>
      <c r="EH139" s="538"/>
      <c r="EI139" s="538"/>
      <c r="EJ139" s="538"/>
      <c r="EK139" s="538"/>
      <c r="EL139" s="538"/>
      <c r="EM139" s="538"/>
      <c r="EN139" s="538"/>
      <c r="EO139" s="538"/>
      <c r="EP139" s="538"/>
      <c r="EQ139" s="538"/>
      <c r="ER139" s="538"/>
      <c r="ES139" s="538"/>
      <c r="ET139" s="538"/>
      <c r="EU139" s="538"/>
      <c r="EV139" s="538"/>
      <c r="EW139" s="538"/>
      <c r="EX139" s="559"/>
      <c r="EY139" s="559"/>
      <c r="EZ139" s="559"/>
      <c r="FA139" s="559"/>
      <c r="FB139" s="559"/>
      <c r="FC139" s="559"/>
      <c r="FD139" s="559"/>
      <c r="FE139" s="559"/>
      <c r="FF139" s="559"/>
      <c r="FG139" s="559"/>
      <c r="FH139" s="559"/>
      <c r="FI139" s="559"/>
      <c r="FJ139" s="559"/>
      <c r="FK139" s="559"/>
      <c r="FL139" s="559"/>
      <c r="FM139" s="559"/>
      <c r="FN139" s="559"/>
      <c r="FO139" s="559"/>
      <c r="FP139" s="559"/>
      <c r="FQ139" s="559"/>
      <c r="FR139" s="559"/>
      <c r="FS139" s="559"/>
      <c r="FT139" s="559"/>
      <c r="FU139" s="559"/>
      <c r="FV139" s="559"/>
      <c r="FW139" s="559"/>
      <c r="FX139" s="559"/>
      <c r="FY139" s="559"/>
      <c r="FZ139" s="559"/>
      <c r="GA139" s="559"/>
      <c r="GB139" s="559"/>
      <c r="GC139" s="559"/>
      <c r="GD139" s="559"/>
      <c r="GE139" s="559"/>
      <c r="GF139" s="559"/>
      <c r="GG139" s="559"/>
      <c r="GH139" s="559"/>
    </row>
    <row r="140">
      <c r="A140" s="538"/>
      <c r="B140" s="156"/>
      <c r="C140" s="444"/>
      <c r="D140" s="614"/>
      <c r="E140" s="68"/>
      <c r="F140" s="644"/>
      <c r="G140" s="644"/>
      <c r="H140" s="627"/>
      <c r="I140" s="622" t="s">
        <v>365</v>
      </c>
      <c r="J140" s="607"/>
      <c r="K140" s="641"/>
      <c r="L140" s="628"/>
      <c r="M140" s="626"/>
      <c r="N140" s="619"/>
      <c r="O140" s="560"/>
      <c r="P140" s="47"/>
      <c r="Q140" s="47"/>
      <c r="S140" s="572"/>
      <c r="U140" s="573"/>
      <c r="V140" s="574"/>
      <c r="W140" s="618"/>
      <c r="X140" s="576">
        <v>0.0</v>
      </c>
      <c r="Y140" s="630">
        <v>0.0</v>
      </c>
      <c r="Z140" s="630" t="s">
        <v>365</v>
      </c>
      <c r="AA140" s="631" t="b">
        <v>0</v>
      </c>
      <c r="AB140" s="631"/>
      <c r="AC140" s="576"/>
      <c r="AD140" s="479">
        <v>0.0</v>
      </c>
      <c r="AE140" s="632"/>
      <c r="AF140" s="582" t="s">
        <v>365</v>
      </c>
      <c r="AG140" s="583"/>
      <c r="AH140" s="584"/>
      <c r="AI140" s="583"/>
      <c r="AJ140" s="585"/>
      <c r="AK140" s="583"/>
      <c r="AL140" s="584"/>
      <c r="AM140" s="583"/>
      <c r="AN140" s="585"/>
      <c r="AO140" s="583"/>
      <c r="AP140" s="584"/>
      <c r="AQ140" s="583"/>
      <c r="AR140" s="585"/>
      <c r="AS140" s="583"/>
      <c r="AT140" s="584"/>
      <c r="AU140" s="583"/>
      <c r="AV140" s="585"/>
      <c r="AW140" s="583"/>
      <c r="AX140" s="584"/>
      <c r="AY140" s="583"/>
      <c r="AZ140" s="585"/>
      <c r="BA140" s="583"/>
      <c r="BB140" s="584"/>
      <c r="BC140" s="583"/>
      <c r="BD140" s="585"/>
      <c r="BE140" s="583"/>
      <c r="BF140" s="584"/>
      <c r="BG140" s="583"/>
      <c r="BH140" s="585"/>
      <c r="BI140" s="583"/>
      <c r="BJ140" s="584"/>
      <c r="BK140" s="583"/>
      <c r="BL140" s="585"/>
      <c r="BM140" s="583"/>
      <c r="BN140" s="584"/>
      <c r="BO140" s="583"/>
      <c r="BP140" s="585"/>
      <c r="BQ140" s="583"/>
      <c r="BR140" s="584"/>
      <c r="BS140" s="583"/>
      <c r="BT140" s="586"/>
      <c r="BU140" s="540"/>
      <c r="BV140" s="540"/>
      <c r="BW140" s="540"/>
      <c r="BX140" s="538"/>
      <c r="BY140" s="538"/>
      <c r="BZ140" s="592"/>
      <c r="CA140" s="633"/>
      <c r="CB140" s="592" t="s">
        <v>365</v>
      </c>
      <c r="CC140" s="592">
        <v>0.0</v>
      </c>
      <c r="CD140" s="592" t="s">
        <v>365</v>
      </c>
      <c r="CE140" s="592">
        <v>0.0</v>
      </c>
      <c r="CF140" s="592"/>
      <c r="CG140" s="592">
        <v>0.0</v>
      </c>
      <c r="CH140" s="592"/>
      <c r="CI140" s="633"/>
      <c r="CJ140" s="592">
        <v>0.0</v>
      </c>
      <c r="CK140" s="479" t="s">
        <v>365</v>
      </c>
      <c r="CL140" s="592"/>
      <c r="CM140" s="593"/>
      <c r="CN140" s="538"/>
      <c r="CO140" s="538"/>
      <c r="CP140" s="538"/>
      <c r="CQ140" s="538"/>
      <c r="CR140" s="538"/>
      <c r="CS140" s="538"/>
      <c r="CT140" s="538"/>
      <c r="CU140" s="538"/>
      <c r="CV140" s="538"/>
      <c r="CW140" s="538"/>
      <c r="CX140" s="538"/>
      <c r="CY140" s="538"/>
      <c r="CZ140" s="538"/>
      <c r="DA140" s="538"/>
      <c r="DB140" s="538"/>
      <c r="DC140" s="538"/>
      <c r="DD140" s="538"/>
      <c r="DE140" s="538"/>
      <c r="DF140" s="538"/>
      <c r="DG140" s="538"/>
      <c r="DH140" s="538"/>
      <c r="DI140" s="538"/>
      <c r="DJ140" s="538"/>
      <c r="DK140" s="538"/>
      <c r="DL140" s="538"/>
      <c r="DM140" s="538"/>
      <c r="DN140" s="538"/>
      <c r="DO140" s="538"/>
      <c r="DP140" s="538"/>
      <c r="DQ140" s="538"/>
      <c r="DR140" s="538"/>
      <c r="DS140" s="538"/>
      <c r="DT140" s="538"/>
      <c r="DU140" s="538"/>
      <c r="DV140" s="538"/>
      <c r="DW140" s="538"/>
      <c r="DX140" s="538"/>
      <c r="DY140" s="538"/>
      <c r="DZ140" s="538"/>
      <c r="EA140" s="538"/>
      <c r="EB140" s="538"/>
      <c r="EC140" s="538"/>
      <c r="ED140" s="538"/>
      <c r="EE140" s="538"/>
      <c r="EF140" s="538"/>
      <c r="EG140" s="538"/>
      <c r="EH140" s="538"/>
      <c r="EI140" s="538"/>
      <c r="EJ140" s="538"/>
      <c r="EK140" s="538"/>
      <c r="EL140" s="538"/>
      <c r="EM140" s="538"/>
      <c r="EN140" s="538"/>
      <c r="EO140" s="538"/>
      <c r="EP140" s="538"/>
      <c r="EQ140" s="538"/>
      <c r="ER140" s="538"/>
      <c r="ES140" s="538"/>
      <c r="ET140" s="538"/>
      <c r="EU140" s="538"/>
      <c r="EV140" s="538"/>
      <c r="EW140" s="538"/>
      <c r="EX140" s="559"/>
      <c r="EY140" s="559"/>
      <c r="EZ140" s="559"/>
      <c r="FA140" s="559"/>
      <c r="FB140" s="559"/>
      <c r="FC140" s="559"/>
      <c r="FD140" s="559"/>
      <c r="FE140" s="559"/>
      <c r="FF140" s="559"/>
      <c r="FG140" s="559"/>
      <c r="FH140" s="559"/>
      <c r="FI140" s="559"/>
      <c r="FJ140" s="559"/>
      <c r="FK140" s="559"/>
      <c r="FL140" s="559"/>
      <c r="FM140" s="559"/>
      <c r="FN140" s="559"/>
      <c r="FO140" s="559"/>
      <c r="FP140" s="559"/>
      <c r="FQ140" s="559"/>
      <c r="FR140" s="559"/>
      <c r="FS140" s="559"/>
      <c r="FT140" s="559"/>
      <c r="FU140" s="559"/>
      <c r="FV140" s="559"/>
      <c r="FW140" s="559"/>
      <c r="FX140" s="559"/>
      <c r="FY140" s="559"/>
      <c r="FZ140" s="559"/>
      <c r="GA140" s="559"/>
      <c r="GB140" s="559"/>
      <c r="GC140" s="559"/>
      <c r="GD140" s="559"/>
      <c r="GE140" s="559"/>
      <c r="GF140" s="559"/>
      <c r="GG140" s="559"/>
      <c r="GH140" s="559"/>
    </row>
    <row r="141">
      <c r="A141" s="538"/>
      <c r="B141" s="156"/>
      <c r="C141" s="444"/>
      <c r="D141" s="614"/>
      <c r="E141" s="66"/>
      <c r="F141" s="642"/>
      <c r="G141" s="642"/>
      <c r="H141" s="615"/>
      <c r="I141" s="616" t="s">
        <v>365</v>
      </c>
      <c r="J141" s="624"/>
      <c r="K141" s="643"/>
      <c r="L141" s="640"/>
      <c r="M141" s="625"/>
      <c r="N141" s="617"/>
      <c r="O141" s="134"/>
      <c r="P141" s="57"/>
      <c r="Q141" s="57"/>
      <c r="S141" s="605"/>
      <c r="U141" s="573"/>
      <c r="V141" s="574"/>
      <c r="W141" s="618"/>
      <c r="X141" s="576">
        <v>0.0</v>
      </c>
      <c r="Y141" s="630">
        <v>0.0</v>
      </c>
      <c r="Z141" s="630" t="s">
        <v>365</v>
      </c>
      <c r="AA141" s="631" t="b">
        <v>0</v>
      </c>
      <c r="AB141" s="631"/>
      <c r="AC141" s="576"/>
      <c r="AD141" s="479">
        <v>0.0</v>
      </c>
      <c r="AE141" s="632"/>
      <c r="AF141" s="582" t="s">
        <v>365</v>
      </c>
      <c r="AG141" s="583"/>
      <c r="AH141" s="584"/>
      <c r="AI141" s="583"/>
      <c r="AJ141" s="585"/>
      <c r="AK141" s="583"/>
      <c r="AL141" s="584"/>
      <c r="AM141" s="583"/>
      <c r="AN141" s="585"/>
      <c r="AO141" s="583"/>
      <c r="AP141" s="584"/>
      <c r="AQ141" s="583"/>
      <c r="AR141" s="585"/>
      <c r="AS141" s="583"/>
      <c r="AT141" s="584"/>
      <c r="AU141" s="583"/>
      <c r="AV141" s="585"/>
      <c r="AW141" s="583"/>
      <c r="AX141" s="584"/>
      <c r="AY141" s="583"/>
      <c r="AZ141" s="585"/>
      <c r="BA141" s="583"/>
      <c r="BB141" s="584"/>
      <c r="BC141" s="583"/>
      <c r="BD141" s="585"/>
      <c r="BE141" s="583"/>
      <c r="BF141" s="584"/>
      <c r="BG141" s="583"/>
      <c r="BH141" s="585"/>
      <c r="BI141" s="583"/>
      <c r="BJ141" s="584"/>
      <c r="BK141" s="583"/>
      <c r="BL141" s="585"/>
      <c r="BM141" s="583"/>
      <c r="BN141" s="584"/>
      <c r="BO141" s="583"/>
      <c r="BP141" s="585"/>
      <c r="BQ141" s="583"/>
      <c r="BR141" s="584"/>
      <c r="BS141" s="583"/>
      <c r="BT141" s="586"/>
      <c r="BU141" s="540"/>
      <c r="BV141" s="540"/>
      <c r="BW141" s="540"/>
      <c r="BX141" s="538"/>
      <c r="BY141" s="538"/>
      <c r="BZ141" s="592"/>
      <c r="CA141" s="633"/>
      <c r="CB141" s="592" t="s">
        <v>365</v>
      </c>
      <c r="CC141" s="592">
        <v>0.0</v>
      </c>
      <c r="CD141" s="592" t="s">
        <v>365</v>
      </c>
      <c r="CE141" s="592">
        <v>0.0</v>
      </c>
      <c r="CF141" s="592"/>
      <c r="CG141" s="592">
        <v>0.0</v>
      </c>
      <c r="CH141" s="592"/>
      <c r="CI141" s="633"/>
      <c r="CJ141" s="592">
        <v>0.0</v>
      </c>
      <c r="CK141" s="479" t="s">
        <v>365</v>
      </c>
      <c r="CL141" s="592"/>
      <c r="CM141" s="593"/>
      <c r="CN141" s="538"/>
      <c r="CO141" s="538"/>
      <c r="CP141" s="538"/>
      <c r="CQ141" s="538"/>
      <c r="CR141" s="538"/>
      <c r="CS141" s="538"/>
      <c r="CT141" s="538"/>
      <c r="CU141" s="538"/>
      <c r="CV141" s="538"/>
      <c r="CW141" s="538"/>
      <c r="CX141" s="538"/>
      <c r="CY141" s="538"/>
      <c r="CZ141" s="538"/>
      <c r="DA141" s="538"/>
      <c r="DB141" s="538"/>
      <c r="DC141" s="538"/>
      <c r="DD141" s="538"/>
      <c r="DE141" s="538"/>
      <c r="DF141" s="538"/>
      <c r="DG141" s="538"/>
      <c r="DH141" s="538"/>
      <c r="DI141" s="538"/>
      <c r="DJ141" s="538"/>
      <c r="DK141" s="538"/>
      <c r="DL141" s="538"/>
      <c r="DM141" s="538"/>
      <c r="DN141" s="538"/>
      <c r="DO141" s="538"/>
      <c r="DP141" s="538"/>
      <c r="DQ141" s="538"/>
      <c r="DR141" s="538"/>
      <c r="DS141" s="538"/>
      <c r="DT141" s="538"/>
      <c r="DU141" s="538"/>
      <c r="DV141" s="538"/>
      <c r="DW141" s="538"/>
      <c r="DX141" s="538"/>
      <c r="DY141" s="538"/>
      <c r="DZ141" s="538"/>
      <c r="EA141" s="538"/>
      <c r="EB141" s="538"/>
      <c r="EC141" s="538"/>
      <c r="ED141" s="538"/>
      <c r="EE141" s="538"/>
      <c r="EF141" s="538"/>
      <c r="EG141" s="538"/>
      <c r="EH141" s="538"/>
      <c r="EI141" s="538"/>
      <c r="EJ141" s="538"/>
      <c r="EK141" s="538"/>
      <c r="EL141" s="538"/>
      <c r="EM141" s="538"/>
      <c r="EN141" s="538"/>
      <c r="EO141" s="538"/>
      <c r="EP141" s="538"/>
      <c r="EQ141" s="538"/>
      <c r="ER141" s="538"/>
      <c r="ES141" s="538"/>
      <c r="ET141" s="538"/>
      <c r="EU141" s="538"/>
      <c r="EV141" s="538"/>
      <c r="EW141" s="538"/>
      <c r="EX141" s="559"/>
      <c r="EY141" s="559"/>
      <c r="EZ141" s="559"/>
      <c r="FA141" s="559"/>
      <c r="FB141" s="559"/>
      <c r="FC141" s="559"/>
      <c r="FD141" s="559"/>
      <c r="FE141" s="559"/>
      <c r="FF141" s="559"/>
      <c r="FG141" s="559"/>
      <c r="FH141" s="559"/>
      <c r="FI141" s="559"/>
      <c r="FJ141" s="559"/>
      <c r="FK141" s="559"/>
      <c r="FL141" s="559"/>
      <c r="FM141" s="559"/>
      <c r="FN141" s="559"/>
      <c r="FO141" s="559"/>
      <c r="FP141" s="559"/>
      <c r="FQ141" s="559"/>
      <c r="FR141" s="559"/>
      <c r="FS141" s="559"/>
      <c r="FT141" s="559"/>
      <c r="FU141" s="559"/>
      <c r="FV141" s="559"/>
      <c r="FW141" s="559"/>
      <c r="FX141" s="559"/>
      <c r="FY141" s="559"/>
      <c r="FZ141" s="559"/>
      <c r="GA141" s="559"/>
      <c r="GB141" s="559"/>
      <c r="GC141" s="559"/>
      <c r="GD141" s="559"/>
      <c r="GE141" s="559"/>
      <c r="GF141" s="559"/>
      <c r="GG141" s="559"/>
      <c r="GH141" s="559"/>
    </row>
    <row r="142">
      <c r="A142" s="538"/>
      <c r="B142" s="156"/>
      <c r="C142" s="444"/>
      <c r="D142" s="614"/>
      <c r="E142" s="68"/>
      <c r="F142" s="644"/>
      <c r="G142" s="644"/>
      <c r="H142" s="627"/>
      <c r="I142" s="622" t="s">
        <v>365</v>
      </c>
      <c r="J142" s="607"/>
      <c r="K142" s="641"/>
      <c r="L142" s="628"/>
      <c r="M142" s="626"/>
      <c r="N142" s="619"/>
      <c r="O142" s="560"/>
      <c r="P142" s="47"/>
      <c r="Q142" s="47"/>
      <c r="S142" s="572"/>
      <c r="U142" s="573"/>
      <c r="V142" s="574"/>
      <c r="W142" s="618"/>
      <c r="X142" s="576">
        <v>0.0</v>
      </c>
      <c r="Y142" s="630">
        <v>0.0</v>
      </c>
      <c r="Z142" s="630" t="s">
        <v>365</v>
      </c>
      <c r="AA142" s="631" t="b">
        <v>0</v>
      </c>
      <c r="AB142" s="631"/>
      <c r="AC142" s="576"/>
      <c r="AD142" s="479">
        <v>0.0</v>
      </c>
      <c r="AE142" s="632"/>
      <c r="AF142" s="582" t="s">
        <v>365</v>
      </c>
      <c r="AG142" s="583"/>
      <c r="AH142" s="584"/>
      <c r="AI142" s="583"/>
      <c r="AJ142" s="585"/>
      <c r="AK142" s="583"/>
      <c r="AL142" s="584"/>
      <c r="AM142" s="583"/>
      <c r="AN142" s="585"/>
      <c r="AO142" s="583"/>
      <c r="AP142" s="584"/>
      <c r="AQ142" s="583"/>
      <c r="AR142" s="585"/>
      <c r="AS142" s="583"/>
      <c r="AT142" s="584"/>
      <c r="AU142" s="583"/>
      <c r="AV142" s="585"/>
      <c r="AW142" s="583"/>
      <c r="AX142" s="584"/>
      <c r="AY142" s="583"/>
      <c r="AZ142" s="585"/>
      <c r="BA142" s="583"/>
      <c r="BB142" s="584"/>
      <c r="BC142" s="583"/>
      <c r="BD142" s="585"/>
      <c r="BE142" s="583"/>
      <c r="BF142" s="584"/>
      <c r="BG142" s="583"/>
      <c r="BH142" s="585"/>
      <c r="BI142" s="583"/>
      <c r="BJ142" s="584"/>
      <c r="BK142" s="583"/>
      <c r="BL142" s="585"/>
      <c r="BM142" s="583"/>
      <c r="BN142" s="584"/>
      <c r="BO142" s="583"/>
      <c r="BP142" s="585"/>
      <c r="BQ142" s="583"/>
      <c r="BR142" s="584"/>
      <c r="BS142" s="583"/>
      <c r="BT142" s="586"/>
      <c r="BU142" s="540"/>
      <c r="BV142" s="540"/>
      <c r="BW142" s="540"/>
      <c r="BX142" s="538"/>
      <c r="BY142" s="538"/>
      <c r="BZ142" s="592"/>
      <c r="CA142" s="633"/>
      <c r="CB142" s="592" t="s">
        <v>365</v>
      </c>
      <c r="CC142" s="592">
        <v>0.0</v>
      </c>
      <c r="CD142" s="592" t="s">
        <v>365</v>
      </c>
      <c r="CE142" s="592">
        <v>0.0</v>
      </c>
      <c r="CF142" s="592"/>
      <c r="CG142" s="592">
        <v>0.0</v>
      </c>
      <c r="CH142" s="592"/>
      <c r="CI142" s="633"/>
      <c r="CJ142" s="592">
        <v>0.0</v>
      </c>
      <c r="CK142" s="479" t="s">
        <v>365</v>
      </c>
      <c r="CL142" s="592"/>
      <c r="CM142" s="593"/>
      <c r="CN142" s="538"/>
      <c r="CO142" s="538"/>
      <c r="CP142" s="538"/>
      <c r="CQ142" s="538"/>
      <c r="CR142" s="538"/>
      <c r="CS142" s="538"/>
      <c r="CT142" s="538"/>
      <c r="CU142" s="538"/>
      <c r="CV142" s="538"/>
      <c r="CW142" s="538"/>
      <c r="CX142" s="538"/>
      <c r="CY142" s="538"/>
      <c r="CZ142" s="538"/>
      <c r="DA142" s="538"/>
      <c r="DB142" s="538"/>
      <c r="DC142" s="538"/>
      <c r="DD142" s="538"/>
      <c r="DE142" s="538"/>
      <c r="DF142" s="538"/>
      <c r="DG142" s="538"/>
      <c r="DH142" s="538"/>
      <c r="DI142" s="538"/>
      <c r="DJ142" s="538"/>
      <c r="DK142" s="538"/>
      <c r="DL142" s="538"/>
      <c r="DM142" s="538"/>
      <c r="DN142" s="538"/>
      <c r="DO142" s="538"/>
      <c r="DP142" s="538"/>
      <c r="DQ142" s="538"/>
      <c r="DR142" s="538"/>
      <c r="DS142" s="538"/>
      <c r="DT142" s="538"/>
      <c r="DU142" s="538"/>
      <c r="DV142" s="538"/>
      <c r="DW142" s="538"/>
      <c r="DX142" s="538"/>
      <c r="DY142" s="538"/>
      <c r="DZ142" s="538"/>
      <c r="EA142" s="538"/>
      <c r="EB142" s="538"/>
      <c r="EC142" s="538"/>
      <c r="ED142" s="538"/>
      <c r="EE142" s="538"/>
      <c r="EF142" s="538"/>
      <c r="EG142" s="538"/>
      <c r="EH142" s="538"/>
      <c r="EI142" s="538"/>
      <c r="EJ142" s="538"/>
      <c r="EK142" s="538"/>
      <c r="EL142" s="538"/>
      <c r="EM142" s="538"/>
      <c r="EN142" s="538"/>
      <c r="EO142" s="538"/>
      <c r="EP142" s="538"/>
      <c r="EQ142" s="538"/>
      <c r="ER142" s="538"/>
      <c r="ES142" s="538"/>
      <c r="ET142" s="538"/>
      <c r="EU142" s="538"/>
      <c r="EV142" s="538"/>
      <c r="EW142" s="538"/>
      <c r="EX142" s="559"/>
      <c r="EY142" s="559"/>
      <c r="EZ142" s="559"/>
      <c r="FA142" s="559"/>
      <c r="FB142" s="559"/>
      <c r="FC142" s="559"/>
      <c r="FD142" s="559"/>
      <c r="FE142" s="559"/>
      <c r="FF142" s="559"/>
      <c r="FG142" s="559"/>
      <c r="FH142" s="559"/>
      <c r="FI142" s="559"/>
      <c r="FJ142" s="559"/>
      <c r="FK142" s="559"/>
      <c r="FL142" s="559"/>
      <c r="FM142" s="559"/>
      <c r="FN142" s="559"/>
      <c r="FO142" s="559"/>
      <c r="FP142" s="559"/>
      <c r="FQ142" s="559"/>
      <c r="FR142" s="559"/>
      <c r="FS142" s="559"/>
      <c r="FT142" s="559"/>
      <c r="FU142" s="559"/>
      <c r="FV142" s="559"/>
      <c r="FW142" s="559"/>
      <c r="FX142" s="559"/>
      <c r="FY142" s="559"/>
      <c r="FZ142" s="559"/>
      <c r="GA142" s="559"/>
      <c r="GB142" s="559"/>
      <c r="GC142" s="559"/>
      <c r="GD142" s="559"/>
      <c r="GE142" s="559"/>
      <c r="GF142" s="559"/>
      <c r="GG142" s="559"/>
      <c r="GH142" s="559"/>
    </row>
    <row r="143">
      <c r="A143" s="538"/>
      <c r="B143" s="156"/>
      <c r="C143" s="444"/>
      <c r="D143" s="614"/>
      <c r="E143" s="66"/>
      <c r="F143" s="642"/>
      <c r="G143" s="642"/>
      <c r="H143" s="615"/>
      <c r="I143" s="616" t="s">
        <v>365</v>
      </c>
      <c r="J143" s="624"/>
      <c r="K143" s="643"/>
      <c r="L143" s="640"/>
      <c r="M143" s="625"/>
      <c r="N143" s="617"/>
      <c r="O143" s="134"/>
      <c r="P143" s="57"/>
      <c r="Q143" s="57"/>
      <c r="S143" s="605"/>
      <c r="U143" s="573"/>
      <c r="V143" s="574"/>
      <c r="W143" s="618"/>
      <c r="X143" s="576">
        <v>0.0</v>
      </c>
      <c r="Y143" s="630">
        <v>0.0</v>
      </c>
      <c r="Z143" s="630" t="s">
        <v>365</v>
      </c>
      <c r="AA143" s="631" t="b">
        <v>0</v>
      </c>
      <c r="AB143" s="631"/>
      <c r="AC143" s="576"/>
      <c r="AD143" s="479">
        <v>0.0</v>
      </c>
      <c r="AE143" s="632"/>
      <c r="AF143" s="582" t="s">
        <v>365</v>
      </c>
      <c r="AG143" s="583"/>
      <c r="AH143" s="584"/>
      <c r="AI143" s="583"/>
      <c r="AJ143" s="585"/>
      <c r="AK143" s="583"/>
      <c r="AL143" s="584"/>
      <c r="AM143" s="583"/>
      <c r="AN143" s="585"/>
      <c r="AO143" s="583"/>
      <c r="AP143" s="584"/>
      <c r="AQ143" s="583"/>
      <c r="AR143" s="585"/>
      <c r="AS143" s="583"/>
      <c r="AT143" s="584"/>
      <c r="AU143" s="583"/>
      <c r="AV143" s="585"/>
      <c r="AW143" s="583"/>
      <c r="AX143" s="584"/>
      <c r="AY143" s="583"/>
      <c r="AZ143" s="585"/>
      <c r="BA143" s="583"/>
      <c r="BB143" s="584"/>
      <c r="BC143" s="583"/>
      <c r="BD143" s="585"/>
      <c r="BE143" s="583"/>
      <c r="BF143" s="584"/>
      <c r="BG143" s="583"/>
      <c r="BH143" s="585"/>
      <c r="BI143" s="583"/>
      <c r="BJ143" s="584"/>
      <c r="BK143" s="583"/>
      <c r="BL143" s="585"/>
      <c r="BM143" s="583"/>
      <c r="BN143" s="584"/>
      <c r="BO143" s="583"/>
      <c r="BP143" s="585"/>
      <c r="BQ143" s="583"/>
      <c r="BR143" s="584"/>
      <c r="BS143" s="583"/>
      <c r="BT143" s="586"/>
      <c r="BU143" s="540"/>
      <c r="BV143" s="540"/>
      <c r="BW143" s="540"/>
      <c r="BX143" s="538"/>
      <c r="BY143" s="538"/>
      <c r="BZ143" s="592"/>
      <c r="CA143" s="633"/>
      <c r="CB143" s="592" t="s">
        <v>365</v>
      </c>
      <c r="CC143" s="592">
        <v>0.0</v>
      </c>
      <c r="CD143" s="592" t="s">
        <v>365</v>
      </c>
      <c r="CE143" s="592">
        <v>0.0</v>
      </c>
      <c r="CF143" s="592"/>
      <c r="CG143" s="592">
        <v>0.0</v>
      </c>
      <c r="CH143" s="592"/>
      <c r="CI143" s="633"/>
      <c r="CJ143" s="592">
        <v>0.0</v>
      </c>
      <c r="CK143" s="479" t="s">
        <v>365</v>
      </c>
      <c r="CL143" s="592"/>
      <c r="CM143" s="593"/>
      <c r="CN143" s="538"/>
      <c r="CO143" s="538"/>
      <c r="CP143" s="538"/>
      <c r="CQ143" s="538"/>
      <c r="CR143" s="538"/>
      <c r="CS143" s="538"/>
      <c r="CT143" s="538"/>
      <c r="CU143" s="538"/>
      <c r="CV143" s="538"/>
      <c r="CW143" s="538"/>
      <c r="CX143" s="538"/>
      <c r="CY143" s="538"/>
      <c r="CZ143" s="538"/>
      <c r="DA143" s="538"/>
      <c r="DB143" s="538"/>
      <c r="DC143" s="538"/>
      <c r="DD143" s="538"/>
      <c r="DE143" s="538"/>
      <c r="DF143" s="538"/>
      <c r="DG143" s="538"/>
      <c r="DH143" s="538"/>
      <c r="DI143" s="538"/>
      <c r="DJ143" s="538"/>
      <c r="DK143" s="538"/>
      <c r="DL143" s="538"/>
      <c r="DM143" s="538"/>
      <c r="DN143" s="538"/>
      <c r="DO143" s="538"/>
      <c r="DP143" s="538"/>
      <c r="DQ143" s="538"/>
      <c r="DR143" s="538"/>
      <c r="DS143" s="538"/>
      <c r="DT143" s="538"/>
      <c r="DU143" s="538"/>
      <c r="DV143" s="538"/>
      <c r="DW143" s="538"/>
      <c r="DX143" s="538"/>
      <c r="DY143" s="538"/>
      <c r="DZ143" s="538"/>
      <c r="EA143" s="538"/>
      <c r="EB143" s="538"/>
      <c r="EC143" s="538"/>
      <c r="ED143" s="538"/>
      <c r="EE143" s="538"/>
      <c r="EF143" s="538"/>
      <c r="EG143" s="538"/>
      <c r="EH143" s="538"/>
      <c r="EI143" s="538"/>
      <c r="EJ143" s="538"/>
      <c r="EK143" s="538"/>
      <c r="EL143" s="538"/>
      <c r="EM143" s="538"/>
      <c r="EN143" s="538"/>
      <c r="EO143" s="538"/>
      <c r="EP143" s="538"/>
      <c r="EQ143" s="538"/>
      <c r="ER143" s="538"/>
      <c r="ES143" s="538"/>
      <c r="ET143" s="538"/>
      <c r="EU143" s="538"/>
      <c r="EV143" s="538"/>
      <c r="EW143" s="538"/>
      <c r="EX143" s="559"/>
      <c r="EY143" s="559"/>
      <c r="EZ143" s="559"/>
      <c r="FA143" s="559"/>
      <c r="FB143" s="559"/>
      <c r="FC143" s="559"/>
      <c r="FD143" s="559"/>
      <c r="FE143" s="559"/>
      <c r="FF143" s="559"/>
      <c r="FG143" s="559"/>
      <c r="FH143" s="559"/>
      <c r="FI143" s="559"/>
      <c r="FJ143" s="559"/>
      <c r="FK143" s="559"/>
      <c r="FL143" s="559"/>
      <c r="FM143" s="559"/>
      <c r="FN143" s="559"/>
      <c r="FO143" s="559"/>
      <c r="FP143" s="559"/>
      <c r="FQ143" s="559"/>
      <c r="FR143" s="559"/>
      <c r="FS143" s="559"/>
      <c r="FT143" s="559"/>
      <c r="FU143" s="559"/>
      <c r="FV143" s="559"/>
      <c r="FW143" s="559"/>
      <c r="FX143" s="559"/>
      <c r="FY143" s="559"/>
      <c r="FZ143" s="559"/>
      <c r="GA143" s="559"/>
      <c r="GB143" s="559"/>
      <c r="GC143" s="559"/>
      <c r="GD143" s="559"/>
      <c r="GE143" s="559"/>
      <c r="GF143" s="559"/>
      <c r="GG143" s="559"/>
      <c r="GH143" s="559"/>
    </row>
    <row r="144">
      <c r="A144" s="538"/>
      <c r="B144" s="156"/>
      <c r="C144" s="444"/>
      <c r="D144" s="614"/>
      <c r="E144" s="68"/>
      <c r="F144" s="644"/>
      <c r="G144" s="644"/>
      <c r="H144" s="627"/>
      <c r="I144" s="622" t="s">
        <v>365</v>
      </c>
      <c r="J144" s="607"/>
      <c r="K144" s="641"/>
      <c r="L144" s="628"/>
      <c r="M144" s="626"/>
      <c r="N144" s="619"/>
      <c r="O144" s="560"/>
      <c r="P144" s="47"/>
      <c r="Q144" s="47"/>
      <c r="S144" s="572"/>
      <c r="U144" s="573"/>
      <c r="V144" s="574"/>
      <c r="W144" s="618"/>
      <c r="X144" s="576">
        <v>0.0</v>
      </c>
      <c r="Y144" s="630">
        <v>0.0</v>
      </c>
      <c r="Z144" s="630" t="s">
        <v>365</v>
      </c>
      <c r="AA144" s="631" t="b">
        <v>0</v>
      </c>
      <c r="AB144" s="631"/>
      <c r="AC144" s="576"/>
      <c r="AD144" s="479">
        <v>0.0</v>
      </c>
      <c r="AE144" s="632"/>
      <c r="AF144" s="582" t="s">
        <v>365</v>
      </c>
      <c r="AG144" s="583"/>
      <c r="AH144" s="584"/>
      <c r="AI144" s="583"/>
      <c r="AJ144" s="585"/>
      <c r="AK144" s="583"/>
      <c r="AL144" s="584"/>
      <c r="AM144" s="583"/>
      <c r="AN144" s="585"/>
      <c r="AO144" s="583"/>
      <c r="AP144" s="584"/>
      <c r="AQ144" s="583"/>
      <c r="AR144" s="585"/>
      <c r="AS144" s="583"/>
      <c r="AT144" s="584"/>
      <c r="AU144" s="583"/>
      <c r="AV144" s="585"/>
      <c r="AW144" s="583"/>
      <c r="AX144" s="584"/>
      <c r="AY144" s="583"/>
      <c r="AZ144" s="585"/>
      <c r="BA144" s="583"/>
      <c r="BB144" s="584"/>
      <c r="BC144" s="583"/>
      <c r="BD144" s="585"/>
      <c r="BE144" s="583"/>
      <c r="BF144" s="584"/>
      <c r="BG144" s="583"/>
      <c r="BH144" s="585"/>
      <c r="BI144" s="583"/>
      <c r="BJ144" s="584"/>
      <c r="BK144" s="583"/>
      <c r="BL144" s="585"/>
      <c r="BM144" s="583"/>
      <c r="BN144" s="584"/>
      <c r="BO144" s="583"/>
      <c r="BP144" s="585"/>
      <c r="BQ144" s="583"/>
      <c r="BR144" s="584"/>
      <c r="BS144" s="583"/>
      <c r="BT144" s="586"/>
      <c r="BU144" s="540"/>
      <c r="BV144" s="540"/>
      <c r="BW144" s="540"/>
      <c r="BX144" s="538"/>
      <c r="BY144" s="538"/>
      <c r="BZ144" s="592"/>
      <c r="CA144" s="633"/>
      <c r="CB144" s="592" t="s">
        <v>365</v>
      </c>
      <c r="CC144" s="592">
        <v>0.0</v>
      </c>
      <c r="CD144" s="592" t="s">
        <v>365</v>
      </c>
      <c r="CE144" s="592">
        <v>0.0</v>
      </c>
      <c r="CF144" s="592"/>
      <c r="CG144" s="592">
        <v>0.0</v>
      </c>
      <c r="CH144" s="592"/>
      <c r="CI144" s="633"/>
      <c r="CJ144" s="592">
        <v>0.0</v>
      </c>
      <c r="CK144" s="479" t="s">
        <v>365</v>
      </c>
      <c r="CL144" s="592"/>
      <c r="CM144" s="593"/>
      <c r="CN144" s="538"/>
      <c r="CO144" s="538"/>
      <c r="CP144" s="538"/>
      <c r="CQ144" s="538"/>
      <c r="CR144" s="538"/>
      <c r="CS144" s="538"/>
      <c r="CT144" s="538"/>
      <c r="CU144" s="538"/>
      <c r="CV144" s="538"/>
      <c r="CW144" s="538"/>
      <c r="CX144" s="538"/>
      <c r="CY144" s="538"/>
      <c r="CZ144" s="538"/>
      <c r="DA144" s="538"/>
      <c r="DB144" s="538"/>
      <c r="DC144" s="538"/>
      <c r="DD144" s="538"/>
      <c r="DE144" s="538"/>
      <c r="DF144" s="538"/>
      <c r="DG144" s="538"/>
      <c r="DH144" s="538"/>
      <c r="DI144" s="538"/>
      <c r="DJ144" s="538"/>
      <c r="DK144" s="538"/>
      <c r="DL144" s="538"/>
      <c r="DM144" s="538"/>
      <c r="DN144" s="538"/>
      <c r="DO144" s="538"/>
      <c r="DP144" s="538"/>
      <c r="DQ144" s="538"/>
      <c r="DR144" s="538"/>
      <c r="DS144" s="538"/>
      <c r="DT144" s="538"/>
      <c r="DU144" s="538"/>
      <c r="DV144" s="538"/>
      <c r="DW144" s="538"/>
      <c r="DX144" s="538"/>
      <c r="DY144" s="538"/>
      <c r="DZ144" s="538"/>
      <c r="EA144" s="538"/>
      <c r="EB144" s="538"/>
      <c r="EC144" s="538"/>
      <c r="ED144" s="538"/>
      <c r="EE144" s="538"/>
      <c r="EF144" s="538"/>
      <c r="EG144" s="538"/>
      <c r="EH144" s="538"/>
      <c r="EI144" s="538"/>
      <c r="EJ144" s="538"/>
      <c r="EK144" s="538"/>
      <c r="EL144" s="538"/>
      <c r="EM144" s="538"/>
      <c r="EN144" s="538"/>
      <c r="EO144" s="538"/>
      <c r="EP144" s="538"/>
      <c r="EQ144" s="538"/>
      <c r="ER144" s="538"/>
      <c r="ES144" s="538"/>
      <c r="ET144" s="538"/>
      <c r="EU144" s="538"/>
      <c r="EV144" s="538"/>
      <c r="EW144" s="538"/>
      <c r="EX144" s="559"/>
      <c r="EY144" s="559"/>
      <c r="EZ144" s="559"/>
      <c r="FA144" s="559"/>
      <c r="FB144" s="559"/>
      <c r="FC144" s="559"/>
      <c r="FD144" s="559"/>
      <c r="FE144" s="559"/>
      <c r="FF144" s="559"/>
      <c r="FG144" s="559"/>
      <c r="FH144" s="559"/>
      <c r="FI144" s="559"/>
      <c r="FJ144" s="559"/>
      <c r="FK144" s="559"/>
      <c r="FL144" s="559"/>
      <c r="FM144" s="559"/>
      <c r="FN144" s="559"/>
      <c r="FO144" s="559"/>
      <c r="FP144" s="559"/>
      <c r="FQ144" s="559"/>
      <c r="FR144" s="559"/>
      <c r="FS144" s="559"/>
      <c r="FT144" s="559"/>
      <c r="FU144" s="559"/>
      <c r="FV144" s="559"/>
      <c r="FW144" s="559"/>
      <c r="FX144" s="559"/>
      <c r="FY144" s="559"/>
      <c r="FZ144" s="559"/>
      <c r="GA144" s="559"/>
      <c r="GB144" s="559"/>
      <c r="GC144" s="559"/>
      <c r="GD144" s="559"/>
      <c r="GE144" s="559"/>
      <c r="GF144" s="559"/>
      <c r="GG144" s="559"/>
      <c r="GH144" s="559"/>
    </row>
    <row r="145">
      <c r="A145" s="538"/>
      <c r="B145" s="156"/>
      <c r="C145" s="444"/>
      <c r="D145" s="614"/>
      <c r="E145" s="66"/>
      <c r="F145" s="642"/>
      <c r="G145" s="642"/>
      <c r="H145" s="615"/>
      <c r="I145" s="616" t="s">
        <v>365</v>
      </c>
      <c r="J145" s="624"/>
      <c r="K145" s="643"/>
      <c r="L145" s="640"/>
      <c r="M145" s="625"/>
      <c r="N145" s="617"/>
      <c r="O145" s="134"/>
      <c r="P145" s="57"/>
      <c r="Q145" s="57"/>
      <c r="S145" s="605"/>
      <c r="U145" s="573"/>
      <c r="V145" s="574"/>
      <c r="W145" s="618"/>
      <c r="X145" s="576">
        <v>0.0</v>
      </c>
      <c r="Y145" s="630">
        <v>0.0</v>
      </c>
      <c r="Z145" s="630" t="s">
        <v>365</v>
      </c>
      <c r="AA145" s="631" t="b">
        <v>0</v>
      </c>
      <c r="AB145" s="631"/>
      <c r="AC145" s="576"/>
      <c r="AD145" s="479">
        <v>0.0</v>
      </c>
      <c r="AE145" s="632"/>
      <c r="AF145" s="582" t="s">
        <v>365</v>
      </c>
      <c r="AG145" s="583"/>
      <c r="AH145" s="584"/>
      <c r="AI145" s="583"/>
      <c r="AJ145" s="585"/>
      <c r="AK145" s="583"/>
      <c r="AL145" s="584"/>
      <c r="AM145" s="583"/>
      <c r="AN145" s="585"/>
      <c r="AO145" s="583"/>
      <c r="AP145" s="584"/>
      <c r="AQ145" s="583"/>
      <c r="AR145" s="585"/>
      <c r="AS145" s="583"/>
      <c r="AT145" s="584"/>
      <c r="AU145" s="583"/>
      <c r="AV145" s="585"/>
      <c r="AW145" s="583"/>
      <c r="AX145" s="584"/>
      <c r="AY145" s="583"/>
      <c r="AZ145" s="585"/>
      <c r="BA145" s="583"/>
      <c r="BB145" s="584"/>
      <c r="BC145" s="583"/>
      <c r="BD145" s="585"/>
      <c r="BE145" s="583"/>
      <c r="BF145" s="584"/>
      <c r="BG145" s="583"/>
      <c r="BH145" s="585"/>
      <c r="BI145" s="583"/>
      <c r="BJ145" s="584"/>
      <c r="BK145" s="583"/>
      <c r="BL145" s="585"/>
      <c r="BM145" s="583"/>
      <c r="BN145" s="584"/>
      <c r="BO145" s="583"/>
      <c r="BP145" s="585"/>
      <c r="BQ145" s="583"/>
      <c r="BR145" s="584"/>
      <c r="BS145" s="583"/>
      <c r="BT145" s="586"/>
      <c r="BU145" s="540"/>
      <c r="BV145" s="540"/>
      <c r="BW145" s="540"/>
      <c r="BX145" s="538"/>
      <c r="BY145" s="538"/>
      <c r="BZ145" s="592"/>
      <c r="CA145" s="633"/>
      <c r="CB145" s="592" t="s">
        <v>365</v>
      </c>
      <c r="CC145" s="592">
        <v>0.0</v>
      </c>
      <c r="CD145" s="592" t="s">
        <v>365</v>
      </c>
      <c r="CE145" s="592">
        <v>0.0</v>
      </c>
      <c r="CF145" s="592"/>
      <c r="CG145" s="592">
        <v>0.0</v>
      </c>
      <c r="CH145" s="592"/>
      <c r="CI145" s="633"/>
      <c r="CJ145" s="592">
        <v>0.0</v>
      </c>
      <c r="CK145" s="479" t="s">
        <v>365</v>
      </c>
      <c r="CL145" s="592"/>
      <c r="CM145" s="593"/>
      <c r="CN145" s="538"/>
      <c r="CO145" s="538"/>
      <c r="CP145" s="538"/>
      <c r="CQ145" s="538"/>
      <c r="CR145" s="538"/>
      <c r="CS145" s="538"/>
      <c r="CT145" s="538"/>
      <c r="CU145" s="538"/>
      <c r="CV145" s="538"/>
      <c r="CW145" s="538"/>
      <c r="CX145" s="538"/>
      <c r="CY145" s="538"/>
      <c r="CZ145" s="538"/>
      <c r="DA145" s="538"/>
      <c r="DB145" s="538"/>
      <c r="DC145" s="538"/>
      <c r="DD145" s="538"/>
      <c r="DE145" s="538"/>
      <c r="DF145" s="538"/>
      <c r="DG145" s="538"/>
      <c r="DH145" s="538"/>
      <c r="DI145" s="538"/>
      <c r="DJ145" s="538"/>
      <c r="DK145" s="538"/>
      <c r="DL145" s="538"/>
      <c r="DM145" s="538"/>
      <c r="DN145" s="538"/>
      <c r="DO145" s="538"/>
      <c r="DP145" s="538"/>
      <c r="DQ145" s="538"/>
      <c r="DR145" s="538"/>
      <c r="DS145" s="538"/>
      <c r="DT145" s="538"/>
      <c r="DU145" s="538"/>
      <c r="DV145" s="538"/>
      <c r="DW145" s="538"/>
      <c r="DX145" s="538"/>
      <c r="DY145" s="538"/>
      <c r="DZ145" s="538"/>
      <c r="EA145" s="538"/>
      <c r="EB145" s="538"/>
      <c r="EC145" s="538"/>
      <c r="ED145" s="538"/>
      <c r="EE145" s="538"/>
      <c r="EF145" s="538"/>
      <c r="EG145" s="538"/>
      <c r="EH145" s="538"/>
      <c r="EI145" s="538"/>
      <c r="EJ145" s="538"/>
      <c r="EK145" s="538"/>
      <c r="EL145" s="538"/>
      <c r="EM145" s="538"/>
      <c r="EN145" s="538"/>
      <c r="EO145" s="538"/>
      <c r="EP145" s="538"/>
      <c r="EQ145" s="538"/>
      <c r="ER145" s="538"/>
      <c r="ES145" s="538"/>
      <c r="ET145" s="538"/>
      <c r="EU145" s="538"/>
      <c r="EV145" s="538"/>
      <c r="EW145" s="538"/>
      <c r="EX145" s="559"/>
      <c r="EY145" s="559"/>
      <c r="EZ145" s="559"/>
      <c r="FA145" s="559"/>
      <c r="FB145" s="559"/>
      <c r="FC145" s="559"/>
      <c r="FD145" s="559"/>
      <c r="FE145" s="559"/>
      <c r="FF145" s="559"/>
      <c r="FG145" s="559"/>
      <c r="FH145" s="559"/>
      <c r="FI145" s="559"/>
      <c r="FJ145" s="559"/>
      <c r="FK145" s="559"/>
      <c r="FL145" s="559"/>
      <c r="FM145" s="559"/>
      <c r="FN145" s="559"/>
      <c r="FO145" s="559"/>
      <c r="FP145" s="559"/>
      <c r="FQ145" s="559"/>
      <c r="FR145" s="559"/>
      <c r="FS145" s="559"/>
      <c r="FT145" s="559"/>
      <c r="FU145" s="559"/>
      <c r="FV145" s="559"/>
      <c r="FW145" s="559"/>
      <c r="FX145" s="559"/>
      <c r="FY145" s="559"/>
      <c r="FZ145" s="559"/>
      <c r="GA145" s="559"/>
      <c r="GB145" s="559"/>
      <c r="GC145" s="559"/>
      <c r="GD145" s="559"/>
      <c r="GE145" s="559"/>
      <c r="GF145" s="559"/>
      <c r="GG145" s="559"/>
      <c r="GH145" s="559"/>
    </row>
    <row r="146">
      <c r="A146" s="538"/>
      <c r="B146" s="156"/>
      <c r="C146" s="444"/>
      <c r="D146" s="614"/>
      <c r="E146" s="68"/>
      <c r="F146" s="644"/>
      <c r="G146" s="644"/>
      <c r="H146" s="627"/>
      <c r="I146" s="622" t="s">
        <v>365</v>
      </c>
      <c r="J146" s="607"/>
      <c r="K146" s="641"/>
      <c r="L146" s="628"/>
      <c r="M146" s="626"/>
      <c r="N146" s="619"/>
      <c r="O146" s="560"/>
      <c r="P146" s="47"/>
      <c r="Q146" s="47"/>
      <c r="S146" s="572"/>
      <c r="U146" s="573"/>
      <c r="V146" s="574"/>
      <c r="W146" s="618"/>
      <c r="X146" s="576">
        <v>0.0</v>
      </c>
      <c r="Y146" s="630">
        <v>0.0</v>
      </c>
      <c r="Z146" s="630" t="s">
        <v>365</v>
      </c>
      <c r="AA146" s="631" t="b">
        <v>0</v>
      </c>
      <c r="AB146" s="631"/>
      <c r="AC146" s="576"/>
      <c r="AD146" s="479">
        <v>0.0</v>
      </c>
      <c r="AE146" s="632"/>
      <c r="AF146" s="582" t="s">
        <v>365</v>
      </c>
      <c r="AG146" s="583"/>
      <c r="AH146" s="584"/>
      <c r="AI146" s="583"/>
      <c r="AJ146" s="585"/>
      <c r="AK146" s="583"/>
      <c r="AL146" s="584"/>
      <c r="AM146" s="583"/>
      <c r="AN146" s="585"/>
      <c r="AO146" s="583"/>
      <c r="AP146" s="584"/>
      <c r="AQ146" s="583"/>
      <c r="AR146" s="585"/>
      <c r="AS146" s="583"/>
      <c r="AT146" s="584"/>
      <c r="AU146" s="583"/>
      <c r="AV146" s="585"/>
      <c r="AW146" s="583"/>
      <c r="AX146" s="584"/>
      <c r="AY146" s="583"/>
      <c r="AZ146" s="585"/>
      <c r="BA146" s="583"/>
      <c r="BB146" s="584"/>
      <c r="BC146" s="583"/>
      <c r="BD146" s="585"/>
      <c r="BE146" s="583"/>
      <c r="BF146" s="584"/>
      <c r="BG146" s="583"/>
      <c r="BH146" s="585"/>
      <c r="BI146" s="583"/>
      <c r="BJ146" s="584"/>
      <c r="BK146" s="583"/>
      <c r="BL146" s="585"/>
      <c r="BM146" s="583"/>
      <c r="BN146" s="584"/>
      <c r="BO146" s="583"/>
      <c r="BP146" s="585"/>
      <c r="BQ146" s="583"/>
      <c r="BR146" s="584"/>
      <c r="BS146" s="583"/>
      <c r="BT146" s="586"/>
      <c r="BU146" s="540"/>
      <c r="BV146" s="540"/>
      <c r="BW146" s="540"/>
      <c r="BX146" s="538"/>
      <c r="BY146" s="538"/>
      <c r="BZ146" s="592"/>
      <c r="CA146" s="633"/>
      <c r="CB146" s="592" t="s">
        <v>365</v>
      </c>
      <c r="CC146" s="592">
        <v>0.0</v>
      </c>
      <c r="CD146" s="592" t="s">
        <v>365</v>
      </c>
      <c r="CE146" s="592">
        <v>0.0</v>
      </c>
      <c r="CF146" s="592"/>
      <c r="CG146" s="592">
        <v>0.0</v>
      </c>
      <c r="CH146" s="592"/>
      <c r="CI146" s="633"/>
      <c r="CJ146" s="592">
        <v>0.0</v>
      </c>
      <c r="CK146" s="479" t="s">
        <v>365</v>
      </c>
      <c r="CL146" s="592"/>
      <c r="CM146" s="593"/>
      <c r="CN146" s="538"/>
      <c r="CO146" s="538"/>
      <c r="CP146" s="538"/>
      <c r="CQ146" s="538"/>
      <c r="CR146" s="538"/>
      <c r="CS146" s="538"/>
      <c r="CT146" s="538"/>
      <c r="CU146" s="538"/>
      <c r="CV146" s="538"/>
      <c r="CW146" s="538"/>
      <c r="CX146" s="538"/>
      <c r="CY146" s="538"/>
      <c r="CZ146" s="538"/>
      <c r="DA146" s="538"/>
      <c r="DB146" s="538"/>
      <c r="DC146" s="538"/>
      <c r="DD146" s="538"/>
      <c r="DE146" s="538"/>
      <c r="DF146" s="538"/>
      <c r="DG146" s="538"/>
      <c r="DH146" s="538"/>
      <c r="DI146" s="538"/>
      <c r="DJ146" s="538"/>
      <c r="DK146" s="538"/>
      <c r="DL146" s="538"/>
      <c r="DM146" s="538"/>
      <c r="DN146" s="538"/>
      <c r="DO146" s="538"/>
      <c r="DP146" s="538"/>
      <c r="DQ146" s="538"/>
      <c r="DR146" s="538"/>
      <c r="DS146" s="538"/>
      <c r="DT146" s="538"/>
      <c r="DU146" s="538"/>
      <c r="DV146" s="538"/>
      <c r="DW146" s="538"/>
      <c r="DX146" s="538"/>
      <c r="DY146" s="538"/>
      <c r="DZ146" s="538"/>
      <c r="EA146" s="538"/>
      <c r="EB146" s="538"/>
      <c r="EC146" s="538"/>
      <c r="ED146" s="538"/>
      <c r="EE146" s="538"/>
      <c r="EF146" s="538"/>
      <c r="EG146" s="538"/>
      <c r="EH146" s="538"/>
      <c r="EI146" s="538"/>
      <c r="EJ146" s="538"/>
      <c r="EK146" s="538"/>
      <c r="EL146" s="538"/>
      <c r="EM146" s="538"/>
      <c r="EN146" s="538"/>
      <c r="EO146" s="538"/>
      <c r="EP146" s="538"/>
      <c r="EQ146" s="538"/>
      <c r="ER146" s="538"/>
      <c r="ES146" s="538"/>
      <c r="ET146" s="538"/>
      <c r="EU146" s="538"/>
      <c r="EV146" s="538"/>
      <c r="EW146" s="538"/>
      <c r="EX146" s="559"/>
      <c r="EY146" s="559"/>
      <c r="EZ146" s="559"/>
      <c r="FA146" s="559"/>
      <c r="FB146" s="559"/>
      <c r="FC146" s="559"/>
      <c r="FD146" s="559"/>
      <c r="FE146" s="559"/>
      <c r="FF146" s="559"/>
      <c r="FG146" s="559"/>
      <c r="FH146" s="559"/>
      <c r="FI146" s="559"/>
      <c r="FJ146" s="559"/>
      <c r="FK146" s="559"/>
      <c r="FL146" s="559"/>
      <c r="FM146" s="559"/>
      <c r="FN146" s="559"/>
      <c r="FO146" s="559"/>
      <c r="FP146" s="559"/>
      <c r="FQ146" s="559"/>
      <c r="FR146" s="559"/>
      <c r="FS146" s="559"/>
      <c r="FT146" s="559"/>
      <c r="FU146" s="559"/>
      <c r="FV146" s="559"/>
      <c r="FW146" s="559"/>
      <c r="FX146" s="559"/>
      <c r="FY146" s="559"/>
      <c r="FZ146" s="559"/>
      <c r="GA146" s="559"/>
      <c r="GB146" s="559"/>
      <c r="GC146" s="559"/>
      <c r="GD146" s="559"/>
      <c r="GE146" s="559"/>
      <c r="GF146" s="559"/>
      <c r="GG146" s="559"/>
      <c r="GH146" s="559"/>
    </row>
    <row r="147">
      <c r="A147" s="538"/>
      <c r="B147" s="156"/>
      <c r="C147" s="444"/>
      <c r="D147" s="614"/>
      <c r="E147" s="66"/>
      <c r="F147" s="642"/>
      <c r="G147" s="642"/>
      <c r="H147" s="615"/>
      <c r="I147" s="616" t="s">
        <v>365</v>
      </c>
      <c r="J147" s="624"/>
      <c r="K147" s="643"/>
      <c r="L147" s="640"/>
      <c r="M147" s="625"/>
      <c r="N147" s="617"/>
      <c r="O147" s="134"/>
      <c r="P147" s="57"/>
      <c r="Q147" s="57"/>
      <c r="S147" s="605"/>
      <c r="U147" s="573"/>
      <c r="V147" s="574"/>
      <c r="W147" s="618"/>
      <c r="X147" s="576">
        <v>0.0</v>
      </c>
      <c r="Y147" s="630">
        <v>0.0</v>
      </c>
      <c r="Z147" s="630" t="s">
        <v>365</v>
      </c>
      <c r="AA147" s="631" t="b">
        <v>0</v>
      </c>
      <c r="AB147" s="631"/>
      <c r="AC147" s="576"/>
      <c r="AD147" s="479">
        <v>0.0</v>
      </c>
      <c r="AE147" s="632"/>
      <c r="AF147" s="582" t="s">
        <v>365</v>
      </c>
      <c r="AG147" s="583"/>
      <c r="AH147" s="584"/>
      <c r="AI147" s="583"/>
      <c r="AJ147" s="585"/>
      <c r="AK147" s="583"/>
      <c r="AL147" s="584"/>
      <c r="AM147" s="583"/>
      <c r="AN147" s="585"/>
      <c r="AO147" s="583"/>
      <c r="AP147" s="584"/>
      <c r="AQ147" s="583"/>
      <c r="AR147" s="585"/>
      <c r="AS147" s="583"/>
      <c r="AT147" s="584"/>
      <c r="AU147" s="583"/>
      <c r="AV147" s="585"/>
      <c r="AW147" s="583"/>
      <c r="AX147" s="584"/>
      <c r="AY147" s="583"/>
      <c r="AZ147" s="585"/>
      <c r="BA147" s="583"/>
      <c r="BB147" s="584"/>
      <c r="BC147" s="583"/>
      <c r="BD147" s="585"/>
      <c r="BE147" s="583"/>
      <c r="BF147" s="584"/>
      <c r="BG147" s="583"/>
      <c r="BH147" s="585"/>
      <c r="BI147" s="583"/>
      <c r="BJ147" s="584"/>
      <c r="BK147" s="583"/>
      <c r="BL147" s="585"/>
      <c r="BM147" s="583"/>
      <c r="BN147" s="584"/>
      <c r="BO147" s="583"/>
      <c r="BP147" s="585"/>
      <c r="BQ147" s="583"/>
      <c r="BR147" s="584"/>
      <c r="BS147" s="583"/>
      <c r="BT147" s="586"/>
      <c r="BU147" s="540"/>
      <c r="BV147" s="540"/>
      <c r="BW147" s="540"/>
      <c r="BX147" s="538"/>
      <c r="BY147" s="538"/>
      <c r="BZ147" s="592"/>
      <c r="CA147" s="633"/>
      <c r="CB147" s="592" t="s">
        <v>365</v>
      </c>
      <c r="CC147" s="592">
        <v>0.0</v>
      </c>
      <c r="CD147" s="592" t="s">
        <v>365</v>
      </c>
      <c r="CE147" s="592">
        <v>0.0</v>
      </c>
      <c r="CF147" s="592"/>
      <c r="CG147" s="592">
        <v>0.0</v>
      </c>
      <c r="CH147" s="592"/>
      <c r="CI147" s="633"/>
      <c r="CJ147" s="592">
        <v>0.0</v>
      </c>
      <c r="CK147" s="479" t="s">
        <v>365</v>
      </c>
      <c r="CL147" s="592"/>
      <c r="CM147" s="593"/>
      <c r="CN147" s="538"/>
      <c r="CO147" s="538"/>
      <c r="CP147" s="538"/>
      <c r="CQ147" s="538"/>
      <c r="CR147" s="538"/>
      <c r="CS147" s="538"/>
      <c r="CT147" s="538"/>
      <c r="CU147" s="538"/>
      <c r="CV147" s="538"/>
      <c r="CW147" s="538"/>
      <c r="CX147" s="538"/>
      <c r="CY147" s="538"/>
      <c r="CZ147" s="538"/>
      <c r="DA147" s="538"/>
      <c r="DB147" s="538"/>
      <c r="DC147" s="538"/>
      <c r="DD147" s="538"/>
      <c r="DE147" s="538"/>
      <c r="DF147" s="538"/>
      <c r="DG147" s="538"/>
      <c r="DH147" s="538"/>
      <c r="DI147" s="538"/>
      <c r="DJ147" s="538"/>
      <c r="DK147" s="538"/>
      <c r="DL147" s="538"/>
      <c r="DM147" s="538"/>
      <c r="DN147" s="538"/>
      <c r="DO147" s="538"/>
      <c r="DP147" s="538"/>
      <c r="DQ147" s="538"/>
      <c r="DR147" s="538"/>
      <c r="DS147" s="538"/>
      <c r="DT147" s="538"/>
      <c r="DU147" s="538"/>
      <c r="DV147" s="538"/>
      <c r="DW147" s="538"/>
      <c r="DX147" s="538"/>
      <c r="DY147" s="538"/>
      <c r="DZ147" s="538"/>
      <c r="EA147" s="538"/>
      <c r="EB147" s="538"/>
      <c r="EC147" s="538"/>
      <c r="ED147" s="538"/>
      <c r="EE147" s="538"/>
      <c r="EF147" s="538"/>
      <c r="EG147" s="538"/>
      <c r="EH147" s="538"/>
      <c r="EI147" s="538"/>
      <c r="EJ147" s="538"/>
      <c r="EK147" s="538"/>
      <c r="EL147" s="538"/>
      <c r="EM147" s="538"/>
      <c r="EN147" s="538"/>
      <c r="EO147" s="538"/>
      <c r="EP147" s="538"/>
      <c r="EQ147" s="538"/>
      <c r="ER147" s="538"/>
      <c r="ES147" s="538"/>
      <c r="ET147" s="538"/>
      <c r="EU147" s="538"/>
      <c r="EV147" s="538"/>
      <c r="EW147" s="538"/>
      <c r="EX147" s="559"/>
      <c r="EY147" s="559"/>
      <c r="EZ147" s="559"/>
      <c r="FA147" s="559"/>
      <c r="FB147" s="559"/>
      <c r="FC147" s="559"/>
      <c r="FD147" s="559"/>
      <c r="FE147" s="559"/>
      <c r="FF147" s="559"/>
      <c r="FG147" s="559"/>
      <c r="FH147" s="559"/>
      <c r="FI147" s="559"/>
      <c r="FJ147" s="559"/>
      <c r="FK147" s="559"/>
      <c r="FL147" s="559"/>
      <c r="FM147" s="559"/>
      <c r="FN147" s="559"/>
      <c r="FO147" s="559"/>
      <c r="FP147" s="559"/>
      <c r="FQ147" s="559"/>
      <c r="FR147" s="559"/>
      <c r="FS147" s="559"/>
      <c r="FT147" s="559"/>
      <c r="FU147" s="559"/>
      <c r="FV147" s="559"/>
      <c r="FW147" s="559"/>
      <c r="FX147" s="559"/>
      <c r="FY147" s="559"/>
      <c r="FZ147" s="559"/>
      <c r="GA147" s="559"/>
      <c r="GB147" s="559"/>
      <c r="GC147" s="559"/>
      <c r="GD147" s="559"/>
      <c r="GE147" s="559"/>
      <c r="GF147" s="559"/>
      <c r="GG147" s="559"/>
      <c r="GH147" s="559"/>
    </row>
    <row r="148">
      <c r="A148" s="538"/>
      <c r="B148" s="156"/>
      <c r="C148" s="444"/>
      <c r="D148" s="614"/>
      <c r="E148" s="68"/>
      <c r="F148" s="644"/>
      <c r="G148" s="644"/>
      <c r="H148" s="627"/>
      <c r="I148" s="622" t="s">
        <v>365</v>
      </c>
      <c r="J148" s="607"/>
      <c r="K148" s="641"/>
      <c r="L148" s="628"/>
      <c r="M148" s="626"/>
      <c r="N148" s="619"/>
      <c r="O148" s="560"/>
      <c r="P148" s="47"/>
      <c r="Q148" s="47"/>
      <c r="S148" s="572"/>
      <c r="U148" s="573"/>
      <c r="V148" s="574"/>
      <c r="W148" s="618"/>
      <c r="X148" s="576">
        <v>0.0</v>
      </c>
      <c r="Y148" s="630">
        <v>0.0</v>
      </c>
      <c r="Z148" s="630" t="s">
        <v>365</v>
      </c>
      <c r="AA148" s="631" t="b">
        <v>0</v>
      </c>
      <c r="AB148" s="631"/>
      <c r="AC148" s="576"/>
      <c r="AD148" s="479">
        <v>0.0</v>
      </c>
      <c r="AE148" s="632"/>
      <c r="AF148" s="582" t="s">
        <v>365</v>
      </c>
      <c r="AG148" s="583"/>
      <c r="AH148" s="584"/>
      <c r="AI148" s="583"/>
      <c r="AJ148" s="585"/>
      <c r="AK148" s="583"/>
      <c r="AL148" s="584"/>
      <c r="AM148" s="583"/>
      <c r="AN148" s="585"/>
      <c r="AO148" s="583"/>
      <c r="AP148" s="584"/>
      <c r="AQ148" s="583"/>
      <c r="AR148" s="585"/>
      <c r="AS148" s="583"/>
      <c r="AT148" s="584"/>
      <c r="AU148" s="583"/>
      <c r="AV148" s="585"/>
      <c r="AW148" s="583"/>
      <c r="AX148" s="584"/>
      <c r="AY148" s="583"/>
      <c r="AZ148" s="585"/>
      <c r="BA148" s="583"/>
      <c r="BB148" s="584"/>
      <c r="BC148" s="583"/>
      <c r="BD148" s="585"/>
      <c r="BE148" s="583"/>
      <c r="BF148" s="584"/>
      <c r="BG148" s="583"/>
      <c r="BH148" s="585"/>
      <c r="BI148" s="583"/>
      <c r="BJ148" s="584"/>
      <c r="BK148" s="583"/>
      <c r="BL148" s="585"/>
      <c r="BM148" s="583"/>
      <c r="BN148" s="584"/>
      <c r="BO148" s="583"/>
      <c r="BP148" s="585"/>
      <c r="BQ148" s="583"/>
      <c r="BR148" s="584"/>
      <c r="BS148" s="583"/>
      <c r="BT148" s="586"/>
      <c r="BU148" s="540"/>
      <c r="BV148" s="540"/>
      <c r="BW148" s="540"/>
      <c r="BX148" s="538"/>
      <c r="BY148" s="538"/>
      <c r="BZ148" s="592"/>
      <c r="CA148" s="633"/>
      <c r="CB148" s="592" t="s">
        <v>365</v>
      </c>
      <c r="CC148" s="592">
        <v>0.0</v>
      </c>
      <c r="CD148" s="592" t="s">
        <v>365</v>
      </c>
      <c r="CE148" s="592">
        <v>0.0</v>
      </c>
      <c r="CF148" s="592"/>
      <c r="CG148" s="592">
        <v>0.0</v>
      </c>
      <c r="CH148" s="592"/>
      <c r="CI148" s="633"/>
      <c r="CJ148" s="592">
        <v>0.0</v>
      </c>
      <c r="CK148" s="479" t="s">
        <v>365</v>
      </c>
      <c r="CL148" s="592"/>
      <c r="CM148" s="593"/>
      <c r="CN148" s="538"/>
      <c r="CO148" s="538"/>
      <c r="CP148" s="538"/>
      <c r="CQ148" s="538"/>
      <c r="CR148" s="538"/>
      <c r="CS148" s="538"/>
      <c r="CT148" s="538"/>
      <c r="CU148" s="538"/>
      <c r="CV148" s="538"/>
      <c r="CW148" s="538"/>
      <c r="CX148" s="538"/>
      <c r="CY148" s="538"/>
      <c r="CZ148" s="538"/>
      <c r="DA148" s="538"/>
      <c r="DB148" s="538"/>
      <c r="DC148" s="538"/>
      <c r="DD148" s="538"/>
      <c r="DE148" s="538"/>
      <c r="DF148" s="538"/>
      <c r="DG148" s="538"/>
      <c r="DH148" s="538"/>
      <c r="DI148" s="538"/>
      <c r="DJ148" s="538"/>
      <c r="DK148" s="538"/>
      <c r="DL148" s="538"/>
      <c r="DM148" s="538"/>
      <c r="DN148" s="538"/>
      <c r="DO148" s="538"/>
      <c r="DP148" s="538"/>
      <c r="DQ148" s="538"/>
      <c r="DR148" s="538"/>
      <c r="DS148" s="538"/>
      <c r="DT148" s="538"/>
      <c r="DU148" s="538"/>
      <c r="DV148" s="538"/>
      <c r="DW148" s="538"/>
      <c r="DX148" s="538"/>
      <c r="DY148" s="538"/>
      <c r="DZ148" s="538"/>
      <c r="EA148" s="538"/>
      <c r="EB148" s="538"/>
      <c r="EC148" s="538"/>
      <c r="ED148" s="538"/>
      <c r="EE148" s="538"/>
      <c r="EF148" s="538"/>
      <c r="EG148" s="538"/>
      <c r="EH148" s="538"/>
      <c r="EI148" s="538"/>
      <c r="EJ148" s="538"/>
      <c r="EK148" s="538"/>
      <c r="EL148" s="538"/>
      <c r="EM148" s="538"/>
      <c r="EN148" s="538"/>
      <c r="EO148" s="538"/>
      <c r="EP148" s="538"/>
      <c r="EQ148" s="538"/>
      <c r="ER148" s="538"/>
      <c r="ES148" s="538"/>
      <c r="ET148" s="538"/>
      <c r="EU148" s="538"/>
      <c r="EV148" s="538"/>
      <c r="EW148" s="538"/>
      <c r="EX148" s="559"/>
      <c r="EY148" s="559"/>
      <c r="EZ148" s="559"/>
      <c r="FA148" s="559"/>
      <c r="FB148" s="559"/>
      <c r="FC148" s="559"/>
      <c r="FD148" s="559"/>
      <c r="FE148" s="559"/>
      <c r="FF148" s="559"/>
      <c r="FG148" s="559"/>
      <c r="FH148" s="559"/>
      <c r="FI148" s="559"/>
      <c r="FJ148" s="559"/>
      <c r="FK148" s="559"/>
      <c r="FL148" s="559"/>
      <c r="FM148" s="559"/>
      <c r="FN148" s="559"/>
      <c r="FO148" s="559"/>
      <c r="FP148" s="559"/>
      <c r="FQ148" s="559"/>
      <c r="FR148" s="559"/>
      <c r="FS148" s="559"/>
      <c r="FT148" s="559"/>
      <c r="FU148" s="559"/>
      <c r="FV148" s="559"/>
      <c r="FW148" s="559"/>
      <c r="FX148" s="559"/>
      <c r="FY148" s="559"/>
      <c r="FZ148" s="559"/>
      <c r="GA148" s="559"/>
      <c r="GB148" s="559"/>
      <c r="GC148" s="559"/>
      <c r="GD148" s="559"/>
      <c r="GE148" s="559"/>
      <c r="GF148" s="559"/>
      <c r="GG148" s="559"/>
      <c r="GH148" s="559"/>
    </row>
    <row r="149">
      <c r="A149" s="538"/>
      <c r="B149" s="156"/>
      <c r="C149" s="444"/>
      <c r="D149" s="614"/>
      <c r="E149" s="66"/>
      <c r="F149" s="642"/>
      <c r="G149" s="642"/>
      <c r="H149" s="615"/>
      <c r="I149" s="616" t="s">
        <v>365</v>
      </c>
      <c r="J149" s="624"/>
      <c r="K149" s="643"/>
      <c r="L149" s="640"/>
      <c r="M149" s="625"/>
      <c r="N149" s="617"/>
      <c r="O149" s="134"/>
      <c r="P149" s="57"/>
      <c r="Q149" s="57"/>
      <c r="S149" s="605"/>
      <c r="U149" s="573"/>
      <c r="V149" s="574"/>
      <c r="W149" s="618"/>
      <c r="X149" s="576">
        <v>0.0</v>
      </c>
      <c r="Y149" s="630">
        <v>0.0</v>
      </c>
      <c r="Z149" s="630" t="s">
        <v>365</v>
      </c>
      <c r="AA149" s="631" t="b">
        <v>0</v>
      </c>
      <c r="AB149" s="631"/>
      <c r="AC149" s="576"/>
      <c r="AD149" s="479">
        <v>0.0</v>
      </c>
      <c r="AE149" s="632"/>
      <c r="AF149" s="582" t="s">
        <v>365</v>
      </c>
      <c r="AG149" s="583"/>
      <c r="AH149" s="584"/>
      <c r="AI149" s="583"/>
      <c r="AJ149" s="585"/>
      <c r="AK149" s="583"/>
      <c r="AL149" s="584"/>
      <c r="AM149" s="583"/>
      <c r="AN149" s="585"/>
      <c r="AO149" s="583"/>
      <c r="AP149" s="584"/>
      <c r="AQ149" s="583"/>
      <c r="AR149" s="585"/>
      <c r="AS149" s="583"/>
      <c r="AT149" s="584"/>
      <c r="AU149" s="583"/>
      <c r="AV149" s="585"/>
      <c r="AW149" s="583"/>
      <c r="AX149" s="584"/>
      <c r="AY149" s="583"/>
      <c r="AZ149" s="585"/>
      <c r="BA149" s="583"/>
      <c r="BB149" s="584"/>
      <c r="BC149" s="583"/>
      <c r="BD149" s="585"/>
      <c r="BE149" s="583"/>
      <c r="BF149" s="584"/>
      <c r="BG149" s="583"/>
      <c r="BH149" s="585"/>
      <c r="BI149" s="583"/>
      <c r="BJ149" s="584"/>
      <c r="BK149" s="583"/>
      <c r="BL149" s="585"/>
      <c r="BM149" s="583"/>
      <c r="BN149" s="584"/>
      <c r="BO149" s="583"/>
      <c r="BP149" s="585"/>
      <c r="BQ149" s="583"/>
      <c r="BR149" s="584"/>
      <c r="BS149" s="583"/>
      <c r="BT149" s="586"/>
      <c r="BU149" s="540"/>
      <c r="BV149" s="540"/>
      <c r="BW149" s="540"/>
      <c r="BX149" s="538"/>
      <c r="BY149" s="538"/>
      <c r="BZ149" s="592"/>
      <c r="CA149" s="633"/>
      <c r="CB149" s="592" t="s">
        <v>365</v>
      </c>
      <c r="CC149" s="592">
        <v>0.0</v>
      </c>
      <c r="CD149" s="592" t="s">
        <v>365</v>
      </c>
      <c r="CE149" s="592">
        <v>0.0</v>
      </c>
      <c r="CF149" s="592"/>
      <c r="CG149" s="592">
        <v>0.0</v>
      </c>
      <c r="CH149" s="592"/>
      <c r="CI149" s="633"/>
      <c r="CJ149" s="592">
        <v>0.0</v>
      </c>
      <c r="CK149" s="479" t="s">
        <v>365</v>
      </c>
      <c r="CL149" s="592"/>
      <c r="CM149" s="593"/>
      <c r="CN149" s="538"/>
      <c r="CO149" s="538"/>
      <c r="CP149" s="538"/>
      <c r="CQ149" s="538"/>
      <c r="CR149" s="538"/>
      <c r="CS149" s="538"/>
      <c r="CT149" s="538"/>
      <c r="CU149" s="538"/>
      <c r="CV149" s="538"/>
      <c r="CW149" s="538"/>
      <c r="CX149" s="538"/>
      <c r="CY149" s="538"/>
      <c r="CZ149" s="538"/>
      <c r="DA149" s="538"/>
      <c r="DB149" s="538"/>
      <c r="DC149" s="538"/>
      <c r="DD149" s="538"/>
      <c r="DE149" s="538"/>
      <c r="DF149" s="538"/>
      <c r="DG149" s="538"/>
      <c r="DH149" s="538"/>
      <c r="DI149" s="538"/>
      <c r="DJ149" s="538"/>
      <c r="DK149" s="538"/>
      <c r="DL149" s="538"/>
      <c r="DM149" s="538"/>
      <c r="DN149" s="538"/>
      <c r="DO149" s="538"/>
      <c r="DP149" s="538"/>
      <c r="DQ149" s="538"/>
      <c r="DR149" s="538"/>
      <c r="DS149" s="538"/>
      <c r="DT149" s="538"/>
      <c r="DU149" s="538"/>
      <c r="DV149" s="538"/>
      <c r="DW149" s="538"/>
      <c r="DX149" s="538"/>
      <c r="DY149" s="538"/>
      <c r="DZ149" s="538"/>
      <c r="EA149" s="538"/>
      <c r="EB149" s="538"/>
      <c r="EC149" s="538"/>
      <c r="ED149" s="538"/>
      <c r="EE149" s="538"/>
      <c r="EF149" s="538"/>
      <c r="EG149" s="538"/>
      <c r="EH149" s="538"/>
      <c r="EI149" s="538"/>
      <c r="EJ149" s="538"/>
      <c r="EK149" s="538"/>
      <c r="EL149" s="538"/>
      <c r="EM149" s="538"/>
      <c r="EN149" s="538"/>
      <c r="EO149" s="538"/>
      <c r="EP149" s="538"/>
      <c r="EQ149" s="538"/>
      <c r="ER149" s="538"/>
      <c r="ES149" s="538"/>
      <c r="ET149" s="538"/>
      <c r="EU149" s="538"/>
      <c r="EV149" s="538"/>
      <c r="EW149" s="538"/>
      <c r="EX149" s="559"/>
      <c r="EY149" s="559"/>
      <c r="EZ149" s="559"/>
      <c r="FA149" s="559"/>
      <c r="FB149" s="559"/>
      <c r="FC149" s="559"/>
      <c r="FD149" s="559"/>
      <c r="FE149" s="559"/>
      <c r="FF149" s="559"/>
      <c r="FG149" s="559"/>
      <c r="FH149" s="559"/>
      <c r="FI149" s="559"/>
      <c r="FJ149" s="559"/>
      <c r="FK149" s="559"/>
      <c r="FL149" s="559"/>
      <c r="FM149" s="559"/>
      <c r="FN149" s="559"/>
      <c r="FO149" s="559"/>
      <c r="FP149" s="559"/>
      <c r="FQ149" s="559"/>
      <c r="FR149" s="559"/>
      <c r="FS149" s="559"/>
      <c r="FT149" s="559"/>
      <c r="FU149" s="559"/>
      <c r="FV149" s="559"/>
      <c r="FW149" s="559"/>
      <c r="FX149" s="559"/>
      <c r="FY149" s="559"/>
      <c r="FZ149" s="559"/>
      <c r="GA149" s="559"/>
      <c r="GB149" s="559"/>
      <c r="GC149" s="559"/>
      <c r="GD149" s="559"/>
      <c r="GE149" s="559"/>
      <c r="GF149" s="559"/>
      <c r="GG149" s="559"/>
      <c r="GH149" s="559"/>
    </row>
    <row r="150">
      <c r="A150" s="538"/>
      <c r="B150" s="156"/>
      <c r="C150" s="444"/>
      <c r="D150" s="614"/>
      <c r="E150" s="68"/>
      <c r="F150" s="644"/>
      <c r="G150" s="644"/>
      <c r="H150" s="627"/>
      <c r="I150" s="622" t="s">
        <v>365</v>
      </c>
      <c r="J150" s="607"/>
      <c r="K150" s="641"/>
      <c r="L150" s="628"/>
      <c r="M150" s="626"/>
      <c r="N150" s="619"/>
      <c r="O150" s="560"/>
      <c r="P150" s="47"/>
      <c r="Q150" s="47"/>
      <c r="S150" s="572"/>
      <c r="U150" s="573"/>
      <c r="V150" s="574"/>
      <c r="W150" s="618"/>
      <c r="X150" s="576">
        <v>0.0</v>
      </c>
      <c r="Y150" s="630">
        <v>0.0</v>
      </c>
      <c r="Z150" s="630" t="s">
        <v>365</v>
      </c>
      <c r="AA150" s="631" t="b">
        <v>0</v>
      </c>
      <c r="AB150" s="631"/>
      <c r="AC150" s="576"/>
      <c r="AD150" s="479">
        <v>0.0</v>
      </c>
      <c r="AE150" s="632"/>
      <c r="AF150" s="582" t="s">
        <v>365</v>
      </c>
      <c r="AG150" s="583"/>
      <c r="AH150" s="584"/>
      <c r="AI150" s="583"/>
      <c r="AJ150" s="585"/>
      <c r="AK150" s="583"/>
      <c r="AL150" s="584"/>
      <c r="AM150" s="583"/>
      <c r="AN150" s="585"/>
      <c r="AO150" s="583"/>
      <c r="AP150" s="584"/>
      <c r="AQ150" s="583"/>
      <c r="AR150" s="585"/>
      <c r="AS150" s="583"/>
      <c r="AT150" s="584"/>
      <c r="AU150" s="583"/>
      <c r="AV150" s="585"/>
      <c r="AW150" s="583"/>
      <c r="AX150" s="584"/>
      <c r="AY150" s="583"/>
      <c r="AZ150" s="585"/>
      <c r="BA150" s="583"/>
      <c r="BB150" s="584"/>
      <c r="BC150" s="583"/>
      <c r="BD150" s="585"/>
      <c r="BE150" s="583"/>
      <c r="BF150" s="584"/>
      <c r="BG150" s="583"/>
      <c r="BH150" s="585"/>
      <c r="BI150" s="583"/>
      <c r="BJ150" s="584"/>
      <c r="BK150" s="583"/>
      <c r="BL150" s="585"/>
      <c r="BM150" s="583"/>
      <c r="BN150" s="584"/>
      <c r="BO150" s="583"/>
      <c r="BP150" s="585"/>
      <c r="BQ150" s="583"/>
      <c r="BR150" s="584"/>
      <c r="BS150" s="583"/>
      <c r="BT150" s="586"/>
      <c r="BU150" s="540"/>
      <c r="BV150" s="540"/>
      <c r="BW150" s="540"/>
      <c r="BX150" s="538"/>
      <c r="BY150" s="538"/>
      <c r="BZ150" s="592"/>
      <c r="CA150" s="633"/>
      <c r="CB150" s="592" t="s">
        <v>365</v>
      </c>
      <c r="CC150" s="592">
        <v>0.0</v>
      </c>
      <c r="CD150" s="592" t="s">
        <v>365</v>
      </c>
      <c r="CE150" s="592">
        <v>0.0</v>
      </c>
      <c r="CF150" s="592"/>
      <c r="CG150" s="592">
        <v>0.0</v>
      </c>
      <c r="CH150" s="592"/>
      <c r="CI150" s="633"/>
      <c r="CJ150" s="592">
        <v>0.0</v>
      </c>
      <c r="CK150" s="479" t="s">
        <v>365</v>
      </c>
      <c r="CL150" s="592"/>
      <c r="CM150" s="593"/>
      <c r="CN150" s="538"/>
      <c r="CO150" s="538"/>
      <c r="CP150" s="538"/>
      <c r="CQ150" s="538"/>
      <c r="CR150" s="538"/>
      <c r="CS150" s="538"/>
      <c r="CT150" s="538"/>
      <c r="CU150" s="538"/>
      <c r="CV150" s="538"/>
      <c r="CW150" s="538"/>
      <c r="CX150" s="538"/>
      <c r="CY150" s="538"/>
      <c r="CZ150" s="538"/>
      <c r="DA150" s="538"/>
      <c r="DB150" s="538"/>
      <c r="DC150" s="538"/>
      <c r="DD150" s="538"/>
      <c r="DE150" s="538"/>
      <c r="DF150" s="538"/>
      <c r="DG150" s="538"/>
      <c r="DH150" s="538"/>
      <c r="DI150" s="538"/>
      <c r="DJ150" s="538"/>
      <c r="DK150" s="538"/>
      <c r="DL150" s="538"/>
      <c r="DM150" s="538"/>
      <c r="DN150" s="538"/>
      <c r="DO150" s="538"/>
      <c r="DP150" s="538"/>
      <c r="DQ150" s="538"/>
      <c r="DR150" s="538"/>
      <c r="DS150" s="538"/>
      <c r="DT150" s="538"/>
      <c r="DU150" s="538"/>
      <c r="DV150" s="538"/>
      <c r="DW150" s="538"/>
      <c r="DX150" s="538"/>
      <c r="DY150" s="538"/>
      <c r="DZ150" s="538"/>
      <c r="EA150" s="538"/>
      <c r="EB150" s="538"/>
      <c r="EC150" s="538"/>
      <c r="ED150" s="538"/>
      <c r="EE150" s="538"/>
      <c r="EF150" s="538"/>
      <c r="EG150" s="538"/>
      <c r="EH150" s="538"/>
      <c r="EI150" s="538"/>
      <c r="EJ150" s="538"/>
      <c r="EK150" s="538"/>
      <c r="EL150" s="538"/>
      <c r="EM150" s="538"/>
      <c r="EN150" s="538"/>
      <c r="EO150" s="538"/>
      <c r="EP150" s="538"/>
      <c r="EQ150" s="538"/>
      <c r="ER150" s="538"/>
      <c r="ES150" s="538"/>
      <c r="ET150" s="538"/>
      <c r="EU150" s="538"/>
      <c r="EV150" s="538"/>
      <c r="EW150" s="538"/>
      <c r="EX150" s="559"/>
      <c r="EY150" s="559"/>
      <c r="EZ150" s="559"/>
      <c r="FA150" s="559"/>
      <c r="FB150" s="559"/>
      <c r="FC150" s="559"/>
      <c r="FD150" s="559"/>
      <c r="FE150" s="559"/>
      <c r="FF150" s="559"/>
      <c r="FG150" s="559"/>
      <c r="FH150" s="559"/>
      <c r="FI150" s="559"/>
      <c r="FJ150" s="559"/>
      <c r="FK150" s="559"/>
      <c r="FL150" s="559"/>
      <c r="FM150" s="559"/>
      <c r="FN150" s="559"/>
      <c r="FO150" s="559"/>
      <c r="FP150" s="559"/>
      <c r="FQ150" s="559"/>
      <c r="FR150" s="559"/>
      <c r="FS150" s="559"/>
      <c r="FT150" s="559"/>
      <c r="FU150" s="559"/>
      <c r="FV150" s="559"/>
      <c r="FW150" s="559"/>
      <c r="FX150" s="559"/>
      <c r="FY150" s="559"/>
      <c r="FZ150" s="559"/>
      <c r="GA150" s="559"/>
      <c r="GB150" s="559"/>
      <c r="GC150" s="559"/>
      <c r="GD150" s="559"/>
      <c r="GE150" s="559"/>
      <c r="GF150" s="559"/>
      <c r="GG150" s="559"/>
      <c r="GH150" s="559"/>
    </row>
    <row r="151">
      <c r="A151" s="538"/>
      <c r="B151" s="156"/>
      <c r="C151" s="444"/>
      <c r="D151" s="614"/>
      <c r="E151" s="66"/>
      <c r="F151" s="642"/>
      <c r="G151" s="642"/>
      <c r="H151" s="615"/>
      <c r="I151" s="616" t="s">
        <v>365</v>
      </c>
      <c r="J151" s="624"/>
      <c r="K151" s="643"/>
      <c r="L151" s="640"/>
      <c r="M151" s="625"/>
      <c r="N151" s="617"/>
      <c r="O151" s="134"/>
      <c r="P151" s="57"/>
      <c r="Q151" s="57"/>
      <c r="S151" s="605"/>
      <c r="U151" s="573"/>
      <c r="V151" s="574"/>
      <c r="W151" s="618"/>
      <c r="X151" s="576">
        <v>0.0</v>
      </c>
      <c r="Y151" s="630">
        <v>0.0</v>
      </c>
      <c r="Z151" s="630" t="s">
        <v>365</v>
      </c>
      <c r="AA151" s="631" t="b">
        <v>0</v>
      </c>
      <c r="AB151" s="631"/>
      <c r="AC151" s="576"/>
      <c r="AD151" s="479">
        <v>0.0</v>
      </c>
      <c r="AE151" s="632"/>
      <c r="AF151" s="582" t="s">
        <v>365</v>
      </c>
      <c r="AG151" s="583"/>
      <c r="AH151" s="584"/>
      <c r="AI151" s="583"/>
      <c r="AJ151" s="585"/>
      <c r="AK151" s="583"/>
      <c r="AL151" s="584"/>
      <c r="AM151" s="583"/>
      <c r="AN151" s="585"/>
      <c r="AO151" s="583"/>
      <c r="AP151" s="584"/>
      <c r="AQ151" s="583"/>
      <c r="AR151" s="585"/>
      <c r="AS151" s="583"/>
      <c r="AT151" s="584"/>
      <c r="AU151" s="583"/>
      <c r="AV151" s="585"/>
      <c r="AW151" s="583"/>
      <c r="AX151" s="584"/>
      <c r="AY151" s="583"/>
      <c r="AZ151" s="585"/>
      <c r="BA151" s="583"/>
      <c r="BB151" s="584"/>
      <c r="BC151" s="583"/>
      <c r="BD151" s="585"/>
      <c r="BE151" s="583"/>
      <c r="BF151" s="584"/>
      <c r="BG151" s="583"/>
      <c r="BH151" s="585"/>
      <c r="BI151" s="583"/>
      <c r="BJ151" s="584"/>
      <c r="BK151" s="583"/>
      <c r="BL151" s="585"/>
      <c r="BM151" s="583"/>
      <c r="BN151" s="584"/>
      <c r="BO151" s="583"/>
      <c r="BP151" s="585"/>
      <c r="BQ151" s="583"/>
      <c r="BR151" s="584"/>
      <c r="BS151" s="583"/>
      <c r="BT151" s="586"/>
      <c r="BU151" s="540"/>
      <c r="BV151" s="540"/>
      <c r="BW151" s="540"/>
      <c r="BX151" s="538"/>
      <c r="BY151" s="538"/>
      <c r="BZ151" s="592"/>
      <c r="CA151" s="633"/>
      <c r="CB151" s="592" t="s">
        <v>365</v>
      </c>
      <c r="CC151" s="592">
        <v>0.0</v>
      </c>
      <c r="CD151" s="592" t="s">
        <v>365</v>
      </c>
      <c r="CE151" s="592">
        <v>0.0</v>
      </c>
      <c r="CF151" s="592"/>
      <c r="CG151" s="592">
        <v>0.0</v>
      </c>
      <c r="CH151" s="592"/>
      <c r="CI151" s="633"/>
      <c r="CJ151" s="592">
        <v>0.0</v>
      </c>
      <c r="CK151" s="479" t="s">
        <v>365</v>
      </c>
      <c r="CL151" s="592"/>
      <c r="CM151" s="593"/>
      <c r="CN151" s="538"/>
      <c r="CO151" s="538"/>
      <c r="CP151" s="538"/>
      <c r="CQ151" s="538"/>
      <c r="CR151" s="538"/>
      <c r="CS151" s="538"/>
      <c r="CT151" s="538"/>
      <c r="CU151" s="538"/>
      <c r="CV151" s="538"/>
      <c r="CW151" s="538"/>
      <c r="CX151" s="538"/>
      <c r="CY151" s="538"/>
      <c r="CZ151" s="538"/>
      <c r="DA151" s="538"/>
      <c r="DB151" s="538"/>
      <c r="DC151" s="538"/>
      <c r="DD151" s="538"/>
      <c r="DE151" s="538"/>
      <c r="DF151" s="538"/>
      <c r="DG151" s="538"/>
      <c r="DH151" s="538"/>
      <c r="DI151" s="538"/>
      <c r="DJ151" s="538"/>
      <c r="DK151" s="538"/>
      <c r="DL151" s="538"/>
      <c r="DM151" s="538"/>
      <c r="DN151" s="538"/>
      <c r="DO151" s="538"/>
      <c r="DP151" s="538"/>
      <c r="DQ151" s="538"/>
      <c r="DR151" s="538"/>
      <c r="DS151" s="538"/>
      <c r="DT151" s="538"/>
      <c r="DU151" s="538"/>
      <c r="DV151" s="538"/>
      <c r="DW151" s="538"/>
      <c r="DX151" s="538"/>
      <c r="DY151" s="538"/>
      <c r="DZ151" s="538"/>
      <c r="EA151" s="538"/>
      <c r="EB151" s="538"/>
      <c r="EC151" s="538"/>
      <c r="ED151" s="538"/>
      <c r="EE151" s="538"/>
      <c r="EF151" s="538"/>
      <c r="EG151" s="538"/>
      <c r="EH151" s="538"/>
      <c r="EI151" s="538"/>
      <c r="EJ151" s="538"/>
      <c r="EK151" s="538"/>
      <c r="EL151" s="538"/>
      <c r="EM151" s="538"/>
      <c r="EN151" s="538"/>
      <c r="EO151" s="538"/>
      <c r="EP151" s="538"/>
      <c r="EQ151" s="538"/>
      <c r="ER151" s="538"/>
      <c r="ES151" s="538"/>
      <c r="ET151" s="538"/>
      <c r="EU151" s="538"/>
      <c r="EV151" s="538"/>
      <c r="EW151" s="538"/>
      <c r="EX151" s="559"/>
      <c r="EY151" s="559"/>
      <c r="EZ151" s="559"/>
      <c r="FA151" s="559"/>
      <c r="FB151" s="559"/>
      <c r="FC151" s="559"/>
      <c r="FD151" s="559"/>
      <c r="FE151" s="559"/>
      <c r="FF151" s="559"/>
      <c r="FG151" s="559"/>
      <c r="FH151" s="559"/>
      <c r="FI151" s="559"/>
      <c r="FJ151" s="559"/>
      <c r="FK151" s="559"/>
      <c r="FL151" s="559"/>
      <c r="FM151" s="559"/>
      <c r="FN151" s="559"/>
      <c r="FO151" s="559"/>
      <c r="FP151" s="559"/>
      <c r="FQ151" s="559"/>
      <c r="FR151" s="559"/>
      <c r="FS151" s="559"/>
      <c r="FT151" s="559"/>
      <c r="FU151" s="559"/>
      <c r="FV151" s="559"/>
      <c r="FW151" s="559"/>
      <c r="FX151" s="559"/>
      <c r="FY151" s="559"/>
      <c r="FZ151" s="559"/>
      <c r="GA151" s="559"/>
      <c r="GB151" s="559"/>
      <c r="GC151" s="559"/>
      <c r="GD151" s="559"/>
      <c r="GE151" s="559"/>
      <c r="GF151" s="559"/>
      <c r="GG151" s="559"/>
      <c r="GH151" s="559"/>
    </row>
    <row r="152">
      <c r="A152" s="538"/>
      <c r="B152" s="156"/>
      <c r="C152" s="444"/>
      <c r="D152" s="614"/>
      <c r="E152" s="68"/>
      <c r="F152" s="644"/>
      <c r="G152" s="644"/>
      <c r="H152" s="627"/>
      <c r="I152" s="622" t="s">
        <v>365</v>
      </c>
      <c r="J152" s="607"/>
      <c r="K152" s="641"/>
      <c r="L152" s="628"/>
      <c r="M152" s="626"/>
      <c r="N152" s="619"/>
      <c r="O152" s="560"/>
      <c r="P152" s="47"/>
      <c r="Q152" s="47"/>
      <c r="S152" s="572"/>
      <c r="U152" s="573"/>
      <c r="V152" s="574"/>
      <c r="W152" s="618"/>
      <c r="X152" s="576">
        <v>0.0</v>
      </c>
      <c r="Y152" s="630">
        <v>0.0</v>
      </c>
      <c r="Z152" s="630" t="s">
        <v>365</v>
      </c>
      <c r="AA152" s="631" t="b">
        <v>0</v>
      </c>
      <c r="AB152" s="631"/>
      <c r="AC152" s="576"/>
      <c r="AD152" s="479">
        <v>0.0</v>
      </c>
      <c r="AE152" s="632"/>
      <c r="AF152" s="582" t="s">
        <v>365</v>
      </c>
      <c r="AG152" s="583"/>
      <c r="AH152" s="584"/>
      <c r="AI152" s="583"/>
      <c r="AJ152" s="585"/>
      <c r="AK152" s="583"/>
      <c r="AL152" s="584"/>
      <c r="AM152" s="583"/>
      <c r="AN152" s="585"/>
      <c r="AO152" s="583"/>
      <c r="AP152" s="584"/>
      <c r="AQ152" s="583"/>
      <c r="AR152" s="585"/>
      <c r="AS152" s="583"/>
      <c r="AT152" s="584"/>
      <c r="AU152" s="583"/>
      <c r="AV152" s="585"/>
      <c r="AW152" s="583"/>
      <c r="AX152" s="584"/>
      <c r="AY152" s="583"/>
      <c r="AZ152" s="585"/>
      <c r="BA152" s="583"/>
      <c r="BB152" s="584"/>
      <c r="BC152" s="583"/>
      <c r="BD152" s="585"/>
      <c r="BE152" s="583"/>
      <c r="BF152" s="584"/>
      <c r="BG152" s="583"/>
      <c r="BH152" s="585"/>
      <c r="BI152" s="583"/>
      <c r="BJ152" s="584"/>
      <c r="BK152" s="583"/>
      <c r="BL152" s="585"/>
      <c r="BM152" s="583"/>
      <c r="BN152" s="584"/>
      <c r="BO152" s="583"/>
      <c r="BP152" s="585"/>
      <c r="BQ152" s="583"/>
      <c r="BR152" s="584"/>
      <c r="BS152" s="583"/>
      <c r="BT152" s="586"/>
      <c r="BU152" s="540"/>
      <c r="BV152" s="540"/>
      <c r="BW152" s="540"/>
      <c r="BX152" s="538"/>
      <c r="BY152" s="538"/>
      <c r="BZ152" s="592"/>
      <c r="CA152" s="633"/>
      <c r="CB152" s="592" t="s">
        <v>365</v>
      </c>
      <c r="CC152" s="592">
        <v>0.0</v>
      </c>
      <c r="CD152" s="592" t="s">
        <v>365</v>
      </c>
      <c r="CE152" s="592">
        <v>0.0</v>
      </c>
      <c r="CF152" s="592"/>
      <c r="CG152" s="592">
        <v>0.0</v>
      </c>
      <c r="CH152" s="592"/>
      <c r="CI152" s="633"/>
      <c r="CJ152" s="592">
        <v>0.0</v>
      </c>
      <c r="CK152" s="479" t="s">
        <v>365</v>
      </c>
      <c r="CL152" s="592"/>
      <c r="CM152" s="593"/>
      <c r="CN152" s="538"/>
      <c r="CO152" s="538"/>
      <c r="CP152" s="538"/>
      <c r="CQ152" s="538"/>
      <c r="CR152" s="538"/>
      <c r="CS152" s="538"/>
      <c r="CT152" s="538"/>
      <c r="CU152" s="538"/>
      <c r="CV152" s="538"/>
      <c r="CW152" s="538"/>
      <c r="CX152" s="538"/>
      <c r="CY152" s="538"/>
      <c r="CZ152" s="538"/>
      <c r="DA152" s="538"/>
      <c r="DB152" s="538"/>
      <c r="DC152" s="538"/>
      <c r="DD152" s="538"/>
      <c r="DE152" s="538"/>
      <c r="DF152" s="538"/>
      <c r="DG152" s="538"/>
      <c r="DH152" s="538"/>
      <c r="DI152" s="538"/>
      <c r="DJ152" s="538"/>
      <c r="DK152" s="538"/>
      <c r="DL152" s="538"/>
      <c r="DM152" s="538"/>
      <c r="DN152" s="538"/>
      <c r="DO152" s="538"/>
      <c r="DP152" s="538"/>
      <c r="DQ152" s="538"/>
      <c r="DR152" s="538"/>
      <c r="DS152" s="538"/>
      <c r="DT152" s="538"/>
      <c r="DU152" s="538"/>
      <c r="DV152" s="538"/>
      <c r="DW152" s="538"/>
      <c r="DX152" s="538"/>
      <c r="DY152" s="538"/>
      <c r="DZ152" s="538"/>
      <c r="EA152" s="538"/>
      <c r="EB152" s="538"/>
      <c r="EC152" s="538"/>
      <c r="ED152" s="538"/>
      <c r="EE152" s="538"/>
      <c r="EF152" s="538"/>
      <c r="EG152" s="538"/>
      <c r="EH152" s="538"/>
      <c r="EI152" s="538"/>
      <c r="EJ152" s="538"/>
      <c r="EK152" s="538"/>
      <c r="EL152" s="538"/>
      <c r="EM152" s="538"/>
      <c r="EN152" s="538"/>
      <c r="EO152" s="538"/>
      <c r="EP152" s="538"/>
      <c r="EQ152" s="538"/>
      <c r="ER152" s="538"/>
      <c r="ES152" s="538"/>
      <c r="ET152" s="538"/>
      <c r="EU152" s="538"/>
      <c r="EV152" s="538"/>
      <c r="EW152" s="538"/>
      <c r="EX152" s="559"/>
      <c r="EY152" s="559"/>
      <c r="EZ152" s="559"/>
      <c r="FA152" s="559"/>
      <c r="FB152" s="559"/>
      <c r="FC152" s="559"/>
      <c r="FD152" s="559"/>
      <c r="FE152" s="559"/>
      <c r="FF152" s="559"/>
      <c r="FG152" s="559"/>
      <c r="FH152" s="559"/>
      <c r="FI152" s="559"/>
      <c r="FJ152" s="559"/>
      <c r="FK152" s="559"/>
      <c r="FL152" s="559"/>
      <c r="FM152" s="559"/>
      <c r="FN152" s="559"/>
      <c r="FO152" s="559"/>
      <c r="FP152" s="559"/>
      <c r="FQ152" s="559"/>
      <c r="FR152" s="559"/>
      <c r="FS152" s="559"/>
      <c r="FT152" s="559"/>
      <c r="FU152" s="559"/>
      <c r="FV152" s="559"/>
      <c r="FW152" s="559"/>
      <c r="FX152" s="559"/>
      <c r="FY152" s="559"/>
      <c r="FZ152" s="559"/>
      <c r="GA152" s="559"/>
      <c r="GB152" s="559"/>
      <c r="GC152" s="559"/>
      <c r="GD152" s="559"/>
      <c r="GE152" s="559"/>
      <c r="GF152" s="559"/>
      <c r="GG152" s="559"/>
      <c r="GH152" s="559"/>
    </row>
    <row r="153">
      <c r="A153" s="538"/>
      <c r="B153" s="156"/>
      <c r="C153" s="444"/>
      <c r="D153" s="614"/>
      <c r="E153" s="66"/>
      <c r="F153" s="642"/>
      <c r="G153" s="642"/>
      <c r="H153" s="615"/>
      <c r="I153" s="616" t="s">
        <v>365</v>
      </c>
      <c r="J153" s="624"/>
      <c r="K153" s="643"/>
      <c r="L153" s="640"/>
      <c r="M153" s="625"/>
      <c r="N153" s="617"/>
      <c r="O153" s="134"/>
      <c r="P153" s="57"/>
      <c r="Q153" s="57"/>
      <c r="S153" s="605"/>
      <c r="U153" s="573"/>
      <c r="V153" s="574"/>
      <c r="W153" s="618"/>
      <c r="X153" s="576">
        <v>0.0</v>
      </c>
      <c r="Y153" s="630">
        <v>0.0</v>
      </c>
      <c r="Z153" s="630" t="s">
        <v>365</v>
      </c>
      <c r="AA153" s="631" t="b">
        <v>0</v>
      </c>
      <c r="AB153" s="631"/>
      <c r="AC153" s="576"/>
      <c r="AD153" s="479">
        <v>0.0</v>
      </c>
      <c r="AE153" s="632"/>
      <c r="AF153" s="582" t="s">
        <v>365</v>
      </c>
      <c r="AG153" s="583"/>
      <c r="AH153" s="584"/>
      <c r="AI153" s="583"/>
      <c r="AJ153" s="585"/>
      <c r="AK153" s="583"/>
      <c r="AL153" s="584"/>
      <c r="AM153" s="583"/>
      <c r="AN153" s="585"/>
      <c r="AO153" s="583"/>
      <c r="AP153" s="584"/>
      <c r="AQ153" s="583"/>
      <c r="AR153" s="585"/>
      <c r="AS153" s="583"/>
      <c r="AT153" s="584"/>
      <c r="AU153" s="583"/>
      <c r="AV153" s="585"/>
      <c r="AW153" s="583"/>
      <c r="AX153" s="584"/>
      <c r="AY153" s="583"/>
      <c r="AZ153" s="585"/>
      <c r="BA153" s="583"/>
      <c r="BB153" s="584"/>
      <c r="BC153" s="583"/>
      <c r="BD153" s="585"/>
      <c r="BE153" s="583"/>
      <c r="BF153" s="584"/>
      <c r="BG153" s="583"/>
      <c r="BH153" s="585"/>
      <c r="BI153" s="583"/>
      <c r="BJ153" s="584"/>
      <c r="BK153" s="583"/>
      <c r="BL153" s="585"/>
      <c r="BM153" s="583"/>
      <c r="BN153" s="584"/>
      <c r="BO153" s="583"/>
      <c r="BP153" s="585"/>
      <c r="BQ153" s="583"/>
      <c r="BR153" s="584"/>
      <c r="BS153" s="583"/>
      <c r="BT153" s="586"/>
      <c r="BU153" s="540"/>
      <c r="BV153" s="540"/>
      <c r="BW153" s="540"/>
      <c r="BX153" s="538"/>
      <c r="BY153" s="538"/>
      <c r="BZ153" s="592"/>
      <c r="CA153" s="633"/>
      <c r="CB153" s="592" t="s">
        <v>365</v>
      </c>
      <c r="CC153" s="592">
        <v>0.0</v>
      </c>
      <c r="CD153" s="592" t="s">
        <v>365</v>
      </c>
      <c r="CE153" s="592">
        <v>0.0</v>
      </c>
      <c r="CF153" s="592"/>
      <c r="CG153" s="592">
        <v>0.0</v>
      </c>
      <c r="CH153" s="592"/>
      <c r="CI153" s="633"/>
      <c r="CJ153" s="592">
        <v>0.0</v>
      </c>
      <c r="CK153" s="479" t="s">
        <v>365</v>
      </c>
      <c r="CL153" s="592"/>
      <c r="CM153" s="593"/>
      <c r="CN153" s="538"/>
      <c r="CO153" s="538"/>
      <c r="CP153" s="538"/>
      <c r="CQ153" s="538"/>
      <c r="CR153" s="538"/>
      <c r="CS153" s="538"/>
      <c r="CT153" s="538"/>
      <c r="CU153" s="538"/>
      <c r="CV153" s="538"/>
      <c r="CW153" s="538"/>
      <c r="CX153" s="538"/>
      <c r="CY153" s="538"/>
      <c r="CZ153" s="538"/>
      <c r="DA153" s="538"/>
      <c r="DB153" s="538"/>
      <c r="DC153" s="538"/>
      <c r="DD153" s="538"/>
      <c r="DE153" s="538"/>
      <c r="DF153" s="538"/>
      <c r="DG153" s="538"/>
      <c r="DH153" s="538"/>
      <c r="DI153" s="538"/>
      <c r="DJ153" s="538"/>
      <c r="DK153" s="538"/>
      <c r="DL153" s="538"/>
      <c r="DM153" s="538"/>
      <c r="DN153" s="538"/>
      <c r="DO153" s="538"/>
      <c r="DP153" s="538"/>
      <c r="DQ153" s="538"/>
      <c r="DR153" s="538"/>
      <c r="DS153" s="538"/>
      <c r="DT153" s="538"/>
      <c r="DU153" s="538"/>
      <c r="DV153" s="538"/>
      <c r="DW153" s="538"/>
      <c r="DX153" s="538"/>
      <c r="DY153" s="538"/>
      <c r="DZ153" s="538"/>
      <c r="EA153" s="538"/>
      <c r="EB153" s="538"/>
      <c r="EC153" s="538"/>
      <c r="ED153" s="538"/>
      <c r="EE153" s="538"/>
      <c r="EF153" s="538"/>
      <c r="EG153" s="538"/>
      <c r="EH153" s="538"/>
      <c r="EI153" s="538"/>
      <c r="EJ153" s="538"/>
      <c r="EK153" s="538"/>
      <c r="EL153" s="538"/>
      <c r="EM153" s="538"/>
      <c r="EN153" s="538"/>
      <c r="EO153" s="538"/>
      <c r="EP153" s="538"/>
      <c r="EQ153" s="538"/>
      <c r="ER153" s="538"/>
      <c r="ES153" s="538"/>
      <c r="ET153" s="538"/>
      <c r="EU153" s="538"/>
      <c r="EV153" s="538"/>
      <c r="EW153" s="538"/>
      <c r="EX153" s="559"/>
      <c r="EY153" s="559"/>
      <c r="EZ153" s="559"/>
      <c r="FA153" s="559"/>
      <c r="FB153" s="559"/>
      <c r="FC153" s="559"/>
      <c r="FD153" s="559"/>
      <c r="FE153" s="559"/>
      <c r="FF153" s="559"/>
      <c r="FG153" s="559"/>
      <c r="FH153" s="559"/>
      <c r="FI153" s="559"/>
      <c r="FJ153" s="559"/>
      <c r="FK153" s="559"/>
      <c r="FL153" s="559"/>
      <c r="FM153" s="559"/>
      <c r="FN153" s="559"/>
      <c r="FO153" s="559"/>
      <c r="FP153" s="559"/>
      <c r="FQ153" s="559"/>
      <c r="FR153" s="559"/>
      <c r="FS153" s="559"/>
      <c r="FT153" s="559"/>
      <c r="FU153" s="559"/>
      <c r="FV153" s="559"/>
      <c r="FW153" s="559"/>
      <c r="FX153" s="559"/>
      <c r="FY153" s="559"/>
      <c r="FZ153" s="559"/>
      <c r="GA153" s="559"/>
      <c r="GB153" s="559"/>
      <c r="GC153" s="559"/>
      <c r="GD153" s="559"/>
      <c r="GE153" s="559"/>
      <c r="GF153" s="559"/>
      <c r="GG153" s="559"/>
      <c r="GH153" s="559"/>
    </row>
    <row r="154">
      <c r="A154" s="538"/>
      <c r="B154" s="156"/>
      <c r="C154" s="444"/>
      <c r="D154" s="614"/>
      <c r="E154" s="68"/>
      <c r="F154" s="644"/>
      <c r="G154" s="644"/>
      <c r="H154" s="627"/>
      <c r="I154" s="622" t="s">
        <v>365</v>
      </c>
      <c r="J154" s="607"/>
      <c r="K154" s="641"/>
      <c r="L154" s="628"/>
      <c r="M154" s="626"/>
      <c r="N154" s="619"/>
      <c r="O154" s="560"/>
      <c r="P154" s="47"/>
      <c r="Q154" s="47"/>
      <c r="S154" s="572"/>
      <c r="U154" s="573"/>
      <c r="V154" s="574"/>
      <c r="W154" s="618"/>
      <c r="X154" s="576">
        <v>0.0</v>
      </c>
      <c r="Y154" s="630">
        <v>0.0</v>
      </c>
      <c r="Z154" s="630" t="s">
        <v>365</v>
      </c>
      <c r="AA154" s="631" t="b">
        <v>0</v>
      </c>
      <c r="AB154" s="631"/>
      <c r="AC154" s="576"/>
      <c r="AD154" s="479">
        <v>0.0</v>
      </c>
      <c r="AE154" s="632"/>
      <c r="AF154" s="582" t="s">
        <v>365</v>
      </c>
      <c r="AG154" s="583"/>
      <c r="AH154" s="584"/>
      <c r="AI154" s="583"/>
      <c r="AJ154" s="585"/>
      <c r="AK154" s="583"/>
      <c r="AL154" s="584"/>
      <c r="AM154" s="583"/>
      <c r="AN154" s="585"/>
      <c r="AO154" s="583"/>
      <c r="AP154" s="584"/>
      <c r="AQ154" s="583"/>
      <c r="AR154" s="585"/>
      <c r="AS154" s="583"/>
      <c r="AT154" s="584"/>
      <c r="AU154" s="583"/>
      <c r="AV154" s="585"/>
      <c r="AW154" s="583"/>
      <c r="AX154" s="584"/>
      <c r="AY154" s="583"/>
      <c r="AZ154" s="585"/>
      <c r="BA154" s="583"/>
      <c r="BB154" s="584"/>
      <c r="BC154" s="583"/>
      <c r="BD154" s="585"/>
      <c r="BE154" s="583"/>
      <c r="BF154" s="584"/>
      <c r="BG154" s="583"/>
      <c r="BH154" s="585"/>
      <c r="BI154" s="583"/>
      <c r="BJ154" s="584"/>
      <c r="BK154" s="583"/>
      <c r="BL154" s="585"/>
      <c r="BM154" s="583"/>
      <c r="BN154" s="584"/>
      <c r="BO154" s="583"/>
      <c r="BP154" s="585"/>
      <c r="BQ154" s="583"/>
      <c r="BR154" s="584"/>
      <c r="BS154" s="583"/>
      <c r="BT154" s="586"/>
      <c r="BU154" s="540"/>
      <c r="BV154" s="540"/>
      <c r="BW154" s="540"/>
      <c r="BX154" s="538"/>
      <c r="BY154" s="538"/>
      <c r="BZ154" s="592"/>
      <c r="CA154" s="633"/>
      <c r="CB154" s="592" t="s">
        <v>365</v>
      </c>
      <c r="CC154" s="592">
        <v>0.0</v>
      </c>
      <c r="CD154" s="592" t="s">
        <v>365</v>
      </c>
      <c r="CE154" s="592">
        <v>0.0</v>
      </c>
      <c r="CF154" s="592"/>
      <c r="CG154" s="592">
        <v>0.0</v>
      </c>
      <c r="CH154" s="592"/>
      <c r="CI154" s="633"/>
      <c r="CJ154" s="592">
        <v>0.0</v>
      </c>
      <c r="CK154" s="479" t="s">
        <v>365</v>
      </c>
      <c r="CL154" s="592"/>
      <c r="CM154" s="593"/>
      <c r="CN154" s="538"/>
      <c r="CO154" s="538"/>
      <c r="CP154" s="538"/>
      <c r="CQ154" s="538"/>
      <c r="CR154" s="538"/>
      <c r="CS154" s="538"/>
      <c r="CT154" s="538"/>
      <c r="CU154" s="538"/>
      <c r="CV154" s="538"/>
      <c r="CW154" s="538"/>
      <c r="CX154" s="538"/>
      <c r="CY154" s="538"/>
      <c r="CZ154" s="538"/>
      <c r="DA154" s="538"/>
      <c r="DB154" s="538"/>
      <c r="DC154" s="538"/>
      <c r="DD154" s="538"/>
      <c r="DE154" s="538"/>
      <c r="DF154" s="538"/>
      <c r="DG154" s="538"/>
      <c r="DH154" s="538"/>
      <c r="DI154" s="538"/>
      <c r="DJ154" s="538"/>
      <c r="DK154" s="538"/>
      <c r="DL154" s="538"/>
      <c r="DM154" s="538"/>
      <c r="DN154" s="538"/>
      <c r="DO154" s="538"/>
      <c r="DP154" s="538"/>
      <c r="DQ154" s="538"/>
      <c r="DR154" s="538"/>
      <c r="DS154" s="538"/>
      <c r="DT154" s="538"/>
      <c r="DU154" s="538"/>
      <c r="DV154" s="538"/>
      <c r="DW154" s="538"/>
      <c r="DX154" s="538"/>
      <c r="DY154" s="538"/>
      <c r="DZ154" s="538"/>
      <c r="EA154" s="538"/>
      <c r="EB154" s="538"/>
      <c r="EC154" s="538"/>
      <c r="ED154" s="538"/>
      <c r="EE154" s="538"/>
      <c r="EF154" s="538"/>
      <c r="EG154" s="538"/>
      <c r="EH154" s="538"/>
      <c r="EI154" s="538"/>
      <c r="EJ154" s="538"/>
      <c r="EK154" s="538"/>
      <c r="EL154" s="538"/>
      <c r="EM154" s="538"/>
      <c r="EN154" s="538"/>
      <c r="EO154" s="538"/>
      <c r="EP154" s="538"/>
      <c r="EQ154" s="538"/>
      <c r="ER154" s="538"/>
      <c r="ES154" s="538"/>
      <c r="ET154" s="538"/>
      <c r="EU154" s="538"/>
      <c r="EV154" s="538"/>
      <c r="EW154" s="538"/>
      <c r="EX154" s="559"/>
      <c r="EY154" s="559"/>
      <c r="EZ154" s="559"/>
      <c r="FA154" s="559"/>
      <c r="FB154" s="559"/>
      <c r="FC154" s="559"/>
      <c r="FD154" s="559"/>
      <c r="FE154" s="559"/>
      <c r="FF154" s="559"/>
      <c r="FG154" s="559"/>
      <c r="FH154" s="559"/>
      <c r="FI154" s="559"/>
      <c r="FJ154" s="559"/>
      <c r="FK154" s="559"/>
      <c r="FL154" s="559"/>
      <c r="FM154" s="559"/>
      <c r="FN154" s="559"/>
      <c r="FO154" s="559"/>
      <c r="FP154" s="559"/>
      <c r="FQ154" s="559"/>
      <c r="FR154" s="559"/>
      <c r="FS154" s="559"/>
      <c r="FT154" s="559"/>
      <c r="FU154" s="559"/>
      <c r="FV154" s="559"/>
      <c r="FW154" s="559"/>
      <c r="FX154" s="559"/>
      <c r="FY154" s="559"/>
      <c r="FZ154" s="559"/>
      <c r="GA154" s="559"/>
      <c r="GB154" s="559"/>
      <c r="GC154" s="559"/>
      <c r="GD154" s="559"/>
      <c r="GE154" s="559"/>
      <c r="GF154" s="559"/>
      <c r="GG154" s="559"/>
      <c r="GH154" s="559"/>
    </row>
    <row r="155">
      <c r="A155" s="538"/>
      <c r="B155" s="156"/>
      <c r="C155" s="444"/>
      <c r="D155" s="614"/>
      <c r="E155" s="66"/>
      <c r="F155" s="642"/>
      <c r="G155" s="642"/>
      <c r="H155" s="615"/>
      <c r="I155" s="616" t="s">
        <v>365</v>
      </c>
      <c r="J155" s="624"/>
      <c r="K155" s="643"/>
      <c r="L155" s="640"/>
      <c r="M155" s="625"/>
      <c r="N155" s="617"/>
      <c r="O155" s="134"/>
      <c r="P155" s="57"/>
      <c r="Q155" s="57"/>
      <c r="S155" s="605"/>
      <c r="U155" s="573"/>
      <c r="V155" s="574"/>
      <c r="W155" s="618"/>
      <c r="X155" s="576">
        <v>0.0</v>
      </c>
      <c r="Y155" s="630">
        <v>0.0</v>
      </c>
      <c r="Z155" s="630" t="s">
        <v>365</v>
      </c>
      <c r="AA155" s="631" t="b">
        <v>0</v>
      </c>
      <c r="AB155" s="631"/>
      <c r="AC155" s="576"/>
      <c r="AD155" s="479">
        <v>0.0</v>
      </c>
      <c r="AE155" s="632"/>
      <c r="AF155" s="582" t="s">
        <v>365</v>
      </c>
      <c r="AG155" s="583"/>
      <c r="AH155" s="584"/>
      <c r="AI155" s="583"/>
      <c r="AJ155" s="585"/>
      <c r="AK155" s="583"/>
      <c r="AL155" s="584"/>
      <c r="AM155" s="583"/>
      <c r="AN155" s="585"/>
      <c r="AO155" s="583"/>
      <c r="AP155" s="584"/>
      <c r="AQ155" s="583"/>
      <c r="AR155" s="585"/>
      <c r="AS155" s="583"/>
      <c r="AT155" s="584"/>
      <c r="AU155" s="583"/>
      <c r="AV155" s="585"/>
      <c r="AW155" s="583"/>
      <c r="AX155" s="584"/>
      <c r="AY155" s="583"/>
      <c r="AZ155" s="585"/>
      <c r="BA155" s="583"/>
      <c r="BB155" s="584"/>
      <c r="BC155" s="583"/>
      <c r="BD155" s="585"/>
      <c r="BE155" s="583"/>
      <c r="BF155" s="584"/>
      <c r="BG155" s="583"/>
      <c r="BH155" s="585"/>
      <c r="BI155" s="583"/>
      <c r="BJ155" s="584"/>
      <c r="BK155" s="583"/>
      <c r="BL155" s="585"/>
      <c r="BM155" s="583"/>
      <c r="BN155" s="584"/>
      <c r="BO155" s="583"/>
      <c r="BP155" s="585"/>
      <c r="BQ155" s="583"/>
      <c r="BR155" s="584"/>
      <c r="BS155" s="583"/>
      <c r="BT155" s="586"/>
      <c r="BU155" s="540"/>
      <c r="BV155" s="540"/>
      <c r="BW155" s="540"/>
      <c r="BX155" s="538"/>
      <c r="BY155" s="538"/>
      <c r="BZ155" s="592"/>
      <c r="CA155" s="633"/>
      <c r="CB155" s="592" t="s">
        <v>365</v>
      </c>
      <c r="CC155" s="592">
        <v>0.0</v>
      </c>
      <c r="CD155" s="592" t="s">
        <v>365</v>
      </c>
      <c r="CE155" s="592">
        <v>0.0</v>
      </c>
      <c r="CF155" s="592"/>
      <c r="CG155" s="592">
        <v>0.0</v>
      </c>
      <c r="CH155" s="592"/>
      <c r="CI155" s="633"/>
      <c r="CJ155" s="592">
        <v>0.0</v>
      </c>
      <c r="CK155" s="479" t="s">
        <v>365</v>
      </c>
      <c r="CL155" s="592"/>
      <c r="CM155" s="593"/>
      <c r="CN155" s="538"/>
      <c r="CO155" s="538"/>
      <c r="CP155" s="538"/>
      <c r="CQ155" s="538"/>
      <c r="CR155" s="538"/>
      <c r="CS155" s="538"/>
      <c r="CT155" s="538"/>
      <c r="CU155" s="538"/>
      <c r="CV155" s="538"/>
      <c r="CW155" s="538"/>
      <c r="CX155" s="538"/>
      <c r="CY155" s="538"/>
      <c r="CZ155" s="538"/>
      <c r="DA155" s="538"/>
      <c r="DB155" s="538"/>
      <c r="DC155" s="538"/>
      <c r="DD155" s="538"/>
      <c r="DE155" s="538"/>
      <c r="DF155" s="538"/>
      <c r="DG155" s="538"/>
      <c r="DH155" s="538"/>
      <c r="DI155" s="538"/>
      <c r="DJ155" s="538"/>
      <c r="DK155" s="538"/>
      <c r="DL155" s="538"/>
      <c r="DM155" s="538"/>
      <c r="DN155" s="538"/>
      <c r="DO155" s="538"/>
      <c r="DP155" s="538"/>
      <c r="DQ155" s="538"/>
      <c r="DR155" s="538"/>
      <c r="DS155" s="538"/>
      <c r="DT155" s="538"/>
      <c r="DU155" s="538"/>
      <c r="DV155" s="538"/>
      <c r="DW155" s="538"/>
      <c r="DX155" s="538"/>
      <c r="DY155" s="538"/>
      <c r="DZ155" s="538"/>
      <c r="EA155" s="538"/>
      <c r="EB155" s="538"/>
      <c r="EC155" s="538"/>
      <c r="ED155" s="538"/>
      <c r="EE155" s="538"/>
      <c r="EF155" s="538"/>
      <c r="EG155" s="538"/>
      <c r="EH155" s="538"/>
      <c r="EI155" s="538"/>
      <c r="EJ155" s="538"/>
      <c r="EK155" s="538"/>
      <c r="EL155" s="538"/>
      <c r="EM155" s="538"/>
      <c r="EN155" s="538"/>
      <c r="EO155" s="538"/>
      <c r="EP155" s="538"/>
      <c r="EQ155" s="538"/>
      <c r="ER155" s="538"/>
      <c r="ES155" s="538"/>
      <c r="ET155" s="538"/>
      <c r="EU155" s="538"/>
      <c r="EV155" s="538"/>
      <c r="EW155" s="538"/>
      <c r="EX155" s="559"/>
      <c r="EY155" s="559"/>
      <c r="EZ155" s="559"/>
      <c r="FA155" s="559"/>
      <c r="FB155" s="559"/>
      <c r="FC155" s="559"/>
      <c r="FD155" s="559"/>
      <c r="FE155" s="559"/>
      <c r="FF155" s="559"/>
      <c r="FG155" s="559"/>
      <c r="FH155" s="559"/>
      <c r="FI155" s="559"/>
      <c r="FJ155" s="559"/>
      <c r="FK155" s="559"/>
      <c r="FL155" s="559"/>
      <c r="FM155" s="559"/>
      <c r="FN155" s="559"/>
      <c r="FO155" s="559"/>
      <c r="FP155" s="559"/>
      <c r="FQ155" s="559"/>
      <c r="FR155" s="559"/>
      <c r="FS155" s="559"/>
      <c r="FT155" s="559"/>
      <c r="FU155" s="559"/>
      <c r="FV155" s="559"/>
      <c r="FW155" s="559"/>
      <c r="FX155" s="559"/>
      <c r="FY155" s="559"/>
      <c r="FZ155" s="559"/>
      <c r="GA155" s="559"/>
      <c r="GB155" s="559"/>
      <c r="GC155" s="559"/>
      <c r="GD155" s="559"/>
      <c r="GE155" s="559"/>
      <c r="GF155" s="559"/>
      <c r="GG155" s="559"/>
      <c r="GH155" s="559"/>
    </row>
    <row r="156">
      <c r="A156" s="538"/>
      <c r="B156" s="156"/>
      <c r="C156" s="444"/>
      <c r="D156" s="614"/>
      <c r="E156" s="68"/>
      <c r="F156" s="644"/>
      <c r="G156" s="644"/>
      <c r="H156" s="627"/>
      <c r="I156" s="622" t="s">
        <v>365</v>
      </c>
      <c r="J156" s="607"/>
      <c r="K156" s="641"/>
      <c r="L156" s="628"/>
      <c r="M156" s="626"/>
      <c r="N156" s="619"/>
      <c r="O156" s="560"/>
      <c r="P156" s="47"/>
      <c r="Q156" s="47"/>
      <c r="S156" s="572"/>
      <c r="U156" s="573"/>
      <c r="V156" s="574"/>
      <c r="W156" s="618"/>
      <c r="X156" s="576">
        <v>0.0</v>
      </c>
      <c r="Y156" s="630">
        <v>0.0</v>
      </c>
      <c r="Z156" s="630" t="s">
        <v>365</v>
      </c>
      <c r="AA156" s="631" t="b">
        <v>0</v>
      </c>
      <c r="AB156" s="631"/>
      <c r="AC156" s="576"/>
      <c r="AD156" s="479">
        <v>0.0</v>
      </c>
      <c r="AE156" s="632"/>
      <c r="AF156" s="582" t="s">
        <v>365</v>
      </c>
      <c r="AG156" s="583"/>
      <c r="AH156" s="584"/>
      <c r="AI156" s="583"/>
      <c r="AJ156" s="585"/>
      <c r="AK156" s="583"/>
      <c r="AL156" s="584"/>
      <c r="AM156" s="583"/>
      <c r="AN156" s="585"/>
      <c r="AO156" s="583"/>
      <c r="AP156" s="584"/>
      <c r="AQ156" s="583"/>
      <c r="AR156" s="585"/>
      <c r="AS156" s="583"/>
      <c r="AT156" s="584"/>
      <c r="AU156" s="583"/>
      <c r="AV156" s="585"/>
      <c r="AW156" s="583"/>
      <c r="AX156" s="584"/>
      <c r="AY156" s="583"/>
      <c r="AZ156" s="585"/>
      <c r="BA156" s="583"/>
      <c r="BB156" s="584"/>
      <c r="BC156" s="583"/>
      <c r="BD156" s="585"/>
      <c r="BE156" s="583"/>
      <c r="BF156" s="584"/>
      <c r="BG156" s="583"/>
      <c r="BH156" s="585"/>
      <c r="BI156" s="583"/>
      <c r="BJ156" s="584"/>
      <c r="BK156" s="583"/>
      <c r="BL156" s="585"/>
      <c r="BM156" s="583"/>
      <c r="BN156" s="584"/>
      <c r="BO156" s="583"/>
      <c r="BP156" s="585"/>
      <c r="BQ156" s="583"/>
      <c r="BR156" s="584"/>
      <c r="BS156" s="583"/>
      <c r="BT156" s="586"/>
      <c r="BU156" s="540"/>
      <c r="BV156" s="540"/>
      <c r="BW156" s="540"/>
      <c r="BX156" s="538"/>
      <c r="BY156" s="538"/>
      <c r="BZ156" s="592"/>
      <c r="CA156" s="633"/>
      <c r="CB156" s="592" t="s">
        <v>365</v>
      </c>
      <c r="CC156" s="592">
        <v>0.0</v>
      </c>
      <c r="CD156" s="592" t="s">
        <v>365</v>
      </c>
      <c r="CE156" s="592">
        <v>0.0</v>
      </c>
      <c r="CF156" s="592"/>
      <c r="CG156" s="592">
        <v>0.0</v>
      </c>
      <c r="CH156" s="592"/>
      <c r="CI156" s="633"/>
      <c r="CJ156" s="592">
        <v>0.0</v>
      </c>
      <c r="CK156" s="479" t="s">
        <v>365</v>
      </c>
      <c r="CL156" s="592"/>
      <c r="CM156" s="593"/>
      <c r="CN156" s="538"/>
      <c r="CO156" s="538"/>
      <c r="CP156" s="538"/>
      <c r="CQ156" s="538"/>
      <c r="CR156" s="538"/>
      <c r="CS156" s="538"/>
      <c r="CT156" s="538"/>
      <c r="CU156" s="538"/>
      <c r="CV156" s="538"/>
      <c r="CW156" s="538"/>
      <c r="CX156" s="538"/>
      <c r="CY156" s="538"/>
      <c r="CZ156" s="538"/>
      <c r="DA156" s="538"/>
      <c r="DB156" s="538"/>
      <c r="DC156" s="538"/>
      <c r="DD156" s="538"/>
      <c r="DE156" s="538"/>
      <c r="DF156" s="538"/>
      <c r="DG156" s="538"/>
      <c r="DH156" s="538"/>
      <c r="DI156" s="538"/>
      <c r="DJ156" s="538"/>
      <c r="DK156" s="538"/>
      <c r="DL156" s="538"/>
      <c r="DM156" s="538"/>
      <c r="DN156" s="538"/>
      <c r="DO156" s="538"/>
      <c r="DP156" s="538"/>
      <c r="DQ156" s="538"/>
      <c r="DR156" s="538"/>
      <c r="DS156" s="538"/>
      <c r="DT156" s="538"/>
      <c r="DU156" s="538"/>
      <c r="DV156" s="538"/>
      <c r="DW156" s="538"/>
      <c r="DX156" s="538"/>
      <c r="DY156" s="538"/>
      <c r="DZ156" s="538"/>
      <c r="EA156" s="538"/>
      <c r="EB156" s="538"/>
      <c r="EC156" s="538"/>
      <c r="ED156" s="538"/>
      <c r="EE156" s="538"/>
      <c r="EF156" s="538"/>
      <c r="EG156" s="538"/>
      <c r="EH156" s="538"/>
      <c r="EI156" s="538"/>
      <c r="EJ156" s="538"/>
      <c r="EK156" s="538"/>
      <c r="EL156" s="538"/>
      <c r="EM156" s="538"/>
      <c r="EN156" s="538"/>
      <c r="EO156" s="538"/>
      <c r="EP156" s="538"/>
      <c r="EQ156" s="538"/>
      <c r="ER156" s="538"/>
      <c r="ES156" s="538"/>
      <c r="ET156" s="538"/>
      <c r="EU156" s="538"/>
      <c r="EV156" s="538"/>
      <c r="EW156" s="538"/>
      <c r="EX156" s="559"/>
      <c r="EY156" s="559"/>
      <c r="EZ156" s="559"/>
      <c r="FA156" s="559"/>
      <c r="FB156" s="559"/>
      <c r="FC156" s="559"/>
      <c r="FD156" s="559"/>
      <c r="FE156" s="559"/>
      <c r="FF156" s="559"/>
      <c r="FG156" s="559"/>
      <c r="FH156" s="559"/>
      <c r="FI156" s="559"/>
      <c r="FJ156" s="559"/>
      <c r="FK156" s="559"/>
      <c r="FL156" s="559"/>
      <c r="FM156" s="559"/>
      <c r="FN156" s="559"/>
      <c r="FO156" s="559"/>
      <c r="FP156" s="559"/>
      <c r="FQ156" s="559"/>
      <c r="FR156" s="559"/>
      <c r="FS156" s="559"/>
      <c r="FT156" s="559"/>
      <c r="FU156" s="559"/>
      <c r="FV156" s="559"/>
      <c r="FW156" s="559"/>
      <c r="FX156" s="559"/>
      <c r="FY156" s="559"/>
      <c r="FZ156" s="559"/>
      <c r="GA156" s="559"/>
      <c r="GB156" s="559"/>
      <c r="GC156" s="559"/>
      <c r="GD156" s="559"/>
      <c r="GE156" s="559"/>
      <c r="GF156" s="559"/>
      <c r="GG156" s="559"/>
      <c r="GH156" s="559"/>
    </row>
    <row r="157">
      <c r="A157" s="538"/>
      <c r="B157" s="156"/>
      <c r="C157" s="444"/>
      <c r="D157" s="614"/>
      <c r="E157" s="66"/>
      <c r="F157" s="642"/>
      <c r="G157" s="642"/>
      <c r="H157" s="615"/>
      <c r="I157" s="616" t="s">
        <v>365</v>
      </c>
      <c r="J157" s="624"/>
      <c r="K157" s="643"/>
      <c r="L157" s="640"/>
      <c r="M157" s="625"/>
      <c r="N157" s="617"/>
      <c r="O157" s="134"/>
      <c r="P157" s="57"/>
      <c r="Q157" s="57"/>
      <c r="S157" s="605"/>
      <c r="U157" s="573"/>
      <c r="V157" s="574"/>
      <c r="W157" s="618"/>
      <c r="X157" s="576">
        <v>0.0</v>
      </c>
      <c r="Y157" s="630">
        <v>0.0</v>
      </c>
      <c r="Z157" s="630" t="s">
        <v>365</v>
      </c>
      <c r="AA157" s="631" t="b">
        <v>0</v>
      </c>
      <c r="AB157" s="631"/>
      <c r="AC157" s="576"/>
      <c r="AD157" s="479">
        <v>0.0</v>
      </c>
      <c r="AE157" s="632"/>
      <c r="AF157" s="582" t="s">
        <v>365</v>
      </c>
      <c r="AG157" s="583"/>
      <c r="AH157" s="584"/>
      <c r="AI157" s="583"/>
      <c r="AJ157" s="585"/>
      <c r="AK157" s="583"/>
      <c r="AL157" s="584"/>
      <c r="AM157" s="583"/>
      <c r="AN157" s="585"/>
      <c r="AO157" s="583"/>
      <c r="AP157" s="584"/>
      <c r="AQ157" s="583"/>
      <c r="AR157" s="585"/>
      <c r="AS157" s="583"/>
      <c r="AT157" s="584"/>
      <c r="AU157" s="583"/>
      <c r="AV157" s="585"/>
      <c r="AW157" s="583"/>
      <c r="AX157" s="584"/>
      <c r="AY157" s="583"/>
      <c r="AZ157" s="585"/>
      <c r="BA157" s="583"/>
      <c r="BB157" s="584"/>
      <c r="BC157" s="583"/>
      <c r="BD157" s="585"/>
      <c r="BE157" s="583"/>
      <c r="BF157" s="584"/>
      <c r="BG157" s="583"/>
      <c r="BH157" s="585"/>
      <c r="BI157" s="583"/>
      <c r="BJ157" s="584"/>
      <c r="BK157" s="583"/>
      <c r="BL157" s="585"/>
      <c r="BM157" s="583"/>
      <c r="BN157" s="584"/>
      <c r="BO157" s="583"/>
      <c r="BP157" s="585"/>
      <c r="BQ157" s="583"/>
      <c r="BR157" s="584"/>
      <c r="BS157" s="583"/>
      <c r="BT157" s="586"/>
      <c r="BU157" s="540"/>
      <c r="BV157" s="540"/>
      <c r="BW157" s="540"/>
      <c r="BX157" s="538"/>
      <c r="BY157" s="538"/>
      <c r="BZ157" s="592"/>
      <c r="CA157" s="633"/>
      <c r="CB157" s="592" t="s">
        <v>365</v>
      </c>
      <c r="CC157" s="592">
        <v>0.0</v>
      </c>
      <c r="CD157" s="592" t="s">
        <v>365</v>
      </c>
      <c r="CE157" s="592">
        <v>0.0</v>
      </c>
      <c r="CF157" s="592"/>
      <c r="CG157" s="592">
        <v>0.0</v>
      </c>
      <c r="CH157" s="592"/>
      <c r="CI157" s="633"/>
      <c r="CJ157" s="592">
        <v>0.0</v>
      </c>
      <c r="CK157" s="479" t="s">
        <v>365</v>
      </c>
      <c r="CL157" s="592"/>
      <c r="CM157" s="593"/>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c r="DI157" s="538"/>
      <c r="DJ157" s="538"/>
      <c r="DK157" s="538"/>
      <c r="DL157" s="538"/>
      <c r="DM157" s="538"/>
      <c r="DN157" s="538"/>
      <c r="DO157" s="538"/>
      <c r="DP157" s="538"/>
      <c r="DQ157" s="538"/>
      <c r="DR157" s="538"/>
      <c r="DS157" s="538"/>
      <c r="DT157" s="538"/>
      <c r="DU157" s="538"/>
      <c r="DV157" s="538"/>
      <c r="DW157" s="538"/>
      <c r="DX157" s="538"/>
      <c r="DY157" s="538"/>
      <c r="DZ157" s="538"/>
      <c r="EA157" s="538"/>
      <c r="EB157" s="538"/>
      <c r="EC157" s="538"/>
      <c r="ED157" s="538"/>
      <c r="EE157" s="538"/>
      <c r="EF157" s="538"/>
      <c r="EG157" s="538"/>
      <c r="EH157" s="538"/>
      <c r="EI157" s="538"/>
      <c r="EJ157" s="538"/>
      <c r="EK157" s="538"/>
      <c r="EL157" s="538"/>
      <c r="EM157" s="538"/>
      <c r="EN157" s="538"/>
      <c r="EO157" s="538"/>
      <c r="EP157" s="538"/>
      <c r="EQ157" s="538"/>
      <c r="ER157" s="538"/>
      <c r="ES157" s="538"/>
      <c r="ET157" s="538"/>
      <c r="EU157" s="538"/>
      <c r="EV157" s="538"/>
      <c r="EW157" s="538"/>
      <c r="EX157" s="559"/>
      <c r="EY157" s="559"/>
      <c r="EZ157" s="559"/>
      <c r="FA157" s="559"/>
      <c r="FB157" s="559"/>
      <c r="FC157" s="559"/>
      <c r="FD157" s="559"/>
      <c r="FE157" s="559"/>
      <c r="FF157" s="559"/>
      <c r="FG157" s="559"/>
      <c r="FH157" s="559"/>
      <c r="FI157" s="559"/>
      <c r="FJ157" s="559"/>
      <c r="FK157" s="559"/>
      <c r="FL157" s="559"/>
      <c r="FM157" s="559"/>
      <c r="FN157" s="559"/>
      <c r="FO157" s="559"/>
      <c r="FP157" s="559"/>
      <c r="FQ157" s="559"/>
      <c r="FR157" s="559"/>
      <c r="FS157" s="559"/>
      <c r="FT157" s="559"/>
      <c r="FU157" s="559"/>
      <c r="FV157" s="559"/>
      <c r="FW157" s="559"/>
      <c r="FX157" s="559"/>
      <c r="FY157" s="559"/>
      <c r="FZ157" s="559"/>
      <c r="GA157" s="559"/>
      <c r="GB157" s="559"/>
      <c r="GC157" s="559"/>
      <c r="GD157" s="559"/>
      <c r="GE157" s="559"/>
      <c r="GF157" s="559"/>
      <c r="GG157" s="559"/>
      <c r="GH157" s="559"/>
    </row>
    <row r="158">
      <c r="A158" s="538"/>
      <c r="B158" s="156"/>
      <c r="C158" s="444"/>
      <c r="D158" s="614"/>
      <c r="E158" s="68"/>
      <c r="F158" s="644"/>
      <c r="G158" s="644"/>
      <c r="H158" s="627"/>
      <c r="I158" s="622" t="s">
        <v>365</v>
      </c>
      <c r="J158" s="607"/>
      <c r="K158" s="641"/>
      <c r="L158" s="628"/>
      <c r="M158" s="626"/>
      <c r="N158" s="619"/>
      <c r="O158" s="560"/>
      <c r="P158" s="47"/>
      <c r="Q158" s="47"/>
      <c r="S158" s="572"/>
      <c r="U158" s="573"/>
      <c r="V158" s="574"/>
      <c r="W158" s="618"/>
      <c r="X158" s="576">
        <v>0.0</v>
      </c>
      <c r="Y158" s="630">
        <v>0.0</v>
      </c>
      <c r="Z158" s="630" t="s">
        <v>365</v>
      </c>
      <c r="AA158" s="631" t="b">
        <v>0</v>
      </c>
      <c r="AB158" s="631"/>
      <c r="AC158" s="576"/>
      <c r="AD158" s="479">
        <v>0.0</v>
      </c>
      <c r="AE158" s="632"/>
      <c r="AF158" s="582" t="s">
        <v>365</v>
      </c>
      <c r="AG158" s="583"/>
      <c r="AH158" s="584"/>
      <c r="AI158" s="583"/>
      <c r="AJ158" s="585"/>
      <c r="AK158" s="583"/>
      <c r="AL158" s="584"/>
      <c r="AM158" s="583"/>
      <c r="AN158" s="585"/>
      <c r="AO158" s="583"/>
      <c r="AP158" s="584"/>
      <c r="AQ158" s="583"/>
      <c r="AR158" s="585"/>
      <c r="AS158" s="583"/>
      <c r="AT158" s="584"/>
      <c r="AU158" s="583"/>
      <c r="AV158" s="585"/>
      <c r="AW158" s="583"/>
      <c r="AX158" s="584"/>
      <c r="AY158" s="583"/>
      <c r="AZ158" s="585"/>
      <c r="BA158" s="583"/>
      <c r="BB158" s="584"/>
      <c r="BC158" s="583"/>
      <c r="BD158" s="585"/>
      <c r="BE158" s="583"/>
      <c r="BF158" s="584"/>
      <c r="BG158" s="583"/>
      <c r="BH158" s="585"/>
      <c r="BI158" s="583"/>
      <c r="BJ158" s="584"/>
      <c r="BK158" s="583"/>
      <c r="BL158" s="585"/>
      <c r="BM158" s="583"/>
      <c r="BN158" s="584"/>
      <c r="BO158" s="583"/>
      <c r="BP158" s="585"/>
      <c r="BQ158" s="583"/>
      <c r="BR158" s="584"/>
      <c r="BS158" s="583"/>
      <c r="BT158" s="586"/>
      <c r="BU158" s="540"/>
      <c r="BV158" s="540"/>
      <c r="BW158" s="540"/>
      <c r="BX158" s="538"/>
      <c r="BY158" s="538"/>
      <c r="BZ158" s="592"/>
      <c r="CA158" s="633"/>
      <c r="CB158" s="592" t="s">
        <v>365</v>
      </c>
      <c r="CC158" s="592">
        <v>0.0</v>
      </c>
      <c r="CD158" s="592" t="s">
        <v>365</v>
      </c>
      <c r="CE158" s="592">
        <v>0.0</v>
      </c>
      <c r="CF158" s="592"/>
      <c r="CG158" s="592">
        <v>0.0</v>
      </c>
      <c r="CH158" s="592"/>
      <c r="CI158" s="633"/>
      <c r="CJ158" s="592">
        <v>0.0</v>
      </c>
      <c r="CK158" s="479" t="s">
        <v>365</v>
      </c>
      <c r="CL158" s="592"/>
      <c r="CM158" s="593"/>
      <c r="CN158" s="538"/>
      <c r="CO158" s="538"/>
      <c r="CP158" s="538"/>
      <c r="CQ158" s="538"/>
      <c r="CR158" s="538"/>
      <c r="CS158" s="538"/>
      <c r="CT158" s="538"/>
      <c r="CU158" s="538"/>
      <c r="CV158" s="538"/>
      <c r="CW158" s="538"/>
      <c r="CX158" s="538"/>
      <c r="CY158" s="538"/>
      <c r="CZ158" s="538"/>
      <c r="DA158" s="538"/>
      <c r="DB158" s="538"/>
      <c r="DC158" s="538"/>
      <c r="DD158" s="538"/>
      <c r="DE158" s="538"/>
      <c r="DF158" s="538"/>
      <c r="DG158" s="538"/>
      <c r="DH158" s="538"/>
      <c r="DI158" s="538"/>
      <c r="DJ158" s="538"/>
      <c r="DK158" s="538"/>
      <c r="DL158" s="538"/>
      <c r="DM158" s="538"/>
      <c r="DN158" s="538"/>
      <c r="DO158" s="538"/>
      <c r="DP158" s="538"/>
      <c r="DQ158" s="538"/>
      <c r="DR158" s="538"/>
      <c r="DS158" s="538"/>
      <c r="DT158" s="538"/>
      <c r="DU158" s="538"/>
      <c r="DV158" s="538"/>
      <c r="DW158" s="538"/>
      <c r="DX158" s="538"/>
      <c r="DY158" s="538"/>
      <c r="DZ158" s="538"/>
      <c r="EA158" s="538"/>
      <c r="EB158" s="538"/>
      <c r="EC158" s="538"/>
      <c r="ED158" s="538"/>
      <c r="EE158" s="538"/>
      <c r="EF158" s="538"/>
      <c r="EG158" s="538"/>
      <c r="EH158" s="538"/>
      <c r="EI158" s="538"/>
      <c r="EJ158" s="538"/>
      <c r="EK158" s="538"/>
      <c r="EL158" s="538"/>
      <c r="EM158" s="538"/>
      <c r="EN158" s="538"/>
      <c r="EO158" s="538"/>
      <c r="EP158" s="538"/>
      <c r="EQ158" s="538"/>
      <c r="ER158" s="538"/>
      <c r="ES158" s="538"/>
      <c r="ET158" s="538"/>
      <c r="EU158" s="538"/>
      <c r="EV158" s="538"/>
      <c r="EW158" s="538"/>
      <c r="EX158" s="559"/>
      <c r="EY158" s="559"/>
      <c r="EZ158" s="559"/>
      <c r="FA158" s="559"/>
      <c r="FB158" s="559"/>
      <c r="FC158" s="559"/>
      <c r="FD158" s="559"/>
      <c r="FE158" s="559"/>
      <c r="FF158" s="559"/>
      <c r="FG158" s="559"/>
      <c r="FH158" s="559"/>
      <c r="FI158" s="559"/>
      <c r="FJ158" s="559"/>
      <c r="FK158" s="559"/>
      <c r="FL158" s="559"/>
      <c r="FM158" s="559"/>
      <c r="FN158" s="559"/>
      <c r="FO158" s="559"/>
      <c r="FP158" s="559"/>
      <c r="FQ158" s="559"/>
      <c r="FR158" s="559"/>
      <c r="FS158" s="559"/>
      <c r="FT158" s="559"/>
      <c r="FU158" s="559"/>
      <c r="FV158" s="559"/>
      <c r="FW158" s="559"/>
      <c r="FX158" s="559"/>
      <c r="FY158" s="559"/>
      <c r="FZ158" s="559"/>
      <c r="GA158" s="559"/>
      <c r="GB158" s="559"/>
      <c r="GC158" s="559"/>
      <c r="GD158" s="559"/>
      <c r="GE158" s="559"/>
      <c r="GF158" s="559"/>
      <c r="GG158" s="559"/>
      <c r="GH158" s="559"/>
    </row>
    <row r="159">
      <c r="A159" s="538"/>
      <c r="B159" s="156"/>
      <c r="C159" s="444"/>
      <c r="D159" s="614"/>
      <c r="E159" s="66"/>
      <c r="F159" s="642"/>
      <c r="G159" s="642"/>
      <c r="H159" s="615"/>
      <c r="I159" s="616" t="s">
        <v>365</v>
      </c>
      <c r="J159" s="624"/>
      <c r="K159" s="643"/>
      <c r="L159" s="640"/>
      <c r="M159" s="625"/>
      <c r="N159" s="617"/>
      <c r="O159" s="134"/>
      <c r="P159" s="57"/>
      <c r="Q159" s="57"/>
      <c r="S159" s="605"/>
      <c r="U159" s="573"/>
      <c r="V159" s="574"/>
      <c r="W159" s="618"/>
      <c r="X159" s="576">
        <v>0.0</v>
      </c>
      <c r="Y159" s="630">
        <v>0.0</v>
      </c>
      <c r="Z159" s="630" t="s">
        <v>365</v>
      </c>
      <c r="AA159" s="631" t="b">
        <v>0</v>
      </c>
      <c r="AB159" s="631"/>
      <c r="AC159" s="576"/>
      <c r="AD159" s="479">
        <v>0.0</v>
      </c>
      <c r="AE159" s="632"/>
      <c r="AF159" s="582" t="s">
        <v>365</v>
      </c>
      <c r="AG159" s="583"/>
      <c r="AH159" s="584"/>
      <c r="AI159" s="583"/>
      <c r="AJ159" s="585"/>
      <c r="AK159" s="583"/>
      <c r="AL159" s="584"/>
      <c r="AM159" s="583"/>
      <c r="AN159" s="585"/>
      <c r="AO159" s="583"/>
      <c r="AP159" s="584"/>
      <c r="AQ159" s="583"/>
      <c r="AR159" s="585"/>
      <c r="AS159" s="583"/>
      <c r="AT159" s="584"/>
      <c r="AU159" s="583"/>
      <c r="AV159" s="585"/>
      <c r="AW159" s="583"/>
      <c r="AX159" s="584"/>
      <c r="AY159" s="583"/>
      <c r="AZ159" s="585"/>
      <c r="BA159" s="583"/>
      <c r="BB159" s="584"/>
      <c r="BC159" s="583"/>
      <c r="BD159" s="585"/>
      <c r="BE159" s="583"/>
      <c r="BF159" s="584"/>
      <c r="BG159" s="583"/>
      <c r="BH159" s="585"/>
      <c r="BI159" s="583"/>
      <c r="BJ159" s="584"/>
      <c r="BK159" s="583"/>
      <c r="BL159" s="585"/>
      <c r="BM159" s="583"/>
      <c r="BN159" s="584"/>
      <c r="BO159" s="583"/>
      <c r="BP159" s="585"/>
      <c r="BQ159" s="583"/>
      <c r="BR159" s="584"/>
      <c r="BS159" s="583"/>
      <c r="BT159" s="586"/>
      <c r="BU159" s="540"/>
      <c r="BV159" s="540"/>
      <c r="BW159" s="540"/>
      <c r="BX159" s="538"/>
      <c r="BY159" s="538"/>
      <c r="BZ159" s="592"/>
      <c r="CA159" s="633"/>
      <c r="CB159" s="592" t="s">
        <v>365</v>
      </c>
      <c r="CC159" s="592">
        <v>0.0</v>
      </c>
      <c r="CD159" s="592" t="s">
        <v>365</v>
      </c>
      <c r="CE159" s="592">
        <v>0.0</v>
      </c>
      <c r="CF159" s="592"/>
      <c r="CG159" s="592">
        <v>0.0</v>
      </c>
      <c r="CH159" s="592"/>
      <c r="CI159" s="633"/>
      <c r="CJ159" s="592">
        <v>0.0</v>
      </c>
      <c r="CK159" s="479" t="s">
        <v>365</v>
      </c>
      <c r="CL159" s="592"/>
      <c r="CM159" s="593"/>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c r="DI159" s="538"/>
      <c r="DJ159" s="538"/>
      <c r="DK159" s="538"/>
      <c r="DL159" s="538"/>
      <c r="DM159" s="538"/>
      <c r="DN159" s="538"/>
      <c r="DO159" s="538"/>
      <c r="DP159" s="538"/>
      <c r="DQ159" s="538"/>
      <c r="DR159" s="538"/>
      <c r="DS159" s="538"/>
      <c r="DT159" s="538"/>
      <c r="DU159" s="538"/>
      <c r="DV159" s="538"/>
      <c r="DW159" s="538"/>
      <c r="DX159" s="538"/>
      <c r="DY159" s="538"/>
      <c r="DZ159" s="538"/>
      <c r="EA159" s="538"/>
      <c r="EB159" s="538"/>
      <c r="EC159" s="538"/>
      <c r="ED159" s="538"/>
      <c r="EE159" s="538"/>
      <c r="EF159" s="538"/>
      <c r="EG159" s="538"/>
      <c r="EH159" s="538"/>
      <c r="EI159" s="538"/>
      <c r="EJ159" s="538"/>
      <c r="EK159" s="538"/>
      <c r="EL159" s="538"/>
      <c r="EM159" s="538"/>
      <c r="EN159" s="538"/>
      <c r="EO159" s="538"/>
      <c r="EP159" s="538"/>
      <c r="EQ159" s="538"/>
      <c r="ER159" s="538"/>
      <c r="ES159" s="538"/>
      <c r="ET159" s="538"/>
      <c r="EU159" s="538"/>
      <c r="EV159" s="538"/>
      <c r="EW159" s="538"/>
      <c r="EX159" s="559"/>
      <c r="EY159" s="559"/>
      <c r="EZ159" s="559"/>
      <c r="FA159" s="559"/>
      <c r="FB159" s="559"/>
      <c r="FC159" s="559"/>
      <c r="FD159" s="559"/>
      <c r="FE159" s="559"/>
      <c r="FF159" s="559"/>
      <c r="FG159" s="559"/>
      <c r="FH159" s="559"/>
      <c r="FI159" s="559"/>
      <c r="FJ159" s="559"/>
      <c r="FK159" s="559"/>
      <c r="FL159" s="559"/>
      <c r="FM159" s="559"/>
      <c r="FN159" s="559"/>
      <c r="FO159" s="559"/>
      <c r="FP159" s="559"/>
      <c r="FQ159" s="559"/>
      <c r="FR159" s="559"/>
      <c r="FS159" s="559"/>
      <c r="FT159" s="559"/>
      <c r="FU159" s="559"/>
      <c r="FV159" s="559"/>
      <c r="FW159" s="559"/>
      <c r="FX159" s="559"/>
      <c r="FY159" s="559"/>
      <c r="FZ159" s="559"/>
      <c r="GA159" s="559"/>
      <c r="GB159" s="559"/>
      <c r="GC159" s="559"/>
      <c r="GD159" s="559"/>
      <c r="GE159" s="559"/>
      <c r="GF159" s="559"/>
      <c r="GG159" s="559"/>
      <c r="GH159" s="559"/>
    </row>
    <row r="160">
      <c r="A160" s="538"/>
      <c r="B160" s="156"/>
      <c r="C160" s="444"/>
      <c r="D160" s="614"/>
      <c r="E160" s="68"/>
      <c r="F160" s="644"/>
      <c r="G160" s="644"/>
      <c r="H160" s="627"/>
      <c r="I160" s="622" t="s">
        <v>365</v>
      </c>
      <c r="J160" s="607"/>
      <c r="K160" s="641"/>
      <c r="L160" s="628"/>
      <c r="M160" s="626"/>
      <c r="N160" s="619"/>
      <c r="O160" s="560"/>
      <c r="P160" s="47"/>
      <c r="Q160" s="47"/>
      <c r="S160" s="572"/>
      <c r="U160" s="573"/>
      <c r="V160" s="574"/>
      <c r="W160" s="618"/>
      <c r="X160" s="576">
        <v>0.0</v>
      </c>
      <c r="Y160" s="630">
        <v>0.0</v>
      </c>
      <c r="Z160" s="630" t="s">
        <v>365</v>
      </c>
      <c r="AA160" s="631" t="b">
        <v>0</v>
      </c>
      <c r="AB160" s="631"/>
      <c r="AC160" s="576"/>
      <c r="AD160" s="479">
        <v>0.0</v>
      </c>
      <c r="AE160" s="632"/>
      <c r="AF160" s="582" t="s">
        <v>365</v>
      </c>
      <c r="AG160" s="583"/>
      <c r="AH160" s="584"/>
      <c r="AI160" s="583"/>
      <c r="AJ160" s="585"/>
      <c r="AK160" s="583"/>
      <c r="AL160" s="584"/>
      <c r="AM160" s="583"/>
      <c r="AN160" s="585"/>
      <c r="AO160" s="583"/>
      <c r="AP160" s="584"/>
      <c r="AQ160" s="583"/>
      <c r="AR160" s="585"/>
      <c r="AS160" s="583"/>
      <c r="AT160" s="584"/>
      <c r="AU160" s="583"/>
      <c r="AV160" s="585"/>
      <c r="AW160" s="583"/>
      <c r="AX160" s="584"/>
      <c r="AY160" s="583"/>
      <c r="AZ160" s="585"/>
      <c r="BA160" s="583"/>
      <c r="BB160" s="584"/>
      <c r="BC160" s="583"/>
      <c r="BD160" s="585"/>
      <c r="BE160" s="583"/>
      <c r="BF160" s="584"/>
      <c r="BG160" s="583"/>
      <c r="BH160" s="585"/>
      <c r="BI160" s="583"/>
      <c r="BJ160" s="584"/>
      <c r="BK160" s="583"/>
      <c r="BL160" s="585"/>
      <c r="BM160" s="583"/>
      <c r="BN160" s="584"/>
      <c r="BO160" s="583"/>
      <c r="BP160" s="585"/>
      <c r="BQ160" s="583"/>
      <c r="BR160" s="584"/>
      <c r="BS160" s="583"/>
      <c r="BT160" s="586"/>
      <c r="BU160" s="540"/>
      <c r="BV160" s="540"/>
      <c r="BW160" s="540"/>
      <c r="BX160" s="538"/>
      <c r="BY160" s="538"/>
      <c r="BZ160" s="592"/>
      <c r="CA160" s="633"/>
      <c r="CB160" s="592" t="s">
        <v>365</v>
      </c>
      <c r="CC160" s="592">
        <v>0.0</v>
      </c>
      <c r="CD160" s="592" t="s">
        <v>365</v>
      </c>
      <c r="CE160" s="592">
        <v>0.0</v>
      </c>
      <c r="CF160" s="592"/>
      <c r="CG160" s="592">
        <v>0.0</v>
      </c>
      <c r="CH160" s="592"/>
      <c r="CI160" s="633"/>
      <c r="CJ160" s="592">
        <v>0.0</v>
      </c>
      <c r="CK160" s="479" t="s">
        <v>365</v>
      </c>
      <c r="CL160" s="592"/>
      <c r="CM160" s="593"/>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c r="DI160" s="538"/>
      <c r="DJ160" s="538"/>
      <c r="DK160" s="538"/>
      <c r="DL160" s="538"/>
      <c r="DM160" s="538"/>
      <c r="DN160" s="538"/>
      <c r="DO160" s="538"/>
      <c r="DP160" s="538"/>
      <c r="DQ160" s="538"/>
      <c r="DR160" s="538"/>
      <c r="DS160" s="538"/>
      <c r="DT160" s="538"/>
      <c r="DU160" s="538"/>
      <c r="DV160" s="538"/>
      <c r="DW160" s="538"/>
      <c r="DX160" s="538"/>
      <c r="DY160" s="538"/>
      <c r="DZ160" s="538"/>
      <c r="EA160" s="538"/>
      <c r="EB160" s="538"/>
      <c r="EC160" s="538"/>
      <c r="ED160" s="538"/>
      <c r="EE160" s="538"/>
      <c r="EF160" s="538"/>
      <c r="EG160" s="538"/>
      <c r="EH160" s="538"/>
      <c r="EI160" s="538"/>
      <c r="EJ160" s="538"/>
      <c r="EK160" s="538"/>
      <c r="EL160" s="538"/>
      <c r="EM160" s="538"/>
      <c r="EN160" s="538"/>
      <c r="EO160" s="538"/>
      <c r="EP160" s="538"/>
      <c r="EQ160" s="538"/>
      <c r="ER160" s="538"/>
      <c r="ES160" s="538"/>
      <c r="ET160" s="538"/>
      <c r="EU160" s="538"/>
      <c r="EV160" s="538"/>
      <c r="EW160" s="538"/>
      <c r="EX160" s="559"/>
      <c r="EY160" s="559"/>
      <c r="EZ160" s="559"/>
      <c r="FA160" s="559"/>
      <c r="FB160" s="559"/>
      <c r="FC160" s="559"/>
      <c r="FD160" s="559"/>
      <c r="FE160" s="559"/>
      <c r="FF160" s="559"/>
      <c r="FG160" s="559"/>
      <c r="FH160" s="559"/>
      <c r="FI160" s="559"/>
      <c r="FJ160" s="559"/>
      <c r="FK160" s="559"/>
      <c r="FL160" s="559"/>
      <c r="FM160" s="559"/>
      <c r="FN160" s="559"/>
      <c r="FO160" s="559"/>
      <c r="FP160" s="559"/>
      <c r="FQ160" s="559"/>
      <c r="FR160" s="559"/>
      <c r="FS160" s="559"/>
      <c r="FT160" s="559"/>
      <c r="FU160" s="559"/>
      <c r="FV160" s="559"/>
      <c r="FW160" s="559"/>
      <c r="FX160" s="559"/>
      <c r="FY160" s="559"/>
      <c r="FZ160" s="559"/>
      <c r="GA160" s="559"/>
      <c r="GB160" s="559"/>
      <c r="GC160" s="559"/>
      <c r="GD160" s="559"/>
      <c r="GE160" s="559"/>
      <c r="GF160" s="559"/>
      <c r="GG160" s="559"/>
      <c r="GH160" s="559"/>
    </row>
    <row r="161">
      <c r="A161" s="538"/>
      <c r="B161" s="156"/>
      <c r="C161" s="444"/>
      <c r="D161" s="614"/>
      <c r="E161" s="66"/>
      <c r="F161" s="642"/>
      <c r="G161" s="642"/>
      <c r="H161" s="615"/>
      <c r="I161" s="616" t="s">
        <v>365</v>
      </c>
      <c r="J161" s="624"/>
      <c r="K161" s="643"/>
      <c r="L161" s="640"/>
      <c r="M161" s="625"/>
      <c r="N161" s="617"/>
      <c r="O161" s="134"/>
      <c r="P161" s="57"/>
      <c r="Q161" s="57"/>
      <c r="S161" s="605"/>
      <c r="U161" s="573"/>
      <c r="V161" s="574"/>
      <c r="W161" s="618"/>
      <c r="X161" s="576">
        <v>0.0</v>
      </c>
      <c r="Y161" s="630">
        <v>0.0</v>
      </c>
      <c r="Z161" s="630" t="s">
        <v>365</v>
      </c>
      <c r="AA161" s="631" t="b">
        <v>0</v>
      </c>
      <c r="AB161" s="631"/>
      <c r="AC161" s="576"/>
      <c r="AD161" s="479">
        <v>0.0</v>
      </c>
      <c r="AE161" s="632"/>
      <c r="AF161" s="582" t="s">
        <v>365</v>
      </c>
      <c r="AG161" s="583"/>
      <c r="AH161" s="584"/>
      <c r="AI161" s="583"/>
      <c r="AJ161" s="585"/>
      <c r="AK161" s="583"/>
      <c r="AL161" s="584"/>
      <c r="AM161" s="583"/>
      <c r="AN161" s="585"/>
      <c r="AO161" s="583"/>
      <c r="AP161" s="584"/>
      <c r="AQ161" s="583"/>
      <c r="AR161" s="585"/>
      <c r="AS161" s="583"/>
      <c r="AT161" s="584"/>
      <c r="AU161" s="583"/>
      <c r="AV161" s="585"/>
      <c r="AW161" s="583"/>
      <c r="AX161" s="584"/>
      <c r="AY161" s="583"/>
      <c r="AZ161" s="585"/>
      <c r="BA161" s="583"/>
      <c r="BB161" s="584"/>
      <c r="BC161" s="583"/>
      <c r="BD161" s="585"/>
      <c r="BE161" s="583"/>
      <c r="BF161" s="584"/>
      <c r="BG161" s="583"/>
      <c r="BH161" s="585"/>
      <c r="BI161" s="583"/>
      <c r="BJ161" s="584"/>
      <c r="BK161" s="583"/>
      <c r="BL161" s="585"/>
      <c r="BM161" s="583"/>
      <c r="BN161" s="584"/>
      <c r="BO161" s="583"/>
      <c r="BP161" s="585"/>
      <c r="BQ161" s="583"/>
      <c r="BR161" s="584"/>
      <c r="BS161" s="583"/>
      <c r="BT161" s="586"/>
      <c r="BU161" s="540"/>
      <c r="BV161" s="540"/>
      <c r="BW161" s="540"/>
      <c r="BX161" s="538"/>
      <c r="BY161" s="538"/>
      <c r="BZ161" s="592"/>
      <c r="CA161" s="633"/>
      <c r="CB161" s="592" t="s">
        <v>365</v>
      </c>
      <c r="CC161" s="592">
        <v>0.0</v>
      </c>
      <c r="CD161" s="592" t="s">
        <v>365</v>
      </c>
      <c r="CE161" s="592">
        <v>0.0</v>
      </c>
      <c r="CF161" s="592"/>
      <c r="CG161" s="592">
        <v>0.0</v>
      </c>
      <c r="CH161" s="592"/>
      <c r="CI161" s="633"/>
      <c r="CJ161" s="592">
        <v>0.0</v>
      </c>
      <c r="CK161" s="479" t="s">
        <v>365</v>
      </c>
      <c r="CL161" s="592"/>
      <c r="CM161" s="593"/>
      <c r="CN161" s="538"/>
      <c r="CO161" s="538"/>
      <c r="CP161" s="538"/>
      <c r="CQ161" s="538"/>
      <c r="CR161" s="538"/>
      <c r="CS161" s="538"/>
      <c r="CT161" s="538"/>
      <c r="CU161" s="538"/>
      <c r="CV161" s="538"/>
      <c r="CW161" s="538"/>
      <c r="CX161" s="538"/>
      <c r="CY161" s="538"/>
      <c r="CZ161" s="538"/>
      <c r="DA161" s="538"/>
      <c r="DB161" s="538"/>
      <c r="DC161" s="538"/>
      <c r="DD161" s="538"/>
      <c r="DE161" s="538"/>
      <c r="DF161" s="538"/>
      <c r="DG161" s="538"/>
      <c r="DH161" s="538"/>
      <c r="DI161" s="538"/>
      <c r="DJ161" s="538"/>
      <c r="DK161" s="538"/>
      <c r="DL161" s="538"/>
      <c r="DM161" s="538"/>
      <c r="DN161" s="538"/>
      <c r="DO161" s="538"/>
      <c r="DP161" s="538"/>
      <c r="DQ161" s="538"/>
      <c r="DR161" s="538"/>
      <c r="DS161" s="538"/>
      <c r="DT161" s="538"/>
      <c r="DU161" s="538"/>
      <c r="DV161" s="538"/>
      <c r="DW161" s="538"/>
      <c r="DX161" s="538"/>
      <c r="DY161" s="538"/>
      <c r="DZ161" s="538"/>
      <c r="EA161" s="538"/>
      <c r="EB161" s="538"/>
      <c r="EC161" s="538"/>
      <c r="ED161" s="538"/>
      <c r="EE161" s="538"/>
      <c r="EF161" s="538"/>
      <c r="EG161" s="538"/>
      <c r="EH161" s="538"/>
      <c r="EI161" s="538"/>
      <c r="EJ161" s="538"/>
      <c r="EK161" s="538"/>
      <c r="EL161" s="538"/>
      <c r="EM161" s="538"/>
      <c r="EN161" s="538"/>
      <c r="EO161" s="538"/>
      <c r="EP161" s="538"/>
      <c r="EQ161" s="538"/>
      <c r="ER161" s="538"/>
      <c r="ES161" s="538"/>
      <c r="ET161" s="538"/>
      <c r="EU161" s="538"/>
      <c r="EV161" s="538"/>
      <c r="EW161" s="538"/>
      <c r="EX161" s="559"/>
      <c r="EY161" s="559"/>
      <c r="EZ161" s="559"/>
      <c r="FA161" s="559"/>
      <c r="FB161" s="559"/>
      <c r="FC161" s="559"/>
      <c r="FD161" s="559"/>
      <c r="FE161" s="559"/>
      <c r="FF161" s="559"/>
      <c r="FG161" s="559"/>
      <c r="FH161" s="559"/>
      <c r="FI161" s="559"/>
      <c r="FJ161" s="559"/>
      <c r="FK161" s="559"/>
      <c r="FL161" s="559"/>
      <c r="FM161" s="559"/>
      <c r="FN161" s="559"/>
      <c r="FO161" s="559"/>
      <c r="FP161" s="559"/>
      <c r="FQ161" s="559"/>
      <c r="FR161" s="559"/>
      <c r="FS161" s="559"/>
      <c r="FT161" s="559"/>
      <c r="FU161" s="559"/>
      <c r="FV161" s="559"/>
      <c r="FW161" s="559"/>
      <c r="FX161" s="559"/>
      <c r="FY161" s="559"/>
      <c r="FZ161" s="559"/>
      <c r="GA161" s="559"/>
      <c r="GB161" s="559"/>
      <c r="GC161" s="559"/>
      <c r="GD161" s="559"/>
      <c r="GE161" s="559"/>
      <c r="GF161" s="559"/>
      <c r="GG161" s="559"/>
      <c r="GH161" s="559"/>
    </row>
    <row r="162">
      <c r="A162" s="538"/>
      <c r="B162" s="156"/>
      <c r="C162" s="444"/>
      <c r="D162" s="614"/>
      <c r="E162" s="68"/>
      <c r="F162" s="644"/>
      <c r="G162" s="644"/>
      <c r="H162" s="627"/>
      <c r="I162" s="622" t="s">
        <v>365</v>
      </c>
      <c r="J162" s="607"/>
      <c r="K162" s="641"/>
      <c r="L162" s="628"/>
      <c r="M162" s="626"/>
      <c r="N162" s="619"/>
      <c r="O162" s="560"/>
      <c r="P162" s="47"/>
      <c r="Q162" s="47"/>
      <c r="S162" s="572"/>
      <c r="U162" s="573"/>
      <c r="V162" s="574"/>
      <c r="W162" s="618"/>
      <c r="X162" s="576">
        <v>0.0</v>
      </c>
      <c r="Y162" s="630">
        <v>0.0</v>
      </c>
      <c r="Z162" s="630" t="s">
        <v>365</v>
      </c>
      <c r="AA162" s="631" t="b">
        <v>0</v>
      </c>
      <c r="AB162" s="631"/>
      <c r="AC162" s="576"/>
      <c r="AD162" s="479">
        <v>0.0</v>
      </c>
      <c r="AE162" s="632"/>
      <c r="AF162" s="582" t="s">
        <v>365</v>
      </c>
      <c r="AG162" s="583"/>
      <c r="AH162" s="584"/>
      <c r="AI162" s="583"/>
      <c r="AJ162" s="585"/>
      <c r="AK162" s="583"/>
      <c r="AL162" s="584"/>
      <c r="AM162" s="583"/>
      <c r="AN162" s="585"/>
      <c r="AO162" s="583"/>
      <c r="AP162" s="584"/>
      <c r="AQ162" s="583"/>
      <c r="AR162" s="585"/>
      <c r="AS162" s="583"/>
      <c r="AT162" s="584"/>
      <c r="AU162" s="583"/>
      <c r="AV162" s="585"/>
      <c r="AW162" s="583"/>
      <c r="AX162" s="584"/>
      <c r="AY162" s="583"/>
      <c r="AZ162" s="585"/>
      <c r="BA162" s="583"/>
      <c r="BB162" s="584"/>
      <c r="BC162" s="583"/>
      <c r="BD162" s="585"/>
      <c r="BE162" s="583"/>
      <c r="BF162" s="584"/>
      <c r="BG162" s="583"/>
      <c r="BH162" s="585"/>
      <c r="BI162" s="583"/>
      <c r="BJ162" s="584"/>
      <c r="BK162" s="583"/>
      <c r="BL162" s="585"/>
      <c r="BM162" s="583"/>
      <c r="BN162" s="584"/>
      <c r="BO162" s="583"/>
      <c r="BP162" s="585"/>
      <c r="BQ162" s="583"/>
      <c r="BR162" s="584"/>
      <c r="BS162" s="583"/>
      <c r="BT162" s="586"/>
      <c r="BU162" s="540"/>
      <c r="BV162" s="540"/>
      <c r="BW162" s="540"/>
      <c r="BX162" s="538"/>
      <c r="BY162" s="538"/>
      <c r="BZ162" s="592"/>
      <c r="CA162" s="633"/>
      <c r="CB162" s="592" t="s">
        <v>365</v>
      </c>
      <c r="CC162" s="592">
        <v>0.0</v>
      </c>
      <c r="CD162" s="592" t="s">
        <v>365</v>
      </c>
      <c r="CE162" s="592">
        <v>0.0</v>
      </c>
      <c r="CF162" s="592"/>
      <c r="CG162" s="592">
        <v>0.0</v>
      </c>
      <c r="CH162" s="592"/>
      <c r="CI162" s="633"/>
      <c r="CJ162" s="592">
        <v>0.0</v>
      </c>
      <c r="CK162" s="479" t="s">
        <v>365</v>
      </c>
      <c r="CL162" s="592"/>
      <c r="CM162" s="593"/>
      <c r="CN162" s="538"/>
      <c r="CO162" s="538"/>
      <c r="CP162" s="538"/>
      <c r="CQ162" s="538"/>
      <c r="CR162" s="538"/>
      <c r="CS162" s="538"/>
      <c r="CT162" s="538"/>
      <c r="CU162" s="538"/>
      <c r="CV162" s="538"/>
      <c r="CW162" s="538"/>
      <c r="CX162" s="538"/>
      <c r="CY162" s="538"/>
      <c r="CZ162" s="538"/>
      <c r="DA162" s="538"/>
      <c r="DB162" s="538"/>
      <c r="DC162" s="538"/>
      <c r="DD162" s="538"/>
      <c r="DE162" s="538"/>
      <c r="DF162" s="538"/>
      <c r="DG162" s="538"/>
      <c r="DH162" s="538"/>
      <c r="DI162" s="538"/>
      <c r="DJ162" s="538"/>
      <c r="DK162" s="538"/>
      <c r="DL162" s="538"/>
      <c r="DM162" s="538"/>
      <c r="DN162" s="538"/>
      <c r="DO162" s="538"/>
      <c r="DP162" s="538"/>
      <c r="DQ162" s="538"/>
      <c r="DR162" s="538"/>
      <c r="DS162" s="538"/>
      <c r="DT162" s="538"/>
      <c r="DU162" s="538"/>
      <c r="DV162" s="538"/>
      <c r="DW162" s="538"/>
      <c r="DX162" s="538"/>
      <c r="DY162" s="538"/>
      <c r="DZ162" s="538"/>
      <c r="EA162" s="538"/>
      <c r="EB162" s="538"/>
      <c r="EC162" s="538"/>
      <c r="ED162" s="538"/>
      <c r="EE162" s="538"/>
      <c r="EF162" s="538"/>
      <c r="EG162" s="538"/>
      <c r="EH162" s="538"/>
      <c r="EI162" s="538"/>
      <c r="EJ162" s="538"/>
      <c r="EK162" s="538"/>
      <c r="EL162" s="538"/>
      <c r="EM162" s="538"/>
      <c r="EN162" s="538"/>
      <c r="EO162" s="538"/>
      <c r="EP162" s="538"/>
      <c r="EQ162" s="538"/>
      <c r="ER162" s="538"/>
      <c r="ES162" s="538"/>
      <c r="ET162" s="538"/>
      <c r="EU162" s="538"/>
      <c r="EV162" s="538"/>
      <c r="EW162" s="538"/>
      <c r="EX162" s="559"/>
      <c r="EY162" s="559"/>
      <c r="EZ162" s="559"/>
      <c r="FA162" s="559"/>
      <c r="FB162" s="559"/>
      <c r="FC162" s="559"/>
      <c r="FD162" s="559"/>
      <c r="FE162" s="559"/>
      <c r="FF162" s="559"/>
      <c r="FG162" s="559"/>
      <c r="FH162" s="559"/>
      <c r="FI162" s="559"/>
      <c r="FJ162" s="559"/>
      <c r="FK162" s="559"/>
      <c r="FL162" s="559"/>
      <c r="FM162" s="559"/>
      <c r="FN162" s="559"/>
      <c r="FO162" s="559"/>
      <c r="FP162" s="559"/>
      <c r="FQ162" s="559"/>
      <c r="FR162" s="559"/>
      <c r="FS162" s="559"/>
      <c r="FT162" s="559"/>
      <c r="FU162" s="559"/>
      <c r="FV162" s="559"/>
      <c r="FW162" s="559"/>
      <c r="FX162" s="559"/>
      <c r="FY162" s="559"/>
      <c r="FZ162" s="559"/>
      <c r="GA162" s="559"/>
      <c r="GB162" s="559"/>
      <c r="GC162" s="559"/>
      <c r="GD162" s="559"/>
      <c r="GE162" s="559"/>
      <c r="GF162" s="559"/>
      <c r="GG162" s="559"/>
      <c r="GH162" s="559"/>
    </row>
    <row r="163">
      <c r="A163" s="538"/>
      <c r="B163" s="156"/>
      <c r="C163" s="444"/>
      <c r="D163" s="614"/>
      <c r="E163" s="66"/>
      <c r="F163" s="642"/>
      <c r="G163" s="642"/>
      <c r="H163" s="615"/>
      <c r="I163" s="616" t="s">
        <v>365</v>
      </c>
      <c r="J163" s="624"/>
      <c r="K163" s="643"/>
      <c r="L163" s="640"/>
      <c r="M163" s="625"/>
      <c r="N163" s="617"/>
      <c r="O163" s="134"/>
      <c r="P163" s="57"/>
      <c r="Q163" s="57"/>
      <c r="S163" s="605"/>
      <c r="U163" s="573"/>
      <c r="V163" s="574"/>
      <c r="W163" s="618"/>
      <c r="X163" s="576">
        <v>0.0</v>
      </c>
      <c r="Y163" s="630">
        <v>0.0</v>
      </c>
      <c r="Z163" s="630" t="s">
        <v>365</v>
      </c>
      <c r="AA163" s="631" t="b">
        <v>0</v>
      </c>
      <c r="AB163" s="631"/>
      <c r="AC163" s="576"/>
      <c r="AD163" s="479">
        <v>0.0</v>
      </c>
      <c r="AE163" s="632"/>
      <c r="AF163" s="582" t="s">
        <v>365</v>
      </c>
      <c r="AG163" s="583"/>
      <c r="AH163" s="584"/>
      <c r="AI163" s="583"/>
      <c r="AJ163" s="585"/>
      <c r="AK163" s="583"/>
      <c r="AL163" s="584"/>
      <c r="AM163" s="583"/>
      <c r="AN163" s="585"/>
      <c r="AO163" s="583"/>
      <c r="AP163" s="584"/>
      <c r="AQ163" s="583"/>
      <c r="AR163" s="585"/>
      <c r="AS163" s="583"/>
      <c r="AT163" s="584"/>
      <c r="AU163" s="583"/>
      <c r="AV163" s="585"/>
      <c r="AW163" s="583"/>
      <c r="AX163" s="584"/>
      <c r="AY163" s="583"/>
      <c r="AZ163" s="585"/>
      <c r="BA163" s="583"/>
      <c r="BB163" s="584"/>
      <c r="BC163" s="583"/>
      <c r="BD163" s="585"/>
      <c r="BE163" s="583"/>
      <c r="BF163" s="584"/>
      <c r="BG163" s="583"/>
      <c r="BH163" s="585"/>
      <c r="BI163" s="583"/>
      <c r="BJ163" s="584"/>
      <c r="BK163" s="583"/>
      <c r="BL163" s="585"/>
      <c r="BM163" s="583"/>
      <c r="BN163" s="584"/>
      <c r="BO163" s="583"/>
      <c r="BP163" s="585"/>
      <c r="BQ163" s="583"/>
      <c r="BR163" s="584"/>
      <c r="BS163" s="583"/>
      <c r="BT163" s="586"/>
      <c r="BU163" s="540"/>
      <c r="BV163" s="540"/>
      <c r="BW163" s="540"/>
      <c r="BX163" s="538"/>
      <c r="BY163" s="538"/>
      <c r="BZ163" s="592"/>
      <c r="CA163" s="633"/>
      <c r="CB163" s="592" t="s">
        <v>365</v>
      </c>
      <c r="CC163" s="592">
        <v>0.0</v>
      </c>
      <c r="CD163" s="592" t="s">
        <v>365</v>
      </c>
      <c r="CE163" s="592">
        <v>0.0</v>
      </c>
      <c r="CF163" s="592"/>
      <c r="CG163" s="592">
        <v>0.0</v>
      </c>
      <c r="CH163" s="592"/>
      <c r="CI163" s="633"/>
      <c r="CJ163" s="592">
        <v>0.0</v>
      </c>
      <c r="CK163" s="479" t="s">
        <v>365</v>
      </c>
      <c r="CL163" s="592"/>
      <c r="CM163" s="593"/>
      <c r="CN163" s="538"/>
      <c r="CO163" s="538"/>
      <c r="CP163" s="538"/>
      <c r="CQ163" s="538"/>
      <c r="CR163" s="538"/>
      <c r="CS163" s="538"/>
      <c r="CT163" s="538"/>
      <c r="CU163" s="538"/>
      <c r="CV163" s="538"/>
      <c r="CW163" s="538"/>
      <c r="CX163" s="538"/>
      <c r="CY163" s="538"/>
      <c r="CZ163" s="538"/>
      <c r="DA163" s="538"/>
      <c r="DB163" s="538"/>
      <c r="DC163" s="538"/>
      <c r="DD163" s="538"/>
      <c r="DE163" s="538"/>
      <c r="DF163" s="538"/>
      <c r="DG163" s="538"/>
      <c r="DH163" s="538"/>
      <c r="DI163" s="538"/>
      <c r="DJ163" s="538"/>
      <c r="DK163" s="538"/>
      <c r="DL163" s="538"/>
      <c r="DM163" s="538"/>
      <c r="DN163" s="538"/>
      <c r="DO163" s="538"/>
      <c r="DP163" s="538"/>
      <c r="DQ163" s="538"/>
      <c r="DR163" s="538"/>
      <c r="DS163" s="538"/>
      <c r="DT163" s="538"/>
      <c r="DU163" s="538"/>
      <c r="DV163" s="538"/>
      <c r="DW163" s="538"/>
      <c r="DX163" s="538"/>
      <c r="DY163" s="538"/>
      <c r="DZ163" s="538"/>
      <c r="EA163" s="538"/>
      <c r="EB163" s="538"/>
      <c r="EC163" s="538"/>
      <c r="ED163" s="538"/>
      <c r="EE163" s="538"/>
      <c r="EF163" s="538"/>
      <c r="EG163" s="538"/>
      <c r="EH163" s="538"/>
      <c r="EI163" s="538"/>
      <c r="EJ163" s="538"/>
      <c r="EK163" s="538"/>
      <c r="EL163" s="538"/>
      <c r="EM163" s="538"/>
      <c r="EN163" s="538"/>
      <c r="EO163" s="538"/>
      <c r="EP163" s="538"/>
      <c r="EQ163" s="538"/>
      <c r="ER163" s="538"/>
      <c r="ES163" s="538"/>
      <c r="ET163" s="538"/>
      <c r="EU163" s="538"/>
      <c r="EV163" s="538"/>
      <c r="EW163" s="538"/>
      <c r="EX163" s="559"/>
      <c r="EY163" s="559"/>
      <c r="EZ163" s="559"/>
      <c r="FA163" s="559"/>
      <c r="FB163" s="559"/>
      <c r="FC163" s="559"/>
      <c r="FD163" s="559"/>
      <c r="FE163" s="559"/>
      <c r="FF163" s="559"/>
      <c r="FG163" s="559"/>
      <c r="FH163" s="559"/>
      <c r="FI163" s="559"/>
      <c r="FJ163" s="559"/>
      <c r="FK163" s="559"/>
      <c r="FL163" s="559"/>
      <c r="FM163" s="559"/>
      <c r="FN163" s="559"/>
      <c r="FO163" s="559"/>
      <c r="FP163" s="559"/>
      <c r="FQ163" s="559"/>
      <c r="FR163" s="559"/>
      <c r="FS163" s="559"/>
      <c r="FT163" s="559"/>
      <c r="FU163" s="559"/>
      <c r="FV163" s="559"/>
      <c r="FW163" s="559"/>
      <c r="FX163" s="559"/>
      <c r="FY163" s="559"/>
      <c r="FZ163" s="559"/>
      <c r="GA163" s="559"/>
      <c r="GB163" s="559"/>
      <c r="GC163" s="559"/>
      <c r="GD163" s="559"/>
      <c r="GE163" s="559"/>
      <c r="GF163" s="559"/>
      <c r="GG163" s="559"/>
      <c r="GH163" s="559"/>
    </row>
    <row r="164">
      <c r="A164" s="538"/>
      <c r="B164" s="156"/>
      <c r="C164" s="444"/>
      <c r="D164" s="614"/>
      <c r="E164" s="68"/>
      <c r="F164" s="644"/>
      <c r="G164" s="644"/>
      <c r="H164" s="627"/>
      <c r="I164" s="622" t="s">
        <v>365</v>
      </c>
      <c r="J164" s="607"/>
      <c r="K164" s="641"/>
      <c r="L164" s="628"/>
      <c r="M164" s="626"/>
      <c r="N164" s="619"/>
      <c r="O164" s="560"/>
      <c r="P164" s="47"/>
      <c r="Q164" s="47"/>
      <c r="S164" s="572"/>
      <c r="U164" s="573"/>
      <c r="V164" s="574"/>
      <c r="W164" s="618"/>
      <c r="X164" s="576">
        <v>0.0</v>
      </c>
      <c r="Y164" s="630">
        <v>0.0</v>
      </c>
      <c r="Z164" s="630" t="s">
        <v>365</v>
      </c>
      <c r="AA164" s="631" t="b">
        <v>0</v>
      </c>
      <c r="AB164" s="631"/>
      <c r="AC164" s="576"/>
      <c r="AD164" s="479">
        <v>0.0</v>
      </c>
      <c r="AE164" s="632"/>
      <c r="AF164" s="582" t="s">
        <v>365</v>
      </c>
      <c r="AG164" s="583"/>
      <c r="AH164" s="584"/>
      <c r="AI164" s="583"/>
      <c r="AJ164" s="585"/>
      <c r="AK164" s="583"/>
      <c r="AL164" s="584"/>
      <c r="AM164" s="583"/>
      <c r="AN164" s="585"/>
      <c r="AO164" s="583"/>
      <c r="AP164" s="584"/>
      <c r="AQ164" s="583"/>
      <c r="AR164" s="585"/>
      <c r="AS164" s="583"/>
      <c r="AT164" s="584"/>
      <c r="AU164" s="583"/>
      <c r="AV164" s="585"/>
      <c r="AW164" s="583"/>
      <c r="AX164" s="584"/>
      <c r="AY164" s="583"/>
      <c r="AZ164" s="585"/>
      <c r="BA164" s="583"/>
      <c r="BB164" s="584"/>
      <c r="BC164" s="583"/>
      <c r="BD164" s="585"/>
      <c r="BE164" s="583"/>
      <c r="BF164" s="584"/>
      <c r="BG164" s="583"/>
      <c r="BH164" s="585"/>
      <c r="BI164" s="583"/>
      <c r="BJ164" s="584"/>
      <c r="BK164" s="583"/>
      <c r="BL164" s="585"/>
      <c r="BM164" s="583"/>
      <c r="BN164" s="584"/>
      <c r="BO164" s="583"/>
      <c r="BP164" s="585"/>
      <c r="BQ164" s="583"/>
      <c r="BR164" s="584"/>
      <c r="BS164" s="583"/>
      <c r="BT164" s="586"/>
      <c r="BU164" s="540"/>
      <c r="BV164" s="540"/>
      <c r="BW164" s="540"/>
      <c r="BX164" s="538"/>
      <c r="BY164" s="538"/>
      <c r="BZ164" s="592"/>
      <c r="CA164" s="633"/>
      <c r="CB164" s="592" t="s">
        <v>365</v>
      </c>
      <c r="CC164" s="592">
        <v>0.0</v>
      </c>
      <c r="CD164" s="592" t="s">
        <v>365</v>
      </c>
      <c r="CE164" s="592">
        <v>0.0</v>
      </c>
      <c r="CF164" s="592"/>
      <c r="CG164" s="592">
        <v>0.0</v>
      </c>
      <c r="CH164" s="592"/>
      <c r="CI164" s="633"/>
      <c r="CJ164" s="592">
        <v>0.0</v>
      </c>
      <c r="CK164" s="479" t="s">
        <v>365</v>
      </c>
      <c r="CL164" s="592"/>
      <c r="CM164" s="593"/>
      <c r="CN164" s="538"/>
      <c r="CO164" s="538"/>
      <c r="CP164" s="538"/>
      <c r="CQ164" s="538"/>
      <c r="CR164" s="538"/>
      <c r="CS164" s="538"/>
      <c r="CT164" s="538"/>
      <c r="CU164" s="538"/>
      <c r="CV164" s="538"/>
      <c r="CW164" s="538"/>
      <c r="CX164" s="538"/>
      <c r="CY164" s="538"/>
      <c r="CZ164" s="538"/>
      <c r="DA164" s="538"/>
      <c r="DB164" s="538"/>
      <c r="DC164" s="538"/>
      <c r="DD164" s="538"/>
      <c r="DE164" s="538"/>
      <c r="DF164" s="538"/>
      <c r="DG164" s="538"/>
      <c r="DH164" s="538"/>
      <c r="DI164" s="538"/>
      <c r="DJ164" s="538"/>
      <c r="DK164" s="538"/>
      <c r="DL164" s="538"/>
      <c r="DM164" s="538"/>
      <c r="DN164" s="538"/>
      <c r="DO164" s="538"/>
      <c r="DP164" s="538"/>
      <c r="DQ164" s="538"/>
      <c r="DR164" s="538"/>
      <c r="DS164" s="538"/>
      <c r="DT164" s="538"/>
      <c r="DU164" s="538"/>
      <c r="DV164" s="538"/>
      <c r="DW164" s="538"/>
      <c r="DX164" s="538"/>
      <c r="DY164" s="538"/>
      <c r="DZ164" s="538"/>
      <c r="EA164" s="538"/>
      <c r="EB164" s="538"/>
      <c r="EC164" s="538"/>
      <c r="ED164" s="538"/>
      <c r="EE164" s="538"/>
      <c r="EF164" s="538"/>
      <c r="EG164" s="538"/>
      <c r="EH164" s="538"/>
      <c r="EI164" s="538"/>
      <c r="EJ164" s="538"/>
      <c r="EK164" s="538"/>
      <c r="EL164" s="538"/>
      <c r="EM164" s="538"/>
      <c r="EN164" s="538"/>
      <c r="EO164" s="538"/>
      <c r="EP164" s="538"/>
      <c r="EQ164" s="538"/>
      <c r="ER164" s="538"/>
      <c r="ES164" s="538"/>
      <c r="ET164" s="538"/>
      <c r="EU164" s="538"/>
      <c r="EV164" s="538"/>
      <c r="EW164" s="538"/>
      <c r="EX164" s="559"/>
      <c r="EY164" s="559"/>
      <c r="EZ164" s="559"/>
      <c r="FA164" s="559"/>
      <c r="FB164" s="559"/>
      <c r="FC164" s="559"/>
      <c r="FD164" s="559"/>
      <c r="FE164" s="559"/>
      <c r="FF164" s="559"/>
      <c r="FG164" s="559"/>
      <c r="FH164" s="559"/>
      <c r="FI164" s="559"/>
      <c r="FJ164" s="559"/>
      <c r="FK164" s="559"/>
      <c r="FL164" s="559"/>
      <c r="FM164" s="559"/>
      <c r="FN164" s="559"/>
      <c r="FO164" s="559"/>
      <c r="FP164" s="559"/>
      <c r="FQ164" s="559"/>
      <c r="FR164" s="559"/>
      <c r="FS164" s="559"/>
      <c r="FT164" s="559"/>
      <c r="FU164" s="559"/>
      <c r="FV164" s="559"/>
      <c r="FW164" s="559"/>
      <c r="FX164" s="559"/>
      <c r="FY164" s="559"/>
      <c r="FZ164" s="559"/>
      <c r="GA164" s="559"/>
      <c r="GB164" s="559"/>
      <c r="GC164" s="559"/>
      <c r="GD164" s="559"/>
      <c r="GE164" s="559"/>
      <c r="GF164" s="559"/>
      <c r="GG164" s="559"/>
      <c r="GH164" s="559"/>
    </row>
    <row r="165">
      <c r="A165" s="538"/>
      <c r="B165" s="156"/>
      <c r="C165" s="444"/>
      <c r="D165" s="614"/>
      <c r="E165" s="66"/>
      <c r="F165" s="642"/>
      <c r="G165" s="642"/>
      <c r="H165" s="615"/>
      <c r="I165" s="616" t="s">
        <v>365</v>
      </c>
      <c r="J165" s="624"/>
      <c r="K165" s="643"/>
      <c r="L165" s="640"/>
      <c r="M165" s="625"/>
      <c r="N165" s="617"/>
      <c r="O165" s="134"/>
      <c r="P165" s="57"/>
      <c r="Q165" s="57"/>
      <c r="S165" s="605"/>
      <c r="U165" s="573"/>
      <c r="V165" s="574"/>
      <c r="W165" s="618"/>
      <c r="X165" s="576">
        <v>0.0</v>
      </c>
      <c r="Y165" s="630">
        <v>0.0</v>
      </c>
      <c r="Z165" s="630" t="s">
        <v>365</v>
      </c>
      <c r="AA165" s="631" t="b">
        <v>0</v>
      </c>
      <c r="AB165" s="631"/>
      <c r="AC165" s="576"/>
      <c r="AD165" s="479">
        <v>0.0</v>
      </c>
      <c r="AE165" s="632"/>
      <c r="AF165" s="582" t="s">
        <v>365</v>
      </c>
      <c r="AG165" s="583"/>
      <c r="AH165" s="584"/>
      <c r="AI165" s="583"/>
      <c r="AJ165" s="585"/>
      <c r="AK165" s="583"/>
      <c r="AL165" s="584"/>
      <c r="AM165" s="583"/>
      <c r="AN165" s="585"/>
      <c r="AO165" s="583"/>
      <c r="AP165" s="584"/>
      <c r="AQ165" s="583"/>
      <c r="AR165" s="585"/>
      <c r="AS165" s="583"/>
      <c r="AT165" s="584"/>
      <c r="AU165" s="583"/>
      <c r="AV165" s="585"/>
      <c r="AW165" s="583"/>
      <c r="AX165" s="584"/>
      <c r="AY165" s="583"/>
      <c r="AZ165" s="585"/>
      <c r="BA165" s="583"/>
      <c r="BB165" s="584"/>
      <c r="BC165" s="583"/>
      <c r="BD165" s="585"/>
      <c r="BE165" s="583"/>
      <c r="BF165" s="584"/>
      <c r="BG165" s="583"/>
      <c r="BH165" s="585"/>
      <c r="BI165" s="583"/>
      <c r="BJ165" s="584"/>
      <c r="BK165" s="583"/>
      <c r="BL165" s="585"/>
      <c r="BM165" s="583"/>
      <c r="BN165" s="584"/>
      <c r="BO165" s="583"/>
      <c r="BP165" s="585"/>
      <c r="BQ165" s="583"/>
      <c r="BR165" s="584"/>
      <c r="BS165" s="583"/>
      <c r="BT165" s="586"/>
      <c r="BU165" s="540"/>
      <c r="BV165" s="540"/>
      <c r="BW165" s="540"/>
      <c r="BX165" s="538"/>
      <c r="BY165" s="538"/>
      <c r="BZ165" s="592"/>
      <c r="CA165" s="633"/>
      <c r="CB165" s="592" t="s">
        <v>365</v>
      </c>
      <c r="CC165" s="592">
        <v>0.0</v>
      </c>
      <c r="CD165" s="592" t="s">
        <v>365</v>
      </c>
      <c r="CE165" s="592">
        <v>0.0</v>
      </c>
      <c r="CF165" s="592"/>
      <c r="CG165" s="592">
        <v>0.0</v>
      </c>
      <c r="CH165" s="592"/>
      <c r="CI165" s="633"/>
      <c r="CJ165" s="592">
        <v>0.0</v>
      </c>
      <c r="CK165" s="479" t="s">
        <v>365</v>
      </c>
      <c r="CL165" s="592"/>
      <c r="CM165" s="593"/>
      <c r="CN165" s="538"/>
      <c r="CO165" s="538"/>
      <c r="CP165" s="538"/>
      <c r="CQ165" s="538"/>
      <c r="CR165" s="538"/>
      <c r="CS165" s="538"/>
      <c r="CT165" s="538"/>
      <c r="CU165" s="538"/>
      <c r="CV165" s="538"/>
      <c r="CW165" s="538"/>
      <c r="CX165" s="538"/>
      <c r="CY165" s="538"/>
      <c r="CZ165" s="538"/>
      <c r="DA165" s="538"/>
      <c r="DB165" s="538"/>
      <c r="DC165" s="538"/>
      <c r="DD165" s="538"/>
      <c r="DE165" s="538"/>
      <c r="DF165" s="538"/>
      <c r="DG165" s="538"/>
      <c r="DH165" s="538"/>
      <c r="DI165" s="538"/>
      <c r="DJ165" s="538"/>
      <c r="DK165" s="538"/>
      <c r="DL165" s="538"/>
      <c r="DM165" s="538"/>
      <c r="DN165" s="538"/>
      <c r="DO165" s="538"/>
      <c r="DP165" s="538"/>
      <c r="DQ165" s="538"/>
      <c r="DR165" s="538"/>
      <c r="DS165" s="538"/>
      <c r="DT165" s="538"/>
      <c r="DU165" s="538"/>
      <c r="DV165" s="538"/>
      <c r="DW165" s="538"/>
      <c r="DX165" s="538"/>
      <c r="DY165" s="538"/>
      <c r="DZ165" s="538"/>
      <c r="EA165" s="538"/>
      <c r="EB165" s="538"/>
      <c r="EC165" s="538"/>
      <c r="ED165" s="538"/>
      <c r="EE165" s="538"/>
      <c r="EF165" s="538"/>
      <c r="EG165" s="538"/>
      <c r="EH165" s="538"/>
      <c r="EI165" s="538"/>
      <c r="EJ165" s="538"/>
      <c r="EK165" s="538"/>
      <c r="EL165" s="538"/>
      <c r="EM165" s="538"/>
      <c r="EN165" s="538"/>
      <c r="EO165" s="538"/>
      <c r="EP165" s="538"/>
      <c r="EQ165" s="538"/>
      <c r="ER165" s="538"/>
      <c r="ES165" s="538"/>
      <c r="ET165" s="538"/>
      <c r="EU165" s="538"/>
      <c r="EV165" s="538"/>
      <c r="EW165" s="538"/>
      <c r="EX165" s="559"/>
      <c r="EY165" s="559"/>
      <c r="EZ165" s="559"/>
      <c r="FA165" s="559"/>
      <c r="FB165" s="559"/>
      <c r="FC165" s="559"/>
      <c r="FD165" s="559"/>
      <c r="FE165" s="559"/>
      <c r="FF165" s="559"/>
      <c r="FG165" s="559"/>
      <c r="FH165" s="559"/>
      <c r="FI165" s="559"/>
      <c r="FJ165" s="559"/>
      <c r="FK165" s="559"/>
      <c r="FL165" s="559"/>
      <c r="FM165" s="559"/>
      <c r="FN165" s="559"/>
      <c r="FO165" s="559"/>
      <c r="FP165" s="559"/>
      <c r="FQ165" s="559"/>
      <c r="FR165" s="559"/>
      <c r="FS165" s="559"/>
      <c r="FT165" s="559"/>
      <c r="FU165" s="559"/>
      <c r="FV165" s="559"/>
      <c r="FW165" s="559"/>
      <c r="FX165" s="559"/>
      <c r="FY165" s="559"/>
      <c r="FZ165" s="559"/>
      <c r="GA165" s="559"/>
      <c r="GB165" s="559"/>
      <c r="GC165" s="559"/>
      <c r="GD165" s="559"/>
      <c r="GE165" s="559"/>
      <c r="GF165" s="559"/>
      <c r="GG165" s="559"/>
      <c r="GH165" s="559"/>
    </row>
    <row r="166">
      <c r="A166" s="538"/>
      <c r="B166" s="156"/>
      <c r="C166" s="444"/>
      <c r="D166" s="614"/>
      <c r="E166" s="68"/>
      <c r="F166" s="644"/>
      <c r="G166" s="644"/>
      <c r="H166" s="627"/>
      <c r="I166" s="622" t="s">
        <v>365</v>
      </c>
      <c r="J166" s="607"/>
      <c r="K166" s="641"/>
      <c r="L166" s="628"/>
      <c r="M166" s="626"/>
      <c r="N166" s="619"/>
      <c r="O166" s="560"/>
      <c r="P166" s="47"/>
      <c r="Q166" s="47"/>
      <c r="S166" s="572"/>
      <c r="U166" s="573"/>
      <c r="V166" s="574"/>
      <c r="W166" s="618"/>
      <c r="X166" s="576">
        <v>0.0</v>
      </c>
      <c r="Y166" s="630">
        <v>0.0</v>
      </c>
      <c r="Z166" s="630" t="s">
        <v>365</v>
      </c>
      <c r="AA166" s="631" t="b">
        <v>0</v>
      </c>
      <c r="AB166" s="631"/>
      <c r="AC166" s="576"/>
      <c r="AD166" s="479">
        <v>0.0</v>
      </c>
      <c r="AE166" s="632"/>
      <c r="AF166" s="582" t="s">
        <v>365</v>
      </c>
      <c r="AG166" s="583"/>
      <c r="AH166" s="584"/>
      <c r="AI166" s="583"/>
      <c r="AJ166" s="585"/>
      <c r="AK166" s="583"/>
      <c r="AL166" s="584"/>
      <c r="AM166" s="583"/>
      <c r="AN166" s="585"/>
      <c r="AO166" s="583"/>
      <c r="AP166" s="584"/>
      <c r="AQ166" s="583"/>
      <c r="AR166" s="585"/>
      <c r="AS166" s="583"/>
      <c r="AT166" s="584"/>
      <c r="AU166" s="583"/>
      <c r="AV166" s="585"/>
      <c r="AW166" s="583"/>
      <c r="AX166" s="584"/>
      <c r="AY166" s="583"/>
      <c r="AZ166" s="585"/>
      <c r="BA166" s="583"/>
      <c r="BB166" s="584"/>
      <c r="BC166" s="583"/>
      <c r="BD166" s="585"/>
      <c r="BE166" s="583"/>
      <c r="BF166" s="584"/>
      <c r="BG166" s="583"/>
      <c r="BH166" s="585"/>
      <c r="BI166" s="583"/>
      <c r="BJ166" s="584"/>
      <c r="BK166" s="583"/>
      <c r="BL166" s="585"/>
      <c r="BM166" s="583"/>
      <c r="BN166" s="584"/>
      <c r="BO166" s="583"/>
      <c r="BP166" s="585"/>
      <c r="BQ166" s="583"/>
      <c r="BR166" s="584"/>
      <c r="BS166" s="583"/>
      <c r="BT166" s="586"/>
      <c r="BU166" s="540"/>
      <c r="BV166" s="540"/>
      <c r="BW166" s="540"/>
      <c r="BX166" s="538"/>
      <c r="BY166" s="538"/>
      <c r="BZ166" s="592"/>
      <c r="CA166" s="633"/>
      <c r="CB166" s="592" t="s">
        <v>365</v>
      </c>
      <c r="CC166" s="592">
        <v>0.0</v>
      </c>
      <c r="CD166" s="592" t="s">
        <v>365</v>
      </c>
      <c r="CE166" s="592">
        <v>0.0</v>
      </c>
      <c r="CF166" s="592"/>
      <c r="CG166" s="592">
        <v>0.0</v>
      </c>
      <c r="CH166" s="592"/>
      <c r="CI166" s="633"/>
      <c r="CJ166" s="592">
        <v>0.0</v>
      </c>
      <c r="CK166" s="479" t="s">
        <v>365</v>
      </c>
      <c r="CL166" s="592"/>
      <c r="CM166" s="593"/>
      <c r="CN166" s="538"/>
      <c r="CO166" s="538"/>
      <c r="CP166" s="538"/>
      <c r="CQ166" s="538"/>
      <c r="CR166" s="538"/>
      <c r="CS166" s="538"/>
      <c r="CT166" s="538"/>
      <c r="CU166" s="538"/>
      <c r="CV166" s="538"/>
      <c r="CW166" s="538"/>
      <c r="CX166" s="538"/>
      <c r="CY166" s="538"/>
      <c r="CZ166" s="538"/>
      <c r="DA166" s="538"/>
      <c r="DB166" s="538"/>
      <c r="DC166" s="538"/>
      <c r="DD166" s="538"/>
      <c r="DE166" s="538"/>
      <c r="DF166" s="538"/>
      <c r="DG166" s="538"/>
      <c r="DH166" s="538"/>
      <c r="DI166" s="538"/>
      <c r="DJ166" s="538"/>
      <c r="DK166" s="538"/>
      <c r="DL166" s="538"/>
      <c r="DM166" s="538"/>
      <c r="DN166" s="538"/>
      <c r="DO166" s="538"/>
      <c r="DP166" s="538"/>
      <c r="DQ166" s="538"/>
      <c r="DR166" s="538"/>
      <c r="DS166" s="538"/>
      <c r="DT166" s="538"/>
      <c r="DU166" s="538"/>
      <c r="DV166" s="538"/>
      <c r="DW166" s="538"/>
      <c r="DX166" s="538"/>
      <c r="DY166" s="538"/>
      <c r="DZ166" s="538"/>
      <c r="EA166" s="538"/>
      <c r="EB166" s="538"/>
      <c r="EC166" s="538"/>
      <c r="ED166" s="538"/>
      <c r="EE166" s="538"/>
      <c r="EF166" s="538"/>
      <c r="EG166" s="538"/>
      <c r="EH166" s="538"/>
      <c r="EI166" s="538"/>
      <c r="EJ166" s="538"/>
      <c r="EK166" s="538"/>
      <c r="EL166" s="538"/>
      <c r="EM166" s="538"/>
      <c r="EN166" s="538"/>
      <c r="EO166" s="538"/>
      <c r="EP166" s="538"/>
      <c r="EQ166" s="538"/>
      <c r="ER166" s="538"/>
      <c r="ES166" s="538"/>
      <c r="ET166" s="538"/>
      <c r="EU166" s="538"/>
      <c r="EV166" s="538"/>
      <c r="EW166" s="538"/>
      <c r="EX166" s="559"/>
      <c r="EY166" s="559"/>
      <c r="EZ166" s="559"/>
      <c r="FA166" s="559"/>
      <c r="FB166" s="559"/>
      <c r="FC166" s="559"/>
      <c r="FD166" s="559"/>
      <c r="FE166" s="559"/>
      <c r="FF166" s="559"/>
      <c r="FG166" s="559"/>
      <c r="FH166" s="559"/>
      <c r="FI166" s="559"/>
      <c r="FJ166" s="559"/>
      <c r="FK166" s="559"/>
      <c r="FL166" s="559"/>
      <c r="FM166" s="559"/>
      <c r="FN166" s="559"/>
      <c r="FO166" s="559"/>
      <c r="FP166" s="559"/>
      <c r="FQ166" s="559"/>
      <c r="FR166" s="559"/>
      <c r="FS166" s="559"/>
      <c r="FT166" s="559"/>
      <c r="FU166" s="559"/>
      <c r="FV166" s="559"/>
      <c r="FW166" s="559"/>
      <c r="FX166" s="559"/>
      <c r="FY166" s="559"/>
      <c r="FZ166" s="559"/>
      <c r="GA166" s="559"/>
      <c r="GB166" s="559"/>
      <c r="GC166" s="559"/>
      <c r="GD166" s="559"/>
      <c r="GE166" s="559"/>
      <c r="GF166" s="559"/>
      <c r="GG166" s="559"/>
      <c r="GH166" s="559"/>
    </row>
    <row r="167">
      <c r="A167" s="538"/>
      <c r="B167" s="156"/>
      <c r="C167" s="444"/>
      <c r="D167" s="614"/>
      <c r="E167" s="66"/>
      <c r="F167" s="642"/>
      <c r="G167" s="642"/>
      <c r="H167" s="615"/>
      <c r="I167" s="616" t="s">
        <v>365</v>
      </c>
      <c r="J167" s="624"/>
      <c r="K167" s="643"/>
      <c r="L167" s="640"/>
      <c r="M167" s="625"/>
      <c r="N167" s="617"/>
      <c r="O167" s="134"/>
      <c r="P167" s="57"/>
      <c r="Q167" s="57"/>
      <c r="S167" s="605"/>
      <c r="U167" s="573"/>
      <c r="V167" s="574"/>
      <c r="W167" s="618"/>
      <c r="X167" s="576">
        <v>0.0</v>
      </c>
      <c r="Y167" s="630">
        <v>0.0</v>
      </c>
      <c r="Z167" s="630" t="s">
        <v>365</v>
      </c>
      <c r="AA167" s="631" t="b">
        <v>0</v>
      </c>
      <c r="AB167" s="631"/>
      <c r="AC167" s="576"/>
      <c r="AD167" s="479">
        <v>0.0</v>
      </c>
      <c r="AE167" s="632"/>
      <c r="AF167" s="582" t="s">
        <v>365</v>
      </c>
      <c r="AG167" s="583"/>
      <c r="AH167" s="584"/>
      <c r="AI167" s="583"/>
      <c r="AJ167" s="585"/>
      <c r="AK167" s="583"/>
      <c r="AL167" s="584"/>
      <c r="AM167" s="583"/>
      <c r="AN167" s="585"/>
      <c r="AO167" s="583"/>
      <c r="AP167" s="584"/>
      <c r="AQ167" s="583"/>
      <c r="AR167" s="585"/>
      <c r="AS167" s="583"/>
      <c r="AT167" s="584"/>
      <c r="AU167" s="583"/>
      <c r="AV167" s="585"/>
      <c r="AW167" s="583"/>
      <c r="AX167" s="584"/>
      <c r="AY167" s="583"/>
      <c r="AZ167" s="585"/>
      <c r="BA167" s="583"/>
      <c r="BB167" s="584"/>
      <c r="BC167" s="583"/>
      <c r="BD167" s="585"/>
      <c r="BE167" s="583"/>
      <c r="BF167" s="584"/>
      <c r="BG167" s="583"/>
      <c r="BH167" s="585"/>
      <c r="BI167" s="583"/>
      <c r="BJ167" s="584"/>
      <c r="BK167" s="583"/>
      <c r="BL167" s="585"/>
      <c r="BM167" s="583"/>
      <c r="BN167" s="584"/>
      <c r="BO167" s="583"/>
      <c r="BP167" s="585"/>
      <c r="BQ167" s="583"/>
      <c r="BR167" s="584"/>
      <c r="BS167" s="583"/>
      <c r="BT167" s="586"/>
      <c r="BU167" s="540"/>
      <c r="BV167" s="540"/>
      <c r="BW167" s="540"/>
      <c r="BX167" s="538"/>
      <c r="BY167" s="538"/>
      <c r="BZ167" s="592"/>
      <c r="CA167" s="633"/>
      <c r="CB167" s="592" t="s">
        <v>365</v>
      </c>
      <c r="CC167" s="592">
        <v>0.0</v>
      </c>
      <c r="CD167" s="592" t="s">
        <v>365</v>
      </c>
      <c r="CE167" s="592">
        <v>0.0</v>
      </c>
      <c r="CF167" s="592"/>
      <c r="CG167" s="592">
        <v>0.0</v>
      </c>
      <c r="CH167" s="592"/>
      <c r="CI167" s="633"/>
      <c r="CJ167" s="592">
        <v>0.0</v>
      </c>
      <c r="CK167" s="479" t="s">
        <v>365</v>
      </c>
      <c r="CL167" s="592"/>
      <c r="CM167" s="593"/>
      <c r="CN167" s="538"/>
      <c r="CO167" s="538"/>
      <c r="CP167" s="538"/>
      <c r="CQ167" s="538"/>
      <c r="CR167" s="538"/>
      <c r="CS167" s="538"/>
      <c r="CT167" s="538"/>
      <c r="CU167" s="538"/>
      <c r="CV167" s="538"/>
      <c r="CW167" s="538"/>
      <c r="CX167" s="538"/>
      <c r="CY167" s="538"/>
      <c r="CZ167" s="538"/>
      <c r="DA167" s="538"/>
      <c r="DB167" s="538"/>
      <c r="DC167" s="538"/>
      <c r="DD167" s="538"/>
      <c r="DE167" s="538"/>
      <c r="DF167" s="538"/>
      <c r="DG167" s="538"/>
      <c r="DH167" s="538"/>
      <c r="DI167" s="538"/>
      <c r="DJ167" s="538"/>
      <c r="DK167" s="538"/>
      <c r="DL167" s="538"/>
      <c r="DM167" s="538"/>
      <c r="DN167" s="538"/>
      <c r="DO167" s="538"/>
      <c r="DP167" s="538"/>
      <c r="DQ167" s="538"/>
      <c r="DR167" s="538"/>
      <c r="DS167" s="538"/>
      <c r="DT167" s="538"/>
      <c r="DU167" s="538"/>
      <c r="DV167" s="538"/>
      <c r="DW167" s="538"/>
      <c r="DX167" s="538"/>
      <c r="DY167" s="538"/>
      <c r="DZ167" s="538"/>
      <c r="EA167" s="538"/>
      <c r="EB167" s="538"/>
      <c r="EC167" s="538"/>
      <c r="ED167" s="538"/>
      <c r="EE167" s="538"/>
      <c r="EF167" s="538"/>
      <c r="EG167" s="538"/>
      <c r="EH167" s="538"/>
      <c r="EI167" s="538"/>
      <c r="EJ167" s="538"/>
      <c r="EK167" s="538"/>
      <c r="EL167" s="538"/>
      <c r="EM167" s="538"/>
      <c r="EN167" s="538"/>
      <c r="EO167" s="538"/>
      <c r="EP167" s="538"/>
      <c r="EQ167" s="538"/>
      <c r="ER167" s="538"/>
      <c r="ES167" s="538"/>
      <c r="ET167" s="538"/>
      <c r="EU167" s="538"/>
      <c r="EV167" s="538"/>
      <c r="EW167" s="538"/>
      <c r="EX167" s="559"/>
      <c r="EY167" s="559"/>
      <c r="EZ167" s="559"/>
      <c r="FA167" s="559"/>
      <c r="FB167" s="559"/>
      <c r="FC167" s="559"/>
      <c r="FD167" s="559"/>
      <c r="FE167" s="559"/>
      <c r="FF167" s="559"/>
      <c r="FG167" s="559"/>
      <c r="FH167" s="559"/>
      <c r="FI167" s="559"/>
      <c r="FJ167" s="559"/>
      <c r="FK167" s="559"/>
      <c r="FL167" s="559"/>
      <c r="FM167" s="559"/>
      <c r="FN167" s="559"/>
      <c r="FO167" s="559"/>
      <c r="FP167" s="559"/>
      <c r="FQ167" s="559"/>
      <c r="FR167" s="559"/>
      <c r="FS167" s="559"/>
      <c r="FT167" s="559"/>
      <c r="FU167" s="559"/>
      <c r="FV167" s="559"/>
      <c r="FW167" s="559"/>
      <c r="FX167" s="559"/>
      <c r="FY167" s="559"/>
      <c r="FZ167" s="559"/>
      <c r="GA167" s="559"/>
      <c r="GB167" s="559"/>
      <c r="GC167" s="559"/>
      <c r="GD167" s="559"/>
      <c r="GE167" s="559"/>
      <c r="GF167" s="559"/>
      <c r="GG167" s="559"/>
      <c r="GH167" s="559"/>
    </row>
    <row r="168">
      <c r="A168" s="538"/>
      <c r="B168" s="156"/>
      <c r="C168" s="444"/>
      <c r="D168" s="614"/>
      <c r="E168" s="68"/>
      <c r="F168" s="644"/>
      <c r="G168" s="644"/>
      <c r="H168" s="627"/>
      <c r="I168" s="622" t="s">
        <v>365</v>
      </c>
      <c r="J168" s="607"/>
      <c r="K168" s="641"/>
      <c r="L168" s="628"/>
      <c r="M168" s="626"/>
      <c r="N168" s="619"/>
      <c r="O168" s="560"/>
      <c r="P168" s="47"/>
      <c r="Q168" s="47"/>
      <c r="S168" s="572"/>
      <c r="U168" s="573"/>
      <c r="V168" s="574"/>
      <c r="W168" s="618"/>
      <c r="X168" s="576">
        <v>0.0</v>
      </c>
      <c r="Y168" s="630">
        <v>0.0</v>
      </c>
      <c r="Z168" s="630" t="s">
        <v>365</v>
      </c>
      <c r="AA168" s="631" t="b">
        <v>0</v>
      </c>
      <c r="AB168" s="631"/>
      <c r="AC168" s="576"/>
      <c r="AD168" s="479">
        <v>0.0</v>
      </c>
      <c r="AE168" s="632"/>
      <c r="AF168" s="582" t="s">
        <v>365</v>
      </c>
      <c r="AG168" s="583"/>
      <c r="AH168" s="584"/>
      <c r="AI168" s="583"/>
      <c r="AJ168" s="585"/>
      <c r="AK168" s="583"/>
      <c r="AL168" s="584"/>
      <c r="AM168" s="583"/>
      <c r="AN168" s="585"/>
      <c r="AO168" s="583"/>
      <c r="AP168" s="584"/>
      <c r="AQ168" s="583"/>
      <c r="AR168" s="585"/>
      <c r="AS168" s="583"/>
      <c r="AT168" s="584"/>
      <c r="AU168" s="583"/>
      <c r="AV168" s="585"/>
      <c r="AW168" s="583"/>
      <c r="AX168" s="584"/>
      <c r="AY168" s="583"/>
      <c r="AZ168" s="585"/>
      <c r="BA168" s="583"/>
      <c r="BB168" s="584"/>
      <c r="BC168" s="583"/>
      <c r="BD168" s="585"/>
      <c r="BE168" s="583"/>
      <c r="BF168" s="584"/>
      <c r="BG168" s="583"/>
      <c r="BH168" s="585"/>
      <c r="BI168" s="583"/>
      <c r="BJ168" s="584"/>
      <c r="BK168" s="583"/>
      <c r="BL168" s="585"/>
      <c r="BM168" s="583"/>
      <c r="BN168" s="584"/>
      <c r="BO168" s="583"/>
      <c r="BP168" s="585"/>
      <c r="BQ168" s="583"/>
      <c r="BR168" s="584"/>
      <c r="BS168" s="583"/>
      <c r="BT168" s="586"/>
      <c r="BU168" s="540"/>
      <c r="BV168" s="540"/>
      <c r="BW168" s="540"/>
      <c r="BX168" s="538"/>
      <c r="BY168" s="538"/>
      <c r="BZ168" s="592"/>
      <c r="CA168" s="633"/>
      <c r="CB168" s="592" t="s">
        <v>365</v>
      </c>
      <c r="CC168" s="592">
        <v>0.0</v>
      </c>
      <c r="CD168" s="592" t="s">
        <v>365</v>
      </c>
      <c r="CE168" s="592">
        <v>0.0</v>
      </c>
      <c r="CF168" s="592"/>
      <c r="CG168" s="592">
        <v>0.0</v>
      </c>
      <c r="CH168" s="592"/>
      <c r="CI168" s="633"/>
      <c r="CJ168" s="592">
        <v>0.0</v>
      </c>
      <c r="CK168" s="479" t="s">
        <v>365</v>
      </c>
      <c r="CL168" s="592"/>
      <c r="CM168" s="593"/>
      <c r="CN168" s="538"/>
      <c r="CO168" s="538"/>
      <c r="CP168" s="538"/>
      <c r="CQ168" s="538"/>
      <c r="CR168" s="538"/>
      <c r="CS168" s="538"/>
      <c r="CT168" s="538"/>
      <c r="CU168" s="538"/>
      <c r="CV168" s="538"/>
      <c r="CW168" s="538"/>
      <c r="CX168" s="538"/>
      <c r="CY168" s="538"/>
      <c r="CZ168" s="538"/>
      <c r="DA168" s="538"/>
      <c r="DB168" s="538"/>
      <c r="DC168" s="538"/>
      <c r="DD168" s="538"/>
      <c r="DE168" s="538"/>
      <c r="DF168" s="538"/>
      <c r="DG168" s="538"/>
      <c r="DH168" s="538"/>
      <c r="DI168" s="538"/>
      <c r="DJ168" s="538"/>
      <c r="DK168" s="538"/>
      <c r="DL168" s="538"/>
      <c r="DM168" s="538"/>
      <c r="DN168" s="538"/>
      <c r="DO168" s="538"/>
      <c r="DP168" s="538"/>
      <c r="DQ168" s="538"/>
      <c r="DR168" s="538"/>
      <c r="DS168" s="538"/>
      <c r="DT168" s="538"/>
      <c r="DU168" s="538"/>
      <c r="DV168" s="538"/>
      <c r="DW168" s="538"/>
      <c r="DX168" s="538"/>
      <c r="DY168" s="538"/>
      <c r="DZ168" s="538"/>
      <c r="EA168" s="538"/>
      <c r="EB168" s="538"/>
      <c r="EC168" s="538"/>
      <c r="ED168" s="538"/>
      <c r="EE168" s="538"/>
      <c r="EF168" s="538"/>
      <c r="EG168" s="538"/>
      <c r="EH168" s="538"/>
      <c r="EI168" s="538"/>
      <c r="EJ168" s="538"/>
      <c r="EK168" s="538"/>
      <c r="EL168" s="538"/>
      <c r="EM168" s="538"/>
      <c r="EN168" s="538"/>
      <c r="EO168" s="538"/>
      <c r="EP168" s="538"/>
      <c r="EQ168" s="538"/>
      <c r="ER168" s="538"/>
      <c r="ES168" s="538"/>
      <c r="ET168" s="538"/>
      <c r="EU168" s="538"/>
      <c r="EV168" s="538"/>
      <c r="EW168" s="538"/>
      <c r="EX168" s="559"/>
      <c r="EY168" s="559"/>
      <c r="EZ168" s="559"/>
      <c r="FA168" s="559"/>
      <c r="FB168" s="559"/>
      <c r="FC168" s="559"/>
      <c r="FD168" s="559"/>
      <c r="FE168" s="559"/>
      <c r="FF168" s="559"/>
      <c r="FG168" s="559"/>
      <c r="FH168" s="559"/>
      <c r="FI168" s="559"/>
      <c r="FJ168" s="559"/>
      <c r="FK168" s="559"/>
      <c r="FL168" s="559"/>
      <c r="FM168" s="559"/>
      <c r="FN168" s="559"/>
      <c r="FO168" s="559"/>
      <c r="FP168" s="559"/>
      <c r="FQ168" s="559"/>
      <c r="FR168" s="559"/>
      <c r="FS168" s="559"/>
      <c r="FT168" s="559"/>
      <c r="FU168" s="559"/>
      <c r="FV168" s="559"/>
      <c r="FW168" s="559"/>
      <c r="FX168" s="559"/>
      <c r="FY168" s="559"/>
      <c r="FZ168" s="559"/>
      <c r="GA168" s="559"/>
      <c r="GB168" s="559"/>
      <c r="GC168" s="559"/>
      <c r="GD168" s="559"/>
      <c r="GE168" s="559"/>
      <c r="GF168" s="559"/>
      <c r="GG168" s="559"/>
      <c r="GH168" s="559"/>
    </row>
    <row r="169">
      <c r="A169" s="538"/>
      <c r="B169" s="156"/>
      <c r="C169" s="444"/>
      <c r="D169" s="614"/>
      <c r="E169" s="66"/>
      <c r="F169" s="642"/>
      <c r="G169" s="642"/>
      <c r="H169" s="615"/>
      <c r="I169" s="616" t="s">
        <v>365</v>
      </c>
      <c r="J169" s="624"/>
      <c r="K169" s="643"/>
      <c r="L169" s="640"/>
      <c r="M169" s="625"/>
      <c r="N169" s="617"/>
      <c r="O169" s="134"/>
      <c r="P169" s="57"/>
      <c r="Q169" s="57"/>
      <c r="S169" s="605"/>
      <c r="U169" s="573"/>
      <c r="V169" s="574"/>
      <c r="W169" s="618"/>
      <c r="X169" s="576">
        <v>0.0</v>
      </c>
      <c r="Y169" s="630">
        <v>0.0</v>
      </c>
      <c r="Z169" s="630" t="s">
        <v>365</v>
      </c>
      <c r="AA169" s="631" t="b">
        <v>0</v>
      </c>
      <c r="AB169" s="631"/>
      <c r="AC169" s="576"/>
      <c r="AD169" s="479">
        <v>0.0</v>
      </c>
      <c r="AE169" s="632"/>
      <c r="AF169" s="582" t="s">
        <v>365</v>
      </c>
      <c r="AG169" s="583"/>
      <c r="AH169" s="584"/>
      <c r="AI169" s="583"/>
      <c r="AJ169" s="585"/>
      <c r="AK169" s="583"/>
      <c r="AL169" s="584"/>
      <c r="AM169" s="583"/>
      <c r="AN169" s="585"/>
      <c r="AO169" s="583"/>
      <c r="AP169" s="584"/>
      <c r="AQ169" s="583"/>
      <c r="AR169" s="585"/>
      <c r="AS169" s="583"/>
      <c r="AT169" s="584"/>
      <c r="AU169" s="583"/>
      <c r="AV169" s="585"/>
      <c r="AW169" s="583"/>
      <c r="AX169" s="584"/>
      <c r="AY169" s="583"/>
      <c r="AZ169" s="585"/>
      <c r="BA169" s="583"/>
      <c r="BB169" s="584"/>
      <c r="BC169" s="583"/>
      <c r="BD169" s="585"/>
      <c r="BE169" s="583"/>
      <c r="BF169" s="584"/>
      <c r="BG169" s="583"/>
      <c r="BH169" s="585"/>
      <c r="BI169" s="583"/>
      <c r="BJ169" s="584"/>
      <c r="BK169" s="583"/>
      <c r="BL169" s="585"/>
      <c r="BM169" s="583"/>
      <c r="BN169" s="584"/>
      <c r="BO169" s="583"/>
      <c r="BP169" s="585"/>
      <c r="BQ169" s="583"/>
      <c r="BR169" s="584"/>
      <c r="BS169" s="583"/>
      <c r="BT169" s="586"/>
      <c r="BU169" s="540"/>
      <c r="BV169" s="540"/>
      <c r="BW169" s="540"/>
      <c r="BX169" s="538"/>
      <c r="BY169" s="538"/>
      <c r="BZ169" s="592"/>
      <c r="CA169" s="633"/>
      <c r="CB169" s="592" t="s">
        <v>365</v>
      </c>
      <c r="CC169" s="592">
        <v>0.0</v>
      </c>
      <c r="CD169" s="592" t="s">
        <v>365</v>
      </c>
      <c r="CE169" s="592">
        <v>0.0</v>
      </c>
      <c r="CF169" s="592"/>
      <c r="CG169" s="592">
        <v>0.0</v>
      </c>
      <c r="CH169" s="592"/>
      <c r="CI169" s="633"/>
      <c r="CJ169" s="592">
        <v>0.0</v>
      </c>
      <c r="CK169" s="479" t="s">
        <v>365</v>
      </c>
      <c r="CL169" s="592"/>
      <c r="CM169" s="593"/>
      <c r="CN169" s="538"/>
      <c r="CO169" s="538"/>
      <c r="CP169" s="538"/>
      <c r="CQ169" s="538"/>
      <c r="CR169" s="538"/>
      <c r="CS169" s="538"/>
      <c r="CT169" s="538"/>
      <c r="CU169" s="538"/>
      <c r="CV169" s="538"/>
      <c r="CW169" s="538"/>
      <c r="CX169" s="538"/>
      <c r="CY169" s="538"/>
      <c r="CZ169" s="538"/>
      <c r="DA169" s="538"/>
      <c r="DB169" s="538"/>
      <c r="DC169" s="538"/>
      <c r="DD169" s="538"/>
      <c r="DE169" s="538"/>
      <c r="DF169" s="538"/>
      <c r="DG169" s="538"/>
      <c r="DH169" s="538"/>
      <c r="DI169" s="538"/>
      <c r="DJ169" s="538"/>
      <c r="DK169" s="538"/>
      <c r="DL169" s="538"/>
      <c r="DM169" s="538"/>
      <c r="DN169" s="538"/>
      <c r="DO169" s="538"/>
      <c r="DP169" s="538"/>
      <c r="DQ169" s="538"/>
      <c r="DR169" s="538"/>
      <c r="DS169" s="538"/>
      <c r="DT169" s="538"/>
      <c r="DU169" s="538"/>
      <c r="DV169" s="538"/>
      <c r="DW169" s="538"/>
      <c r="DX169" s="538"/>
      <c r="DY169" s="538"/>
      <c r="DZ169" s="538"/>
      <c r="EA169" s="538"/>
      <c r="EB169" s="538"/>
      <c r="EC169" s="538"/>
      <c r="ED169" s="538"/>
      <c r="EE169" s="538"/>
      <c r="EF169" s="538"/>
      <c r="EG169" s="538"/>
      <c r="EH169" s="538"/>
      <c r="EI169" s="538"/>
      <c r="EJ169" s="538"/>
      <c r="EK169" s="538"/>
      <c r="EL169" s="538"/>
      <c r="EM169" s="538"/>
      <c r="EN169" s="538"/>
      <c r="EO169" s="538"/>
      <c r="EP169" s="538"/>
      <c r="EQ169" s="538"/>
      <c r="ER169" s="538"/>
      <c r="ES169" s="538"/>
      <c r="ET169" s="538"/>
      <c r="EU169" s="538"/>
      <c r="EV169" s="538"/>
      <c r="EW169" s="538"/>
      <c r="EX169" s="559"/>
      <c r="EY169" s="559"/>
      <c r="EZ169" s="559"/>
      <c r="FA169" s="559"/>
      <c r="FB169" s="559"/>
      <c r="FC169" s="559"/>
      <c r="FD169" s="559"/>
      <c r="FE169" s="559"/>
      <c r="FF169" s="559"/>
      <c r="FG169" s="559"/>
      <c r="FH169" s="559"/>
      <c r="FI169" s="559"/>
      <c r="FJ169" s="559"/>
      <c r="FK169" s="559"/>
      <c r="FL169" s="559"/>
      <c r="FM169" s="559"/>
      <c r="FN169" s="559"/>
      <c r="FO169" s="559"/>
      <c r="FP169" s="559"/>
      <c r="FQ169" s="559"/>
      <c r="FR169" s="559"/>
      <c r="FS169" s="559"/>
      <c r="FT169" s="559"/>
      <c r="FU169" s="559"/>
      <c r="FV169" s="559"/>
      <c r="FW169" s="559"/>
      <c r="FX169" s="559"/>
      <c r="FY169" s="559"/>
      <c r="FZ169" s="559"/>
      <c r="GA169" s="559"/>
      <c r="GB169" s="559"/>
      <c r="GC169" s="559"/>
      <c r="GD169" s="559"/>
      <c r="GE169" s="559"/>
      <c r="GF169" s="559"/>
      <c r="GG169" s="559"/>
      <c r="GH169" s="559"/>
    </row>
    <row r="170">
      <c r="A170" s="538"/>
      <c r="B170" s="156"/>
      <c r="C170" s="444"/>
      <c r="D170" s="614"/>
      <c r="E170" s="68"/>
      <c r="F170" s="644"/>
      <c r="G170" s="644"/>
      <c r="H170" s="627"/>
      <c r="I170" s="622" t="s">
        <v>365</v>
      </c>
      <c r="J170" s="607"/>
      <c r="K170" s="641"/>
      <c r="L170" s="628"/>
      <c r="M170" s="626"/>
      <c r="N170" s="619"/>
      <c r="O170" s="560"/>
      <c r="P170" s="47"/>
      <c r="Q170" s="47"/>
      <c r="S170" s="572"/>
      <c r="U170" s="573"/>
      <c r="V170" s="574"/>
      <c r="W170" s="618"/>
      <c r="X170" s="576">
        <v>0.0</v>
      </c>
      <c r="Y170" s="630">
        <v>0.0</v>
      </c>
      <c r="Z170" s="630" t="s">
        <v>365</v>
      </c>
      <c r="AA170" s="631" t="b">
        <v>0</v>
      </c>
      <c r="AB170" s="631"/>
      <c r="AC170" s="576"/>
      <c r="AD170" s="479">
        <v>0.0</v>
      </c>
      <c r="AE170" s="632"/>
      <c r="AF170" s="582" t="s">
        <v>365</v>
      </c>
      <c r="AG170" s="583"/>
      <c r="AH170" s="584"/>
      <c r="AI170" s="583"/>
      <c r="AJ170" s="585"/>
      <c r="AK170" s="583"/>
      <c r="AL170" s="584"/>
      <c r="AM170" s="583"/>
      <c r="AN170" s="585"/>
      <c r="AO170" s="583"/>
      <c r="AP170" s="584"/>
      <c r="AQ170" s="583"/>
      <c r="AR170" s="585"/>
      <c r="AS170" s="583"/>
      <c r="AT170" s="584"/>
      <c r="AU170" s="583"/>
      <c r="AV170" s="585"/>
      <c r="AW170" s="583"/>
      <c r="AX170" s="584"/>
      <c r="AY170" s="583"/>
      <c r="AZ170" s="585"/>
      <c r="BA170" s="583"/>
      <c r="BB170" s="584"/>
      <c r="BC170" s="583"/>
      <c r="BD170" s="585"/>
      <c r="BE170" s="583"/>
      <c r="BF170" s="584"/>
      <c r="BG170" s="583"/>
      <c r="BH170" s="585"/>
      <c r="BI170" s="583"/>
      <c r="BJ170" s="584"/>
      <c r="BK170" s="583"/>
      <c r="BL170" s="585"/>
      <c r="BM170" s="583"/>
      <c r="BN170" s="584"/>
      <c r="BO170" s="583"/>
      <c r="BP170" s="585"/>
      <c r="BQ170" s="583"/>
      <c r="BR170" s="584"/>
      <c r="BS170" s="583"/>
      <c r="BT170" s="586"/>
      <c r="BU170" s="540"/>
      <c r="BV170" s="540"/>
      <c r="BW170" s="540"/>
      <c r="BX170" s="538"/>
      <c r="BY170" s="538"/>
      <c r="BZ170" s="592"/>
      <c r="CA170" s="633"/>
      <c r="CB170" s="592" t="s">
        <v>365</v>
      </c>
      <c r="CC170" s="592">
        <v>0.0</v>
      </c>
      <c r="CD170" s="592" t="s">
        <v>365</v>
      </c>
      <c r="CE170" s="592">
        <v>0.0</v>
      </c>
      <c r="CF170" s="592"/>
      <c r="CG170" s="592">
        <v>0.0</v>
      </c>
      <c r="CH170" s="592"/>
      <c r="CI170" s="633"/>
      <c r="CJ170" s="592">
        <v>0.0</v>
      </c>
      <c r="CK170" s="479" t="s">
        <v>365</v>
      </c>
      <c r="CL170" s="592"/>
      <c r="CM170" s="593"/>
      <c r="CN170" s="538"/>
      <c r="CO170" s="538"/>
      <c r="CP170" s="538"/>
      <c r="CQ170" s="538"/>
      <c r="CR170" s="538"/>
      <c r="CS170" s="538"/>
      <c r="CT170" s="538"/>
      <c r="CU170" s="538"/>
      <c r="CV170" s="538"/>
      <c r="CW170" s="538"/>
      <c r="CX170" s="538"/>
      <c r="CY170" s="538"/>
      <c r="CZ170" s="538"/>
      <c r="DA170" s="538"/>
      <c r="DB170" s="538"/>
      <c r="DC170" s="538"/>
      <c r="DD170" s="538"/>
      <c r="DE170" s="538"/>
      <c r="DF170" s="538"/>
      <c r="DG170" s="538"/>
      <c r="DH170" s="538"/>
      <c r="DI170" s="538"/>
      <c r="DJ170" s="538"/>
      <c r="DK170" s="538"/>
      <c r="DL170" s="538"/>
      <c r="DM170" s="538"/>
      <c r="DN170" s="538"/>
      <c r="DO170" s="538"/>
      <c r="DP170" s="538"/>
      <c r="DQ170" s="538"/>
      <c r="DR170" s="538"/>
      <c r="DS170" s="538"/>
      <c r="DT170" s="538"/>
      <c r="DU170" s="538"/>
      <c r="DV170" s="538"/>
      <c r="DW170" s="538"/>
      <c r="DX170" s="538"/>
      <c r="DY170" s="538"/>
      <c r="DZ170" s="538"/>
      <c r="EA170" s="538"/>
      <c r="EB170" s="538"/>
      <c r="EC170" s="538"/>
      <c r="ED170" s="538"/>
      <c r="EE170" s="538"/>
      <c r="EF170" s="538"/>
      <c r="EG170" s="538"/>
      <c r="EH170" s="538"/>
      <c r="EI170" s="538"/>
      <c r="EJ170" s="538"/>
      <c r="EK170" s="538"/>
      <c r="EL170" s="538"/>
      <c r="EM170" s="538"/>
      <c r="EN170" s="538"/>
      <c r="EO170" s="538"/>
      <c r="EP170" s="538"/>
      <c r="EQ170" s="538"/>
      <c r="ER170" s="538"/>
      <c r="ES170" s="538"/>
      <c r="ET170" s="538"/>
      <c r="EU170" s="538"/>
      <c r="EV170" s="538"/>
      <c r="EW170" s="538"/>
      <c r="EX170" s="559"/>
      <c r="EY170" s="559"/>
      <c r="EZ170" s="559"/>
      <c r="FA170" s="559"/>
      <c r="FB170" s="559"/>
      <c r="FC170" s="559"/>
      <c r="FD170" s="559"/>
      <c r="FE170" s="559"/>
      <c r="FF170" s="559"/>
      <c r="FG170" s="559"/>
      <c r="FH170" s="559"/>
      <c r="FI170" s="559"/>
      <c r="FJ170" s="559"/>
      <c r="FK170" s="559"/>
      <c r="FL170" s="559"/>
      <c r="FM170" s="559"/>
      <c r="FN170" s="559"/>
      <c r="FO170" s="559"/>
      <c r="FP170" s="559"/>
      <c r="FQ170" s="559"/>
      <c r="FR170" s="559"/>
      <c r="FS170" s="559"/>
      <c r="FT170" s="559"/>
      <c r="FU170" s="559"/>
      <c r="FV170" s="559"/>
      <c r="FW170" s="559"/>
      <c r="FX170" s="559"/>
      <c r="FY170" s="559"/>
      <c r="FZ170" s="559"/>
      <c r="GA170" s="559"/>
      <c r="GB170" s="559"/>
      <c r="GC170" s="559"/>
      <c r="GD170" s="559"/>
      <c r="GE170" s="559"/>
      <c r="GF170" s="559"/>
      <c r="GG170" s="559"/>
      <c r="GH170" s="559"/>
    </row>
    <row r="171">
      <c r="A171" s="538"/>
      <c r="B171" s="156"/>
      <c r="C171" s="444"/>
      <c r="D171" s="614"/>
      <c r="E171" s="66"/>
      <c r="F171" s="642"/>
      <c r="G171" s="642"/>
      <c r="H171" s="615"/>
      <c r="I171" s="616" t="s">
        <v>365</v>
      </c>
      <c r="J171" s="624"/>
      <c r="K171" s="643"/>
      <c r="L171" s="640"/>
      <c r="M171" s="625"/>
      <c r="N171" s="617"/>
      <c r="O171" s="134"/>
      <c r="P171" s="57"/>
      <c r="Q171" s="57"/>
      <c r="S171" s="605"/>
      <c r="U171" s="573"/>
      <c r="V171" s="574"/>
      <c r="W171" s="618"/>
      <c r="X171" s="576">
        <v>0.0</v>
      </c>
      <c r="Y171" s="630">
        <v>0.0</v>
      </c>
      <c r="Z171" s="630" t="s">
        <v>365</v>
      </c>
      <c r="AA171" s="631" t="b">
        <v>0</v>
      </c>
      <c r="AB171" s="631"/>
      <c r="AC171" s="576"/>
      <c r="AD171" s="479">
        <v>0.0</v>
      </c>
      <c r="AE171" s="632"/>
      <c r="AF171" s="582" t="s">
        <v>365</v>
      </c>
      <c r="AG171" s="583"/>
      <c r="AH171" s="584"/>
      <c r="AI171" s="583"/>
      <c r="AJ171" s="585"/>
      <c r="AK171" s="583"/>
      <c r="AL171" s="584"/>
      <c r="AM171" s="583"/>
      <c r="AN171" s="585"/>
      <c r="AO171" s="583"/>
      <c r="AP171" s="584"/>
      <c r="AQ171" s="583"/>
      <c r="AR171" s="585"/>
      <c r="AS171" s="583"/>
      <c r="AT171" s="584"/>
      <c r="AU171" s="583"/>
      <c r="AV171" s="585"/>
      <c r="AW171" s="583"/>
      <c r="AX171" s="584"/>
      <c r="AY171" s="583"/>
      <c r="AZ171" s="585"/>
      <c r="BA171" s="583"/>
      <c r="BB171" s="584"/>
      <c r="BC171" s="583"/>
      <c r="BD171" s="585"/>
      <c r="BE171" s="583"/>
      <c r="BF171" s="584"/>
      <c r="BG171" s="583"/>
      <c r="BH171" s="585"/>
      <c r="BI171" s="583"/>
      <c r="BJ171" s="584"/>
      <c r="BK171" s="583"/>
      <c r="BL171" s="585"/>
      <c r="BM171" s="583"/>
      <c r="BN171" s="584"/>
      <c r="BO171" s="583"/>
      <c r="BP171" s="585"/>
      <c r="BQ171" s="583"/>
      <c r="BR171" s="584"/>
      <c r="BS171" s="583"/>
      <c r="BT171" s="586"/>
      <c r="BU171" s="540"/>
      <c r="BV171" s="540"/>
      <c r="BW171" s="540"/>
      <c r="BX171" s="538"/>
      <c r="BY171" s="538"/>
      <c r="BZ171" s="592"/>
      <c r="CA171" s="633"/>
      <c r="CB171" s="592" t="s">
        <v>365</v>
      </c>
      <c r="CC171" s="592">
        <v>0.0</v>
      </c>
      <c r="CD171" s="592" t="s">
        <v>365</v>
      </c>
      <c r="CE171" s="592">
        <v>0.0</v>
      </c>
      <c r="CF171" s="592"/>
      <c r="CG171" s="592">
        <v>0.0</v>
      </c>
      <c r="CH171" s="592"/>
      <c r="CI171" s="633"/>
      <c r="CJ171" s="592">
        <v>0.0</v>
      </c>
      <c r="CK171" s="479" t="s">
        <v>365</v>
      </c>
      <c r="CL171" s="592"/>
      <c r="CM171" s="593"/>
      <c r="CN171" s="538"/>
      <c r="CO171" s="538"/>
      <c r="CP171" s="538"/>
      <c r="CQ171" s="538"/>
      <c r="CR171" s="538"/>
      <c r="CS171" s="538"/>
      <c r="CT171" s="538"/>
      <c r="CU171" s="538"/>
      <c r="CV171" s="538"/>
      <c r="CW171" s="538"/>
      <c r="CX171" s="538"/>
      <c r="CY171" s="538"/>
      <c r="CZ171" s="538"/>
      <c r="DA171" s="538"/>
      <c r="DB171" s="538"/>
      <c r="DC171" s="538"/>
      <c r="DD171" s="538"/>
      <c r="DE171" s="538"/>
      <c r="DF171" s="538"/>
      <c r="DG171" s="538"/>
      <c r="DH171" s="538"/>
      <c r="DI171" s="538"/>
      <c r="DJ171" s="538"/>
      <c r="DK171" s="538"/>
      <c r="DL171" s="538"/>
      <c r="DM171" s="538"/>
      <c r="DN171" s="538"/>
      <c r="DO171" s="538"/>
      <c r="DP171" s="538"/>
      <c r="DQ171" s="538"/>
      <c r="DR171" s="538"/>
      <c r="DS171" s="538"/>
      <c r="DT171" s="538"/>
      <c r="DU171" s="538"/>
      <c r="DV171" s="538"/>
      <c r="DW171" s="538"/>
      <c r="DX171" s="538"/>
      <c r="DY171" s="538"/>
      <c r="DZ171" s="538"/>
      <c r="EA171" s="538"/>
      <c r="EB171" s="538"/>
      <c r="EC171" s="538"/>
      <c r="ED171" s="538"/>
      <c r="EE171" s="538"/>
      <c r="EF171" s="538"/>
      <c r="EG171" s="538"/>
      <c r="EH171" s="538"/>
      <c r="EI171" s="538"/>
      <c r="EJ171" s="538"/>
      <c r="EK171" s="538"/>
      <c r="EL171" s="538"/>
      <c r="EM171" s="538"/>
      <c r="EN171" s="538"/>
      <c r="EO171" s="538"/>
      <c r="EP171" s="538"/>
      <c r="EQ171" s="538"/>
      <c r="ER171" s="538"/>
      <c r="ES171" s="538"/>
      <c r="ET171" s="538"/>
      <c r="EU171" s="538"/>
      <c r="EV171" s="538"/>
      <c r="EW171" s="538"/>
      <c r="EX171" s="559"/>
      <c r="EY171" s="559"/>
      <c r="EZ171" s="559"/>
      <c r="FA171" s="559"/>
      <c r="FB171" s="559"/>
      <c r="FC171" s="559"/>
      <c r="FD171" s="559"/>
      <c r="FE171" s="559"/>
      <c r="FF171" s="559"/>
      <c r="FG171" s="559"/>
      <c r="FH171" s="559"/>
      <c r="FI171" s="559"/>
      <c r="FJ171" s="559"/>
      <c r="FK171" s="559"/>
      <c r="FL171" s="559"/>
      <c r="FM171" s="559"/>
      <c r="FN171" s="559"/>
      <c r="FO171" s="559"/>
      <c r="FP171" s="559"/>
      <c r="FQ171" s="559"/>
      <c r="FR171" s="559"/>
      <c r="FS171" s="559"/>
      <c r="FT171" s="559"/>
      <c r="FU171" s="559"/>
      <c r="FV171" s="559"/>
      <c r="FW171" s="559"/>
      <c r="FX171" s="559"/>
      <c r="FY171" s="559"/>
      <c r="FZ171" s="559"/>
      <c r="GA171" s="559"/>
      <c r="GB171" s="559"/>
      <c r="GC171" s="559"/>
      <c r="GD171" s="559"/>
      <c r="GE171" s="559"/>
      <c r="GF171" s="559"/>
      <c r="GG171" s="559"/>
      <c r="GH171" s="559"/>
    </row>
    <row r="172">
      <c r="A172" s="538"/>
      <c r="B172" s="156"/>
      <c r="C172" s="444"/>
      <c r="D172" s="614"/>
      <c r="E172" s="68"/>
      <c r="F172" s="644"/>
      <c r="G172" s="644"/>
      <c r="H172" s="627"/>
      <c r="I172" s="622" t="s">
        <v>365</v>
      </c>
      <c r="J172" s="607"/>
      <c r="K172" s="641"/>
      <c r="L172" s="628"/>
      <c r="M172" s="626"/>
      <c r="N172" s="619"/>
      <c r="O172" s="560"/>
      <c r="P172" s="47"/>
      <c r="Q172" s="47"/>
      <c r="S172" s="572"/>
      <c r="U172" s="573"/>
      <c r="V172" s="574"/>
      <c r="W172" s="618"/>
      <c r="X172" s="576">
        <v>0.0</v>
      </c>
      <c r="Y172" s="630">
        <v>0.0</v>
      </c>
      <c r="Z172" s="630" t="s">
        <v>365</v>
      </c>
      <c r="AA172" s="631" t="b">
        <v>0</v>
      </c>
      <c r="AB172" s="631"/>
      <c r="AC172" s="576"/>
      <c r="AD172" s="479">
        <v>0.0</v>
      </c>
      <c r="AE172" s="632"/>
      <c r="AF172" s="582" t="s">
        <v>365</v>
      </c>
      <c r="AG172" s="583"/>
      <c r="AH172" s="584"/>
      <c r="AI172" s="583"/>
      <c r="AJ172" s="585"/>
      <c r="AK172" s="583"/>
      <c r="AL172" s="584"/>
      <c r="AM172" s="583"/>
      <c r="AN172" s="585"/>
      <c r="AO172" s="583"/>
      <c r="AP172" s="584"/>
      <c r="AQ172" s="583"/>
      <c r="AR172" s="585"/>
      <c r="AS172" s="583"/>
      <c r="AT172" s="584"/>
      <c r="AU172" s="583"/>
      <c r="AV172" s="585"/>
      <c r="AW172" s="583"/>
      <c r="AX172" s="584"/>
      <c r="AY172" s="583"/>
      <c r="AZ172" s="585"/>
      <c r="BA172" s="583"/>
      <c r="BB172" s="584"/>
      <c r="BC172" s="583"/>
      <c r="BD172" s="585"/>
      <c r="BE172" s="583"/>
      <c r="BF172" s="584"/>
      <c r="BG172" s="583"/>
      <c r="BH172" s="585"/>
      <c r="BI172" s="583"/>
      <c r="BJ172" s="584"/>
      <c r="BK172" s="583"/>
      <c r="BL172" s="585"/>
      <c r="BM172" s="583"/>
      <c r="BN172" s="584"/>
      <c r="BO172" s="583"/>
      <c r="BP172" s="585"/>
      <c r="BQ172" s="583"/>
      <c r="BR172" s="584"/>
      <c r="BS172" s="583"/>
      <c r="BT172" s="586"/>
      <c r="BU172" s="540"/>
      <c r="BV172" s="540"/>
      <c r="BW172" s="540"/>
      <c r="BX172" s="538"/>
      <c r="BY172" s="538"/>
      <c r="BZ172" s="592"/>
      <c r="CA172" s="633"/>
      <c r="CB172" s="592" t="s">
        <v>365</v>
      </c>
      <c r="CC172" s="592">
        <v>0.0</v>
      </c>
      <c r="CD172" s="592" t="s">
        <v>365</v>
      </c>
      <c r="CE172" s="592">
        <v>0.0</v>
      </c>
      <c r="CF172" s="592"/>
      <c r="CG172" s="592">
        <v>0.0</v>
      </c>
      <c r="CH172" s="592"/>
      <c r="CI172" s="633"/>
      <c r="CJ172" s="592">
        <v>0.0</v>
      </c>
      <c r="CK172" s="479" t="s">
        <v>365</v>
      </c>
      <c r="CL172" s="592"/>
      <c r="CM172" s="593"/>
      <c r="CN172" s="538"/>
      <c r="CO172" s="538"/>
      <c r="CP172" s="538"/>
      <c r="CQ172" s="538"/>
      <c r="CR172" s="538"/>
      <c r="CS172" s="538"/>
      <c r="CT172" s="538"/>
      <c r="CU172" s="538"/>
      <c r="CV172" s="538"/>
      <c r="CW172" s="538"/>
      <c r="CX172" s="538"/>
      <c r="CY172" s="538"/>
      <c r="CZ172" s="538"/>
      <c r="DA172" s="538"/>
      <c r="DB172" s="538"/>
      <c r="DC172" s="538"/>
      <c r="DD172" s="538"/>
      <c r="DE172" s="538"/>
      <c r="DF172" s="538"/>
      <c r="DG172" s="538"/>
      <c r="DH172" s="538"/>
      <c r="DI172" s="538"/>
      <c r="DJ172" s="538"/>
      <c r="DK172" s="538"/>
      <c r="DL172" s="538"/>
      <c r="DM172" s="538"/>
      <c r="DN172" s="538"/>
      <c r="DO172" s="538"/>
      <c r="DP172" s="538"/>
      <c r="DQ172" s="538"/>
      <c r="DR172" s="538"/>
      <c r="DS172" s="538"/>
      <c r="DT172" s="538"/>
      <c r="DU172" s="538"/>
      <c r="DV172" s="538"/>
      <c r="DW172" s="538"/>
      <c r="DX172" s="538"/>
      <c r="DY172" s="538"/>
      <c r="DZ172" s="538"/>
      <c r="EA172" s="538"/>
      <c r="EB172" s="538"/>
      <c r="EC172" s="538"/>
      <c r="ED172" s="538"/>
      <c r="EE172" s="538"/>
      <c r="EF172" s="538"/>
      <c r="EG172" s="538"/>
      <c r="EH172" s="538"/>
      <c r="EI172" s="538"/>
      <c r="EJ172" s="538"/>
      <c r="EK172" s="538"/>
      <c r="EL172" s="538"/>
      <c r="EM172" s="538"/>
      <c r="EN172" s="538"/>
      <c r="EO172" s="538"/>
      <c r="EP172" s="538"/>
      <c r="EQ172" s="538"/>
      <c r="ER172" s="538"/>
      <c r="ES172" s="538"/>
      <c r="ET172" s="538"/>
      <c r="EU172" s="538"/>
      <c r="EV172" s="538"/>
      <c r="EW172" s="538"/>
      <c r="EX172" s="559"/>
      <c r="EY172" s="559"/>
      <c r="EZ172" s="559"/>
      <c r="FA172" s="559"/>
      <c r="FB172" s="559"/>
      <c r="FC172" s="559"/>
      <c r="FD172" s="559"/>
      <c r="FE172" s="559"/>
      <c r="FF172" s="559"/>
      <c r="FG172" s="559"/>
      <c r="FH172" s="559"/>
      <c r="FI172" s="559"/>
      <c r="FJ172" s="559"/>
      <c r="FK172" s="559"/>
      <c r="FL172" s="559"/>
      <c r="FM172" s="559"/>
      <c r="FN172" s="559"/>
      <c r="FO172" s="559"/>
      <c r="FP172" s="559"/>
      <c r="FQ172" s="559"/>
      <c r="FR172" s="559"/>
      <c r="FS172" s="559"/>
      <c r="FT172" s="559"/>
      <c r="FU172" s="559"/>
      <c r="FV172" s="559"/>
      <c r="FW172" s="559"/>
      <c r="FX172" s="559"/>
      <c r="FY172" s="559"/>
      <c r="FZ172" s="559"/>
      <c r="GA172" s="559"/>
      <c r="GB172" s="559"/>
      <c r="GC172" s="559"/>
      <c r="GD172" s="559"/>
      <c r="GE172" s="559"/>
      <c r="GF172" s="559"/>
      <c r="GG172" s="559"/>
      <c r="GH172" s="559"/>
    </row>
    <row r="173">
      <c r="A173" s="538"/>
      <c r="B173" s="156"/>
      <c r="C173" s="444"/>
      <c r="D173" s="614"/>
      <c r="E173" s="66"/>
      <c r="F173" s="642"/>
      <c r="G173" s="642"/>
      <c r="H173" s="615"/>
      <c r="I173" s="616" t="s">
        <v>365</v>
      </c>
      <c r="J173" s="624"/>
      <c r="K173" s="643"/>
      <c r="L173" s="640"/>
      <c r="M173" s="625"/>
      <c r="N173" s="617"/>
      <c r="O173" s="134"/>
      <c r="P173" s="57"/>
      <c r="Q173" s="57"/>
      <c r="S173" s="605"/>
      <c r="U173" s="573"/>
      <c r="V173" s="574"/>
      <c r="W173" s="618"/>
      <c r="X173" s="576">
        <v>0.0</v>
      </c>
      <c r="Y173" s="630">
        <v>0.0</v>
      </c>
      <c r="Z173" s="630" t="s">
        <v>365</v>
      </c>
      <c r="AA173" s="631" t="b">
        <v>0</v>
      </c>
      <c r="AB173" s="631"/>
      <c r="AC173" s="576"/>
      <c r="AD173" s="479">
        <v>0.0</v>
      </c>
      <c r="AE173" s="632"/>
      <c r="AF173" s="582" t="s">
        <v>365</v>
      </c>
      <c r="AG173" s="583"/>
      <c r="AH173" s="584"/>
      <c r="AI173" s="583"/>
      <c r="AJ173" s="585"/>
      <c r="AK173" s="583"/>
      <c r="AL173" s="584"/>
      <c r="AM173" s="583"/>
      <c r="AN173" s="585"/>
      <c r="AO173" s="583"/>
      <c r="AP173" s="584"/>
      <c r="AQ173" s="583"/>
      <c r="AR173" s="585"/>
      <c r="AS173" s="583"/>
      <c r="AT173" s="584"/>
      <c r="AU173" s="583"/>
      <c r="AV173" s="585"/>
      <c r="AW173" s="583"/>
      <c r="AX173" s="584"/>
      <c r="AY173" s="583"/>
      <c r="AZ173" s="585"/>
      <c r="BA173" s="583"/>
      <c r="BB173" s="584"/>
      <c r="BC173" s="583"/>
      <c r="BD173" s="585"/>
      <c r="BE173" s="583"/>
      <c r="BF173" s="584"/>
      <c r="BG173" s="583"/>
      <c r="BH173" s="585"/>
      <c r="BI173" s="583"/>
      <c r="BJ173" s="584"/>
      <c r="BK173" s="583"/>
      <c r="BL173" s="585"/>
      <c r="BM173" s="583"/>
      <c r="BN173" s="584"/>
      <c r="BO173" s="583"/>
      <c r="BP173" s="585"/>
      <c r="BQ173" s="583"/>
      <c r="BR173" s="584"/>
      <c r="BS173" s="583"/>
      <c r="BT173" s="586"/>
      <c r="BU173" s="540"/>
      <c r="BV173" s="540"/>
      <c r="BW173" s="540"/>
      <c r="BX173" s="538"/>
      <c r="BY173" s="538"/>
      <c r="BZ173" s="592"/>
      <c r="CA173" s="633"/>
      <c r="CB173" s="592" t="s">
        <v>365</v>
      </c>
      <c r="CC173" s="592">
        <v>0.0</v>
      </c>
      <c r="CD173" s="592" t="s">
        <v>365</v>
      </c>
      <c r="CE173" s="592">
        <v>0.0</v>
      </c>
      <c r="CF173" s="592"/>
      <c r="CG173" s="592">
        <v>0.0</v>
      </c>
      <c r="CH173" s="592"/>
      <c r="CI173" s="633"/>
      <c r="CJ173" s="592">
        <v>0.0</v>
      </c>
      <c r="CK173" s="479" t="s">
        <v>365</v>
      </c>
      <c r="CL173" s="592"/>
      <c r="CM173" s="593"/>
      <c r="CN173" s="538"/>
      <c r="CO173" s="538"/>
      <c r="CP173" s="538"/>
      <c r="CQ173" s="538"/>
      <c r="CR173" s="538"/>
      <c r="CS173" s="538"/>
      <c r="CT173" s="538"/>
      <c r="CU173" s="538"/>
      <c r="CV173" s="538"/>
      <c r="CW173" s="538"/>
      <c r="CX173" s="538"/>
      <c r="CY173" s="538"/>
      <c r="CZ173" s="538"/>
      <c r="DA173" s="538"/>
      <c r="DB173" s="538"/>
      <c r="DC173" s="538"/>
      <c r="DD173" s="538"/>
      <c r="DE173" s="538"/>
      <c r="DF173" s="538"/>
      <c r="DG173" s="538"/>
      <c r="DH173" s="538"/>
      <c r="DI173" s="538"/>
      <c r="DJ173" s="538"/>
      <c r="DK173" s="538"/>
      <c r="DL173" s="538"/>
      <c r="DM173" s="538"/>
      <c r="DN173" s="538"/>
      <c r="DO173" s="538"/>
      <c r="DP173" s="538"/>
      <c r="DQ173" s="538"/>
      <c r="DR173" s="538"/>
      <c r="DS173" s="538"/>
      <c r="DT173" s="538"/>
      <c r="DU173" s="538"/>
      <c r="DV173" s="538"/>
      <c r="DW173" s="538"/>
      <c r="DX173" s="538"/>
      <c r="DY173" s="538"/>
      <c r="DZ173" s="538"/>
      <c r="EA173" s="538"/>
      <c r="EB173" s="538"/>
      <c r="EC173" s="538"/>
      <c r="ED173" s="538"/>
      <c r="EE173" s="538"/>
      <c r="EF173" s="538"/>
      <c r="EG173" s="538"/>
      <c r="EH173" s="538"/>
      <c r="EI173" s="538"/>
      <c r="EJ173" s="538"/>
      <c r="EK173" s="538"/>
      <c r="EL173" s="538"/>
      <c r="EM173" s="538"/>
      <c r="EN173" s="538"/>
      <c r="EO173" s="538"/>
      <c r="EP173" s="538"/>
      <c r="EQ173" s="538"/>
      <c r="ER173" s="538"/>
      <c r="ES173" s="538"/>
      <c r="ET173" s="538"/>
      <c r="EU173" s="538"/>
      <c r="EV173" s="538"/>
      <c r="EW173" s="538"/>
      <c r="EX173" s="559"/>
      <c r="EY173" s="559"/>
      <c r="EZ173" s="559"/>
      <c r="FA173" s="559"/>
      <c r="FB173" s="559"/>
      <c r="FC173" s="559"/>
      <c r="FD173" s="559"/>
      <c r="FE173" s="559"/>
      <c r="FF173" s="559"/>
      <c r="FG173" s="559"/>
      <c r="FH173" s="559"/>
      <c r="FI173" s="559"/>
      <c r="FJ173" s="559"/>
      <c r="FK173" s="559"/>
      <c r="FL173" s="559"/>
      <c r="FM173" s="559"/>
      <c r="FN173" s="559"/>
      <c r="FO173" s="559"/>
      <c r="FP173" s="559"/>
      <c r="FQ173" s="559"/>
      <c r="FR173" s="559"/>
      <c r="FS173" s="559"/>
      <c r="FT173" s="559"/>
      <c r="FU173" s="559"/>
      <c r="FV173" s="559"/>
      <c r="FW173" s="559"/>
      <c r="FX173" s="559"/>
      <c r="FY173" s="559"/>
      <c r="FZ173" s="559"/>
      <c r="GA173" s="559"/>
      <c r="GB173" s="559"/>
      <c r="GC173" s="559"/>
      <c r="GD173" s="559"/>
      <c r="GE173" s="559"/>
      <c r="GF173" s="559"/>
      <c r="GG173" s="559"/>
      <c r="GH173" s="559"/>
    </row>
    <row r="174">
      <c r="A174" s="538"/>
      <c r="B174" s="156"/>
      <c r="C174" s="444"/>
      <c r="D174" s="614"/>
      <c r="E174" s="68"/>
      <c r="F174" s="644"/>
      <c r="G174" s="644"/>
      <c r="H174" s="627"/>
      <c r="I174" s="622" t="s">
        <v>365</v>
      </c>
      <c r="J174" s="607"/>
      <c r="K174" s="641"/>
      <c r="L174" s="628"/>
      <c r="M174" s="626"/>
      <c r="N174" s="619"/>
      <c r="O174" s="560"/>
      <c r="P174" s="47"/>
      <c r="Q174" s="47"/>
      <c r="S174" s="572"/>
      <c r="U174" s="573"/>
      <c r="V174" s="574"/>
      <c r="W174" s="618"/>
      <c r="X174" s="576">
        <v>0.0</v>
      </c>
      <c r="Y174" s="630">
        <v>0.0</v>
      </c>
      <c r="Z174" s="630" t="s">
        <v>365</v>
      </c>
      <c r="AA174" s="631" t="b">
        <v>0</v>
      </c>
      <c r="AB174" s="631"/>
      <c r="AC174" s="576"/>
      <c r="AD174" s="479">
        <v>0.0</v>
      </c>
      <c r="AE174" s="632"/>
      <c r="AF174" s="582" t="s">
        <v>365</v>
      </c>
      <c r="AG174" s="583"/>
      <c r="AH174" s="584"/>
      <c r="AI174" s="583"/>
      <c r="AJ174" s="585"/>
      <c r="AK174" s="583"/>
      <c r="AL174" s="584"/>
      <c r="AM174" s="583"/>
      <c r="AN174" s="585"/>
      <c r="AO174" s="583"/>
      <c r="AP174" s="584"/>
      <c r="AQ174" s="583"/>
      <c r="AR174" s="585"/>
      <c r="AS174" s="583"/>
      <c r="AT174" s="584"/>
      <c r="AU174" s="583"/>
      <c r="AV174" s="585"/>
      <c r="AW174" s="583"/>
      <c r="AX174" s="584"/>
      <c r="AY174" s="583"/>
      <c r="AZ174" s="585"/>
      <c r="BA174" s="583"/>
      <c r="BB174" s="584"/>
      <c r="BC174" s="583"/>
      <c r="BD174" s="585"/>
      <c r="BE174" s="583"/>
      <c r="BF174" s="584"/>
      <c r="BG174" s="583"/>
      <c r="BH174" s="585"/>
      <c r="BI174" s="583"/>
      <c r="BJ174" s="584"/>
      <c r="BK174" s="583"/>
      <c r="BL174" s="585"/>
      <c r="BM174" s="583"/>
      <c r="BN174" s="584"/>
      <c r="BO174" s="583"/>
      <c r="BP174" s="585"/>
      <c r="BQ174" s="583"/>
      <c r="BR174" s="584"/>
      <c r="BS174" s="583"/>
      <c r="BT174" s="586"/>
      <c r="BU174" s="540"/>
      <c r="BV174" s="540"/>
      <c r="BW174" s="540"/>
      <c r="BX174" s="538"/>
      <c r="BY174" s="538"/>
      <c r="BZ174" s="592"/>
      <c r="CA174" s="633"/>
      <c r="CB174" s="592" t="s">
        <v>365</v>
      </c>
      <c r="CC174" s="592">
        <v>0.0</v>
      </c>
      <c r="CD174" s="592" t="s">
        <v>365</v>
      </c>
      <c r="CE174" s="592">
        <v>0.0</v>
      </c>
      <c r="CF174" s="592"/>
      <c r="CG174" s="592">
        <v>0.0</v>
      </c>
      <c r="CH174" s="592"/>
      <c r="CI174" s="633"/>
      <c r="CJ174" s="592">
        <v>0.0</v>
      </c>
      <c r="CK174" s="479" t="s">
        <v>365</v>
      </c>
      <c r="CL174" s="592"/>
      <c r="CM174" s="593"/>
      <c r="CN174" s="538"/>
      <c r="CO174" s="538"/>
      <c r="CP174" s="538"/>
      <c r="CQ174" s="538"/>
      <c r="CR174" s="538"/>
      <c r="CS174" s="538"/>
      <c r="CT174" s="538"/>
      <c r="CU174" s="538"/>
      <c r="CV174" s="538"/>
      <c r="CW174" s="538"/>
      <c r="CX174" s="538"/>
      <c r="CY174" s="538"/>
      <c r="CZ174" s="538"/>
      <c r="DA174" s="538"/>
      <c r="DB174" s="538"/>
      <c r="DC174" s="538"/>
      <c r="DD174" s="538"/>
      <c r="DE174" s="538"/>
      <c r="DF174" s="538"/>
      <c r="DG174" s="538"/>
      <c r="DH174" s="538"/>
      <c r="DI174" s="538"/>
      <c r="DJ174" s="538"/>
      <c r="DK174" s="538"/>
      <c r="DL174" s="538"/>
      <c r="DM174" s="538"/>
      <c r="DN174" s="538"/>
      <c r="DO174" s="538"/>
      <c r="DP174" s="538"/>
      <c r="DQ174" s="538"/>
      <c r="DR174" s="538"/>
      <c r="DS174" s="538"/>
      <c r="DT174" s="538"/>
      <c r="DU174" s="538"/>
      <c r="DV174" s="538"/>
      <c r="DW174" s="538"/>
      <c r="DX174" s="538"/>
      <c r="DY174" s="538"/>
      <c r="DZ174" s="538"/>
      <c r="EA174" s="538"/>
      <c r="EB174" s="538"/>
      <c r="EC174" s="538"/>
      <c r="ED174" s="538"/>
      <c r="EE174" s="538"/>
      <c r="EF174" s="538"/>
      <c r="EG174" s="538"/>
      <c r="EH174" s="538"/>
      <c r="EI174" s="538"/>
      <c r="EJ174" s="538"/>
      <c r="EK174" s="538"/>
      <c r="EL174" s="538"/>
      <c r="EM174" s="538"/>
      <c r="EN174" s="538"/>
      <c r="EO174" s="538"/>
      <c r="EP174" s="538"/>
      <c r="EQ174" s="538"/>
      <c r="ER174" s="538"/>
      <c r="ES174" s="538"/>
      <c r="ET174" s="538"/>
      <c r="EU174" s="538"/>
      <c r="EV174" s="538"/>
      <c r="EW174" s="538"/>
      <c r="EX174" s="559"/>
      <c r="EY174" s="559"/>
      <c r="EZ174" s="559"/>
      <c r="FA174" s="559"/>
      <c r="FB174" s="559"/>
      <c r="FC174" s="559"/>
      <c r="FD174" s="559"/>
      <c r="FE174" s="559"/>
      <c r="FF174" s="559"/>
      <c r="FG174" s="559"/>
      <c r="FH174" s="559"/>
      <c r="FI174" s="559"/>
      <c r="FJ174" s="559"/>
      <c r="FK174" s="559"/>
      <c r="FL174" s="559"/>
      <c r="FM174" s="559"/>
      <c r="FN174" s="559"/>
      <c r="FO174" s="559"/>
      <c r="FP174" s="559"/>
      <c r="FQ174" s="559"/>
      <c r="FR174" s="559"/>
      <c r="FS174" s="559"/>
      <c r="FT174" s="559"/>
      <c r="FU174" s="559"/>
      <c r="FV174" s="559"/>
      <c r="FW174" s="559"/>
      <c r="FX174" s="559"/>
      <c r="FY174" s="559"/>
      <c r="FZ174" s="559"/>
      <c r="GA174" s="559"/>
      <c r="GB174" s="559"/>
      <c r="GC174" s="559"/>
      <c r="GD174" s="559"/>
      <c r="GE174" s="559"/>
      <c r="GF174" s="559"/>
      <c r="GG174" s="559"/>
      <c r="GH174" s="559"/>
    </row>
    <row r="175">
      <c r="A175" s="538"/>
      <c r="B175" s="156"/>
      <c r="C175" s="444"/>
      <c r="D175" s="614"/>
      <c r="E175" s="66"/>
      <c r="F175" s="642"/>
      <c r="G175" s="642"/>
      <c r="H175" s="615"/>
      <c r="I175" s="616" t="s">
        <v>365</v>
      </c>
      <c r="J175" s="624"/>
      <c r="K175" s="643"/>
      <c r="L175" s="640"/>
      <c r="M175" s="625"/>
      <c r="N175" s="617"/>
      <c r="O175" s="134"/>
      <c r="P175" s="57"/>
      <c r="Q175" s="57"/>
      <c r="S175" s="605"/>
      <c r="U175" s="573"/>
      <c r="V175" s="574"/>
      <c r="W175" s="618"/>
      <c r="X175" s="576">
        <v>0.0</v>
      </c>
      <c r="Y175" s="630">
        <v>0.0</v>
      </c>
      <c r="Z175" s="630" t="s">
        <v>365</v>
      </c>
      <c r="AA175" s="631" t="b">
        <v>0</v>
      </c>
      <c r="AB175" s="631"/>
      <c r="AC175" s="576"/>
      <c r="AD175" s="479">
        <v>0.0</v>
      </c>
      <c r="AE175" s="632"/>
      <c r="AF175" s="582" t="s">
        <v>365</v>
      </c>
      <c r="AG175" s="583"/>
      <c r="AH175" s="584"/>
      <c r="AI175" s="583"/>
      <c r="AJ175" s="585"/>
      <c r="AK175" s="583"/>
      <c r="AL175" s="584"/>
      <c r="AM175" s="583"/>
      <c r="AN175" s="585"/>
      <c r="AO175" s="583"/>
      <c r="AP175" s="584"/>
      <c r="AQ175" s="583"/>
      <c r="AR175" s="585"/>
      <c r="AS175" s="583"/>
      <c r="AT175" s="584"/>
      <c r="AU175" s="583"/>
      <c r="AV175" s="585"/>
      <c r="AW175" s="583"/>
      <c r="AX175" s="584"/>
      <c r="AY175" s="583"/>
      <c r="AZ175" s="585"/>
      <c r="BA175" s="583"/>
      <c r="BB175" s="584"/>
      <c r="BC175" s="583"/>
      <c r="BD175" s="585"/>
      <c r="BE175" s="583"/>
      <c r="BF175" s="584"/>
      <c r="BG175" s="583"/>
      <c r="BH175" s="585"/>
      <c r="BI175" s="583"/>
      <c r="BJ175" s="584"/>
      <c r="BK175" s="583"/>
      <c r="BL175" s="585"/>
      <c r="BM175" s="583"/>
      <c r="BN175" s="584"/>
      <c r="BO175" s="583"/>
      <c r="BP175" s="585"/>
      <c r="BQ175" s="583"/>
      <c r="BR175" s="584"/>
      <c r="BS175" s="583"/>
      <c r="BT175" s="586"/>
      <c r="BU175" s="540"/>
      <c r="BV175" s="540"/>
      <c r="BW175" s="540"/>
      <c r="BX175" s="538"/>
      <c r="BY175" s="538"/>
      <c r="BZ175" s="592"/>
      <c r="CA175" s="633"/>
      <c r="CB175" s="592" t="s">
        <v>365</v>
      </c>
      <c r="CC175" s="592">
        <v>0.0</v>
      </c>
      <c r="CD175" s="592" t="s">
        <v>365</v>
      </c>
      <c r="CE175" s="592">
        <v>0.0</v>
      </c>
      <c r="CF175" s="592"/>
      <c r="CG175" s="592">
        <v>0.0</v>
      </c>
      <c r="CH175" s="592"/>
      <c r="CI175" s="633"/>
      <c r="CJ175" s="592">
        <v>0.0</v>
      </c>
      <c r="CK175" s="479" t="s">
        <v>365</v>
      </c>
      <c r="CL175" s="592"/>
      <c r="CM175" s="593"/>
      <c r="CN175" s="538"/>
      <c r="CO175" s="538"/>
      <c r="CP175" s="538"/>
      <c r="CQ175" s="538"/>
      <c r="CR175" s="538"/>
      <c r="CS175" s="538"/>
      <c r="CT175" s="538"/>
      <c r="CU175" s="538"/>
      <c r="CV175" s="538"/>
      <c r="CW175" s="538"/>
      <c r="CX175" s="538"/>
      <c r="CY175" s="538"/>
      <c r="CZ175" s="538"/>
      <c r="DA175" s="538"/>
      <c r="DB175" s="538"/>
      <c r="DC175" s="538"/>
      <c r="DD175" s="538"/>
      <c r="DE175" s="538"/>
      <c r="DF175" s="538"/>
      <c r="DG175" s="538"/>
      <c r="DH175" s="538"/>
      <c r="DI175" s="538"/>
      <c r="DJ175" s="538"/>
      <c r="DK175" s="538"/>
      <c r="DL175" s="538"/>
      <c r="DM175" s="538"/>
      <c r="DN175" s="538"/>
      <c r="DO175" s="538"/>
      <c r="DP175" s="538"/>
      <c r="DQ175" s="538"/>
      <c r="DR175" s="538"/>
      <c r="DS175" s="538"/>
      <c r="DT175" s="538"/>
      <c r="DU175" s="538"/>
      <c r="DV175" s="538"/>
      <c r="DW175" s="538"/>
      <c r="DX175" s="538"/>
      <c r="DY175" s="538"/>
      <c r="DZ175" s="538"/>
      <c r="EA175" s="538"/>
      <c r="EB175" s="538"/>
      <c r="EC175" s="538"/>
      <c r="ED175" s="538"/>
      <c r="EE175" s="538"/>
      <c r="EF175" s="538"/>
      <c r="EG175" s="538"/>
      <c r="EH175" s="538"/>
      <c r="EI175" s="538"/>
      <c r="EJ175" s="538"/>
      <c r="EK175" s="538"/>
      <c r="EL175" s="538"/>
      <c r="EM175" s="538"/>
      <c r="EN175" s="538"/>
      <c r="EO175" s="538"/>
      <c r="EP175" s="538"/>
      <c r="EQ175" s="538"/>
      <c r="ER175" s="538"/>
      <c r="ES175" s="538"/>
      <c r="ET175" s="538"/>
      <c r="EU175" s="538"/>
      <c r="EV175" s="538"/>
      <c r="EW175" s="538"/>
      <c r="EX175" s="559"/>
      <c r="EY175" s="559"/>
      <c r="EZ175" s="559"/>
      <c r="FA175" s="559"/>
      <c r="FB175" s="559"/>
      <c r="FC175" s="559"/>
      <c r="FD175" s="559"/>
      <c r="FE175" s="559"/>
      <c r="FF175" s="559"/>
      <c r="FG175" s="559"/>
      <c r="FH175" s="559"/>
      <c r="FI175" s="559"/>
      <c r="FJ175" s="559"/>
      <c r="FK175" s="559"/>
      <c r="FL175" s="559"/>
      <c r="FM175" s="559"/>
      <c r="FN175" s="559"/>
      <c r="FO175" s="559"/>
      <c r="FP175" s="559"/>
      <c r="FQ175" s="559"/>
      <c r="FR175" s="559"/>
      <c r="FS175" s="559"/>
      <c r="FT175" s="559"/>
      <c r="FU175" s="559"/>
      <c r="FV175" s="559"/>
      <c r="FW175" s="559"/>
      <c r="FX175" s="559"/>
      <c r="FY175" s="559"/>
      <c r="FZ175" s="559"/>
      <c r="GA175" s="559"/>
      <c r="GB175" s="559"/>
      <c r="GC175" s="559"/>
      <c r="GD175" s="559"/>
      <c r="GE175" s="559"/>
      <c r="GF175" s="559"/>
      <c r="GG175" s="559"/>
      <c r="GH175" s="559"/>
    </row>
    <row r="176">
      <c r="A176" s="538"/>
      <c r="B176" s="156"/>
      <c r="C176" s="444"/>
      <c r="D176" s="614"/>
      <c r="E176" s="68"/>
      <c r="F176" s="644"/>
      <c r="G176" s="644"/>
      <c r="H176" s="627"/>
      <c r="I176" s="622" t="s">
        <v>365</v>
      </c>
      <c r="J176" s="607"/>
      <c r="K176" s="641"/>
      <c r="L176" s="628"/>
      <c r="M176" s="626"/>
      <c r="N176" s="619"/>
      <c r="O176" s="560"/>
      <c r="P176" s="47"/>
      <c r="Q176" s="47"/>
      <c r="S176" s="572"/>
      <c r="U176" s="573"/>
      <c r="V176" s="574"/>
      <c r="W176" s="618"/>
      <c r="X176" s="576">
        <v>0.0</v>
      </c>
      <c r="Y176" s="630">
        <v>0.0</v>
      </c>
      <c r="Z176" s="630" t="s">
        <v>365</v>
      </c>
      <c r="AA176" s="631" t="b">
        <v>0</v>
      </c>
      <c r="AB176" s="631"/>
      <c r="AC176" s="576"/>
      <c r="AD176" s="479">
        <v>0.0</v>
      </c>
      <c r="AE176" s="632"/>
      <c r="AF176" s="582" t="s">
        <v>365</v>
      </c>
      <c r="AG176" s="583"/>
      <c r="AH176" s="584"/>
      <c r="AI176" s="583"/>
      <c r="AJ176" s="585"/>
      <c r="AK176" s="583"/>
      <c r="AL176" s="584"/>
      <c r="AM176" s="583"/>
      <c r="AN176" s="585"/>
      <c r="AO176" s="583"/>
      <c r="AP176" s="584"/>
      <c r="AQ176" s="583"/>
      <c r="AR176" s="585"/>
      <c r="AS176" s="583"/>
      <c r="AT176" s="584"/>
      <c r="AU176" s="583"/>
      <c r="AV176" s="585"/>
      <c r="AW176" s="583"/>
      <c r="AX176" s="584"/>
      <c r="AY176" s="583"/>
      <c r="AZ176" s="585"/>
      <c r="BA176" s="583"/>
      <c r="BB176" s="584"/>
      <c r="BC176" s="583"/>
      <c r="BD176" s="585"/>
      <c r="BE176" s="583"/>
      <c r="BF176" s="584"/>
      <c r="BG176" s="583"/>
      <c r="BH176" s="585"/>
      <c r="BI176" s="583"/>
      <c r="BJ176" s="584"/>
      <c r="BK176" s="583"/>
      <c r="BL176" s="585"/>
      <c r="BM176" s="583"/>
      <c r="BN176" s="584"/>
      <c r="BO176" s="583"/>
      <c r="BP176" s="585"/>
      <c r="BQ176" s="583"/>
      <c r="BR176" s="584"/>
      <c r="BS176" s="583"/>
      <c r="BT176" s="586"/>
      <c r="BU176" s="540"/>
      <c r="BV176" s="540"/>
      <c r="BW176" s="540"/>
      <c r="BX176" s="538"/>
      <c r="BY176" s="538"/>
      <c r="BZ176" s="592"/>
      <c r="CA176" s="633"/>
      <c r="CB176" s="592" t="s">
        <v>365</v>
      </c>
      <c r="CC176" s="592">
        <v>0.0</v>
      </c>
      <c r="CD176" s="592" t="s">
        <v>365</v>
      </c>
      <c r="CE176" s="592">
        <v>0.0</v>
      </c>
      <c r="CF176" s="592"/>
      <c r="CG176" s="592">
        <v>0.0</v>
      </c>
      <c r="CH176" s="592"/>
      <c r="CI176" s="633"/>
      <c r="CJ176" s="592">
        <v>0.0</v>
      </c>
      <c r="CK176" s="479" t="s">
        <v>365</v>
      </c>
      <c r="CL176" s="592"/>
      <c r="CM176" s="593"/>
      <c r="CN176" s="538"/>
      <c r="CO176" s="538"/>
      <c r="CP176" s="538"/>
      <c r="CQ176" s="538"/>
      <c r="CR176" s="538"/>
      <c r="CS176" s="538"/>
      <c r="CT176" s="538"/>
      <c r="CU176" s="538"/>
      <c r="CV176" s="538"/>
      <c r="CW176" s="538"/>
      <c r="CX176" s="538"/>
      <c r="CY176" s="538"/>
      <c r="CZ176" s="538"/>
      <c r="DA176" s="538"/>
      <c r="DB176" s="538"/>
      <c r="DC176" s="538"/>
      <c r="DD176" s="538"/>
      <c r="DE176" s="538"/>
      <c r="DF176" s="538"/>
      <c r="DG176" s="538"/>
      <c r="DH176" s="538"/>
      <c r="DI176" s="538"/>
      <c r="DJ176" s="538"/>
      <c r="DK176" s="538"/>
      <c r="DL176" s="538"/>
      <c r="DM176" s="538"/>
      <c r="DN176" s="538"/>
      <c r="DO176" s="538"/>
      <c r="DP176" s="538"/>
      <c r="DQ176" s="538"/>
      <c r="DR176" s="538"/>
      <c r="DS176" s="538"/>
      <c r="DT176" s="538"/>
      <c r="DU176" s="538"/>
      <c r="DV176" s="538"/>
      <c r="DW176" s="538"/>
      <c r="DX176" s="538"/>
      <c r="DY176" s="538"/>
      <c r="DZ176" s="538"/>
      <c r="EA176" s="538"/>
      <c r="EB176" s="538"/>
      <c r="EC176" s="538"/>
      <c r="ED176" s="538"/>
      <c r="EE176" s="538"/>
      <c r="EF176" s="538"/>
      <c r="EG176" s="538"/>
      <c r="EH176" s="538"/>
      <c r="EI176" s="538"/>
      <c r="EJ176" s="538"/>
      <c r="EK176" s="538"/>
      <c r="EL176" s="538"/>
      <c r="EM176" s="538"/>
      <c r="EN176" s="538"/>
      <c r="EO176" s="538"/>
      <c r="EP176" s="538"/>
      <c r="EQ176" s="538"/>
      <c r="ER176" s="538"/>
      <c r="ES176" s="538"/>
      <c r="ET176" s="538"/>
      <c r="EU176" s="538"/>
      <c r="EV176" s="538"/>
      <c r="EW176" s="538"/>
      <c r="EX176" s="559"/>
      <c r="EY176" s="559"/>
      <c r="EZ176" s="559"/>
      <c r="FA176" s="559"/>
      <c r="FB176" s="559"/>
      <c r="FC176" s="559"/>
      <c r="FD176" s="559"/>
      <c r="FE176" s="559"/>
      <c r="FF176" s="559"/>
      <c r="FG176" s="559"/>
      <c r="FH176" s="559"/>
      <c r="FI176" s="559"/>
      <c r="FJ176" s="559"/>
      <c r="FK176" s="559"/>
      <c r="FL176" s="559"/>
      <c r="FM176" s="559"/>
      <c r="FN176" s="559"/>
      <c r="FO176" s="559"/>
      <c r="FP176" s="559"/>
      <c r="FQ176" s="559"/>
      <c r="FR176" s="559"/>
      <c r="FS176" s="559"/>
      <c r="FT176" s="559"/>
      <c r="FU176" s="559"/>
      <c r="FV176" s="559"/>
      <c r="FW176" s="559"/>
      <c r="FX176" s="559"/>
      <c r="FY176" s="559"/>
      <c r="FZ176" s="559"/>
      <c r="GA176" s="559"/>
      <c r="GB176" s="559"/>
      <c r="GC176" s="559"/>
      <c r="GD176" s="559"/>
      <c r="GE176" s="559"/>
      <c r="GF176" s="559"/>
      <c r="GG176" s="559"/>
      <c r="GH176" s="559"/>
    </row>
    <row r="177">
      <c r="A177" s="538"/>
      <c r="B177" s="156"/>
      <c r="C177" s="444"/>
      <c r="D177" s="614"/>
      <c r="E177" s="66"/>
      <c r="F177" s="642"/>
      <c r="G177" s="642"/>
      <c r="H177" s="615"/>
      <c r="I177" s="616" t="s">
        <v>365</v>
      </c>
      <c r="J177" s="624"/>
      <c r="K177" s="643"/>
      <c r="L177" s="640"/>
      <c r="M177" s="625"/>
      <c r="N177" s="617"/>
      <c r="O177" s="134"/>
      <c r="P177" s="57"/>
      <c r="Q177" s="57"/>
      <c r="S177" s="605"/>
      <c r="U177" s="573"/>
      <c r="V177" s="574"/>
      <c r="W177" s="618"/>
      <c r="X177" s="576">
        <v>0.0</v>
      </c>
      <c r="Y177" s="630">
        <v>0.0</v>
      </c>
      <c r="Z177" s="630" t="s">
        <v>365</v>
      </c>
      <c r="AA177" s="631" t="b">
        <v>0</v>
      </c>
      <c r="AB177" s="631"/>
      <c r="AC177" s="576"/>
      <c r="AD177" s="479">
        <v>0.0</v>
      </c>
      <c r="AE177" s="632"/>
      <c r="AF177" s="582" t="s">
        <v>365</v>
      </c>
      <c r="AG177" s="583"/>
      <c r="AH177" s="584"/>
      <c r="AI177" s="583"/>
      <c r="AJ177" s="585"/>
      <c r="AK177" s="583"/>
      <c r="AL177" s="584"/>
      <c r="AM177" s="583"/>
      <c r="AN177" s="585"/>
      <c r="AO177" s="583"/>
      <c r="AP177" s="584"/>
      <c r="AQ177" s="583"/>
      <c r="AR177" s="585"/>
      <c r="AS177" s="583"/>
      <c r="AT177" s="584"/>
      <c r="AU177" s="583"/>
      <c r="AV177" s="585"/>
      <c r="AW177" s="583"/>
      <c r="AX177" s="584"/>
      <c r="AY177" s="583"/>
      <c r="AZ177" s="585"/>
      <c r="BA177" s="583"/>
      <c r="BB177" s="584"/>
      <c r="BC177" s="583"/>
      <c r="BD177" s="585"/>
      <c r="BE177" s="583"/>
      <c r="BF177" s="584"/>
      <c r="BG177" s="583"/>
      <c r="BH177" s="585"/>
      <c r="BI177" s="583"/>
      <c r="BJ177" s="584"/>
      <c r="BK177" s="583"/>
      <c r="BL177" s="585"/>
      <c r="BM177" s="583"/>
      <c r="BN177" s="584"/>
      <c r="BO177" s="583"/>
      <c r="BP177" s="585"/>
      <c r="BQ177" s="583"/>
      <c r="BR177" s="584"/>
      <c r="BS177" s="583"/>
      <c r="BT177" s="586"/>
      <c r="BU177" s="540"/>
      <c r="BV177" s="540"/>
      <c r="BW177" s="540"/>
      <c r="BX177" s="538"/>
      <c r="BY177" s="538"/>
      <c r="BZ177" s="592"/>
      <c r="CA177" s="633"/>
      <c r="CB177" s="592" t="s">
        <v>365</v>
      </c>
      <c r="CC177" s="592">
        <v>0.0</v>
      </c>
      <c r="CD177" s="592" t="s">
        <v>365</v>
      </c>
      <c r="CE177" s="592">
        <v>0.0</v>
      </c>
      <c r="CF177" s="592"/>
      <c r="CG177" s="592">
        <v>0.0</v>
      </c>
      <c r="CH177" s="592"/>
      <c r="CI177" s="633"/>
      <c r="CJ177" s="592">
        <v>0.0</v>
      </c>
      <c r="CK177" s="479" t="s">
        <v>365</v>
      </c>
      <c r="CL177" s="592"/>
      <c r="CM177" s="593"/>
      <c r="CN177" s="538"/>
      <c r="CO177" s="538"/>
      <c r="CP177" s="538"/>
      <c r="CQ177" s="538"/>
      <c r="CR177" s="538"/>
      <c r="CS177" s="538"/>
      <c r="CT177" s="538"/>
      <c r="CU177" s="538"/>
      <c r="CV177" s="538"/>
      <c r="CW177" s="538"/>
      <c r="CX177" s="538"/>
      <c r="CY177" s="538"/>
      <c r="CZ177" s="538"/>
      <c r="DA177" s="538"/>
      <c r="DB177" s="538"/>
      <c r="DC177" s="538"/>
      <c r="DD177" s="538"/>
      <c r="DE177" s="538"/>
      <c r="DF177" s="538"/>
      <c r="DG177" s="538"/>
      <c r="DH177" s="538"/>
      <c r="DI177" s="538"/>
      <c r="DJ177" s="538"/>
      <c r="DK177" s="538"/>
      <c r="DL177" s="538"/>
      <c r="DM177" s="538"/>
      <c r="DN177" s="538"/>
      <c r="DO177" s="538"/>
      <c r="DP177" s="538"/>
      <c r="DQ177" s="538"/>
      <c r="DR177" s="538"/>
      <c r="DS177" s="538"/>
      <c r="DT177" s="538"/>
      <c r="DU177" s="538"/>
      <c r="DV177" s="538"/>
      <c r="DW177" s="538"/>
      <c r="DX177" s="538"/>
      <c r="DY177" s="538"/>
      <c r="DZ177" s="538"/>
      <c r="EA177" s="538"/>
      <c r="EB177" s="538"/>
      <c r="EC177" s="538"/>
      <c r="ED177" s="538"/>
      <c r="EE177" s="538"/>
      <c r="EF177" s="538"/>
      <c r="EG177" s="538"/>
      <c r="EH177" s="538"/>
      <c r="EI177" s="538"/>
      <c r="EJ177" s="538"/>
      <c r="EK177" s="538"/>
      <c r="EL177" s="538"/>
      <c r="EM177" s="538"/>
      <c r="EN177" s="538"/>
      <c r="EO177" s="538"/>
      <c r="EP177" s="538"/>
      <c r="EQ177" s="538"/>
      <c r="ER177" s="538"/>
      <c r="ES177" s="538"/>
      <c r="ET177" s="538"/>
      <c r="EU177" s="538"/>
      <c r="EV177" s="538"/>
      <c r="EW177" s="538"/>
      <c r="EX177" s="559"/>
      <c r="EY177" s="559"/>
      <c r="EZ177" s="559"/>
      <c r="FA177" s="559"/>
      <c r="FB177" s="559"/>
      <c r="FC177" s="559"/>
      <c r="FD177" s="559"/>
      <c r="FE177" s="559"/>
      <c r="FF177" s="559"/>
      <c r="FG177" s="559"/>
      <c r="FH177" s="559"/>
      <c r="FI177" s="559"/>
      <c r="FJ177" s="559"/>
      <c r="FK177" s="559"/>
      <c r="FL177" s="559"/>
      <c r="FM177" s="559"/>
      <c r="FN177" s="559"/>
      <c r="FO177" s="559"/>
      <c r="FP177" s="559"/>
      <c r="FQ177" s="559"/>
      <c r="FR177" s="559"/>
      <c r="FS177" s="559"/>
      <c r="FT177" s="559"/>
      <c r="FU177" s="559"/>
      <c r="FV177" s="559"/>
      <c r="FW177" s="559"/>
      <c r="FX177" s="559"/>
      <c r="FY177" s="559"/>
      <c r="FZ177" s="559"/>
      <c r="GA177" s="559"/>
      <c r="GB177" s="559"/>
      <c r="GC177" s="559"/>
      <c r="GD177" s="559"/>
      <c r="GE177" s="559"/>
      <c r="GF177" s="559"/>
      <c r="GG177" s="559"/>
      <c r="GH177" s="559"/>
    </row>
    <row r="178">
      <c r="A178" s="538"/>
      <c r="B178" s="156"/>
      <c r="C178" s="444"/>
      <c r="D178" s="614"/>
      <c r="E178" s="68"/>
      <c r="F178" s="644"/>
      <c r="G178" s="644"/>
      <c r="H178" s="627"/>
      <c r="I178" s="622" t="s">
        <v>365</v>
      </c>
      <c r="J178" s="607"/>
      <c r="K178" s="641"/>
      <c r="L178" s="628"/>
      <c r="M178" s="626"/>
      <c r="N178" s="619"/>
      <c r="O178" s="560"/>
      <c r="P178" s="47"/>
      <c r="Q178" s="47"/>
      <c r="S178" s="572"/>
      <c r="U178" s="573"/>
      <c r="V178" s="574"/>
      <c r="W178" s="618"/>
      <c r="X178" s="576">
        <v>0.0</v>
      </c>
      <c r="Y178" s="630">
        <v>0.0</v>
      </c>
      <c r="Z178" s="630" t="s">
        <v>365</v>
      </c>
      <c r="AA178" s="631" t="b">
        <v>0</v>
      </c>
      <c r="AB178" s="631"/>
      <c r="AC178" s="576"/>
      <c r="AD178" s="479">
        <v>0.0</v>
      </c>
      <c r="AE178" s="632"/>
      <c r="AF178" s="582" t="s">
        <v>365</v>
      </c>
      <c r="AG178" s="583"/>
      <c r="AH178" s="584"/>
      <c r="AI178" s="583"/>
      <c r="AJ178" s="585"/>
      <c r="AK178" s="583"/>
      <c r="AL178" s="584"/>
      <c r="AM178" s="583"/>
      <c r="AN178" s="585"/>
      <c r="AO178" s="583"/>
      <c r="AP178" s="584"/>
      <c r="AQ178" s="583"/>
      <c r="AR178" s="585"/>
      <c r="AS178" s="583"/>
      <c r="AT178" s="584"/>
      <c r="AU178" s="583"/>
      <c r="AV178" s="585"/>
      <c r="AW178" s="583"/>
      <c r="AX178" s="584"/>
      <c r="AY178" s="583"/>
      <c r="AZ178" s="585"/>
      <c r="BA178" s="583"/>
      <c r="BB178" s="584"/>
      <c r="BC178" s="583"/>
      <c r="BD178" s="585"/>
      <c r="BE178" s="583"/>
      <c r="BF178" s="584"/>
      <c r="BG178" s="583"/>
      <c r="BH178" s="585"/>
      <c r="BI178" s="583"/>
      <c r="BJ178" s="584"/>
      <c r="BK178" s="583"/>
      <c r="BL178" s="585"/>
      <c r="BM178" s="583"/>
      <c r="BN178" s="584"/>
      <c r="BO178" s="583"/>
      <c r="BP178" s="585"/>
      <c r="BQ178" s="583"/>
      <c r="BR178" s="584"/>
      <c r="BS178" s="583"/>
      <c r="BT178" s="586"/>
      <c r="BU178" s="540"/>
      <c r="BV178" s="540"/>
      <c r="BW178" s="540"/>
      <c r="BX178" s="538"/>
      <c r="BY178" s="538"/>
      <c r="BZ178" s="592"/>
      <c r="CA178" s="633"/>
      <c r="CB178" s="592" t="s">
        <v>365</v>
      </c>
      <c r="CC178" s="592">
        <v>0.0</v>
      </c>
      <c r="CD178" s="592" t="s">
        <v>365</v>
      </c>
      <c r="CE178" s="592">
        <v>0.0</v>
      </c>
      <c r="CF178" s="592"/>
      <c r="CG178" s="592">
        <v>0.0</v>
      </c>
      <c r="CH178" s="592"/>
      <c r="CI178" s="633"/>
      <c r="CJ178" s="592">
        <v>0.0</v>
      </c>
      <c r="CK178" s="479" t="s">
        <v>365</v>
      </c>
      <c r="CL178" s="592"/>
      <c r="CM178" s="593"/>
      <c r="CN178" s="538"/>
      <c r="CO178" s="538"/>
      <c r="CP178" s="538"/>
      <c r="CQ178" s="538"/>
      <c r="CR178" s="538"/>
      <c r="CS178" s="538"/>
      <c r="CT178" s="538"/>
      <c r="CU178" s="538"/>
      <c r="CV178" s="538"/>
      <c r="CW178" s="538"/>
      <c r="CX178" s="538"/>
      <c r="CY178" s="538"/>
      <c r="CZ178" s="538"/>
      <c r="DA178" s="538"/>
      <c r="DB178" s="538"/>
      <c r="DC178" s="538"/>
      <c r="DD178" s="538"/>
      <c r="DE178" s="538"/>
      <c r="DF178" s="538"/>
      <c r="DG178" s="538"/>
      <c r="DH178" s="538"/>
      <c r="DI178" s="538"/>
      <c r="DJ178" s="538"/>
      <c r="DK178" s="538"/>
      <c r="DL178" s="538"/>
      <c r="DM178" s="538"/>
      <c r="DN178" s="538"/>
      <c r="DO178" s="538"/>
      <c r="DP178" s="538"/>
      <c r="DQ178" s="538"/>
      <c r="DR178" s="538"/>
      <c r="DS178" s="538"/>
      <c r="DT178" s="538"/>
      <c r="DU178" s="538"/>
      <c r="DV178" s="538"/>
      <c r="DW178" s="538"/>
      <c r="DX178" s="538"/>
      <c r="DY178" s="538"/>
      <c r="DZ178" s="538"/>
      <c r="EA178" s="538"/>
      <c r="EB178" s="538"/>
      <c r="EC178" s="538"/>
      <c r="ED178" s="538"/>
      <c r="EE178" s="538"/>
      <c r="EF178" s="538"/>
      <c r="EG178" s="538"/>
      <c r="EH178" s="538"/>
      <c r="EI178" s="538"/>
      <c r="EJ178" s="538"/>
      <c r="EK178" s="538"/>
      <c r="EL178" s="538"/>
      <c r="EM178" s="538"/>
      <c r="EN178" s="538"/>
      <c r="EO178" s="538"/>
      <c r="EP178" s="538"/>
      <c r="EQ178" s="538"/>
      <c r="ER178" s="538"/>
      <c r="ES178" s="538"/>
      <c r="ET178" s="538"/>
      <c r="EU178" s="538"/>
      <c r="EV178" s="538"/>
      <c r="EW178" s="538"/>
      <c r="EX178" s="559"/>
      <c r="EY178" s="559"/>
      <c r="EZ178" s="559"/>
      <c r="FA178" s="559"/>
      <c r="FB178" s="559"/>
      <c r="FC178" s="559"/>
      <c r="FD178" s="559"/>
      <c r="FE178" s="559"/>
      <c r="FF178" s="559"/>
      <c r="FG178" s="559"/>
      <c r="FH178" s="559"/>
      <c r="FI178" s="559"/>
      <c r="FJ178" s="559"/>
      <c r="FK178" s="559"/>
      <c r="FL178" s="559"/>
      <c r="FM178" s="559"/>
      <c r="FN178" s="559"/>
      <c r="FO178" s="559"/>
      <c r="FP178" s="559"/>
      <c r="FQ178" s="559"/>
      <c r="FR178" s="559"/>
      <c r="FS178" s="559"/>
      <c r="FT178" s="559"/>
      <c r="FU178" s="559"/>
      <c r="FV178" s="559"/>
      <c r="FW178" s="559"/>
      <c r="FX178" s="559"/>
      <c r="FY178" s="559"/>
      <c r="FZ178" s="559"/>
      <c r="GA178" s="559"/>
      <c r="GB178" s="559"/>
      <c r="GC178" s="559"/>
      <c r="GD178" s="559"/>
      <c r="GE178" s="559"/>
      <c r="GF178" s="559"/>
      <c r="GG178" s="559"/>
      <c r="GH178" s="559"/>
    </row>
    <row r="179">
      <c r="A179" s="538"/>
      <c r="B179" s="156"/>
      <c r="C179" s="444"/>
      <c r="D179" s="614"/>
      <c r="E179" s="66"/>
      <c r="F179" s="642"/>
      <c r="G179" s="642"/>
      <c r="H179" s="615"/>
      <c r="I179" s="616" t="s">
        <v>365</v>
      </c>
      <c r="J179" s="624"/>
      <c r="K179" s="643"/>
      <c r="L179" s="640"/>
      <c r="M179" s="625"/>
      <c r="N179" s="617"/>
      <c r="O179" s="134"/>
      <c r="P179" s="57"/>
      <c r="Q179" s="57"/>
      <c r="S179" s="605"/>
      <c r="U179" s="573"/>
      <c r="V179" s="574"/>
      <c r="W179" s="618"/>
      <c r="X179" s="576">
        <v>0.0</v>
      </c>
      <c r="Y179" s="630">
        <v>0.0</v>
      </c>
      <c r="Z179" s="630" t="s">
        <v>365</v>
      </c>
      <c r="AA179" s="631" t="b">
        <v>0</v>
      </c>
      <c r="AB179" s="631"/>
      <c r="AC179" s="576"/>
      <c r="AD179" s="479">
        <v>0.0</v>
      </c>
      <c r="AE179" s="632"/>
      <c r="AF179" s="582" t="s">
        <v>365</v>
      </c>
      <c r="AG179" s="583"/>
      <c r="AH179" s="584"/>
      <c r="AI179" s="583"/>
      <c r="AJ179" s="585"/>
      <c r="AK179" s="583"/>
      <c r="AL179" s="584"/>
      <c r="AM179" s="583"/>
      <c r="AN179" s="585"/>
      <c r="AO179" s="583"/>
      <c r="AP179" s="584"/>
      <c r="AQ179" s="583"/>
      <c r="AR179" s="585"/>
      <c r="AS179" s="583"/>
      <c r="AT179" s="584"/>
      <c r="AU179" s="583"/>
      <c r="AV179" s="585"/>
      <c r="AW179" s="583"/>
      <c r="AX179" s="584"/>
      <c r="AY179" s="583"/>
      <c r="AZ179" s="585"/>
      <c r="BA179" s="583"/>
      <c r="BB179" s="584"/>
      <c r="BC179" s="583"/>
      <c r="BD179" s="585"/>
      <c r="BE179" s="583"/>
      <c r="BF179" s="584"/>
      <c r="BG179" s="583"/>
      <c r="BH179" s="585"/>
      <c r="BI179" s="583"/>
      <c r="BJ179" s="584"/>
      <c r="BK179" s="583"/>
      <c r="BL179" s="585"/>
      <c r="BM179" s="583"/>
      <c r="BN179" s="584"/>
      <c r="BO179" s="583"/>
      <c r="BP179" s="585"/>
      <c r="BQ179" s="583"/>
      <c r="BR179" s="584"/>
      <c r="BS179" s="583"/>
      <c r="BT179" s="586"/>
      <c r="BU179" s="540"/>
      <c r="BV179" s="540"/>
      <c r="BW179" s="540"/>
      <c r="BX179" s="538"/>
      <c r="BY179" s="538"/>
      <c r="BZ179" s="592"/>
      <c r="CA179" s="633"/>
      <c r="CB179" s="592" t="s">
        <v>365</v>
      </c>
      <c r="CC179" s="592">
        <v>0.0</v>
      </c>
      <c r="CD179" s="592" t="s">
        <v>365</v>
      </c>
      <c r="CE179" s="592">
        <v>0.0</v>
      </c>
      <c r="CF179" s="592"/>
      <c r="CG179" s="592">
        <v>0.0</v>
      </c>
      <c r="CH179" s="592"/>
      <c r="CI179" s="633"/>
      <c r="CJ179" s="592">
        <v>0.0</v>
      </c>
      <c r="CK179" s="479" t="s">
        <v>365</v>
      </c>
      <c r="CL179" s="592"/>
      <c r="CM179" s="593"/>
      <c r="CN179" s="538"/>
      <c r="CO179" s="538"/>
      <c r="CP179" s="538"/>
      <c r="CQ179" s="538"/>
      <c r="CR179" s="538"/>
      <c r="CS179" s="538"/>
      <c r="CT179" s="538"/>
      <c r="CU179" s="538"/>
      <c r="CV179" s="538"/>
      <c r="CW179" s="538"/>
      <c r="CX179" s="538"/>
      <c r="CY179" s="538"/>
      <c r="CZ179" s="538"/>
      <c r="DA179" s="538"/>
      <c r="DB179" s="538"/>
      <c r="DC179" s="538"/>
      <c r="DD179" s="538"/>
      <c r="DE179" s="538"/>
      <c r="DF179" s="538"/>
      <c r="DG179" s="538"/>
      <c r="DH179" s="538"/>
      <c r="DI179" s="538"/>
      <c r="DJ179" s="538"/>
      <c r="DK179" s="538"/>
      <c r="DL179" s="538"/>
      <c r="DM179" s="538"/>
      <c r="DN179" s="538"/>
      <c r="DO179" s="538"/>
      <c r="DP179" s="538"/>
      <c r="DQ179" s="538"/>
      <c r="DR179" s="538"/>
      <c r="DS179" s="538"/>
      <c r="DT179" s="538"/>
      <c r="DU179" s="538"/>
      <c r="DV179" s="538"/>
      <c r="DW179" s="538"/>
      <c r="DX179" s="538"/>
      <c r="DY179" s="538"/>
      <c r="DZ179" s="538"/>
      <c r="EA179" s="538"/>
      <c r="EB179" s="538"/>
      <c r="EC179" s="538"/>
      <c r="ED179" s="538"/>
      <c r="EE179" s="538"/>
      <c r="EF179" s="538"/>
      <c r="EG179" s="538"/>
      <c r="EH179" s="538"/>
      <c r="EI179" s="538"/>
      <c r="EJ179" s="538"/>
      <c r="EK179" s="538"/>
      <c r="EL179" s="538"/>
      <c r="EM179" s="538"/>
      <c r="EN179" s="538"/>
      <c r="EO179" s="538"/>
      <c r="EP179" s="538"/>
      <c r="EQ179" s="538"/>
      <c r="ER179" s="538"/>
      <c r="ES179" s="538"/>
      <c r="ET179" s="538"/>
      <c r="EU179" s="538"/>
      <c r="EV179" s="538"/>
      <c r="EW179" s="538"/>
      <c r="EX179" s="559"/>
      <c r="EY179" s="559"/>
      <c r="EZ179" s="559"/>
      <c r="FA179" s="559"/>
      <c r="FB179" s="559"/>
      <c r="FC179" s="559"/>
      <c r="FD179" s="559"/>
      <c r="FE179" s="559"/>
      <c r="FF179" s="559"/>
      <c r="FG179" s="559"/>
      <c r="FH179" s="559"/>
      <c r="FI179" s="559"/>
      <c r="FJ179" s="559"/>
      <c r="FK179" s="559"/>
      <c r="FL179" s="559"/>
      <c r="FM179" s="559"/>
      <c r="FN179" s="559"/>
      <c r="FO179" s="559"/>
      <c r="FP179" s="559"/>
      <c r="FQ179" s="559"/>
      <c r="FR179" s="559"/>
      <c r="FS179" s="559"/>
      <c r="FT179" s="559"/>
      <c r="FU179" s="559"/>
      <c r="FV179" s="559"/>
      <c r="FW179" s="559"/>
      <c r="FX179" s="559"/>
      <c r="FY179" s="559"/>
      <c r="FZ179" s="559"/>
      <c r="GA179" s="559"/>
      <c r="GB179" s="559"/>
      <c r="GC179" s="559"/>
      <c r="GD179" s="559"/>
      <c r="GE179" s="559"/>
      <c r="GF179" s="559"/>
      <c r="GG179" s="559"/>
      <c r="GH179" s="559"/>
    </row>
    <row r="180">
      <c r="A180" s="538"/>
      <c r="B180" s="156"/>
      <c r="C180" s="444"/>
      <c r="D180" s="614"/>
      <c r="E180" s="68"/>
      <c r="F180" s="644"/>
      <c r="G180" s="644"/>
      <c r="H180" s="627"/>
      <c r="I180" s="622" t="s">
        <v>365</v>
      </c>
      <c r="J180" s="607"/>
      <c r="K180" s="641"/>
      <c r="L180" s="628"/>
      <c r="M180" s="626"/>
      <c r="N180" s="619"/>
      <c r="O180" s="560"/>
      <c r="P180" s="47"/>
      <c r="Q180" s="47"/>
      <c r="S180" s="572"/>
      <c r="U180" s="573"/>
      <c r="V180" s="574"/>
      <c r="W180" s="618"/>
      <c r="X180" s="576">
        <v>0.0</v>
      </c>
      <c r="Y180" s="630">
        <v>0.0</v>
      </c>
      <c r="Z180" s="630" t="s">
        <v>365</v>
      </c>
      <c r="AA180" s="631" t="b">
        <v>0</v>
      </c>
      <c r="AB180" s="631"/>
      <c r="AC180" s="576"/>
      <c r="AD180" s="479">
        <v>0.0</v>
      </c>
      <c r="AE180" s="632"/>
      <c r="AF180" s="582" t="s">
        <v>365</v>
      </c>
      <c r="AG180" s="583"/>
      <c r="AH180" s="584"/>
      <c r="AI180" s="583"/>
      <c r="AJ180" s="585"/>
      <c r="AK180" s="583"/>
      <c r="AL180" s="584"/>
      <c r="AM180" s="583"/>
      <c r="AN180" s="585"/>
      <c r="AO180" s="583"/>
      <c r="AP180" s="584"/>
      <c r="AQ180" s="583"/>
      <c r="AR180" s="585"/>
      <c r="AS180" s="583"/>
      <c r="AT180" s="584"/>
      <c r="AU180" s="583"/>
      <c r="AV180" s="585"/>
      <c r="AW180" s="583"/>
      <c r="AX180" s="584"/>
      <c r="AY180" s="583"/>
      <c r="AZ180" s="585"/>
      <c r="BA180" s="583"/>
      <c r="BB180" s="584"/>
      <c r="BC180" s="583"/>
      <c r="BD180" s="585"/>
      <c r="BE180" s="583"/>
      <c r="BF180" s="584"/>
      <c r="BG180" s="583"/>
      <c r="BH180" s="585"/>
      <c r="BI180" s="583"/>
      <c r="BJ180" s="584"/>
      <c r="BK180" s="583"/>
      <c r="BL180" s="585"/>
      <c r="BM180" s="583"/>
      <c r="BN180" s="584"/>
      <c r="BO180" s="583"/>
      <c r="BP180" s="585"/>
      <c r="BQ180" s="583"/>
      <c r="BR180" s="584"/>
      <c r="BS180" s="583"/>
      <c r="BT180" s="586"/>
      <c r="BU180" s="540"/>
      <c r="BV180" s="540"/>
      <c r="BW180" s="540"/>
      <c r="BX180" s="538"/>
      <c r="BY180" s="538"/>
      <c r="BZ180" s="592"/>
      <c r="CA180" s="633"/>
      <c r="CB180" s="592" t="s">
        <v>365</v>
      </c>
      <c r="CC180" s="592">
        <v>0.0</v>
      </c>
      <c r="CD180" s="592" t="s">
        <v>365</v>
      </c>
      <c r="CE180" s="592">
        <v>0.0</v>
      </c>
      <c r="CF180" s="592"/>
      <c r="CG180" s="592">
        <v>0.0</v>
      </c>
      <c r="CH180" s="592"/>
      <c r="CI180" s="633"/>
      <c r="CJ180" s="592">
        <v>0.0</v>
      </c>
      <c r="CK180" s="479" t="s">
        <v>365</v>
      </c>
      <c r="CL180" s="592"/>
      <c r="CM180" s="593"/>
      <c r="CN180" s="538"/>
      <c r="CO180" s="538"/>
      <c r="CP180" s="538"/>
      <c r="CQ180" s="538"/>
      <c r="CR180" s="538"/>
      <c r="CS180" s="538"/>
      <c r="CT180" s="538"/>
      <c r="CU180" s="538"/>
      <c r="CV180" s="538"/>
      <c r="CW180" s="538"/>
      <c r="CX180" s="538"/>
      <c r="CY180" s="538"/>
      <c r="CZ180" s="538"/>
      <c r="DA180" s="538"/>
      <c r="DB180" s="538"/>
      <c r="DC180" s="538"/>
      <c r="DD180" s="538"/>
      <c r="DE180" s="538"/>
      <c r="DF180" s="538"/>
      <c r="DG180" s="538"/>
      <c r="DH180" s="538"/>
      <c r="DI180" s="538"/>
      <c r="DJ180" s="538"/>
      <c r="DK180" s="538"/>
      <c r="DL180" s="538"/>
      <c r="DM180" s="538"/>
      <c r="DN180" s="538"/>
      <c r="DO180" s="538"/>
      <c r="DP180" s="538"/>
      <c r="DQ180" s="538"/>
      <c r="DR180" s="538"/>
      <c r="DS180" s="538"/>
      <c r="DT180" s="538"/>
      <c r="DU180" s="538"/>
      <c r="DV180" s="538"/>
      <c r="DW180" s="538"/>
      <c r="DX180" s="538"/>
      <c r="DY180" s="538"/>
      <c r="DZ180" s="538"/>
      <c r="EA180" s="538"/>
      <c r="EB180" s="538"/>
      <c r="EC180" s="538"/>
      <c r="ED180" s="538"/>
      <c r="EE180" s="538"/>
      <c r="EF180" s="538"/>
      <c r="EG180" s="538"/>
      <c r="EH180" s="538"/>
      <c r="EI180" s="538"/>
      <c r="EJ180" s="538"/>
      <c r="EK180" s="538"/>
      <c r="EL180" s="538"/>
      <c r="EM180" s="538"/>
      <c r="EN180" s="538"/>
      <c r="EO180" s="538"/>
      <c r="EP180" s="538"/>
      <c r="EQ180" s="538"/>
      <c r="ER180" s="538"/>
      <c r="ES180" s="538"/>
      <c r="ET180" s="538"/>
      <c r="EU180" s="538"/>
      <c r="EV180" s="538"/>
      <c r="EW180" s="538"/>
      <c r="EX180" s="559"/>
      <c r="EY180" s="559"/>
      <c r="EZ180" s="559"/>
      <c r="FA180" s="559"/>
      <c r="FB180" s="559"/>
      <c r="FC180" s="559"/>
      <c r="FD180" s="559"/>
      <c r="FE180" s="559"/>
      <c r="FF180" s="559"/>
      <c r="FG180" s="559"/>
      <c r="FH180" s="559"/>
      <c r="FI180" s="559"/>
      <c r="FJ180" s="559"/>
      <c r="FK180" s="559"/>
      <c r="FL180" s="559"/>
      <c r="FM180" s="559"/>
      <c r="FN180" s="559"/>
      <c r="FO180" s="559"/>
      <c r="FP180" s="559"/>
      <c r="FQ180" s="559"/>
      <c r="FR180" s="559"/>
      <c r="FS180" s="559"/>
      <c r="FT180" s="559"/>
      <c r="FU180" s="559"/>
      <c r="FV180" s="559"/>
      <c r="FW180" s="559"/>
      <c r="FX180" s="559"/>
      <c r="FY180" s="559"/>
      <c r="FZ180" s="559"/>
      <c r="GA180" s="559"/>
      <c r="GB180" s="559"/>
      <c r="GC180" s="559"/>
      <c r="GD180" s="559"/>
      <c r="GE180" s="559"/>
      <c r="GF180" s="559"/>
      <c r="GG180" s="559"/>
      <c r="GH180" s="559"/>
    </row>
    <row r="181">
      <c r="A181" s="538"/>
      <c r="B181" s="156"/>
      <c r="C181" s="444"/>
      <c r="D181" s="614"/>
      <c r="E181" s="66"/>
      <c r="F181" s="642"/>
      <c r="G181" s="642"/>
      <c r="H181" s="615"/>
      <c r="I181" s="616" t="s">
        <v>365</v>
      </c>
      <c r="J181" s="624"/>
      <c r="K181" s="643"/>
      <c r="L181" s="640"/>
      <c r="M181" s="625"/>
      <c r="N181" s="617"/>
      <c r="O181" s="134"/>
      <c r="P181" s="57"/>
      <c r="Q181" s="57"/>
      <c r="S181" s="605"/>
      <c r="U181" s="573"/>
      <c r="V181" s="574"/>
      <c r="W181" s="618"/>
      <c r="X181" s="576">
        <v>0.0</v>
      </c>
      <c r="Y181" s="630">
        <v>0.0</v>
      </c>
      <c r="Z181" s="630" t="s">
        <v>365</v>
      </c>
      <c r="AA181" s="631" t="b">
        <v>0</v>
      </c>
      <c r="AB181" s="631"/>
      <c r="AC181" s="576"/>
      <c r="AD181" s="479">
        <v>0.0</v>
      </c>
      <c r="AE181" s="632"/>
      <c r="AF181" s="582" t="s">
        <v>365</v>
      </c>
      <c r="AG181" s="583"/>
      <c r="AH181" s="584"/>
      <c r="AI181" s="583"/>
      <c r="AJ181" s="585"/>
      <c r="AK181" s="583"/>
      <c r="AL181" s="584"/>
      <c r="AM181" s="583"/>
      <c r="AN181" s="585"/>
      <c r="AO181" s="583"/>
      <c r="AP181" s="584"/>
      <c r="AQ181" s="583"/>
      <c r="AR181" s="585"/>
      <c r="AS181" s="583"/>
      <c r="AT181" s="584"/>
      <c r="AU181" s="583"/>
      <c r="AV181" s="585"/>
      <c r="AW181" s="583"/>
      <c r="AX181" s="584"/>
      <c r="AY181" s="583"/>
      <c r="AZ181" s="585"/>
      <c r="BA181" s="583"/>
      <c r="BB181" s="584"/>
      <c r="BC181" s="583"/>
      <c r="BD181" s="585"/>
      <c r="BE181" s="583"/>
      <c r="BF181" s="584"/>
      <c r="BG181" s="583"/>
      <c r="BH181" s="585"/>
      <c r="BI181" s="583"/>
      <c r="BJ181" s="584"/>
      <c r="BK181" s="583"/>
      <c r="BL181" s="585"/>
      <c r="BM181" s="583"/>
      <c r="BN181" s="584"/>
      <c r="BO181" s="583"/>
      <c r="BP181" s="585"/>
      <c r="BQ181" s="583"/>
      <c r="BR181" s="584"/>
      <c r="BS181" s="583"/>
      <c r="BT181" s="586"/>
      <c r="BU181" s="540"/>
      <c r="BV181" s="540"/>
      <c r="BW181" s="540"/>
      <c r="BX181" s="538"/>
      <c r="BY181" s="538"/>
      <c r="BZ181" s="592"/>
      <c r="CA181" s="633"/>
      <c r="CB181" s="592" t="s">
        <v>365</v>
      </c>
      <c r="CC181" s="592">
        <v>0.0</v>
      </c>
      <c r="CD181" s="592" t="s">
        <v>365</v>
      </c>
      <c r="CE181" s="592">
        <v>0.0</v>
      </c>
      <c r="CF181" s="592"/>
      <c r="CG181" s="592">
        <v>0.0</v>
      </c>
      <c r="CH181" s="592"/>
      <c r="CI181" s="633"/>
      <c r="CJ181" s="592">
        <v>0.0</v>
      </c>
      <c r="CK181" s="479" t="s">
        <v>365</v>
      </c>
      <c r="CL181" s="592"/>
      <c r="CM181" s="593"/>
      <c r="CN181" s="538"/>
      <c r="CO181" s="538"/>
      <c r="CP181" s="538"/>
      <c r="CQ181" s="538"/>
      <c r="CR181" s="538"/>
      <c r="CS181" s="538"/>
      <c r="CT181" s="538"/>
      <c r="CU181" s="538"/>
      <c r="CV181" s="538"/>
      <c r="CW181" s="538"/>
      <c r="CX181" s="538"/>
      <c r="CY181" s="538"/>
      <c r="CZ181" s="538"/>
      <c r="DA181" s="538"/>
      <c r="DB181" s="538"/>
      <c r="DC181" s="538"/>
      <c r="DD181" s="538"/>
      <c r="DE181" s="538"/>
      <c r="DF181" s="538"/>
      <c r="DG181" s="538"/>
      <c r="DH181" s="538"/>
      <c r="DI181" s="538"/>
      <c r="DJ181" s="538"/>
      <c r="DK181" s="538"/>
      <c r="DL181" s="538"/>
      <c r="DM181" s="538"/>
      <c r="DN181" s="538"/>
      <c r="DO181" s="538"/>
      <c r="DP181" s="538"/>
      <c r="DQ181" s="538"/>
      <c r="DR181" s="538"/>
      <c r="DS181" s="538"/>
      <c r="DT181" s="538"/>
      <c r="DU181" s="538"/>
      <c r="DV181" s="538"/>
      <c r="DW181" s="538"/>
      <c r="DX181" s="538"/>
      <c r="DY181" s="538"/>
      <c r="DZ181" s="538"/>
      <c r="EA181" s="538"/>
      <c r="EB181" s="538"/>
      <c r="EC181" s="538"/>
      <c r="ED181" s="538"/>
      <c r="EE181" s="538"/>
      <c r="EF181" s="538"/>
      <c r="EG181" s="538"/>
      <c r="EH181" s="538"/>
      <c r="EI181" s="538"/>
      <c r="EJ181" s="538"/>
      <c r="EK181" s="538"/>
      <c r="EL181" s="538"/>
      <c r="EM181" s="538"/>
      <c r="EN181" s="538"/>
      <c r="EO181" s="538"/>
      <c r="EP181" s="538"/>
      <c r="EQ181" s="538"/>
      <c r="ER181" s="538"/>
      <c r="ES181" s="538"/>
      <c r="ET181" s="538"/>
      <c r="EU181" s="538"/>
      <c r="EV181" s="538"/>
      <c r="EW181" s="538"/>
      <c r="EX181" s="559"/>
      <c r="EY181" s="559"/>
      <c r="EZ181" s="559"/>
      <c r="FA181" s="559"/>
      <c r="FB181" s="559"/>
      <c r="FC181" s="559"/>
      <c r="FD181" s="559"/>
      <c r="FE181" s="559"/>
      <c r="FF181" s="559"/>
      <c r="FG181" s="559"/>
      <c r="FH181" s="559"/>
      <c r="FI181" s="559"/>
      <c r="FJ181" s="559"/>
      <c r="FK181" s="559"/>
      <c r="FL181" s="559"/>
      <c r="FM181" s="559"/>
      <c r="FN181" s="559"/>
      <c r="FO181" s="559"/>
      <c r="FP181" s="559"/>
      <c r="FQ181" s="559"/>
      <c r="FR181" s="559"/>
      <c r="FS181" s="559"/>
      <c r="FT181" s="559"/>
      <c r="FU181" s="559"/>
      <c r="FV181" s="559"/>
      <c r="FW181" s="559"/>
      <c r="FX181" s="559"/>
      <c r="FY181" s="559"/>
      <c r="FZ181" s="559"/>
      <c r="GA181" s="559"/>
      <c r="GB181" s="559"/>
      <c r="GC181" s="559"/>
      <c r="GD181" s="559"/>
      <c r="GE181" s="559"/>
      <c r="GF181" s="559"/>
      <c r="GG181" s="559"/>
      <c r="GH181" s="559"/>
    </row>
    <row r="182">
      <c r="A182" s="538"/>
      <c r="B182" s="156"/>
      <c r="C182" s="444"/>
      <c r="D182" s="614"/>
      <c r="E182" s="68"/>
      <c r="F182" s="644"/>
      <c r="G182" s="644"/>
      <c r="H182" s="627"/>
      <c r="I182" s="622" t="s">
        <v>365</v>
      </c>
      <c r="J182" s="607"/>
      <c r="K182" s="641"/>
      <c r="L182" s="628"/>
      <c r="M182" s="626"/>
      <c r="N182" s="619"/>
      <c r="O182" s="560"/>
      <c r="P182" s="47"/>
      <c r="Q182" s="47"/>
      <c r="S182" s="572"/>
      <c r="U182" s="573"/>
      <c r="V182" s="574"/>
      <c r="W182" s="618"/>
      <c r="X182" s="576">
        <v>0.0</v>
      </c>
      <c r="Y182" s="630">
        <v>0.0</v>
      </c>
      <c r="Z182" s="630" t="s">
        <v>365</v>
      </c>
      <c r="AA182" s="631" t="b">
        <v>0</v>
      </c>
      <c r="AB182" s="631"/>
      <c r="AC182" s="576"/>
      <c r="AD182" s="479">
        <v>0.0</v>
      </c>
      <c r="AE182" s="632"/>
      <c r="AF182" s="582" t="s">
        <v>365</v>
      </c>
      <c r="AG182" s="583"/>
      <c r="AH182" s="584"/>
      <c r="AI182" s="583"/>
      <c r="AJ182" s="585"/>
      <c r="AK182" s="583"/>
      <c r="AL182" s="584"/>
      <c r="AM182" s="583"/>
      <c r="AN182" s="585"/>
      <c r="AO182" s="583"/>
      <c r="AP182" s="584"/>
      <c r="AQ182" s="583"/>
      <c r="AR182" s="585"/>
      <c r="AS182" s="583"/>
      <c r="AT182" s="584"/>
      <c r="AU182" s="583"/>
      <c r="AV182" s="585"/>
      <c r="AW182" s="583"/>
      <c r="AX182" s="584"/>
      <c r="AY182" s="583"/>
      <c r="AZ182" s="585"/>
      <c r="BA182" s="583"/>
      <c r="BB182" s="584"/>
      <c r="BC182" s="583"/>
      <c r="BD182" s="585"/>
      <c r="BE182" s="583"/>
      <c r="BF182" s="584"/>
      <c r="BG182" s="583"/>
      <c r="BH182" s="585"/>
      <c r="BI182" s="583"/>
      <c r="BJ182" s="584"/>
      <c r="BK182" s="583"/>
      <c r="BL182" s="585"/>
      <c r="BM182" s="583"/>
      <c r="BN182" s="584"/>
      <c r="BO182" s="583"/>
      <c r="BP182" s="585"/>
      <c r="BQ182" s="583"/>
      <c r="BR182" s="584"/>
      <c r="BS182" s="583"/>
      <c r="BT182" s="586"/>
      <c r="BU182" s="540"/>
      <c r="BV182" s="540"/>
      <c r="BW182" s="540"/>
      <c r="BX182" s="538"/>
      <c r="BY182" s="538"/>
      <c r="BZ182" s="592"/>
      <c r="CA182" s="633"/>
      <c r="CB182" s="592" t="s">
        <v>365</v>
      </c>
      <c r="CC182" s="592">
        <v>0.0</v>
      </c>
      <c r="CD182" s="592" t="s">
        <v>365</v>
      </c>
      <c r="CE182" s="592">
        <v>0.0</v>
      </c>
      <c r="CF182" s="592"/>
      <c r="CG182" s="592">
        <v>0.0</v>
      </c>
      <c r="CH182" s="592"/>
      <c r="CI182" s="633"/>
      <c r="CJ182" s="592">
        <v>0.0</v>
      </c>
      <c r="CK182" s="479" t="s">
        <v>365</v>
      </c>
      <c r="CL182" s="592"/>
      <c r="CM182" s="593"/>
      <c r="CN182" s="538"/>
      <c r="CO182" s="538"/>
      <c r="CP182" s="538"/>
      <c r="CQ182" s="538"/>
      <c r="CR182" s="538"/>
      <c r="CS182" s="538"/>
      <c r="CT182" s="538"/>
      <c r="CU182" s="538"/>
      <c r="CV182" s="538"/>
      <c r="CW182" s="538"/>
      <c r="CX182" s="538"/>
      <c r="CY182" s="538"/>
      <c r="CZ182" s="538"/>
      <c r="DA182" s="538"/>
      <c r="DB182" s="538"/>
      <c r="DC182" s="538"/>
      <c r="DD182" s="538"/>
      <c r="DE182" s="538"/>
      <c r="DF182" s="538"/>
      <c r="DG182" s="538"/>
      <c r="DH182" s="538"/>
      <c r="DI182" s="538"/>
      <c r="DJ182" s="538"/>
      <c r="DK182" s="538"/>
      <c r="DL182" s="538"/>
      <c r="DM182" s="538"/>
      <c r="DN182" s="538"/>
      <c r="DO182" s="538"/>
      <c r="DP182" s="538"/>
      <c r="DQ182" s="538"/>
      <c r="DR182" s="538"/>
      <c r="DS182" s="538"/>
      <c r="DT182" s="538"/>
      <c r="DU182" s="538"/>
      <c r="DV182" s="538"/>
      <c r="DW182" s="538"/>
      <c r="DX182" s="538"/>
      <c r="DY182" s="538"/>
      <c r="DZ182" s="538"/>
      <c r="EA182" s="538"/>
      <c r="EB182" s="538"/>
      <c r="EC182" s="538"/>
      <c r="ED182" s="538"/>
      <c r="EE182" s="538"/>
      <c r="EF182" s="538"/>
      <c r="EG182" s="538"/>
      <c r="EH182" s="538"/>
      <c r="EI182" s="538"/>
      <c r="EJ182" s="538"/>
      <c r="EK182" s="538"/>
      <c r="EL182" s="538"/>
      <c r="EM182" s="538"/>
      <c r="EN182" s="538"/>
      <c r="EO182" s="538"/>
      <c r="EP182" s="538"/>
      <c r="EQ182" s="538"/>
      <c r="ER182" s="538"/>
      <c r="ES182" s="538"/>
      <c r="ET182" s="538"/>
      <c r="EU182" s="538"/>
      <c r="EV182" s="538"/>
      <c r="EW182" s="538"/>
      <c r="EX182" s="559"/>
      <c r="EY182" s="559"/>
      <c r="EZ182" s="559"/>
      <c r="FA182" s="559"/>
      <c r="FB182" s="559"/>
      <c r="FC182" s="559"/>
      <c r="FD182" s="559"/>
      <c r="FE182" s="559"/>
      <c r="FF182" s="559"/>
      <c r="FG182" s="559"/>
      <c r="FH182" s="559"/>
      <c r="FI182" s="559"/>
      <c r="FJ182" s="559"/>
      <c r="FK182" s="559"/>
      <c r="FL182" s="559"/>
      <c r="FM182" s="559"/>
      <c r="FN182" s="559"/>
      <c r="FO182" s="559"/>
      <c r="FP182" s="559"/>
      <c r="FQ182" s="559"/>
      <c r="FR182" s="559"/>
      <c r="FS182" s="559"/>
      <c r="FT182" s="559"/>
      <c r="FU182" s="559"/>
      <c r="FV182" s="559"/>
      <c r="FW182" s="559"/>
      <c r="FX182" s="559"/>
      <c r="FY182" s="559"/>
      <c r="FZ182" s="559"/>
      <c r="GA182" s="559"/>
      <c r="GB182" s="559"/>
      <c r="GC182" s="559"/>
      <c r="GD182" s="559"/>
      <c r="GE182" s="559"/>
      <c r="GF182" s="559"/>
      <c r="GG182" s="559"/>
      <c r="GH182" s="559"/>
    </row>
    <row r="183">
      <c r="A183" s="538"/>
      <c r="B183" s="156"/>
      <c r="C183" s="444"/>
      <c r="D183" s="614"/>
      <c r="E183" s="66"/>
      <c r="F183" s="642"/>
      <c r="G183" s="642"/>
      <c r="H183" s="615"/>
      <c r="I183" s="616" t="s">
        <v>365</v>
      </c>
      <c r="J183" s="624"/>
      <c r="K183" s="643"/>
      <c r="L183" s="640"/>
      <c r="M183" s="625"/>
      <c r="N183" s="617"/>
      <c r="O183" s="134"/>
      <c r="P183" s="57"/>
      <c r="Q183" s="57"/>
      <c r="S183" s="605"/>
      <c r="U183" s="573"/>
      <c r="V183" s="574"/>
      <c r="W183" s="618"/>
      <c r="X183" s="576">
        <v>0.0</v>
      </c>
      <c r="Y183" s="630">
        <v>0.0</v>
      </c>
      <c r="Z183" s="630" t="s">
        <v>365</v>
      </c>
      <c r="AA183" s="631" t="b">
        <v>0</v>
      </c>
      <c r="AB183" s="631"/>
      <c r="AC183" s="576"/>
      <c r="AD183" s="479">
        <v>0.0</v>
      </c>
      <c r="AE183" s="632"/>
      <c r="AF183" s="582" t="s">
        <v>365</v>
      </c>
      <c r="AG183" s="583"/>
      <c r="AH183" s="584"/>
      <c r="AI183" s="583"/>
      <c r="AJ183" s="585"/>
      <c r="AK183" s="583"/>
      <c r="AL183" s="584"/>
      <c r="AM183" s="583"/>
      <c r="AN183" s="585"/>
      <c r="AO183" s="583"/>
      <c r="AP183" s="584"/>
      <c r="AQ183" s="583"/>
      <c r="AR183" s="585"/>
      <c r="AS183" s="583"/>
      <c r="AT183" s="584"/>
      <c r="AU183" s="583"/>
      <c r="AV183" s="585"/>
      <c r="AW183" s="583"/>
      <c r="AX183" s="584"/>
      <c r="AY183" s="583"/>
      <c r="AZ183" s="585"/>
      <c r="BA183" s="583"/>
      <c r="BB183" s="584"/>
      <c r="BC183" s="583"/>
      <c r="BD183" s="585"/>
      <c r="BE183" s="583"/>
      <c r="BF183" s="584"/>
      <c r="BG183" s="583"/>
      <c r="BH183" s="585"/>
      <c r="BI183" s="583"/>
      <c r="BJ183" s="584"/>
      <c r="BK183" s="583"/>
      <c r="BL183" s="585"/>
      <c r="BM183" s="583"/>
      <c r="BN183" s="584"/>
      <c r="BO183" s="583"/>
      <c r="BP183" s="585"/>
      <c r="BQ183" s="583"/>
      <c r="BR183" s="584"/>
      <c r="BS183" s="583"/>
      <c r="BT183" s="586"/>
      <c r="BU183" s="540"/>
      <c r="BV183" s="540"/>
      <c r="BW183" s="540"/>
      <c r="BX183" s="538"/>
      <c r="BY183" s="538"/>
      <c r="BZ183" s="592"/>
      <c r="CA183" s="633"/>
      <c r="CB183" s="592" t="s">
        <v>365</v>
      </c>
      <c r="CC183" s="592">
        <v>0.0</v>
      </c>
      <c r="CD183" s="592" t="s">
        <v>365</v>
      </c>
      <c r="CE183" s="592">
        <v>0.0</v>
      </c>
      <c r="CF183" s="592"/>
      <c r="CG183" s="592">
        <v>0.0</v>
      </c>
      <c r="CH183" s="592"/>
      <c r="CI183" s="633"/>
      <c r="CJ183" s="592">
        <v>0.0</v>
      </c>
      <c r="CK183" s="479" t="s">
        <v>365</v>
      </c>
      <c r="CL183" s="592"/>
      <c r="CM183" s="593"/>
      <c r="CN183" s="538"/>
      <c r="CO183" s="538"/>
      <c r="CP183" s="538"/>
      <c r="CQ183" s="538"/>
      <c r="CR183" s="538"/>
      <c r="CS183" s="538"/>
      <c r="CT183" s="538"/>
      <c r="CU183" s="538"/>
      <c r="CV183" s="538"/>
      <c r="CW183" s="538"/>
      <c r="CX183" s="538"/>
      <c r="CY183" s="538"/>
      <c r="CZ183" s="538"/>
      <c r="DA183" s="538"/>
      <c r="DB183" s="538"/>
      <c r="DC183" s="538"/>
      <c r="DD183" s="538"/>
      <c r="DE183" s="538"/>
      <c r="DF183" s="538"/>
      <c r="DG183" s="538"/>
      <c r="DH183" s="538"/>
      <c r="DI183" s="538"/>
      <c r="DJ183" s="538"/>
      <c r="DK183" s="538"/>
      <c r="DL183" s="538"/>
      <c r="DM183" s="538"/>
      <c r="DN183" s="538"/>
      <c r="DO183" s="538"/>
      <c r="DP183" s="538"/>
      <c r="DQ183" s="538"/>
      <c r="DR183" s="538"/>
      <c r="DS183" s="538"/>
      <c r="DT183" s="538"/>
      <c r="DU183" s="538"/>
      <c r="DV183" s="538"/>
      <c r="DW183" s="538"/>
      <c r="DX183" s="538"/>
      <c r="DY183" s="538"/>
      <c r="DZ183" s="538"/>
      <c r="EA183" s="538"/>
      <c r="EB183" s="538"/>
      <c r="EC183" s="538"/>
      <c r="ED183" s="538"/>
      <c r="EE183" s="538"/>
      <c r="EF183" s="538"/>
      <c r="EG183" s="538"/>
      <c r="EH183" s="538"/>
      <c r="EI183" s="538"/>
      <c r="EJ183" s="538"/>
      <c r="EK183" s="538"/>
      <c r="EL183" s="538"/>
      <c r="EM183" s="538"/>
      <c r="EN183" s="538"/>
      <c r="EO183" s="538"/>
      <c r="EP183" s="538"/>
      <c r="EQ183" s="538"/>
      <c r="ER183" s="538"/>
      <c r="ES183" s="538"/>
      <c r="ET183" s="538"/>
      <c r="EU183" s="538"/>
      <c r="EV183" s="538"/>
      <c r="EW183" s="538"/>
      <c r="EX183" s="559"/>
      <c r="EY183" s="559"/>
      <c r="EZ183" s="559"/>
      <c r="FA183" s="559"/>
      <c r="FB183" s="559"/>
      <c r="FC183" s="559"/>
      <c r="FD183" s="559"/>
      <c r="FE183" s="559"/>
      <c r="FF183" s="559"/>
      <c r="FG183" s="559"/>
      <c r="FH183" s="559"/>
      <c r="FI183" s="559"/>
      <c r="FJ183" s="559"/>
      <c r="FK183" s="559"/>
      <c r="FL183" s="559"/>
      <c r="FM183" s="559"/>
      <c r="FN183" s="559"/>
      <c r="FO183" s="559"/>
      <c r="FP183" s="559"/>
      <c r="FQ183" s="559"/>
      <c r="FR183" s="559"/>
      <c r="FS183" s="559"/>
      <c r="FT183" s="559"/>
      <c r="FU183" s="559"/>
      <c r="FV183" s="559"/>
      <c r="FW183" s="559"/>
      <c r="FX183" s="559"/>
      <c r="FY183" s="559"/>
      <c r="FZ183" s="559"/>
      <c r="GA183" s="559"/>
      <c r="GB183" s="559"/>
      <c r="GC183" s="559"/>
      <c r="GD183" s="559"/>
      <c r="GE183" s="559"/>
      <c r="GF183" s="559"/>
      <c r="GG183" s="559"/>
      <c r="GH183" s="559"/>
    </row>
    <row r="184">
      <c r="A184" s="538"/>
      <c r="B184" s="156"/>
      <c r="C184" s="444"/>
      <c r="D184" s="614"/>
      <c r="E184" s="68"/>
      <c r="F184" s="644"/>
      <c r="G184" s="644"/>
      <c r="H184" s="627"/>
      <c r="I184" s="622" t="s">
        <v>365</v>
      </c>
      <c r="J184" s="607"/>
      <c r="K184" s="641"/>
      <c r="L184" s="628"/>
      <c r="M184" s="626"/>
      <c r="N184" s="619"/>
      <c r="O184" s="560"/>
      <c r="P184" s="47"/>
      <c r="Q184" s="47"/>
      <c r="S184" s="572"/>
      <c r="U184" s="573"/>
      <c r="V184" s="574"/>
      <c r="W184" s="618"/>
      <c r="X184" s="576">
        <v>0.0</v>
      </c>
      <c r="Y184" s="630">
        <v>0.0</v>
      </c>
      <c r="Z184" s="630" t="s">
        <v>365</v>
      </c>
      <c r="AA184" s="631" t="b">
        <v>0</v>
      </c>
      <c r="AB184" s="631"/>
      <c r="AC184" s="576"/>
      <c r="AD184" s="479">
        <v>0.0</v>
      </c>
      <c r="AE184" s="632"/>
      <c r="AF184" s="582" t="s">
        <v>365</v>
      </c>
      <c r="AG184" s="583"/>
      <c r="AH184" s="584"/>
      <c r="AI184" s="583"/>
      <c r="AJ184" s="585"/>
      <c r="AK184" s="583"/>
      <c r="AL184" s="584"/>
      <c r="AM184" s="583"/>
      <c r="AN184" s="585"/>
      <c r="AO184" s="583"/>
      <c r="AP184" s="584"/>
      <c r="AQ184" s="583"/>
      <c r="AR184" s="585"/>
      <c r="AS184" s="583"/>
      <c r="AT184" s="584"/>
      <c r="AU184" s="583"/>
      <c r="AV184" s="585"/>
      <c r="AW184" s="583"/>
      <c r="AX184" s="584"/>
      <c r="AY184" s="583"/>
      <c r="AZ184" s="585"/>
      <c r="BA184" s="583"/>
      <c r="BB184" s="584"/>
      <c r="BC184" s="583"/>
      <c r="BD184" s="585"/>
      <c r="BE184" s="583"/>
      <c r="BF184" s="584"/>
      <c r="BG184" s="583"/>
      <c r="BH184" s="585"/>
      <c r="BI184" s="583"/>
      <c r="BJ184" s="584"/>
      <c r="BK184" s="583"/>
      <c r="BL184" s="585"/>
      <c r="BM184" s="583"/>
      <c r="BN184" s="584"/>
      <c r="BO184" s="583"/>
      <c r="BP184" s="585"/>
      <c r="BQ184" s="583"/>
      <c r="BR184" s="584"/>
      <c r="BS184" s="583"/>
      <c r="BT184" s="586"/>
      <c r="BU184" s="540"/>
      <c r="BV184" s="540"/>
      <c r="BW184" s="540"/>
      <c r="BX184" s="538"/>
      <c r="BY184" s="538"/>
      <c r="BZ184" s="592"/>
      <c r="CA184" s="633"/>
      <c r="CB184" s="592" t="s">
        <v>365</v>
      </c>
      <c r="CC184" s="592">
        <v>0.0</v>
      </c>
      <c r="CD184" s="592" t="s">
        <v>365</v>
      </c>
      <c r="CE184" s="592">
        <v>0.0</v>
      </c>
      <c r="CF184" s="592"/>
      <c r="CG184" s="592">
        <v>0.0</v>
      </c>
      <c r="CH184" s="592"/>
      <c r="CI184" s="633"/>
      <c r="CJ184" s="592">
        <v>0.0</v>
      </c>
      <c r="CK184" s="479" t="s">
        <v>365</v>
      </c>
      <c r="CL184" s="592"/>
      <c r="CM184" s="593"/>
      <c r="CN184" s="538"/>
      <c r="CO184" s="538"/>
      <c r="CP184" s="538"/>
      <c r="CQ184" s="538"/>
      <c r="CR184" s="538"/>
      <c r="CS184" s="538"/>
      <c r="CT184" s="538"/>
      <c r="CU184" s="538"/>
      <c r="CV184" s="538"/>
      <c r="CW184" s="538"/>
      <c r="CX184" s="538"/>
      <c r="CY184" s="538"/>
      <c r="CZ184" s="538"/>
      <c r="DA184" s="538"/>
      <c r="DB184" s="538"/>
      <c r="DC184" s="538"/>
      <c r="DD184" s="538"/>
      <c r="DE184" s="538"/>
      <c r="DF184" s="538"/>
      <c r="DG184" s="538"/>
      <c r="DH184" s="538"/>
      <c r="DI184" s="538"/>
      <c r="DJ184" s="538"/>
      <c r="DK184" s="538"/>
      <c r="DL184" s="538"/>
      <c r="DM184" s="538"/>
      <c r="DN184" s="538"/>
      <c r="DO184" s="538"/>
      <c r="DP184" s="538"/>
      <c r="DQ184" s="538"/>
      <c r="DR184" s="538"/>
      <c r="DS184" s="538"/>
      <c r="DT184" s="538"/>
      <c r="DU184" s="538"/>
      <c r="DV184" s="538"/>
      <c r="DW184" s="538"/>
      <c r="DX184" s="538"/>
      <c r="DY184" s="538"/>
      <c r="DZ184" s="538"/>
      <c r="EA184" s="538"/>
      <c r="EB184" s="538"/>
      <c r="EC184" s="538"/>
      <c r="ED184" s="538"/>
      <c r="EE184" s="538"/>
      <c r="EF184" s="538"/>
      <c r="EG184" s="538"/>
      <c r="EH184" s="538"/>
      <c r="EI184" s="538"/>
      <c r="EJ184" s="538"/>
      <c r="EK184" s="538"/>
      <c r="EL184" s="538"/>
      <c r="EM184" s="538"/>
      <c r="EN184" s="538"/>
      <c r="EO184" s="538"/>
      <c r="EP184" s="538"/>
      <c r="EQ184" s="538"/>
      <c r="ER184" s="538"/>
      <c r="ES184" s="538"/>
      <c r="ET184" s="538"/>
      <c r="EU184" s="538"/>
      <c r="EV184" s="538"/>
      <c r="EW184" s="538"/>
      <c r="EX184" s="559"/>
      <c r="EY184" s="559"/>
      <c r="EZ184" s="559"/>
      <c r="FA184" s="559"/>
      <c r="FB184" s="559"/>
      <c r="FC184" s="559"/>
      <c r="FD184" s="559"/>
      <c r="FE184" s="559"/>
      <c r="FF184" s="559"/>
      <c r="FG184" s="559"/>
      <c r="FH184" s="559"/>
      <c r="FI184" s="559"/>
      <c r="FJ184" s="559"/>
      <c r="FK184" s="559"/>
      <c r="FL184" s="559"/>
      <c r="FM184" s="559"/>
      <c r="FN184" s="559"/>
      <c r="FO184" s="559"/>
      <c r="FP184" s="559"/>
      <c r="FQ184" s="559"/>
      <c r="FR184" s="559"/>
      <c r="FS184" s="559"/>
      <c r="FT184" s="559"/>
      <c r="FU184" s="559"/>
      <c r="FV184" s="559"/>
      <c r="FW184" s="559"/>
      <c r="FX184" s="559"/>
      <c r="FY184" s="559"/>
      <c r="FZ184" s="559"/>
      <c r="GA184" s="559"/>
      <c r="GB184" s="559"/>
      <c r="GC184" s="559"/>
      <c r="GD184" s="559"/>
      <c r="GE184" s="559"/>
      <c r="GF184" s="559"/>
      <c r="GG184" s="559"/>
      <c r="GH184" s="559"/>
    </row>
    <row r="185">
      <c r="A185" s="538"/>
      <c r="B185" s="156"/>
      <c r="C185" s="444"/>
      <c r="D185" s="614"/>
      <c r="E185" s="66"/>
      <c r="F185" s="642"/>
      <c r="G185" s="642"/>
      <c r="H185" s="615"/>
      <c r="I185" s="616" t="s">
        <v>365</v>
      </c>
      <c r="J185" s="624"/>
      <c r="K185" s="643"/>
      <c r="L185" s="640"/>
      <c r="M185" s="625"/>
      <c r="N185" s="617"/>
      <c r="O185" s="134"/>
      <c r="P185" s="57"/>
      <c r="Q185" s="57"/>
      <c r="S185" s="605"/>
      <c r="U185" s="573"/>
      <c r="V185" s="574"/>
      <c r="W185" s="618"/>
      <c r="X185" s="576">
        <v>0.0</v>
      </c>
      <c r="Y185" s="630">
        <v>0.0</v>
      </c>
      <c r="Z185" s="630" t="s">
        <v>365</v>
      </c>
      <c r="AA185" s="631" t="b">
        <v>0</v>
      </c>
      <c r="AB185" s="631"/>
      <c r="AC185" s="576"/>
      <c r="AD185" s="479">
        <v>0.0</v>
      </c>
      <c r="AE185" s="632"/>
      <c r="AF185" s="582" t="s">
        <v>365</v>
      </c>
      <c r="AG185" s="583"/>
      <c r="AH185" s="584"/>
      <c r="AI185" s="583"/>
      <c r="AJ185" s="585"/>
      <c r="AK185" s="583"/>
      <c r="AL185" s="584"/>
      <c r="AM185" s="583"/>
      <c r="AN185" s="585"/>
      <c r="AO185" s="583"/>
      <c r="AP185" s="584"/>
      <c r="AQ185" s="583"/>
      <c r="AR185" s="585"/>
      <c r="AS185" s="583"/>
      <c r="AT185" s="584"/>
      <c r="AU185" s="583"/>
      <c r="AV185" s="585"/>
      <c r="AW185" s="583"/>
      <c r="AX185" s="584"/>
      <c r="AY185" s="583"/>
      <c r="AZ185" s="585"/>
      <c r="BA185" s="583"/>
      <c r="BB185" s="584"/>
      <c r="BC185" s="583"/>
      <c r="BD185" s="585"/>
      <c r="BE185" s="583"/>
      <c r="BF185" s="584"/>
      <c r="BG185" s="583"/>
      <c r="BH185" s="585"/>
      <c r="BI185" s="583"/>
      <c r="BJ185" s="584"/>
      <c r="BK185" s="583"/>
      <c r="BL185" s="585"/>
      <c r="BM185" s="583"/>
      <c r="BN185" s="584"/>
      <c r="BO185" s="583"/>
      <c r="BP185" s="585"/>
      <c r="BQ185" s="583"/>
      <c r="BR185" s="584"/>
      <c r="BS185" s="583"/>
      <c r="BT185" s="586"/>
      <c r="BU185" s="540"/>
      <c r="BV185" s="540"/>
      <c r="BW185" s="540"/>
      <c r="BX185" s="538"/>
      <c r="BY185" s="538"/>
      <c r="BZ185" s="592"/>
      <c r="CA185" s="633"/>
      <c r="CB185" s="592" t="s">
        <v>365</v>
      </c>
      <c r="CC185" s="592">
        <v>0.0</v>
      </c>
      <c r="CD185" s="592" t="s">
        <v>365</v>
      </c>
      <c r="CE185" s="592">
        <v>0.0</v>
      </c>
      <c r="CF185" s="592"/>
      <c r="CG185" s="592">
        <v>0.0</v>
      </c>
      <c r="CH185" s="592"/>
      <c r="CI185" s="633"/>
      <c r="CJ185" s="592">
        <v>0.0</v>
      </c>
      <c r="CK185" s="479" t="s">
        <v>365</v>
      </c>
      <c r="CL185" s="592"/>
      <c r="CM185" s="593"/>
      <c r="CN185" s="538"/>
      <c r="CO185" s="538"/>
      <c r="CP185" s="538"/>
      <c r="CQ185" s="538"/>
      <c r="CR185" s="538"/>
      <c r="CS185" s="538"/>
      <c r="CT185" s="538"/>
      <c r="CU185" s="538"/>
      <c r="CV185" s="538"/>
      <c r="CW185" s="538"/>
      <c r="CX185" s="538"/>
      <c r="CY185" s="538"/>
      <c r="CZ185" s="538"/>
      <c r="DA185" s="538"/>
      <c r="DB185" s="538"/>
      <c r="DC185" s="538"/>
      <c r="DD185" s="538"/>
      <c r="DE185" s="538"/>
      <c r="DF185" s="538"/>
      <c r="DG185" s="538"/>
      <c r="DH185" s="538"/>
      <c r="DI185" s="538"/>
      <c r="DJ185" s="538"/>
      <c r="DK185" s="538"/>
      <c r="DL185" s="538"/>
      <c r="DM185" s="538"/>
      <c r="DN185" s="538"/>
      <c r="DO185" s="538"/>
      <c r="DP185" s="538"/>
      <c r="DQ185" s="538"/>
      <c r="DR185" s="538"/>
      <c r="DS185" s="538"/>
      <c r="DT185" s="538"/>
      <c r="DU185" s="538"/>
      <c r="DV185" s="538"/>
      <c r="DW185" s="538"/>
      <c r="DX185" s="538"/>
      <c r="DY185" s="538"/>
      <c r="DZ185" s="538"/>
      <c r="EA185" s="538"/>
      <c r="EB185" s="538"/>
      <c r="EC185" s="538"/>
      <c r="ED185" s="538"/>
      <c r="EE185" s="538"/>
      <c r="EF185" s="538"/>
      <c r="EG185" s="538"/>
      <c r="EH185" s="538"/>
      <c r="EI185" s="538"/>
      <c r="EJ185" s="538"/>
      <c r="EK185" s="538"/>
      <c r="EL185" s="538"/>
      <c r="EM185" s="538"/>
      <c r="EN185" s="538"/>
      <c r="EO185" s="538"/>
      <c r="EP185" s="538"/>
      <c r="EQ185" s="538"/>
      <c r="ER185" s="538"/>
      <c r="ES185" s="538"/>
      <c r="ET185" s="538"/>
      <c r="EU185" s="538"/>
      <c r="EV185" s="538"/>
      <c r="EW185" s="538"/>
      <c r="EX185" s="559"/>
      <c r="EY185" s="559"/>
      <c r="EZ185" s="559"/>
      <c r="FA185" s="559"/>
      <c r="FB185" s="559"/>
      <c r="FC185" s="559"/>
      <c r="FD185" s="559"/>
      <c r="FE185" s="559"/>
      <c r="FF185" s="559"/>
      <c r="FG185" s="559"/>
      <c r="FH185" s="559"/>
      <c r="FI185" s="559"/>
      <c r="FJ185" s="559"/>
      <c r="FK185" s="559"/>
      <c r="FL185" s="559"/>
      <c r="FM185" s="559"/>
      <c r="FN185" s="559"/>
      <c r="FO185" s="559"/>
      <c r="FP185" s="559"/>
      <c r="FQ185" s="559"/>
      <c r="FR185" s="559"/>
      <c r="FS185" s="559"/>
      <c r="FT185" s="559"/>
      <c r="FU185" s="559"/>
      <c r="FV185" s="559"/>
      <c r="FW185" s="559"/>
      <c r="FX185" s="559"/>
      <c r="FY185" s="559"/>
      <c r="FZ185" s="559"/>
      <c r="GA185" s="559"/>
      <c r="GB185" s="559"/>
      <c r="GC185" s="559"/>
      <c r="GD185" s="559"/>
      <c r="GE185" s="559"/>
      <c r="GF185" s="559"/>
      <c r="GG185" s="559"/>
      <c r="GH185" s="559"/>
    </row>
    <row r="186">
      <c r="A186" s="538"/>
      <c r="B186" s="156"/>
      <c r="C186" s="444"/>
      <c r="D186" s="614"/>
      <c r="E186" s="645"/>
      <c r="F186" s="646"/>
      <c r="G186" s="646"/>
      <c r="H186" s="647"/>
      <c r="I186" s="648" t="s">
        <v>365</v>
      </c>
      <c r="J186" s="649"/>
      <c r="K186" s="650"/>
      <c r="L186" s="651"/>
      <c r="M186" s="652"/>
      <c r="N186" s="653"/>
      <c r="O186" s="654"/>
      <c r="P186" s="655"/>
      <c r="Q186" s="655"/>
      <c r="S186" s="572"/>
      <c r="U186" s="573"/>
      <c r="V186" s="574"/>
      <c r="W186" s="618"/>
      <c r="X186" s="576">
        <v>0.0</v>
      </c>
      <c r="Y186" s="630">
        <v>0.0</v>
      </c>
      <c r="Z186" s="630" t="s">
        <v>365</v>
      </c>
      <c r="AA186" s="631" t="b">
        <v>0</v>
      </c>
      <c r="AB186" s="631"/>
      <c r="AC186" s="576"/>
      <c r="AD186" s="479">
        <v>0.0</v>
      </c>
      <c r="AE186" s="632"/>
      <c r="AF186" s="656" t="s">
        <v>365</v>
      </c>
      <c r="AG186" s="583"/>
      <c r="AH186" s="584"/>
      <c r="AI186" s="583"/>
      <c r="AJ186" s="585"/>
      <c r="AK186" s="583"/>
      <c r="AL186" s="584"/>
      <c r="AM186" s="583"/>
      <c r="AN186" s="585"/>
      <c r="AO186" s="583"/>
      <c r="AP186" s="584"/>
      <c r="AQ186" s="583"/>
      <c r="AR186" s="585"/>
      <c r="AS186" s="583"/>
      <c r="AT186" s="584"/>
      <c r="AU186" s="583"/>
      <c r="AV186" s="585"/>
      <c r="AW186" s="583"/>
      <c r="AX186" s="584"/>
      <c r="AY186" s="583"/>
      <c r="AZ186" s="585"/>
      <c r="BA186" s="583"/>
      <c r="BB186" s="584"/>
      <c r="BC186" s="583"/>
      <c r="BD186" s="585"/>
      <c r="BE186" s="583"/>
      <c r="BF186" s="584"/>
      <c r="BG186" s="583"/>
      <c r="BH186" s="585"/>
      <c r="BI186" s="583"/>
      <c r="BJ186" s="584"/>
      <c r="BK186" s="583"/>
      <c r="BL186" s="585"/>
      <c r="BM186" s="583"/>
      <c r="BN186" s="584"/>
      <c r="BO186" s="583"/>
      <c r="BP186" s="585"/>
      <c r="BQ186" s="583"/>
      <c r="BR186" s="584"/>
      <c r="BS186" s="583"/>
      <c r="BT186" s="586"/>
      <c r="BU186" s="540"/>
      <c r="BV186" s="540"/>
      <c r="BW186" s="540"/>
      <c r="BX186" s="538"/>
      <c r="BY186" s="538"/>
      <c r="BZ186" s="592"/>
      <c r="CA186" s="633"/>
      <c r="CB186" s="592" t="s">
        <v>365</v>
      </c>
      <c r="CC186" s="592">
        <v>0.0</v>
      </c>
      <c r="CD186" s="592" t="s">
        <v>365</v>
      </c>
      <c r="CE186" s="592">
        <v>0.0</v>
      </c>
      <c r="CF186" s="592"/>
      <c r="CG186" s="592">
        <v>0.0</v>
      </c>
      <c r="CH186" s="592"/>
      <c r="CI186" s="633"/>
      <c r="CJ186" s="592">
        <v>0.0</v>
      </c>
      <c r="CK186" s="479" t="s">
        <v>365</v>
      </c>
      <c r="CL186" s="657"/>
      <c r="CM186" s="658"/>
      <c r="CN186" s="538"/>
      <c r="CO186" s="538"/>
      <c r="CP186" s="538"/>
      <c r="CQ186" s="538"/>
      <c r="CR186" s="538"/>
      <c r="CS186" s="538"/>
      <c r="CT186" s="538"/>
      <c r="CU186" s="538"/>
      <c r="CV186" s="538"/>
      <c r="CW186" s="538"/>
      <c r="CX186" s="538"/>
      <c r="CY186" s="538"/>
      <c r="CZ186" s="538"/>
      <c r="DA186" s="538"/>
      <c r="DB186" s="538"/>
      <c r="DC186" s="538"/>
      <c r="DD186" s="538"/>
      <c r="DE186" s="538"/>
      <c r="DF186" s="538"/>
      <c r="DG186" s="538"/>
      <c r="DH186" s="538"/>
      <c r="DI186" s="538"/>
      <c r="DJ186" s="538"/>
      <c r="DK186" s="538"/>
      <c r="DL186" s="538"/>
      <c r="DM186" s="538"/>
      <c r="DN186" s="538"/>
      <c r="DO186" s="538"/>
      <c r="DP186" s="538"/>
      <c r="DQ186" s="538"/>
      <c r="DR186" s="538"/>
      <c r="DS186" s="538"/>
      <c r="DT186" s="538"/>
      <c r="DU186" s="538"/>
      <c r="DV186" s="538"/>
      <c r="DW186" s="538"/>
      <c r="DX186" s="538"/>
      <c r="DY186" s="538"/>
      <c r="DZ186" s="538"/>
      <c r="EA186" s="538"/>
      <c r="EB186" s="538"/>
      <c r="EC186" s="538"/>
      <c r="ED186" s="538"/>
      <c r="EE186" s="538"/>
      <c r="EF186" s="538"/>
      <c r="EG186" s="538"/>
      <c r="EH186" s="538"/>
      <c r="EI186" s="538"/>
      <c r="EJ186" s="538"/>
      <c r="EK186" s="538"/>
      <c r="EL186" s="538"/>
      <c r="EM186" s="538"/>
      <c r="EN186" s="538"/>
      <c r="EO186" s="538"/>
      <c r="EP186" s="538"/>
      <c r="EQ186" s="538"/>
      <c r="ER186" s="538"/>
      <c r="ES186" s="538"/>
      <c r="ET186" s="538"/>
      <c r="EU186" s="538"/>
      <c r="EV186" s="538"/>
      <c r="EW186" s="538"/>
      <c r="EX186" s="559"/>
      <c r="EY186" s="559"/>
      <c r="EZ186" s="559"/>
      <c r="FA186" s="559"/>
      <c r="FB186" s="559"/>
      <c r="FC186" s="559"/>
      <c r="FD186" s="559"/>
      <c r="FE186" s="559"/>
      <c r="FF186" s="559"/>
      <c r="FG186" s="559"/>
      <c r="FH186" s="559"/>
      <c r="FI186" s="559"/>
      <c r="FJ186" s="559"/>
      <c r="FK186" s="559"/>
      <c r="FL186" s="559"/>
      <c r="FM186" s="559"/>
      <c r="FN186" s="559"/>
      <c r="FO186" s="559"/>
      <c r="FP186" s="559"/>
      <c r="FQ186" s="559"/>
      <c r="FR186" s="559"/>
      <c r="FS186" s="559"/>
      <c r="FT186" s="559"/>
      <c r="FU186" s="559"/>
      <c r="FV186" s="559"/>
      <c r="FW186" s="559"/>
      <c r="FX186" s="559"/>
      <c r="FY186" s="559"/>
      <c r="FZ186" s="559"/>
      <c r="GA186" s="559"/>
      <c r="GB186" s="559"/>
      <c r="GC186" s="559"/>
      <c r="GD186" s="559"/>
      <c r="GE186" s="559"/>
      <c r="GF186" s="559"/>
      <c r="GG186" s="559"/>
      <c r="GH186" s="559"/>
    </row>
  </sheetData>
  <mergeCells count="477">
    <mergeCell ref="AW8:AZ8"/>
    <mergeCell ref="BA8:BD8"/>
    <mergeCell ref="BE8:BH8"/>
    <mergeCell ref="BI8:BL8"/>
    <mergeCell ref="BM8:BQ8"/>
    <mergeCell ref="BR8:BT8"/>
    <mergeCell ref="BE9:BH9"/>
    <mergeCell ref="BI9:BL9"/>
    <mergeCell ref="BU8:BV8"/>
    <mergeCell ref="AG9:AJ9"/>
    <mergeCell ref="AK9:AN9"/>
    <mergeCell ref="AO9:AR9"/>
    <mergeCell ref="AS9:AV9"/>
    <mergeCell ref="AW9:AZ9"/>
    <mergeCell ref="BA9:BD9"/>
    <mergeCell ref="BM9:BQ9"/>
    <mergeCell ref="BS9:BT9"/>
    <mergeCell ref="AG10:AJ10"/>
    <mergeCell ref="AK10:AN10"/>
    <mergeCell ref="AO8:AR8"/>
    <mergeCell ref="AS8:AV8"/>
    <mergeCell ref="AO10:AR10"/>
    <mergeCell ref="AS10:AV10"/>
    <mergeCell ref="AW10:AZ10"/>
    <mergeCell ref="BA10:BD10"/>
    <mergeCell ref="BE10:BH10"/>
    <mergeCell ref="AG8:AJ8"/>
    <mergeCell ref="AK8:AN8"/>
    <mergeCell ref="AG11:AJ11"/>
    <mergeCell ref="AK11:AN11"/>
    <mergeCell ref="AO11:AR11"/>
    <mergeCell ref="AS11:AV11"/>
    <mergeCell ref="AW11:AZ11"/>
    <mergeCell ref="AG3:BW4"/>
    <mergeCell ref="AG5:BW5"/>
    <mergeCell ref="BE15:BH15"/>
    <mergeCell ref="BI15:BL15"/>
    <mergeCell ref="BS14:BT14"/>
    <mergeCell ref="AG15:AJ15"/>
    <mergeCell ref="AK15:AN15"/>
    <mergeCell ref="AO15:AR15"/>
    <mergeCell ref="AS15:AV15"/>
    <mergeCell ref="AW15:AZ15"/>
    <mergeCell ref="BA15:BD15"/>
    <mergeCell ref="BM15:BQ15"/>
    <mergeCell ref="BS15:BT15"/>
    <mergeCell ref="X1:AD15"/>
    <mergeCell ref="BZ1:CT5"/>
    <mergeCell ref="FZ1:GB1"/>
    <mergeCell ref="GC1:GE1"/>
    <mergeCell ref="GF1:GH1"/>
    <mergeCell ref="E2:F11"/>
    <mergeCell ref="GF2:GH2"/>
    <mergeCell ref="BI11:BL11"/>
    <mergeCell ref="BM11:BQ11"/>
    <mergeCell ref="BE12:BH12"/>
    <mergeCell ref="BI12:BL12"/>
    <mergeCell ref="BS11:BT11"/>
    <mergeCell ref="AG12:AJ12"/>
    <mergeCell ref="AK12:AN12"/>
    <mergeCell ref="AO12:AR12"/>
    <mergeCell ref="AS12:AV12"/>
    <mergeCell ref="AW12:AZ12"/>
    <mergeCell ref="BA12:BD12"/>
    <mergeCell ref="BM12:BQ12"/>
    <mergeCell ref="BS12:BT12"/>
    <mergeCell ref="AG13:AJ13"/>
    <mergeCell ref="AK13:AN13"/>
    <mergeCell ref="AO13:AR13"/>
    <mergeCell ref="AS13:AV13"/>
    <mergeCell ref="AW13:AZ13"/>
    <mergeCell ref="BA13:BD13"/>
    <mergeCell ref="AG1:BW1"/>
    <mergeCell ref="AG2:BW2"/>
    <mergeCell ref="FZ2:GB2"/>
    <mergeCell ref="GC2:GE2"/>
    <mergeCell ref="AG6:BQ7"/>
    <mergeCell ref="BR6:BW7"/>
    <mergeCell ref="CO6:CT6"/>
    <mergeCell ref="BZ7:CF7"/>
    <mergeCell ref="BI10:BL10"/>
    <mergeCell ref="BM10:BQ10"/>
    <mergeCell ref="BS10:BT10"/>
    <mergeCell ref="BA11:BD11"/>
    <mergeCell ref="BE11:BH11"/>
    <mergeCell ref="BE13:BH13"/>
    <mergeCell ref="BI13:BL13"/>
    <mergeCell ref="BM13:BQ13"/>
    <mergeCell ref="BS13:BT13"/>
    <mergeCell ref="BZ13:CB13"/>
    <mergeCell ref="AW16:AX16"/>
    <mergeCell ref="BA16:BB16"/>
    <mergeCell ref="BE16:BF16"/>
    <mergeCell ref="BI16:BJ16"/>
    <mergeCell ref="BM16:BO16"/>
    <mergeCell ref="J2:T2"/>
    <mergeCell ref="J3:T16"/>
    <mergeCell ref="X16:AC16"/>
    <mergeCell ref="AG16:AI16"/>
    <mergeCell ref="AK16:AL16"/>
    <mergeCell ref="AO16:AP16"/>
    <mergeCell ref="AS16:AT16"/>
    <mergeCell ref="BI14:BL14"/>
    <mergeCell ref="BM14:BQ14"/>
    <mergeCell ref="AG14:AJ14"/>
    <mergeCell ref="AK14:AN14"/>
    <mergeCell ref="AO14:AR14"/>
    <mergeCell ref="AS14:AV14"/>
    <mergeCell ref="AW14:AZ14"/>
    <mergeCell ref="BA14:BD14"/>
    <mergeCell ref="BE14:BH14"/>
    <mergeCell ref="AG17:AI17"/>
    <mergeCell ref="AK17:AL17"/>
    <mergeCell ref="E18:T18"/>
    <mergeCell ref="AG18:BW18"/>
    <mergeCell ref="E19:T20"/>
    <mergeCell ref="AG19:BW19"/>
    <mergeCell ref="BZ19:CF19"/>
    <mergeCell ref="AG20:BW20"/>
    <mergeCell ref="BZ20:CB20"/>
    <mergeCell ref="AM21:AP21"/>
    <mergeCell ref="AQ21:AT21"/>
    <mergeCell ref="AU21:AX21"/>
    <mergeCell ref="AY21:BB21"/>
    <mergeCell ref="BF21:BI21"/>
    <mergeCell ref="BZ21:CB21"/>
    <mergeCell ref="AU22:AX22"/>
    <mergeCell ref="AY22:BB22"/>
    <mergeCell ref="BC22:BE22"/>
    <mergeCell ref="BF22:BI22"/>
    <mergeCell ref="BJ22:BM22"/>
    <mergeCell ref="BN22:BQ22"/>
    <mergeCell ref="BZ22:CB22"/>
    <mergeCell ref="E28:E35"/>
    <mergeCell ref="F28:I35"/>
    <mergeCell ref="J28:M35"/>
    <mergeCell ref="N28:Q35"/>
    <mergeCell ref="R28:R35"/>
    <mergeCell ref="S28:S35"/>
    <mergeCell ref="T28:T35"/>
    <mergeCell ref="AS38:AV38"/>
    <mergeCell ref="AW38:AZ38"/>
    <mergeCell ref="BA38:BD38"/>
    <mergeCell ref="BE38:BH38"/>
    <mergeCell ref="BI38:BL38"/>
    <mergeCell ref="BM38:BP38"/>
    <mergeCell ref="BQ38:BT38"/>
    <mergeCell ref="CJ38:CM38"/>
    <mergeCell ref="E37:V37"/>
    <mergeCell ref="F38:P38"/>
    <mergeCell ref="U38:V38"/>
    <mergeCell ref="X38:AD38"/>
    <mergeCell ref="AG38:AJ38"/>
    <mergeCell ref="AK38:AN38"/>
    <mergeCell ref="AO38:AR38"/>
    <mergeCell ref="S185:T185"/>
    <mergeCell ref="S186:T186"/>
    <mergeCell ref="S178:T178"/>
    <mergeCell ref="S179:T179"/>
    <mergeCell ref="S180:T180"/>
    <mergeCell ref="S181:T181"/>
    <mergeCell ref="S182:T182"/>
    <mergeCell ref="S183:T183"/>
    <mergeCell ref="S184:T184"/>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BZ30:CB30"/>
    <mergeCell ref="BZ31:CB31"/>
    <mergeCell ref="BF27:BT27"/>
    <mergeCell ref="BF28:BT28"/>
    <mergeCell ref="BZ28:CB28"/>
    <mergeCell ref="BF29:BT29"/>
    <mergeCell ref="BZ29:CB29"/>
    <mergeCell ref="BF30:BT30"/>
    <mergeCell ref="BF31:BT31"/>
    <mergeCell ref="AM23:AP23"/>
    <mergeCell ref="AQ23:AT23"/>
    <mergeCell ref="AU23:AX23"/>
    <mergeCell ref="AY23:BB23"/>
    <mergeCell ref="BZ23:CB23"/>
    <mergeCell ref="BJ21:BM21"/>
    <mergeCell ref="BN21:BQ21"/>
    <mergeCell ref="E22:T24"/>
    <mergeCell ref="AG22:AH22"/>
    <mergeCell ref="AJ22:AL22"/>
    <mergeCell ref="AM22:AP22"/>
    <mergeCell ref="AQ22:AT22"/>
    <mergeCell ref="BC24:BE24"/>
    <mergeCell ref="AG24:AH24"/>
    <mergeCell ref="AJ24:AL24"/>
    <mergeCell ref="E25:T25"/>
    <mergeCell ref="E26:T26"/>
    <mergeCell ref="F27:I27"/>
    <mergeCell ref="K27:M27"/>
    <mergeCell ref="N27:Q27"/>
    <mergeCell ref="AU24:AX24"/>
    <mergeCell ref="AY24:BB24"/>
    <mergeCell ref="BZ24:CB24"/>
    <mergeCell ref="BZ25:CB25"/>
    <mergeCell ref="BF26:BT26"/>
    <mergeCell ref="BZ26:CB26"/>
    <mergeCell ref="BZ27:CB27"/>
    <mergeCell ref="AM24:AP24"/>
    <mergeCell ref="AQ24:AT24"/>
    <mergeCell ref="AM26:BB26"/>
    <mergeCell ref="AM27:BB27"/>
    <mergeCell ref="AM28:BB28"/>
    <mergeCell ref="AM29:BB29"/>
    <mergeCell ref="AM30:BB30"/>
    <mergeCell ref="AM31:BB31"/>
    <mergeCell ref="AM32:BT32"/>
    <mergeCell ref="BZ32:CB32"/>
    <mergeCell ref="AM33:BT34"/>
    <mergeCell ref="BZ33:CB33"/>
    <mergeCell ref="AF37:BS37"/>
    <mergeCell ref="BZ37:CM37"/>
    <mergeCell ref="K39:L39"/>
    <mergeCell ref="M39:N39"/>
    <mergeCell ref="Q39:R39"/>
    <mergeCell ref="S39:T39"/>
    <mergeCell ref="Q43:R43"/>
    <mergeCell ref="S43:T43"/>
    <mergeCell ref="S44:T44"/>
    <mergeCell ref="Q44:R44"/>
    <mergeCell ref="Q45:R45"/>
    <mergeCell ref="S45:T45"/>
    <mergeCell ref="Q46:R46"/>
    <mergeCell ref="S46:T46"/>
    <mergeCell ref="Q48:R48"/>
    <mergeCell ref="S48:T48"/>
    <mergeCell ref="Q49:R49"/>
    <mergeCell ref="S49:T49"/>
    <mergeCell ref="Q50:R50"/>
    <mergeCell ref="S50:T50"/>
    <mergeCell ref="Q51:R51"/>
    <mergeCell ref="S51:T51"/>
    <mergeCell ref="S52:T52"/>
    <mergeCell ref="S53:T53"/>
    <mergeCell ref="Q52:R52"/>
    <mergeCell ref="Q53:R53"/>
    <mergeCell ref="Q59:R59"/>
    <mergeCell ref="S59:T59"/>
    <mergeCell ref="Q61:R61"/>
    <mergeCell ref="S61:T61"/>
    <mergeCell ref="S63:T63"/>
    <mergeCell ref="Q63:R63"/>
    <mergeCell ref="Q64:R64"/>
    <mergeCell ref="Q66:R66"/>
    <mergeCell ref="Q68:R68"/>
    <mergeCell ref="Q69:R69"/>
    <mergeCell ref="Q70:R70"/>
    <mergeCell ref="Q71:R71"/>
    <mergeCell ref="S64:T64"/>
    <mergeCell ref="S66:T66"/>
    <mergeCell ref="S68:T68"/>
    <mergeCell ref="S69:T69"/>
    <mergeCell ref="S70:T70"/>
    <mergeCell ref="S71:T71"/>
    <mergeCell ref="S72:T72"/>
    <mergeCell ref="S73:T73"/>
    <mergeCell ref="S74:T74"/>
    <mergeCell ref="S75:T75"/>
    <mergeCell ref="S76:T76"/>
    <mergeCell ref="S77:T77"/>
    <mergeCell ref="S78:T78"/>
    <mergeCell ref="S79:T79"/>
    <mergeCell ref="Q72:R72"/>
    <mergeCell ref="Q73:R73"/>
    <mergeCell ref="Q74:R74"/>
    <mergeCell ref="Q75:R75"/>
    <mergeCell ref="Q76:R76"/>
    <mergeCell ref="Q77:R77"/>
    <mergeCell ref="Q78:R78"/>
    <mergeCell ref="Q79:R79"/>
    <mergeCell ref="Q80:R80"/>
    <mergeCell ref="Q81:R81"/>
    <mergeCell ref="Q82:R8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Q105:R105"/>
    <mergeCell ref="Q106:R106"/>
    <mergeCell ref="Q107:R107"/>
    <mergeCell ref="Q108:R108"/>
    <mergeCell ref="Q109:R109"/>
    <mergeCell ref="Q110:R110"/>
    <mergeCell ref="Q111:R111"/>
    <mergeCell ref="Q112:R112"/>
    <mergeCell ref="Q113:R113"/>
    <mergeCell ref="Q114:R114"/>
    <mergeCell ref="Q115:R115"/>
    <mergeCell ref="Q116:R116"/>
    <mergeCell ref="Q117:R117"/>
    <mergeCell ref="Q118:R118"/>
    <mergeCell ref="Q119:R119"/>
    <mergeCell ref="Q120:R120"/>
    <mergeCell ref="S80:T80"/>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Q170:R170"/>
    <mergeCell ref="Q171:R171"/>
    <mergeCell ref="Q172:R172"/>
    <mergeCell ref="Q173:R173"/>
    <mergeCell ref="Q174:R174"/>
    <mergeCell ref="Q175:R175"/>
    <mergeCell ref="Q176:R176"/>
    <mergeCell ref="Q184:R184"/>
    <mergeCell ref="Q185:R185"/>
    <mergeCell ref="Q186:R186"/>
    <mergeCell ref="Q177:R177"/>
    <mergeCell ref="Q178:R178"/>
    <mergeCell ref="Q179:R179"/>
    <mergeCell ref="Q180:R180"/>
    <mergeCell ref="Q181:R181"/>
    <mergeCell ref="Q182:R182"/>
    <mergeCell ref="Q183:R183"/>
    <mergeCell ref="Q121:R121"/>
    <mergeCell ref="Q122:R122"/>
    <mergeCell ref="Q123:R123"/>
    <mergeCell ref="Q124:R124"/>
    <mergeCell ref="Q125:R125"/>
    <mergeCell ref="Q126:R126"/>
    <mergeCell ref="Q127:R127"/>
    <mergeCell ref="Q128:R128"/>
    <mergeCell ref="Q129:R129"/>
    <mergeCell ref="Q130:R130"/>
    <mergeCell ref="Q131:R131"/>
    <mergeCell ref="Q132:R132"/>
    <mergeCell ref="Q133:R133"/>
    <mergeCell ref="Q134:R134"/>
    <mergeCell ref="Q135:R135"/>
    <mergeCell ref="Q136:R136"/>
    <mergeCell ref="Q137:R137"/>
    <mergeCell ref="Q138:R138"/>
    <mergeCell ref="Q139:R139"/>
    <mergeCell ref="Q140:R140"/>
    <mergeCell ref="Q141:R141"/>
    <mergeCell ref="Q142:R142"/>
    <mergeCell ref="Q143:R143"/>
    <mergeCell ref="Q144:R144"/>
    <mergeCell ref="Q145:R145"/>
    <mergeCell ref="Q146:R146"/>
    <mergeCell ref="Q147:R147"/>
    <mergeCell ref="Q148:R148"/>
    <mergeCell ref="Q149:R149"/>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s>
  <conditionalFormatting sqref="BI16:BJ16">
    <cfRule type="colorScale" priority="1">
      <colorScale>
        <cfvo type="formula" val="1"/>
        <cfvo type="formula" val="5"/>
        <cfvo type="formula" val="10"/>
        <color rgb="FFEA4335"/>
        <color rgb="FFFBBC04"/>
        <color rgb="FF34A853"/>
      </colorScale>
    </cfRule>
  </conditionalFormatting>
  <conditionalFormatting sqref="AG9:AG18 AI9:BH18 BI16:BJ18">
    <cfRule type="colorScale" priority="2">
      <colorScale>
        <cfvo type="formula" val="1"/>
        <cfvo type="formula" val="4"/>
        <cfvo type="formula" val="7"/>
        <color rgb="FF34A853"/>
        <color rgb="FFFBBC04"/>
        <color rgb="FFFF0000"/>
      </colorScale>
    </cfRule>
  </conditionalFormatting>
  <conditionalFormatting sqref="AG9:AG18 AI9:BH18 BI16:BJ18">
    <cfRule type="colorScale" priority="3">
      <colorScale>
        <cfvo type="formula" val="1"/>
        <cfvo type="formula" val="4"/>
        <cfvo type="formula" val="7"/>
        <color rgb="FF34A853"/>
        <color rgb="FFFBBC04"/>
        <color rgb="FFEA4335"/>
      </colorScale>
    </cfRule>
  </conditionalFormatting>
  <conditionalFormatting sqref="BM9:BR15 BI16 BK16:BL16 BM17:BR17">
    <cfRule type="colorScale" priority="4">
      <colorScale>
        <cfvo type="formula" val="1"/>
        <cfvo type="formula" val="5"/>
        <cfvo type="formula" val="10"/>
        <color rgb="FFEA4335"/>
        <color rgb="FFFBBC04"/>
        <color rgb="FF34A853"/>
      </colorScale>
    </cfRule>
  </conditionalFormatting>
  <conditionalFormatting sqref="AK16:BE16">
    <cfRule type="colorScale" priority="5">
      <colorScale>
        <cfvo type="formula" val="1"/>
        <cfvo type="formula" val="4"/>
        <cfvo type="formula" val="7"/>
        <color rgb="FF34A853"/>
        <color rgb="FFFBBC04"/>
        <color rgb="FFFF0000"/>
      </colorScale>
    </cfRule>
  </conditionalFormatting>
  <conditionalFormatting sqref="B39:B186">
    <cfRule type="notContainsBlanks" dxfId="9" priority="6">
      <formula>LEN(TRIM(B39))&gt;0</formula>
    </cfRule>
  </conditionalFormatting>
  <conditionalFormatting sqref="AG40:AG186 AK40:AK186 AO40:AO186 AS40:AS186 AW40:AW43 BA40:BA186 BE40:BE186 BI40:BI186 BM40:BM186 BQ40:BQ186 AW45:AW186 AP51 AT51">
    <cfRule type="notContainsBlanks" dxfId="17" priority="7">
      <formula>LEN(TRIM(AG40))&gt;0</formula>
    </cfRule>
  </conditionalFormatting>
  <conditionalFormatting sqref="AH40:AH186 AL40:AL186 AP40:AP186 AT40:AT186 AX40:AX186 BB40:BB186 BF40:BF186 BJ40:BJ186 BN40:BN186 BR40:BR186 AQ51 AU51">
    <cfRule type="notContainsBlanks" dxfId="16" priority="8">
      <formula>LEN(TRIM(AH40))&gt;0</formula>
    </cfRule>
  </conditionalFormatting>
  <conditionalFormatting sqref="I40:I186">
    <cfRule type="cellIs" dxfId="41" priority="9" operator="equal">
      <formula>0</formula>
    </cfRule>
  </conditionalFormatting>
  <conditionalFormatting sqref="B39:B186 C40:V186 AF40:BT186">
    <cfRule type="expression" dxfId="9" priority="10">
      <formula>ArrayFormula(NOT(ISBLANK(B39:$B186)))</formula>
    </cfRule>
  </conditionalFormatting>
  <conditionalFormatting sqref="BZ40:CM186">
    <cfRule type="containsBlanks" dxfId="42" priority="11">
      <formula>LEN(TRIM(BZ40))=0</formula>
    </cfRule>
  </conditionalFormatting>
  <conditionalFormatting sqref="BZ40:CM186">
    <cfRule type="cellIs" dxfId="42" priority="12" operator="equal">
      <formula>0</formula>
    </cfRule>
  </conditionalFormatting>
  <conditionalFormatting sqref="X40:AF186">
    <cfRule type="cellIs" dxfId="42" priority="13" operator="equal">
      <formula>0</formula>
    </cfRule>
  </conditionalFormatting>
  <conditionalFormatting sqref="CC21:CE33 CF21:CG32 CH30:CH32">
    <cfRule type="cellIs" dxfId="19" priority="14" operator="equal">
      <formula>0</formula>
    </cfRule>
  </conditionalFormatting>
  <conditionalFormatting sqref="BI9:BN15">
    <cfRule type="colorScale" priority="15">
      <colorScale>
        <cfvo type="formula" val="1"/>
        <cfvo type="formula" val="5"/>
        <cfvo type="formula" val="10"/>
        <color rgb="FFEA4335"/>
        <color rgb="FFFBBC04"/>
        <color rgb="FF34A853"/>
      </colorScale>
    </cfRule>
  </conditionalFormatting>
  <conditionalFormatting sqref="BM16:BR16">
    <cfRule type="colorScale" priority="16">
      <colorScale>
        <cfvo type="formula" val="0"/>
        <cfvo type="formula" val="5"/>
        <cfvo type="formula" val="10"/>
        <color rgb="FF57BB8A"/>
        <color rgb="FFFBBC04"/>
        <color rgb="FFCC4125"/>
      </colorScale>
    </cfRule>
  </conditionalFormatting>
  <conditionalFormatting sqref="AE38:AF38">
    <cfRule type="notContainsBlanks" dxfId="43" priority="17">
      <formula>LEN(TRIM(AE38))&gt;0</formula>
    </cfRule>
  </conditionalFormatting>
  <conditionalFormatting sqref="X40:AD186">
    <cfRule type="containsBlanks" dxfId="42" priority="18">
      <formula>LEN(TRIM(X40))=0</formula>
    </cfRule>
  </conditionalFormatting>
  <conditionalFormatting sqref="AE1:AF1">
    <cfRule type="notContainsBlanks" dxfId="43" priority="19">
      <formula>LEN(TRIM(AE1))&gt;0</formula>
    </cfRule>
  </conditionalFormatting>
  <conditionalFormatting sqref="AJ39:AJ186 AN39:AN186 AR40:AR186 AV40:AV186 AZ40:AZ186 BD40:BD186 BH40:BH186 BL40:BL186 AS51 AW51">
    <cfRule type="notContainsBlanks" dxfId="44" priority="20">
      <formula>LEN(TRIM(AJ39))&gt;0</formula>
    </cfRule>
  </conditionalFormatting>
  <conditionalFormatting sqref="AI40:AJ186 AM40:AN186 AQ40:AR186 AU40:AV186 AY40:AZ186 BC40:BD186 BG40:BH186 BK40:BL186 BO40:BP186 BS40:BT186 AP44 AS44:AT44 AW44 AS51 AW51">
    <cfRule type="notContainsBlanks" dxfId="15" priority="21">
      <formula>LEN(TRIM(AI40))&gt;0</formula>
    </cfRule>
  </conditionalFormatting>
  <conditionalFormatting sqref="X40:AF186">
    <cfRule type="cellIs" dxfId="42" priority="22" operator="equal">
      <formula>0</formula>
    </cfRule>
  </conditionalFormatting>
  <conditionalFormatting sqref="AA40:AB186">
    <cfRule type="expression" dxfId="45" priority="23" operator="containsText">
      <formula>NOT(ISERROR(SEARCH((FALSE),(AA40))))</formula>
    </cfRule>
  </conditionalFormatting>
  <conditionalFormatting sqref="Y19:AC21 Y24:AD36">
    <cfRule type="cellIs" dxfId="46" priority="24" operator="equal">
      <formula>0</formula>
    </cfRule>
  </conditionalFormatting>
  <dataValidations>
    <dataValidation type="list" allowBlank="1" showErrorMessage="1" sqref="BZ10">
      <formula1>"BP1,BP2,BP3,BP4,BP5"</formula1>
    </dataValidation>
    <dataValidation type="list" allowBlank="1" showInputMessage="1" showErrorMessage="1" prompt="Haz clic e introduce un valor de la lista de elementos" sqref="AK9:AK15 AO9:AO15 AS9:AS15 AW9:AW15 BA9:BA15">
      <formula1>"1 .- Muy, muy bien,2 .- Muy bien,3 .- Bien,4 .- Regular,5 .- Mal,6 .- Muy mal,7 .- Muy, muy mal"</formula1>
    </dataValidation>
    <dataValidation type="list" allowBlank="1" showErrorMessage="1" sqref="BZ9">
      <formula1>"SQ1,SQ2,SQ3,SQ4,SQ5"</formula1>
    </dataValidation>
    <dataValidation type="list" allowBlank="1" showInputMessage="1" showErrorMessage="1" prompt="Haz clic e introduce un valor de la lista de elementos" sqref="B39:B186">
      <formula1>"Día 1,Día 2,Día 3,Día 4,Día 5,Día 6,Día 7,Día 8"</formula1>
    </dataValidation>
    <dataValidation type="list" allowBlank="1" showErrorMessage="1" sqref="AI40:AI186 AM40:AM186 AQ40:AQ186 AU40:AU186 AY40:AY186 BC40:BC186 BG40:BG186 BK40:BK186 BO40:BO186 BS40:BS186">
      <formula1>"0,1,2,3,4,5,6,7,8,9,10"</formula1>
    </dataValidation>
    <dataValidation type="list" allowBlank="1" showErrorMessage="1" sqref="CE8 CE14">
      <formula1>"e1RM Bryzcki,e1RM Steve Denovi F1,e1RM Steve Denovi F2"</formula1>
    </dataValidation>
    <dataValidation type="list" allowBlank="1" showErrorMessage="1" sqref="E25">
      <formula1>"HIPERTROFIA,FUERZA BASE,VOLUMEN,PEAKING,TAPERING,COMPETICIÓN,BLOQUE DE VOLUMEN  (HIPERTROFIA),BLOQUE DE FUERZA  (HIPERTROFIA),BLOQUE DE INTENSIFICACIÓN  (HIPERTROFIA),PIVOT"</formula1>
    </dataValidation>
    <dataValidation type="list" allowBlank="1" showErrorMessage="1" sqref="P40:P186">
      <formula1>"Bajo,Medio,Alta"</formula1>
    </dataValidation>
    <dataValidation type="list" allowBlank="1" showErrorMessage="1" sqref="CH7">
      <formula1>"SQ1 Top Set,SQ2 Top Set,SQ3 Top Set,SQ4 Top Set,SQ5 Top Set,BP1 Top Set,BP2 Top Set,BP3 Top Set,BP4 Top Set,BP5 Top Set,DL1 Top Set,DL2 Top Set,DL3 Top Set,DL4 Top Set,DL5 Top Set"</formula1>
    </dataValidation>
    <dataValidation type="list" allowBlank="1" showErrorMessage="1" sqref="AJ40:AJ186 AN40:AN186 AR40:AR186 AV40:AV186 AZ40:AZ186 BD40:BD186 BH40:BH186 BL40:BL186 BP40:BP186 BT40:BT186">
      <formula1>"1,1,5,2,2,5,3,3,5,4,4,5,5,5,5,6,6,5,7,7,5,8,8,5,9,9,5,10"</formula1>
    </dataValidation>
    <dataValidation type="list" allowBlank="1" sqref="AW40:AW43 AG40:AG186 AK40:AK186 AO40:AO186 AS40:AS186 AW45:AW186 BA40:BA186 BE40:BE186 BI40:BI186 BM40:BM186 BQ40:BQ186">
      <formula1>"1,2,3,4,5,6,7,8,9,10,11,12,13,14,15,16,17,18,19,20,21,22,23,24,25,26,27,28,29,30,31,32,33,34,35,36,37,38,39,40,41,42,43,44,45,46,47,48,49,50"</formula1>
    </dataValidation>
    <dataValidation type="list" allowBlank="1" showInputMessage="1" showErrorMessage="1" prompt="Selecciona una opción." sqref="AM22 AQ22 AU22 AY22 BF22 BJ22 BN22 AM24 AQ24 AU24 AY24">
      <formula1>"1.- Nada de agujetas/tensión,2.- Pocas agujetas casi imperceptibles.,3.- Algo de agujetas/tensión.,4.- Agujetas/tensión muscular no incapacitantes,5.- Aumento del dolor muscular por agujetas molesto.,6.- Bastante dolor/agujetas y me incapacitan un poco mi"&amp;" día a día,7.- Zona muy dolorida por agujetas"</formula1>
    </dataValidation>
    <dataValidation type="list" allowBlank="1" showErrorMessage="1" sqref="CQ8">
      <formula1>"1RM PROYECTADA MEJOR A REPS,1RM PROYECTADA MEJOR A 1 REP"</formula1>
    </dataValidation>
    <dataValidation type="list" allowBlank="1" showErrorMessage="1" sqref="BM9:BM15">
      <formula1>"0 .- Descanso,1 .- Sesión muy fácil,2 .- Sesión fácil,3 .- Sesión moderada,4 .- Algo dificil,5 .- Sesión complicada,6 .- Sesión dificil,7 .- Sesión muy dificil,8 .- Sesión muy, muy dificil,9 .- Sesión extremadamente dificil,10 .- Sesión de máxima dificult"&amp;"ad"</formula1>
    </dataValidation>
    <dataValidation type="list" allowBlank="1" showErrorMessage="1" sqref="BZ11">
      <formula1>"DL1,DL2,DL3,DL4,DL5"</formula1>
    </dataValidation>
    <dataValidation type="list" allowBlank="1" showErrorMessage="1" sqref="BI9:BI15">
      <formula1>"1 .- Muy, muy poco recuperado,2 .- Muy poco recuperado,3 .- Poco recuperado,4 .- Algo recuperado,5 .- Recuperado moderadamente,6 .- Bien recuperado,7 .- Bastante recuperado,8 .- Muy bien recuperado,9 .- Muy, muy bien recuperado,10 .- Excepcionalmente recu"&amp;"perado"</formula1>
    </dataValidation>
    <dataValidation type="list" allowBlank="1" showErrorMessage="1" sqref="D40:D51 D54:D72 D185:D186">
      <formula1>"SQ1,SQ2,SQ3,SQ4,SQ5,BP1,BP2,BP3,BP4,BP5,DL1,DL2,DL3,DL4,DL5,Dominante de Rodilla,Bisagra de Cadera,Empuje Horizontal,Empuje Vertical,Tracción Horizontal,Tracción Vertical,Bíceps,Tríceps,Deltoides Lateral,Gémelo/Sóleo,Trasladar/Trineo,CORE,Aductor de cader"&amp;"a,SQ1 Top Set,SQ2 Top Set,SQ3 Top Set,SQ4 Top Set,SQ5 Top Set,BP1 Top Set,BP2 Top Set,BP3 Top Set,BP4 Top Set,BP5 Top Set,DL1 Top Set,DL2 Top Set,DL3 Top Set,DL4 Top Set,DL5 Top Set"</formula1>
    </dataValidation>
  </dataValidations>
  <drawing r:id="rId2"/>
  <legacyDrawing r:id="rId3"/>
  <tableParts count="3">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4.63"/>
    <col collapsed="1" customWidth="1" min="2" max="2" width="10.13"/>
    <col customWidth="1" hidden="1" min="3" max="3" width="10.0" outlineLevel="1"/>
    <col customWidth="1" hidden="1" min="4" max="4" width="14.88" outlineLevel="1"/>
    <col customWidth="1" min="5" max="5" width="35.25"/>
    <col customWidth="1" min="6" max="6" width="8.5"/>
    <col customWidth="1" min="7" max="7" width="9.88"/>
    <col customWidth="1" min="8" max="8" width="8.13" outlineLevel="1"/>
    <col customWidth="1" min="9" max="9" width="11.88"/>
    <col customWidth="1" min="10" max="10" width="9.63" outlineLevel="1"/>
    <col customWidth="1" min="11" max="11" width="8.88"/>
    <col customWidth="1" min="12" max="12" width="6.13"/>
    <col customWidth="1" min="13" max="13" width="10.13"/>
    <col customWidth="1" min="14" max="14" width="6.25"/>
    <col customWidth="1" min="15" max="15" width="12.0"/>
    <col customWidth="1" min="16" max="16" width="10.13"/>
    <col customWidth="1" min="17" max="17" width="13.38"/>
    <col customWidth="1" min="18" max="18" width="30.25"/>
    <col customWidth="1" min="19" max="19" width="31.63"/>
    <col customWidth="1" min="20" max="20" width="29.25"/>
    <col collapsed="1" customWidth="1" min="21" max="21" width="37.25"/>
    <col customWidth="1" hidden="1" min="22" max="22" width="41.75" outlineLevel="1"/>
    <col collapsed="1" customWidth="1" min="23" max="23" width="2.25"/>
    <col customWidth="1" hidden="1" min="24" max="24" width="20.0" outlineLevel="1"/>
    <col customWidth="1" hidden="1" min="25" max="25" width="19.63" outlineLevel="1"/>
    <col customWidth="1" hidden="1" min="26" max="26" width="15.25" outlineLevel="1"/>
    <col customWidth="1" hidden="1" min="27" max="27" width="9.88" outlineLevel="1"/>
    <col customWidth="1" hidden="1" min="28" max="28" width="9.25" outlineLevel="1"/>
    <col customWidth="1" hidden="1" min="29" max="29" width="8.0" outlineLevel="1"/>
    <col customWidth="1" hidden="1" min="30" max="30" width="15.13" outlineLevel="1"/>
    <col customWidth="1" min="31" max="31" width="2.13"/>
    <col customWidth="1" min="32" max="32" width="30.63" outlineLevel="1"/>
    <col customWidth="1" min="33" max="33" width="4.5" outlineLevel="1"/>
    <col customWidth="1" min="34" max="34" width="8.0" outlineLevel="1"/>
    <col customWidth="1" min="35" max="35" width="4.5" outlineLevel="1"/>
    <col customWidth="1" min="36" max="36" width="5.38" outlineLevel="1"/>
    <col customWidth="1" min="37" max="37" width="4.5" outlineLevel="1"/>
    <col customWidth="1" min="38" max="38" width="6.88" outlineLevel="1"/>
    <col customWidth="1" min="39" max="41" width="4.5" outlineLevel="1"/>
    <col customWidth="1" min="42" max="42" width="7.0" outlineLevel="1"/>
    <col customWidth="1" min="43" max="45" width="4.5" outlineLevel="1"/>
    <col customWidth="1" min="46" max="46" width="7.0" outlineLevel="1"/>
    <col customWidth="1" min="47" max="49" width="4.5" outlineLevel="1"/>
    <col customWidth="1" min="50" max="50" width="6.75" outlineLevel="1"/>
    <col customWidth="1" min="51" max="51" width="5.88" outlineLevel="1"/>
    <col customWidth="1" min="52" max="53" width="4.5" outlineLevel="1"/>
    <col customWidth="1" min="54" max="54" width="6.75" outlineLevel="1"/>
    <col customWidth="1" min="55" max="56" width="5.5" outlineLevel="1"/>
    <col customWidth="1" min="57" max="57" width="4.5" outlineLevel="1"/>
    <col customWidth="1" min="58" max="58" width="7.0" outlineLevel="1"/>
    <col customWidth="1" min="59" max="59" width="5.63" outlineLevel="1"/>
    <col customWidth="1" min="60" max="60" width="4.88" outlineLevel="1"/>
    <col customWidth="1" min="61" max="61" width="4.5" outlineLevel="1"/>
    <col customWidth="1" min="62" max="62" width="7.25" outlineLevel="1"/>
    <col customWidth="1" min="63" max="65" width="4.5" outlineLevel="1"/>
    <col customWidth="1" min="66" max="66" width="7.63" outlineLevel="1"/>
    <col customWidth="1" min="67" max="69" width="4.5" outlineLevel="1"/>
    <col customWidth="1" min="70" max="70" width="6.88" outlineLevel="1"/>
    <col customWidth="1" min="71" max="71" width="5.88" outlineLevel="1"/>
    <col customWidth="1" min="72" max="72" width="6.63" outlineLevel="1"/>
    <col customWidth="1" min="73" max="73" width="5.38" outlineLevel="1"/>
    <col customWidth="1" min="74" max="74" width="10.88" outlineLevel="1"/>
    <col customWidth="1" min="75" max="75" width="13.75" outlineLevel="1"/>
    <col customWidth="1" min="76" max="76" width="8.0"/>
    <col collapsed="1" customWidth="1" min="77" max="77" width="9.5"/>
    <col customWidth="1" hidden="1" min="78" max="78" width="8.0" outlineLevel="1"/>
    <col customWidth="1" hidden="1" min="79" max="79" width="7.5" outlineLevel="1"/>
    <col customWidth="1" hidden="1" min="80" max="80" width="7.75" outlineLevel="1"/>
    <col customWidth="1" hidden="1" min="81" max="81" width="7.88" outlineLevel="1"/>
    <col customWidth="1" hidden="1" min="82" max="82" width="8.88" outlineLevel="1"/>
    <col customWidth="1" hidden="1" min="83" max="83" width="15.38" outlineLevel="1"/>
    <col customWidth="1" hidden="1" min="84" max="84" width="9.0" outlineLevel="1"/>
    <col customWidth="1" hidden="1" min="85" max="85" width="6.63" outlineLevel="1"/>
    <col customWidth="1" hidden="1" min="86" max="86" width="16.63" outlineLevel="1"/>
    <col customWidth="1" hidden="1" min="87" max="87" width="22.13" outlineLevel="1"/>
    <col customWidth="1" hidden="1" min="88" max="88" width="14.63" outlineLevel="1"/>
    <col customWidth="1" hidden="1" min="89" max="89" width="10.63" outlineLevel="1"/>
    <col customWidth="1" hidden="1" min="90" max="90" width="13.38" outlineLevel="1"/>
    <col customWidth="1" hidden="1" min="91" max="91" width="12.63" outlineLevel="1"/>
    <col customWidth="1" hidden="1" min="92" max="93" width="13.63" outlineLevel="1"/>
    <col customWidth="1" hidden="1" min="94" max="94" width="13.38" outlineLevel="1"/>
    <col customWidth="1" hidden="1" min="95" max="95" width="17.88" outlineLevel="1"/>
    <col customWidth="1" hidden="1" min="96" max="96" width="13.25" outlineLevel="1"/>
    <col customWidth="1" hidden="1" min="97" max="97" width="17.13" outlineLevel="1"/>
    <col customWidth="1" hidden="1" min="98" max="98" width="9.88" outlineLevel="1"/>
    <col customWidth="1" min="99" max="112" width="9.88"/>
    <col collapsed="1" customWidth="1" min="113" max="113" width="9.88"/>
    <col customWidth="1" hidden="1" min="114" max="153" width="9.88" outlineLevel="1"/>
    <col customWidth="1" hidden="1" min="154" max="154" width="23.0" outlineLevel="1"/>
    <col customWidth="1" hidden="1" min="155" max="190" width="9.88" outlineLevel="1"/>
  </cols>
  <sheetData>
    <row r="1">
      <c r="B1" s="199"/>
      <c r="K1" s="200"/>
      <c r="L1" s="200"/>
      <c r="M1" s="200"/>
      <c r="N1" s="200"/>
      <c r="W1" s="201"/>
      <c r="X1" s="202" t="s">
        <v>210</v>
      </c>
      <c r="AE1" s="203"/>
      <c r="AF1" s="204"/>
      <c r="AG1" s="205" t="str">
        <f>"SEGUIMIENTO DE BIENESTAR DE "&amp;'Introducción'!B19&amp;" "&amp;'Introducción'!B20 </f>
        <v>#REF!</v>
      </c>
      <c r="BZ1" s="206" t="s">
        <v>211</v>
      </c>
      <c r="DK1" s="207" t="s">
        <v>51</v>
      </c>
      <c r="DL1" s="207" t="s">
        <v>52</v>
      </c>
      <c r="DM1" s="207" t="s">
        <v>53</v>
      </c>
      <c r="DN1" s="207" t="s">
        <v>54</v>
      </c>
      <c r="DO1" s="207" t="s">
        <v>55</v>
      </c>
      <c r="DP1" s="207" t="s">
        <v>56</v>
      </c>
      <c r="DQ1" s="207" t="s">
        <v>57</v>
      </c>
      <c r="DR1" s="207" t="s">
        <v>58</v>
      </c>
      <c r="DS1" s="207" t="s">
        <v>59</v>
      </c>
      <c r="DT1" s="207" t="s">
        <v>60</v>
      </c>
      <c r="DU1" s="207" t="s">
        <v>61</v>
      </c>
      <c r="DV1" s="207" t="s">
        <v>62</v>
      </c>
      <c r="DW1" s="207" t="s">
        <v>63</v>
      </c>
      <c r="DX1" s="207" t="s">
        <v>64</v>
      </c>
      <c r="DY1" s="207" t="s">
        <v>65</v>
      </c>
      <c r="DZ1" s="207" t="s">
        <v>66</v>
      </c>
      <c r="EA1" s="207" t="s">
        <v>67</v>
      </c>
      <c r="EB1" s="207" t="s">
        <v>68</v>
      </c>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9" t="s">
        <v>21</v>
      </c>
      <c r="GA1" s="210"/>
      <c r="GB1" s="210"/>
      <c r="GC1" s="209" t="s">
        <v>36</v>
      </c>
      <c r="GD1" s="210"/>
      <c r="GE1" s="210"/>
      <c r="GF1" s="209" t="s">
        <v>42</v>
      </c>
      <c r="GG1" s="210"/>
      <c r="GH1" s="210"/>
    </row>
    <row r="2">
      <c r="B2" s="211"/>
      <c r="E2" s="212"/>
      <c r="I2" s="106"/>
      <c r="J2" s="213" t="s">
        <v>212</v>
      </c>
      <c r="K2" s="214"/>
      <c r="L2" s="214"/>
      <c r="M2" s="214"/>
      <c r="N2" s="214"/>
      <c r="O2" s="214"/>
      <c r="P2" s="214"/>
      <c r="Q2" s="214"/>
      <c r="R2" s="214"/>
      <c r="S2" s="214"/>
      <c r="T2" s="215"/>
      <c r="W2" s="201"/>
      <c r="AE2" s="203"/>
      <c r="AF2" s="204"/>
      <c r="AG2" s="216" t="s">
        <v>213</v>
      </c>
      <c r="BZ2" s="217"/>
      <c r="DJ2" s="144" t="s">
        <v>214</v>
      </c>
      <c r="DK2" s="108"/>
      <c r="DL2" s="108"/>
      <c r="DM2" s="108"/>
      <c r="DN2" s="108"/>
      <c r="DO2" s="108"/>
      <c r="DP2" s="108"/>
      <c r="DQ2" s="108"/>
      <c r="DR2" s="108"/>
      <c r="DS2" s="108"/>
      <c r="DT2" s="108"/>
      <c r="DU2" s="108"/>
      <c r="DV2" s="108"/>
      <c r="DW2" s="108"/>
      <c r="DX2" s="108"/>
      <c r="DY2" s="108"/>
      <c r="DZ2" s="108"/>
      <c r="EA2" s="108"/>
      <c r="EB2" s="108"/>
      <c r="EX2" s="218" t="s">
        <v>215</v>
      </c>
      <c r="EY2" s="218"/>
      <c r="EZ2" s="218" t="s">
        <v>216</v>
      </c>
      <c r="FA2" s="218"/>
      <c r="FB2" s="218"/>
      <c r="FC2" s="218"/>
      <c r="FD2" s="218"/>
      <c r="FE2" s="218"/>
      <c r="FF2" s="218"/>
      <c r="FG2" s="218"/>
      <c r="FH2" s="218"/>
      <c r="FI2" s="218"/>
      <c r="FJ2" s="218"/>
      <c r="FK2" s="208"/>
      <c r="FL2" s="218" t="s">
        <v>215</v>
      </c>
      <c r="FM2" s="208"/>
      <c r="FN2" s="208" t="s">
        <v>217</v>
      </c>
      <c r="FO2" s="208"/>
      <c r="FP2" s="208"/>
      <c r="FQ2" s="208"/>
      <c r="FR2" s="208"/>
      <c r="FS2" s="208"/>
      <c r="FT2" s="208"/>
      <c r="FU2" s="208"/>
      <c r="FV2" s="208"/>
      <c r="FW2" s="208"/>
      <c r="FX2" s="208"/>
      <c r="FY2" s="208"/>
      <c r="FZ2" s="219" t="s">
        <v>218</v>
      </c>
      <c r="GC2" s="219" t="s">
        <v>218</v>
      </c>
      <c r="GF2" s="219" t="s">
        <v>218</v>
      </c>
    </row>
    <row r="3">
      <c r="B3" s="199"/>
      <c r="I3" s="106"/>
      <c r="J3" s="220" t="s">
        <v>219</v>
      </c>
      <c r="K3" s="221"/>
      <c r="L3" s="221"/>
      <c r="M3" s="221"/>
      <c r="N3" s="221"/>
      <c r="O3" s="221"/>
      <c r="P3" s="221"/>
      <c r="Q3" s="221"/>
      <c r="R3" s="221"/>
      <c r="S3" s="221"/>
      <c r="T3" s="222"/>
      <c r="W3" s="201"/>
      <c r="AE3" s="203"/>
      <c r="AF3" s="204"/>
      <c r="AG3" s="223" t="s">
        <v>220</v>
      </c>
      <c r="BZ3" s="217"/>
      <c r="DJ3" s="83"/>
      <c r="DK3" s="207" t="str">
        <f t="array" ref="DK3">IF(NOT($D$37=1),IFERROR(INDIRECT("'Bloque "&amp;$D$38&amp;" Semana "&amp;"1"&amp;"'"&amp;"!"&amp;"E37"),""),"S1")</f>
        <v/>
      </c>
      <c r="DL3" s="207" t="str">
        <f t="array" ref="DL3">IF(NOT($D$37=2),IFERROR(INDIRECT("'Bloque "&amp;$D$38&amp;" Semana "&amp;"2"&amp;"'"&amp;"!"&amp;"E37"),""),"S2")</f>
        <v/>
      </c>
      <c r="DM3" s="207" t="str">
        <f t="array" ref="DM3">IF(NOT($D$37=3),IFERROR(INDIRECT("'Bloque "&amp;$D$38&amp;" Semana "&amp;"3"&amp;"'"&amp;"!"&amp;"E37"),""),"S3")</f>
        <v>S3</v>
      </c>
      <c r="DN3" s="207" t="str">
        <f t="array" ref="DN3">IF(NOT($D$37=4),IFERROR(INDIRECT("'Bloque "&amp;$D$38&amp;" Semana "&amp;"4"&amp;"'"&amp;"!"&amp;"E37"),""),"S4")</f>
        <v/>
      </c>
      <c r="DO3" s="207" t="str">
        <f t="array" ref="DO3">IF(NOT($D$37=5),IFERROR(INDIRECT("'Bloque "&amp;$D$38&amp;" Semana "&amp;"5"&amp;"'"&amp;"!"&amp;"E37"),""),"S5")</f>
        <v/>
      </c>
      <c r="DP3" s="207" t="str">
        <f t="array" ref="DP3">IF(NOT($D$37=6),IFERROR(INDIRECT("'Bloque "&amp;$D$38&amp;" Semana "&amp;"6"&amp;"'"&amp;"!"&amp;"E37"),""),"S6")</f>
        <v/>
      </c>
      <c r="DQ3" s="207" t="str">
        <f t="array" ref="DQ3">IF(NOT($D$37=7),IFERROR(INDIRECT("'Bloque "&amp;$D$38&amp;" Semana "&amp;"7"&amp;"'"&amp;"!"&amp;"E37"),""),"S7")</f>
        <v/>
      </c>
      <c r="DR3" s="207" t="str">
        <f t="array" ref="DR3">IF(NOT($D$37=8),IFERROR(INDIRECT("'Bloque "&amp;$D$38&amp;" Semana "&amp;"8"&amp;"'"&amp;"!"&amp;"E37"),""),"S8")</f>
        <v/>
      </c>
      <c r="DS3" s="207" t="str">
        <f t="array" ref="DS3">IF(NOT($D$37=9),IFERROR(INDIRECT("'Bloque "&amp;$D$38&amp;" Semana "&amp;"9"&amp;"'"&amp;"!"&amp;"E37"),""),"S9")</f>
        <v/>
      </c>
      <c r="DT3" s="207" t="str">
        <f t="array" ref="DT3">IF(NOT($D$37=10),IFERROR(INDIRECT("'Bloque "&amp;$D$38&amp;" Semana "&amp;"10"&amp;"'"&amp;"!"&amp;"E37"),""),"S10")</f>
        <v/>
      </c>
      <c r="DU3" s="207" t="str">
        <f t="array" ref="DU3">IF(NOT($D$37=11),IFERROR(INDIRECT("'Bloque "&amp;$D$38&amp;" Semana "&amp;"11"&amp;"'"&amp;"!"&amp;"E37"),""),"S11")</f>
        <v/>
      </c>
      <c r="DV3" s="207" t="str">
        <f t="array" ref="DV3">IF(NOT($D$37=12),IFERROR(INDIRECT("'Bloque "&amp;$D$38&amp;" Semana "&amp;"12"&amp;"'"&amp;"!"&amp;"E37"),""),"S12")</f>
        <v/>
      </c>
      <c r="DW3" s="207" t="str">
        <f t="array" ref="DW3">IF(NOT($D$37=13),IFERROR(INDIRECT("'Bloque "&amp;$D$38&amp;" Semana "&amp;"13"&amp;"'"&amp;"!"&amp;"E37"),""),"S13")</f>
        <v/>
      </c>
      <c r="DX3" s="207" t="str">
        <f t="array" ref="DX3">IF(NOT($D$37=14),IFERROR(INDIRECT("'Bloque "&amp;$D$38&amp;" Semana "&amp;"14"&amp;"'"&amp;"!"&amp;"E37"),""),"S14")</f>
        <v/>
      </c>
      <c r="DY3" s="207" t="str">
        <f t="array" ref="DY3">IF(NOT($D$37=15),IFERROR(INDIRECT("'Bloque "&amp;$D$38&amp;" Semana "&amp;"15"&amp;"'"&amp;"!"&amp;"E37"),""),"S15")</f>
        <v/>
      </c>
      <c r="DZ3" s="207" t="str">
        <f t="array" ref="DZ3">IF(NOT($D$37=16),IFERROR(INDIRECT("'Bloque "&amp;$D$38&amp;" Semana "&amp;"16"&amp;"'"&amp;"!"&amp;"E37"),""),"S16")</f>
        <v/>
      </c>
      <c r="EA3" s="207" t="str">
        <f t="array" ref="EA3">IF(NOT($D$37=17),IFERROR(INDIRECT("'Bloque "&amp;$D$38&amp;" Semana "&amp;"17"&amp;"'"&amp;"!"&amp;"E37"),""),"S17")</f>
        <v/>
      </c>
      <c r="EB3" s="207" t="str">
        <f t="array" ref="EB3">IF(NOT($D$37=18),IFERROR(INDIRECT("'Bloque "&amp;$D$38&amp;" Semana "&amp;"18"&amp;"'"&amp;"!"&amp;"E37"),""),"S18")</f>
        <v/>
      </c>
      <c r="ED3" s="144" t="s">
        <v>221</v>
      </c>
      <c r="EE3" s="108"/>
      <c r="EF3" s="108"/>
      <c r="EG3" s="108"/>
      <c r="EH3" s="108"/>
      <c r="EI3" s="108"/>
      <c r="EJ3" s="108"/>
      <c r="EK3" s="108"/>
      <c r="EL3" s="108"/>
      <c r="EM3" s="108"/>
      <c r="EN3" s="108"/>
      <c r="EO3" s="108"/>
      <c r="EP3" s="108"/>
      <c r="EQ3" s="108"/>
      <c r="ER3" s="108"/>
      <c r="ES3" s="108"/>
      <c r="ET3" s="108"/>
      <c r="EU3" s="108"/>
      <c r="EV3" s="108"/>
      <c r="EX3" s="218" t="s">
        <v>222</v>
      </c>
      <c r="EY3" s="218">
        <v>1.0</v>
      </c>
      <c r="EZ3" s="218">
        <v>2.0</v>
      </c>
      <c r="FA3" s="218">
        <v>3.0</v>
      </c>
      <c r="FB3" s="218">
        <v>4.0</v>
      </c>
      <c r="FC3" s="218">
        <v>5.0</v>
      </c>
      <c r="FD3" s="218">
        <v>6.0</v>
      </c>
      <c r="FE3" s="218">
        <v>7.0</v>
      </c>
      <c r="FF3" s="218">
        <v>8.0</v>
      </c>
      <c r="FG3" s="218">
        <v>9.0</v>
      </c>
      <c r="FH3" s="218">
        <v>10.0</v>
      </c>
      <c r="FI3" s="218">
        <v>11.0</v>
      </c>
      <c r="FJ3" s="218">
        <v>12.0</v>
      </c>
      <c r="FK3" s="208"/>
      <c r="FL3" s="218" t="s">
        <v>222</v>
      </c>
      <c r="FM3" s="218">
        <v>1.0</v>
      </c>
      <c r="FN3" s="218">
        <v>2.0</v>
      </c>
      <c r="FO3" s="218">
        <v>3.0</v>
      </c>
      <c r="FP3" s="218">
        <v>4.0</v>
      </c>
      <c r="FQ3" s="218">
        <v>5.0</v>
      </c>
      <c r="FR3" s="218">
        <v>6.0</v>
      </c>
      <c r="FS3" s="218">
        <v>7.0</v>
      </c>
      <c r="FT3" s="218">
        <v>8.0</v>
      </c>
      <c r="FU3" s="218">
        <v>9.0</v>
      </c>
      <c r="FV3" s="218">
        <v>10.0</v>
      </c>
      <c r="FW3" s="218">
        <v>11.0</v>
      </c>
      <c r="FX3" s="218">
        <v>12.0</v>
      </c>
      <c r="FY3" s="218"/>
      <c r="FZ3" s="212"/>
      <c r="GA3" s="224" t="s">
        <v>223</v>
      </c>
      <c r="GB3" s="224" t="s">
        <v>224</v>
      </c>
      <c r="GC3" s="212"/>
      <c r="GD3" s="224" t="s">
        <v>223</v>
      </c>
      <c r="GE3" s="224" t="s">
        <v>224</v>
      </c>
      <c r="GF3" s="212"/>
      <c r="GG3" s="224" t="s">
        <v>223</v>
      </c>
      <c r="GH3" s="224" t="s">
        <v>224</v>
      </c>
    </row>
    <row r="4" ht="27.0" customHeight="1">
      <c r="B4" s="199"/>
      <c r="I4" s="106"/>
      <c r="J4" s="225"/>
      <c r="T4" s="226"/>
      <c r="W4" s="201"/>
      <c r="AE4" s="203"/>
      <c r="AF4" s="204"/>
      <c r="BZ4" s="217"/>
      <c r="DJ4" s="120" t="s">
        <v>21</v>
      </c>
      <c r="DK4" s="172" t="str">
        <f t="shared" ref="DK4:EB4" si="1">IFERROR(INDIRECT("'Bloque "&amp;$D$38&amp;" Semana "&amp;MID(DK3,2,2)&amp;"'"&amp;"!"&amp;"CC15"),"")</f>
        <v/>
      </c>
      <c r="DL4" s="172" t="str">
        <f t="shared" si="1"/>
        <v/>
      </c>
      <c r="DM4" s="172" t="str">
        <f t="shared" si="1"/>
        <v/>
      </c>
      <c r="DN4" s="172" t="str">
        <f t="shared" si="1"/>
        <v/>
      </c>
      <c r="DO4" s="172" t="str">
        <f t="shared" si="1"/>
        <v/>
      </c>
      <c r="DP4" s="172" t="str">
        <f t="shared" si="1"/>
        <v/>
      </c>
      <c r="DQ4" s="172" t="str">
        <f t="shared" si="1"/>
        <v/>
      </c>
      <c r="DR4" s="172" t="str">
        <f t="shared" si="1"/>
        <v/>
      </c>
      <c r="DS4" s="172" t="str">
        <f t="shared" si="1"/>
        <v/>
      </c>
      <c r="DT4" s="172" t="str">
        <f t="shared" si="1"/>
        <v/>
      </c>
      <c r="DU4" s="172" t="str">
        <f t="shared" si="1"/>
        <v/>
      </c>
      <c r="DV4" s="172" t="str">
        <f t="shared" si="1"/>
        <v/>
      </c>
      <c r="DW4" s="172" t="str">
        <f t="shared" si="1"/>
        <v/>
      </c>
      <c r="DX4" s="172" t="str">
        <f t="shared" si="1"/>
        <v/>
      </c>
      <c r="DY4" s="172" t="str">
        <f t="shared" si="1"/>
        <v/>
      </c>
      <c r="DZ4" s="172" t="str">
        <f t="shared" si="1"/>
        <v/>
      </c>
      <c r="EA4" s="172" t="str">
        <f t="shared" si="1"/>
        <v/>
      </c>
      <c r="EB4" s="172" t="str">
        <f t="shared" si="1"/>
        <v/>
      </c>
      <c r="ED4" s="83"/>
      <c r="EE4" s="227" t="str">
        <f t="array" ref="EE4">IF(NOT($D$37=1),IFERROR(INDIRECT("'Bloque "&amp;$D$38&amp;" Semana "&amp;"1"&amp;"'"&amp;"!"&amp;"E37"),""),"S1")</f>
        <v/>
      </c>
      <c r="EF4" s="227" t="str">
        <f t="array" ref="EF4">IF(NOT($D$37=2),IFERROR(INDIRECT("'Bloque "&amp;$D$38&amp;" Semana "&amp;"2"&amp;"'"&amp;"!"&amp;"E37"),""),"S2")</f>
        <v/>
      </c>
      <c r="EG4" s="227" t="str">
        <f t="array" ref="EG4">IF(NOT($D$37=3),IFERROR(INDIRECT("'Bloque "&amp;$D$38&amp;" Semana "&amp;"3"&amp;"'"&amp;"!"&amp;"E37"),""),"S3")</f>
        <v>S3</v>
      </c>
      <c r="EH4" s="227" t="str">
        <f t="array" ref="EH4">IF(NOT($D$37=4),IFERROR(INDIRECT("'Bloque "&amp;$D$38&amp;" Semana "&amp;"4"&amp;"'"&amp;"!"&amp;"E37"),""),"S4")</f>
        <v/>
      </c>
      <c r="EI4" s="227" t="str">
        <f t="array" ref="EI4">IF(NOT($D$37=5),IFERROR(INDIRECT("'Bloque "&amp;$D$38&amp;" Semana "&amp;"5"&amp;"'"&amp;"!"&amp;"E37"),""),"S5")</f>
        <v/>
      </c>
      <c r="EJ4" s="227" t="str">
        <f t="array" ref="EJ4">IF(NOT($D$37=6),IFERROR(INDIRECT("'Bloque "&amp;$D$38&amp;" Semana "&amp;"6"&amp;"'"&amp;"!"&amp;"E37"),""),"S6")</f>
        <v/>
      </c>
      <c r="EK4" s="227" t="str">
        <f t="array" ref="EK4">IF(NOT($D$37=7),IFERROR(INDIRECT("'Bloque "&amp;$D$38&amp;" Semana "&amp;"7"&amp;"'"&amp;"!"&amp;"E37"),""),"S7")</f>
        <v/>
      </c>
      <c r="EL4" s="227" t="str">
        <f t="array" ref="EL4">IF(NOT($D$37=8),IFERROR(INDIRECT("'Bloque "&amp;$D$38&amp;" Semana "&amp;"8"&amp;"'"&amp;"!"&amp;"E37"),""),"S8")</f>
        <v/>
      </c>
      <c r="EM4" s="227" t="str">
        <f t="array" ref="EM4">IF(NOT($D$37=9),IFERROR(INDIRECT("'Bloque "&amp;$D$38&amp;" Semana "&amp;"9"&amp;"'"&amp;"!"&amp;"E37"),""),"S9")</f>
        <v/>
      </c>
      <c r="EN4" s="227" t="str">
        <f t="array" ref="EN4">IF(NOT($D$37=10),IFERROR(INDIRECT("'Bloque "&amp;$D$38&amp;" Semana "&amp;"10"&amp;"'"&amp;"!"&amp;"E37"),""),"S10")</f>
        <v/>
      </c>
      <c r="EO4" s="227" t="str">
        <f t="array" ref="EO4">IF(NOT($D$37=11),IFERROR(INDIRECT("'Bloque "&amp;$D$38&amp;" Semana "&amp;"11"&amp;"'"&amp;"!"&amp;"E37"),""),"S11")</f>
        <v/>
      </c>
      <c r="EP4" s="227" t="str">
        <f t="array" ref="EP4">IF(NOT($D$37=12),IFERROR(INDIRECT("'Bloque "&amp;$D$38&amp;" Semana "&amp;"12"&amp;"'"&amp;"!"&amp;"E37"),""),"S12")</f>
        <v/>
      </c>
      <c r="EQ4" s="227" t="str">
        <f t="array" ref="EQ4">IF(NOT($D$37=13),IFERROR(INDIRECT("'Bloque "&amp;$D$38&amp;" Semana "&amp;"13"&amp;"'"&amp;"!"&amp;"E37"),""),"S13")</f>
        <v/>
      </c>
      <c r="ER4" s="227" t="str">
        <f t="array" ref="ER4">IF(NOT($D$37=14),IFERROR(INDIRECT("'Bloque "&amp;$D$38&amp;" Semana "&amp;"14"&amp;"'"&amp;"!"&amp;"E37"),""),"S14")</f>
        <v/>
      </c>
      <c r="ES4" s="227" t="str">
        <f t="array" ref="ES4">IF(NOT($D$37=15),IFERROR(INDIRECT("'Bloque "&amp;$D$38&amp;" Semana "&amp;"15"&amp;"'"&amp;"!"&amp;"E37"),""),"S15")</f>
        <v/>
      </c>
      <c r="ET4" s="227" t="str">
        <f t="array" ref="ET4">IF(NOT($D$37=16),IFERROR(INDIRECT("'Bloque "&amp;$D$38&amp;" Semana "&amp;"16"&amp;"'"&amp;"!"&amp;"E37"),""),"S16")</f>
        <v/>
      </c>
      <c r="EU4" s="227" t="str">
        <f t="array" ref="EU4">IF(NOT($D$37=17),IFERROR(INDIRECT("'Bloque "&amp;$D$38&amp;" Semana "&amp;"17"&amp;"'"&amp;"!"&amp;"E37"),""),"S17")</f>
        <v/>
      </c>
      <c r="EV4" s="227" t="str">
        <f t="array" ref="EV4">IF(NOT($D$37=18),IFERROR(INDIRECT("'Bloque "&amp;$D$38&amp;" Semana "&amp;"18"&amp;"'"&amp;"!"&amp;"E37"),""),"S18")</f>
        <v/>
      </c>
      <c r="EX4" s="218">
        <v>10.0</v>
      </c>
      <c r="EY4" s="228">
        <v>1.0</v>
      </c>
      <c r="EZ4" s="228">
        <v>0.955</v>
      </c>
      <c r="FA4" s="228">
        <v>0.922</v>
      </c>
      <c r="FB4" s="228">
        <v>0.892</v>
      </c>
      <c r="FC4" s="228">
        <v>0.863</v>
      </c>
      <c r="FD4" s="228">
        <v>0.837</v>
      </c>
      <c r="FE4" s="228">
        <v>0.811</v>
      </c>
      <c r="FF4" s="228">
        <v>0.786</v>
      </c>
      <c r="FG4" s="228">
        <v>0.762</v>
      </c>
      <c r="FH4" s="228">
        <v>0.739</v>
      </c>
      <c r="FI4" s="228">
        <v>0.707</v>
      </c>
      <c r="FJ4" s="228">
        <v>0.68</v>
      </c>
      <c r="FK4" s="208"/>
      <c r="FL4" s="218">
        <v>10.0</v>
      </c>
      <c r="FM4" s="228">
        <v>1.0</v>
      </c>
      <c r="FN4" s="228">
        <v>0.965</v>
      </c>
      <c r="FO4" s="228">
        <v>0.942</v>
      </c>
      <c r="FP4" s="228">
        <v>0.919</v>
      </c>
      <c r="FQ4" s="228">
        <v>0.897</v>
      </c>
      <c r="FR4" s="228">
        <v>0.875</v>
      </c>
      <c r="FS4" s="228">
        <v>0.854</v>
      </c>
      <c r="FT4" s="228">
        <v>0.834</v>
      </c>
      <c r="FU4" s="228">
        <v>0.814</v>
      </c>
      <c r="FV4" s="228">
        <v>0.794</v>
      </c>
      <c r="FW4" s="228">
        <v>0.775</v>
      </c>
      <c r="FX4" s="228">
        <v>0.756</v>
      </c>
      <c r="FY4" s="228"/>
      <c r="FZ4" s="84" t="str">
        <f t="array" ref="FZ4">IF(NOT($D$37=1),IFERROR(INDIRECT("'Bloque "&amp;$D$38&amp;" Semana "&amp;"1"&amp;"'"&amp;"!"&amp;"E37"),""),"S1")</f>
        <v/>
      </c>
      <c r="GA4" s="229" t="str">
        <f t="shared" ref="GA4:GA21" si="4">IFERROR(INDIRECT("'Bloque "&amp;$D$38&amp;" Semana "&amp;MID(FZ4,2,2)&amp;"'"&amp;"!"&amp;"CD15"),"")</f>
        <v/>
      </c>
      <c r="GB4" s="212" t="str">
        <f t="shared" ref="GB4:GB21" si="5">IFERROR(INDIRECT("'Bloque "&amp;$D$38&amp;" Semana "&amp;MID(FZ4,2,2)&amp;"'"&amp;"!"&amp;"CC15"),"")</f>
        <v/>
      </c>
      <c r="GC4" s="84" t="str">
        <f t="array" ref="GC4">IF(NOT($D$37=1),IFERROR(INDIRECT("'Bloque "&amp;$D$38&amp;" Semana "&amp;"1"&amp;"'"&amp;"!"&amp;"E37"),""),"S1")</f>
        <v/>
      </c>
      <c r="GD4" s="229" t="str">
        <f t="shared" ref="GD4:GD21" si="6">IFERROR(INDIRECT("'Bloque "&amp;$D$38&amp;" Semana "&amp;MID(GC4,2,2)&amp;"'"&amp;"!"&amp;"CD16"),"")</f>
        <v/>
      </c>
      <c r="GE4" s="212" t="str">
        <f t="shared" ref="GE4:GE21" si="7">IFERROR(INDIRECT("'Bloque "&amp;$D$38&amp;" Semana "&amp;MID(GC4,2,2)&amp;"'"&amp;"!"&amp;"CC16"),"")</f>
        <v/>
      </c>
      <c r="GF4" s="84" t="str">
        <f t="array" ref="GF4">IF(NOT($D$37=1),IFERROR(INDIRECT("'Bloque "&amp;$D$38&amp;" Semana "&amp;"1"&amp;"'"&amp;"!"&amp;"E37"),""),"S1")</f>
        <v/>
      </c>
      <c r="GG4" s="229" t="str">
        <f t="shared" ref="GG4:GG21" si="8">IFERROR(INDIRECT("'Bloque "&amp;$D$38&amp;" Semana "&amp;MID(GF4,2,2)&amp;"'"&amp;"!"&amp;"CD17"),"")</f>
        <v/>
      </c>
      <c r="GH4" s="212" t="str">
        <f t="shared" ref="GH4:GH21" si="9">IFERROR(INDIRECT("'Bloque "&amp;$D$38&amp;" Semana "&amp;MID(GF4,2,2)&amp;"'"&amp;"!"&amp;"CC17"),"")</f>
        <v/>
      </c>
    </row>
    <row r="5">
      <c r="B5" s="199"/>
      <c r="I5" s="106"/>
      <c r="J5" s="225"/>
      <c r="T5" s="226"/>
      <c r="W5" s="201"/>
      <c r="AE5" s="203"/>
      <c r="AF5" s="204"/>
      <c r="AG5" s="230" t="s">
        <v>225</v>
      </c>
      <c r="BZ5" s="217"/>
      <c r="CU5" s="4"/>
      <c r="DJ5" s="120" t="s">
        <v>36</v>
      </c>
      <c r="DK5" s="172" t="str">
        <f t="shared" ref="DK5:EB5" si="2">IFERROR(INDIRECT("'Bloque "&amp;$D$38&amp;" Semana "&amp;MID(DK3,2,2)&amp;"'"&amp;"!"&amp;"CC16"),"")</f>
        <v/>
      </c>
      <c r="DL5" s="172" t="str">
        <f t="shared" si="2"/>
        <v/>
      </c>
      <c r="DM5" s="172" t="str">
        <f t="shared" si="2"/>
        <v/>
      </c>
      <c r="DN5" s="172" t="str">
        <f t="shared" si="2"/>
        <v/>
      </c>
      <c r="DO5" s="172" t="str">
        <f t="shared" si="2"/>
        <v/>
      </c>
      <c r="DP5" s="172" t="str">
        <f t="shared" si="2"/>
        <v/>
      </c>
      <c r="DQ5" s="172" t="str">
        <f t="shared" si="2"/>
        <v/>
      </c>
      <c r="DR5" s="172" t="str">
        <f t="shared" si="2"/>
        <v/>
      </c>
      <c r="DS5" s="172" t="str">
        <f t="shared" si="2"/>
        <v/>
      </c>
      <c r="DT5" s="172" t="str">
        <f t="shared" si="2"/>
        <v/>
      </c>
      <c r="DU5" s="172" t="str">
        <f t="shared" si="2"/>
        <v/>
      </c>
      <c r="DV5" s="172" t="str">
        <f t="shared" si="2"/>
        <v/>
      </c>
      <c r="DW5" s="172" t="str">
        <f t="shared" si="2"/>
        <v/>
      </c>
      <c r="DX5" s="172" t="str">
        <f t="shared" si="2"/>
        <v/>
      </c>
      <c r="DY5" s="172" t="str">
        <f t="shared" si="2"/>
        <v/>
      </c>
      <c r="DZ5" s="172" t="str">
        <f t="shared" si="2"/>
        <v/>
      </c>
      <c r="EA5" s="172" t="str">
        <f t="shared" si="2"/>
        <v/>
      </c>
      <c r="EB5" s="172" t="str">
        <f t="shared" si="2"/>
        <v/>
      </c>
      <c r="ED5" s="120" t="str">
        <f t="shared" ref="ED5:ED10" si="11">BZ21</f>
        <v>Dominante de Rodilla</v>
      </c>
      <c r="EE5" s="231" t="str">
        <f t="shared" ref="EE5:EV5" si="3">IFERROR(INDIRECT("'Bloque "&amp;$D$38&amp;" Semana "&amp;MID(EE4,2,2)&amp;"'"&amp;"!"&amp;"CC21"),"")</f>
        <v/>
      </c>
      <c r="EF5" s="231" t="str">
        <f t="shared" si="3"/>
        <v/>
      </c>
      <c r="EG5" s="231" t="str">
        <f t="shared" si="3"/>
        <v/>
      </c>
      <c r="EH5" s="231" t="str">
        <f t="shared" si="3"/>
        <v/>
      </c>
      <c r="EI5" s="231" t="str">
        <f t="shared" si="3"/>
        <v/>
      </c>
      <c r="EJ5" s="231" t="str">
        <f t="shared" si="3"/>
        <v/>
      </c>
      <c r="EK5" s="231" t="str">
        <f t="shared" si="3"/>
        <v/>
      </c>
      <c r="EL5" s="231" t="str">
        <f t="shared" si="3"/>
        <v/>
      </c>
      <c r="EM5" s="231" t="str">
        <f t="shared" si="3"/>
        <v/>
      </c>
      <c r="EN5" s="231" t="str">
        <f t="shared" si="3"/>
        <v/>
      </c>
      <c r="EO5" s="231" t="str">
        <f t="shared" si="3"/>
        <v/>
      </c>
      <c r="EP5" s="231" t="str">
        <f t="shared" si="3"/>
        <v/>
      </c>
      <c r="EQ5" s="231" t="str">
        <f t="shared" si="3"/>
        <v/>
      </c>
      <c r="ER5" s="231" t="str">
        <f t="shared" si="3"/>
        <v/>
      </c>
      <c r="ES5" s="231" t="str">
        <f t="shared" si="3"/>
        <v/>
      </c>
      <c r="ET5" s="231" t="str">
        <f t="shared" si="3"/>
        <v/>
      </c>
      <c r="EU5" s="231" t="str">
        <f t="shared" si="3"/>
        <v/>
      </c>
      <c r="EV5" s="231" t="str">
        <f t="shared" si="3"/>
        <v/>
      </c>
      <c r="EX5" s="218">
        <v>9.5</v>
      </c>
      <c r="EY5" s="228">
        <v>0.978</v>
      </c>
      <c r="EZ5" s="228">
        <v>0.939</v>
      </c>
      <c r="FA5" s="228">
        <v>0.907</v>
      </c>
      <c r="FB5" s="228">
        <v>0.878</v>
      </c>
      <c r="FC5" s="228">
        <v>0.85</v>
      </c>
      <c r="FD5" s="228">
        <v>0.824</v>
      </c>
      <c r="FE5" s="228">
        <v>0.799</v>
      </c>
      <c r="FF5" s="228">
        <v>0.774</v>
      </c>
      <c r="FG5" s="228">
        <v>0.751</v>
      </c>
      <c r="FH5" s="228">
        <v>0.723</v>
      </c>
      <c r="FI5" s="228">
        <v>0.694</v>
      </c>
      <c r="FJ5" s="228">
        <v>0.667</v>
      </c>
      <c r="FK5" s="208"/>
      <c r="FL5" s="218">
        <v>9.5</v>
      </c>
      <c r="FM5" s="228">
        <v>0.989</v>
      </c>
      <c r="FN5" s="228">
        <v>0.955</v>
      </c>
      <c r="FO5" s="228">
        <v>0.932</v>
      </c>
      <c r="FP5" s="228">
        <v>0.909</v>
      </c>
      <c r="FQ5" s="228">
        <v>0.887</v>
      </c>
      <c r="FR5" s="228">
        <v>0.866</v>
      </c>
      <c r="FS5" s="228">
        <v>0.845</v>
      </c>
      <c r="FT5" s="228">
        <v>0.825</v>
      </c>
      <c r="FU5" s="228">
        <v>0.805</v>
      </c>
      <c r="FV5" s="228">
        <v>0.756</v>
      </c>
      <c r="FW5" s="228">
        <v>0.767</v>
      </c>
      <c r="FX5" s="228">
        <v>0.748</v>
      </c>
      <c r="FY5" s="228"/>
      <c r="FZ5" s="84" t="str">
        <f t="array" ref="FZ5">IF(NOT($D$37=2),IFERROR(INDIRECT("'Bloque "&amp;$D$38&amp;" Semana "&amp;"2"&amp;"'"&amp;"!"&amp;"E37"),""),"S2")</f>
        <v/>
      </c>
      <c r="GA5" s="229" t="str">
        <f t="shared" si="4"/>
        <v/>
      </c>
      <c r="GB5" s="212" t="str">
        <f t="shared" si="5"/>
        <v/>
      </c>
      <c r="GC5" s="84" t="str">
        <f t="array" ref="GC5">IF(NOT($D$37=2),IFERROR(INDIRECT("'Bloque "&amp;$D$38&amp;" Semana "&amp;"2"&amp;"'"&amp;"!"&amp;"E37"),""),"S2")</f>
        <v/>
      </c>
      <c r="GD5" s="229" t="str">
        <f t="shared" si="6"/>
        <v/>
      </c>
      <c r="GE5" s="212" t="str">
        <f t="shared" si="7"/>
        <v/>
      </c>
      <c r="GF5" s="84" t="str">
        <f t="array" ref="GF5">IF(NOT($D$37=2),IFERROR(INDIRECT("'Bloque "&amp;$D$38&amp;" Semana "&amp;"2"&amp;"'"&amp;"!"&amp;"E37"),""),"S2")</f>
        <v/>
      </c>
      <c r="GG5" s="229" t="str">
        <f t="shared" si="8"/>
        <v/>
      </c>
      <c r="GH5" s="212" t="str">
        <f t="shared" si="9"/>
        <v/>
      </c>
    </row>
    <row r="6" ht="30.75" customHeight="1">
      <c r="B6" s="199"/>
      <c r="I6" s="106"/>
      <c r="J6" s="225"/>
      <c r="T6" s="226"/>
      <c r="W6" s="201"/>
      <c r="AE6" s="203"/>
      <c r="AF6" s="204"/>
      <c r="AG6" s="232" t="s">
        <v>226</v>
      </c>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33" t="s">
        <v>227</v>
      </c>
      <c r="BS6" s="221"/>
      <c r="BT6" s="221"/>
      <c r="BU6" s="221"/>
      <c r="BV6" s="221"/>
      <c r="BW6" s="221"/>
      <c r="BX6" s="106"/>
      <c r="BY6" s="106"/>
      <c r="BZ6" s="234" t="s">
        <v>228</v>
      </c>
      <c r="CA6" s="235"/>
      <c r="CB6" s="235"/>
      <c r="CC6" s="235"/>
      <c r="CD6" s="235"/>
      <c r="CE6" s="235"/>
      <c r="CF6" s="236"/>
      <c r="CG6" s="236"/>
      <c r="CH6" s="237" t="s">
        <v>229</v>
      </c>
      <c r="CI6" s="238"/>
      <c r="CJ6" s="239"/>
      <c r="CK6" s="237"/>
      <c r="CL6" s="239"/>
      <c r="CM6" s="239"/>
      <c r="CN6" s="239"/>
      <c r="CO6" s="240" t="s">
        <v>230</v>
      </c>
      <c r="CP6" s="210"/>
      <c r="CQ6" s="210"/>
      <c r="CR6" s="210"/>
      <c r="CS6" s="210"/>
      <c r="CT6" s="241"/>
      <c r="DJ6" s="120" t="s">
        <v>42</v>
      </c>
      <c r="DK6" s="172" t="str">
        <f t="shared" ref="DK6:EB6" si="10">IFERROR(INDIRECT("'Bloque "&amp;$D$38&amp;" Semana "&amp;MID(DK3,2,2)&amp;"'"&amp;"!"&amp;"CC17"),"")</f>
        <v/>
      </c>
      <c r="DL6" s="172" t="str">
        <f t="shared" si="10"/>
        <v/>
      </c>
      <c r="DM6" s="172" t="str">
        <f t="shared" si="10"/>
        <v/>
      </c>
      <c r="DN6" s="172" t="str">
        <f t="shared" si="10"/>
        <v/>
      </c>
      <c r="DO6" s="172" t="str">
        <f t="shared" si="10"/>
        <v/>
      </c>
      <c r="DP6" s="172" t="str">
        <f t="shared" si="10"/>
        <v/>
      </c>
      <c r="DQ6" s="172" t="str">
        <f t="shared" si="10"/>
        <v/>
      </c>
      <c r="DR6" s="172" t="str">
        <f t="shared" si="10"/>
        <v/>
      </c>
      <c r="DS6" s="172" t="str">
        <f t="shared" si="10"/>
        <v/>
      </c>
      <c r="DT6" s="172" t="str">
        <f t="shared" si="10"/>
        <v/>
      </c>
      <c r="DU6" s="172" t="str">
        <f t="shared" si="10"/>
        <v/>
      </c>
      <c r="DV6" s="172" t="str">
        <f t="shared" si="10"/>
        <v/>
      </c>
      <c r="DW6" s="172" t="str">
        <f t="shared" si="10"/>
        <v/>
      </c>
      <c r="DX6" s="172" t="str">
        <f t="shared" si="10"/>
        <v/>
      </c>
      <c r="DY6" s="172" t="str">
        <f t="shared" si="10"/>
        <v/>
      </c>
      <c r="DZ6" s="172" t="str">
        <f t="shared" si="10"/>
        <v/>
      </c>
      <c r="EA6" s="172" t="str">
        <f t="shared" si="10"/>
        <v/>
      </c>
      <c r="EB6" s="172" t="str">
        <f t="shared" si="10"/>
        <v/>
      </c>
      <c r="ED6" s="120" t="str">
        <f t="shared" si="11"/>
        <v>Bisagra de Cadera</v>
      </c>
      <c r="EE6" s="231" t="str">
        <f t="shared" ref="EE6:EV6" si="12">IFERROR(INDIRECT("'Bloque "&amp;$D$38&amp;" Semana "&amp;MID(EE4,2,2)&amp;"'"&amp;"!"&amp;"CC22"),"")</f>
        <v/>
      </c>
      <c r="EF6" s="231" t="str">
        <f t="shared" si="12"/>
        <v/>
      </c>
      <c r="EG6" s="231" t="str">
        <f t="shared" si="12"/>
        <v/>
      </c>
      <c r="EH6" s="231" t="str">
        <f t="shared" si="12"/>
        <v/>
      </c>
      <c r="EI6" s="231" t="str">
        <f t="shared" si="12"/>
        <v/>
      </c>
      <c r="EJ6" s="231" t="str">
        <f t="shared" si="12"/>
        <v/>
      </c>
      <c r="EK6" s="231" t="str">
        <f t="shared" si="12"/>
        <v/>
      </c>
      <c r="EL6" s="231" t="str">
        <f t="shared" si="12"/>
        <v/>
      </c>
      <c r="EM6" s="231" t="str">
        <f t="shared" si="12"/>
        <v/>
      </c>
      <c r="EN6" s="231" t="str">
        <f t="shared" si="12"/>
        <v/>
      </c>
      <c r="EO6" s="231" t="str">
        <f t="shared" si="12"/>
        <v/>
      </c>
      <c r="EP6" s="231" t="str">
        <f t="shared" si="12"/>
        <v/>
      </c>
      <c r="EQ6" s="231" t="str">
        <f t="shared" si="12"/>
        <v/>
      </c>
      <c r="ER6" s="231" t="str">
        <f t="shared" si="12"/>
        <v/>
      </c>
      <c r="ES6" s="231" t="str">
        <f t="shared" si="12"/>
        <v/>
      </c>
      <c r="ET6" s="231" t="str">
        <f t="shared" si="12"/>
        <v/>
      </c>
      <c r="EU6" s="231" t="str">
        <f t="shared" si="12"/>
        <v/>
      </c>
      <c r="EV6" s="231" t="str">
        <f t="shared" si="12"/>
        <v/>
      </c>
      <c r="EX6" s="218">
        <v>9.0</v>
      </c>
      <c r="EY6" s="228">
        <v>0.955</v>
      </c>
      <c r="EZ6" s="228">
        <v>0.922</v>
      </c>
      <c r="FA6" s="228">
        <v>0.892</v>
      </c>
      <c r="FB6" s="228">
        <v>0.863</v>
      </c>
      <c r="FC6" s="228">
        <v>0.837</v>
      </c>
      <c r="FD6" s="228">
        <v>0.811</v>
      </c>
      <c r="FE6" s="228">
        <v>0.786</v>
      </c>
      <c r="FF6" s="228">
        <v>0.762</v>
      </c>
      <c r="FG6" s="228">
        <v>0.739</v>
      </c>
      <c r="FH6" s="228">
        <v>0.707</v>
      </c>
      <c r="FI6" s="228">
        <v>0.68</v>
      </c>
      <c r="FJ6" s="228">
        <v>0.653</v>
      </c>
      <c r="FK6" s="208"/>
      <c r="FL6" s="218">
        <v>9.0</v>
      </c>
      <c r="FM6" s="228">
        <v>0.979</v>
      </c>
      <c r="FN6" s="228">
        <v>0.944</v>
      </c>
      <c r="FO6" s="228">
        <v>0.922</v>
      </c>
      <c r="FP6" s="228">
        <v>0.9</v>
      </c>
      <c r="FQ6" s="228">
        <v>0.878</v>
      </c>
      <c r="FR6" s="228">
        <v>0.857</v>
      </c>
      <c r="FS6" s="228">
        <v>0.836</v>
      </c>
      <c r="FT6" s="228">
        <v>0.816</v>
      </c>
      <c r="FU6" s="228">
        <v>0.796</v>
      </c>
      <c r="FV6" s="228">
        <v>0.777</v>
      </c>
      <c r="FW6" s="228">
        <v>0.758</v>
      </c>
      <c r="FX6" s="228">
        <v>0.74</v>
      </c>
      <c r="FY6" s="228"/>
      <c r="FZ6" s="84" t="str">
        <f t="array" ref="FZ6">IF(NOT($D$37=3),IFERROR(INDIRECT("'Bloque "&amp;$D$38&amp;" Semana "&amp;"3"&amp;"'"&amp;"!"&amp;"E37"),""),"S3")</f>
        <v>S3</v>
      </c>
      <c r="GA6" s="229" t="str">
        <f t="shared" si="4"/>
        <v/>
      </c>
      <c r="GB6" s="212" t="str">
        <f t="shared" si="5"/>
        <v/>
      </c>
      <c r="GC6" s="84" t="str">
        <f t="array" ref="GC6">IF(NOT($D$37=3),IFERROR(INDIRECT("'Bloque "&amp;$D$38&amp;" Semana "&amp;"3"&amp;"'"&amp;"!"&amp;"E37"),""),"S3")</f>
        <v>S3</v>
      </c>
      <c r="GD6" s="229" t="str">
        <f t="shared" si="6"/>
        <v/>
      </c>
      <c r="GE6" s="212" t="str">
        <f t="shared" si="7"/>
        <v/>
      </c>
      <c r="GF6" s="84" t="str">
        <f t="array" ref="GF6">IF(NOT($D$37=3),IFERROR(INDIRECT("'Bloque "&amp;$D$38&amp;" Semana "&amp;"3"&amp;"'"&amp;"!"&amp;"E37"),""),"S3")</f>
        <v>S3</v>
      </c>
      <c r="GG6" s="229" t="str">
        <f t="shared" si="8"/>
        <v/>
      </c>
      <c r="GH6" s="212" t="str">
        <f t="shared" si="9"/>
        <v/>
      </c>
    </row>
    <row r="7" ht="41.25" customHeight="1">
      <c r="B7" s="199"/>
      <c r="I7" s="106"/>
      <c r="J7" s="225"/>
      <c r="T7" s="226"/>
      <c r="W7" s="201"/>
      <c r="AE7" s="203"/>
      <c r="AF7" s="204"/>
      <c r="AG7" s="225"/>
      <c r="BX7" s="106"/>
      <c r="BY7" s="106"/>
      <c r="BZ7" s="242" t="s">
        <v>231</v>
      </c>
      <c r="CA7" s="243"/>
      <c r="CB7" s="243"/>
      <c r="CC7" s="243"/>
      <c r="CD7" s="243"/>
      <c r="CE7" s="243"/>
      <c r="CF7" s="244"/>
      <c r="CG7" s="245"/>
      <c r="CH7" s="246" t="s">
        <v>232</v>
      </c>
      <c r="CI7" s="247" t="s">
        <v>233</v>
      </c>
      <c r="CJ7" s="248"/>
      <c r="CK7" s="248"/>
      <c r="CL7" s="249"/>
      <c r="CM7" s="249"/>
      <c r="CN7" s="250"/>
      <c r="CO7" s="251"/>
      <c r="CP7" s="251"/>
      <c r="CQ7" s="251"/>
      <c r="CR7" s="251"/>
      <c r="CS7" s="251"/>
      <c r="CT7" s="252"/>
      <c r="ED7" s="120" t="str">
        <f t="shared" si="11"/>
        <v>Empuje Horizontal</v>
      </c>
      <c r="EE7" s="231" t="str">
        <f t="shared" ref="EE7:EV7" si="13">IFERROR(INDIRECT("'Bloque "&amp;$D$38&amp;" Semana "&amp;MID(EE4,2,2)&amp;"'"&amp;"!"&amp;"CC23"),"")</f>
        <v/>
      </c>
      <c r="EF7" s="231" t="str">
        <f t="shared" si="13"/>
        <v/>
      </c>
      <c r="EG7" s="231" t="str">
        <f t="shared" si="13"/>
        <v/>
      </c>
      <c r="EH7" s="231" t="str">
        <f t="shared" si="13"/>
        <v/>
      </c>
      <c r="EI7" s="231" t="str">
        <f t="shared" si="13"/>
        <v/>
      </c>
      <c r="EJ7" s="231" t="str">
        <f t="shared" si="13"/>
        <v/>
      </c>
      <c r="EK7" s="231" t="str">
        <f t="shared" si="13"/>
        <v/>
      </c>
      <c r="EL7" s="231" t="str">
        <f t="shared" si="13"/>
        <v/>
      </c>
      <c r="EM7" s="231" t="str">
        <f t="shared" si="13"/>
        <v/>
      </c>
      <c r="EN7" s="231" t="str">
        <f t="shared" si="13"/>
        <v/>
      </c>
      <c r="EO7" s="231" t="str">
        <f t="shared" si="13"/>
        <v/>
      </c>
      <c r="EP7" s="231" t="str">
        <f t="shared" si="13"/>
        <v/>
      </c>
      <c r="EQ7" s="231" t="str">
        <f t="shared" si="13"/>
        <v/>
      </c>
      <c r="ER7" s="231" t="str">
        <f t="shared" si="13"/>
        <v/>
      </c>
      <c r="ES7" s="231" t="str">
        <f t="shared" si="13"/>
        <v/>
      </c>
      <c r="ET7" s="231" t="str">
        <f t="shared" si="13"/>
        <v/>
      </c>
      <c r="EU7" s="231" t="str">
        <f t="shared" si="13"/>
        <v/>
      </c>
      <c r="EV7" s="231" t="str">
        <f t="shared" si="13"/>
        <v/>
      </c>
      <c r="EX7" s="218">
        <v>8.5</v>
      </c>
      <c r="EY7" s="228">
        <v>0.939</v>
      </c>
      <c r="EZ7" s="228">
        <v>0.907</v>
      </c>
      <c r="FA7" s="228">
        <v>0.878</v>
      </c>
      <c r="FB7" s="228">
        <v>0.85</v>
      </c>
      <c r="FC7" s="228">
        <v>0.824</v>
      </c>
      <c r="FD7" s="228">
        <v>0.799</v>
      </c>
      <c r="FE7" s="228">
        <v>0.774</v>
      </c>
      <c r="FF7" s="228">
        <v>0.751</v>
      </c>
      <c r="FG7" s="228">
        <v>0.723</v>
      </c>
      <c r="FH7" s="228">
        <v>0.694</v>
      </c>
      <c r="FI7" s="228">
        <v>0.667</v>
      </c>
      <c r="FJ7" s="228">
        <v>0.64</v>
      </c>
      <c r="FK7" s="208"/>
      <c r="FL7" s="218">
        <v>8.5</v>
      </c>
      <c r="FM7" s="228">
        <v>0.968</v>
      </c>
      <c r="FN7" s="228">
        <v>0.934</v>
      </c>
      <c r="FO7" s="228">
        <v>0.912</v>
      </c>
      <c r="FP7" s="228">
        <v>0.89</v>
      </c>
      <c r="FQ7" s="228">
        <v>0.868</v>
      </c>
      <c r="FR7" s="228">
        <v>0.848</v>
      </c>
      <c r="FS7" s="228">
        <v>0.827</v>
      </c>
      <c r="FT7" s="228">
        <v>0.807</v>
      </c>
      <c r="FU7" s="228">
        <v>0.788</v>
      </c>
      <c r="FV7" s="228">
        <v>0.769</v>
      </c>
      <c r="FW7" s="228">
        <v>0.75</v>
      </c>
      <c r="FX7" s="228">
        <v>0.732</v>
      </c>
      <c r="FY7" s="228"/>
      <c r="FZ7" s="84" t="str">
        <f t="array" ref="FZ7">IF(NOT($D$37=4),IFERROR(INDIRECT("'Bloque "&amp;$D$38&amp;" Semana "&amp;"4"&amp;"'"&amp;"!"&amp;"E37"),""),"S4")</f>
        <v/>
      </c>
      <c r="GA7" s="229" t="str">
        <f t="shared" si="4"/>
        <v/>
      </c>
      <c r="GB7" s="212" t="str">
        <f t="shared" si="5"/>
        <v/>
      </c>
      <c r="GC7" s="84" t="str">
        <f t="array" ref="GC7">IF(NOT($D$37=4),IFERROR(INDIRECT("'Bloque "&amp;$D$38&amp;" Semana "&amp;"4"&amp;"'"&amp;"!"&amp;"E37"),""),"S4")</f>
        <v/>
      </c>
      <c r="GD7" s="229" t="str">
        <f t="shared" si="6"/>
        <v/>
      </c>
      <c r="GE7" s="212" t="str">
        <f t="shared" si="7"/>
        <v/>
      </c>
      <c r="GF7" s="84" t="str">
        <f t="array" ref="GF7">IF(NOT($D$37=4),IFERROR(INDIRECT("'Bloque "&amp;$D$38&amp;" Semana "&amp;"4"&amp;"'"&amp;"!"&amp;"E37"),""),"S4")</f>
        <v/>
      </c>
      <c r="GG7" s="229" t="str">
        <f t="shared" si="8"/>
        <v/>
      </c>
      <c r="GH7" s="212" t="str">
        <f t="shared" si="9"/>
        <v/>
      </c>
    </row>
    <row r="8" ht="49.5" customHeight="1">
      <c r="B8" s="211"/>
      <c r="I8" s="253"/>
      <c r="J8" s="225"/>
      <c r="T8" s="226"/>
      <c r="W8" s="201"/>
      <c r="AE8" s="203"/>
      <c r="AF8" s="204"/>
      <c r="AG8" s="254" t="s">
        <v>234</v>
      </c>
      <c r="AH8" s="210"/>
      <c r="AI8" s="210"/>
      <c r="AJ8" s="210"/>
      <c r="AK8" s="255" t="s">
        <v>235</v>
      </c>
      <c r="AL8" s="210"/>
      <c r="AM8" s="210"/>
      <c r="AN8" s="210"/>
      <c r="AO8" s="255" t="s">
        <v>236</v>
      </c>
      <c r="AP8" s="210"/>
      <c r="AQ8" s="210"/>
      <c r="AR8" s="210"/>
      <c r="AS8" s="255" t="s">
        <v>237</v>
      </c>
      <c r="AT8" s="210"/>
      <c r="AU8" s="210"/>
      <c r="AV8" s="210"/>
      <c r="AW8" s="255" t="s">
        <v>238</v>
      </c>
      <c r="AX8" s="210"/>
      <c r="AY8" s="210"/>
      <c r="AZ8" s="210"/>
      <c r="BA8" s="255" t="s">
        <v>239</v>
      </c>
      <c r="BB8" s="210"/>
      <c r="BC8" s="210"/>
      <c r="BD8" s="210"/>
      <c r="BE8" s="256" t="s">
        <v>240</v>
      </c>
      <c r="BF8" s="210"/>
      <c r="BG8" s="210"/>
      <c r="BH8" s="257"/>
      <c r="BI8" s="255" t="s">
        <v>241</v>
      </c>
      <c r="BJ8" s="210"/>
      <c r="BK8" s="210"/>
      <c r="BL8" s="257"/>
      <c r="BM8" s="256" t="s">
        <v>242</v>
      </c>
      <c r="BN8" s="210"/>
      <c r="BO8" s="210"/>
      <c r="BP8" s="210"/>
      <c r="BQ8" s="258"/>
      <c r="BR8" s="259" t="s">
        <v>243</v>
      </c>
      <c r="BS8" s="210"/>
      <c r="BT8" s="210"/>
      <c r="BU8" s="259" t="s">
        <v>244</v>
      </c>
      <c r="BV8" s="210"/>
      <c r="BW8" s="260" t="s">
        <v>245</v>
      </c>
      <c r="BX8" s="106"/>
      <c r="BY8" s="106"/>
      <c r="BZ8" s="261" t="s">
        <v>246</v>
      </c>
      <c r="CA8" s="83" t="s">
        <v>247</v>
      </c>
      <c r="CB8" s="83" t="s">
        <v>248</v>
      </c>
      <c r="CC8" s="83" t="s">
        <v>224</v>
      </c>
      <c r="CD8" s="83" t="s">
        <v>249</v>
      </c>
      <c r="CE8" s="83" t="s">
        <v>250</v>
      </c>
      <c r="CF8" s="262" t="s">
        <v>251</v>
      </c>
      <c r="CH8" s="263" t="s">
        <v>252</v>
      </c>
      <c r="CI8" s="264" t="s">
        <v>253</v>
      </c>
      <c r="CJ8" s="264" t="s">
        <v>254</v>
      </c>
      <c r="CK8" s="264" t="s">
        <v>255</v>
      </c>
      <c r="CL8" s="264" t="s">
        <v>256</v>
      </c>
      <c r="CM8" s="264" t="s">
        <v>257</v>
      </c>
      <c r="CN8" s="264" t="s">
        <v>258</v>
      </c>
      <c r="CO8" s="265" t="s">
        <v>255</v>
      </c>
      <c r="CP8" s="266" t="s">
        <v>259</v>
      </c>
      <c r="CQ8" s="267" t="s">
        <v>260</v>
      </c>
      <c r="CR8" s="265" t="s">
        <v>261</v>
      </c>
      <c r="CS8" s="266" t="s">
        <v>262</v>
      </c>
      <c r="CT8" s="268" t="s">
        <v>263</v>
      </c>
      <c r="DJ8" s="107" t="s">
        <v>264</v>
      </c>
      <c r="DK8" s="108"/>
      <c r="DL8" s="108"/>
      <c r="DM8" s="108"/>
      <c r="DN8" s="108"/>
      <c r="DO8" s="108"/>
      <c r="DP8" s="108"/>
      <c r="DQ8" s="108"/>
      <c r="DR8" s="108"/>
      <c r="DS8" s="108"/>
      <c r="DT8" s="108"/>
      <c r="DU8" s="108"/>
      <c r="DV8" s="108"/>
      <c r="DW8" s="108"/>
      <c r="DX8" s="108"/>
      <c r="DY8" s="108"/>
      <c r="DZ8" s="108"/>
      <c r="EA8" s="108"/>
      <c r="EB8" s="108"/>
      <c r="ED8" s="120" t="str">
        <f t="shared" si="11"/>
        <v>Empuje Vertical</v>
      </c>
      <c r="EE8" s="269" t="str">
        <f t="shared" ref="EE8:EV8" si="14">IFERROR(INDIRECT("'Bloque "&amp;$D$38&amp;" Semana "&amp;MID(EE4,2,2)&amp;"'"&amp;"!"&amp;"CC24"),"")</f>
        <v/>
      </c>
      <c r="EF8" s="269" t="str">
        <f t="shared" si="14"/>
        <v/>
      </c>
      <c r="EG8" s="269" t="str">
        <f t="shared" si="14"/>
        <v/>
      </c>
      <c r="EH8" s="269" t="str">
        <f t="shared" si="14"/>
        <v/>
      </c>
      <c r="EI8" s="269" t="str">
        <f t="shared" si="14"/>
        <v/>
      </c>
      <c r="EJ8" s="269" t="str">
        <f t="shared" si="14"/>
        <v/>
      </c>
      <c r="EK8" s="269" t="str">
        <f t="shared" si="14"/>
        <v/>
      </c>
      <c r="EL8" s="269" t="str">
        <f t="shared" si="14"/>
        <v/>
      </c>
      <c r="EM8" s="269" t="str">
        <f t="shared" si="14"/>
        <v/>
      </c>
      <c r="EN8" s="269" t="str">
        <f t="shared" si="14"/>
        <v/>
      </c>
      <c r="EO8" s="269" t="str">
        <f t="shared" si="14"/>
        <v/>
      </c>
      <c r="EP8" s="269" t="str">
        <f t="shared" si="14"/>
        <v/>
      </c>
      <c r="EQ8" s="269" t="str">
        <f t="shared" si="14"/>
        <v/>
      </c>
      <c r="ER8" s="269" t="str">
        <f t="shared" si="14"/>
        <v/>
      </c>
      <c r="ES8" s="269" t="str">
        <f t="shared" si="14"/>
        <v/>
      </c>
      <c r="ET8" s="269" t="str">
        <f t="shared" si="14"/>
        <v/>
      </c>
      <c r="EU8" s="269" t="str">
        <f t="shared" si="14"/>
        <v/>
      </c>
      <c r="EV8" s="269" t="str">
        <f t="shared" si="14"/>
        <v/>
      </c>
      <c r="EX8" s="218">
        <v>8.0</v>
      </c>
      <c r="EY8" s="228">
        <v>0.922</v>
      </c>
      <c r="EZ8" s="228">
        <v>0.892</v>
      </c>
      <c r="FA8" s="228">
        <v>0.863</v>
      </c>
      <c r="FB8" s="228">
        <v>0.837</v>
      </c>
      <c r="FC8" s="228">
        <v>0.811</v>
      </c>
      <c r="FD8" s="228">
        <v>0.786</v>
      </c>
      <c r="FE8" s="228">
        <v>0.762</v>
      </c>
      <c r="FF8" s="228">
        <v>0.739</v>
      </c>
      <c r="FG8" s="228">
        <v>0.707</v>
      </c>
      <c r="FH8" s="228">
        <v>0.68</v>
      </c>
      <c r="FI8" s="228">
        <v>0.653</v>
      </c>
      <c r="FJ8" s="228">
        <v>0.626</v>
      </c>
      <c r="FK8" s="208"/>
      <c r="FL8" s="218">
        <v>8.0</v>
      </c>
      <c r="FM8" s="228">
        <v>0.958</v>
      </c>
      <c r="FN8" s="228">
        <v>0.924</v>
      </c>
      <c r="FO8" s="228">
        <v>0.902</v>
      </c>
      <c r="FP8" s="228">
        <v>0.88</v>
      </c>
      <c r="FQ8" s="228">
        <v>0.859</v>
      </c>
      <c r="FR8" s="228">
        <v>0.838</v>
      </c>
      <c r="FS8" s="228">
        <v>0.818</v>
      </c>
      <c r="FT8" s="228">
        <v>0.799</v>
      </c>
      <c r="FU8" s="228">
        <v>0.779</v>
      </c>
      <c r="FV8" s="228">
        <v>0.761</v>
      </c>
      <c r="FW8" s="228">
        <v>0.742</v>
      </c>
      <c r="FX8" s="228">
        <v>0.724</v>
      </c>
      <c r="FY8" s="228"/>
      <c r="FZ8" s="84" t="str">
        <f t="array" ref="FZ8">IF(NOT($D$37=5),IFERROR(INDIRECT("'Bloque "&amp;$D$38&amp;" Semana "&amp;"5"&amp;"'"&amp;"!"&amp;"E37"),""),"S5")</f>
        <v/>
      </c>
      <c r="GA8" s="229" t="str">
        <f t="shared" si="4"/>
        <v/>
      </c>
      <c r="GB8" s="212" t="str">
        <f t="shared" si="5"/>
        <v/>
      </c>
      <c r="GC8" s="84" t="str">
        <f t="array" ref="GC8">IF(NOT($D$37=5),IFERROR(INDIRECT("'Bloque "&amp;$D$38&amp;" Semana "&amp;"5"&amp;"'"&amp;"!"&amp;"E37"),""),"S5")</f>
        <v/>
      </c>
      <c r="GD8" s="229" t="str">
        <f t="shared" si="6"/>
        <v/>
      </c>
      <c r="GE8" s="212" t="str">
        <f t="shared" si="7"/>
        <v/>
      </c>
      <c r="GF8" s="84" t="str">
        <f t="array" ref="GF8">IF(NOT($D$37=5),IFERROR(INDIRECT("'Bloque "&amp;$D$38&amp;" Semana "&amp;"5"&amp;"'"&amp;"!"&amp;"E37"),""),"S5")</f>
        <v/>
      </c>
      <c r="GG8" s="229" t="str">
        <f t="shared" si="8"/>
        <v/>
      </c>
      <c r="GH8" s="212" t="str">
        <f t="shared" si="9"/>
        <v/>
      </c>
    </row>
    <row r="9" ht="30.0" customHeight="1">
      <c r="B9" s="199"/>
      <c r="I9" s="106"/>
      <c r="J9" s="225"/>
      <c r="T9" s="226"/>
      <c r="W9" s="201"/>
      <c r="AE9" s="203"/>
      <c r="AF9" s="204"/>
      <c r="AG9" s="270" t="s">
        <v>265</v>
      </c>
      <c r="AJ9" s="271"/>
      <c r="AK9" s="272" t="s">
        <v>447</v>
      </c>
      <c r="AN9" s="273"/>
      <c r="AO9" s="272"/>
      <c r="AR9" s="273"/>
      <c r="AS9" s="272"/>
      <c r="AV9" s="273"/>
      <c r="AW9" s="272"/>
      <c r="AZ9" s="273"/>
      <c r="BA9" s="272"/>
      <c r="BD9" s="273"/>
      <c r="BE9" s="274">
        <f t="shared" ref="BE9:BE15" si="17">IFERROR( IFERROR(IF(NOT(ISBLANK(AK9)),MID(AK9,1,2),"")+IF(NOT(ISBLANK(AO9)),MID(AO9,1,2),"")+IF(NOT(ISBLANK(AS9)),MID(AS9,1,2),"")+IF(NOT(ISBLANK(AW9)),MID(AW9,1,2),"")+IF(NOT(ISBLANK(BA9)),MID(BA9,1,2),""),"")/COUNTA(AK9:BC9)*10/7,"")</f>
        <v>5.714285714</v>
      </c>
      <c r="BH9" s="275"/>
      <c r="BI9" s="276"/>
      <c r="BL9" s="275"/>
      <c r="BM9" s="277"/>
      <c r="BQ9" s="278"/>
      <c r="BR9" s="279" t="b">
        <v>0</v>
      </c>
      <c r="BS9" s="280" t="str">
        <f t="shared" ref="BS9:BS15" si="18">IFS(BR9=FALSE,"",BS9&lt;&gt;"",BS9,TRUE,NOW())</f>
        <v/>
      </c>
      <c r="BT9" s="273"/>
      <c r="BU9" s="281" t="b">
        <v>0</v>
      </c>
      <c r="BV9" s="280" t="str">
        <f t="shared" ref="BV9:BV15" si="19">IFS(BU9=FALSE,"",BV9&lt;&gt;"",BV9,TRUE,NOW())</f>
        <v/>
      </c>
      <c r="BW9" s="282" t="str">
        <f t="shared" ref="BW9:BW15" si="20">IF(OR(BS9="",BV9=""),"",BV9-BS9)</f>
        <v/>
      </c>
      <c r="BZ9" s="283" t="s">
        <v>266</v>
      </c>
      <c r="CA9" s="284">
        <f>IFERROR(IFS(BZ9="SQ1", SUMIF($D$40:$D187,"SQ1*",AD40:AD187),BZ9="SQ2",SUMIF($D$40:$D187,"SQ2*",AD40:AD187),$BZ$9="SQ3",SUMIF($D$40:$D187,"SQ3*",AD40:AD187),BZ9="SQ4",SUMIF($D$40:$D187,"SQ4*",AD40:AD187),BZ9="SQ5",SUMIF($D$40:$D187,"SQ5*",AD40:AD187)),"")</f>
        <v>5</v>
      </c>
      <c r="CB9" s="284">
        <f>IFERROR(IFS(BZ9="SQ1", SUMIF($D$40:$D187,"SQ1*",CC40:CC187),BZ9="SQ2",SUMIF($D$40:$D187,"SQ2*",CC40:CC187),$BZ$9="SQ3",SUMIF($D$40:$D187,"SQ3*",CC40:CC187),BZ9="SQ4",SUMIF($D$40:$D187,"SQ4*",CC40:CC187),BZ9="SQ5",SUMIF($D$40:$D187,"SQ5*",CC40:CC187)),"")</f>
        <v>18</v>
      </c>
      <c r="CC9" s="285" t="str">
        <f>IFERROR(IFS($BZ$9="SQ1", SUMIF($D$40:$D187,"SQ1*",CE40:CE187),$BZ$9="SQ2",SUMIF($D$40:$D187,"SQ2*",CE40:CE187),$BZ$9="SQ3",SUMIF($D$40:$D187,"SQ3*",CE40:CE187),$BZ$9="SQ4",SUMIF($D$40:$D187,"SQ4*",CE40:CE187),$BZ$9="SQ5",SUMIF($D$40:$D187,"SQ5*",CE40:CE187)),"")</f>
        <v/>
      </c>
      <c r="CD9" s="286">
        <f>IFERROR(IFS(BZ9="SQ1",AVERAGEIF(D40:D187,"SQ1*",CA40:CA187),BZ9="SQ2",AVERAGEIF(D40:D187,"SQ2*",CA40:CA187),BZ9="SQ3",AVERAGEIF(D40:D187,"SQ3*",CA40:CA187),BZ9="SQ4",AVERAGEIF(D40:D187,"SQ4*",CA40:CA187),BZ9="SQ5",AVERAGEIF(D40:D187,"SQ5*",CA40:CA187)),"")</f>
        <v>0</v>
      </c>
      <c r="CE9" s="287">
        <f>IFERROR( IFS($CE$8="e1RM Bryzcki", IFS(BZ9="SQ1",AVERAGEIF(D40:D187,"SQ1*",CH40:CH187),BZ9="SQ2",AVERAGEIF(D40:D187,"SQ2*",CH40:CH187),BZ9="SQ3",AVERAGEIF(D40:D187,"SQ3*",CH40:CH187),BZ9="SQ4*",AVERAGEIF(D40:D187,"SQ4*",CH40:CH187),BZ9="SQ5",AVERAGEIF(D40:D187,"SQ5*",CH40:CH187)),$CE$8="e1RM Steve Denovi F1", IFS(BZ9="SQ1",AVERAGEIF(D40:D187,"SQ1*",CL40:CL187),BZ9="SQ2",AVERAGEIF(D40:D187,"SQ2*",CL40:CL187),BZ9="SQ3",AVERAGEIF(D40:D187,"SQ3*",CL40:CL187),BZ9="SQ4*",AVERAGEIF(D40:D187,"SQ4*",CL40:CL187),BZ9="SQ5",AVERAGEIF(D40:D187,"SQ5*",CL40:CL187)),$CE$8="e1RM Steve Denovi F2", IFS(BZ9="SQ1",AVERAGEIF(D40:D187,"SQ1*",CM40:CM187),BZ9="SQ2",AVERAGEIF(D40:D187,"SQ2*",CM40:CM187),BZ9="SQ3",AVERAGEIF(D40:D187,"SQ3*",CM40:CM187),BZ9="SQ4*",AVERAGEIF(D40:D187,"SQ4*",CM40:CM187),BZ9="SQ5",AVERAGEIF(D40:D187,"SQ5*",CM40:CM187))),"")</f>
        <v>0</v>
      </c>
      <c r="CF9" s="288">
        <f>IFERROR(IFS($BZ$9="SQ1",AVERAGEIF($D$40:$D187,"SQ1*",$CK$40:$CK187),$BZ$9="SQ2",AVERAGEIF($D$40:$D187,"SQ2*",$CK$40:$CK187),$BZ$9="SQ3",AVERAGEIF($D$40:$D187,"SQ3*",$CK$40:$CK187),$BZ$9="SQ4",AVERAGEIF($D$40:$D187,"SQ4*",$CK$40:$CK187),$BZ$9="SQ5",AVERAGEIF($D$40:$D187,"SQ5*",$CK$40:$CK187)),"")</f>
        <v>10.29166667</v>
      </c>
      <c r="CH9" s="289" t="str">
        <f t="array" ref="CH9">IF(NOT($D$37=1),IFERROR(INDIRECT("'Bloque "&amp;$D$38&amp;" Semana "&amp;"1"&amp;"'"&amp;"!"&amp;"E37"),""),"S1")</f>
        <v/>
      </c>
      <c r="CI9" s="290" t="str">
        <f t="shared" ref="CI9:CI26" si="21">IFERROR(INDIRECT("'Bloque "&amp;$D$38&amp;" Semana "&amp;MID(CH9,2,2)&amp;"'"&amp;"!"&amp;"AF"&amp;MATCH($CH$7,$D:$D,0)),"")</f>
        <v/>
      </c>
      <c r="CJ9" s="224" t="str">
        <f t="shared" ref="CJ9:CJ26" si="22">IFERROR(INDIRECT("'Bloque "&amp;$D$38&amp;" Semana "&amp;MID(CH9,2,2)&amp;"'"&amp;"!"&amp;"AG"&amp;MATCH($CH$7,$D:$D,0)),"")</f>
        <v/>
      </c>
      <c r="CK9" s="85" t="str">
        <f t="shared" ref="CK9:CK26" si="23">IFERROR(INDIRECT("'Bloque "&amp;$D$38&amp;" Semana "&amp;MID(CH9,2,2)&amp;"'"&amp;"!"&amp;"CB"&amp;MATCH($CH$7,$D:$D,0)),"")</f>
        <v/>
      </c>
      <c r="CL9" s="291">
        <v>0.0</v>
      </c>
      <c r="CM9" s="168" t="str">
        <f t="shared" ref="CM9:CM26" si="24">IFERROR(INDIRECT("'Bloque "&amp;$D$38&amp;" Semana "&amp;MID(CH9,2,2)&amp;"'"&amp;"!"&amp;"CK"&amp;MATCH($CH$7,$D:$D,0)),"")</f>
        <v/>
      </c>
      <c r="CN9" s="292">
        <v>0.0</v>
      </c>
      <c r="CO9" s="168" t="str">
        <f t="shared" ref="CO9:CO26" si="25">IFERROR(INDIRECT("'Bloque "&amp;$D$38&amp;" Semana "&amp;MID(CH9,2,2)&amp;"'"&amp;"!"&amp;"CB"&amp;MATCH($CH$7,$D:$D,0)),"")</f>
        <v/>
      </c>
      <c r="CP9" s="293" t="str">
        <f t="shared" ref="CP9:CP26" si="26">IFERROR( IF(CH9=0,"",CO9/CQ9),"")</f>
        <v/>
      </c>
      <c r="CQ9" s="294" t="str">
        <f t="shared" ref="CQ9:CQ26" si="27">IFERROR( IF(NOT( $CQ$8="1RM PROYECTADA MEJOR A REPS"),VLOOKUP(CM9,$EX$3:$FJ$16,CJ9+1,0),VLOOKUP(CM9,$FL$3:$FX$16,CJ9+1,0)),"")</f>
        <v/>
      </c>
      <c r="CR9" s="295">
        <v>0.0</v>
      </c>
      <c r="CS9" s="296">
        <f t="shared" ref="CS9:CT9" si="15">MAX(CP9:CP26)-MIN(CP9:CP26)</f>
        <v>0</v>
      </c>
      <c r="CT9" s="297">
        <f t="shared" si="15"/>
        <v>0</v>
      </c>
      <c r="DJ9" s="83"/>
      <c r="DK9" s="207" t="str">
        <f t="array" ref="DK9">IF(NOT($D$37=1),IFERROR(INDIRECT("'Bloque "&amp;$D$38&amp;" Semana "&amp;"1"&amp;"'"&amp;"!"&amp;"E37"),""),"S1")</f>
        <v/>
      </c>
      <c r="DL9" s="207" t="str">
        <f t="array" ref="DL9">IF(NOT($D$37=2),IFERROR(INDIRECT("'Bloque "&amp;$D$38&amp;" Semana "&amp;"2"&amp;"'"&amp;"!"&amp;"E37"),""),"S2")</f>
        <v/>
      </c>
      <c r="DM9" s="207" t="str">
        <f t="array" ref="DM9">IF(NOT($D$37=3),IFERROR(INDIRECT("'Bloque "&amp;$D$38&amp;" Semana "&amp;"3"&amp;"'"&amp;"!"&amp;"E37"),""),"S3")</f>
        <v>S3</v>
      </c>
      <c r="DN9" s="207" t="str">
        <f t="array" ref="DN9">IF(NOT($D$37=4),IFERROR(INDIRECT("'Bloque "&amp;$D$38&amp;" Semana "&amp;"4"&amp;"'"&amp;"!"&amp;"E37"),""),"S4")</f>
        <v/>
      </c>
      <c r="DO9" s="207" t="str">
        <f t="array" ref="DO9">IF(NOT($D$37=5),IFERROR(INDIRECT("'Bloque "&amp;$D$38&amp;" Semana "&amp;"5"&amp;"'"&amp;"!"&amp;"E37"),""),"S5")</f>
        <v/>
      </c>
      <c r="DP9" s="207" t="str">
        <f t="array" ref="DP9">IF(NOT($D$37=6),IFERROR(INDIRECT("'Bloque "&amp;$D$38&amp;" Semana "&amp;"6"&amp;"'"&amp;"!"&amp;"E37"),""),"S6")</f>
        <v/>
      </c>
      <c r="DQ9" s="207" t="str">
        <f t="array" ref="DQ9">IF(NOT($D$37=7),IFERROR(INDIRECT("'Bloque "&amp;$D$38&amp;" Semana "&amp;"7"&amp;"'"&amp;"!"&amp;"E37"),""),"S7")</f>
        <v/>
      </c>
      <c r="DR9" s="207" t="str">
        <f t="array" ref="DR9">IF(NOT($D$37=8),IFERROR(INDIRECT("'Bloque "&amp;$D$38&amp;" Semana "&amp;"8"&amp;"'"&amp;"!"&amp;"E37"),""),"S8")</f>
        <v/>
      </c>
      <c r="DS9" s="207" t="str">
        <f t="array" ref="DS9">IF(NOT($D$37=9),IFERROR(INDIRECT("'Bloque "&amp;$D$38&amp;" Semana "&amp;"9"&amp;"'"&amp;"!"&amp;"E37"),""),"S9")</f>
        <v/>
      </c>
      <c r="DT9" s="207" t="str">
        <f t="array" ref="DT9">IF(NOT($D$37=10),IFERROR(INDIRECT("'Bloque "&amp;$D$38&amp;" Semana "&amp;"10"&amp;"'"&amp;"!"&amp;"E37"),""),"S10")</f>
        <v/>
      </c>
      <c r="DU9" s="207" t="str">
        <f t="array" ref="DU9">IF(NOT($D$37=11),IFERROR(INDIRECT("'Bloque "&amp;$D$38&amp;" Semana "&amp;"11"&amp;"'"&amp;"!"&amp;"E37"),""),"S11")</f>
        <v/>
      </c>
      <c r="DV9" s="207" t="str">
        <f t="array" ref="DV9">IF(NOT($D$37=12),IFERROR(INDIRECT("'Bloque "&amp;$D$38&amp;" Semana "&amp;"12"&amp;"'"&amp;"!"&amp;"E37"),""),"S12")</f>
        <v/>
      </c>
      <c r="DW9" s="207" t="str">
        <f t="array" ref="DW9">IF(NOT($D$37=13),IFERROR(INDIRECT("'Bloque "&amp;$D$38&amp;" Semana "&amp;"13"&amp;"'"&amp;"!"&amp;"E37"),""),"S13")</f>
        <v/>
      </c>
      <c r="DX9" s="207" t="str">
        <f t="array" ref="DX9">IF(NOT($D$37=14),IFERROR(INDIRECT("'Bloque "&amp;$D$38&amp;" Semana "&amp;"14"&amp;"'"&amp;"!"&amp;"E37"),""),"S14")</f>
        <v/>
      </c>
      <c r="DY9" s="207" t="str">
        <f t="array" ref="DY9">IF(NOT($D$37=15),IFERROR(INDIRECT("'Bloque "&amp;$D$38&amp;" Semana "&amp;"15"&amp;"'"&amp;"!"&amp;"E37"),""),"S15")</f>
        <v/>
      </c>
      <c r="DZ9" s="207" t="str">
        <f t="array" ref="DZ9">IF(NOT($D$37=16),IFERROR(INDIRECT("'Bloque "&amp;$D$38&amp;" Semana "&amp;"16"&amp;"'"&amp;"!"&amp;"E37"),""),"S16")</f>
        <v/>
      </c>
      <c r="EA9" s="207" t="str">
        <f t="array" ref="EA9">IF(NOT($D$37=17),IFERROR(INDIRECT("'Bloque "&amp;$D$38&amp;" Semana "&amp;"17"&amp;"'"&amp;"!"&amp;"E37"),""),"S17")</f>
        <v/>
      </c>
      <c r="EB9" s="207" t="str">
        <f t="array" ref="EB9">IF(NOT($D$37=18),IFERROR(INDIRECT("'Bloque "&amp;$D$38&amp;" Semana "&amp;"18"&amp;"'"&amp;"!"&amp;"E37"),""),"S18")</f>
        <v/>
      </c>
      <c r="ED9" s="120" t="str">
        <f t="shared" si="11"/>
        <v>Tracción Horizontal</v>
      </c>
      <c r="EE9" s="269" t="str">
        <f t="shared" ref="EE9:EV9" si="16">IFERROR(INDIRECT("'Bloque "&amp;$D$38&amp;" Semana "&amp;MID(EE4,2,2)&amp;"'"&amp;"!"&amp;"CC25"),"")</f>
        <v/>
      </c>
      <c r="EF9" s="269" t="str">
        <f t="shared" si="16"/>
        <v/>
      </c>
      <c r="EG9" s="269" t="str">
        <f t="shared" si="16"/>
        <v/>
      </c>
      <c r="EH9" s="269" t="str">
        <f t="shared" si="16"/>
        <v/>
      </c>
      <c r="EI9" s="269" t="str">
        <f t="shared" si="16"/>
        <v/>
      </c>
      <c r="EJ9" s="269" t="str">
        <f t="shared" si="16"/>
        <v/>
      </c>
      <c r="EK9" s="269" t="str">
        <f t="shared" si="16"/>
        <v/>
      </c>
      <c r="EL9" s="269" t="str">
        <f t="shared" si="16"/>
        <v/>
      </c>
      <c r="EM9" s="269" t="str">
        <f t="shared" si="16"/>
        <v/>
      </c>
      <c r="EN9" s="269" t="str">
        <f t="shared" si="16"/>
        <v/>
      </c>
      <c r="EO9" s="269" t="str">
        <f t="shared" si="16"/>
        <v/>
      </c>
      <c r="EP9" s="269" t="str">
        <f t="shared" si="16"/>
        <v/>
      </c>
      <c r="EQ9" s="269" t="str">
        <f t="shared" si="16"/>
        <v/>
      </c>
      <c r="ER9" s="269" t="str">
        <f t="shared" si="16"/>
        <v/>
      </c>
      <c r="ES9" s="269" t="str">
        <f t="shared" si="16"/>
        <v/>
      </c>
      <c r="ET9" s="269" t="str">
        <f t="shared" si="16"/>
        <v/>
      </c>
      <c r="EU9" s="269" t="str">
        <f t="shared" si="16"/>
        <v/>
      </c>
      <c r="EV9" s="269" t="str">
        <f t="shared" si="16"/>
        <v/>
      </c>
      <c r="EX9" s="218">
        <v>7.5</v>
      </c>
      <c r="EY9" s="228">
        <v>0.907</v>
      </c>
      <c r="EZ9" s="228">
        <v>0.878</v>
      </c>
      <c r="FA9" s="228">
        <v>0.85</v>
      </c>
      <c r="FB9" s="228">
        <v>0.824</v>
      </c>
      <c r="FC9" s="228">
        <v>0.799</v>
      </c>
      <c r="FD9" s="228">
        <v>0.774</v>
      </c>
      <c r="FE9" s="228">
        <v>0.751</v>
      </c>
      <c r="FF9" s="228">
        <v>0.723</v>
      </c>
      <c r="FG9" s="228">
        <v>0.694</v>
      </c>
      <c r="FH9" s="228">
        <v>0.667</v>
      </c>
      <c r="FI9" s="228">
        <v>0.64</v>
      </c>
      <c r="FJ9" s="228">
        <v>0.613</v>
      </c>
      <c r="FK9" s="208"/>
      <c r="FL9" s="218">
        <v>7.5</v>
      </c>
      <c r="FM9" s="228">
        <v>0.948</v>
      </c>
      <c r="FN9" s="228">
        <v>0.914</v>
      </c>
      <c r="FO9" s="228">
        <v>0.892</v>
      </c>
      <c r="FP9" s="228">
        <v>0.871</v>
      </c>
      <c r="FQ9" s="228">
        <v>0.85</v>
      </c>
      <c r="FR9" s="228">
        <v>0.83</v>
      </c>
      <c r="FS9" s="228">
        <v>0.81</v>
      </c>
      <c r="FT9" s="228">
        <v>0.79</v>
      </c>
      <c r="FU9" s="228">
        <v>0.771</v>
      </c>
      <c r="FV9" s="228">
        <v>0.752</v>
      </c>
      <c r="FW9" s="228">
        <v>0.734</v>
      </c>
      <c r="FX9" s="228">
        <v>0.717</v>
      </c>
      <c r="FY9" s="228"/>
      <c r="FZ9" s="84" t="str">
        <f t="array" ref="FZ9">IF(NOT($D$37=6),IFERROR(INDIRECT("'Bloque "&amp;$D$38&amp;" Semana "&amp;"6"&amp;"'"&amp;"!"&amp;"E37"),""),"S6")</f>
        <v/>
      </c>
      <c r="GA9" s="229" t="str">
        <f t="shared" si="4"/>
        <v/>
      </c>
      <c r="GB9" s="212" t="str">
        <f t="shared" si="5"/>
        <v/>
      </c>
      <c r="GC9" s="84" t="str">
        <f t="array" ref="GC9">IF(NOT($D$37=6),IFERROR(INDIRECT("'Bloque "&amp;$D$38&amp;" Semana "&amp;"6"&amp;"'"&amp;"!"&amp;"E37"),""),"S6")</f>
        <v/>
      </c>
      <c r="GD9" s="229" t="str">
        <f t="shared" si="6"/>
        <v/>
      </c>
      <c r="GE9" s="212" t="str">
        <f t="shared" si="7"/>
        <v/>
      </c>
      <c r="GF9" s="84" t="str">
        <f t="array" ref="GF9">IF(NOT($D$37=6),IFERROR(INDIRECT("'Bloque "&amp;$D$38&amp;" Semana "&amp;"6"&amp;"'"&amp;"!"&amp;"E37"),""),"S6")</f>
        <v/>
      </c>
      <c r="GG9" s="229" t="str">
        <f t="shared" si="8"/>
        <v/>
      </c>
      <c r="GH9" s="212" t="str">
        <f t="shared" si="9"/>
        <v/>
      </c>
    </row>
    <row r="10" ht="15.0" customHeight="1">
      <c r="B10" s="199"/>
      <c r="I10" s="106"/>
      <c r="J10" s="225"/>
      <c r="T10" s="226"/>
      <c r="W10" s="201"/>
      <c r="AE10" s="203"/>
      <c r="AF10" s="204"/>
      <c r="AG10" s="298" t="s">
        <v>267</v>
      </c>
      <c r="AJ10" s="299"/>
      <c r="AK10" s="300" t="s">
        <v>483</v>
      </c>
      <c r="AN10" s="301"/>
      <c r="AO10" s="300" t="s">
        <v>447</v>
      </c>
      <c r="AR10" s="301"/>
      <c r="AS10" s="300"/>
      <c r="AV10" s="301"/>
      <c r="AW10" s="300"/>
      <c r="AZ10" s="301"/>
      <c r="BA10" s="300"/>
      <c r="BD10" s="301"/>
      <c r="BE10" s="302">
        <f t="shared" si="17"/>
        <v>5</v>
      </c>
      <c r="BH10" s="303"/>
      <c r="BI10" s="304"/>
      <c r="BL10" s="303"/>
      <c r="BM10" s="305"/>
      <c r="BQ10" s="306"/>
      <c r="BR10" s="307" t="b">
        <v>0</v>
      </c>
      <c r="BS10" s="308" t="str">
        <f t="shared" si="18"/>
        <v/>
      </c>
      <c r="BT10" s="301"/>
      <c r="BU10" s="309" t="b">
        <v>0</v>
      </c>
      <c r="BV10" s="308" t="str">
        <f t="shared" si="19"/>
        <v/>
      </c>
      <c r="BW10" s="310" t="str">
        <f t="shared" si="20"/>
        <v/>
      </c>
      <c r="BZ10" s="283" t="s">
        <v>268</v>
      </c>
      <c r="CA10" s="311">
        <f>IFERROR(IFS(BZ10="BP1", SUMIF($D$40:$D187,"BP1*",AD40:AD187),BZ10="BP2",SUMIF($D$40:$D187,"BP2*",AD40:AD187),$BZ$10="BP3",SUMIF($D$40:$D187,"BP3*",AD40:AD187),BZ10="BP4",SUMIF($D$40:$D187,"BP4*",AD40:AD187),BZ10="BP5",SUMIF($D$40:$D187,"BP5*",AD40:AD187)),"")</f>
        <v>0</v>
      </c>
      <c r="CB10" s="311">
        <f>IFERROR(IFS(BZ10="BP1", SUMIF($D$40:$D187,"BP1*",CC40:CC187),BZ10="BP2",SUMIF($D$40:$D187,"BP2*",CC40:CC187),$BZ$10="BP3",SUMIF($D$40:$D187,"BP3*",CC40:CC187),BZ10="BP4",SUMIF($D$40:$D187,"BP4*",CC40:CC187),BZ10="BP5",SUMIF($D$40:$D187,"BP5*",CC40:CC187)),"")</f>
        <v>0</v>
      </c>
      <c r="CC10" s="312">
        <f>IFERROR(IFS(BZ10="BP1", SUMIF($D$40:$D187,"BP1*",CE40:CE187),BZ10="BP2",SUMIF($D$40:$D187,"BP2*",CE40:CE187),$BZ$10="BP3",SUMIF($D$40:$D187,"BP3*",CE40:CE187),BZ10="BP4",SUMIF($D$40:$D187,"BP4*",CE40:CE187),BZ10="BP5",SUMIF($D$40:$D187,"BP5*",CE40:CE187)),"")</f>
        <v>0</v>
      </c>
      <c r="CD10" s="313" t="str">
        <f>IFERROR(IFS(BZ10="BP1",AVERAGEIF(D40:D187,BZ10,CA40:CH187),BZ10="BP2",AVERAGEIF(D40:D187,BZ10,CA40:CH187),BZ10="BP3",AVERAGEIF(D40:D187,BZ10,CA40:CH187),BZ10="BP4",AVERAGEIF(D40:D187,BZ10,CA40:CH187),BZ10="BP5",AVERAGEIF(D40:D187,BZ10,CA40:CH187)),"")</f>
        <v/>
      </c>
      <c r="CE10" s="314" t="str">
        <f>IFERROR( IFS($CE$8="e1RM Bryzcki", IFS(BZ10="BP1",AVERAGEIF(D40:D187,"SQ1*",CH40:CH187),BZ10="BP2",AVERAGEIF(D40:D187,"BP2*",CH40:CH187),BZ10="BP3",AVERAGEIF(D40:D187,"BP3*",CH40:CH187),BZ10="BP4*",AVERAGEIF(D40:D187,"BP4*",CH40:CH187),BZ10="BP5",AVERAGEIF(D40:D187,"BP5*",CH40:CH187)),$CE$8="e1RM Steve Denovi F1", IFS(BZ10="BP1",AVERAGEIF(D40:D187,"BP1*",CL40:CL187),BZ10="BP2",AVERAGEIF(D40:D187,"BP2*",CL40:CL187),BZ10="BP3",AVERAGEIF(D40:D187,"BP3*",CL40:CL187),BZ10="BP4*",AVERAGEIF(D40:D187,"BP4*",CL40:CL187),BZ10="BP5",AVERAGEIF(D40:D187,"BP5*",CL40:CL187)),$CE$8="e1RM Steve Denovi F2", IFS(BZ10="BP1",AVERAGEIF(D40:D187,"BP1*",CM40:CM187),BZ10="BP2",AVERAGEIF(D40:D187,"BP2*",CM40:CM187),BZ10="BP3",AVERAGEIF(D40:D187,"BP3*",CM40:CM187),BZ10="BP4*",AVERAGEIF(D40:D187,"BP4*",CM40:CM187),BZ10="BP5",AVERAGEIF(D40:D187,"BP5*",CM40:CM187))),"")</f>
        <v/>
      </c>
      <c r="CF10" s="315" t="str">
        <f>IFERROR(IFS($BZ$10="SQ1",AVERAGEIF($D$40:$D187,"BP1*",$CK$40:$CK187),$BZ$10="BP2",AVERAGEIF($D$40:$D187,"BP2*",$CK$40:$CK187),$BZ$10="BP3",AVERAGEIF($D$40:$D187,"BP3*",$CK$40:$CK187),$BZ$10="BP4",AVERAGEIF($D$40:$D187,"BP4*",$CK$40:$CK187),$BZ$10="BP5",AVERAGEIF($D$40:$D187,"BP5*",$CK$40:$CK187)),"")</f>
        <v/>
      </c>
      <c r="CH10" s="289" t="str">
        <f t="array" ref="CH10">IF(NOT($D$37=2),IFERROR(INDIRECT("'Bloque "&amp;$D$38&amp;" Semana "&amp;"2"&amp;"'"&amp;"!"&amp;"E37"),""),"S2")</f>
        <v/>
      </c>
      <c r="CI10" s="316" t="str">
        <f t="shared" si="21"/>
        <v/>
      </c>
      <c r="CJ10" s="224" t="str">
        <f t="shared" si="22"/>
        <v/>
      </c>
      <c r="CK10" s="85" t="str">
        <f t="shared" si="23"/>
        <v/>
      </c>
      <c r="CL10" s="85" t="str">
        <f t="shared" ref="CL10:CL26" si="30">IF(CH10="","", CK10-CK9)</f>
        <v/>
      </c>
      <c r="CM10" s="168" t="str">
        <f t="shared" si="24"/>
        <v/>
      </c>
      <c r="CN10" s="327" t="str">
        <f t="shared" ref="CN10:CN26" si="31">IF(CH10="","", CM10-CM9)</f>
        <v/>
      </c>
      <c r="CO10" s="168" t="str">
        <f t="shared" si="25"/>
        <v/>
      </c>
      <c r="CP10" s="168" t="str">
        <f t="shared" si="26"/>
        <v/>
      </c>
      <c r="CQ10" s="294" t="str">
        <f t="shared" si="27"/>
        <v/>
      </c>
      <c r="CR10" s="328" t="str">
        <f t="shared" ref="CR10:CR26" si="32">IF(CH10="","", CQ10-CQ9)</f>
        <v/>
      </c>
      <c r="CS10" s="212"/>
      <c r="CT10" s="319"/>
      <c r="DJ10" s="120" t="s">
        <v>21</v>
      </c>
      <c r="DK10" s="320" t="str">
        <f t="shared" ref="DK10:EB10" si="28">IFERROR(INDIRECT("'Bloque "&amp;$D$38&amp;" Semana "&amp;MID(DK9,2,2)&amp;"'"&amp;"!"&amp;"CD15"),"")</f>
        <v/>
      </c>
      <c r="DL10" s="320" t="str">
        <f t="shared" si="28"/>
        <v/>
      </c>
      <c r="DM10" s="320" t="str">
        <f t="shared" si="28"/>
        <v/>
      </c>
      <c r="DN10" s="320" t="str">
        <f t="shared" si="28"/>
        <v/>
      </c>
      <c r="DO10" s="320" t="str">
        <f t="shared" si="28"/>
        <v/>
      </c>
      <c r="DP10" s="320" t="str">
        <f t="shared" si="28"/>
        <v/>
      </c>
      <c r="DQ10" s="320" t="str">
        <f t="shared" si="28"/>
        <v/>
      </c>
      <c r="DR10" s="320" t="str">
        <f t="shared" si="28"/>
        <v/>
      </c>
      <c r="DS10" s="320" t="str">
        <f t="shared" si="28"/>
        <v/>
      </c>
      <c r="DT10" s="320" t="str">
        <f t="shared" si="28"/>
        <v/>
      </c>
      <c r="DU10" s="320" t="str">
        <f t="shared" si="28"/>
        <v/>
      </c>
      <c r="DV10" s="320" t="str">
        <f t="shared" si="28"/>
        <v/>
      </c>
      <c r="DW10" s="320" t="str">
        <f t="shared" si="28"/>
        <v/>
      </c>
      <c r="DX10" s="320" t="str">
        <f t="shared" si="28"/>
        <v/>
      </c>
      <c r="DY10" s="320" t="str">
        <f t="shared" si="28"/>
        <v/>
      </c>
      <c r="DZ10" s="320" t="str">
        <f t="shared" si="28"/>
        <v/>
      </c>
      <c r="EA10" s="320" t="str">
        <f t="shared" si="28"/>
        <v/>
      </c>
      <c r="EB10" s="320" t="str">
        <f t="shared" si="28"/>
        <v/>
      </c>
      <c r="ED10" s="120" t="str">
        <f t="shared" si="11"/>
        <v>Tracción Vertical</v>
      </c>
      <c r="EE10" s="269" t="str">
        <f t="shared" ref="EE10:EV10" si="29">IFERROR(INDIRECT("'Bloque "&amp;$D$38&amp;" Semana "&amp;MID(EE4,2,2)&amp;"'"&amp;"!"&amp;"CC26"),"")</f>
        <v/>
      </c>
      <c r="EF10" s="269" t="str">
        <f t="shared" si="29"/>
        <v/>
      </c>
      <c r="EG10" s="269" t="str">
        <f t="shared" si="29"/>
        <v/>
      </c>
      <c r="EH10" s="269" t="str">
        <f t="shared" si="29"/>
        <v/>
      </c>
      <c r="EI10" s="269" t="str">
        <f t="shared" si="29"/>
        <v/>
      </c>
      <c r="EJ10" s="269" t="str">
        <f t="shared" si="29"/>
        <v/>
      </c>
      <c r="EK10" s="269" t="str">
        <f t="shared" si="29"/>
        <v/>
      </c>
      <c r="EL10" s="269" t="str">
        <f t="shared" si="29"/>
        <v/>
      </c>
      <c r="EM10" s="269" t="str">
        <f t="shared" si="29"/>
        <v/>
      </c>
      <c r="EN10" s="269" t="str">
        <f t="shared" si="29"/>
        <v/>
      </c>
      <c r="EO10" s="269" t="str">
        <f t="shared" si="29"/>
        <v/>
      </c>
      <c r="EP10" s="269" t="str">
        <f t="shared" si="29"/>
        <v/>
      </c>
      <c r="EQ10" s="269" t="str">
        <f t="shared" si="29"/>
        <v/>
      </c>
      <c r="ER10" s="269" t="str">
        <f t="shared" si="29"/>
        <v/>
      </c>
      <c r="ES10" s="269" t="str">
        <f t="shared" si="29"/>
        <v/>
      </c>
      <c r="ET10" s="269" t="str">
        <f t="shared" si="29"/>
        <v/>
      </c>
      <c r="EU10" s="269" t="str">
        <f t="shared" si="29"/>
        <v/>
      </c>
      <c r="EV10" s="269" t="str">
        <f t="shared" si="29"/>
        <v/>
      </c>
      <c r="EX10" s="218">
        <v>7.0</v>
      </c>
      <c r="EY10" s="228">
        <v>0.892</v>
      </c>
      <c r="EZ10" s="228">
        <v>0.863</v>
      </c>
      <c r="FA10" s="228">
        <v>0.837</v>
      </c>
      <c r="FB10" s="228">
        <v>0.811</v>
      </c>
      <c r="FC10" s="228">
        <v>0.786</v>
      </c>
      <c r="FD10" s="228">
        <v>0.762</v>
      </c>
      <c r="FE10" s="228">
        <v>0.739</v>
      </c>
      <c r="FF10" s="228">
        <v>0.707</v>
      </c>
      <c r="FG10" s="228">
        <v>0.68</v>
      </c>
      <c r="FH10" s="228">
        <v>0.653</v>
      </c>
      <c r="FI10" s="228">
        <v>0.626</v>
      </c>
      <c r="FJ10" s="228">
        <v>0.599</v>
      </c>
      <c r="FK10" s="208"/>
      <c r="FL10" s="218">
        <v>7.0</v>
      </c>
      <c r="FM10" s="228">
        <v>0.937</v>
      </c>
      <c r="FN10" s="228">
        <v>0.905</v>
      </c>
      <c r="FO10" s="228">
        <v>0.883</v>
      </c>
      <c r="FP10" s="228">
        <v>0.862</v>
      </c>
      <c r="FQ10" s="228">
        <v>0.841</v>
      </c>
      <c r="FR10" s="228">
        <v>0.821</v>
      </c>
      <c r="FS10" s="228">
        <v>0.801</v>
      </c>
      <c r="FT10" s="228">
        <v>0.782</v>
      </c>
      <c r="FU10" s="228">
        <v>0.763</v>
      </c>
      <c r="FV10" s="228">
        <v>0.744</v>
      </c>
      <c r="FW10" s="228">
        <v>0.726</v>
      </c>
      <c r="FX10" s="228">
        <v>0.709</v>
      </c>
      <c r="FY10" s="228"/>
      <c r="FZ10" s="84" t="str">
        <f t="array" ref="FZ10">IF(NOT($D$37=7),IFERROR(INDIRECT("'Bloque "&amp;$D$38&amp;" Semana "&amp;"7"&amp;"'"&amp;"!"&amp;"E37"),""),"S7")</f>
        <v/>
      </c>
      <c r="GA10" s="229" t="str">
        <f t="shared" si="4"/>
        <v/>
      </c>
      <c r="GB10" s="212" t="str">
        <f t="shared" si="5"/>
        <v/>
      </c>
      <c r="GC10" s="84" t="str">
        <f t="array" ref="GC10">IF(NOT($D$37=7),IFERROR(INDIRECT("'Bloque "&amp;$D$38&amp;" Semana "&amp;"7"&amp;"'"&amp;"!"&amp;"E37"),""),"S7")</f>
        <v/>
      </c>
      <c r="GD10" s="229" t="str">
        <f t="shared" si="6"/>
        <v/>
      </c>
      <c r="GE10" s="212" t="str">
        <f t="shared" si="7"/>
        <v/>
      </c>
      <c r="GF10" s="84" t="str">
        <f t="array" ref="GF10">IF(NOT($D$37=7),IFERROR(INDIRECT("'Bloque "&amp;$D$38&amp;" Semana "&amp;"7"&amp;"'"&amp;"!"&amp;"E37"),""),"S7")</f>
        <v/>
      </c>
      <c r="GG10" s="229" t="str">
        <f t="shared" si="8"/>
        <v/>
      </c>
      <c r="GH10" s="212" t="str">
        <f t="shared" si="9"/>
        <v/>
      </c>
    </row>
    <row r="11" ht="21.75" customHeight="1">
      <c r="B11" s="199"/>
      <c r="I11" s="106"/>
      <c r="J11" s="225"/>
      <c r="T11" s="226"/>
      <c r="W11" s="201"/>
      <c r="AE11" s="203"/>
      <c r="AF11" s="204"/>
      <c r="AG11" s="270" t="s">
        <v>269</v>
      </c>
      <c r="AJ11" s="271"/>
      <c r="AK11" s="272"/>
      <c r="AN11" s="273"/>
      <c r="AO11" s="272"/>
      <c r="AR11" s="273"/>
      <c r="AS11" s="272"/>
      <c r="AV11" s="273"/>
      <c r="AW11" s="272"/>
      <c r="AZ11" s="273"/>
      <c r="BA11" s="272"/>
      <c r="BD11" s="273"/>
      <c r="BE11" s="274" t="str">
        <f t="shared" si="17"/>
        <v/>
      </c>
      <c r="BH11" s="275"/>
      <c r="BI11" s="321"/>
      <c r="BL11" s="275"/>
      <c r="BM11" s="277"/>
      <c r="BQ11" s="278"/>
      <c r="BR11" s="279" t="b">
        <v>0</v>
      </c>
      <c r="BS11" s="280" t="str">
        <f t="shared" si="18"/>
        <v/>
      </c>
      <c r="BT11" s="273"/>
      <c r="BU11" s="281" t="b">
        <v>0</v>
      </c>
      <c r="BV11" s="280" t="str">
        <f t="shared" si="19"/>
        <v/>
      </c>
      <c r="BW11" s="282" t="str">
        <f t="shared" si="20"/>
        <v/>
      </c>
      <c r="BZ11" s="283" t="s">
        <v>270</v>
      </c>
      <c r="CA11" s="322">
        <f>IFERROR(IFS(BZ11="DL1", SUMIF($D$40:$D187,"DL1*",AD40:AD187),BZ11="DL2",SUMIF($D$40:$D187,"DL2*",AD40:AD187),$BZ$11="DL3",SUMIF($D$40:$D187,"DL3*",AD40:AD187),BZ11="DL4",SUMIF($D$40:$D187,"DL4*",AD40:AD187),BZ11="DL5",SUMIF($D$40:$D187,"DL5*",AD40:AD187)),"")</f>
        <v>7</v>
      </c>
      <c r="CB11" s="322">
        <f>IFERROR(IFS(BZ11="DL1", SUMIF($D$40:$D187,"DL1*",CC40:CC187),BZ11="DL2",SUMIF($D$40:$D187,"DL2*",CC40:CC187),$BZ$11="DL3",SUMIF($D$40:$D187,"DL3*",CC40:CC187),BZ11="DL4",SUMIF($D$40:$D187,"DL4*",CC40:CC187),BZ11="DL5",SUMIF($D$40:$D187,"DL5*",CC40:CC187)),"")</f>
        <v>23</v>
      </c>
      <c r="CC11" s="323" t="str">
        <f>IFERROR(IFS(BZ11="DL1", SUMIF($D$40:$D187,"DL1*",CE40:CE187),BZ11="DL2",SUMIF($D$40:$D187,"DL2*",CE40:CE187),$BZ$11="DL3",SUMIF($D$40:$D187,"DL3*",CE40:CE187),BZ11="DL4",SUMIF($D$40:$D187,"DL4*",CE40:CE187),BZ11="DL5",SUMIF($D$40:$D187,"DL5*",CE40:CE187)),"")</f>
        <v/>
      </c>
      <c r="CD11" s="324" t="str">
        <f>IFERROR(IFS(BZ11="DL1",AVERAGEIF(D40:D187,"DL1*",CA40:CH187),BZ11="DL2",AVERAGEIF(D40:D187,"DL2*",CA40:CH187),BZ11="DL3",AVERAGEIF(D40:D187,"DL3*",CA40:CH187),BZ11="DL4",AVERAGEIF(D40:D187,"DL4*",CA40:CH187),BZ11="DL5",AVERAGEIF(D40:D187,"DL5*",CA40:CH187)),"")</f>
        <v/>
      </c>
      <c r="CE11" s="325" t="str">
        <f>IFERROR( IFS($CE$8="e1RM Bryzcki", IFS(BZ11="DL1",AVERAGEIF(D40:D187,"DL1*",CH40:CH187),BZ11="DL2",AVERAGEIF(D40:D187,"DL2*",CH40:CH187),BZ11="DL3",AVERAGEIF(D40:D187,"DL3*",CH40:CH187),BZ11="DL4*",AVERAGEIF(D40:D187,"DL4*",CH40:CH187),BZ11="DL5",AVERAGEIF(D40:D187,"DL5*",CH40:CH187)),$CE$8="e1RM Steve Denovi F1", IFS(BZ11="DL1",AVERAGEIF(D40:D187,"DL1*",CL40:CL187),BZ11="DL2",AVERAGEIF(D40:D187,"DL2*",CL40:CL187),BZ11="DL3",AVERAGEIF(D40:D187,"DL3*",CL40:CL187),BZ11="DL4*",AVERAGEIF(D40:D187,"DL4*",CL40:CL187),BZ11="DL5",AVERAGEIF(D40:D187,"DL5*",CL40:CL187)),$CE$8="e1RM Steve Denovi F2", IFS(BZ11="DL1",AVERAGEIF(D40:D187,"DL1*",CM40:CM187),BZ11="DL2",AVERAGEIF(D40:D187,"DL2*",CM40:CM187),BZ11="DL3",AVERAGEIF(D40:D187,"DL3*",CM40:CM187),BZ11="DL4*",AVERAGEIF(D40:D187,"DL4*",CM40:CM187),BZ11="DL5",AVERAGEIF(D40:D187,"DL5*",CM40:CM187))),"")</f>
        <v/>
      </c>
      <c r="CF11" s="326">
        <f>IFERROR(IFS($BZ$11="DL1",AVERAGEIF($D$40:$D187,"DL1*",$CK$40:$CK187),$BZ$11="DL2",AVERAGEIF($D$40:$D187,"DL2*",$CK$40:$CK187),$BZ$11="DL3",AVERAGEIF($D$40:$D187,"DL3*",$CK$40:$CK187),$BZ$11="DL4",AVERAGEIF($D$40:$D187,"DL4*",$CK$40:$CK187),$BZ$11="DL5",AVERAGEIF($D$40:$D187,"DL5*",$CK$40:$CK187)),"")</f>
        <v>6</v>
      </c>
      <c r="CH11" s="289" t="str">
        <f t="array" ref="CH11">IF(NOT($D$37=3),IFERROR(INDIRECT("'Bloque "&amp;$D$38&amp;" Semana "&amp;"3"&amp;"'"&amp;"!"&amp;"E37"),""),"S3")</f>
        <v>S3</v>
      </c>
      <c r="CI11" s="316" t="str">
        <f t="shared" si="21"/>
        <v/>
      </c>
      <c r="CJ11" s="224" t="str">
        <f t="shared" si="22"/>
        <v/>
      </c>
      <c r="CK11" s="85" t="str">
        <f t="shared" si="23"/>
        <v/>
      </c>
      <c r="CL11" s="85">
        <f t="shared" si="30"/>
        <v>0</v>
      </c>
      <c r="CM11" s="168" t="str">
        <f t="shared" si="24"/>
        <v/>
      </c>
      <c r="CN11" s="317">
        <f t="shared" si="31"/>
        <v>0</v>
      </c>
      <c r="CO11" s="168" t="str">
        <f t="shared" si="25"/>
        <v/>
      </c>
      <c r="CP11" s="168" t="str">
        <f t="shared" si="26"/>
        <v/>
      </c>
      <c r="CQ11" s="294" t="str">
        <f t="shared" si="27"/>
        <v/>
      </c>
      <c r="CR11" s="318">
        <f t="shared" si="32"/>
        <v>0</v>
      </c>
      <c r="CS11" s="212"/>
      <c r="CT11" s="319"/>
      <c r="DJ11" s="120" t="s">
        <v>36</v>
      </c>
      <c r="DK11" s="320" t="str">
        <f t="shared" ref="DK11:EB11" si="33">IFERROR(INDIRECT("'Bloque "&amp;$D$38&amp;" Semana "&amp;MID(DK9,2,2)&amp;"'"&amp;"!"&amp;"CD16"),"")</f>
        <v/>
      </c>
      <c r="DL11" s="320" t="str">
        <f t="shared" si="33"/>
        <v/>
      </c>
      <c r="DM11" s="320" t="str">
        <f t="shared" si="33"/>
        <v/>
      </c>
      <c r="DN11" s="320" t="str">
        <f t="shared" si="33"/>
        <v/>
      </c>
      <c r="DO11" s="320" t="str">
        <f t="shared" si="33"/>
        <v/>
      </c>
      <c r="DP11" s="320" t="str">
        <f t="shared" si="33"/>
        <v/>
      </c>
      <c r="DQ11" s="320" t="str">
        <f t="shared" si="33"/>
        <v/>
      </c>
      <c r="DR11" s="320" t="str">
        <f t="shared" si="33"/>
        <v/>
      </c>
      <c r="DS11" s="320" t="str">
        <f t="shared" si="33"/>
        <v/>
      </c>
      <c r="DT11" s="320" t="str">
        <f t="shared" si="33"/>
        <v/>
      </c>
      <c r="DU11" s="320" t="str">
        <f t="shared" si="33"/>
        <v/>
      </c>
      <c r="DV11" s="320" t="str">
        <f t="shared" si="33"/>
        <v/>
      </c>
      <c r="DW11" s="320" t="str">
        <f t="shared" si="33"/>
        <v/>
      </c>
      <c r="DX11" s="320" t="str">
        <f t="shared" si="33"/>
        <v/>
      </c>
      <c r="DY11" s="320" t="str">
        <f t="shared" si="33"/>
        <v/>
      </c>
      <c r="DZ11" s="320" t="str">
        <f t="shared" si="33"/>
        <v/>
      </c>
      <c r="EA11" s="320" t="str">
        <f t="shared" si="33"/>
        <v/>
      </c>
      <c r="EB11" s="320" t="str">
        <f t="shared" si="33"/>
        <v/>
      </c>
      <c r="ED11" s="120"/>
      <c r="EE11" s="269"/>
      <c r="EF11" s="269"/>
      <c r="EG11" s="269"/>
      <c r="EH11" s="269"/>
      <c r="EI11" s="269"/>
      <c r="EJ11" s="269"/>
      <c r="EK11" s="269"/>
      <c r="EL11" s="269"/>
      <c r="EM11" s="269"/>
      <c r="EN11" s="269"/>
      <c r="EO11" s="269"/>
      <c r="EP11" s="269"/>
      <c r="EQ11" s="269"/>
      <c r="ER11" s="269"/>
      <c r="ES11" s="269"/>
      <c r="ET11" s="269"/>
      <c r="EU11" s="269"/>
      <c r="EV11" s="269"/>
      <c r="EX11" s="218">
        <v>6.5</v>
      </c>
      <c r="EY11" s="228">
        <v>0.878</v>
      </c>
      <c r="EZ11" s="228">
        <v>0.85</v>
      </c>
      <c r="FA11" s="228">
        <v>0.824</v>
      </c>
      <c r="FB11" s="228">
        <v>0.799</v>
      </c>
      <c r="FC11" s="228">
        <v>0.774</v>
      </c>
      <c r="FD11" s="228">
        <v>0.751</v>
      </c>
      <c r="FE11" s="228">
        <v>0.723</v>
      </c>
      <c r="FF11" s="228">
        <v>0.694</v>
      </c>
      <c r="FG11" s="228">
        <v>0.667</v>
      </c>
      <c r="FH11" s="228">
        <v>0.64</v>
      </c>
      <c r="FI11" s="228">
        <v>0.613</v>
      </c>
      <c r="FJ11" s="228">
        <v>0.586</v>
      </c>
      <c r="FK11" s="208"/>
      <c r="FL11" s="218">
        <v>6.5</v>
      </c>
      <c r="FM11" s="228">
        <v>0.927</v>
      </c>
      <c r="FN11" s="228">
        <v>0.895</v>
      </c>
      <c r="FO11" s="228">
        <v>0.873</v>
      </c>
      <c r="FP11" s="228">
        <v>0.852</v>
      </c>
      <c r="FQ11" s="228">
        <v>0.832</v>
      </c>
      <c r="FR11" s="228">
        <v>0.812</v>
      </c>
      <c r="FS11" s="228">
        <v>0.792</v>
      </c>
      <c r="FT11" s="228">
        <v>0.773</v>
      </c>
      <c r="FU11" s="228">
        <v>0.755</v>
      </c>
      <c r="FV11" s="228">
        <v>0.736</v>
      </c>
      <c r="FW11" s="228">
        <v>0.719</v>
      </c>
      <c r="FX11" s="228">
        <v>0.701</v>
      </c>
      <c r="FY11" s="228"/>
      <c r="FZ11" s="84" t="str">
        <f t="array" ref="FZ11">IF(NOT($D$37=8),IFERROR(INDIRECT("'Bloque "&amp;$D$38&amp;" Semana "&amp;"8"&amp;"'"&amp;"!"&amp;"E37"),""),"S8")</f>
        <v/>
      </c>
      <c r="GA11" s="229" t="str">
        <f t="shared" si="4"/>
        <v/>
      </c>
      <c r="GB11" s="212" t="str">
        <f t="shared" si="5"/>
        <v/>
      </c>
      <c r="GC11" s="84" t="str">
        <f t="array" ref="GC11">IF(NOT($D$37=8),IFERROR(INDIRECT("'Bloque "&amp;$D$38&amp;" Semana "&amp;"8"&amp;"'"&amp;"!"&amp;"E37"),""),"S8")</f>
        <v/>
      </c>
      <c r="GD11" s="229" t="str">
        <f t="shared" si="6"/>
        <v/>
      </c>
      <c r="GE11" s="212" t="str">
        <f t="shared" si="7"/>
        <v/>
      </c>
      <c r="GF11" s="84" t="str">
        <f t="array" ref="GF11">IF(NOT($D$37=8),IFERROR(INDIRECT("'Bloque "&amp;$D$38&amp;" Semana "&amp;"8"&amp;"'"&amp;"!"&amp;"E37"),""),"S8")</f>
        <v/>
      </c>
      <c r="GG11" s="229" t="str">
        <f t="shared" si="8"/>
        <v/>
      </c>
      <c r="GH11" s="212" t="str">
        <f t="shared" si="9"/>
        <v/>
      </c>
    </row>
    <row r="12" ht="15.0" customHeight="1">
      <c r="B12" s="199"/>
      <c r="H12" s="106"/>
      <c r="I12" s="106"/>
      <c r="J12" s="225"/>
      <c r="T12" s="226"/>
      <c r="W12" s="201"/>
      <c r="AE12" s="203"/>
      <c r="AF12" s="204"/>
      <c r="AG12" s="298" t="s">
        <v>271</v>
      </c>
      <c r="AJ12" s="299"/>
      <c r="AK12" s="300" t="s">
        <v>483</v>
      </c>
      <c r="AN12" s="301"/>
      <c r="AO12" s="300" t="s">
        <v>586</v>
      </c>
      <c r="AR12" s="301"/>
      <c r="AS12" s="300" t="s">
        <v>447</v>
      </c>
      <c r="AV12" s="301"/>
      <c r="AW12" s="300"/>
      <c r="AZ12" s="301"/>
      <c r="BA12" s="300" t="s">
        <v>483</v>
      </c>
      <c r="BD12" s="301"/>
      <c r="BE12" s="302">
        <f t="shared" si="17"/>
        <v>5.357142857</v>
      </c>
      <c r="BH12" s="303"/>
      <c r="BI12" s="304"/>
      <c r="BL12" s="303"/>
      <c r="BM12" s="305"/>
      <c r="BQ12" s="306"/>
      <c r="BR12" s="307" t="b">
        <v>0</v>
      </c>
      <c r="BS12" s="308" t="str">
        <f t="shared" si="18"/>
        <v/>
      </c>
      <c r="BT12" s="301"/>
      <c r="BU12" s="309" t="b">
        <v>0</v>
      </c>
      <c r="BV12" s="308" t="str">
        <f t="shared" si="19"/>
        <v/>
      </c>
      <c r="BW12" s="310" t="str">
        <f t="shared" si="20"/>
        <v/>
      </c>
      <c r="BZ12" s="329"/>
      <c r="CF12" s="330"/>
      <c r="CH12" s="289" t="str">
        <f t="array" ref="CH12">IF(NOT($D$37=4),IFERROR(INDIRECT("'Bloque "&amp;$D$38&amp;" Semana "&amp;"4"&amp;"'"&amp;"!"&amp;"E37"),""),"S4")</f>
        <v/>
      </c>
      <c r="CI12" s="316" t="str">
        <f t="shared" si="21"/>
        <v/>
      </c>
      <c r="CJ12" s="224" t="str">
        <f t="shared" si="22"/>
        <v/>
      </c>
      <c r="CK12" s="85" t="str">
        <f t="shared" si="23"/>
        <v/>
      </c>
      <c r="CL12" s="85" t="str">
        <f t="shared" si="30"/>
        <v/>
      </c>
      <c r="CM12" s="168" t="str">
        <f t="shared" si="24"/>
        <v/>
      </c>
      <c r="CN12" s="327" t="str">
        <f t="shared" si="31"/>
        <v/>
      </c>
      <c r="CO12" s="168" t="str">
        <f t="shared" si="25"/>
        <v/>
      </c>
      <c r="CP12" s="168" t="str">
        <f t="shared" si="26"/>
        <v/>
      </c>
      <c r="CQ12" s="294" t="str">
        <f t="shared" si="27"/>
        <v/>
      </c>
      <c r="CR12" s="328" t="str">
        <f t="shared" si="32"/>
        <v/>
      </c>
      <c r="CS12" s="212"/>
      <c r="CT12" s="319"/>
      <c r="DJ12" s="120" t="s">
        <v>42</v>
      </c>
      <c r="DK12" s="320" t="str">
        <f t="shared" ref="DK12:EB12" si="34">IFERROR(INDIRECT("'Bloque "&amp;$D$38&amp;" Semana "&amp;MID(DK9,2,2)&amp;"'"&amp;"!"&amp;"CD17"),"")</f>
        <v/>
      </c>
      <c r="DL12" s="320" t="str">
        <f t="shared" si="34"/>
        <v/>
      </c>
      <c r="DM12" s="320" t="str">
        <f t="shared" si="34"/>
        <v/>
      </c>
      <c r="DN12" s="320" t="str">
        <f t="shared" si="34"/>
        <v/>
      </c>
      <c r="DO12" s="320" t="str">
        <f t="shared" si="34"/>
        <v/>
      </c>
      <c r="DP12" s="320" t="str">
        <f t="shared" si="34"/>
        <v/>
      </c>
      <c r="DQ12" s="320" t="str">
        <f t="shared" si="34"/>
        <v/>
      </c>
      <c r="DR12" s="320" t="str">
        <f t="shared" si="34"/>
        <v/>
      </c>
      <c r="DS12" s="320" t="str">
        <f t="shared" si="34"/>
        <v/>
      </c>
      <c r="DT12" s="320" t="str">
        <f t="shared" si="34"/>
        <v/>
      </c>
      <c r="DU12" s="320" t="str">
        <f t="shared" si="34"/>
        <v/>
      </c>
      <c r="DV12" s="320" t="str">
        <f t="shared" si="34"/>
        <v/>
      </c>
      <c r="DW12" s="320" t="str">
        <f t="shared" si="34"/>
        <v/>
      </c>
      <c r="DX12" s="320" t="str">
        <f t="shared" si="34"/>
        <v/>
      </c>
      <c r="DY12" s="320" t="str">
        <f t="shared" si="34"/>
        <v/>
      </c>
      <c r="DZ12" s="320" t="str">
        <f t="shared" si="34"/>
        <v/>
      </c>
      <c r="EA12" s="320" t="str">
        <f t="shared" si="34"/>
        <v/>
      </c>
      <c r="EB12" s="320" t="str">
        <f t="shared" si="34"/>
        <v/>
      </c>
      <c r="ED12" s="120"/>
      <c r="EE12" s="269"/>
      <c r="EF12" s="269"/>
      <c r="EG12" s="269"/>
      <c r="EH12" s="269"/>
      <c r="EI12" s="269"/>
      <c r="EJ12" s="269"/>
      <c r="EK12" s="269"/>
      <c r="EL12" s="269"/>
      <c r="EM12" s="269"/>
      <c r="EN12" s="269"/>
      <c r="EO12" s="269"/>
      <c r="EP12" s="269"/>
      <c r="EQ12" s="269"/>
      <c r="ER12" s="269"/>
      <c r="ES12" s="269"/>
      <c r="ET12" s="269"/>
      <c r="EU12" s="269"/>
      <c r="EV12" s="269"/>
      <c r="EX12" s="218">
        <v>6.0</v>
      </c>
      <c r="EY12" s="228">
        <v>0.863</v>
      </c>
      <c r="EZ12" s="228">
        <v>0.837</v>
      </c>
      <c r="FA12" s="228">
        <v>0.811</v>
      </c>
      <c r="FB12" s="228">
        <v>0.786</v>
      </c>
      <c r="FC12" s="228">
        <v>0.762</v>
      </c>
      <c r="FD12" s="228">
        <v>0.739</v>
      </c>
      <c r="FE12" s="228">
        <v>0.707</v>
      </c>
      <c r="FF12" s="228">
        <v>0.68</v>
      </c>
      <c r="FG12" s="228">
        <v>0.653</v>
      </c>
      <c r="FH12" s="228">
        <v>0.626</v>
      </c>
      <c r="FI12" s="228">
        <v>0.599</v>
      </c>
      <c r="FJ12" s="228">
        <v>0.572</v>
      </c>
      <c r="FK12" s="208"/>
      <c r="FL12" s="218">
        <v>6.0</v>
      </c>
      <c r="FM12" s="228">
        <v>0.918</v>
      </c>
      <c r="FN12" s="228">
        <v>0.885</v>
      </c>
      <c r="FO12" s="228">
        <v>0.864</v>
      </c>
      <c r="FP12" s="228">
        <v>0.843</v>
      </c>
      <c r="FQ12" s="228">
        <v>0.823</v>
      </c>
      <c r="FR12" s="228">
        <v>0.803</v>
      </c>
      <c r="FS12" s="228">
        <v>0.784</v>
      </c>
      <c r="FT12" s="228">
        <v>0.765</v>
      </c>
      <c r="FU12" s="228">
        <v>0.747</v>
      </c>
      <c r="FV12" s="228">
        <v>0.729</v>
      </c>
      <c r="FW12" s="228">
        <v>0.711</v>
      </c>
      <c r="FX12" s="228">
        <v>0.694</v>
      </c>
      <c r="FY12" s="228"/>
      <c r="FZ12" s="84" t="str">
        <f t="array" ref="FZ12">IF(NOT($D$37=9),IFERROR(INDIRECT("'Bloque "&amp;$D$38&amp;" Semana "&amp;"9"&amp;"'"&amp;"!"&amp;"E37"),""),"S9")</f>
        <v/>
      </c>
      <c r="GA12" s="229" t="str">
        <f t="shared" si="4"/>
        <v/>
      </c>
      <c r="GB12" s="212" t="str">
        <f t="shared" si="5"/>
        <v/>
      </c>
      <c r="GC12" s="84" t="str">
        <f t="array" ref="GC12">IF(NOT($D$37=9),IFERROR(INDIRECT("'Bloque "&amp;$D$38&amp;" Semana "&amp;"9"&amp;"'"&amp;"!"&amp;"E37"),""),"S9")</f>
        <v/>
      </c>
      <c r="GD12" s="229" t="str">
        <f t="shared" si="6"/>
        <v/>
      </c>
      <c r="GE12" s="212" t="str">
        <f t="shared" si="7"/>
        <v/>
      </c>
      <c r="GF12" s="84" t="str">
        <f t="array" ref="GF12">IF(NOT($D$37=9),IFERROR(INDIRECT("'Bloque "&amp;$D$38&amp;" Semana "&amp;"9"&amp;"'"&amp;"!"&amp;"E37"),""),"S9")</f>
        <v/>
      </c>
      <c r="GG12" s="229" t="str">
        <f t="shared" si="8"/>
        <v/>
      </c>
      <c r="GH12" s="212" t="str">
        <f t="shared" si="9"/>
        <v/>
      </c>
    </row>
    <row r="13" ht="25.5" customHeight="1">
      <c r="B13" s="199"/>
      <c r="E13" s="331" t="s">
        <v>272</v>
      </c>
      <c r="F13" s="332" t="s">
        <v>3</v>
      </c>
      <c r="H13" s="106"/>
      <c r="I13" s="106"/>
      <c r="J13" s="225"/>
      <c r="T13" s="226"/>
      <c r="W13" s="201"/>
      <c r="AE13" s="203"/>
      <c r="AF13" s="204"/>
      <c r="AG13" s="270" t="s">
        <v>273</v>
      </c>
      <c r="AJ13" s="271"/>
      <c r="AK13" s="272" t="s">
        <v>447</v>
      </c>
      <c r="AN13" s="273"/>
      <c r="AO13" s="272"/>
      <c r="AR13" s="273"/>
      <c r="AS13" s="272"/>
      <c r="AV13" s="273"/>
      <c r="AW13" s="272"/>
      <c r="AZ13" s="273"/>
      <c r="BA13" s="272"/>
      <c r="BD13" s="273"/>
      <c r="BE13" s="274">
        <f t="shared" si="17"/>
        <v>5.714285714</v>
      </c>
      <c r="BH13" s="275"/>
      <c r="BI13" s="321"/>
      <c r="BL13" s="275"/>
      <c r="BM13" s="277"/>
      <c r="BQ13" s="278"/>
      <c r="BR13" s="279" t="b">
        <v>0</v>
      </c>
      <c r="BS13" s="280" t="str">
        <f t="shared" si="18"/>
        <v/>
      </c>
      <c r="BT13" s="273"/>
      <c r="BU13" s="281" t="b">
        <v>0</v>
      </c>
      <c r="BV13" s="280" t="str">
        <f t="shared" si="19"/>
        <v/>
      </c>
      <c r="BW13" s="282" t="str">
        <f t="shared" si="20"/>
        <v/>
      </c>
      <c r="BZ13" s="333" t="s">
        <v>274</v>
      </c>
      <c r="CA13" s="210"/>
      <c r="CB13" s="210"/>
      <c r="CC13" s="334"/>
      <c r="CD13" s="334"/>
      <c r="CE13" s="334"/>
      <c r="CF13" s="335"/>
      <c r="CG13" s="245"/>
      <c r="CH13" s="289" t="str">
        <f t="array" ref="CH13">IF(NOT($D$37=5),IFERROR(INDIRECT("'Bloque "&amp;$D$38&amp;" Semana "&amp;"5"&amp;"'"&amp;"!"&amp;"E37"),""),"S5")</f>
        <v/>
      </c>
      <c r="CI13" s="316" t="str">
        <f t="shared" si="21"/>
        <v/>
      </c>
      <c r="CJ13" s="224" t="str">
        <f t="shared" si="22"/>
        <v/>
      </c>
      <c r="CK13" s="85" t="str">
        <f t="shared" si="23"/>
        <v/>
      </c>
      <c r="CL13" s="85" t="str">
        <f t="shared" si="30"/>
        <v/>
      </c>
      <c r="CM13" s="168" t="str">
        <f t="shared" si="24"/>
        <v/>
      </c>
      <c r="CN13" s="327" t="str">
        <f t="shared" si="31"/>
        <v/>
      </c>
      <c r="CO13" s="168" t="str">
        <f t="shared" si="25"/>
        <v/>
      </c>
      <c r="CP13" s="168" t="str">
        <f t="shared" si="26"/>
        <v/>
      </c>
      <c r="CQ13" s="294" t="str">
        <f t="shared" si="27"/>
        <v/>
      </c>
      <c r="CR13" s="328" t="str">
        <f t="shared" si="32"/>
        <v/>
      </c>
      <c r="CS13" s="212"/>
      <c r="CT13" s="319"/>
      <c r="ED13" s="120"/>
      <c r="EE13" s="269"/>
      <c r="EF13" s="269"/>
      <c r="EG13" s="269"/>
      <c r="EH13" s="269"/>
      <c r="EI13" s="269"/>
      <c r="EJ13" s="269"/>
      <c r="EK13" s="269"/>
      <c r="EL13" s="269"/>
      <c r="EM13" s="269"/>
      <c r="EN13" s="269"/>
      <c r="EO13" s="269"/>
      <c r="EP13" s="269"/>
      <c r="EQ13" s="269"/>
      <c r="ER13" s="269"/>
      <c r="ES13" s="269"/>
      <c r="ET13" s="269"/>
      <c r="EU13" s="269"/>
      <c r="EV13" s="269"/>
      <c r="EX13" s="218">
        <v>5.5</v>
      </c>
      <c r="EY13" s="228">
        <v>0.85</v>
      </c>
      <c r="EZ13" s="228">
        <v>0.824</v>
      </c>
      <c r="FA13" s="228">
        <v>0.799</v>
      </c>
      <c r="FB13" s="228">
        <v>0.774</v>
      </c>
      <c r="FC13" s="228">
        <v>0.751</v>
      </c>
      <c r="FD13" s="228">
        <v>0.723</v>
      </c>
      <c r="FE13" s="228">
        <v>0.694</v>
      </c>
      <c r="FF13" s="228">
        <v>0.667</v>
      </c>
      <c r="FG13" s="228">
        <v>0.64</v>
      </c>
      <c r="FH13" s="228">
        <v>0.613</v>
      </c>
      <c r="FI13" s="228">
        <v>0.586</v>
      </c>
      <c r="FJ13" s="228">
        <v>0.558</v>
      </c>
      <c r="FK13" s="208"/>
      <c r="FL13" s="218">
        <v>5.5</v>
      </c>
      <c r="FM13" s="228">
        <v>0.908</v>
      </c>
      <c r="FN13" s="228">
        <v>0.876</v>
      </c>
      <c r="FO13" s="228">
        <v>0.855</v>
      </c>
      <c r="FP13" s="228">
        <v>0.834</v>
      </c>
      <c r="FQ13" s="228">
        <v>0.814</v>
      </c>
      <c r="FR13" s="228">
        <v>0.795</v>
      </c>
      <c r="FS13" s="228">
        <v>0.775</v>
      </c>
      <c r="FT13" s="228">
        <v>0.757</v>
      </c>
      <c r="FU13" s="228">
        <v>0.739</v>
      </c>
      <c r="FV13" s="228">
        <v>0.721</v>
      </c>
      <c r="FW13" s="228">
        <v>0.703</v>
      </c>
      <c r="FX13" s="228">
        <v>0.686</v>
      </c>
      <c r="FY13" s="228"/>
      <c r="FZ13" s="84" t="str">
        <f t="array" ref="FZ13">IF(NOT($D$37=10),IFERROR(INDIRECT("'Bloque "&amp;$D$38&amp;" Semana "&amp;"10"&amp;"'"&amp;"!"&amp;"E37"),""),"S10")</f>
        <v/>
      </c>
      <c r="GA13" s="229" t="str">
        <f t="shared" si="4"/>
        <v/>
      </c>
      <c r="GB13" s="212" t="str">
        <f t="shared" si="5"/>
        <v/>
      </c>
      <c r="GC13" s="84" t="str">
        <f t="array" ref="GC13">IF(NOT($D$37=10),IFERROR(INDIRECT("'Bloque "&amp;$D$38&amp;" Semana "&amp;"10"&amp;"'"&amp;"!"&amp;"E37"),""),"S10")</f>
        <v/>
      </c>
      <c r="GD13" s="229" t="str">
        <f t="shared" si="6"/>
        <v/>
      </c>
      <c r="GE13" s="212" t="str">
        <f t="shared" si="7"/>
        <v/>
      </c>
      <c r="GF13" s="84" t="str">
        <f t="array" ref="GF13">IF(NOT($D$37=10),IFERROR(INDIRECT("'Bloque "&amp;$D$38&amp;" Semana "&amp;"10"&amp;"'"&amp;"!"&amp;"E37"),""),"S10")</f>
        <v/>
      </c>
      <c r="GG13" s="229" t="str">
        <f t="shared" si="8"/>
        <v/>
      </c>
      <c r="GH13" s="212" t="str">
        <f t="shared" si="9"/>
        <v/>
      </c>
    </row>
    <row r="14" ht="27.75" customHeight="1">
      <c r="B14" s="199"/>
      <c r="E14" s="336" t="s">
        <v>21</v>
      </c>
      <c r="F14" s="337">
        <v>180.0</v>
      </c>
      <c r="H14" s="106"/>
      <c r="I14" s="106"/>
      <c r="J14" s="225"/>
      <c r="T14" s="226"/>
      <c r="W14" s="338"/>
      <c r="AE14" s="203"/>
      <c r="AF14" s="204"/>
      <c r="AG14" s="298" t="s">
        <v>275</v>
      </c>
      <c r="AJ14" s="299"/>
      <c r="AK14" s="300" t="s">
        <v>445</v>
      </c>
      <c r="AN14" s="301"/>
      <c r="AO14" s="300"/>
      <c r="AR14" s="301"/>
      <c r="AS14" s="300"/>
      <c r="AV14" s="301"/>
      <c r="AW14" s="300"/>
      <c r="AZ14" s="301"/>
      <c r="BA14" s="300"/>
      <c r="BD14" s="301"/>
      <c r="BE14" s="302">
        <f t="shared" si="17"/>
        <v>8.571428571</v>
      </c>
      <c r="BH14" s="303"/>
      <c r="BI14" s="304"/>
      <c r="BL14" s="303"/>
      <c r="BM14" s="305"/>
      <c r="BQ14" s="306"/>
      <c r="BR14" s="307" t="b">
        <v>0</v>
      </c>
      <c r="BS14" s="308" t="str">
        <f t="shared" si="18"/>
        <v/>
      </c>
      <c r="BT14" s="301"/>
      <c r="BU14" s="309" t="b">
        <v>0</v>
      </c>
      <c r="BV14" s="308" t="str">
        <f t="shared" si="19"/>
        <v/>
      </c>
      <c r="BW14" s="310" t="str">
        <f t="shared" si="20"/>
        <v/>
      </c>
      <c r="BZ14" s="261" t="s">
        <v>246</v>
      </c>
      <c r="CA14" s="83" t="s">
        <v>247</v>
      </c>
      <c r="CB14" s="83" t="s">
        <v>248</v>
      </c>
      <c r="CC14" s="83" t="s">
        <v>224</v>
      </c>
      <c r="CD14" s="83" t="s">
        <v>249</v>
      </c>
      <c r="CE14" s="83" t="s">
        <v>276</v>
      </c>
      <c r="CF14" s="339" t="s">
        <v>251</v>
      </c>
      <c r="CH14" s="289" t="str">
        <f t="array" ref="CH14">IF(NOT($D$37=6),IFERROR(INDIRECT("'Bloque "&amp;$D$38&amp;" Semana "&amp;"6"&amp;"'"&amp;"!"&amp;"E37"),""),"S6")</f>
        <v/>
      </c>
      <c r="CI14" s="316" t="str">
        <f t="shared" si="21"/>
        <v/>
      </c>
      <c r="CJ14" s="224" t="str">
        <f t="shared" si="22"/>
        <v/>
      </c>
      <c r="CK14" s="85" t="str">
        <f t="shared" si="23"/>
        <v/>
      </c>
      <c r="CL14" s="85" t="str">
        <f t="shared" si="30"/>
        <v/>
      </c>
      <c r="CM14" s="168" t="str">
        <f t="shared" si="24"/>
        <v/>
      </c>
      <c r="CN14" s="327" t="str">
        <f t="shared" si="31"/>
        <v/>
      </c>
      <c r="CO14" s="168" t="str">
        <f t="shared" si="25"/>
        <v/>
      </c>
      <c r="CP14" s="168" t="str">
        <f t="shared" si="26"/>
        <v/>
      </c>
      <c r="CQ14" s="294" t="str">
        <f t="shared" si="27"/>
        <v/>
      </c>
      <c r="CR14" s="328" t="str">
        <f t="shared" si="32"/>
        <v/>
      </c>
      <c r="CS14" s="212"/>
      <c r="CT14" s="319"/>
      <c r="DJ14" s="107" t="s">
        <v>111</v>
      </c>
      <c r="DK14" s="108"/>
      <c r="DL14" s="108"/>
      <c r="DM14" s="108"/>
      <c r="DN14" s="108"/>
      <c r="DO14" s="108"/>
      <c r="DP14" s="108"/>
      <c r="DQ14" s="108"/>
      <c r="DR14" s="108"/>
      <c r="DS14" s="108"/>
      <c r="DT14" s="108"/>
      <c r="DU14" s="108"/>
      <c r="DV14" s="108"/>
      <c r="DW14" s="108"/>
      <c r="DX14" s="108"/>
      <c r="DY14" s="108"/>
      <c r="DZ14" s="108"/>
      <c r="EA14" s="108"/>
      <c r="EB14" s="108"/>
      <c r="ED14" s="120"/>
      <c r="EE14" s="269"/>
      <c r="EF14" s="269"/>
      <c r="EG14" s="269"/>
      <c r="EH14" s="269"/>
      <c r="EI14" s="269"/>
      <c r="EJ14" s="269"/>
      <c r="EK14" s="269"/>
      <c r="EL14" s="269"/>
      <c r="EM14" s="269"/>
      <c r="EN14" s="269"/>
      <c r="EO14" s="269"/>
      <c r="EP14" s="269"/>
      <c r="EQ14" s="269"/>
      <c r="ER14" s="269"/>
      <c r="ES14" s="269"/>
      <c r="ET14" s="269"/>
      <c r="EU14" s="269"/>
      <c r="EV14" s="269"/>
      <c r="EX14" s="218">
        <v>5.0</v>
      </c>
      <c r="EY14" s="228">
        <v>0.837</v>
      </c>
      <c r="EZ14" s="228">
        <v>0.511</v>
      </c>
      <c r="FA14" s="228">
        <v>0.786</v>
      </c>
      <c r="FB14" s="228">
        <v>0.762</v>
      </c>
      <c r="FC14" s="228">
        <v>0.739</v>
      </c>
      <c r="FD14" s="228">
        <v>0.707</v>
      </c>
      <c r="FE14" s="228">
        <v>0.68</v>
      </c>
      <c r="FF14" s="228">
        <v>0.653</v>
      </c>
      <c r="FG14" s="228">
        <v>0.626</v>
      </c>
      <c r="FH14" s="228">
        <v>0.599</v>
      </c>
      <c r="FI14" s="228">
        <v>0.572</v>
      </c>
      <c r="FJ14" s="228">
        <v>0.544</v>
      </c>
      <c r="FK14" s="208"/>
      <c r="FL14" s="218">
        <v>5.0</v>
      </c>
      <c r="FM14" s="228">
        <v>0.898</v>
      </c>
      <c r="FN14" s="228">
        <v>0.867</v>
      </c>
      <c r="FO14" s="228">
        <v>0.846</v>
      </c>
      <c r="FP14" s="228">
        <v>0.825</v>
      </c>
      <c r="FQ14" s="228">
        <v>0.805</v>
      </c>
      <c r="FR14" s="228">
        <v>0.786</v>
      </c>
      <c r="FS14" s="228">
        <v>0.767</v>
      </c>
      <c r="FT14" s="228">
        <v>0.749</v>
      </c>
      <c r="FU14" s="228">
        <v>0.731</v>
      </c>
      <c r="FV14" s="228">
        <v>0.713</v>
      </c>
      <c r="FW14" s="228">
        <v>0.696</v>
      </c>
      <c r="FX14" s="228">
        <v>0.679</v>
      </c>
      <c r="FY14" s="228"/>
      <c r="FZ14" s="84" t="str">
        <f t="array" ref="FZ14">IF(NOT($D$37=11),IFERROR(INDIRECT("'Bloque "&amp;$D$38&amp;" Semana "&amp;"11"&amp;"'"&amp;"!"&amp;"E37"),""),"S11")</f>
        <v/>
      </c>
      <c r="GA14" s="229" t="str">
        <f t="shared" si="4"/>
        <v/>
      </c>
      <c r="GB14" s="212" t="str">
        <f t="shared" si="5"/>
        <v/>
      </c>
      <c r="GC14" s="84" t="str">
        <f t="array" ref="GC14">IF(NOT($D$37=11),IFERROR(INDIRECT("'Bloque "&amp;$D$38&amp;" Semana "&amp;"11"&amp;"'"&amp;"!"&amp;"E37"),""),"S11")</f>
        <v/>
      </c>
      <c r="GD14" s="229" t="str">
        <f t="shared" si="6"/>
        <v/>
      </c>
      <c r="GE14" s="212" t="str">
        <f t="shared" si="7"/>
        <v/>
      </c>
      <c r="GF14" s="84" t="str">
        <f t="array" ref="GF14">IF(NOT($D$37=11),IFERROR(INDIRECT("'Bloque "&amp;$D$38&amp;" Semana "&amp;"11"&amp;"'"&amp;"!"&amp;"E37"),""),"S11")</f>
        <v/>
      </c>
      <c r="GG14" s="229" t="str">
        <f t="shared" si="8"/>
        <v/>
      </c>
      <c r="GH14" s="212" t="str">
        <f t="shared" si="9"/>
        <v/>
      </c>
    </row>
    <row r="15" ht="32.25" customHeight="1">
      <c r="B15" s="199"/>
      <c r="E15" s="336" t="s">
        <v>36</v>
      </c>
      <c r="F15" s="337">
        <v>115.0</v>
      </c>
      <c r="H15" s="106"/>
      <c r="I15" s="106"/>
      <c r="J15" s="225"/>
      <c r="T15" s="226"/>
      <c r="W15" s="201"/>
      <c r="AE15" s="203"/>
      <c r="AF15" s="204"/>
      <c r="AG15" s="270" t="s">
        <v>277</v>
      </c>
      <c r="AJ15" s="271"/>
      <c r="AK15" s="272" t="s">
        <v>483</v>
      </c>
      <c r="AN15" s="273"/>
      <c r="AO15" s="272"/>
      <c r="AR15" s="273"/>
      <c r="AS15" s="272"/>
      <c r="AV15" s="273"/>
      <c r="AW15" s="272"/>
      <c r="AZ15" s="273"/>
      <c r="BA15" s="272"/>
      <c r="BD15" s="273"/>
      <c r="BE15" s="274">
        <f t="shared" si="17"/>
        <v>4.285714286</v>
      </c>
      <c r="BH15" s="275"/>
      <c r="BI15" s="321"/>
      <c r="BL15" s="275"/>
      <c r="BM15" s="277"/>
      <c r="BQ15" s="278"/>
      <c r="BR15" s="340" t="b">
        <v>0</v>
      </c>
      <c r="BS15" s="341" t="str">
        <f t="shared" si="18"/>
        <v/>
      </c>
      <c r="BT15" s="342"/>
      <c r="BU15" s="343" t="b">
        <v>0</v>
      </c>
      <c r="BV15" s="341" t="str">
        <f t="shared" si="19"/>
        <v/>
      </c>
      <c r="BW15" s="344" t="str">
        <f t="shared" si="20"/>
        <v/>
      </c>
      <c r="BZ15" s="345" t="s">
        <v>21</v>
      </c>
      <c r="CA15" s="284">
        <f>SUMIF(D40:D187,"SQ*",AD40:AD187)</f>
        <v>5</v>
      </c>
      <c r="CB15" s="284">
        <f>SUMIF(D40:D187,"SQ*",CC40:CC187)</f>
        <v>18</v>
      </c>
      <c r="CC15" s="285" t="str">
        <f>SUMIF(D40:D187,"SQ*",CE40:CE187)</f>
        <v>#VALUE!</v>
      </c>
      <c r="CD15" s="286">
        <f>IFERROR( AVERAGEIF(D40:D187,"SQ*",CA40:CA187),"")</f>
        <v>0</v>
      </c>
      <c r="CE15" s="287">
        <f>IFERROR( IFS($CE$14="e1RM Bryzcki",MAXIFS(CH40:CH187,D40:D187,"SQ*"),$CE$14="e1RM Steve Denovi F1",MAXIFS(CL40:CL187,D40:D187,"SQ*"),$CE$14="e1RM Steve Denovi F2",MAXIFS(CM40:CM187,D40:D187,"SQ*")),"")</f>
        <v>0</v>
      </c>
      <c r="CF15" s="346">
        <f>IFERROR( AVERAGEIF($D$40:$D187,"SQ*",$CK$40:$CK187),"")</f>
        <v>10.29166667</v>
      </c>
      <c r="CH15" s="289" t="str">
        <f t="array" ref="CH15">IF(NOT($D$37=7),IFERROR(INDIRECT("'Bloque "&amp;$D$38&amp;" Semana "&amp;"7"&amp;"'"&amp;"!"&amp;"E37"),""),"S7")</f>
        <v/>
      </c>
      <c r="CI15" s="316" t="str">
        <f t="shared" si="21"/>
        <v/>
      </c>
      <c r="CJ15" s="224" t="str">
        <f t="shared" si="22"/>
        <v/>
      </c>
      <c r="CK15" s="85" t="str">
        <f t="shared" si="23"/>
        <v/>
      </c>
      <c r="CL15" s="85" t="str">
        <f t="shared" si="30"/>
        <v/>
      </c>
      <c r="CM15" s="168" t="str">
        <f t="shared" si="24"/>
        <v/>
      </c>
      <c r="CN15" s="327" t="str">
        <f t="shared" si="31"/>
        <v/>
      </c>
      <c r="CO15" s="168" t="str">
        <f t="shared" si="25"/>
        <v/>
      </c>
      <c r="CP15" s="168" t="str">
        <f t="shared" si="26"/>
        <v/>
      </c>
      <c r="CQ15" s="294" t="str">
        <f t="shared" si="27"/>
        <v/>
      </c>
      <c r="CR15" s="328" t="str">
        <f t="shared" si="32"/>
        <v/>
      </c>
      <c r="CS15" s="212"/>
      <c r="CT15" s="319"/>
      <c r="DJ15" s="83"/>
      <c r="DK15" s="227" t="str">
        <f t="array" ref="DK15">IF(NOT($D$37=1),IFERROR(INDIRECT("'Bloque "&amp;$D$38&amp;" Semana "&amp;"1"&amp;"'"&amp;"!"&amp;"E37"),""),"S1")</f>
        <v/>
      </c>
      <c r="DL15" s="227" t="str">
        <f t="array" ref="DL15">IF(NOT($D$37=2),IFERROR(INDIRECT("'Bloque "&amp;$D$38&amp;" Semana "&amp;"2"&amp;"'"&amp;"!"&amp;"E37"),""),"S2")</f>
        <v/>
      </c>
      <c r="DM15" s="227" t="str">
        <f t="array" ref="DM15">IF(NOT($D$37=3),IFERROR(INDIRECT("'Bloque "&amp;$D$38&amp;" Semana "&amp;"3"&amp;"'"&amp;"!"&amp;"E37"),""),"S3")</f>
        <v>S3</v>
      </c>
      <c r="DN15" s="227" t="str">
        <f t="array" ref="DN15">IF(NOT($D$37=4),IFERROR(INDIRECT("'Bloque "&amp;$D$38&amp;" Semana "&amp;"4"&amp;"'"&amp;"!"&amp;"E37"),""),"S4")</f>
        <v/>
      </c>
      <c r="DO15" s="227" t="str">
        <f t="array" ref="DO15">IF(NOT($D$37=5),IFERROR(INDIRECT("'Bloque "&amp;$D$38&amp;" Semana "&amp;"5"&amp;"'"&amp;"!"&amp;"E37"),""),"S5")</f>
        <v/>
      </c>
      <c r="DP15" s="227" t="str">
        <f t="array" ref="DP15">IF(NOT($D$37=6),IFERROR(INDIRECT("'Bloque "&amp;$D$38&amp;" Semana "&amp;"6"&amp;"'"&amp;"!"&amp;"E37"),""),"S6")</f>
        <v/>
      </c>
      <c r="DQ15" s="227" t="str">
        <f t="array" ref="DQ15">IF(NOT($D$37=7),IFERROR(INDIRECT("'Bloque "&amp;$D$38&amp;" Semana "&amp;"7"&amp;"'"&amp;"!"&amp;"E37"),""),"S7")</f>
        <v/>
      </c>
      <c r="DR15" s="227" t="str">
        <f t="array" ref="DR15">IF(NOT($D$37=8),IFERROR(INDIRECT("'Bloque "&amp;$D$38&amp;" Semana "&amp;"8"&amp;"'"&amp;"!"&amp;"E37"),""),"S8")</f>
        <v/>
      </c>
      <c r="DS15" s="227" t="str">
        <f t="array" ref="DS15">IF(NOT($D$37=9),IFERROR(INDIRECT("'Bloque "&amp;$D$38&amp;" Semana "&amp;"9"&amp;"'"&amp;"!"&amp;"E37"),""),"S9")</f>
        <v/>
      </c>
      <c r="DT15" s="227" t="str">
        <f t="array" ref="DT15">IF(NOT($D$37=10),IFERROR(INDIRECT("'Bloque "&amp;$D$38&amp;" Semana "&amp;"10"&amp;"'"&amp;"!"&amp;"E37"),""),"S10")</f>
        <v/>
      </c>
      <c r="DU15" s="227" t="str">
        <f t="array" ref="DU15">IF(NOT($D$37=11),IFERROR(INDIRECT("'Bloque "&amp;$D$38&amp;" Semana "&amp;"11"&amp;"'"&amp;"!"&amp;"E37"),""),"S11")</f>
        <v/>
      </c>
      <c r="DV15" s="227" t="str">
        <f t="array" ref="DV15">IF(NOT($D$37=12),IFERROR(INDIRECT("'Bloque "&amp;$D$38&amp;" Semana "&amp;"12"&amp;"'"&amp;"!"&amp;"E37"),""),"S12")</f>
        <v/>
      </c>
      <c r="DW15" s="227" t="str">
        <f t="array" ref="DW15">IF(NOT($D$37=13),IFERROR(INDIRECT("'Bloque "&amp;$D$38&amp;" Semana "&amp;"13"&amp;"'"&amp;"!"&amp;"E37"),""),"S13")</f>
        <v/>
      </c>
      <c r="DX15" s="227" t="str">
        <f t="array" ref="DX15">IF(NOT($D$37=14),IFERROR(INDIRECT("'Bloque "&amp;$D$38&amp;" Semana "&amp;"14"&amp;"'"&amp;"!"&amp;"E37"),""),"S14")</f>
        <v/>
      </c>
      <c r="DY15" s="227" t="str">
        <f t="array" ref="DY15">IF(NOT($D$37=15),IFERROR(INDIRECT("'Bloque "&amp;$D$38&amp;" Semana "&amp;"15"&amp;"'"&amp;"!"&amp;"E37"),""),"S15")</f>
        <v/>
      </c>
      <c r="DZ15" s="227" t="str">
        <f t="array" ref="DZ15">IF(NOT($D$37=16),IFERROR(INDIRECT("'Bloque "&amp;$D$38&amp;" Semana "&amp;"16"&amp;"'"&amp;"!"&amp;"E37"),""),"S16")</f>
        <v/>
      </c>
      <c r="EA15" s="227" t="str">
        <f t="array" ref="EA15">IF(NOT($D$37=17),IFERROR(INDIRECT("'Bloque "&amp;$D$38&amp;" Semana "&amp;"17"&amp;"'"&amp;"!"&amp;"E37"),""),"S17")</f>
        <v/>
      </c>
      <c r="EB15" s="227" t="str">
        <f t="array" ref="EB15">IF(NOT($D$37=18),IFERROR(INDIRECT("'Bloque "&amp;$D$38&amp;" Semana "&amp;"18"&amp;"'"&amp;"!"&amp;"E37"),""),"S18")</f>
        <v/>
      </c>
      <c r="ED15" s="120"/>
      <c r="EE15" s="269"/>
      <c r="EF15" s="269"/>
      <c r="EG15" s="269"/>
      <c r="EH15" s="269"/>
      <c r="EI15" s="269"/>
      <c r="EJ15" s="269"/>
      <c r="EK15" s="269"/>
      <c r="EL15" s="269"/>
      <c r="EM15" s="269"/>
      <c r="EN15" s="269"/>
      <c r="EO15" s="269"/>
      <c r="EP15" s="269"/>
      <c r="EQ15" s="269"/>
      <c r="ER15" s="269"/>
      <c r="ES15" s="269"/>
      <c r="ET15" s="269"/>
      <c r="EU15" s="269"/>
      <c r="EV15" s="269"/>
      <c r="EX15" s="218">
        <v>4.5</v>
      </c>
      <c r="EY15" s="228">
        <v>0.824</v>
      </c>
      <c r="EZ15" s="228">
        <v>0.799</v>
      </c>
      <c r="FA15" s="228">
        <v>0.774</v>
      </c>
      <c r="FB15" s="228">
        <v>0.751</v>
      </c>
      <c r="FC15" s="228">
        <v>0.723</v>
      </c>
      <c r="FD15" s="228">
        <v>0.694</v>
      </c>
      <c r="FE15" s="228">
        <v>0.667</v>
      </c>
      <c r="FF15" s="228">
        <v>0.64</v>
      </c>
      <c r="FG15" s="228">
        <v>0.613</v>
      </c>
      <c r="FH15" s="228">
        <v>0.586</v>
      </c>
      <c r="FI15" s="228">
        <v>0.558</v>
      </c>
      <c r="FJ15" s="228">
        <v>0.53</v>
      </c>
      <c r="FK15" s="208"/>
      <c r="FL15" s="218">
        <v>4.5</v>
      </c>
      <c r="FM15" s="228">
        <v>0.888</v>
      </c>
      <c r="FN15" s="228">
        <v>0.857</v>
      </c>
      <c r="FO15" s="228">
        <v>0.837</v>
      </c>
      <c r="FP15" s="228">
        <v>0.816</v>
      </c>
      <c r="FQ15" s="228">
        <v>0.797</v>
      </c>
      <c r="FR15" s="228">
        <v>0.778</v>
      </c>
      <c r="FS15" s="228">
        <v>0.759</v>
      </c>
      <c r="FT15" s="228">
        <v>0.741</v>
      </c>
      <c r="FU15" s="228">
        <v>0.723</v>
      </c>
      <c r="FV15" s="228">
        <v>0.705</v>
      </c>
      <c r="FW15" s="228">
        <v>0.688</v>
      </c>
      <c r="FX15" s="228">
        <v>0.672</v>
      </c>
      <c r="FY15" s="228"/>
      <c r="FZ15" s="84" t="str">
        <f t="array" ref="FZ15">IF(NOT($D$37=12),IFERROR(INDIRECT("'Bloque "&amp;$D$38&amp;" Semana "&amp;"12"&amp;"'"&amp;"!"&amp;"E37"),""),"S12")</f>
        <v/>
      </c>
      <c r="GA15" s="229" t="str">
        <f t="shared" si="4"/>
        <v/>
      </c>
      <c r="GB15" s="212" t="str">
        <f t="shared" si="5"/>
        <v/>
      </c>
      <c r="GC15" s="84" t="str">
        <f t="array" ref="GC15">IF(NOT($D$37=12),IFERROR(INDIRECT("'Bloque "&amp;$D$38&amp;" Semana "&amp;"12"&amp;"'"&amp;"!"&amp;"E37"),""),"S12")</f>
        <v/>
      </c>
      <c r="GD15" s="229" t="str">
        <f t="shared" si="6"/>
        <v/>
      </c>
      <c r="GE15" s="212" t="str">
        <f t="shared" si="7"/>
        <v/>
      </c>
      <c r="GF15" s="84" t="str">
        <f t="array" ref="GF15">IF(NOT($D$37=12),IFERROR(INDIRECT("'Bloque "&amp;$D$38&amp;" Semana "&amp;"12"&amp;"'"&amp;"!"&amp;"E37"),""),"S12")</f>
        <v/>
      </c>
      <c r="GG15" s="229" t="str">
        <f t="shared" si="8"/>
        <v/>
      </c>
      <c r="GH15" s="212" t="str">
        <f t="shared" si="9"/>
        <v/>
      </c>
    </row>
    <row r="16" ht="37.5" customHeight="1">
      <c r="B16" s="199"/>
      <c r="E16" s="336" t="s">
        <v>42</v>
      </c>
      <c r="F16" s="337">
        <v>240.0</v>
      </c>
      <c r="H16" s="106"/>
      <c r="I16" s="106"/>
      <c r="J16" s="347"/>
      <c r="K16" s="348"/>
      <c r="L16" s="348"/>
      <c r="M16" s="348"/>
      <c r="N16" s="348"/>
      <c r="O16" s="348"/>
      <c r="P16" s="348"/>
      <c r="Q16" s="348"/>
      <c r="R16" s="348"/>
      <c r="S16" s="348"/>
      <c r="T16" s="349"/>
      <c r="W16" s="201"/>
      <c r="X16" s="350" t="s">
        <v>278</v>
      </c>
      <c r="Y16" s="210"/>
      <c r="Z16" s="210"/>
      <c r="AA16" s="210"/>
      <c r="AB16" s="210"/>
      <c r="AC16" s="210"/>
      <c r="AD16" s="351"/>
      <c r="AE16" s="203"/>
      <c r="AF16" s="204"/>
      <c r="AG16" s="352" t="s">
        <v>279</v>
      </c>
      <c r="AJ16" s="353"/>
      <c r="AK16" s="354">
        <f>IFERROR( IFERROR(IF(NOT(ISBLANK(AK9)),MID(AK9,1,2),"")+IF(NOT(ISBLANK(AK10)),MID(AK10,1,2),"")+IF(NOT(ISBLANK(AK11)),MID(AK11,1,2),"")+IF(NOT(ISBLANK(AK12)),MID(AK12,1,2),"")+IF(NOT(ISBLANK(AK13)),MID(AK13,1,2),"")+IF(NOT(ISBLANK(AK14)),MID(AK14,1,2),"")+IF(NOT(ISBLANK(AK15)),MID(AK15,1,2),""),"")/COUNTA(AK9:AK15),"")</f>
        <v>3.833333333</v>
      </c>
      <c r="AM16" s="355" t="s">
        <v>280</v>
      </c>
      <c r="AN16" s="355"/>
      <c r="AO16" s="354">
        <f>IFERROR( IFERROR(IF(NOT(ISBLANK(AO9)),MID(AO9,1,2),"")+IF(NOT(ISBLANK(AO10)),MID(AO10,1,2),"")+IF(NOT(ISBLANK(AO11)),MID(AO11,1,2),"")+IF(NOT(ISBLANK(AO12)),MID(AO12,1,2),"")+IF(NOT(ISBLANK(AO13)),MID(AO13,1,2),"")+IF(NOT(ISBLANK(AO14)),MID(AO14,1,2),"")+IF(NOT(ISBLANK(AO15)),MID(AO15,1,2),""),"")/COUNTA(AO9:AO15),"")</f>
        <v>4.5</v>
      </c>
      <c r="AQ16" s="355" t="s">
        <v>280</v>
      </c>
      <c r="AR16" s="355"/>
      <c r="AS16" s="354">
        <f>IFERROR( IFERROR(IF(NOT(ISBLANK(AS9)),MID(AS9,1,2),"")+IF(NOT(ISBLANK(AS10)),MID(AS10,1,2),"")+IF(NOT(ISBLANK(AS11)),MID(AS11,1,2),"")+IF(NOT(ISBLANK(AS12)),MID(AS12,1,2),"")+IF(NOT(ISBLANK(AS13)),MID(AS13,1,2),"")+IF(NOT(ISBLANK(AS14)),MID(AS14,1,2),"")+IF(NOT(ISBLANK(AS15)),MID(AS15,1,2),""),"")/COUNTA(AS9:AS15),"")</f>
        <v>4</v>
      </c>
      <c r="AU16" s="355" t="s">
        <v>280</v>
      </c>
      <c r="AV16" s="355"/>
      <c r="AW16" s="354" t="str">
        <f>IFERROR( IFERROR(IF(NOT(ISBLANK(AW9)),MID(AW9,1,2),"")+IF(NOT(ISBLANK(AW10)),MID(AW10,1,2),"")+IF(NOT(ISBLANK(AW11)),MID(AW11,1,2),"")+IF(NOT(ISBLANK(AW12)),MID(AW12,1,2),"")+IF(NOT(ISBLANK(AW13)),MID(AW13,1,2),"")+IF(NOT(ISBLANK(AW14)),MID(AW14,1,2),"")+IF(NOT(ISBLANK(AW15)),MID(AW15,1,2),""),"")/COUNTA(AW9:AW15),"")</f>
        <v/>
      </c>
      <c r="AY16" s="355" t="s">
        <v>280</v>
      </c>
      <c r="AZ16" s="355"/>
      <c r="BA16" s="354">
        <f>IFERROR( IFERROR(IF(NOT(ISBLANK(BA9)),MID(BA9,1,2),"")+IF(NOT(ISBLANK(BA10)),MID(BA10,1,2),"")+IF(NOT(ISBLANK(BA11)),MID(BA11,1,2),"")+IF(NOT(ISBLANK(BA12)),MID(BA12,1,2),"")+IF(NOT(ISBLANK(BA13)),MID(BA13,1,2),"")+IF(NOT(ISBLANK(BA14)),MID(BA14,1,2),"")+IF(NOT(ISBLANK(BA15)),MID(BA15,1,2),""),"")/COUNTA(BA9:BA15),"")</f>
        <v>3</v>
      </c>
      <c r="BC16" s="355" t="s">
        <v>280</v>
      </c>
      <c r="BD16" s="355"/>
      <c r="BE16" s="128"/>
      <c r="BG16" s="356"/>
      <c r="BH16" s="356"/>
      <c r="BI16" s="357" t="str">
        <f>IFERROR( IFERROR(IF(NOT(ISBLANK(BI9)),MID(BI9,1,2),"")+IF(NOT(ISBLANK(BI10)),MID(BI10,1,2),"")+IF(NOT(ISBLANK(BI11)),MID(BI11,1,2),"")+IF(NOT(ISBLANK(BI12)),MID(BI12,1,2),"")+IF(NOT(ISBLANK(BI13)),MID(BI13,1,2),"")+IF(NOT(ISBLANK(BI14)),MID(BI14,1,2),"")+IF(NOT(ISBLANK(BI15)),MID(BI15,1,2),""),"")/COUNTA(BI9:BK15),"")</f>
        <v/>
      </c>
      <c r="BJ16" s="215"/>
      <c r="BK16" s="358" t="s">
        <v>281</v>
      </c>
      <c r="BL16" s="355"/>
      <c r="BM16" s="359" t="str">
        <f>IFERROR( IFERROR(IF(NOT(ISBLANK(BM9)),MID(BM9,1,2),"")+IF(NOT(ISBLANK(BM10)),MID(BM10,1,2),"")+IF(NOT(ISBLANK(BM11)),MID(BM11,1,2),"")+IF(NOT(ISBLANK(BM12)),MID(BM12,1,2),"")+IF(NOT(ISBLANK(BM13)),MID(BM13,1,2),"")+IF(NOT(ISBLANK(BM14)),MID(BM14,1,2),"")+IF(NOT(ISBLANK(BM15)),MID(BM15,1,2),""),"")/COUNTA(BM9:BQ15),"")</f>
        <v/>
      </c>
      <c r="BP16" s="359"/>
      <c r="BQ16" s="358" t="s">
        <v>281</v>
      </c>
      <c r="BR16" s="128"/>
      <c r="BS16" s="128"/>
      <c r="BT16" s="128"/>
      <c r="BU16" s="128"/>
      <c r="BV16" s="360" t="s">
        <v>282</v>
      </c>
      <c r="BW16" s="361" t="str">
        <f>IFERROR( AVERAGE(BW9:BW15),"")</f>
        <v/>
      </c>
      <c r="BZ16" s="362" t="s">
        <v>36</v>
      </c>
      <c r="CA16" s="311">
        <f>SUMIF(D40:D187,"BP*",AD40:AD187)</f>
        <v>12</v>
      </c>
      <c r="CB16" s="311">
        <f>SUMIF(D40:D187,"BP*",CC40:CC187)</f>
        <v>34</v>
      </c>
      <c r="CC16" s="312">
        <f>SUMIF(D40:D187,"BP*",CE40:CE187)</f>
        <v>3035</v>
      </c>
      <c r="CD16" s="313">
        <f>IFERROR( AVERAGEIF(D40:D187,"BP*",CA40:CA187),"")</f>
        <v>0.7934782609</v>
      </c>
      <c r="CE16" s="363">
        <f>IFERROR( IFS($CE$14="e1RM Bryzcki",MAXIFS(CH40:CH187,D40:D187,"BP*"),$CE$14="e1RM Steve Denovi F1",MAXIFS(CL40:CL187,D40:D187,"BP*"),$CE$14="e1RM Steve Denovi F2",MAXIFS(CM40:CM187,D40:D187,"BP*")),"")</f>
        <v>132.0616288</v>
      </c>
      <c r="CF16" s="364">
        <f>IFERROR( AVERAGEIF($D$40:$D187,"BP*",$CK$40:$CK187),"")</f>
        <v>6.0625</v>
      </c>
      <c r="CH16" s="289" t="str">
        <f t="array" ref="CH16">IF(NOT($D$37=8),IFERROR(INDIRECT("'Bloque "&amp;$D$38&amp;" Semana "&amp;"8"&amp;"'"&amp;"!"&amp;"E37"),""),"S8")</f>
        <v/>
      </c>
      <c r="CI16" s="316" t="str">
        <f t="shared" si="21"/>
        <v/>
      </c>
      <c r="CJ16" s="224" t="str">
        <f t="shared" si="22"/>
        <v/>
      </c>
      <c r="CK16" s="85" t="str">
        <f t="shared" si="23"/>
        <v/>
      </c>
      <c r="CL16" s="85" t="str">
        <f t="shared" si="30"/>
        <v/>
      </c>
      <c r="CM16" s="168" t="str">
        <f t="shared" si="24"/>
        <v/>
      </c>
      <c r="CN16" s="327" t="str">
        <f t="shared" si="31"/>
        <v/>
      </c>
      <c r="CO16" s="168" t="str">
        <f t="shared" si="25"/>
        <v/>
      </c>
      <c r="CP16" s="168" t="str">
        <f t="shared" si="26"/>
        <v/>
      </c>
      <c r="CQ16" s="294" t="str">
        <f t="shared" si="27"/>
        <v/>
      </c>
      <c r="CR16" s="328" t="str">
        <f t="shared" si="32"/>
        <v/>
      </c>
      <c r="CS16" s="212"/>
      <c r="CT16" s="319"/>
      <c r="DJ16" s="120" t="s">
        <v>21</v>
      </c>
      <c r="DK16" s="172" t="str">
        <f t="shared" ref="DK16:EB16" si="35">IFERROR(INDIRECT("'Bloque "&amp;$D$38&amp;" Semana "&amp;MID(DK15,2,2)&amp;"'"&amp;"!"&amp;"CB15"),"")</f>
        <v/>
      </c>
      <c r="DL16" s="172" t="str">
        <f t="shared" si="35"/>
        <v/>
      </c>
      <c r="DM16" s="172" t="str">
        <f t="shared" si="35"/>
        <v/>
      </c>
      <c r="DN16" s="172" t="str">
        <f t="shared" si="35"/>
        <v/>
      </c>
      <c r="DO16" s="172" t="str">
        <f t="shared" si="35"/>
        <v/>
      </c>
      <c r="DP16" s="172" t="str">
        <f t="shared" si="35"/>
        <v/>
      </c>
      <c r="DQ16" s="172" t="str">
        <f t="shared" si="35"/>
        <v/>
      </c>
      <c r="DR16" s="172" t="str">
        <f t="shared" si="35"/>
        <v/>
      </c>
      <c r="DS16" s="172" t="str">
        <f t="shared" si="35"/>
        <v/>
      </c>
      <c r="DT16" s="172" t="str">
        <f t="shared" si="35"/>
        <v/>
      </c>
      <c r="DU16" s="172" t="str">
        <f t="shared" si="35"/>
        <v/>
      </c>
      <c r="DV16" s="172" t="str">
        <f t="shared" si="35"/>
        <v/>
      </c>
      <c r="DW16" s="172" t="str">
        <f t="shared" si="35"/>
        <v/>
      </c>
      <c r="DX16" s="172" t="str">
        <f t="shared" si="35"/>
        <v/>
      </c>
      <c r="DY16" s="172" t="str">
        <f t="shared" si="35"/>
        <v/>
      </c>
      <c r="DZ16" s="172" t="str">
        <f t="shared" si="35"/>
        <v/>
      </c>
      <c r="EA16" s="172" t="str">
        <f t="shared" si="35"/>
        <v/>
      </c>
      <c r="EB16" s="172" t="str">
        <f t="shared" si="35"/>
        <v/>
      </c>
      <c r="ED16" s="120"/>
      <c r="EE16" s="269"/>
      <c r="EF16" s="269"/>
      <c r="EG16" s="269"/>
      <c r="EH16" s="269"/>
      <c r="EI16" s="269"/>
      <c r="EJ16" s="269"/>
      <c r="EK16" s="269"/>
      <c r="EL16" s="269"/>
      <c r="EM16" s="269"/>
      <c r="EN16" s="269"/>
      <c r="EO16" s="269"/>
      <c r="EP16" s="269"/>
      <c r="EQ16" s="269"/>
      <c r="ER16" s="269"/>
      <c r="ES16" s="269"/>
      <c r="ET16" s="269"/>
      <c r="EU16" s="269"/>
      <c r="EV16" s="269"/>
      <c r="EX16" s="218">
        <v>4.0</v>
      </c>
      <c r="EY16" s="228">
        <v>0.811</v>
      </c>
      <c r="EZ16" s="228">
        <v>0.786</v>
      </c>
      <c r="FA16" s="228">
        <v>0.762</v>
      </c>
      <c r="FB16" s="228">
        <v>0.739</v>
      </c>
      <c r="FC16" s="228">
        <v>0.707</v>
      </c>
      <c r="FD16" s="228">
        <v>0.68</v>
      </c>
      <c r="FE16" s="228">
        <v>0.653</v>
      </c>
      <c r="FF16" s="228">
        <v>0.626</v>
      </c>
      <c r="FG16" s="228">
        <v>0.599</v>
      </c>
      <c r="FH16" s="228">
        <v>0.572</v>
      </c>
      <c r="FI16" s="228">
        <v>0.544</v>
      </c>
      <c r="FJ16" s="228">
        <v>0.516</v>
      </c>
      <c r="FK16" s="208"/>
      <c r="FL16" s="218">
        <v>4.0</v>
      </c>
      <c r="FM16" s="228">
        <v>0.879</v>
      </c>
      <c r="FN16" s="228">
        <v>0.848</v>
      </c>
      <c r="FO16" s="228">
        <v>0.828</v>
      </c>
      <c r="FP16" s="228">
        <v>0.808</v>
      </c>
      <c r="FQ16" s="228">
        <v>0.788</v>
      </c>
      <c r="FR16" s="228">
        <v>0.769</v>
      </c>
      <c r="FS16" s="228">
        <v>0.751</v>
      </c>
      <c r="FT16" s="228">
        <v>0.733</v>
      </c>
      <c r="FU16" s="228">
        <v>0.715</v>
      </c>
      <c r="FV16" s="228">
        <v>0.698</v>
      </c>
      <c r="FW16" s="228">
        <v>0.681</v>
      </c>
      <c r="FX16" s="228">
        <v>0.665</v>
      </c>
      <c r="FY16" s="228"/>
      <c r="FZ16" s="84" t="str">
        <f t="array" ref="FZ16">IF(NOT($D$37=13),IFERROR(INDIRECT("'Bloque "&amp;$D$38&amp;" Semana "&amp;"13"&amp;"'"&amp;"!"&amp;"E37"),""),"S13")</f>
        <v/>
      </c>
      <c r="GA16" s="229" t="str">
        <f t="shared" si="4"/>
        <v/>
      </c>
      <c r="GB16" s="212" t="str">
        <f t="shared" si="5"/>
        <v/>
      </c>
      <c r="GC16" s="84" t="str">
        <f t="array" ref="GC16">IF(NOT($D$37=13),IFERROR(INDIRECT("'Bloque "&amp;$D$38&amp;" Semana "&amp;"13"&amp;"'"&amp;"!"&amp;"E37"),""),"S13")</f>
        <v/>
      </c>
      <c r="GD16" s="229" t="str">
        <f t="shared" si="6"/>
        <v/>
      </c>
      <c r="GE16" s="212" t="str">
        <f t="shared" si="7"/>
        <v/>
      </c>
      <c r="GF16" s="84" t="str">
        <f t="array" ref="GF16">IF(NOT($D$37=13),IFERROR(INDIRECT("'Bloque "&amp;$D$38&amp;" Semana "&amp;"13"&amp;"'"&amp;"!"&amp;"E37"),""),"S13")</f>
        <v/>
      </c>
      <c r="GG16" s="229" t="str">
        <f t="shared" si="8"/>
        <v/>
      </c>
      <c r="GH16" s="212" t="str">
        <f t="shared" si="9"/>
        <v/>
      </c>
    </row>
    <row r="17" ht="36.0" customHeight="1">
      <c r="B17" s="199"/>
      <c r="D17" s="365"/>
      <c r="E17" s="366" t="str">
        <f>"BIENVENIDO A RV STRENGTH "&amp;'Introducción'!B19&amp;" "&amp;'Introducción'!B20</f>
        <v>#REF!</v>
      </c>
      <c r="F17" s="367"/>
      <c r="K17" s="200"/>
      <c r="L17" s="200"/>
      <c r="T17" s="368">
        <f>NOW()</f>
        <v>46052.88071</v>
      </c>
      <c r="W17" s="201"/>
      <c r="X17" s="369" t="s">
        <v>274</v>
      </c>
      <c r="Y17" s="334"/>
      <c r="Z17" s="334"/>
      <c r="AA17" s="334"/>
      <c r="AB17" s="334"/>
      <c r="AC17" s="334"/>
      <c r="AD17" s="370"/>
      <c r="AE17" s="203"/>
      <c r="AF17" s="204"/>
      <c r="AG17" s="371" t="s">
        <v>283</v>
      </c>
      <c r="AH17" s="348"/>
      <c r="AI17" s="348"/>
      <c r="AJ17" s="372"/>
      <c r="AK17" s="373">
        <f>IFERROR(AVERAGE(AK16,AO16,AS16,AW16,BA16)*10/7,"")</f>
        <v>5.476190476</v>
      </c>
      <c r="AL17" s="348"/>
      <c r="AM17" s="374" t="s">
        <v>281</v>
      </c>
      <c r="AN17" s="374"/>
      <c r="AO17" s="375"/>
      <c r="AP17" s="375"/>
      <c r="AQ17" s="375"/>
      <c r="AR17" s="375"/>
      <c r="AS17" s="375"/>
      <c r="AT17" s="375"/>
      <c r="AU17" s="375"/>
      <c r="AV17" s="375"/>
      <c r="AW17" s="375"/>
      <c r="AX17" s="375"/>
      <c r="AY17" s="375"/>
      <c r="AZ17" s="375"/>
      <c r="BA17" s="375"/>
      <c r="BB17" s="375"/>
      <c r="BC17" s="375"/>
      <c r="BD17" s="375"/>
      <c r="BE17" s="375"/>
      <c r="BF17" s="375"/>
      <c r="BG17" s="376"/>
      <c r="BH17" s="375"/>
      <c r="BI17" s="377"/>
      <c r="BJ17" s="377"/>
      <c r="BK17" s="378"/>
      <c r="BL17" s="378"/>
      <c r="BM17" s="378"/>
      <c r="BN17" s="378"/>
      <c r="BO17" s="378"/>
      <c r="BP17" s="378"/>
      <c r="BQ17" s="378"/>
      <c r="BR17" s="128"/>
      <c r="BS17" s="128"/>
      <c r="BT17" s="128"/>
      <c r="BU17" s="128"/>
      <c r="BV17" s="128"/>
      <c r="BW17" s="128"/>
      <c r="BZ17" s="379" t="s">
        <v>42</v>
      </c>
      <c r="CA17" s="322">
        <f>SUMIF(D40:D187,"DL*",AD40:AD187)</f>
        <v>7</v>
      </c>
      <c r="CB17" s="322">
        <f>SUMIF(D40:D187,"DL*",CC40:CC187)</f>
        <v>23</v>
      </c>
      <c r="CC17" s="323" t="str">
        <f>SUMIF(D40:D187,"DL*",CE40:CE187)</f>
        <v>#VALUE!</v>
      </c>
      <c r="CD17" s="324" t="str">
        <f>IFERROR( AVERAGEIF(D40:D187,"DL*",CA40:CA187),"")</f>
        <v/>
      </c>
      <c r="CE17" s="325">
        <f>IFERROR( IFS($CE$14="e1RM Bryzcki",MAXIFS(CH40:CH187,D40:D187,"DL*"),$CE$14="e1RM Steve Denovi F1",MAXIFS(CL40:CL187,D40:D187,"DL*"),$CE$14="e1RM Steve Denovi F2",MAXIFS(CM40:CM187,D40:D187,"DL*")),"")</f>
        <v>0</v>
      </c>
      <c r="CF17" s="380">
        <f>IFERROR( AVERAGEIF($D$40:$D187,"DL*",$CK$40:$CK187),"")</f>
        <v>6</v>
      </c>
      <c r="CH17" s="289" t="str">
        <f t="array" ref="CH17">IF(NOT($D$37=9),IFERROR(INDIRECT("'Bloque "&amp;$D$38&amp;" Semana "&amp;"9"&amp;"'"&amp;"!"&amp;"E37"),""),"S9")</f>
        <v/>
      </c>
      <c r="CI17" s="316" t="str">
        <f t="shared" si="21"/>
        <v/>
      </c>
      <c r="CJ17" s="224" t="str">
        <f t="shared" si="22"/>
        <v/>
      </c>
      <c r="CK17" s="85" t="str">
        <f t="shared" si="23"/>
        <v/>
      </c>
      <c r="CL17" s="85" t="str">
        <f t="shared" si="30"/>
        <v/>
      </c>
      <c r="CM17" s="168" t="str">
        <f t="shared" si="24"/>
        <v/>
      </c>
      <c r="CN17" s="327" t="str">
        <f t="shared" si="31"/>
        <v/>
      </c>
      <c r="CO17" s="168" t="str">
        <f t="shared" si="25"/>
        <v/>
      </c>
      <c r="CP17" s="168" t="str">
        <f t="shared" si="26"/>
        <v/>
      </c>
      <c r="CQ17" s="294" t="str">
        <f t="shared" si="27"/>
        <v/>
      </c>
      <c r="CR17" s="328" t="str">
        <f t="shared" si="32"/>
        <v/>
      </c>
      <c r="CS17" s="212"/>
      <c r="CT17" s="319"/>
      <c r="DJ17" s="120" t="s">
        <v>36</v>
      </c>
      <c r="DK17" s="172" t="str">
        <f t="shared" ref="DK17:EB17" si="36">IFERROR(INDIRECT("'Bloque "&amp;$D$38&amp;" Semana "&amp;MID(DK15,2,2)&amp;"'"&amp;"!"&amp;"CB16"),"")</f>
        <v/>
      </c>
      <c r="DL17" s="172" t="str">
        <f t="shared" si="36"/>
        <v/>
      </c>
      <c r="DM17" s="172" t="str">
        <f t="shared" si="36"/>
        <v/>
      </c>
      <c r="DN17" s="172" t="str">
        <f t="shared" si="36"/>
        <v/>
      </c>
      <c r="DO17" s="172" t="str">
        <f t="shared" si="36"/>
        <v/>
      </c>
      <c r="DP17" s="172" t="str">
        <f t="shared" si="36"/>
        <v/>
      </c>
      <c r="DQ17" s="172" t="str">
        <f t="shared" si="36"/>
        <v/>
      </c>
      <c r="DR17" s="172" t="str">
        <f t="shared" si="36"/>
        <v/>
      </c>
      <c r="DS17" s="172" t="str">
        <f t="shared" si="36"/>
        <v/>
      </c>
      <c r="DT17" s="172" t="str">
        <f t="shared" si="36"/>
        <v/>
      </c>
      <c r="DU17" s="172" t="str">
        <f t="shared" si="36"/>
        <v/>
      </c>
      <c r="DV17" s="172" t="str">
        <f t="shared" si="36"/>
        <v/>
      </c>
      <c r="DW17" s="172" t="str">
        <f t="shared" si="36"/>
        <v/>
      </c>
      <c r="DX17" s="172" t="str">
        <f t="shared" si="36"/>
        <v/>
      </c>
      <c r="DY17" s="172" t="str">
        <f t="shared" si="36"/>
        <v/>
      </c>
      <c r="DZ17" s="172" t="str">
        <f t="shared" si="36"/>
        <v/>
      </c>
      <c r="EA17" s="172" t="str">
        <f t="shared" si="36"/>
        <v/>
      </c>
      <c r="EB17" s="172" t="str">
        <f t="shared" si="36"/>
        <v/>
      </c>
      <c r="ED17" s="144" t="s">
        <v>284</v>
      </c>
      <c r="EE17" s="108"/>
      <c r="EF17" s="108"/>
      <c r="EG17" s="108"/>
      <c r="EH17" s="108"/>
      <c r="EI17" s="108"/>
      <c r="EJ17" s="108"/>
      <c r="EK17" s="108"/>
      <c r="EL17" s="108"/>
      <c r="EM17" s="108"/>
      <c r="EN17" s="108"/>
      <c r="EO17" s="108"/>
      <c r="EP17" s="108"/>
      <c r="EQ17" s="108"/>
      <c r="ER17" s="108"/>
      <c r="ES17" s="108"/>
      <c r="ET17" s="108"/>
      <c r="EU17" s="108"/>
      <c r="EV17" s="108"/>
      <c r="EX17" s="208"/>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84" t="str">
        <f t="array" ref="FZ17">IF(NOT($D$37=14),IFERROR(INDIRECT("'Bloque "&amp;$D$38&amp;" Semana "&amp;"14"&amp;"'"&amp;"!"&amp;"E37"),""),"S14")</f>
        <v/>
      </c>
      <c r="GA17" s="229" t="str">
        <f t="shared" si="4"/>
        <v/>
      </c>
      <c r="GB17" s="212" t="str">
        <f t="shared" si="5"/>
        <v/>
      </c>
      <c r="GC17" s="84" t="str">
        <f t="array" ref="GC17">IF(NOT($D$37=14),IFERROR(INDIRECT("'Bloque "&amp;$D$38&amp;" Semana "&amp;"14"&amp;"'"&amp;"!"&amp;"E37"),""),"S14")</f>
        <v/>
      </c>
      <c r="GD17" s="229" t="str">
        <f t="shared" si="6"/>
        <v/>
      </c>
      <c r="GE17" s="212" t="str">
        <f t="shared" si="7"/>
        <v/>
      </c>
      <c r="GF17" s="84" t="str">
        <f t="array" ref="GF17">IF(NOT($D$37=14),IFERROR(INDIRECT("'Bloque "&amp;$D$38&amp;" Semana "&amp;"14"&amp;"'"&amp;"!"&amp;"E37"),""),"S14")</f>
        <v/>
      </c>
      <c r="GG17" s="229" t="str">
        <f t="shared" si="8"/>
        <v/>
      </c>
      <c r="GH17" s="212" t="str">
        <f t="shared" si="9"/>
        <v/>
      </c>
    </row>
    <row r="18" ht="48.0" customHeight="1">
      <c r="B18" s="199"/>
      <c r="E18" s="381" t="s">
        <v>285</v>
      </c>
      <c r="F18" s="382"/>
      <c r="G18" s="383"/>
      <c r="H18" s="383"/>
      <c r="I18" s="383"/>
      <c r="J18" s="383"/>
      <c r="K18" s="383"/>
      <c r="L18" s="383"/>
      <c r="M18" s="383"/>
      <c r="N18" s="383"/>
      <c r="O18" s="383"/>
      <c r="P18" s="383"/>
      <c r="Q18" s="383"/>
      <c r="R18" s="383"/>
      <c r="S18" s="383"/>
      <c r="T18" s="384"/>
      <c r="U18" s="385"/>
      <c r="W18" s="201"/>
      <c r="X18" s="197" t="s">
        <v>246</v>
      </c>
      <c r="Y18" s="197" t="s">
        <v>286</v>
      </c>
      <c r="Z18" s="197" t="s">
        <v>224</v>
      </c>
      <c r="AA18" s="197" t="s">
        <v>200</v>
      </c>
      <c r="AB18" s="197" t="s">
        <v>248</v>
      </c>
      <c r="AC18" s="197" t="s">
        <v>251</v>
      </c>
      <c r="AD18" s="386"/>
      <c r="AE18" s="203"/>
      <c r="AF18" s="204"/>
      <c r="AG18" s="387" t="s">
        <v>287</v>
      </c>
      <c r="BZ18" s="388" t="s">
        <v>105</v>
      </c>
      <c r="CA18" s="389">
        <f t="shared" ref="CA18:CB18" si="37">SUM(CA15:CA17)</f>
        <v>24</v>
      </c>
      <c r="CB18" s="389">
        <f t="shared" si="37"/>
        <v>75</v>
      </c>
      <c r="CC18" s="390"/>
      <c r="CD18" s="391"/>
      <c r="CE18" s="392">
        <f>SUM(CE15:CE17)</f>
        <v>132.0616288</v>
      </c>
      <c r="CF18" s="393"/>
      <c r="CH18" s="289" t="str">
        <f t="array" ref="CH18">IF(NOT($D$37=10),IFERROR(INDIRECT("'Bloque "&amp;$D$38&amp;" Semana "&amp;"10"&amp;"'"&amp;"!"&amp;"E37"),""),"S10")</f>
        <v/>
      </c>
      <c r="CI18" s="316" t="str">
        <f t="shared" si="21"/>
        <v/>
      </c>
      <c r="CJ18" s="224" t="str">
        <f t="shared" si="22"/>
        <v/>
      </c>
      <c r="CK18" s="85" t="str">
        <f t="shared" si="23"/>
        <v/>
      </c>
      <c r="CL18" s="85" t="str">
        <f t="shared" si="30"/>
        <v/>
      </c>
      <c r="CM18" s="168" t="str">
        <f t="shared" si="24"/>
        <v/>
      </c>
      <c r="CN18" s="327" t="str">
        <f t="shared" si="31"/>
        <v/>
      </c>
      <c r="CO18" s="168" t="str">
        <f t="shared" si="25"/>
        <v/>
      </c>
      <c r="CP18" s="168" t="str">
        <f t="shared" si="26"/>
        <v/>
      </c>
      <c r="CQ18" s="294" t="str">
        <f t="shared" si="27"/>
        <v/>
      </c>
      <c r="CR18" s="328" t="str">
        <f t="shared" si="32"/>
        <v/>
      </c>
      <c r="CS18" s="212"/>
      <c r="CT18" s="319"/>
      <c r="DJ18" s="120" t="s">
        <v>42</v>
      </c>
      <c r="DK18" s="172" t="str">
        <f t="shared" ref="DK18:EB18" si="38">IFERROR(INDIRECT("'Bloque "&amp;$D$38&amp;" Semana "&amp;MID(DK15,2,2)&amp;"'"&amp;"!"&amp;"CB17"),"")</f>
        <v/>
      </c>
      <c r="DL18" s="172" t="str">
        <f t="shared" si="38"/>
        <v/>
      </c>
      <c r="DM18" s="172" t="str">
        <f t="shared" si="38"/>
        <v/>
      </c>
      <c r="DN18" s="172" t="str">
        <f t="shared" si="38"/>
        <v/>
      </c>
      <c r="DO18" s="172" t="str">
        <f t="shared" si="38"/>
        <v/>
      </c>
      <c r="DP18" s="172" t="str">
        <f t="shared" si="38"/>
        <v/>
      </c>
      <c r="DQ18" s="172" t="str">
        <f t="shared" si="38"/>
        <v/>
      </c>
      <c r="DR18" s="172" t="str">
        <f t="shared" si="38"/>
        <v/>
      </c>
      <c r="DS18" s="172" t="str">
        <f t="shared" si="38"/>
        <v/>
      </c>
      <c r="DT18" s="172" t="str">
        <f t="shared" si="38"/>
        <v/>
      </c>
      <c r="DU18" s="172" t="str">
        <f t="shared" si="38"/>
        <v/>
      </c>
      <c r="DV18" s="172" t="str">
        <f t="shared" si="38"/>
        <v/>
      </c>
      <c r="DW18" s="172" t="str">
        <f t="shared" si="38"/>
        <v/>
      </c>
      <c r="DX18" s="172" t="str">
        <f t="shared" si="38"/>
        <v/>
      </c>
      <c r="DY18" s="172" t="str">
        <f t="shared" si="38"/>
        <v/>
      </c>
      <c r="DZ18" s="172" t="str">
        <f t="shared" si="38"/>
        <v/>
      </c>
      <c r="EA18" s="172" t="str">
        <f t="shared" si="38"/>
        <v/>
      </c>
      <c r="EB18" s="172" t="str">
        <f t="shared" si="38"/>
        <v/>
      </c>
      <c r="ED18" s="83"/>
      <c r="EE18" s="227" t="str">
        <f t="array" ref="EE18">IF(NOT($D$37=1),IFERROR(INDIRECT("'Bloque "&amp;$D$38&amp;" Semana "&amp;"1"&amp;"'"&amp;"!"&amp;"E37"),""),"S1")</f>
        <v/>
      </c>
      <c r="EF18" s="227" t="str">
        <f t="array" ref="EF18">IF(NOT($D$37=2),IFERROR(INDIRECT("'Bloque "&amp;$D$38&amp;" Semana "&amp;"2"&amp;"'"&amp;"!"&amp;"E37"),""),"S2")</f>
        <v/>
      </c>
      <c r="EG18" s="227" t="str">
        <f t="array" ref="EG18">IF(NOT($D$37=3),IFERROR(INDIRECT("'Bloque "&amp;$D$38&amp;" Semana "&amp;"3"&amp;"'"&amp;"!"&amp;"E37"),""),"S3")</f>
        <v>S3</v>
      </c>
      <c r="EH18" s="227" t="str">
        <f t="array" ref="EH18">IF(NOT($D$37=4),IFERROR(INDIRECT("'Bloque "&amp;$D$38&amp;" Semana "&amp;"4"&amp;"'"&amp;"!"&amp;"E37"),""),"S4")</f>
        <v/>
      </c>
      <c r="EI18" s="227" t="str">
        <f t="array" ref="EI18">IF(NOT($D$37=5),IFERROR(INDIRECT("'Bloque "&amp;$D$38&amp;" Semana "&amp;"5"&amp;"'"&amp;"!"&amp;"E37"),""),"S5")</f>
        <v/>
      </c>
      <c r="EJ18" s="227" t="str">
        <f t="array" ref="EJ18">IF(NOT($D$37=6),IFERROR(INDIRECT("'Bloque "&amp;$D$38&amp;" Semana "&amp;"6"&amp;"'"&amp;"!"&amp;"E37"),""),"S6")</f>
        <v/>
      </c>
      <c r="EK18" s="227" t="str">
        <f t="array" ref="EK18">IF(NOT($D$37=7),IFERROR(INDIRECT("'Bloque "&amp;$D$38&amp;" Semana "&amp;"7"&amp;"'"&amp;"!"&amp;"E37"),""),"S7")</f>
        <v/>
      </c>
      <c r="EL18" s="227" t="str">
        <f t="array" ref="EL18">IF(NOT($D$37=8),IFERROR(INDIRECT("'Bloque "&amp;$D$38&amp;" Semana "&amp;"8"&amp;"'"&amp;"!"&amp;"E37"),""),"S8")</f>
        <v/>
      </c>
      <c r="EM18" s="227" t="str">
        <f t="array" ref="EM18">IF(NOT($D$37=9),IFERROR(INDIRECT("'Bloque "&amp;$D$38&amp;" Semana "&amp;"9"&amp;"'"&amp;"!"&amp;"E37"),""),"S9")</f>
        <v/>
      </c>
      <c r="EN18" s="227" t="str">
        <f t="array" ref="EN18">IF(NOT($D$37=10),IFERROR(INDIRECT("'Bloque "&amp;$D$38&amp;" Semana "&amp;"10"&amp;"'"&amp;"!"&amp;"E37"),""),"S10")</f>
        <v/>
      </c>
      <c r="EO18" s="227" t="str">
        <f t="array" ref="EO18">IF(NOT($D$37=11),IFERROR(INDIRECT("'Bloque "&amp;$D$38&amp;" Semana "&amp;"11"&amp;"'"&amp;"!"&amp;"E37"),""),"S11")</f>
        <v/>
      </c>
      <c r="EP18" s="227" t="str">
        <f t="array" ref="EP18">IF(NOT($D$37=12),IFERROR(INDIRECT("'Bloque "&amp;$D$38&amp;" Semana "&amp;"12"&amp;"'"&amp;"!"&amp;"E37"),""),"S12")</f>
        <v/>
      </c>
      <c r="EQ18" s="227" t="str">
        <f t="array" ref="EQ18">IF(NOT($D$37=13),IFERROR(INDIRECT("'Bloque "&amp;$D$38&amp;" Semana "&amp;"13"&amp;"'"&amp;"!"&amp;"E37"),""),"S13")</f>
        <v/>
      </c>
      <c r="ER18" s="227" t="str">
        <f t="array" ref="ER18">IF(NOT($D$37=14),IFERROR(INDIRECT("'Bloque "&amp;$D$38&amp;" Semana "&amp;"14"&amp;"'"&amp;"!"&amp;"E37"),""),"S14")</f>
        <v/>
      </c>
      <c r="ES18" s="227" t="str">
        <f t="array" ref="ES18">IF(NOT($D$37=15),IFERROR(INDIRECT("'Bloque "&amp;$D$38&amp;" Semana "&amp;"15"&amp;"'"&amp;"!"&amp;"E37"),""),"S15")</f>
        <v/>
      </c>
      <c r="ET18" s="227" t="str">
        <f t="array" ref="ET18">IF(NOT($D$37=16),IFERROR(INDIRECT("'Bloque "&amp;$D$38&amp;" Semana "&amp;"16"&amp;"'"&amp;"!"&amp;"E37"),""),"S16")</f>
        <v/>
      </c>
      <c r="EU18" s="227" t="str">
        <f t="array" ref="EU18">IF(NOT($D$37=17),IFERROR(INDIRECT("'Bloque "&amp;$D$38&amp;" Semana "&amp;"17"&amp;"'"&amp;"!"&amp;"E37"),""),"S17")</f>
        <v/>
      </c>
      <c r="EV18" s="227" t="str">
        <f t="array" ref="EV18">IF(NOT($D$37=18),IFERROR(INDIRECT("'Bloque "&amp;$D$38&amp;" Semana "&amp;"18"&amp;"'"&amp;"!"&amp;"E37"),""),"S18")</f>
        <v/>
      </c>
      <c r="EX18" s="144" t="s">
        <v>288</v>
      </c>
      <c r="EY18" s="108"/>
      <c r="EZ18" s="108"/>
      <c r="FA18" s="108"/>
      <c r="FB18" s="108"/>
      <c r="FC18" s="108"/>
      <c r="FD18" s="108"/>
      <c r="FE18" s="108"/>
      <c r="FF18" s="108"/>
      <c r="FG18" s="108"/>
      <c r="FH18" s="108"/>
      <c r="FI18" s="108"/>
      <c r="FJ18" s="108"/>
      <c r="FK18" s="108"/>
      <c r="FL18" s="108"/>
      <c r="FM18" s="108"/>
      <c r="FN18" s="108"/>
      <c r="FO18" s="108"/>
      <c r="FP18" s="108"/>
      <c r="FQ18" s="208"/>
      <c r="FR18" s="208"/>
      <c r="FS18" s="208"/>
      <c r="FT18" s="208"/>
      <c r="FU18" s="208"/>
      <c r="FV18" s="208"/>
      <c r="FW18" s="208"/>
      <c r="FX18" s="208"/>
      <c r="FY18" s="208"/>
      <c r="FZ18" s="84" t="str">
        <f t="array" ref="FZ18">IF(NOT($D$37=15),IFERROR(INDIRECT("'Bloque "&amp;$D$38&amp;" Semana "&amp;"15"&amp;"'"&amp;"!"&amp;"E37"),""),"S15")</f>
        <v/>
      </c>
      <c r="GA18" s="229" t="str">
        <f t="shared" si="4"/>
        <v/>
      </c>
      <c r="GB18" s="212" t="str">
        <f t="shared" si="5"/>
        <v/>
      </c>
      <c r="GC18" s="84" t="str">
        <f t="array" ref="GC18">IF(NOT($D$37=15),IFERROR(INDIRECT("'Bloque "&amp;$D$38&amp;" Semana "&amp;"15"&amp;"'"&amp;"!"&amp;"E37"),""),"S15")</f>
        <v/>
      </c>
      <c r="GD18" s="229" t="str">
        <f t="shared" si="6"/>
        <v/>
      </c>
      <c r="GE18" s="212" t="str">
        <f t="shared" si="7"/>
        <v/>
      </c>
      <c r="GF18" s="84" t="str">
        <f t="array" ref="GF18">IF(NOT($D$37=15),IFERROR(INDIRECT("'Bloque "&amp;$D$38&amp;" Semana "&amp;"15"&amp;"'"&amp;"!"&amp;"E37"),""),"S15")</f>
        <v/>
      </c>
      <c r="GG18" s="229" t="str">
        <f t="shared" si="8"/>
        <v/>
      </c>
      <c r="GH18" s="212" t="str">
        <f t="shared" si="9"/>
        <v/>
      </c>
    </row>
    <row r="19" ht="27.75" customHeight="1">
      <c r="B19" s="199"/>
      <c r="D19" s="106"/>
      <c r="E19" s="394"/>
      <c r="T19" s="34"/>
      <c r="W19" s="201"/>
      <c r="X19" s="395" t="s">
        <v>21</v>
      </c>
      <c r="Y19" s="396">
        <f>SUMIF(D40:D187,"SQ*",F40:F187)</f>
        <v>7</v>
      </c>
      <c r="Z19" s="396">
        <f>SUMIF(D40:D187,"SQ*",X40:X187)</f>
        <v>3960</v>
      </c>
      <c r="AA19" s="397" t="str">
        <f>IFERROR( AVERAGEIF($D$40:$D187,"SQ*",$AB$40:$AB187),"")</f>
        <v/>
      </c>
      <c r="AB19" s="398">
        <f>SUMIF(D40:D187,"SQ*",Z40:Z187)</f>
        <v>28</v>
      </c>
      <c r="AC19" s="399" t="str">
        <f>IFERROR( AVERAGEIF($D$40:$D187,"SQ*",$M$40:$M187),"")</f>
        <v/>
      </c>
      <c r="AE19" s="203"/>
      <c r="AF19" s="204"/>
      <c r="AG19" s="400" t="s">
        <v>289</v>
      </c>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4"/>
      <c r="BZ19" s="333" t="s">
        <v>290</v>
      </c>
      <c r="CA19" s="210"/>
      <c r="CB19" s="210"/>
      <c r="CC19" s="210"/>
      <c r="CD19" s="210"/>
      <c r="CE19" s="210"/>
      <c r="CF19" s="241"/>
      <c r="CG19" s="245"/>
      <c r="CH19" s="289" t="str">
        <f t="array" ref="CH19">IF(NOT($D$37=11),IFERROR(INDIRECT("'Bloque "&amp;$D$38&amp;" Semana "&amp;"11"&amp;"'"&amp;"!"&amp;"E37"),""),"S11")</f>
        <v/>
      </c>
      <c r="CI19" s="316" t="str">
        <f t="shared" si="21"/>
        <v/>
      </c>
      <c r="CJ19" s="224" t="str">
        <f t="shared" si="22"/>
        <v/>
      </c>
      <c r="CK19" s="85" t="str">
        <f t="shared" si="23"/>
        <v/>
      </c>
      <c r="CL19" s="85" t="str">
        <f t="shared" si="30"/>
        <v/>
      </c>
      <c r="CM19" s="168" t="str">
        <f t="shared" si="24"/>
        <v/>
      </c>
      <c r="CN19" s="327" t="str">
        <f t="shared" si="31"/>
        <v/>
      </c>
      <c r="CO19" s="168" t="str">
        <f t="shared" si="25"/>
        <v/>
      </c>
      <c r="CP19" s="168" t="str">
        <f t="shared" si="26"/>
        <v/>
      </c>
      <c r="CQ19" s="294" t="str">
        <f t="shared" si="27"/>
        <v/>
      </c>
      <c r="CR19" s="328" t="str">
        <f t="shared" si="32"/>
        <v/>
      </c>
      <c r="CS19" s="212"/>
      <c r="CT19" s="319"/>
      <c r="DJ19" s="4"/>
      <c r="DK19" s="4"/>
      <c r="DL19" s="4"/>
      <c r="DM19" s="4"/>
      <c r="DN19" s="4"/>
      <c r="DO19" s="4"/>
      <c r="DP19" s="4"/>
      <c r="DQ19" s="4"/>
      <c r="DR19" s="4"/>
      <c r="DS19" s="4"/>
      <c r="DT19" s="4"/>
      <c r="DU19" s="4"/>
      <c r="DV19" s="4"/>
      <c r="DW19" s="4"/>
      <c r="DX19" s="4"/>
      <c r="DY19" s="4"/>
      <c r="DZ19" s="4"/>
      <c r="EA19" s="4"/>
      <c r="EB19" s="4"/>
      <c r="ED19" s="120" t="str">
        <f t="shared" ref="ED19:ED24" si="40">BZ21</f>
        <v>Dominante de Rodilla</v>
      </c>
      <c r="EE19" s="231" t="str">
        <f t="shared" ref="EE19:EV19" si="39">IFERROR(INDIRECT("'Bloque "&amp;$D$38&amp;" Semana "&amp;MID(EE18,2,2)&amp;"'"&amp;"!"&amp;"CE21"),"")</f>
        <v/>
      </c>
      <c r="EF19" s="231" t="str">
        <f t="shared" si="39"/>
        <v/>
      </c>
      <c r="EG19" s="231" t="str">
        <f t="shared" si="39"/>
        <v/>
      </c>
      <c r="EH19" s="231" t="str">
        <f t="shared" si="39"/>
        <v/>
      </c>
      <c r="EI19" s="231" t="str">
        <f t="shared" si="39"/>
        <v/>
      </c>
      <c r="EJ19" s="231" t="str">
        <f t="shared" si="39"/>
        <v/>
      </c>
      <c r="EK19" s="231" t="str">
        <f t="shared" si="39"/>
        <v/>
      </c>
      <c r="EL19" s="231" t="str">
        <f t="shared" si="39"/>
        <v/>
      </c>
      <c r="EM19" s="231" t="str">
        <f t="shared" si="39"/>
        <v/>
      </c>
      <c r="EN19" s="231" t="str">
        <f t="shared" si="39"/>
        <v/>
      </c>
      <c r="EO19" s="231" t="str">
        <f t="shared" si="39"/>
        <v/>
      </c>
      <c r="EP19" s="231" t="str">
        <f t="shared" si="39"/>
        <v/>
      </c>
      <c r="EQ19" s="231" t="str">
        <f t="shared" si="39"/>
        <v/>
      </c>
      <c r="ER19" s="231" t="str">
        <f t="shared" si="39"/>
        <v/>
      </c>
      <c r="ES19" s="231" t="str">
        <f t="shared" si="39"/>
        <v/>
      </c>
      <c r="ET19" s="231" t="str">
        <f t="shared" si="39"/>
        <v/>
      </c>
      <c r="EU19" s="231" t="str">
        <f t="shared" si="39"/>
        <v/>
      </c>
      <c r="EV19" s="231" t="str">
        <f t="shared" si="39"/>
        <v/>
      </c>
      <c r="EX19" s="83"/>
      <c r="EY19" s="227" t="str">
        <f t="array" ref="EY19">IF(NOT($D$37=1),IFERROR(INDIRECT("'Bloque "&amp;$D$38&amp;" Semana "&amp;"1"&amp;"'"&amp;"!"&amp;"E37"),""),"S1")</f>
        <v/>
      </c>
      <c r="EZ19" s="227" t="str">
        <f t="array" ref="EZ19">IF(NOT($D$37=2),IFERROR(INDIRECT("'Bloque "&amp;$D$38&amp;" Semana "&amp;"2"&amp;"'"&amp;"!"&amp;"E37"),""),"S2")</f>
        <v/>
      </c>
      <c r="FA19" s="227" t="str">
        <f t="array" ref="FA19">IF(NOT($D$37=3),IFERROR(INDIRECT("'Bloque "&amp;$D$38&amp;" Semana "&amp;"3"&amp;"'"&amp;"!"&amp;"E37"),""),"S3")</f>
        <v>S3</v>
      </c>
      <c r="FB19" s="227" t="str">
        <f t="array" ref="FB19">IF(NOT($D$37=4),IFERROR(INDIRECT("'Bloque "&amp;$D$38&amp;" Semana "&amp;"4"&amp;"'"&amp;"!"&amp;"E37"),""),"S4")</f>
        <v/>
      </c>
      <c r="FC19" s="227" t="str">
        <f t="array" ref="FC19">IF(NOT($D$37=5),IFERROR(INDIRECT("'Bloque "&amp;$D$38&amp;" Semana "&amp;"5"&amp;"'"&amp;"!"&amp;"E37"),""),"S5")</f>
        <v/>
      </c>
      <c r="FD19" s="227" t="str">
        <f t="array" ref="FD19">IF(NOT($D$37=6),IFERROR(INDIRECT("'Bloque "&amp;$D$38&amp;" Semana "&amp;"6"&amp;"'"&amp;"!"&amp;"E37"),""),"S6")</f>
        <v/>
      </c>
      <c r="FE19" s="227" t="str">
        <f t="array" ref="FE19">IF(NOT($D$37=7),IFERROR(INDIRECT("'Bloque "&amp;$D$38&amp;" Semana "&amp;"7"&amp;"'"&amp;"!"&amp;"E37"),""),"S7")</f>
        <v/>
      </c>
      <c r="FF19" s="227" t="str">
        <f t="array" ref="FF19">IF(NOT($D$37=8),IFERROR(INDIRECT("'Bloque "&amp;$D$38&amp;" Semana "&amp;"8"&amp;"'"&amp;"!"&amp;"E37"),""),"S8")</f>
        <v/>
      </c>
      <c r="FG19" s="227" t="str">
        <f t="array" ref="FG19">IF(NOT($D$37=9),IFERROR(INDIRECT("'Bloque "&amp;$D$38&amp;" Semana "&amp;"9"&amp;"'"&amp;"!"&amp;"E37"),""),"S9")</f>
        <v/>
      </c>
      <c r="FH19" s="227" t="str">
        <f t="array" ref="FH19">IF(NOT($D$37=10),IFERROR(INDIRECT("'Bloque "&amp;$D$38&amp;" Semana "&amp;"10"&amp;"'"&amp;"!"&amp;"E37"),""),"S10")</f>
        <v/>
      </c>
      <c r="FI19" s="227" t="str">
        <f t="array" ref="FI19">IF(NOT($D$37=11),IFERROR(INDIRECT("'Bloque "&amp;$D$38&amp;" Semana "&amp;"11"&amp;"'"&amp;"!"&amp;"E37"),""),"S11")</f>
        <v/>
      </c>
      <c r="FJ19" s="227" t="str">
        <f t="array" ref="FJ19">IF(NOT($D$37=12),IFERROR(INDIRECT("'Bloque "&amp;$D$38&amp;" Semana "&amp;"12"&amp;"'"&amp;"!"&amp;"E37"),""),"S12")</f>
        <v/>
      </c>
      <c r="FK19" s="227" t="str">
        <f t="array" ref="FK19">IF(NOT($D$37=13),IFERROR(INDIRECT("'Bloque "&amp;$D$38&amp;" Semana "&amp;"13"&amp;"'"&amp;"!"&amp;"E37"),""),"S13")</f>
        <v/>
      </c>
      <c r="FL19" s="227" t="str">
        <f t="array" ref="FL19">IF(NOT($D$37=14),IFERROR(INDIRECT("'Bloque "&amp;$D$38&amp;" Semana "&amp;"14"&amp;"'"&amp;"!"&amp;"E37"),""),"S14")</f>
        <v/>
      </c>
      <c r="FM19" s="227" t="str">
        <f t="array" ref="FM19">IF(NOT($D$37=15),IFERROR(INDIRECT("'Bloque "&amp;$D$38&amp;" Semana "&amp;"15"&amp;"'"&amp;"!"&amp;"E37"),""),"S15")</f>
        <v/>
      </c>
      <c r="FN19" s="227" t="str">
        <f t="array" ref="FN19">IF(NOT($D$37=16),IFERROR(INDIRECT("'Bloque "&amp;$D$38&amp;" Semana "&amp;"16"&amp;"'"&amp;"!"&amp;"E37"),""),"S16")</f>
        <v/>
      </c>
      <c r="FO19" s="227" t="str">
        <f t="array" ref="FO19">IF(NOT($D$37=17),IFERROR(INDIRECT("'Bloque "&amp;$D$38&amp;" Semana "&amp;"17"&amp;"'"&amp;"!"&amp;"E37"),""),"S17")</f>
        <v/>
      </c>
      <c r="FP19" s="227" t="str">
        <f t="array" ref="FP19">IF(NOT($D$37=18),IFERROR(INDIRECT("'Bloque "&amp;$D$38&amp;" Semana "&amp;"18"&amp;"'"&amp;"!"&amp;"E37"),""),"S18")</f>
        <v/>
      </c>
      <c r="FQ19" s="208"/>
      <c r="FR19" s="208"/>
      <c r="FS19" s="208"/>
      <c r="FT19" s="208"/>
      <c r="FU19" s="208"/>
      <c r="FV19" s="208"/>
      <c r="FW19" s="208"/>
      <c r="FX19" s="208"/>
      <c r="FY19" s="208"/>
      <c r="FZ19" s="84" t="str">
        <f t="array" ref="FZ19">IF(NOT($D$37=16),IFERROR(INDIRECT("'Bloque "&amp;$D$38&amp;" Semana "&amp;"16"&amp;"'"&amp;"!"&amp;"E37"),""),"S16")</f>
        <v/>
      </c>
      <c r="GA19" s="229" t="str">
        <f t="shared" si="4"/>
        <v/>
      </c>
      <c r="GB19" s="212" t="str">
        <f t="shared" si="5"/>
        <v/>
      </c>
      <c r="GC19" s="84" t="str">
        <f t="array" ref="GC19">IF(NOT($D$37=16),IFERROR(INDIRECT("'Bloque "&amp;$D$38&amp;" Semana "&amp;"16"&amp;"'"&amp;"!"&amp;"E37"),""),"S16")</f>
        <v/>
      </c>
      <c r="GD19" s="229" t="str">
        <f t="shared" si="6"/>
        <v/>
      </c>
      <c r="GE19" s="212" t="str">
        <f t="shared" si="7"/>
        <v/>
      </c>
      <c r="GF19" s="84" t="str">
        <f t="array" ref="GF19">IF(NOT($D$37=16),IFERROR(INDIRECT("'Bloque "&amp;$D$38&amp;" Semana "&amp;"16"&amp;"'"&amp;"!"&amp;"E37"),""),"S16")</f>
        <v/>
      </c>
      <c r="GG19" s="229" t="str">
        <f t="shared" si="8"/>
        <v/>
      </c>
      <c r="GH19" s="212" t="str">
        <f t="shared" si="9"/>
        <v/>
      </c>
    </row>
    <row r="20" ht="27.75" customHeight="1">
      <c r="B20" s="199"/>
      <c r="D20" s="106"/>
      <c r="E20" s="401"/>
      <c r="F20" s="402"/>
      <c r="G20" s="403"/>
      <c r="H20" s="403"/>
      <c r="I20" s="403"/>
      <c r="J20" s="403"/>
      <c r="K20" s="403"/>
      <c r="L20" s="403"/>
      <c r="M20" s="403"/>
      <c r="N20" s="403"/>
      <c r="O20" s="403"/>
      <c r="P20" s="403"/>
      <c r="Q20" s="403"/>
      <c r="R20" s="403"/>
      <c r="S20" s="403"/>
      <c r="T20" s="404"/>
      <c r="W20" s="201"/>
      <c r="X20" s="405" t="s">
        <v>36</v>
      </c>
      <c r="Y20" s="396">
        <f>SUMIF(D40:D187,"BP*",F40:F187)</f>
        <v>12</v>
      </c>
      <c r="Z20" s="396">
        <f>SUMIF(D40:D187,"BP*",X40:X187)</f>
        <v>3200</v>
      </c>
      <c r="AA20" s="397" t="str">
        <f>IFERROR( AVERAGEIF($D$40:$D187,"BP*",$AB$40:$AB187),"")</f>
        <v/>
      </c>
      <c r="AB20" s="396">
        <f>SUMIF(D40:D187,"BP*",Z40:Z187)</f>
        <v>36</v>
      </c>
      <c r="AC20" s="399" t="str">
        <f>IFERROR( AVERAGEIF($D$40:$D187,"BP*",$M$40:$M187),"")</f>
        <v/>
      </c>
      <c r="AE20" s="203"/>
      <c r="AF20" s="204"/>
      <c r="AG20" s="406" t="s">
        <v>291</v>
      </c>
      <c r="BW20" s="34"/>
      <c r="BZ20" s="261" t="s">
        <v>292</v>
      </c>
      <c r="CC20" s="83" t="s">
        <v>293</v>
      </c>
      <c r="CD20" s="83" t="s">
        <v>248</v>
      </c>
      <c r="CE20" s="83" t="s">
        <v>294</v>
      </c>
      <c r="CF20" s="262"/>
      <c r="CG20" s="83"/>
      <c r="CH20" s="289" t="str">
        <f t="array" ref="CH20">IF(NOT($D$37=12),IFERROR(INDIRECT("'Bloque "&amp;$D$38&amp;" Semana "&amp;"12"&amp;"'"&amp;"!"&amp;"E37"),""),"S12")</f>
        <v/>
      </c>
      <c r="CI20" s="316" t="str">
        <f t="shared" si="21"/>
        <v/>
      </c>
      <c r="CJ20" s="224" t="str">
        <f t="shared" si="22"/>
        <v/>
      </c>
      <c r="CK20" s="85" t="str">
        <f t="shared" si="23"/>
        <v/>
      </c>
      <c r="CL20" s="85" t="str">
        <f t="shared" si="30"/>
        <v/>
      </c>
      <c r="CM20" s="168" t="str">
        <f t="shared" si="24"/>
        <v/>
      </c>
      <c r="CN20" s="327" t="str">
        <f t="shared" si="31"/>
        <v/>
      </c>
      <c r="CO20" s="168" t="str">
        <f t="shared" si="25"/>
        <v/>
      </c>
      <c r="CP20" s="168" t="str">
        <f t="shared" si="26"/>
        <v/>
      </c>
      <c r="CQ20" s="294" t="str">
        <f t="shared" si="27"/>
        <v/>
      </c>
      <c r="CR20" s="328" t="str">
        <f t="shared" si="32"/>
        <v/>
      </c>
      <c r="CS20" s="212"/>
      <c r="CT20" s="319"/>
      <c r="DE20" s="407"/>
      <c r="DF20" s="407"/>
      <c r="DG20" s="407"/>
      <c r="DH20" s="407"/>
      <c r="DI20" s="407"/>
      <c r="DJ20" s="144" t="s">
        <v>156</v>
      </c>
      <c r="DK20" s="108"/>
      <c r="DL20" s="108"/>
      <c r="DM20" s="108"/>
      <c r="DN20" s="108"/>
      <c r="DO20" s="108"/>
      <c r="DP20" s="108"/>
      <c r="DQ20" s="108"/>
      <c r="DR20" s="108"/>
      <c r="DS20" s="108"/>
      <c r="DT20" s="108"/>
      <c r="DU20" s="108"/>
      <c r="DV20" s="108"/>
      <c r="DW20" s="108"/>
      <c r="DX20" s="108"/>
      <c r="DY20" s="108"/>
      <c r="DZ20" s="108"/>
      <c r="EA20" s="108"/>
      <c r="EB20" s="108"/>
      <c r="EC20" s="407"/>
      <c r="ED20" s="120" t="str">
        <f t="shared" si="40"/>
        <v>Bisagra de Cadera</v>
      </c>
      <c r="EE20" s="231" t="str">
        <f t="shared" ref="EE20:EV20" si="41">IFERROR(INDIRECT("'Bloque "&amp;$D$38&amp;" Semana "&amp;MID(EE18,2,2)&amp;"'"&amp;"!"&amp;"CE22"),"")</f>
        <v/>
      </c>
      <c r="EF20" s="231" t="str">
        <f t="shared" si="41"/>
        <v/>
      </c>
      <c r="EG20" s="231" t="str">
        <f t="shared" si="41"/>
        <v/>
      </c>
      <c r="EH20" s="231" t="str">
        <f t="shared" si="41"/>
        <v/>
      </c>
      <c r="EI20" s="231" t="str">
        <f t="shared" si="41"/>
        <v/>
      </c>
      <c r="EJ20" s="231" t="str">
        <f t="shared" si="41"/>
        <v/>
      </c>
      <c r="EK20" s="231" t="str">
        <f t="shared" si="41"/>
        <v/>
      </c>
      <c r="EL20" s="231" t="str">
        <f t="shared" si="41"/>
        <v/>
      </c>
      <c r="EM20" s="231" t="str">
        <f t="shared" si="41"/>
        <v/>
      </c>
      <c r="EN20" s="231" t="str">
        <f t="shared" si="41"/>
        <v/>
      </c>
      <c r="EO20" s="231" t="str">
        <f t="shared" si="41"/>
        <v/>
      </c>
      <c r="EP20" s="231" t="str">
        <f t="shared" si="41"/>
        <v/>
      </c>
      <c r="EQ20" s="231" t="str">
        <f t="shared" si="41"/>
        <v/>
      </c>
      <c r="ER20" s="231" t="str">
        <f t="shared" si="41"/>
        <v/>
      </c>
      <c r="ES20" s="231" t="str">
        <f t="shared" si="41"/>
        <v/>
      </c>
      <c r="ET20" s="231" t="str">
        <f t="shared" si="41"/>
        <v/>
      </c>
      <c r="EU20" s="231" t="str">
        <f t="shared" si="41"/>
        <v/>
      </c>
      <c r="EV20" s="231" t="str">
        <f t="shared" si="41"/>
        <v/>
      </c>
      <c r="EX20" s="208" t="s">
        <v>4</v>
      </c>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208"/>
      <c r="FU20" s="208"/>
      <c r="FV20" s="208"/>
      <c r="FW20" s="208"/>
      <c r="FX20" s="208"/>
      <c r="FY20" s="208"/>
      <c r="FZ20" s="84" t="str">
        <f t="array" ref="FZ20">IF(NOT($D$37=17),IFERROR(INDIRECT("'Bloque "&amp;$D$38&amp;" Semana "&amp;"17"&amp;"'"&amp;"!"&amp;"E37"),""),"S17")</f>
        <v/>
      </c>
      <c r="GA20" s="229" t="str">
        <f t="shared" si="4"/>
        <v/>
      </c>
      <c r="GB20" s="212" t="str">
        <f t="shared" si="5"/>
        <v/>
      </c>
      <c r="GC20" s="84" t="str">
        <f t="array" ref="GC20">IF(NOT($D$37=17),IFERROR(INDIRECT("'Bloque "&amp;$D$38&amp;" Semana "&amp;"17"&amp;"'"&amp;"!"&amp;"E37"),""),"S17")</f>
        <v/>
      </c>
      <c r="GD20" s="229" t="str">
        <f t="shared" si="6"/>
        <v/>
      </c>
      <c r="GE20" s="212" t="str">
        <f t="shared" si="7"/>
        <v/>
      </c>
      <c r="GF20" s="84" t="str">
        <f t="array" ref="GF20">IF(NOT($D$37=17),IFERROR(INDIRECT("'Bloque "&amp;$D$38&amp;" Semana "&amp;"17"&amp;"'"&amp;"!"&amp;"E37"),""),"S17")</f>
        <v/>
      </c>
      <c r="GG20" s="229" t="str">
        <f t="shared" si="8"/>
        <v/>
      </c>
      <c r="GH20" s="212" t="str">
        <f t="shared" si="9"/>
        <v/>
      </c>
    </row>
    <row r="21" ht="21.75" customHeight="1">
      <c r="B21" s="199"/>
      <c r="D21" s="106"/>
      <c r="E21" s="4"/>
      <c r="F21" s="193"/>
      <c r="U21" s="408"/>
      <c r="V21" s="408"/>
      <c r="W21" s="201"/>
      <c r="X21" s="409" t="s">
        <v>42</v>
      </c>
      <c r="Y21" s="396">
        <f>SUMIF(D40:D187,"DL*",F40:F187)</f>
        <v>7</v>
      </c>
      <c r="Z21" s="396">
        <f>SUMIF(D40:D187,"DL*",X40:X187)</f>
        <v>4640</v>
      </c>
      <c r="AA21" s="397" t="str">
        <f>IFERROR( AVERAGEIF($D$40:$D187,"DL*",$AB$40:$AB187),"")</f>
        <v/>
      </c>
      <c r="AB21" s="396">
        <f>SUMIF(D40:D187,"DL*",Z40:Z187)</f>
        <v>28</v>
      </c>
      <c r="AC21" s="399" t="str">
        <f>IFERROR( AVERAGEIF($D$40:$D187,"DL*",$M$40:$M187),"")</f>
        <v/>
      </c>
      <c r="AE21" s="203"/>
      <c r="AF21" s="204"/>
      <c r="AG21" s="410"/>
      <c r="AH21" s="411"/>
      <c r="AI21" s="391"/>
      <c r="AJ21" s="391"/>
      <c r="AK21" s="391"/>
      <c r="AL21" s="391"/>
      <c r="AM21" s="412" t="s">
        <v>295</v>
      </c>
      <c r="AQ21" s="412" t="s">
        <v>296</v>
      </c>
      <c r="AU21" s="412" t="s">
        <v>297</v>
      </c>
      <c r="AY21" s="412" t="s">
        <v>298</v>
      </c>
      <c r="BC21" s="391"/>
      <c r="BD21" s="391"/>
      <c r="BE21" s="391"/>
      <c r="BF21" s="412" t="s">
        <v>299</v>
      </c>
      <c r="BJ21" s="412" t="s">
        <v>300</v>
      </c>
      <c r="BN21" s="412" t="s">
        <v>301</v>
      </c>
      <c r="BR21" s="391"/>
      <c r="BS21" s="391"/>
      <c r="BT21" s="391"/>
      <c r="BU21" s="413"/>
      <c r="BV21" s="414"/>
      <c r="BW21" s="415"/>
      <c r="BZ21" s="416" t="s">
        <v>302</v>
      </c>
      <c r="CC21" s="417">
        <f t="shared" ref="CC21:CC33" si="44">SUMIF($D$40:$D187,BZ21,$AD$40:$AD187)</f>
        <v>0</v>
      </c>
      <c r="CD21" s="417">
        <f t="shared" ref="CD21:CD33" si="45">SUMIF($D$40:$D187,BZ21,$CC$40:$CC187)</f>
        <v>0</v>
      </c>
      <c r="CE21" s="418" t="str">
        <f t="shared" ref="CE21:CE33" si="46">IFERROR( AVERAGEIF($D$40:$D187,BZ21,$CD$40:$CD187),"")</f>
        <v/>
      </c>
      <c r="CF21" s="419"/>
      <c r="CG21" s="418"/>
      <c r="CH21" s="289" t="str">
        <f t="array" ref="CH21">IF(NOT($D$37=13),IFERROR(INDIRECT("'Bloque "&amp;$D$38&amp;" Semana "&amp;"13"&amp;"'"&amp;"!"&amp;"E37"),""),"S13")</f>
        <v/>
      </c>
      <c r="CI21" s="316" t="str">
        <f t="shared" si="21"/>
        <v/>
      </c>
      <c r="CJ21" s="224" t="str">
        <f t="shared" si="22"/>
        <v/>
      </c>
      <c r="CK21" s="85" t="str">
        <f t="shared" si="23"/>
        <v/>
      </c>
      <c r="CL21" s="85" t="str">
        <f t="shared" si="30"/>
        <v/>
      </c>
      <c r="CM21" s="168" t="str">
        <f t="shared" si="24"/>
        <v/>
      </c>
      <c r="CN21" s="327" t="str">
        <f t="shared" si="31"/>
        <v/>
      </c>
      <c r="CO21" s="168" t="str">
        <f t="shared" si="25"/>
        <v/>
      </c>
      <c r="CP21" s="168" t="str">
        <f t="shared" si="26"/>
        <v/>
      </c>
      <c r="CQ21" s="294" t="str">
        <f t="shared" si="27"/>
        <v/>
      </c>
      <c r="CR21" s="328" t="str">
        <f t="shared" si="32"/>
        <v/>
      </c>
      <c r="CS21" s="212"/>
      <c r="CT21" s="319"/>
      <c r="DE21" s="4"/>
      <c r="DJ21" s="83"/>
      <c r="DK21" s="227" t="str">
        <f t="array" ref="DK21">IF(NOT($D$37=1),IFERROR(INDIRECT("'Bloque "&amp;$D$38&amp;" Semana "&amp;"1"&amp;"'"&amp;"!"&amp;"E37"),""),"S1")</f>
        <v/>
      </c>
      <c r="DL21" s="227" t="str">
        <f t="array" ref="DL21">IF(NOT($D$37=2),IFERROR(INDIRECT("'Bloque "&amp;$D$38&amp;" Semana "&amp;"2"&amp;"'"&amp;"!"&amp;"E37"),""),"S2")</f>
        <v/>
      </c>
      <c r="DM21" s="227" t="str">
        <f t="array" ref="DM21">IF(NOT($D$37=3),IFERROR(INDIRECT("'Bloque "&amp;$D$38&amp;" Semana "&amp;"3"&amp;"'"&amp;"!"&amp;"E37"),""),"S3")</f>
        <v>S3</v>
      </c>
      <c r="DN21" s="227" t="str">
        <f t="array" ref="DN21">IF(NOT($D$37=4),IFERROR(INDIRECT("'Bloque "&amp;$D$38&amp;" Semana "&amp;"4"&amp;"'"&amp;"!"&amp;"E37"),""),"S4")</f>
        <v/>
      </c>
      <c r="DO21" s="227" t="str">
        <f t="array" ref="DO21">IF(NOT($D$37=5),IFERROR(INDIRECT("'Bloque "&amp;$D$38&amp;" Semana "&amp;"5"&amp;"'"&amp;"!"&amp;"E37"),""),"S5")</f>
        <v/>
      </c>
      <c r="DP21" s="227" t="str">
        <f t="array" ref="DP21">IF(NOT($D$37=6),IFERROR(INDIRECT("'Bloque "&amp;$D$38&amp;" Semana "&amp;"6"&amp;"'"&amp;"!"&amp;"E37"),""),"S6")</f>
        <v/>
      </c>
      <c r="DQ21" s="227" t="str">
        <f t="array" ref="DQ21">IF(NOT($D$37=7),IFERROR(INDIRECT("'Bloque "&amp;$D$38&amp;" Semana "&amp;"7"&amp;"'"&amp;"!"&amp;"E37"),""),"S7")</f>
        <v/>
      </c>
      <c r="DR21" s="227" t="str">
        <f t="array" ref="DR21">IF(NOT($D$37=8),IFERROR(INDIRECT("'Bloque "&amp;$D$38&amp;" Semana "&amp;"8"&amp;"'"&amp;"!"&amp;"E37"),""),"S8")</f>
        <v/>
      </c>
      <c r="DS21" s="227" t="str">
        <f t="array" ref="DS21">IF(NOT($D$37=9),IFERROR(INDIRECT("'Bloque "&amp;$D$38&amp;" Semana "&amp;"9"&amp;"'"&amp;"!"&amp;"E37"),""),"S9")</f>
        <v/>
      </c>
      <c r="DT21" s="227" t="str">
        <f t="array" ref="DT21">IF(NOT($D$37=10),IFERROR(INDIRECT("'Bloque "&amp;$D$38&amp;" Semana "&amp;"10"&amp;"'"&amp;"!"&amp;"E37"),""),"S10")</f>
        <v/>
      </c>
      <c r="DU21" s="227" t="str">
        <f t="array" ref="DU21">IF(NOT($D$37=11),IFERROR(INDIRECT("'Bloque "&amp;$D$38&amp;" Semana "&amp;"11"&amp;"'"&amp;"!"&amp;"E37"),""),"S11")</f>
        <v/>
      </c>
      <c r="DV21" s="227" t="str">
        <f t="array" ref="DV21">IF(NOT($D$37=12),IFERROR(INDIRECT("'Bloque "&amp;$D$38&amp;" Semana "&amp;"12"&amp;"'"&amp;"!"&amp;"E37"),""),"S12")</f>
        <v/>
      </c>
      <c r="DW21" s="227" t="str">
        <f t="array" ref="DW21">IF(NOT($D$37=13),IFERROR(INDIRECT("'Bloque "&amp;$D$38&amp;" Semana "&amp;"13"&amp;"'"&amp;"!"&amp;"E37"),""),"S13")</f>
        <v/>
      </c>
      <c r="DX21" s="227" t="str">
        <f t="array" ref="DX21">IF(NOT($D$37=14),IFERROR(INDIRECT("'Bloque "&amp;$D$38&amp;" Semana "&amp;"14"&amp;"'"&amp;"!"&amp;"E37"),""),"S14")</f>
        <v/>
      </c>
      <c r="DY21" s="227" t="str">
        <f t="array" ref="DY21">IF(NOT($D$37=15),IFERROR(INDIRECT("'Bloque "&amp;$D$38&amp;" Semana "&amp;"15"&amp;"'"&amp;"!"&amp;"E37"),""),"S15")</f>
        <v/>
      </c>
      <c r="DZ21" s="227" t="str">
        <f t="array" ref="DZ21">IF(NOT($D$37=16),IFERROR(INDIRECT("'Bloque "&amp;$D$38&amp;" Semana "&amp;"16"&amp;"'"&amp;"!"&amp;"E37"),""),"S16")</f>
        <v/>
      </c>
      <c r="EA21" s="227" t="str">
        <f t="array" ref="EA21">IF(NOT($D$37=17),IFERROR(INDIRECT("'Bloque "&amp;$D$38&amp;" Semana "&amp;"17"&amp;"'"&amp;"!"&amp;"E37"),""),"S17")</f>
        <v/>
      </c>
      <c r="EB21" s="227" t="str">
        <f t="array" ref="EB21">IF(NOT($D$37=18),IFERROR(INDIRECT("'Bloque "&amp;$D$38&amp;" Semana "&amp;"18"&amp;"'"&amp;"!"&amp;"E37"),""),"S18")</f>
        <v/>
      </c>
      <c r="ED21" s="120" t="str">
        <f t="shared" si="40"/>
        <v>Empuje Horizontal</v>
      </c>
      <c r="EE21" s="231" t="str">
        <f t="shared" ref="EE21:EV21" si="42">IFERROR(INDIRECT("'Bloque "&amp;$D$38&amp;" Semana "&amp;MID(EE18,2,2)&amp;"'"&amp;"!"&amp;"CE23"),"")</f>
        <v/>
      </c>
      <c r="EF21" s="231" t="str">
        <f t="shared" si="42"/>
        <v/>
      </c>
      <c r="EG21" s="231" t="str">
        <f t="shared" si="42"/>
        <v/>
      </c>
      <c r="EH21" s="231" t="str">
        <f t="shared" si="42"/>
        <v/>
      </c>
      <c r="EI21" s="231" t="str">
        <f t="shared" si="42"/>
        <v/>
      </c>
      <c r="EJ21" s="231" t="str">
        <f t="shared" si="42"/>
        <v/>
      </c>
      <c r="EK21" s="231" t="str">
        <f t="shared" si="42"/>
        <v/>
      </c>
      <c r="EL21" s="231" t="str">
        <f t="shared" si="42"/>
        <v/>
      </c>
      <c r="EM21" s="231" t="str">
        <f t="shared" si="42"/>
        <v/>
      </c>
      <c r="EN21" s="231" t="str">
        <f t="shared" si="42"/>
        <v/>
      </c>
      <c r="EO21" s="231" t="str">
        <f t="shared" si="42"/>
        <v/>
      </c>
      <c r="EP21" s="231" t="str">
        <f t="shared" si="42"/>
        <v/>
      </c>
      <c r="EQ21" s="231" t="str">
        <f t="shared" si="42"/>
        <v/>
      </c>
      <c r="ER21" s="231" t="str">
        <f t="shared" si="42"/>
        <v/>
      </c>
      <c r="ES21" s="231" t="str">
        <f t="shared" si="42"/>
        <v/>
      </c>
      <c r="ET21" s="231" t="str">
        <f t="shared" si="42"/>
        <v/>
      </c>
      <c r="EU21" s="231" t="str">
        <f t="shared" si="42"/>
        <v/>
      </c>
      <c r="EV21" s="231" t="str">
        <f t="shared" si="42"/>
        <v/>
      </c>
      <c r="EX21" s="208" t="s">
        <v>303</v>
      </c>
      <c r="EY21" s="208"/>
      <c r="EZ21" s="208"/>
      <c r="FA21" s="208"/>
      <c r="FB21" s="208"/>
      <c r="FC21" s="208"/>
      <c r="FD21" s="208"/>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420" t="str">
        <f t="array" ref="FZ21">IF(NOT($D$37=18),IFERROR(INDIRECT("'Bloque "&amp;$D$38&amp;" Semana "&amp;"18"&amp;"'"&amp;"!"&amp;"E37"),""),"S18")</f>
        <v/>
      </c>
      <c r="GA21" s="229" t="str">
        <f t="shared" si="4"/>
        <v/>
      </c>
      <c r="GB21" s="212" t="str">
        <f t="shared" si="5"/>
        <v/>
      </c>
      <c r="GC21" s="420" t="str">
        <f t="array" ref="GC21">IF(NOT($D$37=18),IFERROR(INDIRECT("'Bloque "&amp;$D$38&amp;" Semana "&amp;"18"&amp;"'"&amp;"!"&amp;"E37"),""),"S18")</f>
        <v/>
      </c>
      <c r="GD21" s="229" t="str">
        <f t="shared" si="6"/>
        <v/>
      </c>
      <c r="GE21" s="212" t="str">
        <f t="shared" si="7"/>
        <v/>
      </c>
      <c r="GF21" s="420" t="str">
        <f t="array" ref="GF21">IF(NOT($D$37=18),IFERROR(INDIRECT("'Bloque "&amp;$D$38&amp;" Semana "&amp;"18"&amp;"'"&amp;"!"&amp;"E37"),""),"S18")</f>
        <v/>
      </c>
      <c r="GG21" s="229" t="str">
        <f t="shared" si="8"/>
        <v/>
      </c>
      <c r="GH21" s="212" t="str">
        <f t="shared" si="9"/>
        <v/>
      </c>
    </row>
    <row r="22">
      <c r="B22" s="199"/>
      <c r="D22" s="106"/>
      <c r="E22" s="421" t="s">
        <v>304</v>
      </c>
      <c r="U22" s="408"/>
      <c r="V22" s="408"/>
      <c r="W22" s="201"/>
      <c r="X22" s="422" t="s">
        <v>105</v>
      </c>
      <c r="Y22" s="423">
        <f t="shared" ref="Y22:Z22" si="43">SUM(Y19:Y21)</f>
        <v>26</v>
      </c>
      <c r="Z22" s="423">
        <f t="shared" si="43"/>
        <v>11800</v>
      </c>
      <c r="AA22" s="424" t="str">
        <f>IFERROR( AVERAGE(AA19:AA21),"")</f>
        <v/>
      </c>
      <c r="AB22" s="425">
        <f>SUM(AB19:AB21)</f>
        <v>92</v>
      </c>
      <c r="AC22" s="426" t="str">
        <f>IFERROR( AVERAGE(AC19:AC21),"")</f>
        <v/>
      </c>
      <c r="AD22" s="427"/>
      <c r="AE22" s="203"/>
      <c r="AF22" s="204"/>
      <c r="AG22" s="428"/>
      <c r="AI22" s="391"/>
      <c r="AJ22" s="412" t="s">
        <v>305</v>
      </c>
      <c r="AM22" s="85"/>
      <c r="AQ22" s="429"/>
      <c r="AU22" s="429"/>
      <c r="AY22" s="429"/>
      <c r="BC22" s="412" t="s">
        <v>306</v>
      </c>
      <c r="BF22" s="429"/>
      <c r="BJ22" s="429"/>
      <c r="BN22" s="429" t="s">
        <v>562</v>
      </c>
      <c r="BR22" s="391"/>
      <c r="BS22" s="391"/>
      <c r="BT22" s="391"/>
      <c r="BU22" s="430"/>
      <c r="BV22" s="391"/>
      <c r="BW22" s="431"/>
      <c r="BZ22" s="432" t="s">
        <v>307</v>
      </c>
      <c r="CC22" s="417">
        <f t="shared" si="44"/>
        <v>0</v>
      </c>
      <c r="CD22" s="417">
        <f t="shared" si="45"/>
        <v>0</v>
      </c>
      <c r="CE22" s="418" t="str">
        <f t="shared" si="46"/>
        <v/>
      </c>
      <c r="CF22" s="419"/>
      <c r="CG22" s="418"/>
      <c r="CH22" s="289" t="str">
        <f t="array" ref="CH22">IF(NOT($D$37=14),IFERROR(INDIRECT("'Bloque "&amp;$D$38&amp;" Semana "&amp;"14"&amp;"'"&amp;"!"&amp;"E37"),""),"S14")</f>
        <v/>
      </c>
      <c r="CI22" s="316" t="str">
        <f t="shared" si="21"/>
        <v/>
      </c>
      <c r="CJ22" s="224" t="str">
        <f t="shared" si="22"/>
        <v/>
      </c>
      <c r="CK22" s="85" t="str">
        <f t="shared" si="23"/>
        <v/>
      </c>
      <c r="CL22" s="85" t="str">
        <f t="shared" si="30"/>
        <v/>
      </c>
      <c r="CM22" s="168" t="str">
        <f t="shared" si="24"/>
        <v/>
      </c>
      <c r="CN22" s="327" t="str">
        <f t="shared" si="31"/>
        <v/>
      </c>
      <c r="CO22" s="168" t="str">
        <f t="shared" si="25"/>
        <v/>
      </c>
      <c r="CP22" s="168" t="str">
        <f t="shared" si="26"/>
        <v/>
      </c>
      <c r="CQ22" s="294" t="str">
        <f t="shared" si="27"/>
        <v/>
      </c>
      <c r="CR22" s="328" t="str">
        <f t="shared" si="32"/>
        <v/>
      </c>
      <c r="CS22" s="212"/>
      <c r="CT22" s="319"/>
      <c r="DE22" s="4"/>
      <c r="DJ22" s="120" t="s">
        <v>21</v>
      </c>
      <c r="DK22" s="93" t="str">
        <f t="shared" ref="DK22:EB22" si="47">IFERROR(INDIRECT("'Bloque "&amp;$D$38&amp;" Semana "&amp;MID(DK15,2,2)&amp;"'"&amp;"!"&amp;"CE15"),"")</f>
        <v/>
      </c>
      <c r="DL22" s="93" t="str">
        <f t="shared" si="47"/>
        <v/>
      </c>
      <c r="DM22" s="93" t="str">
        <f t="shared" si="47"/>
        <v/>
      </c>
      <c r="DN22" s="93" t="str">
        <f t="shared" si="47"/>
        <v/>
      </c>
      <c r="DO22" s="93" t="str">
        <f t="shared" si="47"/>
        <v/>
      </c>
      <c r="DP22" s="93" t="str">
        <f t="shared" si="47"/>
        <v/>
      </c>
      <c r="DQ22" s="93" t="str">
        <f t="shared" si="47"/>
        <v/>
      </c>
      <c r="DR22" s="93" t="str">
        <f t="shared" si="47"/>
        <v/>
      </c>
      <c r="DS22" s="93" t="str">
        <f t="shared" si="47"/>
        <v/>
      </c>
      <c r="DT22" s="93" t="str">
        <f t="shared" si="47"/>
        <v/>
      </c>
      <c r="DU22" s="93" t="str">
        <f t="shared" si="47"/>
        <v/>
      </c>
      <c r="DV22" s="93" t="str">
        <f t="shared" si="47"/>
        <v/>
      </c>
      <c r="DW22" s="93" t="str">
        <f t="shared" si="47"/>
        <v/>
      </c>
      <c r="DX22" s="93" t="str">
        <f t="shared" si="47"/>
        <v/>
      </c>
      <c r="DY22" s="93" t="str">
        <f t="shared" si="47"/>
        <v/>
      </c>
      <c r="DZ22" s="93" t="str">
        <f t="shared" si="47"/>
        <v/>
      </c>
      <c r="EA22" s="93" t="str">
        <f t="shared" si="47"/>
        <v/>
      </c>
      <c r="EB22" s="93" t="str">
        <f t="shared" si="47"/>
        <v/>
      </c>
      <c r="ED22" s="120" t="str">
        <f t="shared" si="40"/>
        <v>Empuje Vertical</v>
      </c>
      <c r="EE22" s="269" t="str">
        <f t="shared" ref="EE22:EV22" si="48">IFERROR(INDIRECT("'Bloque "&amp;$D$38&amp;" Semana "&amp;MID(EE18,2,2)&amp;"'"&amp;"!"&amp;"CE24"),"")</f>
        <v/>
      </c>
      <c r="EF22" s="269" t="str">
        <f t="shared" si="48"/>
        <v/>
      </c>
      <c r="EG22" s="269" t="str">
        <f t="shared" si="48"/>
        <v/>
      </c>
      <c r="EH22" s="269" t="str">
        <f t="shared" si="48"/>
        <v/>
      </c>
      <c r="EI22" s="269" t="str">
        <f t="shared" si="48"/>
        <v/>
      </c>
      <c r="EJ22" s="269" t="str">
        <f t="shared" si="48"/>
        <v/>
      </c>
      <c r="EK22" s="269" t="str">
        <f t="shared" si="48"/>
        <v/>
      </c>
      <c r="EL22" s="269" t="str">
        <f t="shared" si="48"/>
        <v/>
      </c>
      <c r="EM22" s="269" t="str">
        <f t="shared" si="48"/>
        <v/>
      </c>
      <c r="EN22" s="269" t="str">
        <f t="shared" si="48"/>
        <v/>
      </c>
      <c r="EO22" s="269" t="str">
        <f t="shared" si="48"/>
        <v/>
      </c>
      <c r="EP22" s="269" t="str">
        <f t="shared" si="48"/>
        <v/>
      </c>
      <c r="EQ22" s="269" t="str">
        <f t="shared" si="48"/>
        <v/>
      </c>
      <c r="ER22" s="269" t="str">
        <f t="shared" si="48"/>
        <v/>
      </c>
      <c r="ES22" s="269" t="str">
        <f t="shared" si="48"/>
        <v/>
      </c>
      <c r="ET22" s="269" t="str">
        <f t="shared" si="48"/>
        <v/>
      </c>
      <c r="EU22" s="269" t="str">
        <f t="shared" si="48"/>
        <v/>
      </c>
      <c r="EV22" s="269" t="str">
        <f t="shared" si="48"/>
        <v/>
      </c>
      <c r="EX22" s="208" t="s">
        <v>308</v>
      </c>
      <c r="EY22" s="208"/>
      <c r="EZ22" s="208"/>
      <c r="FA22" s="208"/>
      <c r="FB22" s="208"/>
      <c r="FC22" s="208"/>
      <c r="FD22" s="208"/>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row>
    <row r="23">
      <c r="B23" s="199"/>
      <c r="D23" s="106"/>
      <c r="U23" s="408"/>
      <c r="V23" s="408"/>
      <c r="W23" s="201"/>
      <c r="X23" s="433" t="s">
        <v>290</v>
      </c>
      <c r="Y23" s="434" t="s">
        <v>286</v>
      </c>
      <c r="Z23" s="435" t="s">
        <v>294</v>
      </c>
      <c r="AA23" s="436" t="s">
        <v>248</v>
      </c>
      <c r="AB23" s="437"/>
      <c r="AC23" s="438"/>
      <c r="AD23" s="439"/>
      <c r="AE23" s="203"/>
      <c r="AF23" s="204"/>
      <c r="AG23" s="440"/>
      <c r="AH23" s="413"/>
      <c r="AI23" s="391"/>
      <c r="AJ23" s="391"/>
      <c r="AK23" s="441"/>
      <c r="AL23" s="441"/>
      <c r="AM23" s="412" t="s">
        <v>309</v>
      </c>
      <c r="AQ23" s="412" t="s">
        <v>310</v>
      </c>
      <c r="AU23" s="412" t="s">
        <v>311</v>
      </c>
      <c r="AY23" s="412" t="s">
        <v>312</v>
      </c>
      <c r="BC23" s="411"/>
      <c r="BD23" s="411"/>
      <c r="BE23" s="411"/>
      <c r="BF23" s="411"/>
      <c r="BG23" s="411"/>
      <c r="BH23" s="411"/>
      <c r="BI23" s="411"/>
      <c r="BJ23" s="411"/>
      <c r="BK23" s="411"/>
      <c r="BL23" s="411"/>
      <c r="BM23" s="411"/>
      <c r="BN23" s="391"/>
      <c r="BO23" s="391"/>
      <c r="BP23" s="391"/>
      <c r="BQ23" s="391"/>
      <c r="BR23" s="391"/>
      <c r="BS23" s="391"/>
      <c r="BT23" s="391"/>
      <c r="BU23" s="430"/>
      <c r="BV23" s="391"/>
      <c r="BW23" s="431"/>
      <c r="BZ23" s="442" t="s">
        <v>313</v>
      </c>
      <c r="CC23" s="417">
        <f t="shared" si="44"/>
        <v>5</v>
      </c>
      <c r="CD23" s="417">
        <f t="shared" si="45"/>
        <v>56</v>
      </c>
      <c r="CE23" s="418">
        <f t="shared" si="46"/>
        <v>0.3333333333</v>
      </c>
      <c r="CF23" s="419"/>
      <c r="CG23" s="418"/>
      <c r="CH23" s="289" t="str">
        <f t="array" ref="CH23">IF(NOT($D$37=15),IFERROR(INDIRECT("'Bloque "&amp;$D$38&amp;" Semana "&amp;"15"&amp;"'"&amp;"!"&amp;"E37"),""),"S15")</f>
        <v/>
      </c>
      <c r="CI23" s="316" t="str">
        <f t="shared" si="21"/>
        <v/>
      </c>
      <c r="CJ23" s="224" t="str">
        <f t="shared" si="22"/>
        <v/>
      </c>
      <c r="CK23" s="85" t="str">
        <f t="shared" si="23"/>
        <v/>
      </c>
      <c r="CL23" s="85" t="str">
        <f t="shared" si="30"/>
        <v/>
      </c>
      <c r="CM23" s="168" t="str">
        <f t="shared" si="24"/>
        <v/>
      </c>
      <c r="CN23" s="327" t="str">
        <f t="shared" si="31"/>
        <v/>
      </c>
      <c r="CO23" s="168" t="str">
        <f t="shared" si="25"/>
        <v/>
      </c>
      <c r="CP23" s="168" t="str">
        <f t="shared" si="26"/>
        <v/>
      </c>
      <c r="CQ23" s="294" t="str">
        <f t="shared" si="27"/>
        <v/>
      </c>
      <c r="CR23" s="328" t="str">
        <f t="shared" si="32"/>
        <v/>
      </c>
      <c r="CS23" s="212"/>
      <c r="CT23" s="319"/>
      <c r="DE23" s="4"/>
      <c r="DJ23" s="120" t="s">
        <v>36</v>
      </c>
      <c r="DK23" s="93" t="str">
        <f t="shared" ref="DK23:EB23" si="49">IFERROR(INDIRECT("'Bloque "&amp;$D$38&amp;" Semana "&amp;MID(DK15,2,2)&amp;"'"&amp;"!"&amp;"CE16"),"")</f>
        <v/>
      </c>
      <c r="DL23" s="93" t="str">
        <f t="shared" si="49"/>
        <v/>
      </c>
      <c r="DM23" s="93" t="str">
        <f t="shared" si="49"/>
        <v/>
      </c>
      <c r="DN23" s="93" t="str">
        <f t="shared" si="49"/>
        <v/>
      </c>
      <c r="DO23" s="93" t="str">
        <f t="shared" si="49"/>
        <v/>
      </c>
      <c r="DP23" s="93" t="str">
        <f t="shared" si="49"/>
        <v/>
      </c>
      <c r="DQ23" s="93" t="str">
        <f t="shared" si="49"/>
        <v/>
      </c>
      <c r="DR23" s="93" t="str">
        <f t="shared" si="49"/>
        <v/>
      </c>
      <c r="DS23" s="93" t="str">
        <f t="shared" si="49"/>
        <v/>
      </c>
      <c r="DT23" s="93" t="str">
        <f t="shared" si="49"/>
        <v/>
      </c>
      <c r="DU23" s="93" t="str">
        <f t="shared" si="49"/>
        <v/>
      </c>
      <c r="DV23" s="93" t="str">
        <f t="shared" si="49"/>
        <v/>
      </c>
      <c r="DW23" s="93" t="str">
        <f t="shared" si="49"/>
        <v/>
      </c>
      <c r="DX23" s="93" t="str">
        <f t="shared" si="49"/>
        <v/>
      </c>
      <c r="DY23" s="93" t="str">
        <f t="shared" si="49"/>
        <v/>
      </c>
      <c r="DZ23" s="93" t="str">
        <f t="shared" si="49"/>
        <v/>
      </c>
      <c r="EA23" s="93" t="str">
        <f t="shared" si="49"/>
        <v/>
      </c>
      <c r="EB23" s="93" t="str">
        <f t="shared" si="49"/>
        <v/>
      </c>
      <c r="ED23" s="120" t="str">
        <f t="shared" si="40"/>
        <v>Tracción Horizontal</v>
      </c>
      <c r="EE23" s="269" t="str">
        <f t="shared" ref="EE23:EV23" si="50">IFERROR(INDIRECT("'Bloque "&amp;$D$38&amp;" Semana "&amp;MID(EE18,2,2)&amp;"'"&amp;"!"&amp;"CE25"),"")</f>
        <v/>
      </c>
      <c r="EF23" s="269" t="str">
        <f t="shared" si="50"/>
        <v/>
      </c>
      <c r="EG23" s="269" t="str">
        <f t="shared" si="50"/>
        <v/>
      </c>
      <c r="EH23" s="269" t="str">
        <f t="shared" si="50"/>
        <v/>
      </c>
      <c r="EI23" s="269" t="str">
        <f t="shared" si="50"/>
        <v/>
      </c>
      <c r="EJ23" s="269" t="str">
        <f t="shared" si="50"/>
        <v/>
      </c>
      <c r="EK23" s="269" t="str">
        <f t="shared" si="50"/>
        <v/>
      </c>
      <c r="EL23" s="269" t="str">
        <f t="shared" si="50"/>
        <v/>
      </c>
      <c r="EM23" s="269" t="str">
        <f t="shared" si="50"/>
        <v/>
      </c>
      <c r="EN23" s="269" t="str">
        <f t="shared" si="50"/>
        <v/>
      </c>
      <c r="EO23" s="269" t="str">
        <f t="shared" si="50"/>
        <v/>
      </c>
      <c r="EP23" s="269" t="str">
        <f t="shared" si="50"/>
        <v/>
      </c>
      <c r="EQ23" s="269" t="str">
        <f t="shared" si="50"/>
        <v/>
      </c>
      <c r="ER23" s="269" t="str">
        <f t="shared" si="50"/>
        <v/>
      </c>
      <c r="ES23" s="269" t="str">
        <f t="shared" si="50"/>
        <v/>
      </c>
      <c r="ET23" s="269" t="str">
        <f t="shared" si="50"/>
        <v/>
      </c>
      <c r="EU23" s="269" t="str">
        <f t="shared" si="50"/>
        <v/>
      </c>
      <c r="EV23" s="269" t="str">
        <f t="shared" si="50"/>
        <v/>
      </c>
      <c r="EX23" s="208" t="s">
        <v>314</v>
      </c>
      <c r="EY23" s="208"/>
      <c r="EZ23" s="208"/>
      <c r="FA23" s="208"/>
      <c r="FB23" s="208"/>
      <c r="FC23" s="208"/>
      <c r="FD23" s="208"/>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row>
    <row r="24">
      <c r="B24" s="199"/>
      <c r="D24" s="106"/>
      <c r="U24" s="408"/>
      <c r="V24" s="408"/>
      <c r="W24" s="201"/>
      <c r="X24" s="443" t="s">
        <v>302</v>
      </c>
      <c r="Y24" s="444">
        <f t="shared" ref="Y24:Y36" si="53">SUMIF($D$40:$D187,X24,$F$40:$F187)</f>
        <v>14</v>
      </c>
      <c r="Z24" s="398">
        <f t="shared" ref="Z24:Z36" si="54">IFERROR( AVERAGEIF($D$40:$D187,X24,$K$40:$K187),"")</f>
        <v>1.75</v>
      </c>
      <c r="AA24" s="445">
        <f t="shared" ref="AA24:AA36" si="55">SUMIF($D$40:$D187,X24,$Z$40:$Z187)</f>
        <v>177</v>
      </c>
      <c r="AB24" s="446"/>
      <c r="AC24" s="212"/>
      <c r="AE24" s="203"/>
      <c r="AF24" s="204"/>
      <c r="AG24" s="428"/>
      <c r="AI24" s="391"/>
      <c r="AJ24" s="412" t="s">
        <v>315</v>
      </c>
      <c r="AM24" s="85"/>
      <c r="AQ24" s="85"/>
      <c r="AU24" s="429" t="s">
        <v>485</v>
      </c>
      <c r="AY24" s="429"/>
      <c r="BC24" s="412"/>
      <c r="BF24" s="411"/>
      <c r="BG24" s="411"/>
      <c r="BH24" s="411"/>
      <c r="BI24" s="411"/>
      <c r="BJ24" s="411"/>
      <c r="BK24" s="411"/>
      <c r="BL24" s="411"/>
      <c r="BM24" s="411"/>
      <c r="BN24" s="391"/>
      <c r="BO24" s="391"/>
      <c r="BP24" s="391"/>
      <c r="BQ24" s="391"/>
      <c r="BR24" s="391"/>
      <c r="BS24" s="391"/>
      <c r="BT24" s="391"/>
      <c r="BU24" s="430"/>
      <c r="BV24" s="391"/>
      <c r="BW24" s="431"/>
      <c r="BZ24" s="447" t="s">
        <v>316</v>
      </c>
      <c r="CC24" s="417">
        <f t="shared" si="44"/>
        <v>1</v>
      </c>
      <c r="CD24" s="417">
        <f t="shared" si="45"/>
        <v>9</v>
      </c>
      <c r="CE24" s="418">
        <f t="shared" si="46"/>
        <v>0</v>
      </c>
      <c r="CF24" s="419"/>
      <c r="CG24" s="418"/>
      <c r="CH24" s="289" t="str">
        <f t="array" ref="CH24">IF(NOT($D$37=16),IFERROR(INDIRECT("'Bloque "&amp;$D$38&amp;" Semana "&amp;"16"&amp;"'"&amp;"!"&amp;"E37"),""),"S16")</f>
        <v/>
      </c>
      <c r="CI24" s="316" t="str">
        <f t="shared" si="21"/>
        <v/>
      </c>
      <c r="CJ24" s="224" t="str">
        <f t="shared" si="22"/>
        <v/>
      </c>
      <c r="CK24" s="85" t="str">
        <f t="shared" si="23"/>
        <v/>
      </c>
      <c r="CL24" s="85" t="str">
        <f t="shared" si="30"/>
        <v/>
      </c>
      <c r="CM24" s="168" t="str">
        <f t="shared" si="24"/>
        <v/>
      </c>
      <c r="CN24" s="327" t="str">
        <f t="shared" si="31"/>
        <v/>
      </c>
      <c r="CO24" s="168" t="str">
        <f t="shared" si="25"/>
        <v/>
      </c>
      <c r="CP24" s="168" t="str">
        <f t="shared" si="26"/>
        <v/>
      </c>
      <c r="CQ24" s="294" t="str">
        <f t="shared" si="27"/>
        <v/>
      </c>
      <c r="CR24" s="328" t="str">
        <f t="shared" si="32"/>
        <v/>
      </c>
      <c r="CS24" s="212"/>
      <c r="CT24" s="319"/>
      <c r="DE24" s="4"/>
      <c r="DJ24" s="120" t="s">
        <v>42</v>
      </c>
      <c r="DK24" s="93" t="str">
        <f t="shared" ref="DK24:EB24" si="51">IFERROR(INDIRECT("'Bloque "&amp;$D$38&amp;" Semana "&amp;MID(DK15,2,2)&amp;"'"&amp;"!"&amp;"CE17"),"")</f>
        <v/>
      </c>
      <c r="DL24" s="93" t="str">
        <f t="shared" si="51"/>
        <v/>
      </c>
      <c r="DM24" s="93" t="str">
        <f t="shared" si="51"/>
        <v/>
      </c>
      <c r="DN24" s="93" t="str">
        <f t="shared" si="51"/>
        <v/>
      </c>
      <c r="DO24" s="93" t="str">
        <f t="shared" si="51"/>
        <v/>
      </c>
      <c r="DP24" s="93" t="str">
        <f t="shared" si="51"/>
        <v/>
      </c>
      <c r="DQ24" s="93" t="str">
        <f t="shared" si="51"/>
        <v/>
      </c>
      <c r="DR24" s="93" t="str">
        <f t="shared" si="51"/>
        <v/>
      </c>
      <c r="DS24" s="93" t="str">
        <f t="shared" si="51"/>
        <v/>
      </c>
      <c r="DT24" s="93" t="str">
        <f t="shared" si="51"/>
        <v/>
      </c>
      <c r="DU24" s="93" t="str">
        <f t="shared" si="51"/>
        <v/>
      </c>
      <c r="DV24" s="93" t="str">
        <f t="shared" si="51"/>
        <v/>
      </c>
      <c r="DW24" s="93" t="str">
        <f t="shared" si="51"/>
        <v/>
      </c>
      <c r="DX24" s="93" t="str">
        <f t="shared" si="51"/>
        <v/>
      </c>
      <c r="DY24" s="93" t="str">
        <f t="shared" si="51"/>
        <v/>
      </c>
      <c r="DZ24" s="93" t="str">
        <f t="shared" si="51"/>
        <v/>
      </c>
      <c r="EA24" s="93" t="str">
        <f t="shared" si="51"/>
        <v/>
      </c>
      <c r="EB24" s="93" t="str">
        <f t="shared" si="51"/>
        <v/>
      </c>
      <c r="ED24" s="120" t="str">
        <f t="shared" si="40"/>
        <v>Tracción Vertical</v>
      </c>
      <c r="EE24" s="269" t="str">
        <f t="shared" ref="EE24:EV24" si="52">IFERROR(INDIRECT("'Bloque "&amp;$D$38&amp;" Semana "&amp;MID(EE18,2,2)&amp;"'"&amp;"!"&amp;"CE26"),"")</f>
        <v/>
      </c>
      <c r="EF24" s="269" t="str">
        <f t="shared" si="52"/>
        <v/>
      </c>
      <c r="EG24" s="269" t="str">
        <f t="shared" si="52"/>
        <v/>
      </c>
      <c r="EH24" s="269" t="str">
        <f t="shared" si="52"/>
        <v/>
      </c>
      <c r="EI24" s="269" t="str">
        <f t="shared" si="52"/>
        <v/>
      </c>
      <c r="EJ24" s="269" t="str">
        <f t="shared" si="52"/>
        <v/>
      </c>
      <c r="EK24" s="269" t="str">
        <f t="shared" si="52"/>
        <v/>
      </c>
      <c r="EL24" s="269" t="str">
        <f t="shared" si="52"/>
        <v/>
      </c>
      <c r="EM24" s="269" t="str">
        <f t="shared" si="52"/>
        <v/>
      </c>
      <c r="EN24" s="269" t="str">
        <f t="shared" si="52"/>
        <v/>
      </c>
      <c r="EO24" s="269" t="str">
        <f t="shared" si="52"/>
        <v/>
      </c>
      <c r="EP24" s="269" t="str">
        <f t="shared" si="52"/>
        <v/>
      </c>
      <c r="EQ24" s="269" t="str">
        <f t="shared" si="52"/>
        <v/>
      </c>
      <c r="ER24" s="269" t="str">
        <f t="shared" si="52"/>
        <v/>
      </c>
      <c r="ES24" s="269" t="str">
        <f t="shared" si="52"/>
        <v/>
      </c>
      <c r="ET24" s="269" t="str">
        <f t="shared" si="52"/>
        <v/>
      </c>
      <c r="EU24" s="269" t="str">
        <f t="shared" si="52"/>
        <v/>
      </c>
      <c r="EV24" s="269" t="str">
        <f t="shared" si="52"/>
        <v/>
      </c>
      <c r="EX24" s="208"/>
      <c r="EY24" s="208"/>
      <c r="EZ24" s="208"/>
      <c r="FA24" s="208"/>
      <c r="FB24" s="208"/>
      <c r="FC24" s="208"/>
      <c r="FD24" s="208"/>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row>
    <row r="25">
      <c r="B25" s="199"/>
      <c r="D25" s="106"/>
      <c r="E25" s="448" t="s">
        <v>587</v>
      </c>
      <c r="U25" s="408"/>
      <c r="V25" s="408"/>
      <c r="W25" s="201"/>
      <c r="X25" s="449" t="s">
        <v>307</v>
      </c>
      <c r="Y25" s="444">
        <f t="shared" si="53"/>
        <v>0</v>
      </c>
      <c r="Z25" s="398" t="str">
        <f t="shared" si="54"/>
        <v/>
      </c>
      <c r="AA25" s="445">
        <f t="shared" si="55"/>
        <v>0</v>
      </c>
      <c r="AB25" s="446"/>
      <c r="AC25" s="212"/>
      <c r="AE25" s="203"/>
      <c r="AF25" s="204"/>
      <c r="AG25" s="450"/>
      <c r="AH25" s="451"/>
      <c r="AI25" s="414"/>
      <c r="AJ25" s="414"/>
      <c r="AK25" s="414"/>
      <c r="AL25" s="414"/>
      <c r="AM25" s="414"/>
      <c r="AN25" s="414"/>
      <c r="AO25" s="414"/>
      <c r="AP25" s="414"/>
      <c r="AQ25" s="414"/>
      <c r="AR25" s="414"/>
      <c r="AS25" s="414"/>
      <c r="AT25" s="414"/>
      <c r="AU25" s="414"/>
      <c r="AV25" s="414"/>
      <c r="AW25" s="414"/>
      <c r="AX25" s="414"/>
      <c r="AY25" s="391"/>
      <c r="AZ25" s="391"/>
      <c r="BA25" s="391"/>
      <c r="BB25" s="391"/>
      <c r="BC25" s="391"/>
      <c r="BD25" s="391"/>
      <c r="BE25" s="391"/>
      <c r="BF25" s="391"/>
      <c r="BG25" s="391"/>
      <c r="BH25" s="391"/>
      <c r="BI25" s="391"/>
      <c r="BJ25" s="391"/>
      <c r="BK25" s="391"/>
      <c r="BL25" s="391"/>
      <c r="BM25" s="391"/>
      <c r="BN25" s="391"/>
      <c r="BO25" s="391"/>
      <c r="BP25" s="391"/>
      <c r="BQ25" s="391"/>
      <c r="BR25" s="391"/>
      <c r="BS25" s="391"/>
      <c r="BT25" s="391"/>
      <c r="BU25" s="391"/>
      <c r="BV25" s="391"/>
      <c r="BW25" s="431"/>
      <c r="BZ25" s="452" t="s">
        <v>317</v>
      </c>
      <c r="CC25" s="417">
        <f t="shared" si="44"/>
        <v>5</v>
      </c>
      <c r="CD25" s="417">
        <f t="shared" si="45"/>
        <v>50</v>
      </c>
      <c r="CE25" s="418">
        <f t="shared" si="46"/>
        <v>0</v>
      </c>
      <c r="CF25" s="419"/>
      <c r="CG25" s="418"/>
      <c r="CH25" s="289" t="str">
        <f t="array" ref="CH25">IF(NOT($D$37=17),IFERROR(INDIRECT("'Bloque "&amp;$D$38&amp;" Semana "&amp;"17"&amp;"'"&amp;"!"&amp;"E37"),""),"S17")</f>
        <v/>
      </c>
      <c r="CI25" s="316" t="str">
        <f t="shared" si="21"/>
        <v/>
      </c>
      <c r="CJ25" s="224" t="str">
        <f t="shared" si="22"/>
        <v/>
      </c>
      <c r="CK25" s="85" t="str">
        <f t="shared" si="23"/>
        <v/>
      </c>
      <c r="CL25" s="85" t="str">
        <f t="shared" si="30"/>
        <v/>
      </c>
      <c r="CM25" s="168" t="str">
        <f t="shared" si="24"/>
        <v/>
      </c>
      <c r="CN25" s="327" t="str">
        <f t="shared" si="31"/>
        <v/>
      </c>
      <c r="CO25" s="168" t="str">
        <f t="shared" si="25"/>
        <v/>
      </c>
      <c r="CP25" s="168" t="str">
        <f t="shared" si="26"/>
        <v/>
      </c>
      <c r="CQ25" s="294" t="str">
        <f t="shared" si="27"/>
        <v/>
      </c>
      <c r="CR25" s="328" t="str">
        <f t="shared" si="32"/>
        <v/>
      </c>
      <c r="CS25" s="212"/>
      <c r="CT25" s="319"/>
      <c r="DE25" s="4"/>
      <c r="DJ25" s="453" t="s">
        <v>105</v>
      </c>
      <c r="DK25" s="454" t="str">
        <f t="shared" ref="DK25:EB25" si="56">IFERROR(INDIRECT("'Bloque "&amp;$D$38&amp;" Semana "&amp;MID(DK15,2,2)&amp;"'"&amp;"!"&amp;"CE18"),"")</f>
        <v/>
      </c>
      <c r="DL25" s="454" t="str">
        <f t="shared" si="56"/>
        <v/>
      </c>
      <c r="DM25" s="454" t="str">
        <f t="shared" si="56"/>
        <v/>
      </c>
      <c r="DN25" s="454" t="str">
        <f t="shared" si="56"/>
        <v/>
      </c>
      <c r="DO25" s="454" t="str">
        <f t="shared" si="56"/>
        <v/>
      </c>
      <c r="DP25" s="454" t="str">
        <f t="shared" si="56"/>
        <v/>
      </c>
      <c r="DQ25" s="454" t="str">
        <f t="shared" si="56"/>
        <v/>
      </c>
      <c r="DR25" s="454" t="str">
        <f t="shared" si="56"/>
        <v/>
      </c>
      <c r="DS25" s="454" t="str">
        <f t="shared" si="56"/>
        <v/>
      </c>
      <c r="DT25" s="454" t="str">
        <f t="shared" si="56"/>
        <v/>
      </c>
      <c r="DU25" s="454" t="str">
        <f t="shared" si="56"/>
        <v/>
      </c>
      <c r="DV25" s="454" t="str">
        <f t="shared" si="56"/>
        <v/>
      </c>
      <c r="DW25" s="454" t="str">
        <f t="shared" si="56"/>
        <v/>
      </c>
      <c r="DX25" s="454" t="str">
        <f t="shared" si="56"/>
        <v/>
      </c>
      <c r="DY25" s="454" t="str">
        <f t="shared" si="56"/>
        <v/>
      </c>
      <c r="DZ25" s="454" t="str">
        <f t="shared" si="56"/>
        <v/>
      </c>
      <c r="EA25" s="454" t="str">
        <f t="shared" si="56"/>
        <v/>
      </c>
      <c r="EB25" s="454" t="str">
        <f t="shared" si="56"/>
        <v/>
      </c>
      <c r="ED25" s="120"/>
      <c r="EE25" s="269"/>
      <c r="EF25" s="269"/>
      <c r="EG25" s="269"/>
      <c r="EH25" s="269"/>
      <c r="EI25" s="269"/>
      <c r="EJ25" s="269"/>
      <c r="EK25" s="269"/>
      <c r="EL25" s="269"/>
      <c r="EM25" s="269"/>
      <c r="EN25" s="269"/>
      <c r="EO25" s="269"/>
      <c r="EP25" s="269"/>
      <c r="EQ25" s="269"/>
      <c r="ER25" s="269"/>
      <c r="ES25" s="269"/>
      <c r="ET25" s="269"/>
      <c r="EU25" s="269"/>
      <c r="EV25" s="269"/>
      <c r="EX25" s="208"/>
      <c r="EY25" s="208"/>
      <c r="EZ25" s="208"/>
      <c r="FA25" s="208"/>
      <c r="FB25" s="208"/>
      <c r="FC25" s="208"/>
      <c r="FD25" s="208"/>
      <c r="FE25" s="208"/>
      <c r="FF25" s="208"/>
      <c r="FG25" s="208"/>
      <c r="FH25" s="208"/>
      <c r="FI25" s="208"/>
      <c r="FJ25" s="208"/>
      <c r="FK25" s="208"/>
      <c r="FL25" s="208"/>
      <c r="FM25" s="208"/>
      <c r="FN25" s="208"/>
      <c r="FO25" s="208"/>
      <c r="FP25" s="208"/>
      <c r="FQ25" s="208"/>
      <c r="FR25" s="208"/>
      <c r="FS25" s="208"/>
      <c r="FT25" s="208"/>
      <c r="FU25" s="208"/>
      <c r="FV25" s="208"/>
      <c r="FW25" s="208"/>
      <c r="FX25" s="208"/>
      <c r="FY25" s="208"/>
      <c r="FZ25" s="208"/>
      <c r="GA25" s="208"/>
      <c r="GB25" s="208"/>
      <c r="GC25" s="208"/>
      <c r="GD25" s="208"/>
      <c r="GE25" s="208"/>
      <c r="GF25" s="208"/>
      <c r="GG25" s="208"/>
      <c r="GH25" s="208"/>
    </row>
    <row r="26">
      <c r="B26" s="199"/>
      <c r="D26" s="106"/>
      <c r="E26" s="455" t="s">
        <v>318</v>
      </c>
      <c r="T26" s="34"/>
      <c r="U26" s="208"/>
      <c r="W26" s="201"/>
      <c r="X26" s="456" t="s">
        <v>313</v>
      </c>
      <c r="Y26" s="444">
        <f t="shared" si="53"/>
        <v>7</v>
      </c>
      <c r="Z26" s="398">
        <f t="shared" si="54"/>
        <v>2</v>
      </c>
      <c r="AA26" s="445">
        <f t="shared" si="55"/>
        <v>70</v>
      </c>
      <c r="AB26" s="446"/>
      <c r="AC26" s="212"/>
      <c r="AE26" s="203"/>
      <c r="AF26" s="204"/>
      <c r="AG26" s="457"/>
      <c r="AH26" s="391"/>
      <c r="AI26" s="391"/>
      <c r="AJ26" s="391"/>
      <c r="AK26" s="391"/>
      <c r="AL26" s="391"/>
      <c r="AM26" s="412" t="s">
        <v>319</v>
      </c>
      <c r="BC26" s="391"/>
      <c r="BD26" s="391"/>
      <c r="BE26" s="391"/>
      <c r="BF26" s="458" t="s">
        <v>320</v>
      </c>
      <c r="BU26" s="391"/>
      <c r="BV26" s="391"/>
      <c r="BW26" s="431"/>
      <c r="BX26" s="106"/>
      <c r="BY26" s="106"/>
      <c r="BZ26" s="459" t="s">
        <v>321</v>
      </c>
      <c r="CC26" s="417">
        <f t="shared" si="44"/>
        <v>0</v>
      </c>
      <c r="CD26" s="417">
        <f t="shared" si="45"/>
        <v>0</v>
      </c>
      <c r="CE26" s="418" t="str">
        <f t="shared" si="46"/>
        <v/>
      </c>
      <c r="CF26" s="419"/>
      <c r="CG26" s="418"/>
      <c r="CH26" s="460" t="str">
        <f t="array" ref="CH26">IF(NOT($D$37=18),IFERROR(INDIRECT("'Bloque "&amp;$D$38&amp;" Semana "&amp;"18"&amp;"'"&amp;"!"&amp;"E37"),""),"S18")</f>
        <v/>
      </c>
      <c r="CI26" s="461" t="str">
        <f t="shared" si="21"/>
        <v/>
      </c>
      <c r="CJ26" s="462" t="str">
        <f t="shared" si="22"/>
        <v/>
      </c>
      <c r="CK26" s="463" t="str">
        <f t="shared" si="23"/>
        <v/>
      </c>
      <c r="CL26" s="463" t="str">
        <f t="shared" si="30"/>
        <v/>
      </c>
      <c r="CM26" s="464" t="str">
        <f t="shared" si="24"/>
        <v/>
      </c>
      <c r="CN26" s="465" t="str">
        <f t="shared" si="31"/>
        <v/>
      </c>
      <c r="CO26" s="464" t="str">
        <f t="shared" si="25"/>
        <v/>
      </c>
      <c r="CP26" s="464" t="str">
        <f t="shared" si="26"/>
        <v/>
      </c>
      <c r="CQ26" s="466" t="str">
        <f t="shared" si="27"/>
        <v/>
      </c>
      <c r="CR26" s="467" t="str">
        <f t="shared" si="32"/>
        <v/>
      </c>
      <c r="CS26" s="468"/>
      <c r="CT26" s="469"/>
      <c r="DE26" s="4"/>
      <c r="DJ26" s="144" t="s">
        <v>166</v>
      </c>
      <c r="DK26" s="108"/>
      <c r="DL26" s="108"/>
      <c r="DM26" s="108"/>
      <c r="DN26" s="108"/>
      <c r="DO26" s="108"/>
      <c r="DP26" s="108"/>
      <c r="DQ26" s="108"/>
      <c r="DR26" s="108"/>
      <c r="DS26" s="108"/>
      <c r="DT26" s="108"/>
      <c r="DU26" s="108"/>
      <c r="DV26" s="108"/>
      <c r="DW26" s="108"/>
      <c r="DX26" s="108"/>
      <c r="DY26" s="108"/>
      <c r="DZ26" s="108"/>
      <c r="EA26" s="108"/>
      <c r="EB26" s="108"/>
      <c r="ED26" s="120"/>
      <c r="EE26" s="269"/>
      <c r="EF26" s="269"/>
      <c r="EG26" s="269"/>
      <c r="EH26" s="269"/>
      <c r="EI26" s="269"/>
      <c r="EJ26" s="269"/>
      <c r="EK26" s="269"/>
      <c r="EL26" s="269"/>
      <c r="EM26" s="269"/>
      <c r="EN26" s="269"/>
      <c r="EO26" s="269"/>
      <c r="EP26" s="269"/>
      <c r="EQ26" s="269"/>
      <c r="ER26" s="269"/>
      <c r="ES26" s="269"/>
      <c r="ET26" s="269"/>
      <c r="EU26" s="269"/>
      <c r="EV26" s="269"/>
      <c r="EX26" s="208"/>
      <c r="EY26" s="208"/>
      <c r="EZ26" s="208"/>
      <c r="FA26" s="208"/>
      <c r="FB26" s="208"/>
      <c r="FC26" s="208"/>
      <c r="FD26" s="208"/>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row>
    <row r="27">
      <c r="B27" s="199"/>
      <c r="E27" s="470" t="s">
        <v>265</v>
      </c>
      <c r="F27" s="471" t="s">
        <v>267</v>
      </c>
      <c r="G27" s="37"/>
      <c r="H27" s="37"/>
      <c r="I27" s="37"/>
      <c r="J27" s="471"/>
      <c r="K27" s="471" t="s">
        <v>269</v>
      </c>
      <c r="L27" s="37"/>
      <c r="M27" s="37"/>
      <c r="N27" s="471" t="s">
        <v>271</v>
      </c>
      <c r="O27" s="37"/>
      <c r="P27" s="37"/>
      <c r="Q27" s="37"/>
      <c r="R27" s="471" t="s">
        <v>273</v>
      </c>
      <c r="S27" s="471" t="s">
        <v>275</v>
      </c>
      <c r="T27" s="472" t="s">
        <v>277</v>
      </c>
      <c r="U27" s="208"/>
      <c r="V27" s="106"/>
      <c r="W27" s="201"/>
      <c r="X27" s="473" t="s">
        <v>316</v>
      </c>
      <c r="Y27" s="444">
        <f t="shared" si="53"/>
        <v>4</v>
      </c>
      <c r="Z27" s="398">
        <f t="shared" si="54"/>
        <v>2</v>
      </c>
      <c r="AA27" s="445">
        <f t="shared" si="55"/>
        <v>24</v>
      </c>
      <c r="AB27" s="446"/>
      <c r="AC27" s="212"/>
      <c r="AE27" s="203"/>
      <c r="AF27" s="204"/>
      <c r="AG27" s="474"/>
      <c r="AH27" s="391"/>
      <c r="AI27" s="391"/>
      <c r="AJ27" s="391"/>
      <c r="AK27" s="391"/>
      <c r="AL27" s="391"/>
      <c r="AM27" s="475"/>
      <c r="BC27" s="391"/>
      <c r="BD27" s="391"/>
      <c r="BE27" s="391"/>
      <c r="BF27" s="476"/>
      <c r="BU27" s="391"/>
      <c r="BV27" s="391"/>
      <c r="BW27" s="431"/>
      <c r="BZ27" s="477" t="s">
        <v>312</v>
      </c>
      <c r="CC27" s="417">
        <f t="shared" si="44"/>
        <v>0</v>
      </c>
      <c r="CD27" s="417">
        <f t="shared" si="45"/>
        <v>0</v>
      </c>
      <c r="CE27" s="418" t="str">
        <f t="shared" si="46"/>
        <v/>
      </c>
      <c r="CF27" s="419"/>
      <c r="CG27" s="418"/>
      <c r="CH27" s="83" t="s">
        <v>251</v>
      </c>
      <c r="CI27" s="290" t="s">
        <v>322</v>
      </c>
      <c r="CJ27" s="290" t="s">
        <v>323</v>
      </c>
      <c r="CK27" s="478"/>
      <c r="CL27" s="479"/>
      <c r="CM27" s="479"/>
      <c r="CN27" s="479"/>
      <c r="CO27" s="479"/>
      <c r="CP27" s="479"/>
      <c r="CT27" s="330"/>
      <c r="DE27" s="4"/>
      <c r="DJ27" s="83"/>
      <c r="DK27" s="227" t="str">
        <f t="array" ref="DK27">IF(NOT($D$37=1),IFERROR(INDIRECT("'Bloque "&amp;$D$38&amp;" Semana "&amp;"1"&amp;"'"&amp;"!"&amp;"E37"),""),"S1")</f>
        <v/>
      </c>
      <c r="DL27" s="227" t="str">
        <f t="array" ref="DL27">IF(NOT($D$37=2),IFERROR(INDIRECT("'Bloque "&amp;$D$38&amp;" Semana "&amp;"2"&amp;"'"&amp;"!"&amp;"E37"),""),"S2")</f>
        <v/>
      </c>
      <c r="DM27" s="227" t="str">
        <f t="array" ref="DM27">IF(NOT($D$37=3),IFERROR(INDIRECT("'Bloque "&amp;$D$38&amp;" Semana "&amp;"3"&amp;"'"&amp;"!"&amp;"E37"),""),"S3")</f>
        <v>S3</v>
      </c>
      <c r="DN27" s="227" t="str">
        <f t="array" ref="DN27">IF(NOT($D$37=4),IFERROR(INDIRECT("'Bloque "&amp;$D$38&amp;" Semana "&amp;"4"&amp;"'"&amp;"!"&amp;"E37"),""),"S4")</f>
        <v/>
      </c>
      <c r="DO27" s="227" t="str">
        <f t="array" ref="DO27">IF(NOT($D$37=5),IFERROR(INDIRECT("'Bloque "&amp;$D$38&amp;" Semana "&amp;"5"&amp;"'"&amp;"!"&amp;"E37"),""),"S5")</f>
        <v/>
      </c>
      <c r="DP27" s="227" t="str">
        <f t="array" ref="DP27">IF(NOT($D$37=6),IFERROR(INDIRECT("'Bloque "&amp;$D$38&amp;" Semana "&amp;"6"&amp;"'"&amp;"!"&amp;"E37"),""),"S6")</f>
        <v/>
      </c>
      <c r="DQ27" s="227" t="str">
        <f t="array" ref="DQ27">IF(NOT($D$37=7),IFERROR(INDIRECT("'Bloque "&amp;$D$38&amp;" Semana "&amp;"7"&amp;"'"&amp;"!"&amp;"E37"),""),"S7")</f>
        <v/>
      </c>
      <c r="DR27" s="227" t="str">
        <f t="array" ref="DR27">IF(NOT($D$37=8),IFERROR(INDIRECT("'Bloque "&amp;$D$38&amp;" Semana "&amp;"8"&amp;"'"&amp;"!"&amp;"E37"),""),"S8")</f>
        <v/>
      </c>
      <c r="DS27" s="227" t="str">
        <f t="array" ref="DS27">IF(NOT($D$37=9),IFERROR(INDIRECT("'Bloque "&amp;$D$38&amp;" Semana "&amp;"9"&amp;"'"&amp;"!"&amp;"E37"),""),"S9")</f>
        <v/>
      </c>
      <c r="DT27" s="227" t="str">
        <f t="array" ref="DT27">IF(NOT($D$37=10),IFERROR(INDIRECT("'Bloque "&amp;$D$38&amp;" Semana "&amp;"10"&amp;"'"&amp;"!"&amp;"E37"),""),"S10")</f>
        <v/>
      </c>
      <c r="DU27" s="227" t="str">
        <f t="array" ref="DU27">IF(NOT($D$37=11),IFERROR(INDIRECT("'Bloque "&amp;$D$38&amp;" Semana "&amp;"11"&amp;"'"&amp;"!"&amp;"E37"),""),"S11")</f>
        <v/>
      </c>
      <c r="DV27" s="227" t="str">
        <f t="array" ref="DV27">IF(NOT($D$37=12),IFERROR(INDIRECT("'Bloque "&amp;$D$38&amp;" Semana "&amp;"12"&amp;"'"&amp;"!"&amp;"E37"),""),"S12")</f>
        <v/>
      </c>
      <c r="DW27" s="227" t="str">
        <f t="array" ref="DW27">IF(NOT($D$37=13),IFERROR(INDIRECT("'Bloque "&amp;$D$38&amp;" Semana "&amp;"13"&amp;"'"&amp;"!"&amp;"E37"),""),"S13")</f>
        <v/>
      </c>
      <c r="DX27" s="227" t="str">
        <f t="array" ref="DX27">IF(NOT($D$37=14),IFERROR(INDIRECT("'Bloque "&amp;$D$38&amp;" Semana "&amp;"14"&amp;"'"&amp;"!"&amp;"E37"),""),"S14")</f>
        <v/>
      </c>
      <c r="DY27" s="227" t="str">
        <f t="array" ref="DY27">IF(NOT($D$37=15),IFERROR(INDIRECT("'Bloque "&amp;$D$38&amp;" Semana "&amp;"15"&amp;"'"&amp;"!"&amp;"E37"),""),"S15")</f>
        <v/>
      </c>
      <c r="DZ27" s="227" t="str">
        <f t="array" ref="DZ27">IF(NOT($D$37=16),IFERROR(INDIRECT("'Bloque "&amp;$D$38&amp;" Semana "&amp;"16"&amp;"'"&amp;"!"&amp;"E37"),""),"S16")</f>
        <v/>
      </c>
      <c r="EA27" s="227" t="str">
        <f t="array" ref="EA27">IF(NOT($D$37=17),IFERROR(INDIRECT("'Bloque "&amp;$D$38&amp;" Semana "&amp;"17"&amp;"'"&amp;"!"&amp;"E37"),""),"S17")</f>
        <v/>
      </c>
      <c r="EB27" s="227" t="str">
        <f t="array" ref="EB27">IF(NOT($D$37=18),IFERROR(INDIRECT("'Bloque "&amp;$D$38&amp;" Semana "&amp;"18"&amp;"'"&amp;"!"&amp;"E37"),""),"S18")</f>
        <v/>
      </c>
      <c r="ED27" s="120"/>
      <c r="EE27" s="269"/>
      <c r="EF27" s="269"/>
      <c r="EG27" s="269"/>
      <c r="EH27" s="269"/>
      <c r="EI27" s="269"/>
      <c r="EJ27" s="269"/>
      <c r="EK27" s="269"/>
      <c r="EL27" s="269"/>
      <c r="EM27" s="269"/>
      <c r="EN27" s="269"/>
      <c r="EO27" s="269"/>
      <c r="EP27" s="269"/>
      <c r="EQ27" s="269"/>
      <c r="ER27" s="269"/>
      <c r="ES27" s="269"/>
      <c r="ET27" s="269"/>
      <c r="EU27" s="269"/>
      <c r="EV27" s="269"/>
      <c r="EX27" s="208"/>
      <c r="EY27" s="208"/>
      <c r="EZ27" s="208"/>
      <c r="FA27" s="208"/>
      <c r="FB27" s="208"/>
      <c r="FC27" s="208"/>
      <c r="FD27" s="208"/>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row>
    <row r="28">
      <c r="B28" s="199"/>
      <c r="D28" s="106"/>
      <c r="E28" s="480" t="str">
        <f t="array" ref="E28">SUBSTITUTE(TEXTJOIN(CHAR(10),TRUE,IFERROR(INDIRECT("AF"&amp;MATCH("Día 1",B:B,0)+1&amp;":AF"&amp;MATCH("Día 2",B:B,0)-1),"")),".",";") </f>
        <v>SQ pausa ct3: 4 x 4 x 135 kg 
DL deficit 4cm: 4 x 4 x 155 kg 
KTB swing: 4 x 12 x  kg RIR 2 
Extension cuadriceps : 3 x 12 x  kg RIR 2 
Plate crunch: 3 x 15 x  kg RIR 2 </v>
      </c>
      <c r="F28" s="481" t="str">
        <f t="array" ref="F28">SUBSTITUTE(TEXTJOIN(CHAR(10),TRUE,IFERROR(INDIRECT("AF"&amp;MATCH("Día 2",B:B,0)+1&amp;":AF"&amp;MATCH("Día 3",B:B,0)-1),"")),".",";") </f>
        <v>BP Kodama: 4 x 3 x 90 kg 
Fondos : 3 x 10 x  kg RIR 2-3 
Dominadas: 3 x 8 x  kg RIR 2 
Remo con barra: 3 x 10 x  kg RIR 2 
Arnold press: 3 x 15 x  kg RIR 2 
Press frances mancuerna: 3 x 15 x  kg RIR 2 </v>
      </c>
      <c r="I28" s="482"/>
      <c r="J28" s="481" t="str">
        <f t="array" ref="J28">SUBSTITUTE(TEXTJOIN(CHAR(10),TRUE,IFERROR(INDIRECT("AF"&amp;MATCH("Día 3",B:B,0)+1&amp;":AF"&amp;MATCH("Día 4",B:B,0)-1),"")),".",";") </f>
        <v/>
      </c>
      <c r="M28" s="482"/>
      <c r="N28" s="481" t="str">
        <f t="array" ref="N28">SUBSTITUTE(TEXTJOIN(CHAR(10),TRUE,IFERROR(INDIRECT("AF"&amp;MATCH("Día 4",B:B,0)+1&amp;":AF"&amp;MATCH("Día 5",B:B,0)-1),"")),".",";") </f>
        <v>BP : 1 x 4 x 100 kg 
BP : 3 x 4 x 85 kg 
Floor press cg: 4 x 10 x  kg RIR 2-3 
Press militar sentado : 4 x 6 x  kg RIR 2-3 
Bench pisol sq : 3 x 15 x  kg RIR 2-3 
Pajaro polea baja : 3 x 12 x  kg RIR 1-2 </v>
      </c>
      <c r="Q28" s="482"/>
      <c r="R28" s="483" t="str">
        <f t="array" ref="R28">SUBSTITUTE(TEXTJOIN(CHAR(10),TRUE,IFERROR(INDIRECT("AF"&amp;MATCH("Día 5",B:B,0)+1&amp;":AF"&amp;MATCH("Día 6",B:B,0)-1),"")),".",";") </f>
        <v>SQ : 3 x 4 x 150 kg 
BP larsen: 4 x 2 x 87,5 kg 
DL : 3 x 4 x 180 kg 
aductor en paquina : 4 x 12 x  kg RIR 1-2 
Plancha de gluteo : 3 x 20s x  kg RIR 1-2 </v>
      </c>
      <c r="S28" s="484" t="str">
        <f t="array" ref="S28">SUBSTITUTE(TEXTJOIN(CHAR(10),TRUE,IFERROR(INDIRECT("AF"&amp;MATCH("Día 6",B:B,0)+1&amp;":AF"&amp;MATCH("Día 7",B:B,0)-1),"")),".",";") </f>
        <v/>
      </c>
      <c r="T28" s="485" t="str">
        <f t="array" ref="T28">SUBSTITUTE(TEXTJOIN(CHAR(10),TRUE,IFERROR(INDIRECT("AF"&amp;MATCH("Día 7",B:B,0)+1&amp;":AF"&amp;MATCH("Día 8",B:B,0)-1),"")),".",";") </f>
        <v/>
      </c>
      <c r="V28" s="106"/>
      <c r="W28" s="338"/>
      <c r="X28" s="486" t="s">
        <v>317</v>
      </c>
      <c r="Y28" s="444">
        <f t="shared" si="53"/>
        <v>9</v>
      </c>
      <c r="Z28" s="398">
        <f t="shared" si="54"/>
        <v>2</v>
      </c>
      <c r="AA28" s="445">
        <f t="shared" si="55"/>
        <v>99</v>
      </c>
      <c r="AB28" s="446"/>
      <c r="AC28" s="224"/>
      <c r="AE28" s="487"/>
      <c r="AF28" s="291"/>
      <c r="AG28" s="474"/>
      <c r="AH28" s="391"/>
      <c r="AI28" s="391"/>
      <c r="AJ28" s="391"/>
      <c r="AK28" s="391"/>
      <c r="AL28" s="391"/>
      <c r="AM28" s="412" t="s">
        <v>324</v>
      </c>
      <c r="BC28" s="391"/>
      <c r="BD28" s="391"/>
      <c r="BE28" s="391"/>
      <c r="BF28" s="412" t="s">
        <v>325</v>
      </c>
      <c r="BU28" s="391"/>
      <c r="BV28" s="391"/>
      <c r="BW28" s="431"/>
      <c r="BZ28" s="477" t="s">
        <v>301</v>
      </c>
      <c r="CC28" s="417">
        <f t="shared" si="44"/>
        <v>0</v>
      </c>
      <c r="CD28" s="417">
        <f t="shared" si="45"/>
        <v>0</v>
      </c>
      <c r="CE28" s="418" t="str">
        <f t="shared" si="46"/>
        <v/>
      </c>
      <c r="CF28" s="419"/>
      <c r="CG28" s="418"/>
      <c r="CH28" s="488" t="str">
        <f>IFERROR( AVERAGE(CM9:CM26),"")</f>
        <v/>
      </c>
      <c r="CI28" s="489">
        <f>SUM(CL9:CL26)</f>
        <v>0</v>
      </c>
      <c r="CJ28" s="490">
        <f>SUM(CN9:CN26)</f>
        <v>0</v>
      </c>
      <c r="CK28" s="120"/>
      <c r="CT28" s="330"/>
      <c r="DE28" s="4"/>
      <c r="DJ28" s="120" t="s">
        <v>194</v>
      </c>
      <c r="DK28" s="231" t="str">
        <f t="shared" ref="DK28:EB28" si="57">IFERROR(INDIRECT("'Bloque "&amp;$D$38&amp;" Semana "&amp;MID(DK15,2,2)&amp;"'"&amp;"!"&amp;"AK17"),"")</f>
        <v/>
      </c>
      <c r="DL28" s="231" t="str">
        <f t="shared" si="57"/>
        <v/>
      </c>
      <c r="DM28" s="231" t="str">
        <f t="shared" si="57"/>
        <v/>
      </c>
      <c r="DN28" s="231" t="str">
        <f t="shared" si="57"/>
        <v/>
      </c>
      <c r="DO28" s="231" t="str">
        <f t="shared" si="57"/>
        <v/>
      </c>
      <c r="DP28" s="231" t="str">
        <f t="shared" si="57"/>
        <v/>
      </c>
      <c r="DQ28" s="231" t="str">
        <f t="shared" si="57"/>
        <v/>
      </c>
      <c r="DR28" s="231" t="str">
        <f t="shared" si="57"/>
        <v/>
      </c>
      <c r="DS28" s="231" t="str">
        <f t="shared" si="57"/>
        <v/>
      </c>
      <c r="DT28" s="231" t="str">
        <f t="shared" si="57"/>
        <v/>
      </c>
      <c r="DU28" s="231" t="str">
        <f t="shared" si="57"/>
        <v/>
      </c>
      <c r="DV28" s="231" t="str">
        <f t="shared" si="57"/>
        <v/>
      </c>
      <c r="DW28" s="231" t="str">
        <f t="shared" si="57"/>
        <v/>
      </c>
      <c r="DX28" s="231" t="str">
        <f t="shared" si="57"/>
        <v/>
      </c>
      <c r="DY28" s="231" t="str">
        <f t="shared" si="57"/>
        <v/>
      </c>
      <c r="DZ28" s="231" t="str">
        <f t="shared" si="57"/>
        <v/>
      </c>
      <c r="EA28" s="231" t="str">
        <f t="shared" si="57"/>
        <v/>
      </c>
      <c r="EB28" s="231" t="str">
        <f t="shared" si="57"/>
        <v/>
      </c>
      <c r="ED28" s="120"/>
      <c r="EE28" s="269"/>
      <c r="EF28" s="269"/>
      <c r="EG28" s="269"/>
      <c r="EH28" s="269"/>
      <c r="EI28" s="269"/>
      <c r="EJ28" s="269"/>
      <c r="EK28" s="269"/>
      <c r="EL28" s="269"/>
      <c r="EM28" s="269"/>
      <c r="EN28" s="269"/>
      <c r="EO28" s="269"/>
      <c r="EP28" s="269"/>
      <c r="EQ28" s="269"/>
      <c r="ER28" s="269"/>
      <c r="ES28" s="269"/>
      <c r="ET28" s="269"/>
      <c r="EU28" s="269"/>
      <c r="EV28" s="269"/>
      <c r="EX28" s="208"/>
      <c r="EY28" s="208"/>
      <c r="EZ28" s="208"/>
      <c r="FA28" s="208"/>
      <c r="FB28" s="208"/>
      <c r="FC28" s="208"/>
      <c r="FD28" s="208"/>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row>
    <row r="29">
      <c r="B29" s="199"/>
      <c r="D29" s="106"/>
      <c r="E29" s="491"/>
      <c r="I29" s="482"/>
      <c r="M29" s="482"/>
      <c r="Q29" s="482"/>
      <c r="R29" s="482"/>
      <c r="S29" s="482"/>
      <c r="T29" s="492"/>
      <c r="U29" s="106"/>
      <c r="V29" s="106"/>
      <c r="W29" s="338"/>
      <c r="X29" s="493" t="s">
        <v>321</v>
      </c>
      <c r="Y29" s="444">
        <f t="shared" si="53"/>
        <v>0</v>
      </c>
      <c r="Z29" s="398" t="str">
        <f t="shared" si="54"/>
        <v/>
      </c>
      <c r="AA29" s="445">
        <f t="shared" si="55"/>
        <v>0</v>
      </c>
      <c r="AB29" s="446"/>
      <c r="AC29" s="224"/>
      <c r="AE29" s="487"/>
      <c r="AF29" s="291"/>
      <c r="AG29" s="474"/>
      <c r="AH29" s="391"/>
      <c r="AI29" s="391"/>
      <c r="AJ29" s="391"/>
      <c r="AK29" s="391"/>
      <c r="AL29" s="391"/>
      <c r="AM29" s="475"/>
      <c r="BC29" s="391"/>
      <c r="BD29" s="391"/>
      <c r="BE29" s="391"/>
      <c r="BF29" s="475"/>
      <c r="BU29" s="391"/>
      <c r="BV29" s="391"/>
      <c r="BW29" s="431"/>
      <c r="BZ29" s="477" t="s">
        <v>326</v>
      </c>
      <c r="CC29" s="417">
        <f t="shared" si="44"/>
        <v>1</v>
      </c>
      <c r="CD29" s="417">
        <f t="shared" si="45"/>
        <v>10</v>
      </c>
      <c r="CE29" s="418">
        <f t="shared" si="46"/>
        <v>0</v>
      </c>
      <c r="CF29" s="419"/>
      <c r="CG29" s="418"/>
      <c r="CK29" s="120"/>
      <c r="CT29" s="330"/>
      <c r="DE29" s="4"/>
      <c r="DJ29" s="120" t="s">
        <v>195</v>
      </c>
      <c r="DK29" s="494" t="str">
        <f t="shared" ref="DK29:EB29" si="58">IFERROR(INDIRECT("'Bloque "&amp;$D$38&amp;" Semana "&amp;MID(DK15,2,2)&amp;"'"&amp;"!"&amp;"BI16"),"")</f>
        <v/>
      </c>
      <c r="DL29" s="494" t="str">
        <f t="shared" si="58"/>
        <v/>
      </c>
      <c r="DM29" s="494" t="str">
        <f t="shared" si="58"/>
        <v/>
      </c>
      <c r="DN29" s="494" t="str">
        <f t="shared" si="58"/>
        <v/>
      </c>
      <c r="DO29" s="494" t="str">
        <f t="shared" si="58"/>
        <v/>
      </c>
      <c r="DP29" s="494" t="str">
        <f t="shared" si="58"/>
        <v/>
      </c>
      <c r="DQ29" s="494" t="str">
        <f t="shared" si="58"/>
        <v/>
      </c>
      <c r="DR29" s="494" t="str">
        <f t="shared" si="58"/>
        <v/>
      </c>
      <c r="DS29" s="494" t="str">
        <f t="shared" si="58"/>
        <v/>
      </c>
      <c r="DT29" s="494" t="str">
        <f t="shared" si="58"/>
        <v/>
      </c>
      <c r="DU29" s="494" t="str">
        <f t="shared" si="58"/>
        <v/>
      </c>
      <c r="DV29" s="494" t="str">
        <f t="shared" si="58"/>
        <v/>
      </c>
      <c r="DW29" s="494" t="str">
        <f t="shared" si="58"/>
        <v/>
      </c>
      <c r="DX29" s="494" t="str">
        <f t="shared" si="58"/>
        <v/>
      </c>
      <c r="DY29" s="494" t="str">
        <f t="shared" si="58"/>
        <v/>
      </c>
      <c r="DZ29" s="494" t="str">
        <f t="shared" si="58"/>
        <v/>
      </c>
      <c r="EA29" s="494" t="str">
        <f t="shared" si="58"/>
        <v/>
      </c>
      <c r="EB29" s="494" t="str">
        <f t="shared" si="58"/>
        <v/>
      </c>
      <c r="ED29" s="120"/>
      <c r="EE29" s="269"/>
      <c r="EF29" s="269"/>
      <c r="EG29" s="269"/>
      <c r="EH29" s="269"/>
      <c r="EI29" s="269"/>
      <c r="EJ29" s="269"/>
      <c r="EK29" s="269"/>
      <c r="EL29" s="269"/>
      <c r="EM29" s="269"/>
      <c r="EN29" s="269"/>
      <c r="EO29" s="269"/>
      <c r="EP29" s="269"/>
      <c r="EQ29" s="269"/>
      <c r="ER29" s="269"/>
      <c r="ES29" s="269"/>
      <c r="ET29" s="269"/>
      <c r="EU29" s="269"/>
      <c r="EV29" s="269"/>
      <c r="EX29" s="208"/>
      <c r="EY29" s="208"/>
      <c r="EZ29" s="208"/>
      <c r="FA29" s="208"/>
      <c r="FB29" s="208"/>
      <c r="FC29" s="208"/>
      <c r="FD29" s="208"/>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row>
    <row r="30">
      <c r="B30" s="199"/>
      <c r="D30" s="106"/>
      <c r="E30" s="491"/>
      <c r="I30" s="482"/>
      <c r="M30" s="482"/>
      <c r="Q30" s="482"/>
      <c r="R30" s="482"/>
      <c r="S30" s="482"/>
      <c r="T30" s="492"/>
      <c r="U30" s="106"/>
      <c r="V30" s="106"/>
      <c r="W30" s="338"/>
      <c r="X30" s="156" t="s">
        <v>312</v>
      </c>
      <c r="Y30" s="444">
        <f t="shared" si="53"/>
        <v>0</v>
      </c>
      <c r="Z30" s="398" t="str">
        <f t="shared" si="54"/>
        <v/>
      </c>
      <c r="AA30" s="445">
        <f t="shared" si="55"/>
        <v>0</v>
      </c>
      <c r="AB30" s="446"/>
      <c r="AC30" s="224"/>
      <c r="AE30" s="487"/>
      <c r="AF30" s="291"/>
      <c r="AG30" s="474"/>
      <c r="AH30" s="391"/>
      <c r="AI30" s="391"/>
      <c r="AJ30" s="391"/>
      <c r="AK30" s="391"/>
      <c r="AL30" s="391"/>
      <c r="AM30" s="412" t="s">
        <v>327</v>
      </c>
      <c r="BC30" s="391"/>
      <c r="BD30" s="391"/>
      <c r="BE30" s="391"/>
      <c r="BF30" s="412" t="s">
        <v>328</v>
      </c>
      <c r="BU30" s="391"/>
      <c r="BV30" s="391"/>
      <c r="BW30" s="431"/>
      <c r="BZ30" s="477" t="s">
        <v>329</v>
      </c>
      <c r="CC30" s="417">
        <f t="shared" si="44"/>
        <v>0</v>
      </c>
      <c r="CD30" s="417">
        <f t="shared" si="45"/>
        <v>0</v>
      </c>
      <c r="CE30" s="418" t="str">
        <f t="shared" si="46"/>
        <v/>
      </c>
      <c r="CF30" s="419"/>
      <c r="CG30" s="418"/>
      <c r="CH30" s="418"/>
      <c r="CK30" s="495"/>
      <c r="CT30" s="330"/>
      <c r="DJ30" s="83" t="s">
        <v>196</v>
      </c>
      <c r="DK30" s="496" t="str">
        <f t="shared" ref="DK30:EB30" si="59">IFERROR(INDIRECT("'Bloque "&amp;$D$38&amp;" Semana "&amp;MID(DK15,2,2)&amp;"'"&amp;"!"&amp;"BM16"),"")</f>
        <v/>
      </c>
      <c r="DL30" s="496" t="str">
        <f t="shared" si="59"/>
        <v/>
      </c>
      <c r="DM30" s="496" t="str">
        <f t="shared" si="59"/>
        <v/>
      </c>
      <c r="DN30" s="496" t="str">
        <f t="shared" si="59"/>
        <v/>
      </c>
      <c r="DO30" s="496" t="str">
        <f t="shared" si="59"/>
        <v/>
      </c>
      <c r="DP30" s="496" t="str">
        <f t="shared" si="59"/>
        <v/>
      </c>
      <c r="DQ30" s="496" t="str">
        <f t="shared" si="59"/>
        <v/>
      </c>
      <c r="DR30" s="496" t="str">
        <f t="shared" si="59"/>
        <v/>
      </c>
      <c r="DS30" s="496" t="str">
        <f t="shared" si="59"/>
        <v/>
      </c>
      <c r="DT30" s="496" t="str">
        <f t="shared" si="59"/>
        <v/>
      </c>
      <c r="DU30" s="496" t="str">
        <f t="shared" si="59"/>
        <v/>
      </c>
      <c r="DV30" s="496" t="str">
        <f t="shared" si="59"/>
        <v/>
      </c>
      <c r="DW30" s="496" t="str">
        <f t="shared" si="59"/>
        <v/>
      </c>
      <c r="DX30" s="496" t="str">
        <f t="shared" si="59"/>
        <v/>
      </c>
      <c r="DY30" s="496" t="str">
        <f t="shared" si="59"/>
        <v/>
      </c>
      <c r="DZ30" s="496" t="str">
        <f t="shared" si="59"/>
        <v/>
      </c>
      <c r="EA30" s="496" t="str">
        <f t="shared" si="59"/>
        <v/>
      </c>
      <c r="EB30" s="496" t="str">
        <f t="shared" si="59"/>
        <v/>
      </c>
      <c r="ED30" s="120"/>
      <c r="EE30" s="269"/>
      <c r="EF30" s="269"/>
      <c r="EG30" s="269"/>
      <c r="EH30" s="269"/>
      <c r="EI30" s="269"/>
      <c r="EJ30" s="269"/>
      <c r="EK30" s="269"/>
      <c r="EL30" s="269"/>
      <c r="EM30" s="269"/>
      <c r="EN30" s="269"/>
      <c r="EO30" s="269"/>
      <c r="EP30" s="269"/>
      <c r="EQ30" s="269"/>
      <c r="ER30" s="269"/>
      <c r="ES30" s="269"/>
      <c r="ET30" s="269"/>
      <c r="EU30" s="269"/>
      <c r="EV30" s="269"/>
      <c r="EX30" s="208"/>
      <c r="EY30" s="208"/>
      <c r="EZ30" s="208"/>
      <c r="FA30" s="208"/>
      <c r="FB30" s="208"/>
      <c r="FC30" s="208"/>
      <c r="FD30" s="208"/>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row>
    <row r="31">
      <c r="B31" s="199"/>
      <c r="E31" s="491"/>
      <c r="I31" s="482"/>
      <c r="M31" s="482"/>
      <c r="Q31" s="482"/>
      <c r="R31" s="482"/>
      <c r="S31" s="482"/>
      <c r="T31" s="492"/>
      <c r="U31" s="106"/>
      <c r="V31" s="106"/>
      <c r="W31" s="338"/>
      <c r="X31" s="156" t="s">
        <v>301</v>
      </c>
      <c r="Y31" s="444">
        <f t="shared" si="53"/>
        <v>3</v>
      </c>
      <c r="Z31" s="398">
        <f t="shared" si="54"/>
        <v>1</v>
      </c>
      <c r="AA31" s="445">
        <f t="shared" si="55"/>
        <v>36</v>
      </c>
      <c r="AB31" s="446"/>
      <c r="AC31" s="224"/>
      <c r="AE31" s="487"/>
      <c r="AF31" s="291"/>
      <c r="AG31" s="474"/>
      <c r="AH31" s="391"/>
      <c r="AI31" s="391"/>
      <c r="AJ31" s="391"/>
      <c r="AK31" s="391"/>
      <c r="AL31" s="391"/>
      <c r="AM31" s="475"/>
      <c r="BC31" s="391"/>
      <c r="BD31" s="391"/>
      <c r="BE31" s="391"/>
      <c r="BF31" s="475"/>
      <c r="BU31" s="391"/>
      <c r="BV31" s="391"/>
      <c r="BW31" s="431"/>
      <c r="BZ31" s="477" t="s">
        <v>330</v>
      </c>
      <c r="CC31" s="417">
        <f t="shared" si="44"/>
        <v>0</v>
      </c>
      <c r="CD31" s="417">
        <f t="shared" si="45"/>
        <v>0</v>
      </c>
      <c r="CE31" s="418" t="str">
        <f t="shared" si="46"/>
        <v/>
      </c>
      <c r="CF31" s="419"/>
      <c r="CG31" s="418"/>
      <c r="CH31" s="418"/>
      <c r="CK31" s="83"/>
      <c r="CT31" s="330"/>
      <c r="EX31" s="208"/>
      <c r="EY31" s="208"/>
      <c r="EZ31" s="208"/>
      <c r="FA31" s="208"/>
      <c r="FB31" s="208"/>
      <c r="FC31" s="208"/>
      <c r="FD31" s="208"/>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row>
    <row r="32">
      <c r="B32" s="199"/>
      <c r="E32" s="491"/>
      <c r="I32" s="482"/>
      <c r="M32" s="482"/>
      <c r="Q32" s="482"/>
      <c r="R32" s="482"/>
      <c r="S32" s="482"/>
      <c r="T32" s="492"/>
      <c r="V32" s="106"/>
      <c r="W32" s="338"/>
      <c r="X32" s="156" t="s">
        <v>326</v>
      </c>
      <c r="Y32" s="444">
        <f t="shared" si="53"/>
        <v>3</v>
      </c>
      <c r="Z32" s="398">
        <f t="shared" si="54"/>
        <v>2</v>
      </c>
      <c r="AA32" s="445">
        <f t="shared" si="55"/>
        <v>45</v>
      </c>
      <c r="AB32" s="446"/>
      <c r="AC32" s="224"/>
      <c r="AE32" s="487"/>
      <c r="AF32" s="291"/>
      <c r="AG32" s="497"/>
      <c r="AH32" s="391"/>
      <c r="AI32" s="391"/>
      <c r="AJ32" s="391"/>
      <c r="AK32" s="391"/>
      <c r="AL32" s="391"/>
      <c r="AM32" s="498" t="s">
        <v>331</v>
      </c>
      <c r="BU32" s="391"/>
      <c r="BV32" s="391"/>
      <c r="BW32" s="431"/>
      <c r="BZ32" s="477" t="s">
        <v>332</v>
      </c>
      <c r="CC32" s="417">
        <f t="shared" si="44"/>
        <v>0</v>
      </c>
      <c r="CD32" s="417">
        <f t="shared" si="45"/>
        <v>0</v>
      </c>
      <c r="CE32" s="418" t="str">
        <f t="shared" si="46"/>
        <v/>
      </c>
      <c r="CF32" s="419"/>
      <c r="CG32" s="418"/>
      <c r="CH32" s="418"/>
      <c r="CK32" s="120"/>
      <c r="CT32" s="330"/>
      <c r="EX32" s="208"/>
      <c r="EY32" s="208"/>
      <c r="EZ32" s="208"/>
      <c r="FA32" s="208"/>
      <c r="FB32" s="208"/>
      <c r="FC32" s="208"/>
      <c r="FD32" s="208"/>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row>
    <row r="33">
      <c r="B33" s="199"/>
      <c r="E33" s="491"/>
      <c r="I33" s="482"/>
      <c r="M33" s="482"/>
      <c r="Q33" s="482"/>
      <c r="R33" s="482"/>
      <c r="S33" s="482"/>
      <c r="T33" s="492"/>
      <c r="U33" s="106"/>
      <c r="V33" s="106"/>
      <c r="W33" s="338"/>
      <c r="X33" s="156" t="s">
        <v>333</v>
      </c>
      <c r="Y33" s="444">
        <f t="shared" si="53"/>
        <v>0</v>
      </c>
      <c r="Z33" s="398" t="str">
        <f t="shared" si="54"/>
        <v/>
      </c>
      <c r="AA33" s="445">
        <f t="shared" si="55"/>
        <v>0</v>
      </c>
      <c r="AB33" s="446"/>
      <c r="AC33" s="224"/>
      <c r="AE33" s="487"/>
      <c r="AF33" s="291"/>
      <c r="AG33" s="428"/>
      <c r="AH33" s="499"/>
      <c r="AI33" s="499"/>
      <c r="AJ33" s="499"/>
      <c r="AK33" s="499"/>
      <c r="AL33" s="499"/>
      <c r="AM33" s="500"/>
      <c r="BU33" s="499"/>
      <c r="BV33" s="499"/>
      <c r="BW33" s="501"/>
      <c r="BZ33" s="502" t="s">
        <v>334</v>
      </c>
      <c r="CC33" s="417">
        <f t="shared" si="44"/>
        <v>0</v>
      </c>
      <c r="CD33" s="417">
        <f t="shared" si="45"/>
        <v>0</v>
      </c>
      <c r="CE33" s="418" t="str">
        <f t="shared" si="46"/>
        <v/>
      </c>
      <c r="CF33" s="330"/>
      <c r="CK33" s="120"/>
      <c r="CT33" s="330"/>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row>
    <row r="34">
      <c r="B34" s="199"/>
      <c r="E34" s="491"/>
      <c r="I34" s="482"/>
      <c r="M34" s="482"/>
      <c r="Q34" s="482"/>
      <c r="R34" s="482"/>
      <c r="S34" s="482"/>
      <c r="T34" s="492"/>
      <c r="U34" s="106"/>
      <c r="V34" s="106"/>
      <c r="W34" s="338"/>
      <c r="X34" s="156" t="s">
        <v>330</v>
      </c>
      <c r="Y34" s="444">
        <f t="shared" si="53"/>
        <v>0</v>
      </c>
      <c r="Z34" s="398" t="str">
        <f t="shared" si="54"/>
        <v/>
      </c>
      <c r="AA34" s="445">
        <f t="shared" si="55"/>
        <v>0</v>
      </c>
      <c r="AB34" s="446"/>
      <c r="AC34" s="224"/>
      <c r="AE34" s="487"/>
      <c r="AF34" s="291"/>
      <c r="AG34" s="497"/>
      <c r="AH34" s="503"/>
      <c r="AI34" s="503"/>
      <c r="AJ34" s="503"/>
      <c r="AK34" s="503"/>
      <c r="AL34" s="503"/>
      <c r="BU34" s="391"/>
      <c r="BV34" s="391"/>
      <c r="BW34" s="431"/>
      <c r="BZ34" s="504"/>
      <c r="CA34" s="505"/>
      <c r="CB34" s="505"/>
      <c r="CC34" s="505"/>
      <c r="CD34" s="505"/>
      <c r="CE34" s="505"/>
      <c r="CF34" s="506"/>
      <c r="CG34" s="505"/>
      <c r="CH34" s="505"/>
      <c r="CI34" s="505"/>
      <c r="CJ34" s="505"/>
      <c r="CK34" s="507"/>
      <c r="CL34" s="505"/>
      <c r="CM34" s="505"/>
      <c r="CN34" s="505"/>
      <c r="CO34" s="505"/>
      <c r="CP34" s="505"/>
      <c r="CQ34" s="505"/>
      <c r="CR34" s="505"/>
      <c r="CS34" s="505"/>
      <c r="CT34" s="506"/>
      <c r="EX34" s="208"/>
      <c r="EY34" s="208"/>
      <c r="EZ34" s="208"/>
      <c r="FA34" s="208"/>
      <c r="FB34" s="208"/>
      <c r="FC34" s="208"/>
      <c r="FD34" s="208"/>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row>
    <row r="35" ht="88.5" customHeight="1">
      <c r="B35" s="199"/>
      <c r="E35" s="508"/>
      <c r="F35" s="509"/>
      <c r="G35" s="509"/>
      <c r="H35" s="509"/>
      <c r="I35" s="510"/>
      <c r="J35" s="509"/>
      <c r="K35" s="509"/>
      <c r="L35" s="509"/>
      <c r="M35" s="510"/>
      <c r="N35" s="509"/>
      <c r="O35" s="509"/>
      <c r="P35" s="509"/>
      <c r="Q35" s="510"/>
      <c r="R35" s="510"/>
      <c r="S35" s="510"/>
      <c r="T35" s="511"/>
      <c r="V35" s="106"/>
      <c r="W35" s="338"/>
      <c r="X35" s="512" t="s">
        <v>332</v>
      </c>
      <c r="Y35" s="444">
        <f t="shared" si="53"/>
        <v>6</v>
      </c>
      <c r="Z35" s="398">
        <f t="shared" si="54"/>
        <v>1.5</v>
      </c>
      <c r="AA35" s="445">
        <f t="shared" si="55"/>
        <v>105</v>
      </c>
      <c r="AB35" s="446"/>
      <c r="AC35" s="224"/>
      <c r="AE35" s="487"/>
      <c r="AF35" s="291"/>
      <c r="AG35" s="513"/>
      <c r="AH35" s="514"/>
      <c r="AI35" s="514"/>
      <c r="AJ35" s="514"/>
      <c r="AK35" s="514"/>
      <c r="AL35" s="514"/>
      <c r="AM35" s="514"/>
      <c r="AN35" s="514"/>
      <c r="AO35" s="514"/>
      <c r="AP35" s="514"/>
      <c r="AQ35" s="514"/>
      <c r="AR35" s="514"/>
      <c r="AS35" s="514"/>
      <c r="AT35" s="514"/>
      <c r="AU35" s="514"/>
      <c r="AV35" s="514"/>
      <c r="AW35" s="514"/>
      <c r="AX35" s="514"/>
      <c r="AY35" s="514"/>
      <c r="AZ35" s="514"/>
      <c r="BA35" s="514"/>
      <c r="BB35" s="515"/>
      <c r="BC35" s="515"/>
      <c r="BD35" s="515"/>
      <c r="BE35" s="515"/>
      <c r="BF35" s="515"/>
      <c r="BG35" s="515"/>
      <c r="BH35" s="515"/>
      <c r="BI35" s="515"/>
      <c r="BJ35" s="515"/>
      <c r="BK35" s="515"/>
      <c r="BL35" s="515"/>
      <c r="BM35" s="515"/>
      <c r="BN35" s="515"/>
      <c r="BO35" s="515"/>
      <c r="BP35" s="515"/>
      <c r="BQ35" s="514"/>
      <c r="BR35" s="514"/>
      <c r="BS35" s="514"/>
      <c r="BT35" s="514"/>
      <c r="BU35" s="514"/>
      <c r="BV35" s="514"/>
      <c r="BW35" s="516"/>
      <c r="EX35" s="208"/>
      <c r="EY35" s="208"/>
      <c r="EZ35" s="208"/>
      <c r="FA35" s="208"/>
      <c r="FB35" s="208"/>
      <c r="FC35" s="208"/>
      <c r="FD35" s="208"/>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row>
    <row r="36">
      <c r="B36" s="199"/>
      <c r="K36" s="200"/>
      <c r="L36" s="200"/>
      <c r="U36" s="106"/>
      <c r="V36" s="106"/>
      <c r="W36" s="338"/>
      <c r="X36" s="517" t="s">
        <v>334</v>
      </c>
      <c r="Y36" s="444">
        <f t="shared" si="53"/>
        <v>0</v>
      </c>
      <c r="Z36" s="398" t="str">
        <f t="shared" si="54"/>
        <v/>
      </c>
      <c r="AA36" s="445">
        <f t="shared" si="55"/>
        <v>0</v>
      </c>
      <c r="AB36" s="518"/>
      <c r="AC36" s="224"/>
      <c r="AE36" s="487"/>
      <c r="AF36" s="291"/>
      <c r="BE36" s="519"/>
      <c r="BF36" s="519"/>
      <c r="BG36" s="519"/>
      <c r="BH36" s="519"/>
      <c r="BI36" s="519"/>
      <c r="BJ36" s="519"/>
      <c r="BK36" s="519"/>
      <c r="BL36" s="519"/>
      <c r="BM36" s="519"/>
      <c r="BN36" s="519"/>
      <c r="BO36" s="519"/>
      <c r="BP36" s="519"/>
      <c r="BQ36" s="519"/>
      <c r="BR36" s="519"/>
      <c r="EX36" s="208"/>
      <c r="EY36" s="208"/>
      <c r="EZ36" s="208"/>
      <c r="FA36" s="208"/>
      <c r="FB36" s="208"/>
      <c r="FC36" s="208"/>
      <c r="FD36" s="208"/>
      <c r="FE36" s="208"/>
      <c r="FF36" s="208"/>
      <c r="FG36" s="208"/>
      <c r="FH36" s="208"/>
      <c r="FI36" s="208"/>
      <c r="FJ36" s="208"/>
      <c r="FK36" s="208"/>
      <c r="FL36" s="208"/>
      <c r="FM36" s="208"/>
      <c r="FN36" s="208"/>
      <c r="FO36" s="208"/>
      <c r="FP36" s="208"/>
      <c r="FQ36" s="208"/>
      <c r="FR36" s="208"/>
      <c r="FS36" s="208"/>
      <c r="FT36" s="208"/>
      <c r="FU36" s="208"/>
      <c r="FV36" s="208"/>
      <c r="FW36" s="208"/>
      <c r="FX36" s="208"/>
      <c r="FY36" s="208"/>
      <c r="FZ36" s="208"/>
      <c r="GA36" s="208"/>
      <c r="GB36" s="208"/>
      <c r="GC36" s="208"/>
      <c r="GD36" s="208"/>
      <c r="GE36" s="208"/>
      <c r="GF36" s="208"/>
      <c r="GG36" s="208"/>
      <c r="GH36" s="208"/>
    </row>
    <row r="37">
      <c r="B37" s="199"/>
      <c r="C37" s="520" t="s">
        <v>335</v>
      </c>
      <c r="D37" s="360">
        <v>3.0</v>
      </c>
      <c r="E37" s="521" t="str">
        <f>"S"&amp;D37</f>
        <v>S3</v>
      </c>
      <c r="W37" s="201"/>
      <c r="X37" s="522"/>
      <c r="Y37" s="523"/>
      <c r="Z37" s="523"/>
      <c r="AA37" s="523"/>
      <c r="AB37" s="523"/>
      <c r="AC37" s="523"/>
      <c r="AD37" s="524"/>
      <c r="AE37" s="525"/>
      <c r="AF37" s="526" t="s">
        <v>336</v>
      </c>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527"/>
      <c r="BU37" s="528"/>
      <c r="BV37" s="528"/>
      <c r="BW37" s="528"/>
      <c r="BX37" s="106"/>
      <c r="BY37" s="106"/>
      <c r="BZ37" s="529" t="s">
        <v>337</v>
      </c>
      <c r="CA37" s="221"/>
      <c r="CB37" s="221"/>
      <c r="CC37" s="221"/>
      <c r="CD37" s="221"/>
      <c r="CE37" s="221"/>
      <c r="CF37" s="221"/>
      <c r="CG37" s="221"/>
      <c r="CH37" s="221"/>
      <c r="CI37" s="221"/>
      <c r="CJ37" s="221"/>
      <c r="CK37" s="221"/>
      <c r="CL37" s="221"/>
      <c r="CM37" s="222"/>
      <c r="DE37" s="106"/>
      <c r="DF37" s="106"/>
      <c r="DG37" s="106"/>
      <c r="DH37" s="106"/>
      <c r="DI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X37" s="208"/>
      <c r="EY37" s="208"/>
      <c r="EZ37" s="208"/>
      <c r="FA37" s="208"/>
      <c r="FB37" s="208"/>
      <c r="FC37" s="208"/>
      <c r="FD37" s="208"/>
      <c r="FE37" s="208"/>
      <c r="FF37" s="208"/>
      <c r="FG37" s="208"/>
      <c r="FH37" s="208"/>
      <c r="FI37" s="208"/>
      <c r="FJ37" s="208"/>
      <c r="FK37" s="208"/>
      <c r="FL37" s="208"/>
      <c r="FM37" s="208"/>
      <c r="FN37" s="208"/>
      <c r="FO37" s="208"/>
      <c r="FP37" s="208"/>
      <c r="FQ37" s="208"/>
      <c r="FR37" s="208"/>
      <c r="FS37" s="208"/>
      <c r="FT37" s="208"/>
      <c r="FU37" s="208"/>
      <c r="FV37" s="208"/>
      <c r="FW37" s="208"/>
      <c r="FX37" s="208"/>
      <c r="FY37" s="208"/>
      <c r="FZ37" s="208"/>
      <c r="GA37" s="208"/>
      <c r="GB37" s="208"/>
      <c r="GC37" s="208"/>
      <c r="GD37" s="208"/>
      <c r="GE37" s="208"/>
      <c r="GF37" s="208"/>
      <c r="GG37" s="208"/>
      <c r="GH37" s="208"/>
    </row>
    <row r="38">
      <c r="B38" s="199"/>
      <c r="C38" s="520" t="s">
        <v>338</v>
      </c>
      <c r="D38" s="360">
        <v>7.0</v>
      </c>
      <c r="E38" s="128"/>
      <c r="F38" s="530" t="s">
        <v>339</v>
      </c>
      <c r="Q38" s="531"/>
      <c r="R38" s="532"/>
      <c r="S38" s="532"/>
      <c r="T38" s="532"/>
      <c r="U38" s="128"/>
      <c r="W38" s="201"/>
      <c r="X38" s="360" t="s">
        <v>340</v>
      </c>
      <c r="AE38" s="533"/>
      <c r="AF38" s="360"/>
      <c r="AG38" s="534" t="s">
        <v>341</v>
      </c>
      <c r="AJ38" s="226"/>
      <c r="AK38" s="534" t="s">
        <v>342</v>
      </c>
      <c r="AO38" s="534" t="s">
        <v>343</v>
      </c>
      <c r="AS38" s="534" t="s">
        <v>344</v>
      </c>
      <c r="AW38" s="534" t="s">
        <v>345</v>
      </c>
      <c r="BA38" s="534" t="s">
        <v>346</v>
      </c>
      <c r="BE38" s="534" t="s">
        <v>347</v>
      </c>
      <c r="BI38" s="534" t="s">
        <v>348</v>
      </c>
      <c r="BM38" s="534" t="s">
        <v>349</v>
      </c>
      <c r="BQ38" s="534" t="s">
        <v>350</v>
      </c>
      <c r="BT38" s="492"/>
      <c r="BU38" s="535"/>
      <c r="BV38" s="535"/>
      <c r="BW38" s="535"/>
      <c r="BX38" s="106"/>
      <c r="BY38" s="106"/>
      <c r="BZ38" s="536"/>
      <c r="CA38" s="537"/>
      <c r="CB38" s="537"/>
      <c r="CC38" s="537"/>
      <c r="CD38" s="537"/>
      <c r="CE38" s="537"/>
      <c r="CF38" s="537"/>
      <c r="CG38" s="537"/>
      <c r="CH38" s="537"/>
      <c r="CI38" s="537"/>
      <c r="CJ38" s="537"/>
      <c r="CM38" s="226"/>
      <c r="DE38" s="106"/>
      <c r="DF38" s="106"/>
      <c r="DG38" s="106"/>
      <c r="DH38" s="106"/>
      <c r="DI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X38" s="208"/>
      <c r="EY38" s="208"/>
      <c r="EZ38" s="208"/>
      <c r="FA38" s="208"/>
      <c r="FB38" s="208"/>
      <c r="FC38" s="208"/>
      <c r="FD38" s="208"/>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row>
    <row r="39">
      <c r="A39" s="538"/>
      <c r="B39" s="539" t="s">
        <v>351</v>
      </c>
      <c r="C39" s="540"/>
      <c r="D39" s="537" t="s">
        <v>352</v>
      </c>
      <c r="E39" s="541" t="s">
        <v>353</v>
      </c>
      <c r="F39" s="537" t="s">
        <v>293</v>
      </c>
      <c r="G39" s="542" t="s">
        <v>254</v>
      </c>
      <c r="H39" s="537" t="s">
        <v>354</v>
      </c>
      <c r="I39" s="537" t="str">
        <f t="array" ref="I39:I187">{"KG (%)";IFERROR(MROUND(IFS(MID($D$40:$D187,1,2)=$E$14,$F$14*$H$40:$H187,MID($D$40:$D187,1,2)=$E$15,$F$15*$H$40:$H187,MID($D$40:$D187,1,2)=$E$16,$F$16*$H$40:$H187),2.5),"")}</f>
        <v>KG (%)</v>
      </c>
      <c r="J39" s="360" t="s">
        <v>355</v>
      </c>
      <c r="K39" s="537" t="s">
        <v>356</v>
      </c>
      <c r="M39" s="537" t="s">
        <v>257</v>
      </c>
      <c r="O39" s="537" t="s">
        <v>357</v>
      </c>
      <c r="P39" s="537" t="s">
        <v>358</v>
      </c>
      <c r="Q39" s="537" t="s">
        <v>359</v>
      </c>
      <c r="S39" s="542" t="s">
        <v>18</v>
      </c>
      <c r="U39" s="542" t="str">
        <f>"NOTAS DE "&amp;'Introducción'!B19&amp;" "&amp;'Introducción'!B20</f>
        <v>#REF!</v>
      </c>
      <c r="V39" s="542" t="s">
        <v>360</v>
      </c>
      <c r="W39" s="543"/>
      <c r="X39" s="360" t="str">
        <f t="array" ref="X39:X187">{"Tonelaje pre-establecido";IFERROR(F40:F187*G40:G187*I40:I187,"")+IFERROR(F40:F187*G40:G187*J40:J187,"")}</f>
        <v>Tonelaje pre-establecido</v>
      </c>
      <c r="Y39" s="360" t="str">
        <f t="array" ref="Y39:Y187">{"Tonelaje Realizado";CE40:CE187}</f>
        <v>Tonelaje Realizado</v>
      </c>
      <c r="Z39" s="360" t="str">
        <f t="array" ref="Z39:Z187">{"NL pre-establecido";IFERROR( IF(LEN(F40:F187),LEFT(G40:G187,2)*F40:F187,""),"")}</f>
        <v>NL pre-establecido</v>
      </c>
      <c r="AA39" s="360" t="str">
        <f t="array" ref="AA39:AA187">{"% (M)";IF(LEFT($D$40:$D187,2)="SQ",$J$40:$J187/$F$14,IF(LEFT($D$40:$D187,2)="BP",$J$40:$J187/$F$15,IF(LEFT($D$40:D187,2)="DL",$J$40:$J187/$F$16)))}</f>
        <v>% (M)</v>
      </c>
      <c r="AB39" s="360" t="s">
        <v>263</v>
      </c>
      <c r="AC39" s="360"/>
      <c r="AD39" s="360" t="str">
        <f t="array" ref="AD39:AD187">{"Series realizadas";IF(NOT(ISBLANK(AG40:AG187)),1,"")+IF(NOT(ISBLANK(AK40:AK187)),1,"")+IF(NOT(ISBLANK(AO40:AO187)),1,"")+IF(NOT(ISBLANK(AS40:AS187)),1,"")+IF(NOT(ISBLANK(AW40:AW187)),1,"")+IF(NOT(ISBLANK(BA40:BA187)),1,"")+IF(NOT(ISBLANK(BE40:BE187)),1,"")+IF(NOT(ISBLANK(BI40:BI187)),1,"")+IF(NOT(ISBLANK(BM40:BM187)),1,"")+IF(NOT(ISBLANK(BQ40:BQ187)),1,"")}</f>
        <v>Series realizadas</v>
      </c>
      <c r="AE39" s="533"/>
      <c r="AF39" s="360" t="str">
        <f t="array" ref="AF39:AF187">{"EJERCICIOS";IF(ISBLANK($D$40:$D187),"",$E$40:$E187&amp;": "&amp;$F$40:$F187&amp;" x "&amp;$G$40:$G187&amp;" x "&amp;IF(NOT(ISBLANK($H$40:$H187)),$I$40:$I187&amp;" kg",J40:J187&amp;" kg")&amp;IF(NOT(ISBLANK($K$40:$K187))," RIR "&amp;$K$40:$K187,"")&amp;IF(NOT(ISBLANK($L$40:$L187)),"-"&amp;$L$40:$L187,"")&amp;" "&amp;IF(NOT(ISBLANK($M$40:$M187)),"x RPE "&amp;$M$40:$M187,"")&amp;IF(NOT(ISBLANK($N$40:$N187)),"-"&amp;$N$40:$N187,""))}</f>
        <v>EJERCICIOS</v>
      </c>
      <c r="AG39" s="544" t="s">
        <v>254</v>
      </c>
      <c r="AH39" s="545" t="s">
        <v>262</v>
      </c>
      <c r="AI39" s="546" t="s">
        <v>356</v>
      </c>
      <c r="AJ39" s="547" t="s">
        <v>257</v>
      </c>
      <c r="AK39" s="548" t="s">
        <v>254</v>
      </c>
      <c r="AL39" s="545" t="s">
        <v>262</v>
      </c>
      <c r="AM39" s="546" t="s">
        <v>356</v>
      </c>
      <c r="AN39" s="547" t="s">
        <v>257</v>
      </c>
      <c r="AO39" s="548" t="s">
        <v>254</v>
      </c>
      <c r="AP39" s="549" t="s">
        <v>262</v>
      </c>
      <c r="AQ39" s="546" t="s">
        <v>356</v>
      </c>
      <c r="AR39" s="550" t="s">
        <v>257</v>
      </c>
      <c r="AS39" s="548" t="s">
        <v>254</v>
      </c>
      <c r="AT39" s="545" t="s">
        <v>262</v>
      </c>
      <c r="AU39" s="546" t="s">
        <v>356</v>
      </c>
      <c r="AV39" s="550" t="s">
        <v>257</v>
      </c>
      <c r="AW39" s="548" t="s">
        <v>254</v>
      </c>
      <c r="AX39" s="545" t="s">
        <v>262</v>
      </c>
      <c r="AY39" s="546" t="s">
        <v>356</v>
      </c>
      <c r="AZ39" s="550" t="s">
        <v>257</v>
      </c>
      <c r="BA39" s="548" t="s">
        <v>254</v>
      </c>
      <c r="BB39" s="545" t="s">
        <v>262</v>
      </c>
      <c r="BC39" s="546" t="s">
        <v>356</v>
      </c>
      <c r="BD39" s="550" t="s">
        <v>257</v>
      </c>
      <c r="BE39" s="548" t="s">
        <v>254</v>
      </c>
      <c r="BF39" s="545" t="s">
        <v>262</v>
      </c>
      <c r="BG39" s="546" t="s">
        <v>356</v>
      </c>
      <c r="BH39" s="550" t="s">
        <v>257</v>
      </c>
      <c r="BI39" s="548" t="s">
        <v>254</v>
      </c>
      <c r="BJ39" s="545" t="s">
        <v>262</v>
      </c>
      <c r="BK39" s="546" t="s">
        <v>356</v>
      </c>
      <c r="BL39" s="550" t="s">
        <v>257</v>
      </c>
      <c r="BM39" s="548" t="s">
        <v>254</v>
      </c>
      <c r="BN39" s="545" t="s">
        <v>262</v>
      </c>
      <c r="BO39" s="546" t="s">
        <v>356</v>
      </c>
      <c r="BP39" s="550" t="s">
        <v>257</v>
      </c>
      <c r="BQ39" s="548" t="s">
        <v>254</v>
      </c>
      <c r="BR39" s="545" t="s">
        <v>262</v>
      </c>
      <c r="BS39" s="546" t="s">
        <v>356</v>
      </c>
      <c r="BT39" s="551" t="s">
        <v>257</v>
      </c>
      <c r="BU39" s="552"/>
      <c r="BV39" s="540"/>
      <c r="BW39" s="552"/>
      <c r="BX39" s="553"/>
      <c r="BY39" s="553"/>
      <c r="BZ39" s="554" t="str">
        <f t="array" ref="BZ39:BZ187">{"1RM";IFERROR(IFS(MID(D40:D187,1,2)=$E$14,$F$14,MID(D40:D187,1,2)=$E$15,$F$15,MID(D40:D187,1,2)=$E$16,$F$16),)}</f>
        <v>1RM</v>
      </c>
      <c r="CA39" s="555" t="str">
        <f t="array" ref="CA39:CA187">{"aRI";IFERROR(IF(COUNTIF(D40:D187,E14)+COUNTIF(D40:D187,E15)+COUNTIF(D40:D187,E16)=0, IFS(MID(D40:D187,1,2)=E14, IF(MID(D40:D187,1,2)=E14, ((AH40:AH187)+(AL40:AL187)+(AP40:AP187)+(AT40:AT187)+(AX40:AX187)+(BB40:BB187)+(BF40:BF187)+(BJ40:BJ187)+(BN40:BN187)+(BR40:BR187))/AD40:AD187*100%/$F$14,((AH40:AH187+AL40:AL187+AP40:AP187+AT40:AT187+AX40:AX187+BB40:BB187+BF40:BF187+BJ40:BJ187+BN40:BN187+BR40:BR187)/AD40:AD187*(((AG40:AG187+AK40:AK187+AO40:AO187+AS40:AS187+AW40:AW187+BA40:BA187+BC40:BC187+BE40:BE187+BI40:BI187+BM40:BM187+BQ40:BQ187)/AD40:AD187+((AI40:AI187+AM40:AM187+AQ40:AQ187+AU40:AU187+AY40:AY187+BG40:BG187+BK40:BK187+BO40:BO187+BS40:BS187)/#REF!))*0.0333)+(AH40:AH187+AL40:AL187+AP40:AP187+AT40:AT187+AX40:AX187+BB40:BB187+BF40:BF187+BJ40:BJ187+BN40:BN187+BR40:BR187)/AD40:AD187)),MID(D40:D187,1,2)=E15,IF(MID(D40:D187,1,2)=E15, ((AH40:AH187)+(AL40:AL187)+(AP40:AP187)+(AT40:AT187)+(AX40:AX187)+(BB40:BB187)+(BF40:BF187)+(BJ40:BJ187)+(BN40:BN187)+(BR40:BR187))/AD40:AD187*100%/$F$15,((AH40:AH187+AL40:AL187+AP40:AP187+AT40:AT187+AX40:AX187+BB40:BB187+BF40:BF187+BJ40:BJ187+BN40:BN187+BR40:BR187)/AD40:AD187*(((AG40:AG187+AK40:AK187+AO40:AO187+AS40:AS187+AW40:AW187+BA40:BA187+BC40:BC187+BE40:BE187+BI40:BI187+BM40:BM187+BQ40:BQ187)/AD40:AD187+((AI40:AI187+AM40:AM187+AQ40:AQ187+AU40:AU187+AY40:AY187+BG40:BG187+BK40:BK187+BO40:BO187+BS40:BS187)/#REF!))*0.0333)+(AH40:AH187+AL40:AL187+AP40:AP187+AT40:AT187+AX40:AX187+BB40:BB187+BF40:BF187+BJ40:BJ187+BN40:BN187+BR40:BR187)/AD40:AD187)),MID(D40:D187,1,2)=E16,IF(MID(D40:D187,1,2)=E16, ((AH40:AH187)+(AL40:AL187)+(AP40:AP187)+(AT40:AT187)+(AX40:AX187)+(BB40:BB187)+(BF40:BF187)+(BJ40:BJ187)+(BN40:BN187)+(BR40:BR187))/AD40:AD187*100%/$F$16,((AH40:AH187+AL40:AL187+AP40:AP187+AT40:AT187+AX40:AX187+BB40:BB187+BF40:BF187+BJ40:BJ187+BN40:BN187+BR40:BR187)/AD40:AD187*(((AG40:AG187+AK40:AK187+AO40:AO187+AS40:AS187+AW40:AW187+BA40:BA187+BC40:BC187+BE40:BE187+BI40:BI187+BM40:BM187+BQ40:BQ187)/AD40:AD187+((AI40:AI187+AM40:AM187+AQ40:AQ187+AU40:AU187+AY40:AY187+BG40:BG187+BK40:BK187+BO40:BO187+BS40:BS187)/#REF!))*0.0333)+(AH40:AH187+AL40:AL187+AP40:AP187+AT40:AT187+AX40:AX187+BB40:BB187+BF40:BF187+BJ40:BJ187+BN40:BN187+BR40:BR187)/AD40:AD187)))),"")}</f>
        <v>aRI</v>
      </c>
      <c r="CB39" s="555" t="str">
        <f t="array" ref="CB39:CB187">{"aI";IFERROR(((AH40:AH187)+(AL40:AL187)+(AP40:AP187)+(AT40:AT187)+(AX40:AX187)+(BB40:BB187)+(BF40:BF187)+(BJ40:BJ187)+(BN40:BN187)+(BR40:BR187))/(AD40:AD187),"")}</f>
        <v>aI</v>
      </c>
      <c r="CC39" s="556" t="str">
        <f t="array" ref="CC39:CC187">{"NL";AG40:AG187+AK40:AK187+AO40:AO187+AS40:AS187+AW40:AW187+BA40:BA187+BE40:BE187+BI40:BI187+BM40:BM187+BQ40:BQ187}</f>
        <v>NL</v>
      </c>
      <c r="CD39" s="555" t="str">
        <f t="array" ref="CD39:CD187">{"avg_RIR";IFERROR(((AI40:AI187)+(AM40:AM187)+(AQ40:AQ187)+(AU40:AU187)+(AY40:AY187)+(BC40:BC187)+(BG40:BG187)+(BK40:BK187)+(BO40:BO187)+(BS40:BS187))/(AD40:AD187),"")}</f>
        <v>avg_RIR</v>
      </c>
      <c r="CE39" s="555" t="str">
        <f t="array" ref="CE39:CE187">{"TONELAJE";(AG40:AG187*AH40:AH187)+(AK40:AK187*AL40:AL187)+(AO40:AO187*AP40:AP187)+(AS40:AS187*AT40:AT187)+(AW40:AW187*AX40:AX187)+(BA40:BA187*BB40:BB187)*(BE40:BE187*BF40:BF187)+(BI40:BI187*BJ40:BJ187)+(BM40:BM187*BN40:BN187)+(BQ40:BQ187*BR40:BR187)}</f>
        <v>TONELAJE</v>
      </c>
      <c r="CF39" s="556" t="str">
        <f t="array" ref="CF39:CF187">{"IMPULSO";IFERROR((CE40:CE187/BZ40:BZ187),"")}</f>
        <v>IMPULSO</v>
      </c>
      <c r="CG39" s="556" t="str">
        <f t="array" ref="CG39:CG187">{"INOL";(CC40:CC187)/(100-100*(CA40:CA187))}</f>
        <v>INOL</v>
      </c>
      <c r="CH39" s="555" t="str">
        <f t="array" ref="CH39:CH187">{"pred1RM";IFERROR(((AH40:AH187+AL40:AL187+AP40:AP187+AT40:AT187+AX40:AX187+BB40:BB187+BF40:BF187+BJ40:BJ187+BN40:BN187+BR40:BR187)/AD40:AD187*(((AG40:AG187+AK40:AK187+AO40:AO187+AS40:AS187+AW40:AW187+BA40:BA187+BC40:BC187+BE40:BE187+BI40:BI187+BM40:BM187+BQ40:BQ187)/AD40:AD187+(-(AJ40:AJ187+AN40:AN187+AR40:AR187+AV40:AV187+AZ40:AZ187+BD40:BD187+BH40:BH187+BL40:BL187+BP40:BP187+BT40:BT187)/#REF!)+10)*0.0333)+(AH40:AH187+AL40:AL187+AP40:AP187+AT40:AT187+AX40:AX187+BB40:BB187+BF40:BF187+BJ40:BJ187+BN40:BN187+BR40:BR187)/AD40:AD187),"")}</f>
        <v>pred1RM</v>
      </c>
      <c r="CI39" s="555" t="str">
        <f t="array" ref="CI39:CI187">{"prox1RM";IFERROR(((AH40:AH187+AL40:AL187+AP40:AP187+AT40:AT187+AX40:AX187+BB40:BB187+BF40:BF187+BJ40:BJ187+BN40:BN187+BR40:BR187)/AD40:AD187*(((AG40:AG187+AK40:AK187+AO40:AO187+AS40:AS187+AW40:AW187+BA40:BA187+BC40:BC187+BE40:BE187+BI40:BI187+BM40:BM187+BQ40:BQ187)/AD40:AD187)*0.0333)+(AH40:AH187+AL40:AL187+AP40:AP187+AT40:AT187+AX40:AX187+BB40:BB187+BF40:BF187+BJ40:BJ187+BN40:BN187+BR40:BR187)/AD40:AD187)/IFS(MID(D40:D187,1,2)=$E$14,$F$14,MID(D40:D187,1,2)=$E$15,$F$15,MID(D40:D187,1,2)=$E$16,$F$16),"")}</f>
        <v>prox1RM</v>
      </c>
      <c r="CJ39" s="557" t="str">
        <f t="array" ref="CJ39:CJ187">{"S.I.";IFERROR(IF(ISBLANK(AI40:AI187),"", IFS(AI40:AI187=0,1.6,AI40:AI187=1,1.2,AI40:AI187=2,1,AI40:AI187=3,0.8,AI40:AI187=4,0.6))+IF(ISBLANK(AM40:AM187),"", IFS(AM40:AM187=0,1.6,AM40:AM187=1,1.2,AM40:AM187=2,1,AM40:AM187=3,0.8,AM40:AM187=4,0.6))+IF(ISBLANK(AQ40:AQ187),"", IFS(AQ40:AQ187=0,1.6,AQ40:AQ187=1,1.2,AQ40:AQ187=2,1,AQ40:AQ187=3,0.8,AQ40:AQ187=4,0.6))+IF(ISBLANK(AU40:AU187),"", IFS(AU40:AU187=0,1.6,AU40:AU187=1,1.2,AU40:AU187=2,1,AU40:AU187=3,0.8,AU40:AU187=4,0.6))+IF(ISBLANK(AY40:AY187),"", IFS(AY40:AY187=0,1.6,AY40:AY187=1,1.2,AY40:AY187=2,1,AY40:AY187=3,0.8,AY40:AY187=4,0.6))+IF(ISBLANK(BC40:BC187),"", IFS(BC40:BC187=0,1.6,BC40:BC187=1,1.2,BC40:BC187=2,1,BC40:BC187=3,0.8,BC40:BC187=4,0.6))+IF(ISBLANK(BG40:BG187),"", IFS(BG40:BG187=0,1.6,BG40:BG187=1,1.2,BG40:BG187=2,1,BG40:BG187=3,0.8,BG40:BG187=4,0.6))+IF(ISBLANK(BK40:BK187),"", IFS(BK40:BK187=0,1.6,BK40:BK187=1,1.2,BK40:BK187=2,1,BK40:BK187=3,0.8,BK40:BK187=4,0.6))+IF(ISBLANK(BO40:BO187),"", IFS(BO40:BO187=0,1.6,BO40:BO187=1,1.2,BO40:BO187=2,1,BO40:BO187=3,0.8,BO40:BO187=4,0.6))+IF(ISBLANK(BS40:BS187),"", IFS(BS40:BS187=0,1.6,BS40:BS187=1,1.2,BS40:BS187=2,1,BS40:BS187=3,0.8,BS40:BS187=4,0.6)),"")}</f>
        <v>S.I.</v>
      </c>
      <c r="CK39" s="556" t="str">
        <f t="array" ref="CK39:CK187">{"avg_RPE";IFERROR(((AJ40:AJ187)+(AN40:AN187)+(AR40:AR187)+(AV40:AV187)+(AZ40:AZ187)+(BD40:BD187)+(BH40:BH187)+(BL40:BL187)+(BP40:BP187)+(BT40:BT187))/(AD40:AD187),"")}</f>
        <v>avg_RPE</v>
      </c>
      <c r="CL39" s="556" t="str">
        <f t="array" ref="CL39:CL187">{"e1RM Steve Denovi F1";IFERROR((AH40:AH187+AL40:AL187+AP40:AP187+AT40:AT187+AX40:AX187+BB40:BB187+BF40:BF187+BJ40:BJ187+BN40:BN187+BR40:BR187)/AD40:AD187/((VLOOKUP(AJ40:AJ187,$EX$3:$FJ$16,AG40:AG187+1,0))+IFERROR( VLOOKUP(AN40:AN187,$EX$3:$FJ$16,AK40:AK187+1,0),"")+IFERROR( VLOOKUP(AR40:AR187,$EX$3:$FJ$16,AO40:AO187+1,0),"")+IFERROR( VLOOKUP(AV40:AV187,$EX$3:$FJ$16,AS40:AS187+1,0),"")+IFERROR( VLOOKUP(AZ40:AZ187,$EX$3:$FJ$16,AW40:AW187+1,0),"")+IFERROR( VLOOKUP(BD40:BD187,$EX$3:$FJ$16,BA40:BA187+1,0),"")+IFERROR( VLOOKUP(BH40:BH187,$EX$3:$FJ$16,BE40:BE187+1,0),"")+IFERROR( VLOOKUP(BL40:BL187,$EX$3:$FJ$16,BI40:BI187+1,0),"")+IFERROR( VLOOKUP(BP40:BP187,$EX$3:$FJ$16,BM40:BM187+1,0),"")+IFERROR( VLOOKUP(BT40:BT187,$EX$3:$FJ$16,BQ40:BQ187+1,0),""))*AD40:AD187,"")}</f>
        <v>e1RM Steve Denovi F1</v>
      </c>
      <c r="CM39" s="558" t="str">
        <f t="array" ref="CM39:CM187">{"e1RM Steve Denovi F2";IFERROR((AH40:AH187+AL40:AL187+AP40:AP187+AT40:AT187+AX40:AX187+BB40:BB187+BF40:BF187+BJ40:BJ187+BN40:BN187+BR40:BR187)/AD40:AD187/((VLOOKUP(AJ40:AJ187,$FL$3:$FX$16,AG40:AG187+1,0))+IFERROR( VLOOKUP(AN40:AN187,$FL$3:$FX$16,AK40:AK187+1,0),"")+IFERROR( VLOOKUP(AR40:AR187,$FL$3:$FX$16,AO40:AO187+1,0),"")+IFERROR( VLOOKUP(AV40:AV187,$FL$3:$FX$16,AS40:AS187+1,0),"")+IFERROR( VLOOKUP(AZ40:AZ187,$FL$3:$FX$16,AW40:AW187+1,0),"")+IFERROR( VLOOKUP(BD40:BD187,$FL$3:$FX$16,BA40:BA187+1,0),"")+IFERROR( VLOOKUP(BH40:BH187,$FL$3:$FX$16,BE40:BE187+1,0),"")+IFERROR( VLOOKUP(BL40:BL187,$FL$3:$FX$16,BI40:BI187+1,0),"")+IFERROR( VLOOKUP(BP40:BP187,$FL$3:$FX$16,BM40:BM187+1,0),"")+IFERROR( VLOOKUP(BT40:BT187,$FL$3:$FX$16,BQ40:BQ187+1,0),""))*AD40:AD187,"")}</f>
        <v>e1RM Steve Denovi F2</v>
      </c>
      <c r="CN39" s="538"/>
      <c r="CO39" s="538"/>
      <c r="CP39" s="538"/>
      <c r="CQ39" s="538"/>
      <c r="CR39" s="538"/>
      <c r="CS39" s="538"/>
      <c r="CT39" s="538"/>
      <c r="CU39" s="538"/>
      <c r="CV39" s="538"/>
      <c r="CW39" s="538"/>
      <c r="CX39" s="538"/>
      <c r="CY39" s="538"/>
      <c r="CZ39" s="538"/>
      <c r="DA39" s="538"/>
      <c r="DB39" s="538"/>
      <c r="DC39" s="538"/>
      <c r="DD39" s="538"/>
      <c r="DE39" s="553"/>
      <c r="DF39" s="553"/>
      <c r="DG39" s="553"/>
      <c r="DH39" s="553"/>
      <c r="DI39" s="553"/>
      <c r="DJ39" s="538"/>
      <c r="DK39" s="538"/>
      <c r="DL39" s="538"/>
      <c r="DM39" s="538"/>
      <c r="DN39" s="538"/>
      <c r="DO39" s="538"/>
      <c r="DP39" s="538"/>
      <c r="DQ39" s="538"/>
      <c r="DR39" s="538"/>
      <c r="DS39" s="553"/>
      <c r="DT39" s="553"/>
      <c r="DU39" s="553"/>
      <c r="DV39" s="553"/>
      <c r="DW39" s="553"/>
      <c r="DX39" s="553"/>
      <c r="DY39" s="553"/>
      <c r="DZ39" s="553"/>
      <c r="EA39" s="553"/>
      <c r="EB39" s="553"/>
      <c r="EC39" s="553"/>
      <c r="ED39" s="553"/>
      <c r="EE39" s="553"/>
      <c r="EF39" s="553"/>
      <c r="EG39" s="553"/>
      <c r="EH39" s="553"/>
      <c r="EI39" s="553"/>
      <c r="EJ39" s="553"/>
      <c r="EK39" s="553"/>
      <c r="EL39" s="553"/>
      <c r="EM39" s="553"/>
      <c r="EN39" s="553"/>
      <c r="EO39" s="553"/>
      <c r="EP39" s="553"/>
      <c r="EQ39" s="553"/>
      <c r="ER39" s="553"/>
      <c r="ES39" s="553"/>
      <c r="ET39" s="553"/>
      <c r="EU39" s="553"/>
      <c r="EV39" s="553"/>
      <c r="EW39" s="538"/>
      <c r="EX39" s="559"/>
      <c r="EY39" s="559"/>
      <c r="EZ39" s="559"/>
      <c r="FA39" s="559"/>
      <c r="FB39" s="559"/>
      <c r="FC39" s="559"/>
      <c r="FD39" s="559"/>
      <c r="FE39" s="559"/>
      <c r="FF39" s="559"/>
      <c r="FG39" s="559"/>
      <c r="FH39" s="559"/>
      <c r="FI39" s="559"/>
      <c r="FJ39" s="559"/>
      <c r="FK39" s="559"/>
      <c r="FL39" s="559"/>
      <c r="FM39" s="559"/>
      <c r="FN39" s="559"/>
      <c r="FO39" s="559"/>
      <c r="FP39" s="559"/>
      <c r="FQ39" s="559"/>
      <c r="FR39" s="559"/>
      <c r="FS39" s="559"/>
      <c r="FT39" s="559"/>
      <c r="FU39" s="559"/>
      <c r="FV39" s="559"/>
      <c r="FW39" s="559"/>
      <c r="FX39" s="559"/>
      <c r="FY39" s="559"/>
      <c r="FZ39" s="559"/>
      <c r="GA39" s="559"/>
      <c r="GB39" s="559"/>
      <c r="GC39" s="559"/>
      <c r="GD39" s="559"/>
      <c r="GE39" s="559"/>
      <c r="GF39" s="559"/>
      <c r="GG39" s="559"/>
      <c r="GH39" s="559"/>
    </row>
    <row r="40">
      <c r="A40" s="538"/>
      <c r="B40" s="560"/>
      <c r="C40" s="47"/>
      <c r="D40" s="561" t="s">
        <v>266</v>
      </c>
      <c r="E40" s="562" t="s">
        <v>486</v>
      </c>
      <c r="F40" s="563">
        <v>4.0</v>
      </c>
      <c r="G40" s="560">
        <v>4.0</v>
      </c>
      <c r="H40" s="564"/>
      <c r="I40" s="565">
        <v>0.0</v>
      </c>
      <c r="J40" s="566">
        <v>135.0</v>
      </c>
      <c r="K40" s="567"/>
      <c r="L40" s="568"/>
      <c r="M40" s="569"/>
      <c r="N40" s="570"/>
      <c r="O40" s="571"/>
      <c r="P40" s="571"/>
      <c r="Q40" s="47"/>
      <c r="R40" s="47"/>
      <c r="S40" s="572"/>
      <c r="T40" s="572"/>
      <c r="U40" s="573"/>
      <c r="V40" s="574"/>
      <c r="W40" s="575"/>
      <c r="X40" s="576">
        <v>2160.0</v>
      </c>
      <c r="Y40" s="577" t="e">
        <v>#VALUE!</v>
      </c>
      <c r="Z40" s="577">
        <v>16.0</v>
      </c>
      <c r="AA40" s="578">
        <v>0.75</v>
      </c>
      <c r="AB40" s="578"/>
      <c r="AC40" s="579"/>
      <c r="AD40" s="580">
        <v>3.0</v>
      </c>
      <c r="AE40" s="581"/>
      <c r="AF40" s="582" t="s">
        <v>588</v>
      </c>
      <c r="AG40" s="583">
        <v>2.0</v>
      </c>
      <c r="AH40" s="584" t="s">
        <v>589</v>
      </c>
      <c r="AI40" s="583"/>
      <c r="AJ40" s="585"/>
      <c r="AK40" s="583">
        <v>4.0</v>
      </c>
      <c r="AL40" s="584">
        <v>135.0</v>
      </c>
      <c r="AM40" s="583">
        <v>2.0</v>
      </c>
      <c r="AN40" s="585">
        <v>8.0</v>
      </c>
      <c r="AO40" s="583"/>
      <c r="AP40" s="584"/>
      <c r="AQ40" s="583">
        <v>2.0</v>
      </c>
      <c r="AR40" s="585">
        <v>7.5</v>
      </c>
      <c r="AS40" s="583">
        <v>4.0</v>
      </c>
      <c r="AT40" s="584">
        <v>135.0</v>
      </c>
      <c r="AU40" s="583">
        <v>2.0</v>
      </c>
      <c r="AV40" s="585">
        <v>8.0</v>
      </c>
      <c r="AW40" s="583"/>
      <c r="AX40" s="584"/>
      <c r="AY40" s="583"/>
      <c r="AZ40" s="585"/>
      <c r="BA40" s="583"/>
      <c r="BB40" s="584"/>
      <c r="BC40" s="583"/>
      <c r="BD40" s="585"/>
      <c r="BE40" s="583"/>
      <c r="BF40" s="584"/>
      <c r="BG40" s="583"/>
      <c r="BH40" s="585"/>
      <c r="BI40" s="583"/>
      <c r="BJ40" s="584"/>
      <c r="BK40" s="583"/>
      <c r="BL40" s="585"/>
      <c r="BM40" s="583"/>
      <c r="BN40" s="584"/>
      <c r="BO40" s="583"/>
      <c r="BP40" s="585"/>
      <c r="BQ40" s="583"/>
      <c r="BR40" s="584"/>
      <c r="BS40" s="583"/>
      <c r="BT40" s="586"/>
      <c r="BU40" s="540"/>
      <c r="BV40" s="540"/>
      <c r="BW40" s="540"/>
      <c r="BX40" s="538"/>
      <c r="BY40" s="538"/>
      <c r="BZ40" s="587">
        <v>180.0</v>
      </c>
      <c r="CA40" s="588"/>
      <c r="CB40" s="589" t="s">
        <v>365</v>
      </c>
      <c r="CC40" s="590">
        <v>10.0</v>
      </c>
      <c r="CD40" s="590">
        <v>2.0</v>
      </c>
      <c r="CE40" s="590" t="e">
        <v>#VALUE!</v>
      </c>
      <c r="CF40" s="590"/>
      <c r="CG40" s="590">
        <v>0.1</v>
      </c>
      <c r="CH40" s="590"/>
      <c r="CI40" s="591"/>
      <c r="CJ40" s="590">
        <v>3.0</v>
      </c>
      <c r="CK40" s="478">
        <v>7.833333333333333</v>
      </c>
      <c r="CL40" s="592"/>
      <c r="CM40" s="593"/>
      <c r="CN40" s="538"/>
      <c r="CO40" s="538"/>
      <c r="CP40" s="538"/>
      <c r="CQ40" s="538"/>
      <c r="CR40" s="538"/>
      <c r="CS40" s="538"/>
      <c r="CT40" s="538"/>
      <c r="CU40" s="538"/>
      <c r="CV40" s="538"/>
      <c r="CW40" s="538"/>
      <c r="CX40" s="538"/>
      <c r="CY40" s="538"/>
      <c r="CZ40" s="538"/>
      <c r="DA40" s="538"/>
      <c r="DB40" s="538"/>
      <c r="DC40" s="538"/>
      <c r="DD40" s="538"/>
      <c r="DE40" s="538"/>
      <c r="DF40" s="538"/>
      <c r="DG40" s="538"/>
      <c r="DH40" s="538"/>
      <c r="DI40" s="538"/>
      <c r="DJ40" s="538"/>
      <c r="DK40" s="538"/>
      <c r="DL40" s="538"/>
      <c r="DM40" s="538"/>
      <c r="DN40" s="538"/>
      <c r="DO40" s="538"/>
      <c r="DP40" s="538"/>
      <c r="DQ40" s="538"/>
      <c r="DR40" s="538"/>
      <c r="DS40" s="538"/>
      <c r="DT40" s="538"/>
      <c r="DU40" s="538"/>
      <c r="DV40" s="538"/>
      <c r="DW40" s="538"/>
      <c r="DX40" s="538"/>
      <c r="DY40" s="538"/>
      <c r="DZ40" s="538"/>
      <c r="EA40" s="538"/>
      <c r="EB40" s="538"/>
      <c r="EC40" s="538"/>
      <c r="ED40" s="538"/>
      <c r="EE40" s="538"/>
      <c r="EF40" s="538"/>
      <c r="EG40" s="538"/>
      <c r="EH40" s="538"/>
      <c r="EI40" s="538"/>
      <c r="EJ40" s="538"/>
      <c r="EK40" s="538"/>
      <c r="EL40" s="538"/>
      <c r="EM40" s="538"/>
      <c r="EN40" s="538"/>
      <c r="EO40" s="538"/>
      <c r="EP40" s="538"/>
      <c r="EQ40" s="538"/>
      <c r="ER40" s="538"/>
      <c r="ES40" s="538"/>
      <c r="ET40" s="538"/>
      <c r="EU40" s="538"/>
      <c r="EV40" s="538"/>
      <c r="EW40" s="538"/>
      <c r="EX40" s="559"/>
      <c r="EY40" s="559"/>
      <c r="EZ40" s="559"/>
      <c r="FA40" s="559"/>
      <c r="FB40" s="559"/>
      <c r="FC40" s="559"/>
      <c r="FD40" s="559"/>
      <c r="FE40" s="559"/>
      <c r="FF40" s="559"/>
      <c r="FG40" s="559"/>
      <c r="FH40" s="559"/>
      <c r="FI40" s="559"/>
      <c r="FJ40" s="559"/>
      <c r="FK40" s="559"/>
      <c r="FL40" s="559"/>
      <c r="FM40" s="559"/>
      <c r="FN40" s="559"/>
      <c r="FO40" s="559"/>
      <c r="FP40" s="559"/>
      <c r="FQ40" s="559"/>
      <c r="FR40" s="559"/>
      <c r="FS40" s="559"/>
      <c r="FT40" s="559"/>
      <c r="FU40" s="559"/>
      <c r="FV40" s="559"/>
      <c r="FW40" s="559"/>
      <c r="FX40" s="559"/>
      <c r="FY40" s="559"/>
      <c r="FZ40" s="559"/>
      <c r="GA40" s="559"/>
      <c r="GB40" s="559"/>
      <c r="GC40" s="559"/>
      <c r="GD40" s="559"/>
      <c r="GE40" s="559"/>
      <c r="GF40" s="559"/>
      <c r="GG40" s="559"/>
      <c r="GH40" s="559"/>
    </row>
    <row r="41">
      <c r="A41" s="538"/>
      <c r="B41" s="134"/>
      <c r="C41" s="57"/>
      <c r="D41" s="594" t="s">
        <v>270</v>
      </c>
      <c r="E41" s="562" t="s">
        <v>489</v>
      </c>
      <c r="F41" s="596">
        <v>4.0</v>
      </c>
      <c r="G41" s="134">
        <v>4.0</v>
      </c>
      <c r="H41" s="597"/>
      <c r="I41" s="598">
        <v>0.0</v>
      </c>
      <c r="J41" s="599">
        <v>155.0</v>
      </c>
      <c r="K41" s="600"/>
      <c r="L41" s="601"/>
      <c r="M41" s="602"/>
      <c r="N41" s="603"/>
      <c r="O41" s="604"/>
      <c r="P41" s="604"/>
      <c r="Q41" s="57"/>
      <c r="R41" s="57"/>
      <c r="S41" s="605"/>
      <c r="T41" s="605"/>
      <c r="U41" s="573"/>
      <c r="V41" s="574"/>
      <c r="W41" s="575"/>
      <c r="X41" s="576">
        <v>2480.0</v>
      </c>
      <c r="Y41" s="577" t="e">
        <v>#VALUE!</v>
      </c>
      <c r="Z41" s="577">
        <v>16.0</v>
      </c>
      <c r="AA41" s="578">
        <v>0.6458333333333334</v>
      </c>
      <c r="AB41" s="578"/>
      <c r="AC41" s="579"/>
      <c r="AD41" s="580">
        <v>5.0</v>
      </c>
      <c r="AE41" s="581"/>
      <c r="AF41" s="582" t="s">
        <v>590</v>
      </c>
      <c r="AG41" s="583">
        <v>5.0</v>
      </c>
      <c r="AH41" s="584" t="s">
        <v>591</v>
      </c>
      <c r="AI41" s="583">
        <v>1.0</v>
      </c>
      <c r="AJ41" s="585">
        <v>8.5</v>
      </c>
      <c r="AK41" s="583">
        <v>4.0</v>
      </c>
      <c r="AL41" s="584" t="s">
        <v>592</v>
      </c>
      <c r="AM41" s="583">
        <v>0.0</v>
      </c>
      <c r="AN41" s="585">
        <v>9.0</v>
      </c>
      <c r="AO41" s="583">
        <v>2.0</v>
      </c>
      <c r="AP41" s="584" t="s">
        <v>593</v>
      </c>
      <c r="AQ41" s="583"/>
      <c r="AR41" s="585"/>
      <c r="AS41" s="583">
        <v>2.0</v>
      </c>
      <c r="AT41" s="584">
        <v>205.0</v>
      </c>
      <c r="AU41" s="583"/>
      <c r="AV41" s="585"/>
      <c r="AW41" s="583">
        <v>4.0</v>
      </c>
      <c r="AX41" s="584">
        <v>200.0</v>
      </c>
      <c r="AY41" s="583"/>
      <c r="AZ41" s="585"/>
      <c r="BA41" s="583"/>
      <c r="BB41" s="584"/>
      <c r="BC41" s="583"/>
      <c r="BD41" s="585"/>
      <c r="BE41" s="583"/>
      <c r="BF41" s="584"/>
      <c r="BG41" s="583"/>
      <c r="BH41" s="585"/>
      <c r="BI41" s="583"/>
      <c r="BJ41" s="584"/>
      <c r="BK41" s="583"/>
      <c r="BL41" s="585"/>
      <c r="BM41" s="583"/>
      <c r="BN41" s="584"/>
      <c r="BO41" s="583"/>
      <c r="BP41" s="585"/>
      <c r="BQ41" s="583"/>
      <c r="BR41" s="584"/>
      <c r="BS41" s="583"/>
      <c r="BT41" s="586"/>
      <c r="BU41" s="540"/>
      <c r="BV41" s="540"/>
      <c r="BW41" s="540"/>
      <c r="BX41" s="538"/>
      <c r="BY41" s="538"/>
      <c r="BZ41" s="587">
        <v>240.0</v>
      </c>
      <c r="CA41" s="588"/>
      <c r="CB41" s="589" t="s">
        <v>365</v>
      </c>
      <c r="CC41" s="590">
        <v>17.0</v>
      </c>
      <c r="CD41" s="590">
        <v>0.2</v>
      </c>
      <c r="CE41" s="590" t="e">
        <v>#VALUE!</v>
      </c>
      <c r="CF41" s="590"/>
      <c r="CG41" s="590">
        <v>0.17</v>
      </c>
      <c r="CH41" s="590"/>
      <c r="CI41" s="591"/>
      <c r="CJ41" s="590">
        <v>2.8</v>
      </c>
      <c r="CK41" s="478">
        <v>3.5</v>
      </c>
      <c r="CL41" s="592"/>
      <c r="CM41" s="593"/>
      <c r="CN41" s="538"/>
      <c r="CO41" s="538"/>
      <c r="CP41" s="538"/>
      <c r="CQ41" s="538"/>
      <c r="CR41" s="538"/>
      <c r="CS41" s="538"/>
      <c r="CT41" s="538"/>
      <c r="CU41" s="538"/>
      <c r="CV41" s="538"/>
      <c r="CW41" s="538"/>
      <c r="CX41" s="538"/>
      <c r="CY41" s="538"/>
      <c r="CZ41" s="538"/>
      <c r="DA41" s="538"/>
      <c r="DB41" s="538"/>
      <c r="DC41" s="538"/>
      <c r="DD41" s="538"/>
      <c r="DE41" s="538"/>
      <c r="DF41" s="538"/>
      <c r="DG41" s="538"/>
      <c r="DH41" s="538"/>
      <c r="DI41" s="538"/>
      <c r="DJ41" s="538"/>
      <c r="DK41" s="538"/>
      <c r="DL41" s="538"/>
      <c r="DM41" s="538"/>
      <c r="DN41" s="538"/>
      <c r="DO41" s="538"/>
      <c r="DP41" s="538"/>
      <c r="DQ41" s="538"/>
      <c r="DR41" s="538"/>
      <c r="DS41" s="538"/>
      <c r="DT41" s="538"/>
      <c r="DU41" s="538"/>
      <c r="DV41" s="538"/>
      <c r="DW41" s="538"/>
      <c r="DX41" s="538"/>
      <c r="DY41" s="538"/>
      <c r="DZ41" s="538"/>
      <c r="EA41" s="538"/>
      <c r="EB41" s="538"/>
      <c r="EC41" s="538"/>
      <c r="ED41" s="538"/>
      <c r="EE41" s="538"/>
      <c r="EF41" s="538"/>
      <c r="EG41" s="538"/>
      <c r="EH41" s="538"/>
      <c r="EI41" s="538"/>
      <c r="EJ41" s="538"/>
      <c r="EK41" s="538"/>
      <c r="EL41" s="538"/>
      <c r="EM41" s="538"/>
      <c r="EN41" s="538"/>
      <c r="EO41" s="538"/>
      <c r="EP41" s="538"/>
      <c r="EQ41" s="538"/>
      <c r="ER41" s="538"/>
      <c r="ES41" s="538"/>
      <c r="ET41" s="538"/>
      <c r="EU41" s="538"/>
      <c r="EV41" s="538"/>
      <c r="EW41" s="538"/>
      <c r="EX41" s="559"/>
      <c r="EY41" s="559"/>
      <c r="EZ41" s="559"/>
      <c r="FA41" s="559"/>
      <c r="FB41" s="559"/>
      <c r="FC41" s="559"/>
      <c r="FD41" s="559"/>
      <c r="FE41" s="559"/>
      <c r="FF41" s="559"/>
      <c r="FG41" s="559"/>
      <c r="FH41" s="559"/>
      <c r="FI41" s="559"/>
      <c r="FJ41" s="559"/>
      <c r="FK41" s="559"/>
      <c r="FL41" s="559"/>
      <c r="FM41" s="559"/>
      <c r="FN41" s="559"/>
      <c r="FO41" s="559"/>
      <c r="FP41" s="559"/>
      <c r="FQ41" s="559"/>
      <c r="FR41" s="559"/>
      <c r="FS41" s="559"/>
      <c r="FT41" s="559"/>
      <c r="FU41" s="559"/>
      <c r="FV41" s="559"/>
      <c r="FW41" s="559"/>
      <c r="FX41" s="559"/>
      <c r="FY41" s="559"/>
      <c r="FZ41" s="559"/>
      <c r="GA41" s="559"/>
      <c r="GB41" s="559"/>
      <c r="GC41" s="559"/>
      <c r="GD41" s="559"/>
      <c r="GE41" s="559"/>
      <c r="GF41" s="559"/>
      <c r="GG41" s="559"/>
      <c r="GH41" s="559"/>
    </row>
    <row r="42">
      <c r="A42" s="538"/>
      <c r="B42" s="560"/>
      <c r="C42" s="47"/>
      <c r="D42" s="561" t="s">
        <v>302</v>
      </c>
      <c r="E42" s="606" t="s">
        <v>492</v>
      </c>
      <c r="F42" s="563">
        <v>4.0</v>
      </c>
      <c r="G42" s="560">
        <v>12.0</v>
      </c>
      <c r="H42" s="564"/>
      <c r="I42" s="565" t="s">
        <v>365</v>
      </c>
      <c r="J42" s="566"/>
      <c r="K42" s="567">
        <v>2.0</v>
      </c>
      <c r="L42" s="568"/>
      <c r="M42" s="569"/>
      <c r="N42" s="570"/>
      <c r="O42" s="571"/>
      <c r="P42" s="571"/>
      <c r="Q42" s="47"/>
      <c r="R42" s="47"/>
      <c r="S42" s="572"/>
      <c r="T42" s="572"/>
      <c r="U42" s="573"/>
      <c r="V42" s="574"/>
      <c r="W42" s="575"/>
      <c r="X42" s="576">
        <v>0.0</v>
      </c>
      <c r="Y42" s="577">
        <v>0.0</v>
      </c>
      <c r="Z42" s="577">
        <v>48.0</v>
      </c>
      <c r="AA42" s="578" t="b">
        <v>0</v>
      </c>
      <c r="AB42" s="578"/>
      <c r="AC42" s="579"/>
      <c r="AD42" s="580">
        <v>0.0</v>
      </c>
      <c r="AE42" s="581"/>
      <c r="AF42" s="582" t="s">
        <v>493</v>
      </c>
      <c r="AG42" s="583"/>
      <c r="AH42" s="584"/>
      <c r="AI42" s="583"/>
      <c r="AJ42" s="585"/>
      <c r="AK42" s="583"/>
      <c r="AL42" s="584"/>
      <c r="AM42" s="583"/>
      <c r="AN42" s="585"/>
      <c r="AO42" s="583"/>
      <c r="AP42" s="584"/>
      <c r="AQ42" s="583"/>
      <c r="AR42" s="585"/>
      <c r="AS42" s="583"/>
      <c r="AT42" s="584"/>
      <c r="AU42" s="583"/>
      <c r="AV42" s="585"/>
      <c r="AW42" s="583"/>
      <c r="AX42" s="584"/>
      <c r="AY42" s="583"/>
      <c r="AZ42" s="585"/>
      <c r="BA42" s="583"/>
      <c r="BB42" s="584"/>
      <c r="BC42" s="583"/>
      <c r="BD42" s="585"/>
      <c r="BE42" s="583"/>
      <c r="BF42" s="584"/>
      <c r="BG42" s="583"/>
      <c r="BH42" s="585"/>
      <c r="BI42" s="583"/>
      <c r="BJ42" s="584"/>
      <c r="BK42" s="583"/>
      <c r="BL42" s="585"/>
      <c r="BM42" s="583"/>
      <c r="BN42" s="584"/>
      <c r="BO42" s="583"/>
      <c r="BP42" s="585"/>
      <c r="BQ42" s="583"/>
      <c r="BR42" s="584"/>
      <c r="BS42" s="583"/>
      <c r="BT42" s="586"/>
      <c r="BU42" s="540"/>
      <c r="BV42" s="540"/>
      <c r="BW42" s="540"/>
      <c r="BX42" s="538"/>
      <c r="BY42" s="538"/>
      <c r="BZ42" s="587"/>
      <c r="CA42" s="588"/>
      <c r="CB42" s="589" t="s">
        <v>365</v>
      </c>
      <c r="CC42" s="590">
        <v>0.0</v>
      </c>
      <c r="CD42" s="590" t="s">
        <v>365</v>
      </c>
      <c r="CE42" s="590">
        <v>0.0</v>
      </c>
      <c r="CF42" s="590"/>
      <c r="CG42" s="590">
        <v>0.0</v>
      </c>
      <c r="CH42" s="590"/>
      <c r="CI42" s="591"/>
      <c r="CJ42" s="590">
        <v>0.0</v>
      </c>
      <c r="CK42" s="478" t="s">
        <v>365</v>
      </c>
      <c r="CL42" s="592"/>
      <c r="CM42" s="593"/>
      <c r="CN42" s="538"/>
      <c r="CO42" s="538"/>
      <c r="CP42" s="538"/>
      <c r="CQ42" s="538"/>
      <c r="CR42" s="538"/>
      <c r="CS42" s="538"/>
      <c r="CT42" s="538"/>
      <c r="CU42" s="538"/>
      <c r="CV42" s="538"/>
      <c r="CW42" s="538"/>
      <c r="CX42" s="538"/>
      <c r="CY42" s="538"/>
      <c r="CZ42" s="538"/>
      <c r="DA42" s="538"/>
      <c r="DB42" s="538"/>
      <c r="DC42" s="538"/>
      <c r="DD42" s="538"/>
      <c r="DE42" s="538"/>
      <c r="DF42" s="538"/>
      <c r="DG42" s="538"/>
      <c r="DH42" s="538"/>
      <c r="DI42" s="538"/>
      <c r="DJ42" s="538"/>
      <c r="DK42" s="538"/>
      <c r="DL42" s="538"/>
      <c r="DM42" s="538"/>
      <c r="DN42" s="538"/>
      <c r="DO42" s="538"/>
      <c r="DP42" s="538"/>
      <c r="DQ42" s="538"/>
      <c r="DR42" s="538"/>
      <c r="DS42" s="538"/>
      <c r="DT42" s="538"/>
      <c r="DU42" s="538"/>
      <c r="DV42" s="538"/>
      <c r="DW42" s="538"/>
      <c r="DX42" s="538"/>
      <c r="DY42" s="538"/>
      <c r="DZ42" s="538"/>
      <c r="EA42" s="538"/>
      <c r="EB42" s="538"/>
      <c r="EC42" s="538"/>
      <c r="ED42" s="538"/>
      <c r="EE42" s="538"/>
      <c r="EF42" s="538"/>
      <c r="EG42" s="538"/>
      <c r="EH42" s="538"/>
      <c r="EI42" s="538"/>
      <c r="EJ42" s="538"/>
      <c r="EK42" s="538"/>
      <c r="EL42" s="538"/>
      <c r="EM42" s="538"/>
      <c r="EN42" s="538"/>
      <c r="EO42" s="538"/>
      <c r="EP42" s="538"/>
      <c r="EQ42" s="538"/>
      <c r="ER42" s="538"/>
      <c r="ES42" s="538"/>
      <c r="ET42" s="538"/>
      <c r="EU42" s="538"/>
      <c r="EV42" s="538"/>
      <c r="EW42" s="538"/>
      <c r="EX42" s="559"/>
      <c r="EY42" s="559"/>
      <c r="EZ42" s="559"/>
      <c r="FA42" s="559"/>
      <c r="FB42" s="559"/>
      <c r="FC42" s="559"/>
      <c r="FD42" s="559"/>
      <c r="FE42" s="559"/>
      <c r="FF42" s="559"/>
      <c r="FG42" s="559"/>
      <c r="FH42" s="559"/>
      <c r="FI42" s="559"/>
      <c r="FJ42" s="559"/>
      <c r="FK42" s="559"/>
      <c r="FL42" s="559"/>
      <c r="FM42" s="559"/>
      <c r="FN42" s="559"/>
      <c r="FO42" s="559"/>
      <c r="FP42" s="559"/>
      <c r="FQ42" s="559"/>
      <c r="FR42" s="559"/>
      <c r="FS42" s="559"/>
      <c r="FT42" s="559"/>
      <c r="FU42" s="559"/>
      <c r="FV42" s="559"/>
      <c r="FW42" s="559"/>
      <c r="FX42" s="559"/>
      <c r="FY42" s="559"/>
      <c r="FZ42" s="559"/>
      <c r="GA42" s="559"/>
      <c r="GB42" s="559"/>
      <c r="GC42" s="559"/>
      <c r="GD42" s="559"/>
      <c r="GE42" s="559"/>
      <c r="GF42" s="559"/>
      <c r="GG42" s="559"/>
      <c r="GH42" s="559"/>
    </row>
    <row r="43">
      <c r="A43" s="538"/>
      <c r="B43" s="134"/>
      <c r="C43" s="57"/>
      <c r="D43" s="594" t="s">
        <v>302</v>
      </c>
      <c r="E43" s="595" t="s">
        <v>495</v>
      </c>
      <c r="F43" s="596">
        <v>3.0</v>
      </c>
      <c r="G43" s="134">
        <v>12.0</v>
      </c>
      <c r="H43" s="597"/>
      <c r="I43" s="598" t="s">
        <v>365</v>
      </c>
      <c r="J43" s="599"/>
      <c r="K43" s="600">
        <v>2.0</v>
      </c>
      <c r="L43" s="601"/>
      <c r="M43" s="602"/>
      <c r="N43" s="603"/>
      <c r="O43" s="604"/>
      <c r="P43" s="604"/>
      <c r="Q43" s="57"/>
      <c r="S43" s="605"/>
      <c r="U43" s="573"/>
      <c r="V43" s="574"/>
      <c r="W43" s="575"/>
      <c r="X43" s="576">
        <v>0.0</v>
      </c>
      <c r="Y43" s="577">
        <v>0.0</v>
      </c>
      <c r="Z43" s="577">
        <v>36.0</v>
      </c>
      <c r="AA43" s="578" t="b">
        <v>0</v>
      </c>
      <c r="AB43" s="578"/>
      <c r="AC43" s="579"/>
      <c r="AD43" s="580">
        <v>0.0</v>
      </c>
      <c r="AE43" s="581"/>
      <c r="AF43" s="582" t="s">
        <v>496</v>
      </c>
      <c r="AG43" s="583"/>
      <c r="AH43" s="584"/>
      <c r="AI43" s="583"/>
      <c r="AJ43" s="585"/>
      <c r="AK43" s="583"/>
      <c r="AL43" s="584"/>
      <c r="AM43" s="583"/>
      <c r="AN43" s="585"/>
      <c r="AO43" s="583"/>
      <c r="AP43" s="584"/>
      <c r="AQ43" s="583"/>
      <c r="AR43" s="585"/>
      <c r="AS43" s="583"/>
      <c r="AT43" s="584"/>
      <c r="AU43" s="583"/>
      <c r="AV43" s="585"/>
      <c r="AW43" s="583"/>
      <c r="AX43" s="584"/>
      <c r="AY43" s="583"/>
      <c r="AZ43" s="585"/>
      <c r="BA43" s="583"/>
      <c r="BB43" s="584"/>
      <c r="BC43" s="583"/>
      <c r="BD43" s="585"/>
      <c r="BE43" s="583"/>
      <c r="BF43" s="584"/>
      <c r="BG43" s="583"/>
      <c r="BH43" s="585"/>
      <c r="BI43" s="583"/>
      <c r="BJ43" s="584"/>
      <c r="BK43" s="583"/>
      <c r="BL43" s="585"/>
      <c r="BM43" s="583"/>
      <c r="BN43" s="584"/>
      <c r="BO43" s="583"/>
      <c r="BP43" s="585"/>
      <c r="BQ43" s="583"/>
      <c r="BR43" s="584"/>
      <c r="BS43" s="583"/>
      <c r="BT43" s="586"/>
      <c r="BU43" s="540"/>
      <c r="BV43" s="540"/>
      <c r="BW43" s="540"/>
      <c r="BX43" s="538"/>
      <c r="BY43" s="538"/>
      <c r="BZ43" s="587"/>
      <c r="CA43" s="588"/>
      <c r="CB43" s="589" t="s">
        <v>365</v>
      </c>
      <c r="CC43" s="590">
        <v>0.0</v>
      </c>
      <c r="CD43" s="590" t="s">
        <v>365</v>
      </c>
      <c r="CE43" s="590">
        <v>0.0</v>
      </c>
      <c r="CF43" s="590"/>
      <c r="CG43" s="590">
        <v>0.0</v>
      </c>
      <c r="CH43" s="590"/>
      <c r="CI43" s="591"/>
      <c r="CJ43" s="590">
        <v>0.0</v>
      </c>
      <c r="CK43" s="478" t="s">
        <v>365</v>
      </c>
      <c r="CL43" s="592"/>
      <c r="CM43" s="593"/>
      <c r="CN43" s="538"/>
      <c r="CO43" s="538"/>
      <c r="CP43" s="538"/>
      <c r="CQ43" s="538"/>
      <c r="CR43" s="538"/>
      <c r="CS43" s="538"/>
      <c r="CT43" s="538"/>
      <c r="CU43" s="538"/>
      <c r="CV43" s="538"/>
      <c r="CW43" s="538"/>
      <c r="CX43" s="538"/>
      <c r="CY43" s="538"/>
      <c r="CZ43" s="538"/>
      <c r="DA43" s="538"/>
      <c r="DB43" s="538"/>
      <c r="DC43" s="538"/>
      <c r="DD43" s="538"/>
      <c r="DE43" s="538"/>
      <c r="DF43" s="538"/>
      <c r="DG43" s="538"/>
      <c r="DH43" s="538"/>
      <c r="DI43" s="538"/>
      <c r="DJ43" s="538"/>
      <c r="DK43" s="538"/>
      <c r="DL43" s="538"/>
      <c r="DM43" s="538"/>
      <c r="DN43" s="538"/>
      <c r="DO43" s="538"/>
      <c r="DP43" s="538"/>
      <c r="DQ43" s="538"/>
      <c r="DR43" s="538"/>
      <c r="DS43" s="538"/>
      <c r="DT43" s="538"/>
      <c r="DU43" s="538"/>
      <c r="DV43" s="538"/>
      <c r="DW43" s="538"/>
      <c r="DX43" s="538"/>
      <c r="DY43" s="538"/>
      <c r="DZ43" s="538"/>
      <c r="EA43" s="538"/>
      <c r="EB43" s="538"/>
      <c r="EC43" s="538"/>
      <c r="ED43" s="538"/>
      <c r="EE43" s="538"/>
      <c r="EF43" s="538"/>
      <c r="EG43" s="538"/>
      <c r="EH43" s="538"/>
      <c r="EI43" s="538"/>
      <c r="EJ43" s="538"/>
      <c r="EK43" s="538"/>
      <c r="EL43" s="538"/>
      <c r="EM43" s="538"/>
      <c r="EN43" s="538"/>
      <c r="EO43" s="538"/>
      <c r="EP43" s="538"/>
      <c r="EQ43" s="538"/>
      <c r="ER43" s="538"/>
      <c r="ES43" s="538"/>
      <c r="ET43" s="538"/>
      <c r="EU43" s="538"/>
      <c r="EV43" s="538"/>
      <c r="EW43" s="538"/>
      <c r="EX43" s="559"/>
      <c r="EY43" s="559"/>
      <c r="EZ43" s="559"/>
      <c r="FA43" s="559"/>
      <c r="FB43" s="559"/>
      <c r="FC43" s="559"/>
      <c r="FD43" s="559"/>
      <c r="FE43" s="559"/>
      <c r="FF43" s="559"/>
      <c r="FG43" s="559"/>
      <c r="FH43" s="559"/>
      <c r="FI43" s="559"/>
      <c r="FJ43" s="559"/>
      <c r="FK43" s="559"/>
      <c r="FL43" s="559"/>
      <c r="FM43" s="559"/>
      <c r="FN43" s="559"/>
      <c r="FO43" s="559"/>
      <c r="FP43" s="559"/>
      <c r="FQ43" s="559"/>
      <c r="FR43" s="559"/>
      <c r="FS43" s="559"/>
      <c r="FT43" s="559"/>
      <c r="FU43" s="559"/>
      <c r="FV43" s="559"/>
      <c r="FW43" s="559"/>
      <c r="FX43" s="559"/>
      <c r="FY43" s="559"/>
      <c r="FZ43" s="559"/>
      <c r="GA43" s="559"/>
      <c r="GB43" s="559"/>
      <c r="GC43" s="559"/>
      <c r="GD43" s="559"/>
      <c r="GE43" s="559"/>
      <c r="GF43" s="559"/>
      <c r="GG43" s="559"/>
      <c r="GH43" s="559"/>
    </row>
    <row r="44">
      <c r="A44" s="538"/>
      <c r="B44" s="560"/>
      <c r="C44" s="47"/>
      <c r="D44" s="561" t="s">
        <v>332</v>
      </c>
      <c r="E44" s="606" t="s">
        <v>499</v>
      </c>
      <c r="F44" s="563">
        <v>3.0</v>
      </c>
      <c r="G44" s="563">
        <v>15.0</v>
      </c>
      <c r="H44" s="564"/>
      <c r="I44" s="565" t="s">
        <v>365</v>
      </c>
      <c r="J44" s="607"/>
      <c r="K44" s="567">
        <v>2.0</v>
      </c>
      <c r="L44" s="568"/>
      <c r="M44" s="569"/>
      <c r="N44" s="570"/>
      <c r="O44" s="571"/>
      <c r="P44" s="571"/>
      <c r="Q44" s="47"/>
      <c r="S44" s="572"/>
      <c r="U44" s="573"/>
      <c r="V44" s="574"/>
      <c r="W44" s="575"/>
      <c r="X44" s="576">
        <v>0.0</v>
      </c>
      <c r="Y44" s="577">
        <v>0.0</v>
      </c>
      <c r="Z44" s="577">
        <v>45.0</v>
      </c>
      <c r="AA44" s="578" t="b">
        <v>0</v>
      </c>
      <c r="AB44" s="578"/>
      <c r="AC44" s="579"/>
      <c r="AD44" s="608">
        <v>0.0</v>
      </c>
      <c r="AE44" s="609"/>
      <c r="AF44" s="582" t="s">
        <v>500</v>
      </c>
      <c r="AG44" s="583"/>
      <c r="AH44" s="584"/>
      <c r="AI44" s="583"/>
      <c r="AJ44" s="585"/>
      <c r="AK44" s="610"/>
      <c r="AL44" s="611"/>
      <c r="AM44" s="612"/>
      <c r="AN44" s="613"/>
      <c r="AO44" s="610"/>
      <c r="AP44" s="611"/>
      <c r="AQ44" s="612"/>
      <c r="AR44" s="613"/>
      <c r="AS44" s="583"/>
      <c r="AT44" s="584"/>
      <c r="AU44" s="583"/>
      <c r="AV44" s="585"/>
      <c r="AX44" s="584"/>
      <c r="AY44" s="583"/>
      <c r="AZ44" s="585"/>
      <c r="BA44" s="583"/>
      <c r="BB44" s="584"/>
      <c r="BC44" s="583"/>
      <c r="BD44" s="585"/>
      <c r="BE44" s="583"/>
      <c r="BF44" s="584"/>
      <c r="BG44" s="583"/>
      <c r="BH44" s="585"/>
      <c r="BI44" s="583"/>
      <c r="BJ44" s="584"/>
      <c r="BK44" s="583"/>
      <c r="BL44" s="585"/>
      <c r="BM44" s="583"/>
      <c r="BN44" s="584"/>
      <c r="BO44" s="583"/>
      <c r="BP44" s="585"/>
      <c r="BQ44" s="583"/>
      <c r="BR44" s="584"/>
      <c r="BS44" s="583"/>
      <c r="BT44" s="586"/>
      <c r="BU44" s="540"/>
      <c r="BV44" s="540"/>
      <c r="BW44" s="540"/>
      <c r="BX44" s="538"/>
      <c r="BY44" s="538"/>
      <c r="BZ44" s="587"/>
      <c r="CA44" s="591"/>
      <c r="CB44" s="590" t="s">
        <v>365</v>
      </c>
      <c r="CC44" s="590">
        <v>0.0</v>
      </c>
      <c r="CD44" s="590" t="s">
        <v>365</v>
      </c>
      <c r="CE44" s="590">
        <v>0.0</v>
      </c>
      <c r="CF44" s="590"/>
      <c r="CG44" s="590">
        <v>0.0</v>
      </c>
      <c r="CH44" s="590"/>
      <c r="CI44" s="591"/>
      <c r="CJ44" s="590">
        <v>0.0</v>
      </c>
      <c r="CK44" s="478" t="s">
        <v>365</v>
      </c>
      <c r="CL44" s="592"/>
      <c r="CM44" s="593"/>
      <c r="CN44" s="538"/>
      <c r="CO44" s="538"/>
      <c r="CP44" s="538"/>
      <c r="CQ44" s="538"/>
      <c r="CR44" s="538"/>
      <c r="CS44" s="538"/>
      <c r="CT44" s="538"/>
      <c r="CU44" s="538"/>
      <c r="CV44" s="538"/>
      <c r="CW44" s="538"/>
      <c r="CX44" s="538"/>
      <c r="CY44" s="538"/>
      <c r="CZ44" s="538"/>
      <c r="DA44" s="538"/>
      <c r="DB44" s="538"/>
      <c r="DC44" s="538"/>
      <c r="DD44" s="538"/>
      <c r="DE44" s="538"/>
      <c r="DF44" s="538"/>
      <c r="DG44" s="538"/>
      <c r="DH44" s="538"/>
      <c r="DI44" s="538"/>
      <c r="DJ44" s="538"/>
      <c r="DK44" s="538"/>
      <c r="DL44" s="538"/>
      <c r="DM44" s="538"/>
      <c r="DN44" s="538"/>
      <c r="DO44" s="538"/>
      <c r="DP44" s="538"/>
      <c r="DQ44" s="538"/>
      <c r="DR44" s="538"/>
      <c r="DS44" s="538"/>
      <c r="DT44" s="538"/>
      <c r="DU44" s="538"/>
      <c r="DV44" s="538"/>
      <c r="DW44" s="538"/>
      <c r="DX44" s="538"/>
      <c r="DY44" s="538"/>
      <c r="DZ44" s="538"/>
      <c r="EA44" s="538"/>
      <c r="EB44" s="538"/>
      <c r="EC44" s="538"/>
      <c r="ED44" s="538"/>
      <c r="EE44" s="538"/>
      <c r="EF44" s="538"/>
      <c r="EG44" s="538"/>
      <c r="EH44" s="538"/>
      <c r="EI44" s="538"/>
      <c r="EJ44" s="538"/>
      <c r="EK44" s="538"/>
      <c r="EL44" s="538"/>
      <c r="EM44" s="538"/>
      <c r="EN44" s="538"/>
      <c r="EO44" s="538"/>
      <c r="EP44" s="538"/>
      <c r="EQ44" s="538"/>
      <c r="ER44" s="538"/>
      <c r="ES44" s="538"/>
      <c r="ET44" s="538"/>
      <c r="EU44" s="538"/>
      <c r="EV44" s="538"/>
      <c r="EW44" s="538"/>
      <c r="EX44" s="559"/>
      <c r="EY44" s="559"/>
      <c r="EZ44" s="559"/>
      <c r="FA44" s="559"/>
      <c r="FB44" s="559"/>
      <c r="FC44" s="559"/>
      <c r="FD44" s="559"/>
      <c r="FE44" s="559"/>
      <c r="FF44" s="559"/>
      <c r="FG44" s="559"/>
      <c r="FH44" s="559"/>
      <c r="FI44" s="559"/>
      <c r="FJ44" s="559"/>
      <c r="FK44" s="559"/>
      <c r="FL44" s="559"/>
      <c r="FM44" s="559"/>
      <c r="FN44" s="559"/>
      <c r="FO44" s="559"/>
      <c r="FP44" s="559"/>
      <c r="FQ44" s="559"/>
      <c r="FR44" s="559"/>
      <c r="FS44" s="559"/>
      <c r="FT44" s="559"/>
      <c r="FU44" s="559"/>
      <c r="FV44" s="559"/>
      <c r="FW44" s="559"/>
      <c r="FX44" s="559"/>
      <c r="FY44" s="559"/>
      <c r="FZ44" s="559"/>
      <c r="GA44" s="559"/>
      <c r="GB44" s="559"/>
      <c r="GC44" s="559"/>
      <c r="GD44" s="559"/>
      <c r="GE44" s="559"/>
      <c r="GF44" s="559"/>
      <c r="GG44" s="559"/>
      <c r="GH44" s="559"/>
    </row>
    <row r="45">
      <c r="A45" s="538"/>
      <c r="B45" s="156" t="s">
        <v>379</v>
      </c>
      <c r="C45" s="444"/>
      <c r="D45" s="614"/>
      <c r="E45" s="595"/>
      <c r="F45" s="596"/>
      <c r="G45" s="596"/>
      <c r="H45" s="615"/>
      <c r="I45" s="616" t="s">
        <v>365</v>
      </c>
      <c r="J45" s="599"/>
      <c r="K45" s="600"/>
      <c r="L45" s="601"/>
      <c r="M45" s="602"/>
      <c r="N45" s="617"/>
      <c r="O45" s="604"/>
      <c r="P45" s="57"/>
      <c r="Q45" s="57"/>
      <c r="S45" s="605"/>
      <c r="U45" s="573"/>
      <c r="V45" s="574"/>
      <c r="W45" s="618"/>
      <c r="X45" s="576">
        <v>0.0</v>
      </c>
      <c r="Y45" s="577">
        <v>0.0</v>
      </c>
      <c r="Z45" s="577" t="s">
        <v>365</v>
      </c>
      <c r="AA45" s="578" t="b">
        <v>0</v>
      </c>
      <c r="AB45" s="578"/>
      <c r="AC45" s="579"/>
      <c r="AD45" s="608">
        <v>0.0</v>
      </c>
      <c r="AE45" s="609"/>
      <c r="AF45" s="582" t="s">
        <v>365</v>
      </c>
      <c r="AG45" s="583"/>
      <c r="AH45" s="584"/>
      <c r="AI45" s="583"/>
      <c r="AJ45" s="585"/>
      <c r="AK45" s="583"/>
      <c r="AL45" s="584"/>
      <c r="AM45" s="583"/>
      <c r="AN45" s="585">
        <v>8.0</v>
      </c>
      <c r="AO45" s="583"/>
      <c r="AP45" s="584"/>
      <c r="AQ45" s="583"/>
      <c r="AR45" s="585"/>
      <c r="AS45" s="583"/>
      <c r="AT45" s="584"/>
      <c r="AU45" s="583"/>
      <c r="AV45" s="585"/>
      <c r="AW45" s="583"/>
      <c r="AX45" s="584"/>
      <c r="AY45" s="583"/>
      <c r="AZ45" s="585"/>
      <c r="BA45" s="583"/>
      <c r="BB45" s="584"/>
      <c r="BC45" s="583"/>
      <c r="BD45" s="585"/>
      <c r="BE45" s="583"/>
      <c r="BF45" s="584"/>
      <c r="BG45" s="583"/>
      <c r="BH45" s="585"/>
      <c r="BI45" s="583"/>
      <c r="BJ45" s="584"/>
      <c r="BK45" s="583"/>
      <c r="BL45" s="585"/>
      <c r="BM45" s="583"/>
      <c r="BN45" s="584"/>
      <c r="BO45" s="583"/>
      <c r="BP45" s="585"/>
      <c r="BQ45" s="583"/>
      <c r="BR45" s="584"/>
      <c r="BS45" s="583"/>
      <c r="BT45" s="586"/>
      <c r="BU45" s="540"/>
      <c r="BV45" s="540"/>
      <c r="BW45" s="540"/>
      <c r="BX45" s="538"/>
      <c r="BY45" s="538"/>
      <c r="BZ45" s="587"/>
      <c r="CA45" s="591"/>
      <c r="CB45" s="590" t="s">
        <v>365</v>
      </c>
      <c r="CC45" s="590">
        <v>0.0</v>
      </c>
      <c r="CD45" s="590" t="s">
        <v>365</v>
      </c>
      <c r="CE45" s="590">
        <v>0.0</v>
      </c>
      <c r="CF45" s="590"/>
      <c r="CG45" s="590">
        <v>0.0</v>
      </c>
      <c r="CH45" s="590"/>
      <c r="CI45" s="591"/>
      <c r="CJ45" s="590">
        <v>0.0</v>
      </c>
      <c r="CK45" s="479" t="s">
        <v>365</v>
      </c>
      <c r="CL45" s="592"/>
      <c r="CM45" s="593"/>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59"/>
      <c r="EY45" s="559"/>
      <c r="EZ45" s="559"/>
      <c r="FA45" s="559"/>
      <c r="FB45" s="559"/>
      <c r="FC45" s="559"/>
      <c r="FD45" s="559"/>
      <c r="FE45" s="559"/>
      <c r="FF45" s="559"/>
      <c r="FG45" s="559"/>
      <c r="FH45" s="559"/>
      <c r="FI45" s="559"/>
      <c r="FJ45" s="559"/>
      <c r="FK45" s="559"/>
      <c r="FL45" s="559"/>
      <c r="FM45" s="559"/>
      <c r="FN45" s="559"/>
      <c r="FO45" s="559"/>
      <c r="FP45" s="559"/>
      <c r="FQ45" s="559"/>
      <c r="FR45" s="559"/>
      <c r="FS45" s="559"/>
      <c r="FT45" s="559"/>
      <c r="FU45" s="559"/>
      <c r="FV45" s="559"/>
      <c r="FW45" s="559"/>
      <c r="FX45" s="559"/>
      <c r="FY45" s="559"/>
      <c r="FZ45" s="559"/>
      <c r="GA45" s="559"/>
      <c r="GB45" s="559"/>
      <c r="GC45" s="559"/>
      <c r="GD45" s="559"/>
      <c r="GE45" s="559"/>
      <c r="GF45" s="559"/>
      <c r="GG45" s="559"/>
      <c r="GH45" s="559"/>
    </row>
    <row r="46">
      <c r="A46" s="538"/>
      <c r="B46" s="156"/>
      <c r="C46" s="444"/>
      <c r="D46" s="614" t="s">
        <v>380</v>
      </c>
      <c r="E46" s="562" t="s">
        <v>501</v>
      </c>
      <c r="F46" s="563">
        <v>4.0</v>
      </c>
      <c r="G46" s="563">
        <v>3.0</v>
      </c>
      <c r="H46" s="564"/>
      <c r="I46" s="565">
        <v>0.0</v>
      </c>
      <c r="J46" s="566">
        <v>90.0</v>
      </c>
      <c r="K46" s="567"/>
      <c r="L46" s="568"/>
      <c r="M46" s="569"/>
      <c r="N46" s="619"/>
      <c r="O46" s="571"/>
      <c r="P46" s="560"/>
      <c r="Q46" s="47"/>
      <c r="S46" s="572"/>
      <c r="U46" s="573"/>
      <c r="V46" s="574"/>
      <c r="W46" s="618"/>
      <c r="X46" s="576">
        <v>1080.0</v>
      </c>
      <c r="Y46" s="577">
        <v>1080.0</v>
      </c>
      <c r="Z46" s="577">
        <v>12.0</v>
      </c>
      <c r="AA46" s="578">
        <v>0.782608695652174</v>
      </c>
      <c r="AB46" s="578"/>
      <c r="AC46" s="579"/>
      <c r="AD46" s="608">
        <v>4.0</v>
      </c>
      <c r="AE46" s="609"/>
      <c r="AF46" s="582" t="s">
        <v>594</v>
      </c>
      <c r="AG46" s="583">
        <v>3.0</v>
      </c>
      <c r="AH46" s="584">
        <v>90.0</v>
      </c>
      <c r="AI46" s="583">
        <v>1.0</v>
      </c>
      <c r="AJ46" s="585">
        <v>8.5</v>
      </c>
      <c r="AK46" s="583">
        <v>3.0</v>
      </c>
      <c r="AL46" s="584">
        <v>90.0</v>
      </c>
      <c r="AM46" s="583">
        <v>1.0</v>
      </c>
      <c r="AN46" s="585">
        <v>8.5</v>
      </c>
      <c r="AO46" s="583">
        <v>3.0</v>
      </c>
      <c r="AP46" s="584">
        <v>90.0</v>
      </c>
      <c r="AQ46" s="583">
        <v>1.0</v>
      </c>
      <c r="AR46" s="585">
        <v>8.0</v>
      </c>
      <c r="AS46" s="610">
        <v>3.0</v>
      </c>
      <c r="AT46" s="620">
        <v>90.0</v>
      </c>
      <c r="AU46" s="612"/>
      <c r="AV46" s="613"/>
      <c r="AW46" s="610"/>
      <c r="AX46" s="620"/>
      <c r="AY46" s="612"/>
      <c r="AZ46" s="613"/>
      <c r="BA46" s="583"/>
      <c r="BB46" s="584"/>
      <c r="BC46" s="583"/>
      <c r="BD46" s="585"/>
      <c r="BE46" s="583"/>
      <c r="BF46" s="584"/>
      <c r="BG46" s="583"/>
      <c r="BH46" s="585"/>
      <c r="BI46" s="583"/>
      <c r="BJ46" s="584"/>
      <c r="BK46" s="583"/>
      <c r="BL46" s="585"/>
      <c r="BM46" s="583"/>
      <c r="BN46" s="584"/>
      <c r="BO46" s="583"/>
      <c r="BP46" s="585"/>
      <c r="BQ46" s="583"/>
      <c r="BR46" s="584"/>
      <c r="BS46" s="583"/>
      <c r="BT46" s="586"/>
      <c r="BU46" s="540"/>
      <c r="BV46" s="540"/>
      <c r="BW46" s="540"/>
      <c r="BX46" s="538"/>
      <c r="BY46" s="538"/>
      <c r="BZ46" s="587">
        <v>115.0</v>
      </c>
      <c r="CA46" s="591">
        <v>0.782608695652174</v>
      </c>
      <c r="CB46" s="590">
        <v>90.0</v>
      </c>
      <c r="CC46" s="590">
        <v>12.0</v>
      </c>
      <c r="CD46" s="590">
        <v>0.75</v>
      </c>
      <c r="CE46" s="590">
        <v>1080.0</v>
      </c>
      <c r="CF46" s="590">
        <v>9.391304347826088</v>
      </c>
      <c r="CG46" s="590">
        <v>0.5519999999999999</v>
      </c>
      <c r="CH46" s="590"/>
      <c r="CI46" s="591">
        <v>0.8607913043478261</v>
      </c>
      <c r="CJ46" s="590">
        <v>3.5999999999999996</v>
      </c>
      <c r="CK46" s="479">
        <v>6.25</v>
      </c>
      <c r="CL46" s="592">
        <v>137.45704467353954</v>
      </c>
      <c r="CM46" s="593">
        <v>132.06162876008804</v>
      </c>
      <c r="CN46" s="538"/>
      <c r="CO46" s="538"/>
      <c r="CP46" s="538"/>
      <c r="CQ46" s="538"/>
      <c r="CR46" s="538"/>
      <c r="CS46" s="538"/>
      <c r="CT46" s="538"/>
      <c r="CU46" s="538"/>
      <c r="CV46" s="538"/>
      <c r="CW46" s="538"/>
      <c r="CX46" s="538"/>
      <c r="CY46" s="538"/>
      <c r="CZ46" s="538"/>
      <c r="DA46" s="538"/>
      <c r="DB46" s="538"/>
      <c r="DC46" s="538"/>
      <c r="DD46" s="538"/>
      <c r="DE46" s="538"/>
      <c r="DF46" s="538"/>
      <c r="DG46" s="538"/>
      <c r="DH46" s="538"/>
      <c r="DI46" s="538"/>
      <c r="DJ46" s="538"/>
      <c r="DK46" s="538"/>
      <c r="DL46" s="538"/>
      <c r="DM46" s="538"/>
      <c r="DN46" s="538"/>
      <c r="DO46" s="538"/>
      <c r="DP46" s="538"/>
      <c r="DQ46" s="538"/>
      <c r="DR46" s="538"/>
      <c r="DS46" s="538"/>
      <c r="DT46" s="538"/>
      <c r="DU46" s="538"/>
      <c r="DV46" s="538"/>
      <c r="DW46" s="538"/>
      <c r="DX46" s="538"/>
      <c r="DY46" s="538"/>
      <c r="DZ46" s="538"/>
      <c r="EA46" s="538"/>
      <c r="EB46" s="538"/>
      <c r="EC46" s="538"/>
      <c r="ED46" s="538"/>
      <c r="EE46" s="538"/>
      <c r="EF46" s="538"/>
      <c r="EG46" s="538"/>
      <c r="EH46" s="538"/>
      <c r="EI46" s="538"/>
      <c r="EJ46" s="538"/>
      <c r="EK46" s="538"/>
      <c r="EL46" s="538"/>
      <c r="EM46" s="538"/>
      <c r="EN46" s="538"/>
      <c r="EO46" s="538"/>
      <c r="EP46" s="538"/>
      <c r="EQ46" s="538"/>
      <c r="ER46" s="538"/>
      <c r="ES46" s="538"/>
      <c r="ET46" s="538"/>
      <c r="EU46" s="538"/>
      <c r="EV46" s="538"/>
      <c r="EW46" s="538"/>
      <c r="EX46" s="559"/>
      <c r="EY46" s="559"/>
      <c r="EZ46" s="559"/>
      <c r="FA46" s="559"/>
      <c r="FB46" s="559"/>
      <c r="FC46" s="559"/>
      <c r="FD46" s="559"/>
      <c r="FE46" s="559"/>
      <c r="FF46" s="559"/>
      <c r="FG46" s="559"/>
      <c r="FH46" s="559"/>
      <c r="FI46" s="559"/>
      <c r="FJ46" s="559"/>
      <c r="FK46" s="559"/>
      <c r="FL46" s="559"/>
      <c r="FM46" s="559"/>
      <c r="FN46" s="559"/>
      <c r="FO46" s="559"/>
      <c r="FP46" s="559"/>
      <c r="FQ46" s="559"/>
      <c r="FR46" s="559"/>
      <c r="FS46" s="559"/>
      <c r="FT46" s="559"/>
      <c r="FU46" s="559"/>
      <c r="FV46" s="559"/>
      <c r="FW46" s="559"/>
      <c r="FX46" s="559"/>
      <c r="FY46" s="559"/>
      <c r="FZ46" s="559"/>
      <c r="GA46" s="559"/>
      <c r="GB46" s="559"/>
      <c r="GC46" s="559"/>
      <c r="GD46" s="559"/>
      <c r="GE46" s="559"/>
      <c r="GF46" s="559"/>
      <c r="GG46" s="559"/>
      <c r="GH46" s="559"/>
    </row>
    <row r="47">
      <c r="A47" s="538"/>
      <c r="B47" s="156"/>
      <c r="C47" s="444"/>
      <c r="D47" s="614" t="s">
        <v>313</v>
      </c>
      <c r="E47" s="595" t="s">
        <v>505</v>
      </c>
      <c r="F47" s="596">
        <v>3.0</v>
      </c>
      <c r="G47" s="596">
        <v>10.0</v>
      </c>
      <c r="H47" s="597"/>
      <c r="I47" s="616" t="s">
        <v>365</v>
      </c>
      <c r="J47" s="599"/>
      <c r="K47" s="600">
        <v>2.0</v>
      </c>
      <c r="L47" s="601">
        <v>3.0</v>
      </c>
      <c r="M47" s="602"/>
      <c r="N47" s="603"/>
      <c r="O47" s="621"/>
      <c r="P47" s="57"/>
      <c r="Q47" s="57"/>
      <c r="R47" s="57"/>
      <c r="S47" s="605"/>
      <c r="T47" s="605"/>
      <c r="U47" s="573"/>
      <c r="V47" s="574"/>
      <c r="W47" s="618"/>
      <c r="X47" s="576">
        <v>0.0</v>
      </c>
      <c r="Y47" s="577" t="e">
        <v>#VALUE!</v>
      </c>
      <c r="Z47" s="577">
        <v>30.0</v>
      </c>
      <c r="AA47" s="578" t="b">
        <v>0</v>
      </c>
      <c r="AB47" s="578"/>
      <c r="AC47" s="579"/>
      <c r="AD47" s="608">
        <v>2.0</v>
      </c>
      <c r="AE47" s="609"/>
      <c r="AF47" s="582" t="s">
        <v>506</v>
      </c>
      <c r="AG47" s="583">
        <v>12.0</v>
      </c>
      <c r="AH47" s="584" t="s">
        <v>595</v>
      </c>
      <c r="AI47" s="583"/>
      <c r="AJ47" s="585"/>
      <c r="AK47" s="583">
        <v>15.0</v>
      </c>
      <c r="AL47" s="584" t="s">
        <v>596</v>
      </c>
      <c r="AM47" s="583"/>
      <c r="AN47" s="585"/>
      <c r="AO47" s="583"/>
      <c r="AP47" s="584"/>
      <c r="AQ47" s="583"/>
      <c r="AR47" s="585"/>
      <c r="AS47" s="583"/>
      <c r="AT47" s="584"/>
      <c r="AU47" s="583"/>
      <c r="AV47" s="585"/>
      <c r="AW47" s="583"/>
      <c r="AX47" s="584"/>
      <c r="AY47" s="583"/>
      <c r="AZ47" s="585"/>
      <c r="BA47" s="583"/>
      <c r="BB47" s="584"/>
      <c r="BC47" s="583"/>
      <c r="BD47" s="585"/>
      <c r="BE47" s="583"/>
      <c r="BF47" s="584"/>
      <c r="BG47" s="583"/>
      <c r="BH47" s="585"/>
      <c r="BI47" s="583"/>
      <c r="BJ47" s="584"/>
      <c r="BK47" s="583"/>
      <c r="BL47" s="585"/>
      <c r="BM47" s="583"/>
      <c r="BN47" s="584"/>
      <c r="BO47" s="583"/>
      <c r="BP47" s="585"/>
      <c r="BQ47" s="583"/>
      <c r="BR47" s="584"/>
      <c r="BS47" s="583"/>
      <c r="BT47" s="586"/>
      <c r="BU47" s="540"/>
      <c r="BV47" s="540"/>
      <c r="BW47" s="540"/>
      <c r="BX47" s="538"/>
      <c r="BY47" s="538"/>
      <c r="BZ47" s="587"/>
      <c r="CA47" s="591"/>
      <c r="CB47" s="590" t="s">
        <v>365</v>
      </c>
      <c r="CC47" s="590">
        <v>27.0</v>
      </c>
      <c r="CD47" s="590">
        <v>0.0</v>
      </c>
      <c r="CE47" s="590" t="e">
        <v>#VALUE!</v>
      </c>
      <c r="CF47" s="590"/>
      <c r="CG47" s="590">
        <v>0.27</v>
      </c>
      <c r="CH47" s="590"/>
      <c r="CI47" s="591"/>
      <c r="CJ47" s="590">
        <v>0.0</v>
      </c>
      <c r="CK47" s="479">
        <v>0.0</v>
      </c>
      <c r="CL47" s="592"/>
      <c r="CM47" s="593"/>
      <c r="CN47" s="538"/>
      <c r="CO47" s="538"/>
      <c r="CP47" s="538"/>
      <c r="CQ47" s="538"/>
      <c r="CR47" s="538"/>
      <c r="CS47" s="538"/>
      <c r="CT47" s="538"/>
      <c r="CU47" s="538"/>
      <c r="CV47" s="538"/>
      <c r="CW47" s="538"/>
      <c r="CX47" s="538"/>
      <c r="CY47" s="538"/>
      <c r="CZ47" s="538"/>
      <c r="DA47" s="538"/>
      <c r="DB47" s="538"/>
      <c r="DC47" s="538"/>
      <c r="DD47" s="538"/>
      <c r="DE47" s="538"/>
      <c r="DF47" s="538"/>
      <c r="DG47" s="538"/>
      <c r="DH47" s="538"/>
      <c r="DI47" s="538"/>
      <c r="DJ47" s="538"/>
      <c r="DK47" s="538"/>
      <c r="DL47" s="538"/>
      <c r="DM47" s="538"/>
      <c r="DN47" s="538"/>
      <c r="DO47" s="538"/>
      <c r="DP47" s="538"/>
      <c r="DQ47" s="538"/>
      <c r="DR47" s="538"/>
      <c r="DS47" s="538"/>
      <c r="DT47" s="538"/>
      <c r="DU47" s="538"/>
      <c r="DV47" s="538"/>
      <c r="DW47" s="538"/>
      <c r="DX47" s="538"/>
      <c r="DY47" s="538"/>
      <c r="DZ47" s="538"/>
      <c r="EA47" s="538"/>
      <c r="EB47" s="538"/>
      <c r="EC47" s="538"/>
      <c r="ED47" s="538"/>
      <c r="EE47" s="538"/>
      <c r="EF47" s="538"/>
      <c r="EG47" s="538"/>
      <c r="EH47" s="538"/>
      <c r="EI47" s="538"/>
      <c r="EJ47" s="538"/>
      <c r="EK47" s="538"/>
      <c r="EL47" s="538"/>
      <c r="EM47" s="538"/>
      <c r="EN47" s="538"/>
      <c r="EO47" s="538"/>
      <c r="EP47" s="538"/>
      <c r="EQ47" s="538"/>
      <c r="ER47" s="538"/>
      <c r="ES47" s="538"/>
      <c r="ET47" s="538"/>
      <c r="EU47" s="538"/>
      <c r="EV47" s="538"/>
      <c r="EW47" s="538"/>
      <c r="EX47" s="559"/>
      <c r="EY47" s="559"/>
      <c r="EZ47" s="559"/>
      <c r="FA47" s="559"/>
      <c r="FB47" s="559"/>
      <c r="FC47" s="559"/>
      <c r="FD47" s="559"/>
      <c r="FE47" s="559"/>
      <c r="FF47" s="559"/>
      <c r="FG47" s="559"/>
      <c r="FH47" s="559"/>
      <c r="FI47" s="559"/>
      <c r="FJ47" s="559"/>
      <c r="FK47" s="559"/>
      <c r="FL47" s="559"/>
      <c r="FM47" s="559"/>
      <c r="FN47" s="559"/>
      <c r="FO47" s="559"/>
      <c r="FP47" s="559"/>
      <c r="FQ47" s="559"/>
      <c r="FR47" s="559"/>
      <c r="FS47" s="559"/>
      <c r="FT47" s="559"/>
      <c r="FU47" s="559"/>
      <c r="FV47" s="559"/>
      <c r="FW47" s="559"/>
      <c r="FX47" s="559"/>
      <c r="FY47" s="559"/>
      <c r="FZ47" s="559"/>
      <c r="GA47" s="559"/>
      <c r="GB47" s="559"/>
      <c r="GC47" s="559"/>
      <c r="GD47" s="559"/>
      <c r="GE47" s="559"/>
      <c r="GF47" s="559"/>
      <c r="GG47" s="559"/>
      <c r="GH47" s="559"/>
    </row>
    <row r="48">
      <c r="A48" s="538"/>
      <c r="B48" s="156"/>
      <c r="C48" s="444"/>
      <c r="D48" s="614" t="s">
        <v>317</v>
      </c>
      <c r="E48" s="606" t="s">
        <v>511</v>
      </c>
      <c r="F48" s="563">
        <v>3.0</v>
      </c>
      <c r="G48" s="560">
        <v>8.0</v>
      </c>
      <c r="H48" s="564"/>
      <c r="I48" s="622" t="s">
        <v>365</v>
      </c>
      <c r="J48" s="566"/>
      <c r="K48" s="567">
        <v>2.0</v>
      </c>
      <c r="L48" s="568"/>
      <c r="M48" s="569"/>
      <c r="N48" s="570"/>
      <c r="O48" s="623"/>
      <c r="P48" s="47"/>
      <c r="Q48" s="47"/>
      <c r="S48" s="572"/>
      <c r="U48" s="573"/>
      <c r="V48" s="574"/>
      <c r="W48" s="618"/>
      <c r="X48" s="576">
        <v>0.0</v>
      </c>
      <c r="Y48" s="577" t="e">
        <v>#VALUE!</v>
      </c>
      <c r="Z48" s="577">
        <v>24.0</v>
      </c>
      <c r="AA48" s="578" t="b">
        <v>0</v>
      </c>
      <c r="AB48" s="578"/>
      <c r="AC48" s="579"/>
      <c r="AD48" s="608">
        <v>4.0</v>
      </c>
      <c r="AE48" s="609"/>
      <c r="AF48" s="582" t="s">
        <v>512</v>
      </c>
      <c r="AG48" s="583">
        <v>7.0</v>
      </c>
      <c r="AH48" s="584" t="s">
        <v>597</v>
      </c>
      <c r="AI48" s="583"/>
      <c r="AJ48" s="585"/>
      <c r="AK48" s="583">
        <v>8.0</v>
      </c>
      <c r="AL48" s="584" t="s">
        <v>598</v>
      </c>
      <c r="AM48" s="583"/>
      <c r="AN48" s="585"/>
      <c r="AO48" s="583">
        <v>8.0</v>
      </c>
      <c r="AP48" s="584">
        <v>77.0</v>
      </c>
      <c r="AQ48" s="583"/>
      <c r="AR48" s="585"/>
      <c r="AS48" s="583">
        <v>15.0</v>
      </c>
      <c r="AT48" s="584">
        <v>64.0</v>
      </c>
      <c r="AU48" s="583"/>
      <c r="AV48" s="585"/>
      <c r="AW48" s="583"/>
      <c r="AX48" s="584"/>
      <c r="AY48" s="583"/>
      <c r="AZ48" s="585"/>
      <c r="BA48" s="583"/>
      <c r="BB48" s="584"/>
      <c r="BC48" s="583"/>
      <c r="BD48" s="585"/>
      <c r="BE48" s="583"/>
      <c r="BF48" s="584"/>
      <c r="BG48" s="583"/>
      <c r="BH48" s="585"/>
      <c r="BI48" s="583"/>
      <c r="BJ48" s="584"/>
      <c r="BK48" s="583"/>
      <c r="BL48" s="585"/>
      <c r="BM48" s="583"/>
      <c r="BN48" s="584"/>
      <c r="BO48" s="583"/>
      <c r="BP48" s="585"/>
      <c r="BQ48" s="583"/>
      <c r="BR48" s="584"/>
      <c r="BS48" s="583"/>
      <c r="BT48" s="586"/>
      <c r="BU48" s="540"/>
      <c r="BV48" s="540"/>
      <c r="BW48" s="540"/>
      <c r="BX48" s="538"/>
      <c r="BY48" s="538"/>
      <c r="BZ48" s="587"/>
      <c r="CA48" s="591"/>
      <c r="CB48" s="590" t="s">
        <v>365</v>
      </c>
      <c r="CC48" s="590">
        <v>38.0</v>
      </c>
      <c r="CD48" s="590">
        <v>0.0</v>
      </c>
      <c r="CE48" s="590" t="e">
        <v>#VALUE!</v>
      </c>
      <c r="CF48" s="590"/>
      <c r="CG48" s="590">
        <v>0.38</v>
      </c>
      <c r="CH48" s="590"/>
      <c r="CI48" s="591"/>
      <c r="CJ48" s="590">
        <v>0.0</v>
      </c>
      <c r="CK48" s="479">
        <v>0.0</v>
      </c>
      <c r="CL48" s="592"/>
      <c r="CM48" s="593"/>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59"/>
      <c r="EY48" s="559"/>
      <c r="EZ48" s="559"/>
      <c r="FA48" s="559"/>
      <c r="FB48" s="559"/>
      <c r="FC48" s="559"/>
      <c r="FD48" s="559"/>
      <c r="FE48" s="559"/>
      <c r="FF48" s="559"/>
      <c r="FG48" s="559"/>
      <c r="FH48" s="559"/>
      <c r="FI48" s="559"/>
      <c r="FJ48" s="559"/>
      <c r="FK48" s="559"/>
      <c r="FL48" s="559"/>
      <c r="FM48" s="559"/>
      <c r="FN48" s="559"/>
      <c r="FO48" s="559"/>
      <c r="FP48" s="559"/>
      <c r="FQ48" s="559"/>
      <c r="FR48" s="559"/>
      <c r="FS48" s="559"/>
      <c r="FT48" s="559"/>
      <c r="FU48" s="559"/>
      <c r="FV48" s="559"/>
      <c r="FW48" s="559"/>
      <c r="FX48" s="559"/>
      <c r="FY48" s="559"/>
      <c r="FZ48" s="559"/>
      <c r="GA48" s="559"/>
      <c r="GB48" s="559"/>
      <c r="GC48" s="559"/>
      <c r="GD48" s="559"/>
      <c r="GE48" s="559"/>
      <c r="GF48" s="559"/>
      <c r="GG48" s="559"/>
      <c r="GH48" s="559"/>
    </row>
    <row r="49">
      <c r="A49" s="538"/>
      <c r="B49" s="156"/>
      <c r="C49" s="444"/>
      <c r="D49" s="614" t="s">
        <v>317</v>
      </c>
      <c r="E49" s="595" t="s">
        <v>515</v>
      </c>
      <c r="F49" s="596">
        <v>3.0</v>
      </c>
      <c r="G49" s="596">
        <v>10.0</v>
      </c>
      <c r="H49" s="597"/>
      <c r="I49" s="616" t="s">
        <v>365</v>
      </c>
      <c r="J49" s="624"/>
      <c r="K49" s="600">
        <v>2.0</v>
      </c>
      <c r="L49" s="601"/>
      <c r="M49" s="625"/>
      <c r="N49" s="617"/>
      <c r="O49" s="621"/>
      <c r="P49" s="57"/>
      <c r="Q49" s="57"/>
      <c r="S49" s="605"/>
      <c r="U49" s="573"/>
      <c r="V49" s="574"/>
      <c r="W49" s="618"/>
      <c r="X49" s="576">
        <v>0.0</v>
      </c>
      <c r="Y49" s="577" t="e">
        <v>#VALUE!</v>
      </c>
      <c r="Z49" s="577">
        <v>30.0</v>
      </c>
      <c r="AA49" s="578" t="b">
        <v>0</v>
      </c>
      <c r="AB49" s="578"/>
      <c r="AC49" s="579"/>
      <c r="AD49" s="608">
        <v>0.0</v>
      </c>
      <c r="AE49" s="609"/>
      <c r="AF49" s="582" t="s">
        <v>516</v>
      </c>
      <c r="AG49" s="583"/>
      <c r="AH49" s="584" t="s">
        <v>599</v>
      </c>
      <c r="AI49" s="583"/>
      <c r="AJ49" s="585"/>
      <c r="AK49" s="583"/>
      <c r="AL49" s="584"/>
      <c r="AM49" s="583"/>
      <c r="AN49" s="585"/>
      <c r="AO49" s="583"/>
      <c r="AP49" s="584"/>
      <c r="AQ49" s="583"/>
      <c r="AR49" s="585"/>
      <c r="AS49" s="583"/>
      <c r="AT49" s="584"/>
      <c r="AU49" s="583"/>
      <c r="AV49" s="585"/>
      <c r="AW49" s="583"/>
      <c r="AX49" s="584"/>
      <c r="AY49" s="583"/>
      <c r="AZ49" s="585"/>
      <c r="BA49" s="583"/>
      <c r="BB49" s="584"/>
      <c r="BC49" s="583"/>
      <c r="BD49" s="585"/>
      <c r="BE49" s="583"/>
      <c r="BF49" s="584"/>
      <c r="BG49" s="583"/>
      <c r="BH49" s="585"/>
      <c r="BI49" s="583"/>
      <c r="BJ49" s="584"/>
      <c r="BK49" s="583"/>
      <c r="BL49" s="585"/>
      <c r="BM49" s="583"/>
      <c r="BN49" s="584"/>
      <c r="BO49" s="583"/>
      <c r="BP49" s="585"/>
      <c r="BQ49" s="583"/>
      <c r="BR49" s="584"/>
      <c r="BS49" s="583"/>
      <c r="BT49" s="586"/>
      <c r="BU49" s="540"/>
      <c r="BV49" s="540"/>
      <c r="BW49" s="540"/>
      <c r="BX49" s="538"/>
      <c r="BY49" s="538"/>
      <c r="BZ49" s="587"/>
      <c r="CA49" s="591"/>
      <c r="CB49" s="590" t="s">
        <v>365</v>
      </c>
      <c r="CC49" s="590">
        <v>0.0</v>
      </c>
      <c r="CD49" s="590" t="s">
        <v>365</v>
      </c>
      <c r="CE49" s="590" t="e">
        <v>#VALUE!</v>
      </c>
      <c r="CF49" s="590"/>
      <c r="CG49" s="590">
        <v>0.0</v>
      </c>
      <c r="CH49" s="590"/>
      <c r="CI49" s="591"/>
      <c r="CJ49" s="590">
        <v>0.0</v>
      </c>
      <c r="CK49" s="479" t="s">
        <v>365</v>
      </c>
      <c r="CL49" s="592"/>
      <c r="CM49" s="593"/>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59"/>
      <c r="EY49" s="559"/>
      <c r="EZ49" s="559"/>
      <c r="FA49" s="559"/>
      <c r="FB49" s="559"/>
      <c r="FC49" s="559"/>
      <c r="FD49" s="559"/>
      <c r="FE49" s="559"/>
      <c r="FF49" s="559"/>
      <c r="FG49" s="559"/>
      <c r="FH49" s="559"/>
      <c r="FI49" s="559"/>
      <c r="FJ49" s="559"/>
      <c r="FK49" s="559"/>
      <c r="FL49" s="559"/>
      <c r="FM49" s="559"/>
      <c r="FN49" s="559"/>
      <c r="FO49" s="559"/>
      <c r="FP49" s="559"/>
      <c r="FQ49" s="559"/>
      <c r="FR49" s="559"/>
      <c r="FS49" s="559"/>
      <c r="FT49" s="559"/>
      <c r="FU49" s="559"/>
      <c r="FV49" s="559"/>
      <c r="FW49" s="559"/>
      <c r="FX49" s="559"/>
      <c r="FY49" s="559"/>
      <c r="FZ49" s="559"/>
      <c r="GA49" s="559"/>
      <c r="GB49" s="559"/>
      <c r="GC49" s="559"/>
      <c r="GD49" s="559"/>
      <c r="GE49" s="559"/>
      <c r="GF49" s="559"/>
      <c r="GG49" s="559"/>
      <c r="GH49" s="559"/>
    </row>
    <row r="50">
      <c r="A50" s="538"/>
      <c r="B50" s="156"/>
      <c r="C50" s="444"/>
      <c r="D50" s="614" t="s">
        <v>317</v>
      </c>
      <c r="E50" s="606" t="s">
        <v>521</v>
      </c>
      <c r="F50" s="563">
        <v>3.0</v>
      </c>
      <c r="G50" s="563">
        <v>15.0</v>
      </c>
      <c r="H50" s="564"/>
      <c r="I50" s="622" t="s">
        <v>365</v>
      </c>
      <c r="J50" s="607"/>
      <c r="K50" s="567">
        <v>2.0</v>
      </c>
      <c r="L50" s="568"/>
      <c r="M50" s="626"/>
      <c r="N50" s="619"/>
      <c r="O50" s="623"/>
      <c r="P50" s="47"/>
      <c r="Q50" s="47"/>
      <c r="S50" s="572"/>
      <c r="U50" s="573"/>
      <c r="V50" s="574"/>
      <c r="W50" s="618"/>
      <c r="X50" s="576">
        <v>0.0</v>
      </c>
      <c r="Y50" s="577" t="e">
        <v>#VALUE!</v>
      </c>
      <c r="Z50" s="577">
        <v>45.0</v>
      </c>
      <c r="AA50" s="578" t="b">
        <v>0</v>
      </c>
      <c r="AB50" s="578"/>
      <c r="AC50" s="579"/>
      <c r="AD50" s="608">
        <v>1.0</v>
      </c>
      <c r="AE50" s="609"/>
      <c r="AF50" s="582" t="s">
        <v>522</v>
      </c>
      <c r="AG50" s="583">
        <v>12.0</v>
      </c>
      <c r="AH50" s="584" t="s">
        <v>600</v>
      </c>
      <c r="AI50" s="583"/>
      <c r="AJ50" s="585"/>
      <c r="AK50" s="583"/>
      <c r="AL50" s="584"/>
      <c r="AM50" s="583"/>
      <c r="AN50" s="585"/>
      <c r="AO50" s="583"/>
      <c r="AP50" s="584"/>
      <c r="AQ50" s="583"/>
      <c r="AR50" s="585"/>
      <c r="AS50" s="583"/>
      <c r="AT50" s="584"/>
      <c r="AU50" s="583"/>
      <c r="AV50" s="585"/>
      <c r="AW50" s="583"/>
      <c r="AX50" s="584"/>
      <c r="AY50" s="583"/>
      <c r="AZ50" s="585"/>
      <c r="BA50" s="583"/>
      <c r="BB50" s="584"/>
      <c r="BC50" s="583"/>
      <c r="BD50" s="585"/>
      <c r="BE50" s="583"/>
      <c r="BF50" s="584"/>
      <c r="BG50" s="583"/>
      <c r="BH50" s="585"/>
      <c r="BI50" s="583"/>
      <c r="BJ50" s="584"/>
      <c r="BK50" s="583"/>
      <c r="BL50" s="585"/>
      <c r="BM50" s="583"/>
      <c r="BN50" s="584"/>
      <c r="BO50" s="583"/>
      <c r="BP50" s="585"/>
      <c r="BQ50" s="583"/>
      <c r="BR50" s="584"/>
      <c r="BS50" s="583"/>
      <c r="BT50" s="586"/>
      <c r="BU50" s="540"/>
      <c r="BV50" s="540"/>
      <c r="BW50" s="540"/>
      <c r="BX50" s="538"/>
      <c r="BY50" s="538"/>
      <c r="BZ50" s="587"/>
      <c r="CA50" s="591"/>
      <c r="CB50" s="590" t="s">
        <v>365</v>
      </c>
      <c r="CC50" s="590">
        <v>12.0</v>
      </c>
      <c r="CD50" s="590">
        <v>0.0</v>
      </c>
      <c r="CE50" s="590" t="e">
        <v>#VALUE!</v>
      </c>
      <c r="CF50" s="590"/>
      <c r="CG50" s="590">
        <v>0.12</v>
      </c>
      <c r="CH50" s="590"/>
      <c r="CI50" s="591"/>
      <c r="CJ50" s="590">
        <v>0.0</v>
      </c>
      <c r="CK50" s="479">
        <v>0.0</v>
      </c>
      <c r="CL50" s="592"/>
      <c r="CM50" s="593"/>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59"/>
      <c r="EY50" s="559"/>
      <c r="EZ50" s="559"/>
      <c r="FA50" s="559"/>
      <c r="FB50" s="559"/>
      <c r="FC50" s="559"/>
      <c r="FD50" s="559"/>
      <c r="FE50" s="559"/>
      <c r="FF50" s="559"/>
      <c r="FG50" s="559"/>
      <c r="FH50" s="559"/>
      <c r="FI50" s="559"/>
      <c r="FJ50" s="559"/>
      <c r="FK50" s="559"/>
      <c r="FL50" s="559"/>
      <c r="FM50" s="559"/>
      <c r="FN50" s="559"/>
      <c r="FO50" s="559"/>
      <c r="FP50" s="559"/>
      <c r="FQ50" s="559"/>
      <c r="FR50" s="559"/>
      <c r="FS50" s="559"/>
      <c r="FT50" s="559"/>
      <c r="FU50" s="559"/>
      <c r="FV50" s="559"/>
      <c r="FW50" s="559"/>
      <c r="FX50" s="559"/>
      <c r="FY50" s="559"/>
      <c r="FZ50" s="559"/>
      <c r="GA50" s="559"/>
      <c r="GB50" s="559"/>
      <c r="GC50" s="559"/>
      <c r="GD50" s="559"/>
      <c r="GE50" s="559"/>
      <c r="GF50" s="559"/>
      <c r="GG50" s="559"/>
      <c r="GH50" s="559"/>
    </row>
    <row r="51">
      <c r="A51" s="538"/>
      <c r="B51" s="156"/>
      <c r="C51" s="444"/>
      <c r="D51" s="614" t="s">
        <v>326</v>
      </c>
      <c r="E51" s="595" t="s">
        <v>524</v>
      </c>
      <c r="F51" s="596">
        <v>3.0</v>
      </c>
      <c r="G51" s="596">
        <v>15.0</v>
      </c>
      <c r="H51" s="615"/>
      <c r="I51" s="616" t="s">
        <v>365</v>
      </c>
      <c r="J51" s="624"/>
      <c r="K51" s="600">
        <v>2.0</v>
      </c>
      <c r="L51" s="601"/>
      <c r="M51" s="625"/>
      <c r="N51" s="617"/>
      <c r="O51" s="621"/>
      <c r="P51" s="57"/>
      <c r="Q51" s="57"/>
      <c r="S51" s="605"/>
      <c r="U51" s="573"/>
      <c r="V51" s="574"/>
      <c r="W51" s="618"/>
      <c r="X51" s="576">
        <v>0.0</v>
      </c>
      <c r="Y51" s="577" t="e">
        <v>#VALUE!</v>
      </c>
      <c r="Z51" s="577">
        <v>45.0</v>
      </c>
      <c r="AA51" s="578" t="b">
        <v>0</v>
      </c>
      <c r="AB51" s="578"/>
      <c r="AC51" s="579"/>
      <c r="AD51" s="608">
        <v>1.0</v>
      </c>
      <c r="AE51" s="609"/>
      <c r="AF51" s="582" t="s">
        <v>525</v>
      </c>
      <c r="AG51" s="583">
        <v>10.0</v>
      </c>
      <c r="AH51" s="584" t="s">
        <v>601</v>
      </c>
      <c r="AI51" s="583"/>
      <c r="AJ51" s="585"/>
      <c r="AK51" s="583"/>
      <c r="AL51" s="584">
        <v>86.0</v>
      </c>
      <c r="AM51" s="583"/>
      <c r="AN51" s="585"/>
      <c r="AO51" s="583"/>
      <c r="AP51" s="584" t="s">
        <v>602</v>
      </c>
      <c r="AQ51" s="583"/>
      <c r="AR51" s="585"/>
      <c r="AS51" s="583"/>
      <c r="AT51" s="584"/>
      <c r="AU51" s="583"/>
      <c r="AV51" s="585"/>
      <c r="AW51" s="583"/>
      <c r="AX51" s="584"/>
      <c r="AY51" s="583"/>
      <c r="AZ51" s="585"/>
      <c r="BA51" s="583"/>
      <c r="BB51" s="584"/>
      <c r="BC51" s="583"/>
      <c r="BD51" s="585"/>
      <c r="BE51" s="583"/>
      <c r="BF51" s="584"/>
      <c r="BG51" s="583"/>
      <c r="BH51" s="585"/>
      <c r="BI51" s="583"/>
      <c r="BJ51" s="584"/>
      <c r="BK51" s="583"/>
      <c r="BL51" s="585"/>
      <c r="BM51" s="583"/>
      <c r="BN51" s="584"/>
      <c r="BO51" s="583"/>
      <c r="BP51" s="585"/>
      <c r="BQ51" s="583"/>
      <c r="BR51" s="584"/>
      <c r="BS51" s="583"/>
      <c r="BT51" s="586"/>
      <c r="BU51" s="540"/>
      <c r="BV51" s="540"/>
      <c r="BW51" s="540"/>
      <c r="BX51" s="538"/>
      <c r="BY51" s="538"/>
      <c r="BZ51" s="587"/>
      <c r="CA51" s="591"/>
      <c r="CB51" s="590" t="s">
        <v>365</v>
      </c>
      <c r="CC51" s="590">
        <v>10.0</v>
      </c>
      <c r="CD51" s="590">
        <v>0.0</v>
      </c>
      <c r="CE51" s="590" t="e">
        <v>#VALUE!</v>
      </c>
      <c r="CF51" s="590"/>
      <c r="CG51" s="590">
        <v>0.1</v>
      </c>
      <c r="CH51" s="590"/>
      <c r="CI51" s="591"/>
      <c r="CJ51" s="590">
        <v>0.0</v>
      </c>
      <c r="CK51" s="479">
        <v>0.0</v>
      </c>
      <c r="CL51" s="592"/>
      <c r="CM51" s="593"/>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59"/>
      <c r="EY51" s="559"/>
      <c r="EZ51" s="559"/>
      <c r="FA51" s="559"/>
      <c r="FB51" s="559"/>
      <c r="FC51" s="559"/>
      <c r="FD51" s="559"/>
      <c r="FE51" s="559"/>
      <c r="FF51" s="559"/>
      <c r="FG51" s="559"/>
      <c r="FH51" s="559"/>
      <c r="FI51" s="559"/>
      <c r="FJ51" s="559"/>
      <c r="FK51" s="559"/>
      <c r="FL51" s="559"/>
      <c r="FM51" s="559"/>
      <c r="FN51" s="559"/>
      <c r="FO51" s="559"/>
      <c r="FP51" s="559"/>
      <c r="FQ51" s="559"/>
      <c r="FR51" s="559"/>
      <c r="FS51" s="559"/>
      <c r="FT51" s="559"/>
      <c r="FU51" s="559"/>
      <c r="FV51" s="559"/>
      <c r="FW51" s="559"/>
      <c r="FX51" s="559"/>
      <c r="FY51" s="559"/>
      <c r="FZ51" s="559"/>
      <c r="GA51" s="559"/>
      <c r="GB51" s="559"/>
      <c r="GC51" s="559"/>
      <c r="GD51" s="559"/>
      <c r="GE51" s="559"/>
      <c r="GF51" s="559"/>
      <c r="GG51" s="559"/>
      <c r="GH51" s="559"/>
    </row>
    <row r="52">
      <c r="A52" s="538"/>
      <c r="B52" s="156" t="s">
        <v>410</v>
      </c>
      <c r="C52" s="444"/>
      <c r="D52" s="614"/>
      <c r="E52" s="606"/>
      <c r="F52" s="563"/>
      <c r="G52" s="563"/>
      <c r="H52" s="627"/>
      <c r="I52" s="622" t="s">
        <v>365</v>
      </c>
      <c r="J52" s="607"/>
      <c r="K52" s="567"/>
      <c r="L52" s="628"/>
      <c r="M52" s="626"/>
      <c r="N52" s="619"/>
      <c r="O52" s="623"/>
      <c r="P52" s="47"/>
      <c r="Q52" s="47"/>
      <c r="S52" s="572"/>
      <c r="U52" s="573"/>
      <c r="V52" s="574"/>
      <c r="W52" s="618"/>
      <c r="X52" s="576">
        <v>0.0</v>
      </c>
      <c r="Y52" s="577">
        <v>0.0</v>
      </c>
      <c r="Z52" s="577" t="s">
        <v>365</v>
      </c>
      <c r="AA52" s="578" t="b">
        <v>0</v>
      </c>
      <c r="AB52" s="578"/>
      <c r="AC52" s="579"/>
      <c r="AD52" s="608">
        <v>0.0</v>
      </c>
      <c r="AE52" s="609"/>
      <c r="AF52" s="582" t="s">
        <v>365</v>
      </c>
      <c r="AG52" s="583"/>
      <c r="AH52" s="584"/>
      <c r="AI52" s="583"/>
      <c r="AJ52" s="585"/>
      <c r="AK52" s="583"/>
      <c r="AL52" s="584"/>
      <c r="AM52" s="583"/>
      <c r="AN52" s="585"/>
      <c r="AO52" s="583"/>
      <c r="AP52" s="584"/>
      <c r="AQ52" s="583"/>
      <c r="AR52" s="585"/>
      <c r="AS52" s="583"/>
      <c r="AT52" s="584"/>
      <c r="AU52" s="583"/>
      <c r="AV52" s="585"/>
      <c r="AW52" s="583"/>
      <c r="AX52" s="584"/>
      <c r="AY52" s="583"/>
      <c r="AZ52" s="585"/>
      <c r="BA52" s="583"/>
      <c r="BB52" s="584"/>
      <c r="BC52" s="583"/>
      <c r="BD52" s="585"/>
      <c r="BE52" s="583"/>
      <c r="BF52" s="584"/>
      <c r="BG52" s="583"/>
      <c r="BH52" s="585"/>
      <c r="BI52" s="583"/>
      <c r="BJ52" s="584"/>
      <c r="BK52" s="583"/>
      <c r="BL52" s="585"/>
      <c r="BM52" s="583"/>
      <c r="BN52" s="584"/>
      <c r="BO52" s="583"/>
      <c r="BP52" s="585"/>
      <c r="BQ52" s="583"/>
      <c r="BR52" s="584"/>
      <c r="BS52" s="583"/>
      <c r="BT52" s="586"/>
      <c r="BU52" s="540"/>
      <c r="BV52" s="540"/>
      <c r="BW52" s="540"/>
      <c r="BX52" s="538"/>
      <c r="BY52" s="538"/>
      <c r="BZ52" s="587"/>
      <c r="CA52" s="591"/>
      <c r="CB52" s="590" t="s">
        <v>365</v>
      </c>
      <c r="CC52" s="590">
        <v>0.0</v>
      </c>
      <c r="CD52" s="590" t="s">
        <v>365</v>
      </c>
      <c r="CE52" s="590">
        <v>0.0</v>
      </c>
      <c r="CF52" s="590"/>
      <c r="CG52" s="590">
        <v>0.0</v>
      </c>
      <c r="CH52" s="590"/>
      <c r="CI52" s="591"/>
      <c r="CJ52" s="590">
        <v>0.0</v>
      </c>
      <c r="CK52" s="479" t="s">
        <v>365</v>
      </c>
      <c r="CL52" s="592"/>
      <c r="CM52" s="593"/>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59"/>
      <c r="EY52" s="559"/>
      <c r="EZ52" s="559"/>
      <c r="FA52" s="559"/>
      <c r="FB52" s="559"/>
      <c r="FC52" s="559"/>
      <c r="FD52" s="559"/>
      <c r="FE52" s="559"/>
      <c r="FF52" s="559"/>
      <c r="FG52" s="559"/>
      <c r="FH52" s="559"/>
      <c r="FI52" s="559"/>
      <c r="FJ52" s="559"/>
      <c r="FK52" s="559"/>
      <c r="FL52" s="559"/>
      <c r="FM52" s="559"/>
      <c r="FN52" s="559"/>
      <c r="FO52" s="559"/>
      <c r="FP52" s="559"/>
      <c r="FQ52" s="559"/>
      <c r="FR52" s="559"/>
      <c r="FS52" s="559"/>
      <c r="FT52" s="559"/>
      <c r="FU52" s="559"/>
      <c r="FV52" s="559"/>
      <c r="FW52" s="559"/>
      <c r="FX52" s="559"/>
      <c r="FY52" s="559"/>
      <c r="FZ52" s="559"/>
      <c r="GA52" s="559"/>
      <c r="GB52" s="559"/>
      <c r="GC52" s="559"/>
      <c r="GD52" s="559"/>
      <c r="GE52" s="559"/>
      <c r="GF52" s="559"/>
      <c r="GG52" s="559"/>
      <c r="GH52" s="559"/>
    </row>
    <row r="53">
      <c r="A53" s="538"/>
      <c r="B53" s="156" t="s">
        <v>411</v>
      </c>
      <c r="C53" s="444"/>
      <c r="D53" s="614"/>
      <c r="E53" s="595"/>
      <c r="F53" s="596"/>
      <c r="G53" s="596"/>
      <c r="H53" s="615"/>
      <c r="I53" s="616" t="s">
        <v>365</v>
      </c>
      <c r="J53" s="624"/>
      <c r="K53" s="600"/>
      <c r="L53" s="601"/>
      <c r="M53" s="625"/>
      <c r="N53" s="617"/>
      <c r="O53" s="621"/>
      <c r="P53" s="57"/>
      <c r="Q53" s="57"/>
      <c r="S53" s="605"/>
      <c r="U53" s="573"/>
      <c r="V53" s="574"/>
      <c r="W53" s="618"/>
      <c r="X53" s="576">
        <v>0.0</v>
      </c>
      <c r="Y53" s="577">
        <v>0.0</v>
      </c>
      <c r="Z53" s="577" t="s">
        <v>365</v>
      </c>
      <c r="AA53" s="578" t="b">
        <v>0</v>
      </c>
      <c r="AB53" s="578"/>
      <c r="AC53" s="579"/>
      <c r="AD53" s="608">
        <v>0.0</v>
      </c>
      <c r="AE53" s="609"/>
      <c r="AF53" s="582" t="s">
        <v>365</v>
      </c>
      <c r="AG53" s="583"/>
      <c r="AH53" s="584"/>
      <c r="AI53" s="583"/>
      <c r="AJ53" s="585"/>
      <c r="AK53" s="583"/>
      <c r="AL53" s="584"/>
      <c r="AM53" s="583"/>
      <c r="AN53" s="585"/>
      <c r="AO53" s="583"/>
      <c r="AP53" s="584"/>
      <c r="AQ53" s="583"/>
      <c r="AR53" s="585"/>
      <c r="AS53" s="583"/>
      <c r="AT53" s="584"/>
      <c r="AU53" s="583"/>
      <c r="AV53" s="585"/>
      <c r="AW53" s="583"/>
      <c r="AX53" s="584"/>
      <c r="AY53" s="583"/>
      <c r="AZ53" s="585"/>
      <c r="BA53" s="583"/>
      <c r="BB53" s="584"/>
      <c r="BC53" s="583"/>
      <c r="BD53" s="585"/>
      <c r="BE53" s="583"/>
      <c r="BF53" s="584"/>
      <c r="BG53" s="583"/>
      <c r="BH53" s="585"/>
      <c r="BI53" s="583"/>
      <c r="BJ53" s="584"/>
      <c r="BK53" s="583"/>
      <c r="BL53" s="585"/>
      <c r="BM53" s="583"/>
      <c r="BN53" s="584"/>
      <c r="BO53" s="583"/>
      <c r="BP53" s="585"/>
      <c r="BQ53" s="583"/>
      <c r="BR53" s="584"/>
      <c r="BS53" s="583"/>
      <c r="BT53" s="586"/>
      <c r="BU53" s="540"/>
      <c r="BV53" s="540"/>
      <c r="BW53" s="540"/>
      <c r="BX53" s="538"/>
      <c r="BY53" s="538"/>
      <c r="BZ53" s="587"/>
      <c r="CA53" s="591"/>
      <c r="CB53" s="590" t="s">
        <v>365</v>
      </c>
      <c r="CC53" s="590">
        <v>0.0</v>
      </c>
      <c r="CD53" s="590" t="s">
        <v>365</v>
      </c>
      <c r="CE53" s="590">
        <v>0.0</v>
      </c>
      <c r="CF53" s="590"/>
      <c r="CG53" s="590">
        <v>0.0</v>
      </c>
      <c r="CH53" s="590"/>
      <c r="CI53" s="591"/>
      <c r="CJ53" s="590">
        <v>0.0</v>
      </c>
      <c r="CK53" s="479" t="s">
        <v>365</v>
      </c>
      <c r="CL53" s="592"/>
      <c r="CM53" s="593"/>
      <c r="CN53" s="538"/>
      <c r="CO53" s="538"/>
      <c r="CP53" s="538"/>
      <c r="CQ53" s="538"/>
      <c r="CR53" s="538"/>
      <c r="CS53" s="538"/>
      <c r="CT53" s="538"/>
      <c r="CU53" s="538"/>
      <c r="CV53" s="538"/>
      <c r="CW53" s="538"/>
      <c r="CX53" s="538"/>
      <c r="CY53" s="538"/>
      <c r="CZ53" s="538"/>
      <c r="DA53" s="538"/>
      <c r="DB53" s="538"/>
      <c r="DC53" s="538"/>
      <c r="DD53" s="538"/>
      <c r="DE53" s="538"/>
      <c r="DF53" s="538"/>
      <c r="DG53" s="538"/>
      <c r="DH53" s="538"/>
      <c r="DI53" s="538"/>
      <c r="DJ53" s="538"/>
      <c r="DK53" s="538"/>
      <c r="DL53" s="538"/>
      <c r="DM53" s="538"/>
      <c r="DN53" s="538"/>
      <c r="DO53" s="538"/>
      <c r="DP53" s="538"/>
      <c r="DQ53" s="538"/>
      <c r="DR53" s="538"/>
      <c r="DS53" s="538"/>
      <c r="DT53" s="538"/>
      <c r="DU53" s="538"/>
      <c r="DV53" s="538"/>
      <c r="DW53" s="538"/>
      <c r="DX53" s="538"/>
      <c r="DY53" s="538"/>
      <c r="DZ53" s="538"/>
      <c r="EA53" s="538"/>
      <c r="EB53" s="538"/>
      <c r="EC53" s="538"/>
      <c r="ED53" s="538"/>
      <c r="EE53" s="538"/>
      <c r="EF53" s="538"/>
      <c r="EG53" s="538"/>
      <c r="EH53" s="538"/>
      <c r="EI53" s="538"/>
      <c r="EJ53" s="538"/>
      <c r="EK53" s="538"/>
      <c r="EL53" s="538"/>
      <c r="EM53" s="538"/>
      <c r="EN53" s="538"/>
      <c r="EO53" s="538"/>
      <c r="EP53" s="538"/>
      <c r="EQ53" s="538"/>
      <c r="ER53" s="538"/>
      <c r="ES53" s="538"/>
      <c r="ET53" s="538"/>
      <c r="EU53" s="538"/>
      <c r="EV53" s="538"/>
      <c r="EW53" s="538"/>
      <c r="EX53" s="559"/>
      <c r="EY53" s="559"/>
      <c r="EZ53" s="559"/>
      <c r="FA53" s="559"/>
      <c r="FB53" s="559"/>
      <c r="FC53" s="559"/>
      <c r="FD53" s="559"/>
      <c r="FE53" s="559"/>
      <c r="FF53" s="559"/>
      <c r="FG53" s="559"/>
      <c r="FH53" s="559"/>
      <c r="FI53" s="559"/>
      <c r="FJ53" s="559"/>
      <c r="FK53" s="559"/>
      <c r="FL53" s="559"/>
      <c r="FM53" s="559"/>
      <c r="FN53" s="559"/>
      <c r="FO53" s="559"/>
      <c r="FP53" s="559"/>
      <c r="FQ53" s="559"/>
      <c r="FR53" s="559"/>
      <c r="FS53" s="559"/>
      <c r="FT53" s="559"/>
      <c r="FU53" s="559"/>
      <c r="FV53" s="559"/>
      <c r="FW53" s="559"/>
      <c r="FX53" s="559"/>
      <c r="FY53" s="559"/>
      <c r="FZ53" s="559"/>
      <c r="GA53" s="559"/>
      <c r="GB53" s="559"/>
      <c r="GC53" s="559"/>
      <c r="GD53" s="559"/>
      <c r="GE53" s="559"/>
      <c r="GF53" s="559"/>
      <c r="GG53" s="559"/>
      <c r="GH53" s="559"/>
    </row>
    <row r="54">
      <c r="A54" s="538"/>
      <c r="B54" s="134"/>
      <c r="C54" s="57"/>
      <c r="D54" s="594" t="s">
        <v>380</v>
      </c>
      <c r="E54" s="629" t="s">
        <v>412</v>
      </c>
      <c r="F54" s="596">
        <v>1.0</v>
      </c>
      <c r="G54" s="596">
        <v>4.0</v>
      </c>
      <c r="H54" s="597"/>
      <c r="I54" s="598">
        <v>0.0</v>
      </c>
      <c r="J54" s="599">
        <v>100.0</v>
      </c>
      <c r="K54" s="600"/>
      <c r="L54" s="568"/>
      <c r="M54" s="569"/>
      <c r="N54" s="619"/>
      <c r="O54" s="623"/>
      <c r="P54" s="47"/>
      <c r="Q54" s="47"/>
      <c r="R54" s="47"/>
      <c r="S54" s="572"/>
      <c r="T54" s="572"/>
      <c r="U54" s="573"/>
      <c r="V54" s="574"/>
      <c r="W54" s="618"/>
      <c r="X54" s="576">
        <v>400.0</v>
      </c>
      <c r="Y54" s="630">
        <v>300.0</v>
      </c>
      <c r="Z54" s="630">
        <v>4.0</v>
      </c>
      <c r="AA54" s="631">
        <v>0.8695652173913043</v>
      </c>
      <c r="AB54" s="631"/>
      <c r="AC54" s="576"/>
      <c r="AD54" s="479">
        <v>1.0</v>
      </c>
      <c r="AE54" s="632"/>
      <c r="AF54" s="582" t="s">
        <v>603</v>
      </c>
      <c r="AG54" s="583">
        <v>3.0</v>
      </c>
      <c r="AH54" s="584">
        <v>100.0</v>
      </c>
      <c r="AI54" s="583">
        <v>0.0</v>
      </c>
      <c r="AJ54" s="585">
        <v>9.5</v>
      </c>
      <c r="AK54" s="583"/>
      <c r="AL54" s="584"/>
      <c r="AM54" s="583"/>
      <c r="AN54" s="585"/>
      <c r="AO54" s="583"/>
      <c r="AP54" s="584"/>
      <c r="AQ54" s="583"/>
      <c r="AR54" s="585"/>
      <c r="AS54" s="583"/>
      <c r="AT54" s="584"/>
      <c r="AU54" s="583"/>
      <c r="AV54" s="585"/>
      <c r="AW54" s="583"/>
      <c r="AX54" s="584"/>
      <c r="AY54" s="583"/>
      <c r="AZ54" s="585"/>
      <c r="BA54" s="583"/>
      <c r="BB54" s="584"/>
      <c r="BC54" s="583"/>
      <c r="BD54" s="585"/>
      <c r="BE54" s="583"/>
      <c r="BF54" s="584"/>
      <c r="BG54" s="583"/>
      <c r="BH54" s="585"/>
      <c r="BI54" s="583"/>
      <c r="BJ54" s="584"/>
      <c r="BK54" s="583"/>
      <c r="BL54" s="585"/>
      <c r="BM54" s="583"/>
      <c r="BN54" s="584"/>
      <c r="BO54" s="583"/>
      <c r="BP54" s="585"/>
      <c r="BQ54" s="583"/>
      <c r="BR54" s="584"/>
      <c r="BS54" s="583"/>
      <c r="BT54" s="586"/>
      <c r="BU54" s="540"/>
      <c r="BV54" s="540"/>
      <c r="BW54" s="540"/>
      <c r="BX54" s="538"/>
      <c r="BY54" s="538"/>
      <c r="BZ54" s="592">
        <v>115.0</v>
      </c>
      <c r="CA54" s="633">
        <v>0.8695652173913043</v>
      </c>
      <c r="CB54" s="592">
        <v>100.0</v>
      </c>
      <c r="CC54" s="592">
        <v>3.0</v>
      </c>
      <c r="CD54" s="592">
        <v>0.0</v>
      </c>
      <c r="CE54" s="592">
        <v>300.0</v>
      </c>
      <c r="CF54" s="592">
        <v>2.608695652173913</v>
      </c>
      <c r="CG54" s="592">
        <v>0.23000000000000004</v>
      </c>
      <c r="CH54" s="592"/>
      <c r="CI54" s="633">
        <v>0.9564347826086957</v>
      </c>
      <c r="CJ54" s="592">
        <v>1.6</v>
      </c>
      <c r="CK54" s="479">
        <v>9.5</v>
      </c>
      <c r="CL54" s="592">
        <v>110.25358324145535</v>
      </c>
      <c r="CM54" s="593">
        <v>107.29613733905579</v>
      </c>
      <c r="CN54" s="538"/>
      <c r="CO54" s="538"/>
      <c r="CP54" s="538"/>
      <c r="CQ54" s="538"/>
      <c r="CR54" s="538"/>
      <c r="CS54" s="538"/>
      <c r="CT54" s="538"/>
      <c r="CU54" s="538"/>
      <c r="CV54" s="538"/>
      <c r="CW54" s="538"/>
      <c r="CX54" s="538"/>
      <c r="CY54" s="538"/>
      <c r="CZ54" s="538"/>
      <c r="DA54" s="538"/>
      <c r="DB54" s="538"/>
      <c r="DC54" s="538"/>
      <c r="DD54" s="538"/>
      <c r="DE54" s="538"/>
      <c r="DF54" s="538"/>
      <c r="DG54" s="538"/>
      <c r="DH54" s="538"/>
      <c r="DI54" s="538"/>
      <c r="DJ54" s="84"/>
      <c r="DK54" s="538"/>
      <c r="DL54" s="538"/>
      <c r="DM54" s="538"/>
      <c r="DN54" s="538"/>
      <c r="DO54" s="538"/>
      <c r="DP54" s="538"/>
      <c r="DQ54" s="538"/>
      <c r="DR54" s="538"/>
      <c r="DS54" s="538"/>
      <c r="DT54" s="538"/>
      <c r="DU54" s="538"/>
      <c r="DV54" s="538"/>
      <c r="DW54" s="538"/>
      <c r="DX54" s="538"/>
      <c r="DY54" s="538"/>
      <c r="DZ54" s="538"/>
      <c r="EA54" s="538"/>
      <c r="EB54" s="538"/>
      <c r="EC54" s="538"/>
      <c r="ED54" s="538"/>
      <c r="EE54" s="538"/>
      <c r="EF54" s="538"/>
      <c r="EG54" s="538"/>
      <c r="EH54" s="538"/>
      <c r="EI54" s="538"/>
      <c r="EJ54" s="538"/>
      <c r="EK54" s="538"/>
      <c r="EL54" s="538"/>
      <c r="EM54" s="538"/>
      <c r="EN54" s="538"/>
      <c r="EO54" s="538"/>
      <c r="EP54" s="538"/>
      <c r="EQ54" s="538"/>
      <c r="ER54" s="538"/>
      <c r="ES54" s="538"/>
      <c r="ET54" s="538"/>
      <c r="EU54" s="538"/>
      <c r="EV54" s="538"/>
      <c r="EW54" s="538"/>
      <c r="EX54" s="559"/>
      <c r="EY54" s="559"/>
      <c r="EZ54" s="559"/>
      <c r="FA54" s="559"/>
      <c r="FB54" s="559"/>
      <c r="FC54" s="559"/>
      <c r="FD54" s="559"/>
      <c r="FE54" s="559"/>
      <c r="FF54" s="559"/>
      <c r="FG54" s="559"/>
      <c r="FH54" s="559"/>
      <c r="FI54" s="559"/>
      <c r="FJ54" s="559"/>
      <c r="FK54" s="559"/>
      <c r="FL54" s="559"/>
      <c r="FM54" s="559"/>
      <c r="FN54" s="559"/>
      <c r="FO54" s="559"/>
      <c r="FP54" s="559"/>
      <c r="FQ54" s="559"/>
      <c r="FR54" s="559"/>
      <c r="FS54" s="559"/>
      <c r="FT54" s="559"/>
      <c r="FU54" s="559"/>
      <c r="FV54" s="559"/>
      <c r="FW54" s="559"/>
      <c r="FX54" s="559"/>
      <c r="FY54" s="559"/>
      <c r="FZ54" s="559"/>
      <c r="GA54" s="559"/>
      <c r="GB54" s="559"/>
      <c r="GC54" s="559"/>
      <c r="GD54" s="559"/>
      <c r="GE54" s="559"/>
      <c r="GF54" s="559"/>
      <c r="GG54" s="559"/>
      <c r="GH54" s="559"/>
    </row>
    <row r="55">
      <c r="A55" s="538"/>
      <c r="B55" s="134"/>
      <c r="C55" s="57"/>
      <c r="D55" s="594" t="s">
        <v>380</v>
      </c>
      <c r="E55" s="629" t="s">
        <v>412</v>
      </c>
      <c r="F55" s="563">
        <v>3.0</v>
      </c>
      <c r="G55" s="563">
        <v>4.0</v>
      </c>
      <c r="H55" s="564"/>
      <c r="I55" s="622">
        <v>0.0</v>
      </c>
      <c r="J55" s="566">
        <v>85.0</v>
      </c>
      <c r="K55" s="567"/>
      <c r="L55" s="568"/>
      <c r="M55" s="626"/>
      <c r="N55" s="617"/>
      <c r="O55" s="621"/>
      <c r="P55" s="57"/>
      <c r="Q55" s="57"/>
      <c r="R55" s="57"/>
      <c r="S55" s="605"/>
      <c r="T55" s="605"/>
      <c r="U55" s="573"/>
      <c r="V55" s="574"/>
      <c r="W55" s="618"/>
      <c r="X55" s="576">
        <v>1020.0</v>
      </c>
      <c r="Y55" s="630">
        <v>935.0</v>
      </c>
      <c r="Z55" s="630">
        <v>12.0</v>
      </c>
      <c r="AA55" s="631">
        <v>0.7391304347826086</v>
      </c>
      <c r="AB55" s="631"/>
      <c r="AC55" s="576"/>
      <c r="AD55" s="479">
        <v>3.0</v>
      </c>
      <c r="AE55" s="632"/>
      <c r="AF55" s="582" t="s">
        <v>604</v>
      </c>
      <c r="AG55" s="583">
        <v>3.0</v>
      </c>
      <c r="AH55" s="584">
        <v>85.0</v>
      </c>
      <c r="AI55" s="583">
        <v>1.0</v>
      </c>
      <c r="AJ55" s="585"/>
      <c r="AK55" s="583">
        <v>4.0</v>
      </c>
      <c r="AL55" s="584">
        <v>85.0</v>
      </c>
      <c r="AM55" s="583">
        <v>1.0</v>
      </c>
      <c r="AN55" s="585"/>
      <c r="AO55" s="583">
        <v>4.0</v>
      </c>
      <c r="AP55" s="584">
        <v>85.0</v>
      </c>
      <c r="AQ55" s="583">
        <v>1.0</v>
      </c>
      <c r="AR55" s="585"/>
      <c r="AS55" s="583"/>
      <c r="AT55" s="584"/>
      <c r="AU55" s="583"/>
      <c r="AV55" s="585"/>
      <c r="AW55" s="583"/>
      <c r="AX55" s="584"/>
      <c r="AY55" s="583"/>
      <c r="AZ55" s="585"/>
      <c r="BA55" s="583"/>
      <c r="BB55" s="584"/>
      <c r="BC55" s="583"/>
      <c r="BD55" s="585"/>
      <c r="BE55" s="583"/>
      <c r="BF55" s="584"/>
      <c r="BG55" s="583"/>
      <c r="BH55" s="585"/>
      <c r="BI55" s="583"/>
      <c r="BJ55" s="584"/>
      <c r="BK55" s="583"/>
      <c r="BL55" s="585"/>
      <c r="BM55" s="583"/>
      <c r="BN55" s="584"/>
      <c r="BO55" s="583"/>
      <c r="BP55" s="585"/>
      <c r="BQ55" s="583"/>
      <c r="BR55" s="584"/>
      <c r="BS55" s="583"/>
      <c r="BT55" s="586"/>
      <c r="BU55" s="540"/>
      <c r="BV55" s="540"/>
      <c r="BW55" s="540"/>
      <c r="BX55" s="538"/>
      <c r="BY55" s="538"/>
      <c r="BZ55" s="592">
        <v>115.0</v>
      </c>
      <c r="CA55" s="633">
        <v>0.7391304347826086</v>
      </c>
      <c r="CB55" s="592">
        <v>85.0</v>
      </c>
      <c r="CC55" s="592">
        <v>11.0</v>
      </c>
      <c r="CD55" s="592">
        <v>1.0</v>
      </c>
      <c r="CE55" s="592">
        <v>935.0</v>
      </c>
      <c r="CF55" s="592">
        <v>8.130434782608695</v>
      </c>
      <c r="CG55" s="592">
        <v>0.4216666666666665</v>
      </c>
      <c r="CH55" s="592"/>
      <c r="CI55" s="633">
        <v>0.8293782608695652</v>
      </c>
      <c r="CJ55" s="592">
        <v>3.5999999999999996</v>
      </c>
      <c r="CK55" s="479">
        <v>0.0</v>
      </c>
      <c r="CL55" s="592"/>
      <c r="CM55" s="593"/>
      <c r="CN55" s="538"/>
      <c r="CO55" s="538"/>
      <c r="CP55" s="538"/>
      <c r="CQ55" s="538"/>
      <c r="CR55" s="538"/>
      <c r="CS55" s="538"/>
      <c r="CT55" s="538"/>
      <c r="CU55" s="538"/>
      <c r="CV55" s="538"/>
      <c r="CW55" s="538"/>
      <c r="CX55" s="538"/>
      <c r="CY55" s="538"/>
      <c r="CZ55" s="538"/>
      <c r="DA55" s="538"/>
      <c r="DB55" s="538"/>
      <c r="DC55" s="538"/>
      <c r="DD55" s="538"/>
      <c r="DE55" s="538"/>
      <c r="DF55" s="538"/>
      <c r="DG55" s="538"/>
      <c r="DH55" s="538"/>
      <c r="DI55" s="538"/>
      <c r="DJ55" s="84"/>
      <c r="DK55" s="538"/>
      <c r="DL55" s="538"/>
      <c r="DM55" s="538"/>
      <c r="DN55" s="538"/>
      <c r="DO55" s="538"/>
      <c r="DP55" s="538"/>
      <c r="DQ55" s="538"/>
      <c r="DR55" s="538"/>
      <c r="DS55" s="538"/>
      <c r="DT55" s="538"/>
      <c r="DU55" s="538"/>
      <c r="DV55" s="538"/>
      <c r="DW55" s="538"/>
      <c r="DX55" s="538"/>
      <c r="DY55" s="538"/>
      <c r="DZ55" s="538"/>
      <c r="EA55" s="538"/>
      <c r="EB55" s="538"/>
      <c r="EC55" s="538"/>
      <c r="ED55" s="538"/>
      <c r="EE55" s="538"/>
      <c r="EF55" s="538"/>
      <c r="EG55" s="538"/>
      <c r="EH55" s="538"/>
      <c r="EI55" s="538"/>
      <c r="EJ55" s="538"/>
      <c r="EK55" s="538"/>
      <c r="EL55" s="538"/>
      <c r="EM55" s="538"/>
      <c r="EN55" s="538"/>
      <c r="EO55" s="538"/>
      <c r="EP55" s="538"/>
      <c r="EQ55" s="538"/>
      <c r="ER55" s="538"/>
      <c r="ES55" s="538"/>
      <c r="ET55" s="538"/>
      <c r="EU55" s="538"/>
      <c r="EV55" s="538"/>
      <c r="EW55" s="538"/>
      <c r="EX55" s="559"/>
      <c r="EY55" s="559"/>
      <c r="EZ55" s="559"/>
      <c r="FA55" s="559"/>
      <c r="FB55" s="559"/>
      <c r="FC55" s="559"/>
      <c r="FD55" s="559"/>
      <c r="FE55" s="559"/>
      <c r="FF55" s="559"/>
      <c r="FG55" s="559"/>
      <c r="FH55" s="559"/>
      <c r="FI55" s="559"/>
      <c r="FJ55" s="559"/>
      <c r="FK55" s="559"/>
      <c r="FL55" s="559"/>
      <c r="FM55" s="559"/>
      <c r="FN55" s="559"/>
      <c r="FO55" s="559"/>
      <c r="FP55" s="559"/>
      <c r="FQ55" s="559"/>
      <c r="FR55" s="559"/>
      <c r="FS55" s="559"/>
      <c r="FT55" s="559"/>
      <c r="FU55" s="559"/>
      <c r="FV55" s="559"/>
      <c r="FW55" s="559"/>
      <c r="FX55" s="559"/>
      <c r="FY55" s="559"/>
      <c r="FZ55" s="559"/>
      <c r="GA55" s="559"/>
      <c r="GB55" s="559"/>
      <c r="GC55" s="559"/>
      <c r="GD55" s="559"/>
      <c r="GE55" s="559"/>
      <c r="GF55" s="559"/>
      <c r="GG55" s="559"/>
      <c r="GH55" s="559"/>
    </row>
    <row r="56">
      <c r="A56" s="538"/>
      <c r="B56" s="134"/>
      <c r="C56" s="57"/>
      <c r="D56" s="594" t="s">
        <v>313</v>
      </c>
      <c r="E56" s="606" t="s">
        <v>534</v>
      </c>
      <c r="F56" s="563">
        <v>4.0</v>
      </c>
      <c r="G56" s="563">
        <v>10.0</v>
      </c>
      <c r="H56" s="564"/>
      <c r="I56" s="622" t="s">
        <v>365</v>
      </c>
      <c r="J56" s="566"/>
      <c r="K56" s="567">
        <v>2.0</v>
      </c>
      <c r="L56" s="568">
        <v>3.0</v>
      </c>
      <c r="M56" s="626"/>
      <c r="N56" s="619"/>
      <c r="O56" s="623"/>
      <c r="P56" s="47"/>
      <c r="Q56" s="47"/>
      <c r="R56" s="47"/>
      <c r="S56" s="572"/>
      <c r="T56" s="572"/>
      <c r="U56" s="573"/>
      <c r="V56" s="574"/>
      <c r="W56" s="618"/>
      <c r="X56" s="576">
        <v>0.0</v>
      </c>
      <c r="Y56" s="630" t="e">
        <v>#VALUE!</v>
      </c>
      <c r="Z56" s="630">
        <v>40.0</v>
      </c>
      <c r="AA56" s="631" t="b">
        <v>0</v>
      </c>
      <c r="AB56" s="631"/>
      <c r="AC56" s="576"/>
      <c r="AD56" s="479">
        <v>3.0</v>
      </c>
      <c r="AE56" s="632"/>
      <c r="AF56" s="582" t="s">
        <v>535</v>
      </c>
      <c r="AG56" s="583">
        <v>10.0</v>
      </c>
      <c r="AH56" s="584">
        <v>70.0</v>
      </c>
      <c r="AI56" s="583">
        <v>1.0</v>
      </c>
      <c r="AJ56" s="585">
        <v>8.0</v>
      </c>
      <c r="AK56" s="583">
        <v>9.0</v>
      </c>
      <c r="AL56" s="584">
        <v>70.0</v>
      </c>
      <c r="AM56" s="583">
        <v>0.0</v>
      </c>
      <c r="AN56" s="585">
        <v>9.0</v>
      </c>
      <c r="AO56" s="583">
        <v>10.0</v>
      </c>
      <c r="AP56" s="584" t="s">
        <v>605</v>
      </c>
      <c r="AQ56" s="583">
        <v>1.0</v>
      </c>
      <c r="AR56" s="585">
        <v>9.0</v>
      </c>
      <c r="AS56" s="583"/>
      <c r="AT56" s="584"/>
      <c r="AU56" s="583"/>
      <c r="AV56" s="585"/>
      <c r="AW56" s="583"/>
      <c r="AX56" s="584"/>
      <c r="AY56" s="583"/>
      <c r="AZ56" s="585"/>
      <c r="BA56" s="583"/>
      <c r="BB56" s="584"/>
      <c r="BC56" s="583"/>
      <c r="BD56" s="585"/>
      <c r="BE56" s="583"/>
      <c r="BF56" s="584"/>
      <c r="BG56" s="583"/>
      <c r="BH56" s="585"/>
      <c r="BI56" s="583"/>
      <c r="BJ56" s="584"/>
      <c r="BK56" s="583"/>
      <c r="BL56" s="585"/>
      <c r="BM56" s="583"/>
      <c r="BN56" s="584"/>
      <c r="BO56" s="583"/>
      <c r="BP56" s="585"/>
      <c r="BQ56" s="583"/>
      <c r="BR56" s="584"/>
      <c r="BS56" s="583"/>
      <c r="BT56" s="586"/>
      <c r="BU56" s="540"/>
      <c r="BV56" s="540"/>
      <c r="BW56" s="540"/>
      <c r="BX56" s="538"/>
      <c r="BY56" s="538"/>
      <c r="BZ56" s="592"/>
      <c r="CA56" s="633"/>
      <c r="CB56" s="592" t="s">
        <v>365</v>
      </c>
      <c r="CC56" s="592">
        <v>29.0</v>
      </c>
      <c r="CD56" s="592">
        <v>0.6666666666666666</v>
      </c>
      <c r="CE56" s="592" t="e">
        <v>#VALUE!</v>
      </c>
      <c r="CF56" s="592"/>
      <c r="CG56" s="592">
        <v>0.29</v>
      </c>
      <c r="CH56" s="592"/>
      <c r="CI56" s="633"/>
      <c r="CJ56" s="592">
        <v>4.0</v>
      </c>
      <c r="CK56" s="479">
        <v>8.666666666666666</v>
      </c>
      <c r="CL56" s="592"/>
      <c r="CM56" s="593"/>
      <c r="CN56" s="538"/>
      <c r="CO56" s="538"/>
      <c r="CP56" s="538"/>
      <c r="CQ56" s="538"/>
      <c r="CR56" s="538"/>
      <c r="CS56" s="538"/>
      <c r="CT56" s="538"/>
      <c r="CU56" s="538"/>
      <c r="CV56" s="538"/>
      <c r="CW56" s="538"/>
      <c r="CX56" s="538"/>
      <c r="CY56" s="538"/>
      <c r="CZ56" s="538"/>
      <c r="DA56" s="538"/>
      <c r="DB56" s="538"/>
      <c r="DC56" s="538"/>
      <c r="DD56" s="538"/>
      <c r="DE56" s="538"/>
      <c r="DF56" s="538"/>
      <c r="DG56" s="538"/>
      <c r="DH56" s="538"/>
      <c r="DI56" s="538"/>
      <c r="DJ56" s="84"/>
      <c r="DK56" s="538"/>
      <c r="DL56" s="538"/>
      <c r="DM56" s="538"/>
      <c r="DN56" s="538"/>
      <c r="DO56" s="538"/>
      <c r="DP56" s="538"/>
      <c r="DQ56" s="538"/>
      <c r="DR56" s="538"/>
      <c r="DS56" s="538"/>
      <c r="DT56" s="538"/>
      <c r="DU56" s="538"/>
      <c r="DV56" s="538"/>
      <c r="DW56" s="538"/>
      <c r="DX56" s="538"/>
      <c r="DY56" s="538"/>
      <c r="DZ56" s="538"/>
      <c r="EA56" s="538"/>
      <c r="EB56" s="538"/>
      <c r="EC56" s="538"/>
      <c r="ED56" s="538"/>
      <c r="EE56" s="538"/>
      <c r="EF56" s="538"/>
      <c r="EG56" s="538"/>
      <c r="EH56" s="538"/>
      <c r="EI56" s="538"/>
      <c r="EJ56" s="538"/>
      <c r="EK56" s="538"/>
      <c r="EL56" s="538"/>
      <c r="EM56" s="538"/>
      <c r="EN56" s="538"/>
      <c r="EO56" s="538"/>
      <c r="EP56" s="538"/>
      <c r="EQ56" s="538"/>
      <c r="ER56" s="538"/>
      <c r="ES56" s="538"/>
      <c r="ET56" s="538"/>
      <c r="EU56" s="538"/>
      <c r="EV56" s="538"/>
      <c r="EW56" s="538"/>
      <c r="EX56" s="559"/>
      <c r="EY56" s="559"/>
      <c r="EZ56" s="559"/>
      <c r="FA56" s="559"/>
      <c r="FB56" s="559"/>
      <c r="FC56" s="559"/>
      <c r="FD56" s="559"/>
      <c r="FE56" s="559"/>
      <c r="FF56" s="559"/>
      <c r="FG56" s="559"/>
      <c r="FH56" s="559"/>
      <c r="FI56" s="559"/>
      <c r="FJ56" s="559"/>
      <c r="FK56" s="559"/>
      <c r="FL56" s="559"/>
      <c r="FM56" s="559"/>
      <c r="FN56" s="559"/>
      <c r="FO56" s="559"/>
      <c r="FP56" s="559"/>
      <c r="FQ56" s="559"/>
      <c r="FR56" s="559"/>
      <c r="FS56" s="559"/>
      <c r="FT56" s="559"/>
      <c r="FU56" s="559"/>
      <c r="FV56" s="559"/>
      <c r="FW56" s="559"/>
      <c r="FX56" s="559"/>
      <c r="FY56" s="559"/>
      <c r="FZ56" s="559"/>
      <c r="GA56" s="559"/>
      <c r="GB56" s="559"/>
      <c r="GC56" s="559"/>
      <c r="GD56" s="559"/>
      <c r="GE56" s="559"/>
      <c r="GF56" s="559"/>
      <c r="GG56" s="559"/>
      <c r="GH56" s="559"/>
    </row>
    <row r="57">
      <c r="A57" s="538"/>
      <c r="B57" s="134"/>
      <c r="C57" s="57"/>
      <c r="D57" s="594" t="s">
        <v>316</v>
      </c>
      <c r="E57" s="606" t="s">
        <v>537</v>
      </c>
      <c r="F57" s="563">
        <v>4.0</v>
      </c>
      <c r="G57" s="563">
        <v>6.0</v>
      </c>
      <c r="H57" s="564"/>
      <c r="I57" s="622" t="s">
        <v>365</v>
      </c>
      <c r="J57" s="566"/>
      <c r="K57" s="567">
        <v>2.0</v>
      </c>
      <c r="L57" s="568">
        <v>3.0</v>
      </c>
      <c r="M57" s="626"/>
      <c r="N57" s="617"/>
      <c r="O57" s="621"/>
      <c r="P57" s="57"/>
      <c r="Q57" s="57"/>
      <c r="R57" s="57"/>
      <c r="S57" s="605"/>
      <c r="T57" s="605"/>
      <c r="U57" s="573"/>
      <c r="V57" s="574"/>
      <c r="W57" s="618"/>
      <c r="X57" s="576">
        <v>0.0</v>
      </c>
      <c r="Y57" s="630" t="e">
        <v>#VALUE!</v>
      </c>
      <c r="Z57" s="630">
        <v>24.0</v>
      </c>
      <c r="AA57" s="631" t="b">
        <v>0</v>
      </c>
      <c r="AB57" s="631"/>
      <c r="AC57" s="576"/>
      <c r="AD57" s="479">
        <v>1.0</v>
      </c>
      <c r="AE57" s="632"/>
      <c r="AF57" s="582" t="s">
        <v>538</v>
      </c>
      <c r="AG57" s="583">
        <v>9.0</v>
      </c>
      <c r="AH57" s="584" t="s">
        <v>606</v>
      </c>
      <c r="AI57" s="583"/>
      <c r="AJ57" s="585"/>
      <c r="AK57" s="583"/>
      <c r="AL57" s="584" t="s">
        <v>607</v>
      </c>
      <c r="AM57" s="583"/>
      <c r="AN57" s="585"/>
      <c r="AO57" s="583"/>
      <c r="AP57" s="584"/>
      <c r="AQ57" s="583"/>
      <c r="AR57" s="585"/>
      <c r="AS57" s="583"/>
      <c r="AT57" s="584"/>
      <c r="AU57" s="583"/>
      <c r="AV57" s="585"/>
      <c r="AW57" s="583"/>
      <c r="AX57" s="584"/>
      <c r="AY57" s="583"/>
      <c r="AZ57" s="585"/>
      <c r="BA57" s="583"/>
      <c r="BB57" s="584"/>
      <c r="BC57" s="583"/>
      <c r="BD57" s="585"/>
      <c r="BE57" s="583"/>
      <c r="BF57" s="584"/>
      <c r="BG57" s="583"/>
      <c r="BH57" s="585"/>
      <c r="BI57" s="583"/>
      <c r="BJ57" s="584"/>
      <c r="BK57" s="583"/>
      <c r="BL57" s="585"/>
      <c r="BM57" s="583"/>
      <c r="BN57" s="584"/>
      <c r="BO57" s="583"/>
      <c r="BP57" s="585"/>
      <c r="BQ57" s="583"/>
      <c r="BR57" s="584"/>
      <c r="BS57" s="583"/>
      <c r="BT57" s="586"/>
      <c r="BU57" s="540"/>
      <c r="BV57" s="540"/>
      <c r="BW57" s="540"/>
      <c r="BX57" s="538"/>
      <c r="BY57" s="538"/>
      <c r="BZ57" s="592"/>
      <c r="CA57" s="633"/>
      <c r="CB57" s="592" t="s">
        <v>365</v>
      </c>
      <c r="CC57" s="592">
        <v>9.0</v>
      </c>
      <c r="CD57" s="592">
        <v>0.0</v>
      </c>
      <c r="CE57" s="592" t="e">
        <v>#VALUE!</v>
      </c>
      <c r="CF57" s="592"/>
      <c r="CG57" s="592">
        <v>0.09</v>
      </c>
      <c r="CH57" s="592"/>
      <c r="CI57" s="633"/>
      <c r="CJ57" s="592">
        <v>0.0</v>
      </c>
      <c r="CK57" s="479">
        <v>0.0</v>
      </c>
      <c r="CL57" s="592"/>
      <c r="CM57" s="593"/>
      <c r="CN57" s="538"/>
      <c r="CO57" s="538"/>
      <c r="CP57" s="538"/>
      <c r="CQ57" s="538"/>
      <c r="CR57" s="538"/>
      <c r="CS57" s="538"/>
      <c r="CT57" s="538"/>
      <c r="CU57" s="538"/>
      <c r="CV57" s="538"/>
      <c r="CW57" s="538"/>
      <c r="CX57" s="538"/>
      <c r="CY57" s="538"/>
      <c r="CZ57" s="538"/>
      <c r="DA57" s="538"/>
      <c r="DB57" s="538"/>
      <c r="DC57" s="538"/>
      <c r="DD57" s="538"/>
      <c r="DE57" s="538"/>
      <c r="DF57" s="538"/>
      <c r="DG57" s="538"/>
      <c r="DH57" s="538"/>
      <c r="DI57" s="538"/>
      <c r="DJ57" s="84"/>
      <c r="DK57" s="538"/>
      <c r="DL57" s="538"/>
      <c r="DM57" s="538"/>
      <c r="DN57" s="538"/>
      <c r="DO57" s="538"/>
      <c r="DP57" s="538"/>
      <c r="DQ57" s="538"/>
      <c r="DR57" s="538"/>
      <c r="DS57" s="538"/>
      <c r="DT57" s="538"/>
      <c r="DU57" s="538"/>
      <c r="DV57" s="538"/>
      <c r="DW57" s="538"/>
      <c r="DX57" s="538"/>
      <c r="DY57" s="538"/>
      <c r="DZ57" s="538"/>
      <c r="EA57" s="538"/>
      <c r="EB57" s="538"/>
      <c r="EC57" s="538"/>
      <c r="ED57" s="538"/>
      <c r="EE57" s="538"/>
      <c r="EF57" s="538"/>
      <c r="EG57" s="538"/>
      <c r="EH57" s="538"/>
      <c r="EI57" s="538"/>
      <c r="EJ57" s="538"/>
      <c r="EK57" s="538"/>
      <c r="EL57" s="538"/>
      <c r="EM57" s="538"/>
      <c r="EN57" s="538"/>
      <c r="EO57" s="538"/>
      <c r="EP57" s="538"/>
      <c r="EQ57" s="538"/>
      <c r="ER57" s="538"/>
      <c r="ES57" s="538"/>
      <c r="ET57" s="538"/>
      <c r="EU57" s="538"/>
      <c r="EV57" s="538"/>
      <c r="EW57" s="538"/>
      <c r="EX57" s="559"/>
      <c r="EY57" s="559"/>
      <c r="EZ57" s="559"/>
      <c r="FA57" s="559"/>
      <c r="FB57" s="559"/>
      <c r="FC57" s="559"/>
      <c r="FD57" s="559"/>
      <c r="FE57" s="559"/>
      <c r="FF57" s="559"/>
      <c r="FG57" s="559"/>
      <c r="FH57" s="559"/>
      <c r="FI57" s="559"/>
      <c r="FJ57" s="559"/>
      <c r="FK57" s="559"/>
      <c r="FL57" s="559"/>
      <c r="FM57" s="559"/>
      <c r="FN57" s="559"/>
      <c r="FO57" s="559"/>
      <c r="FP57" s="559"/>
      <c r="FQ57" s="559"/>
      <c r="FR57" s="559"/>
      <c r="FS57" s="559"/>
      <c r="FT57" s="559"/>
      <c r="FU57" s="559"/>
      <c r="FV57" s="559"/>
      <c r="FW57" s="559"/>
      <c r="FX57" s="559"/>
      <c r="FY57" s="559"/>
      <c r="FZ57" s="559"/>
      <c r="GA57" s="559"/>
      <c r="GB57" s="559"/>
      <c r="GC57" s="559"/>
      <c r="GD57" s="559"/>
      <c r="GE57" s="559"/>
      <c r="GF57" s="559"/>
      <c r="GG57" s="559"/>
      <c r="GH57" s="559"/>
    </row>
    <row r="58">
      <c r="A58" s="538"/>
      <c r="B58" s="134"/>
      <c r="C58" s="57"/>
      <c r="D58" s="594" t="s">
        <v>302</v>
      </c>
      <c r="E58" s="595" t="s">
        <v>544</v>
      </c>
      <c r="F58" s="596">
        <v>3.0</v>
      </c>
      <c r="G58" s="596">
        <v>15.0</v>
      </c>
      <c r="H58" s="597"/>
      <c r="I58" s="616" t="s">
        <v>365</v>
      </c>
      <c r="J58" s="599"/>
      <c r="K58" s="600">
        <v>2.0</v>
      </c>
      <c r="L58" s="568">
        <v>3.0</v>
      </c>
      <c r="M58" s="626"/>
      <c r="N58" s="619"/>
      <c r="O58" s="560" t="s">
        <v>425</v>
      </c>
      <c r="P58" s="47"/>
      <c r="Q58" s="47"/>
      <c r="R58" s="47"/>
      <c r="S58" s="572"/>
      <c r="T58" s="572"/>
      <c r="U58" s="573"/>
      <c r="V58" s="574"/>
      <c r="W58" s="618"/>
      <c r="X58" s="576">
        <v>0.0</v>
      </c>
      <c r="Y58" s="630">
        <v>0.0</v>
      </c>
      <c r="Z58" s="630">
        <v>45.0</v>
      </c>
      <c r="AA58" s="631" t="b">
        <v>0</v>
      </c>
      <c r="AB58" s="631"/>
      <c r="AC58" s="576"/>
      <c r="AD58" s="479">
        <v>0.0</v>
      </c>
      <c r="AE58" s="632"/>
      <c r="AF58" s="582" t="s">
        <v>545</v>
      </c>
      <c r="AG58" s="583"/>
      <c r="AH58" s="584"/>
      <c r="AI58" s="583"/>
      <c r="AJ58" s="585"/>
      <c r="AK58" s="583"/>
      <c r="AL58" s="584"/>
      <c r="AM58" s="583"/>
      <c r="AN58" s="585"/>
      <c r="AO58" s="583"/>
      <c r="AP58" s="584"/>
      <c r="AQ58" s="583"/>
      <c r="AR58" s="585"/>
      <c r="AS58" s="583"/>
      <c r="AT58" s="584"/>
      <c r="AU58" s="583"/>
      <c r="AV58" s="585"/>
      <c r="AW58" s="583"/>
      <c r="AX58" s="584"/>
      <c r="AY58" s="583"/>
      <c r="AZ58" s="585"/>
      <c r="BA58" s="583"/>
      <c r="BB58" s="584"/>
      <c r="BC58" s="583"/>
      <c r="BD58" s="585"/>
      <c r="BE58" s="583"/>
      <c r="BF58" s="584"/>
      <c r="BG58" s="583"/>
      <c r="BH58" s="585"/>
      <c r="BI58" s="583"/>
      <c r="BJ58" s="584"/>
      <c r="BK58" s="583"/>
      <c r="BL58" s="585"/>
      <c r="BM58" s="583"/>
      <c r="BN58" s="584"/>
      <c r="BO58" s="583"/>
      <c r="BP58" s="585"/>
      <c r="BQ58" s="583"/>
      <c r="BR58" s="584"/>
      <c r="BS58" s="583"/>
      <c r="BT58" s="586"/>
      <c r="BU58" s="540"/>
      <c r="BV58" s="540"/>
      <c r="BW58" s="540"/>
      <c r="BX58" s="538"/>
      <c r="BY58" s="538"/>
      <c r="BZ58" s="592"/>
      <c r="CA58" s="633"/>
      <c r="CB58" s="592" t="s">
        <v>365</v>
      </c>
      <c r="CC58" s="592">
        <v>0.0</v>
      </c>
      <c r="CD58" s="592" t="s">
        <v>365</v>
      </c>
      <c r="CE58" s="592">
        <v>0.0</v>
      </c>
      <c r="CF58" s="592"/>
      <c r="CG58" s="592">
        <v>0.0</v>
      </c>
      <c r="CH58" s="592"/>
      <c r="CI58" s="633"/>
      <c r="CJ58" s="592">
        <v>0.0</v>
      </c>
      <c r="CK58" s="479" t="s">
        <v>365</v>
      </c>
      <c r="CL58" s="592"/>
      <c r="CM58" s="593"/>
      <c r="CN58" s="538"/>
      <c r="CO58" s="538"/>
      <c r="CP58" s="538"/>
      <c r="CQ58" s="538"/>
      <c r="CR58" s="538"/>
      <c r="CS58" s="538"/>
      <c r="CT58" s="538"/>
      <c r="CU58" s="538"/>
      <c r="CV58" s="538"/>
      <c r="CW58" s="538"/>
      <c r="CX58" s="538"/>
      <c r="CY58" s="538"/>
      <c r="CZ58" s="538"/>
      <c r="DA58" s="538"/>
      <c r="DB58" s="538"/>
      <c r="DC58" s="538"/>
      <c r="DD58" s="538"/>
      <c r="DE58" s="538"/>
      <c r="DF58" s="538"/>
      <c r="DG58" s="538"/>
      <c r="DH58" s="538"/>
      <c r="DI58" s="538"/>
      <c r="DJ58" s="84"/>
      <c r="DK58" s="538"/>
      <c r="DL58" s="538"/>
      <c r="DM58" s="538"/>
      <c r="DN58" s="538"/>
      <c r="DO58" s="538"/>
      <c r="DP58" s="538"/>
      <c r="DQ58" s="538"/>
      <c r="DR58" s="538"/>
      <c r="DS58" s="538"/>
      <c r="DT58" s="538"/>
      <c r="DU58" s="538"/>
      <c r="DV58" s="538"/>
      <c r="DW58" s="538"/>
      <c r="DX58" s="538"/>
      <c r="DY58" s="538"/>
      <c r="DZ58" s="538"/>
      <c r="EA58" s="538"/>
      <c r="EB58" s="538"/>
      <c r="EC58" s="538"/>
      <c r="ED58" s="538"/>
      <c r="EE58" s="538"/>
      <c r="EF58" s="538"/>
      <c r="EG58" s="538"/>
      <c r="EH58" s="538"/>
      <c r="EI58" s="538"/>
      <c r="EJ58" s="538"/>
      <c r="EK58" s="538"/>
      <c r="EL58" s="538"/>
      <c r="EM58" s="538"/>
      <c r="EN58" s="538"/>
      <c r="EO58" s="538"/>
      <c r="EP58" s="538"/>
      <c r="EQ58" s="538"/>
      <c r="ER58" s="538"/>
      <c r="ES58" s="538"/>
      <c r="ET58" s="538"/>
      <c r="EU58" s="538"/>
      <c r="EV58" s="538"/>
      <c r="EW58" s="538"/>
      <c r="EX58" s="559"/>
      <c r="EY58" s="559"/>
      <c r="EZ58" s="559"/>
      <c r="FA58" s="559"/>
      <c r="FB58" s="559"/>
      <c r="FC58" s="559"/>
      <c r="FD58" s="559"/>
      <c r="FE58" s="559"/>
      <c r="FF58" s="559"/>
      <c r="FG58" s="559"/>
      <c r="FH58" s="559"/>
      <c r="FI58" s="559"/>
      <c r="FJ58" s="559"/>
      <c r="FK58" s="559"/>
      <c r="FL58" s="559"/>
      <c r="FM58" s="559"/>
      <c r="FN58" s="559"/>
      <c r="FO58" s="559"/>
      <c r="FP58" s="559"/>
      <c r="FQ58" s="559"/>
      <c r="FR58" s="559"/>
      <c r="FS58" s="559"/>
      <c r="FT58" s="559"/>
      <c r="FU58" s="559"/>
      <c r="FV58" s="559"/>
      <c r="FW58" s="559"/>
      <c r="FX58" s="559"/>
      <c r="FY58" s="559"/>
      <c r="FZ58" s="559"/>
      <c r="GA58" s="559"/>
      <c r="GB58" s="559"/>
      <c r="GC58" s="559"/>
      <c r="GD58" s="559"/>
      <c r="GE58" s="559"/>
      <c r="GF58" s="559"/>
      <c r="GG58" s="559"/>
      <c r="GH58" s="559"/>
    </row>
    <row r="59">
      <c r="A59" s="538"/>
      <c r="B59" s="134"/>
      <c r="C59" s="57"/>
      <c r="D59" s="594" t="s">
        <v>301</v>
      </c>
      <c r="E59" s="595" t="s">
        <v>547</v>
      </c>
      <c r="F59" s="596">
        <v>3.0</v>
      </c>
      <c r="G59" s="596">
        <v>12.0</v>
      </c>
      <c r="H59" s="597"/>
      <c r="I59" s="616" t="s">
        <v>365</v>
      </c>
      <c r="J59" s="599"/>
      <c r="K59" s="600">
        <v>1.0</v>
      </c>
      <c r="L59" s="601">
        <v>2.0</v>
      </c>
      <c r="M59" s="625"/>
      <c r="N59" s="617"/>
      <c r="O59" s="621"/>
      <c r="P59" s="57"/>
      <c r="Q59" s="57"/>
      <c r="R59" s="57"/>
      <c r="S59" s="605"/>
      <c r="T59" s="605"/>
      <c r="U59" s="573"/>
      <c r="V59" s="574"/>
      <c r="W59" s="618"/>
      <c r="X59" s="576">
        <v>0.0</v>
      </c>
      <c r="Y59" s="630">
        <v>0.0</v>
      </c>
      <c r="Z59" s="630">
        <v>36.0</v>
      </c>
      <c r="AA59" s="631" t="b">
        <v>0</v>
      </c>
      <c r="AB59" s="631"/>
      <c r="AC59" s="576"/>
      <c r="AD59" s="479">
        <v>0.0</v>
      </c>
      <c r="AE59" s="632"/>
      <c r="AF59" s="582" t="s">
        <v>548</v>
      </c>
      <c r="AG59" s="583"/>
      <c r="AH59" s="584"/>
      <c r="AI59" s="583"/>
      <c r="AJ59" s="585"/>
      <c r="AK59" s="583"/>
      <c r="AL59" s="584"/>
      <c r="AM59" s="583"/>
      <c r="AN59" s="585"/>
      <c r="AO59" s="583"/>
      <c r="AP59" s="584"/>
      <c r="AQ59" s="583"/>
      <c r="AR59" s="585"/>
      <c r="AS59" s="583"/>
      <c r="AT59" s="584"/>
      <c r="AU59" s="583"/>
      <c r="AV59" s="585"/>
      <c r="AW59" s="583"/>
      <c r="AX59" s="584"/>
      <c r="AY59" s="583"/>
      <c r="AZ59" s="585"/>
      <c r="BA59" s="583"/>
      <c r="BB59" s="584"/>
      <c r="BC59" s="583"/>
      <c r="BD59" s="585"/>
      <c r="BE59" s="583"/>
      <c r="BF59" s="584"/>
      <c r="BG59" s="583"/>
      <c r="BH59" s="585"/>
      <c r="BI59" s="583"/>
      <c r="BJ59" s="584"/>
      <c r="BK59" s="583"/>
      <c r="BL59" s="585"/>
      <c r="BM59" s="583"/>
      <c r="BN59" s="584"/>
      <c r="BO59" s="583"/>
      <c r="BP59" s="585"/>
      <c r="BQ59" s="583"/>
      <c r="BR59" s="584"/>
      <c r="BS59" s="583"/>
      <c r="BT59" s="586"/>
      <c r="BU59" s="540"/>
      <c r="BV59" s="540"/>
      <c r="BW59" s="540"/>
      <c r="BX59" s="538"/>
      <c r="BY59" s="538"/>
      <c r="BZ59" s="592"/>
      <c r="CA59" s="633"/>
      <c r="CB59" s="592" t="s">
        <v>365</v>
      </c>
      <c r="CC59" s="592">
        <v>0.0</v>
      </c>
      <c r="CD59" s="592" t="s">
        <v>365</v>
      </c>
      <c r="CE59" s="592">
        <v>0.0</v>
      </c>
      <c r="CF59" s="592"/>
      <c r="CG59" s="592">
        <v>0.0</v>
      </c>
      <c r="CH59" s="592"/>
      <c r="CI59" s="633"/>
      <c r="CJ59" s="592">
        <v>0.0</v>
      </c>
      <c r="CK59" s="479" t="s">
        <v>365</v>
      </c>
      <c r="CL59" s="592"/>
      <c r="CM59" s="593"/>
      <c r="CN59" s="538"/>
      <c r="CO59" s="538"/>
      <c r="CP59" s="538"/>
      <c r="CQ59" s="538"/>
      <c r="CR59" s="538"/>
      <c r="CS59" s="538"/>
      <c r="CT59" s="538"/>
      <c r="CU59" s="538"/>
      <c r="CV59" s="538"/>
      <c r="CW59" s="538"/>
      <c r="CX59" s="538"/>
      <c r="CY59" s="538"/>
      <c r="CZ59" s="538"/>
      <c r="DA59" s="538"/>
      <c r="DB59" s="538"/>
      <c r="DC59" s="538"/>
      <c r="DD59" s="538"/>
      <c r="DE59" s="538"/>
      <c r="DF59" s="538"/>
      <c r="DG59" s="538"/>
      <c r="DH59" s="538"/>
      <c r="DI59" s="538"/>
      <c r="DJ59" s="84"/>
      <c r="DK59" s="538"/>
      <c r="DL59" s="538"/>
      <c r="DM59" s="538"/>
      <c r="DN59" s="538"/>
      <c r="DO59" s="538"/>
      <c r="DP59" s="538"/>
      <c r="DQ59" s="538"/>
      <c r="DR59" s="538"/>
      <c r="DS59" s="538"/>
      <c r="DT59" s="538"/>
      <c r="DU59" s="538"/>
      <c r="DV59" s="538"/>
      <c r="DW59" s="538"/>
      <c r="DX59" s="538"/>
      <c r="DY59" s="538"/>
      <c r="DZ59" s="538"/>
      <c r="EA59" s="538"/>
      <c r="EB59" s="538"/>
      <c r="EC59" s="538"/>
      <c r="ED59" s="538"/>
      <c r="EE59" s="538"/>
      <c r="EF59" s="538"/>
      <c r="EG59" s="538"/>
      <c r="EH59" s="538"/>
      <c r="EI59" s="538"/>
      <c r="EJ59" s="538"/>
      <c r="EK59" s="538"/>
      <c r="EL59" s="538"/>
      <c r="EM59" s="538"/>
      <c r="EN59" s="538"/>
      <c r="EO59" s="538"/>
      <c r="EP59" s="538"/>
      <c r="EQ59" s="538"/>
      <c r="ER59" s="538"/>
      <c r="ES59" s="538"/>
      <c r="ET59" s="538"/>
      <c r="EU59" s="538"/>
      <c r="EV59" s="538"/>
      <c r="EW59" s="538"/>
      <c r="EX59" s="559"/>
      <c r="EY59" s="559"/>
      <c r="EZ59" s="559"/>
      <c r="FA59" s="559"/>
      <c r="FB59" s="559"/>
      <c r="FC59" s="559"/>
      <c r="FD59" s="559"/>
      <c r="FE59" s="559"/>
      <c r="FF59" s="559"/>
      <c r="FG59" s="559"/>
      <c r="FH59" s="559"/>
      <c r="FI59" s="559"/>
      <c r="FJ59" s="559"/>
      <c r="FK59" s="559"/>
      <c r="FL59" s="559"/>
      <c r="FM59" s="559"/>
      <c r="FN59" s="559"/>
      <c r="FO59" s="559"/>
      <c r="FP59" s="559"/>
      <c r="FQ59" s="559"/>
      <c r="FR59" s="559"/>
      <c r="FS59" s="559"/>
      <c r="FT59" s="559"/>
      <c r="FU59" s="559"/>
      <c r="FV59" s="559"/>
      <c r="FW59" s="559"/>
      <c r="FX59" s="559"/>
      <c r="FY59" s="559"/>
      <c r="FZ59" s="559"/>
      <c r="GA59" s="559"/>
      <c r="GB59" s="559"/>
      <c r="GC59" s="559"/>
      <c r="GD59" s="559"/>
      <c r="GE59" s="559"/>
      <c r="GF59" s="559"/>
      <c r="GG59" s="559"/>
      <c r="GH59" s="559"/>
    </row>
    <row r="60">
      <c r="A60" s="538"/>
      <c r="B60" s="134" t="s">
        <v>430</v>
      </c>
      <c r="C60" s="57"/>
      <c r="D60" s="594"/>
      <c r="E60" s="595"/>
      <c r="F60" s="596"/>
      <c r="G60" s="596"/>
      <c r="H60" s="597"/>
      <c r="I60" s="616" t="s">
        <v>365</v>
      </c>
      <c r="J60" s="599"/>
      <c r="K60" s="600"/>
      <c r="L60" s="568"/>
      <c r="M60" s="626"/>
      <c r="N60" s="619"/>
      <c r="O60" s="623"/>
      <c r="P60" s="47"/>
      <c r="Q60" s="47"/>
      <c r="S60" s="572"/>
      <c r="U60" s="573"/>
      <c r="V60" s="574"/>
      <c r="W60" s="618"/>
      <c r="X60" s="576">
        <v>0.0</v>
      </c>
      <c r="Y60" s="630">
        <v>0.0</v>
      </c>
      <c r="Z60" s="630" t="s">
        <v>365</v>
      </c>
      <c r="AA60" s="631" t="b">
        <v>0</v>
      </c>
      <c r="AB60" s="631"/>
      <c r="AC60" s="576"/>
      <c r="AD60" s="479">
        <v>0.0</v>
      </c>
      <c r="AE60" s="632"/>
      <c r="AF60" s="582" t="s">
        <v>365</v>
      </c>
      <c r="AG60" s="583"/>
      <c r="AH60" s="584"/>
      <c r="AI60" s="583"/>
      <c r="AJ60" s="585"/>
      <c r="AK60" s="583"/>
      <c r="AL60" s="584"/>
      <c r="AM60" s="583"/>
      <c r="AN60" s="585"/>
      <c r="AO60" s="583"/>
      <c r="AP60" s="584"/>
      <c r="AQ60" s="583"/>
      <c r="AR60" s="585"/>
      <c r="AS60" s="583"/>
      <c r="AT60" s="584"/>
      <c r="AU60" s="583"/>
      <c r="AV60" s="585"/>
      <c r="AW60" s="583"/>
      <c r="AX60" s="584"/>
      <c r="AY60" s="583"/>
      <c r="AZ60" s="585"/>
      <c r="BA60" s="583"/>
      <c r="BB60" s="584"/>
      <c r="BC60" s="583"/>
      <c r="BD60" s="585"/>
      <c r="BE60" s="583"/>
      <c r="BF60" s="584"/>
      <c r="BG60" s="583"/>
      <c r="BH60" s="585"/>
      <c r="BI60" s="583"/>
      <c r="BJ60" s="584"/>
      <c r="BK60" s="583"/>
      <c r="BL60" s="585"/>
      <c r="BM60" s="583"/>
      <c r="BN60" s="584"/>
      <c r="BO60" s="583"/>
      <c r="BP60" s="585"/>
      <c r="BQ60" s="583"/>
      <c r="BR60" s="584"/>
      <c r="BS60" s="583"/>
      <c r="BT60" s="586"/>
      <c r="BU60" s="540"/>
      <c r="BV60" s="540"/>
      <c r="BW60" s="540"/>
      <c r="BX60" s="538"/>
      <c r="BY60" s="538"/>
      <c r="BZ60" s="592"/>
      <c r="CA60" s="633"/>
      <c r="CB60" s="592" t="s">
        <v>365</v>
      </c>
      <c r="CC60" s="592">
        <v>0.0</v>
      </c>
      <c r="CD60" s="592" t="s">
        <v>365</v>
      </c>
      <c r="CE60" s="592">
        <v>0.0</v>
      </c>
      <c r="CF60" s="592"/>
      <c r="CG60" s="592">
        <v>0.0</v>
      </c>
      <c r="CH60" s="592"/>
      <c r="CI60" s="633"/>
      <c r="CJ60" s="592">
        <v>0.0</v>
      </c>
      <c r="CK60" s="479" t="s">
        <v>365</v>
      </c>
      <c r="CL60" s="592"/>
      <c r="CM60" s="593"/>
      <c r="CN60" s="538"/>
      <c r="CO60" s="538"/>
      <c r="CP60" s="538"/>
      <c r="CQ60" s="538"/>
      <c r="CR60" s="538"/>
      <c r="CS60" s="538"/>
      <c r="CT60" s="538"/>
      <c r="CU60" s="538"/>
      <c r="CV60" s="538"/>
      <c r="CW60" s="538"/>
      <c r="CX60" s="538"/>
      <c r="CY60" s="538"/>
      <c r="CZ60" s="538"/>
      <c r="DA60" s="538"/>
      <c r="DB60" s="538"/>
      <c r="DC60" s="538"/>
      <c r="DD60" s="538"/>
      <c r="DE60" s="538"/>
      <c r="DF60" s="538"/>
      <c r="DG60" s="538"/>
      <c r="DH60" s="538"/>
      <c r="DI60" s="538"/>
      <c r="DJ60" s="84"/>
      <c r="DK60" s="538"/>
      <c r="DL60" s="538"/>
      <c r="DM60" s="538"/>
      <c r="DN60" s="538"/>
      <c r="DO60" s="538"/>
      <c r="DP60" s="538"/>
      <c r="DQ60" s="538"/>
      <c r="DR60" s="538"/>
      <c r="DS60" s="538"/>
      <c r="DT60" s="538"/>
      <c r="DU60" s="538"/>
      <c r="DV60" s="538"/>
      <c r="DW60" s="538"/>
      <c r="DX60" s="538"/>
      <c r="DY60" s="538"/>
      <c r="DZ60" s="538"/>
      <c r="EA60" s="538"/>
      <c r="EB60" s="538"/>
      <c r="EC60" s="538"/>
      <c r="ED60" s="538"/>
      <c r="EE60" s="538"/>
      <c r="EF60" s="538"/>
      <c r="EG60" s="538"/>
      <c r="EH60" s="538"/>
      <c r="EI60" s="538"/>
      <c r="EJ60" s="538"/>
      <c r="EK60" s="538"/>
      <c r="EL60" s="538"/>
      <c r="EM60" s="538"/>
      <c r="EN60" s="538"/>
      <c r="EO60" s="538"/>
      <c r="EP60" s="538"/>
      <c r="EQ60" s="538"/>
      <c r="ER60" s="538"/>
      <c r="ES60" s="538"/>
      <c r="ET60" s="538"/>
      <c r="EU60" s="538"/>
      <c r="EV60" s="538"/>
      <c r="EW60" s="538"/>
      <c r="EX60" s="559"/>
      <c r="EY60" s="559"/>
      <c r="EZ60" s="559"/>
      <c r="FA60" s="559"/>
      <c r="FB60" s="559"/>
      <c r="FC60" s="559"/>
      <c r="FD60" s="559"/>
      <c r="FE60" s="559"/>
      <c r="FF60" s="559"/>
      <c r="FG60" s="559"/>
      <c r="FH60" s="559"/>
      <c r="FI60" s="559"/>
      <c r="FJ60" s="559"/>
      <c r="FK60" s="559"/>
      <c r="FL60" s="559"/>
      <c r="FM60" s="559"/>
      <c r="FN60" s="559"/>
      <c r="FO60" s="559"/>
      <c r="FP60" s="559"/>
      <c r="FQ60" s="559"/>
      <c r="FR60" s="559"/>
      <c r="FS60" s="559"/>
      <c r="FT60" s="559"/>
      <c r="FU60" s="559"/>
      <c r="FV60" s="559"/>
      <c r="FW60" s="559"/>
      <c r="FX60" s="559"/>
      <c r="FY60" s="559"/>
      <c r="FZ60" s="559"/>
      <c r="GA60" s="559"/>
      <c r="GB60" s="559"/>
      <c r="GC60" s="559"/>
      <c r="GD60" s="559"/>
      <c r="GE60" s="559"/>
      <c r="GF60" s="559"/>
      <c r="GG60" s="559"/>
      <c r="GH60" s="559"/>
    </row>
    <row r="61">
      <c r="A61" s="538"/>
      <c r="B61" s="134"/>
      <c r="C61" s="57"/>
      <c r="D61" s="594" t="s">
        <v>266</v>
      </c>
      <c r="E61" s="629" t="s">
        <v>431</v>
      </c>
      <c r="F61" s="563">
        <v>3.0</v>
      </c>
      <c r="G61" s="563">
        <v>4.0</v>
      </c>
      <c r="H61" s="627"/>
      <c r="I61" s="622">
        <v>0.0</v>
      </c>
      <c r="J61" s="566">
        <v>150.0</v>
      </c>
      <c r="K61" s="567"/>
      <c r="L61" s="601"/>
      <c r="M61" s="625"/>
      <c r="N61" s="617"/>
      <c r="O61" s="621"/>
      <c r="P61" s="57"/>
      <c r="Q61" s="57"/>
      <c r="R61" s="57"/>
      <c r="S61" s="605"/>
      <c r="T61" s="605"/>
      <c r="U61" s="573"/>
      <c r="V61" s="574"/>
      <c r="W61" s="618"/>
      <c r="X61" s="576">
        <v>1800.0</v>
      </c>
      <c r="Y61" s="630">
        <v>0.0</v>
      </c>
      <c r="Z61" s="630">
        <v>12.0</v>
      </c>
      <c r="AA61" s="631">
        <v>0.8333333333333334</v>
      </c>
      <c r="AB61" s="631"/>
      <c r="AC61" s="576"/>
      <c r="AD61" s="479">
        <v>2.0</v>
      </c>
      <c r="AE61" s="632"/>
      <c r="AF61" s="582" t="s">
        <v>608</v>
      </c>
      <c r="AG61" s="583">
        <v>4.0</v>
      </c>
      <c r="AH61" s="584"/>
      <c r="AI61" s="583">
        <v>1.0</v>
      </c>
      <c r="AJ61" s="585">
        <v>8.5</v>
      </c>
      <c r="AK61" s="583">
        <v>4.0</v>
      </c>
      <c r="AL61" s="584"/>
      <c r="AM61" s="583">
        <v>1.0</v>
      </c>
      <c r="AN61" s="585">
        <v>8.5</v>
      </c>
      <c r="AO61" s="583"/>
      <c r="AP61" s="584"/>
      <c r="AQ61" s="583">
        <v>1.0</v>
      </c>
      <c r="AR61" s="585">
        <v>8.5</v>
      </c>
      <c r="AS61" s="583"/>
      <c r="AT61" s="584"/>
      <c r="AU61" s="583"/>
      <c r="AV61" s="585"/>
      <c r="AW61" s="583"/>
      <c r="AX61" s="584"/>
      <c r="AY61" s="583"/>
      <c r="AZ61" s="585"/>
      <c r="BA61" s="583"/>
      <c r="BB61" s="584"/>
      <c r="BC61" s="583"/>
      <c r="BD61" s="585"/>
      <c r="BE61" s="583"/>
      <c r="BF61" s="584"/>
      <c r="BG61" s="583"/>
      <c r="BH61" s="585"/>
      <c r="BI61" s="583"/>
      <c r="BJ61" s="584"/>
      <c r="BK61" s="583"/>
      <c r="BL61" s="585"/>
      <c r="BM61" s="583"/>
      <c r="BN61" s="584"/>
      <c r="BO61" s="583"/>
      <c r="BP61" s="585"/>
      <c r="BQ61" s="583"/>
      <c r="BR61" s="584"/>
      <c r="BS61" s="583"/>
      <c r="BT61" s="586"/>
      <c r="BU61" s="540"/>
      <c r="BV61" s="540"/>
      <c r="BW61" s="540"/>
      <c r="BX61" s="538"/>
      <c r="BY61" s="538"/>
      <c r="BZ61" s="592">
        <v>180.0</v>
      </c>
      <c r="CA61" s="633">
        <v>0.0</v>
      </c>
      <c r="CB61" s="592">
        <v>0.0</v>
      </c>
      <c r="CC61" s="592">
        <v>8.0</v>
      </c>
      <c r="CD61" s="592">
        <v>1.5</v>
      </c>
      <c r="CE61" s="592">
        <v>0.0</v>
      </c>
      <c r="CF61" s="592">
        <v>0.0</v>
      </c>
      <c r="CG61" s="592">
        <v>0.08</v>
      </c>
      <c r="CH61" s="592"/>
      <c r="CI61" s="633">
        <v>0.0</v>
      </c>
      <c r="CJ61" s="592">
        <v>3.5999999999999996</v>
      </c>
      <c r="CK61" s="479">
        <v>12.75</v>
      </c>
      <c r="CL61" s="592">
        <v>0.0</v>
      </c>
      <c r="CM61" s="593">
        <v>0.0</v>
      </c>
      <c r="CN61" s="538"/>
      <c r="CO61" s="538"/>
      <c r="CP61" s="538"/>
      <c r="CQ61" s="538"/>
      <c r="CR61" s="538"/>
      <c r="CS61" s="538"/>
      <c r="CT61" s="538"/>
      <c r="CU61" s="538"/>
      <c r="CV61" s="538"/>
      <c r="CW61" s="538"/>
      <c r="CX61" s="538"/>
      <c r="CY61" s="538"/>
      <c r="CZ61" s="538"/>
      <c r="DA61" s="538"/>
      <c r="DB61" s="538"/>
      <c r="DC61" s="538"/>
      <c r="DD61" s="538"/>
      <c r="DE61" s="538"/>
      <c r="DF61" s="538"/>
      <c r="DG61" s="538"/>
      <c r="DH61" s="538"/>
      <c r="DI61" s="538"/>
      <c r="DJ61" s="84"/>
      <c r="DK61" s="538"/>
      <c r="DL61" s="538"/>
      <c r="DM61" s="538"/>
      <c r="DN61" s="538"/>
      <c r="DO61" s="538"/>
      <c r="DP61" s="538"/>
      <c r="DQ61" s="538"/>
      <c r="DR61" s="538"/>
      <c r="DS61" s="538"/>
      <c r="DT61" s="538"/>
      <c r="DU61" s="538"/>
      <c r="DV61" s="538"/>
      <c r="DW61" s="538"/>
      <c r="DX61" s="538"/>
      <c r="DY61" s="538"/>
      <c r="DZ61" s="538"/>
      <c r="EA61" s="538"/>
      <c r="EB61" s="538"/>
      <c r="EC61" s="538"/>
      <c r="ED61" s="538"/>
      <c r="EE61" s="538"/>
      <c r="EF61" s="538"/>
      <c r="EG61" s="538"/>
      <c r="EH61" s="538"/>
      <c r="EI61" s="538"/>
      <c r="EJ61" s="538"/>
      <c r="EK61" s="538"/>
      <c r="EL61" s="538"/>
      <c r="EM61" s="538"/>
      <c r="EN61" s="538"/>
      <c r="EO61" s="538"/>
      <c r="EP61" s="538"/>
      <c r="EQ61" s="538"/>
      <c r="ER61" s="538"/>
      <c r="ES61" s="538"/>
      <c r="ET61" s="538"/>
      <c r="EU61" s="538"/>
      <c r="EV61" s="538"/>
      <c r="EW61" s="538"/>
      <c r="EX61" s="559"/>
      <c r="EY61" s="559"/>
      <c r="EZ61" s="559"/>
      <c r="FA61" s="559"/>
      <c r="FB61" s="559"/>
      <c r="FC61" s="559"/>
      <c r="FD61" s="559"/>
      <c r="FE61" s="559"/>
      <c r="FF61" s="559"/>
      <c r="FG61" s="559"/>
      <c r="FH61" s="559"/>
      <c r="FI61" s="559"/>
      <c r="FJ61" s="559"/>
      <c r="FK61" s="559"/>
      <c r="FL61" s="559"/>
      <c r="FM61" s="559"/>
      <c r="FN61" s="559"/>
      <c r="FO61" s="559"/>
      <c r="FP61" s="559"/>
      <c r="FQ61" s="559"/>
      <c r="FR61" s="559"/>
      <c r="FS61" s="559"/>
      <c r="FT61" s="559"/>
      <c r="FU61" s="559"/>
      <c r="FV61" s="559"/>
      <c r="FW61" s="559"/>
      <c r="FX61" s="559"/>
      <c r="FY61" s="559"/>
      <c r="FZ61" s="559"/>
      <c r="GA61" s="559"/>
      <c r="GB61" s="559"/>
      <c r="GC61" s="559"/>
      <c r="GD61" s="559"/>
      <c r="GE61" s="559"/>
      <c r="GF61" s="559"/>
      <c r="GG61" s="559"/>
      <c r="GH61" s="559"/>
    </row>
    <row r="62">
      <c r="A62" s="538"/>
      <c r="B62" s="134"/>
      <c r="C62" s="57"/>
      <c r="D62" s="594" t="s">
        <v>434</v>
      </c>
      <c r="E62" s="562" t="s">
        <v>552</v>
      </c>
      <c r="F62" s="563">
        <v>4.0</v>
      </c>
      <c r="G62" s="563">
        <v>2.0</v>
      </c>
      <c r="H62" s="627"/>
      <c r="I62" s="622">
        <v>0.0</v>
      </c>
      <c r="J62" s="566">
        <v>87.5</v>
      </c>
      <c r="K62" s="567"/>
      <c r="L62" s="568"/>
      <c r="M62" s="626"/>
      <c r="N62" s="619"/>
      <c r="O62" s="623"/>
      <c r="P62" s="47"/>
      <c r="Q62" s="47"/>
      <c r="S62" s="572"/>
      <c r="U62" s="573"/>
      <c r="V62" s="574"/>
      <c r="W62" s="618"/>
      <c r="X62" s="576">
        <v>700.0</v>
      </c>
      <c r="Y62" s="630">
        <v>720.0</v>
      </c>
      <c r="Z62" s="630">
        <v>8.0</v>
      </c>
      <c r="AA62" s="631">
        <v>0.7608695652173914</v>
      </c>
      <c r="AB62" s="631"/>
      <c r="AC62" s="576"/>
      <c r="AD62" s="479">
        <v>4.0</v>
      </c>
      <c r="AE62" s="632"/>
      <c r="AF62" s="582" t="s">
        <v>609</v>
      </c>
      <c r="AG62" s="583">
        <v>2.0</v>
      </c>
      <c r="AH62" s="584">
        <v>90.0</v>
      </c>
      <c r="AI62" s="583">
        <v>1.0</v>
      </c>
      <c r="AJ62" s="585">
        <v>8.5</v>
      </c>
      <c r="AK62" s="583">
        <v>2.0</v>
      </c>
      <c r="AL62" s="584">
        <v>90.0</v>
      </c>
      <c r="AM62" s="583">
        <v>1.0</v>
      </c>
      <c r="AN62" s="585">
        <v>8.5</v>
      </c>
      <c r="AO62" s="583">
        <v>2.0</v>
      </c>
      <c r="AP62" s="584">
        <v>90.0</v>
      </c>
      <c r="AQ62" s="583">
        <v>1.0</v>
      </c>
      <c r="AR62" s="585">
        <v>8.5</v>
      </c>
      <c r="AS62" s="583">
        <v>2.0</v>
      </c>
      <c r="AT62" s="584">
        <v>90.0</v>
      </c>
      <c r="AU62" s="583">
        <v>1.0</v>
      </c>
      <c r="AV62" s="585">
        <v>8.5</v>
      </c>
      <c r="AW62" s="583"/>
      <c r="AX62" s="584"/>
      <c r="AY62" s="583"/>
      <c r="AZ62" s="585"/>
      <c r="BA62" s="583"/>
      <c r="BB62" s="584"/>
      <c r="BC62" s="583"/>
      <c r="BD62" s="585"/>
      <c r="BE62" s="583"/>
      <c r="BF62" s="584"/>
      <c r="BG62" s="583"/>
      <c r="BH62" s="585"/>
      <c r="BI62" s="583"/>
      <c r="BJ62" s="584"/>
      <c r="BK62" s="583"/>
      <c r="BL62" s="585"/>
      <c r="BM62" s="583"/>
      <c r="BN62" s="584"/>
      <c r="BO62" s="583"/>
      <c r="BP62" s="585"/>
      <c r="BQ62" s="583"/>
      <c r="BR62" s="584"/>
      <c r="BS62" s="583"/>
      <c r="BT62" s="586"/>
      <c r="BU62" s="540"/>
      <c r="BV62" s="540"/>
      <c r="BW62" s="540"/>
      <c r="BX62" s="538"/>
      <c r="BY62" s="538"/>
      <c r="BZ62" s="592">
        <v>115.0</v>
      </c>
      <c r="CA62" s="633">
        <v>0.782608695652174</v>
      </c>
      <c r="CB62" s="592">
        <v>90.0</v>
      </c>
      <c r="CC62" s="592">
        <v>8.0</v>
      </c>
      <c r="CD62" s="592">
        <v>1.0</v>
      </c>
      <c r="CE62" s="592">
        <v>720.0</v>
      </c>
      <c r="CF62" s="592">
        <v>6.260869565217392</v>
      </c>
      <c r="CG62" s="592">
        <v>0.368</v>
      </c>
      <c r="CH62" s="592"/>
      <c r="CI62" s="633">
        <v>0.8347304347826087</v>
      </c>
      <c r="CJ62" s="592">
        <v>4.8</v>
      </c>
      <c r="CK62" s="479">
        <v>8.5</v>
      </c>
      <c r="CL62" s="592">
        <v>99.22822491730982</v>
      </c>
      <c r="CM62" s="593">
        <v>96.35974304068522</v>
      </c>
      <c r="CN62" s="538"/>
      <c r="CO62" s="538"/>
      <c r="CP62" s="538"/>
      <c r="CQ62" s="538"/>
      <c r="CR62" s="538"/>
      <c r="CS62" s="538"/>
      <c r="CT62" s="538"/>
      <c r="CU62" s="538"/>
      <c r="CV62" s="538"/>
      <c r="CW62" s="538"/>
      <c r="CX62" s="538"/>
      <c r="CY62" s="538"/>
      <c r="CZ62" s="538"/>
      <c r="DA62" s="538"/>
      <c r="DB62" s="538"/>
      <c r="DC62" s="538"/>
      <c r="DD62" s="538"/>
      <c r="DE62" s="538"/>
      <c r="DF62" s="538"/>
      <c r="DG62" s="538"/>
      <c r="DH62" s="538"/>
      <c r="DI62" s="538"/>
      <c r="DJ62" s="84"/>
      <c r="DK62" s="538"/>
      <c r="DL62" s="538"/>
      <c r="DM62" s="538"/>
      <c r="DN62" s="538"/>
      <c r="DO62" s="538"/>
      <c r="DP62" s="538"/>
      <c r="DQ62" s="538"/>
      <c r="DR62" s="538"/>
      <c r="DS62" s="538"/>
      <c r="DT62" s="538"/>
      <c r="DU62" s="538"/>
      <c r="DV62" s="538"/>
      <c r="DW62" s="538"/>
      <c r="DX62" s="538"/>
      <c r="DY62" s="538"/>
      <c r="DZ62" s="538"/>
      <c r="EA62" s="538"/>
      <c r="EB62" s="538"/>
      <c r="EC62" s="538"/>
      <c r="ED62" s="538"/>
      <c r="EE62" s="538"/>
      <c r="EF62" s="538"/>
      <c r="EG62" s="538"/>
      <c r="EH62" s="538"/>
      <c r="EI62" s="538"/>
      <c r="EJ62" s="538"/>
      <c r="EK62" s="538"/>
      <c r="EL62" s="538"/>
      <c r="EM62" s="538"/>
      <c r="EN62" s="538"/>
      <c r="EO62" s="538"/>
      <c r="EP62" s="538"/>
      <c r="EQ62" s="538"/>
      <c r="ER62" s="538"/>
      <c r="ES62" s="538"/>
      <c r="ET62" s="538"/>
      <c r="EU62" s="538"/>
      <c r="EV62" s="538"/>
      <c r="EW62" s="538"/>
      <c r="EX62" s="559"/>
      <c r="EY62" s="559"/>
      <c r="EZ62" s="559"/>
      <c r="FA62" s="559"/>
      <c r="FB62" s="559"/>
      <c r="FC62" s="559"/>
      <c r="FD62" s="559"/>
      <c r="FE62" s="559"/>
      <c r="FF62" s="559"/>
      <c r="FG62" s="559"/>
      <c r="FH62" s="559"/>
      <c r="FI62" s="559"/>
      <c r="FJ62" s="559"/>
      <c r="FK62" s="559"/>
      <c r="FL62" s="559"/>
      <c r="FM62" s="559"/>
      <c r="FN62" s="559"/>
      <c r="FO62" s="559"/>
      <c r="FP62" s="559"/>
      <c r="FQ62" s="559"/>
      <c r="FR62" s="559"/>
      <c r="FS62" s="559"/>
      <c r="FT62" s="559"/>
      <c r="FU62" s="559"/>
      <c r="FV62" s="559"/>
      <c r="FW62" s="559"/>
      <c r="FX62" s="559"/>
      <c r="FY62" s="559"/>
      <c r="FZ62" s="559"/>
      <c r="GA62" s="559"/>
      <c r="GB62" s="559"/>
      <c r="GC62" s="559"/>
      <c r="GD62" s="559"/>
      <c r="GE62" s="559"/>
      <c r="GF62" s="559"/>
      <c r="GG62" s="559"/>
      <c r="GH62" s="559"/>
    </row>
    <row r="63">
      <c r="A63" s="538"/>
      <c r="B63" s="560"/>
      <c r="C63" s="47"/>
      <c r="D63" s="561" t="s">
        <v>270</v>
      </c>
      <c r="E63" s="629" t="s">
        <v>438</v>
      </c>
      <c r="F63" s="596">
        <v>3.0</v>
      </c>
      <c r="G63" s="596">
        <v>4.0</v>
      </c>
      <c r="H63" s="597"/>
      <c r="I63" s="616">
        <v>0.0</v>
      </c>
      <c r="J63" s="599">
        <v>180.0</v>
      </c>
      <c r="K63" s="600"/>
      <c r="L63" s="601"/>
      <c r="M63" s="625"/>
      <c r="N63" s="617"/>
      <c r="O63" s="621"/>
      <c r="P63" s="134"/>
      <c r="Q63" s="57"/>
      <c r="R63" s="57"/>
      <c r="S63" s="605"/>
      <c r="T63" s="605"/>
      <c r="U63" s="573"/>
      <c r="V63" s="574"/>
      <c r="W63" s="618"/>
      <c r="X63" s="576">
        <v>2160.0</v>
      </c>
      <c r="Y63" s="630" t="e">
        <v>#VALUE!</v>
      </c>
      <c r="Z63" s="630">
        <v>12.0</v>
      </c>
      <c r="AA63" s="631">
        <v>0.75</v>
      </c>
      <c r="AB63" s="631"/>
      <c r="AC63" s="576"/>
      <c r="AD63" s="479">
        <v>2.0</v>
      </c>
      <c r="AE63" s="632"/>
      <c r="AF63" s="582" t="s">
        <v>610</v>
      </c>
      <c r="AG63" s="583">
        <v>4.0</v>
      </c>
      <c r="AH63" s="584" t="s">
        <v>611</v>
      </c>
      <c r="AI63" s="583">
        <v>1.0</v>
      </c>
      <c r="AJ63" s="585">
        <v>8.5</v>
      </c>
      <c r="AK63" s="583">
        <v>2.0</v>
      </c>
      <c r="AL63" s="584">
        <v>180.0</v>
      </c>
      <c r="AM63" s="583">
        <v>1.0</v>
      </c>
      <c r="AN63" s="585">
        <v>8.5</v>
      </c>
      <c r="AO63" s="610"/>
      <c r="AP63" s="634"/>
      <c r="AQ63" s="635"/>
      <c r="AR63" s="636"/>
      <c r="AS63" s="637"/>
      <c r="AT63" s="638"/>
      <c r="AU63" s="49"/>
      <c r="AV63" s="639"/>
      <c r="AW63" s="583"/>
      <c r="AX63" s="584"/>
      <c r="AY63" s="583"/>
      <c r="AZ63" s="585"/>
      <c r="BA63" s="583"/>
      <c r="BB63" s="584"/>
      <c r="BC63" s="583"/>
      <c r="BD63" s="585"/>
      <c r="BE63" s="583"/>
      <c r="BF63" s="584"/>
      <c r="BG63" s="583"/>
      <c r="BH63" s="585"/>
      <c r="BI63" s="583"/>
      <c r="BJ63" s="584"/>
      <c r="BK63" s="583"/>
      <c r="BL63" s="585"/>
      <c r="BM63" s="583"/>
      <c r="BN63" s="584"/>
      <c r="BO63" s="583"/>
      <c r="BP63" s="585"/>
      <c r="BQ63" s="583"/>
      <c r="BR63" s="584"/>
      <c r="BS63" s="583"/>
      <c r="BT63" s="586"/>
      <c r="BU63" s="540"/>
      <c r="BV63" s="540"/>
      <c r="BW63" s="540"/>
      <c r="BX63" s="538"/>
      <c r="BY63" s="538"/>
      <c r="BZ63" s="592">
        <v>240.0</v>
      </c>
      <c r="CA63" s="633"/>
      <c r="CB63" s="592" t="s">
        <v>365</v>
      </c>
      <c r="CC63" s="592">
        <v>6.0</v>
      </c>
      <c r="CD63" s="592">
        <v>1.0</v>
      </c>
      <c r="CE63" s="592" t="e">
        <v>#VALUE!</v>
      </c>
      <c r="CF63" s="592"/>
      <c r="CG63" s="592">
        <v>0.06</v>
      </c>
      <c r="CH63" s="592"/>
      <c r="CI63" s="633"/>
      <c r="CJ63" s="592">
        <v>2.4</v>
      </c>
      <c r="CK63" s="479">
        <v>8.5</v>
      </c>
      <c r="CL63" s="592"/>
      <c r="CM63" s="593"/>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84"/>
      <c r="DK63" s="538"/>
      <c r="DL63" s="538"/>
      <c r="DM63" s="538"/>
      <c r="DN63" s="538"/>
      <c r="DO63" s="538"/>
      <c r="DP63" s="538"/>
      <c r="DQ63" s="538"/>
      <c r="DR63" s="538"/>
      <c r="DS63" s="538"/>
      <c r="DT63" s="538"/>
      <c r="DU63" s="538"/>
      <c r="DV63" s="538"/>
      <c r="DW63" s="538"/>
      <c r="DX63" s="538"/>
      <c r="DY63" s="538"/>
      <c r="DZ63" s="538"/>
      <c r="EA63" s="538"/>
      <c r="EB63" s="538"/>
      <c r="EC63" s="538"/>
      <c r="ED63" s="538"/>
      <c r="EE63" s="538"/>
      <c r="EF63" s="538"/>
      <c r="EG63" s="538"/>
      <c r="EH63" s="538"/>
      <c r="EI63" s="538"/>
      <c r="EJ63" s="538"/>
      <c r="EK63" s="538"/>
      <c r="EL63" s="538"/>
      <c r="EM63" s="538"/>
      <c r="EN63" s="538"/>
      <c r="EO63" s="538"/>
      <c r="EP63" s="538"/>
      <c r="EQ63" s="538"/>
      <c r="ER63" s="538"/>
      <c r="ES63" s="538"/>
      <c r="ET63" s="538"/>
      <c r="EU63" s="538"/>
      <c r="EV63" s="538"/>
      <c r="EW63" s="538"/>
      <c r="EX63" s="559"/>
      <c r="EY63" s="559"/>
      <c r="EZ63" s="559"/>
      <c r="FA63" s="559"/>
      <c r="FB63" s="559"/>
      <c r="FC63" s="559"/>
      <c r="FD63" s="559"/>
      <c r="FE63" s="559"/>
      <c r="FF63" s="559"/>
      <c r="FG63" s="559"/>
      <c r="FH63" s="559"/>
      <c r="FI63" s="559"/>
      <c r="FJ63" s="559"/>
      <c r="FK63" s="559"/>
      <c r="FL63" s="559"/>
      <c r="FM63" s="559"/>
      <c r="FN63" s="559"/>
      <c r="FO63" s="559"/>
      <c r="FP63" s="559"/>
      <c r="FQ63" s="559"/>
      <c r="FR63" s="559"/>
      <c r="FS63" s="559"/>
      <c r="FT63" s="559"/>
      <c r="FU63" s="559"/>
      <c r="FV63" s="559"/>
      <c r="FW63" s="559"/>
      <c r="FX63" s="559"/>
      <c r="FY63" s="559"/>
      <c r="FZ63" s="559"/>
      <c r="GA63" s="559"/>
      <c r="GB63" s="559"/>
      <c r="GC63" s="559"/>
      <c r="GD63" s="559"/>
      <c r="GE63" s="559"/>
      <c r="GF63" s="559"/>
      <c r="GG63" s="559"/>
      <c r="GH63" s="559"/>
    </row>
    <row r="64">
      <c r="A64" s="538"/>
      <c r="B64" s="560"/>
      <c r="C64" s="47"/>
      <c r="D64" s="561" t="s">
        <v>302</v>
      </c>
      <c r="E64" s="595" t="s">
        <v>555</v>
      </c>
      <c r="F64" s="596">
        <v>4.0</v>
      </c>
      <c r="G64" s="596">
        <v>12.0</v>
      </c>
      <c r="H64" s="597"/>
      <c r="I64" s="616" t="s">
        <v>365</v>
      </c>
      <c r="J64" s="599"/>
      <c r="K64" s="600">
        <v>1.0</v>
      </c>
      <c r="L64" s="568">
        <v>2.0</v>
      </c>
      <c r="M64" s="626"/>
      <c r="N64" s="619"/>
      <c r="O64" s="623"/>
      <c r="P64" s="560"/>
      <c r="Q64" s="47"/>
      <c r="S64" s="572"/>
      <c r="U64" s="573"/>
      <c r="V64" s="574"/>
      <c r="W64" s="618"/>
      <c r="X64" s="576">
        <v>0.0</v>
      </c>
      <c r="Y64" s="630">
        <v>0.0</v>
      </c>
      <c r="Z64" s="630">
        <v>48.0</v>
      </c>
      <c r="AA64" s="631" t="b">
        <v>0</v>
      </c>
      <c r="AB64" s="631"/>
      <c r="AC64" s="576"/>
      <c r="AD64" s="479">
        <v>0.0</v>
      </c>
      <c r="AE64" s="632"/>
      <c r="AF64" s="582" t="s">
        <v>556</v>
      </c>
      <c r="AG64" s="583"/>
      <c r="AH64" s="584"/>
      <c r="AI64" s="583"/>
      <c r="AJ64" s="585"/>
      <c r="AK64" s="583"/>
      <c r="AL64" s="584"/>
      <c r="AM64" s="583"/>
      <c r="AN64" s="585"/>
      <c r="AO64" s="610"/>
      <c r="AP64" s="634"/>
      <c r="AQ64" s="635"/>
      <c r="AR64" s="636"/>
      <c r="AS64" s="637"/>
      <c r="AT64" s="638"/>
      <c r="AU64" s="49"/>
      <c r="AV64" s="639"/>
      <c r="AW64" s="583"/>
      <c r="AX64" s="584"/>
      <c r="AY64" s="583"/>
      <c r="AZ64" s="585"/>
      <c r="BA64" s="583"/>
      <c r="BB64" s="584"/>
      <c r="BC64" s="583"/>
      <c r="BD64" s="585"/>
      <c r="BE64" s="583"/>
      <c r="BF64" s="584"/>
      <c r="BG64" s="583"/>
      <c r="BH64" s="585"/>
      <c r="BI64" s="583"/>
      <c r="BJ64" s="584"/>
      <c r="BK64" s="583"/>
      <c r="BL64" s="585"/>
      <c r="BM64" s="583"/>
      <c r="BN64" s="584"/>
      <c r="BO64" s="583"/>
      <c r="BP64" s="585"/>
      <c r="BQ64" s="583"/>
      <c r="BR64" s="584"/>
      <c r="BS64" s="583"/>
      <c r="BT64" s="586"/>
      <c r="BU64" s="540"/>
      <c r="BV64" s="540"/>
      <c r="BW64" s="540"/>
      <c r="BX64" s="538"/>
      <c r="BY64" s="538"/>
      <c r="BZ64" s="592"/>
      <c r="CA64" s="633"/>
      <c r="CB64" s="592" t="s">
        <v>365</v>
      </c>
      <c r="CC64" s="592">
        <v>0.0</v>
      </c>
      <c r="CD64" s="592" t="s">
        <v>365</v>
      </c>
      <c r="CE64" s="592">
        <v>0.0</v>
      </c>
      <c r="CF64" s="592"/>
      <c r="CG64" s="592">
        <v>0.0</v>
      </c>
      <c r="CH64" s="592"/>
      <c r="CI64" s="633"/>
      <c r="CJ64" s="592">
        <v>0.0</v>
      </c>
      <c r="CK64" s="479" t="s">
        <v>365</v>
      </c>
      <c r="CL64" s="592"/>
      <c r="CM64" s="593"/>
      <c r="CN64" s="538"/>
      <c r="CO64" s="538"/>
      <c r="CP64" s="538"/>
      <c r="CQ64" s="538"/>
      <c r="CR64" s="538"/>
      <c r="CS64" s="538"/>
      <c r="CT64" s="538"/>
      <c r="CU64" s="538"/>
      <c r="CV64" s="538"/>
      <c r="CW64" s="538"/>
      <c r="CX64" s="538"/>
      <c r="CY64" s="538"/>
      <c r="CZ64" s="538"/>
      <c r="DA64" s="538"/>
      <c r="DB64" s="538"/>
      <c r="DC64" s="538"/>
      <c r="DD64" s="538"/>
      <c r="DE64" s="538"/>
      <c r="DF64" s="538"/>
      <c r="DG64" s="538"/>
      <c r="DH64" s="538"/>
      <c r="DI64" s="538"/>
      <c r="DJ64" s="84"/>
      <c r="DK64" s="538"/>
      <c r="DL64" s="538"/>
      <c r="DM64" s="538"/>
      <c r="DN64" s="538"/>
      <c r="DO64" s="538"/>
      <c r="DP64" s="538"/>
      <c r="DQ64" s="538"/>
      <c r="DR64" s="538"/>
      <c r="DS64" s="538"/>
      <c r="DT64" s="538"/>
      <c r="DU64" s="538"/>
      <c r="DV64" s="538"/>
      <c r="DW64" s="538"/>
      <c r="DX64" s="538"/>
      <c r="DY64" s="538"/>
      <c r="DZ64" s="538"/>
      <c r="EA64" s="538"/>
      <c r="EB64" s="538"/>
      <c r="EC64" s="538"/>
      <c r="ED64" s="538"/>
      <c r="EE64" s="538"/>
      <c r="EF64" s="538"/>
      <c r="EG64" s="538"/>
      <c r="EH64" s="538"/>
      <c r="EI64" s="538"/>
      <c r="EJ64" s="538"/>
      <c r="EK64" s="538"/>
      <c r="EL64" s="538"/>
      <c r="EM64" s="538"/>
      <c r="EN64" s="538"/>
      <c r="EO64" s="538"/>
      <c r="EP64" s="538"/>
      <c r="EQ64" s="538"/>
      <c r="ER64" s="538"/>
      <c r="ES64" s="538"/>
      <c r="ET64" s="538"/>
      <c r="EU64" s="538"/>
      <c r="EV64" s="538"/>
      <c r="EW64" s="538"/>
      <c r="EX64" s="559"/>
      <c r="EY64" s="559"/>
      <c r="EZ64" s="559"/>
      <c r="FA64" s="559"/>
      <c r="FB64" s="559"/>
      <c r="FC64" s="559"/>
      <c r="FD64" s="559"/>
      <c r="FE64" s="559"/>
      <c r="FF64" s="559"/>
      <c r="FG64" s="559"/>
      <c r="FH64" s="559"/>
      <c r="FI64" s="559"/>
      <c r="FJ64" s="559"/>
      <c r="FK64" s="559"/>
      <c r="FL64" s="559"/>
      <c r="FM64" s="559"/>
      <c r="FN64" s="559"/>
      <c r="FO64" s="559"/>
      <c r="FP64" s="559"/>
      <c r="FQ64" s="559"/>
      <c r="FR64" s="559"/>
      <c r="FS64" s="559"/>
      <c r="FT64" s="559"/>
      <c r="FU64" s="559"/>
      <c r="FV64" s="559"/>
      <c r="FW64" s="559"/>
      <c r="FX64" s="559"/>
      <c r="FY64" s="559"/>
      <c r="FZ64" s="559"/>
      <c r="GA64" s="559"/>
      <c r="GB64" s="559"/>
      <c r="GC64" s="559"/>
      <c r="GD64" s="559"/>
      <c r="GE64" s="559"/>
      <c r="GF64" s="559"/>
      <c r="GG64" s="559"/>
      <c r="GH64" s="559"/>
    </row>
    <row r="65">
      <c r="A65" s="538"/>
      <c r="B65" s="134"/>
      <c r="C65" s="57"/>
      <c r="D65" s="594" t="s">
        <v>332</v>
      </c>
      <c r="E65" s="606" t="s">
        <v>558</v>
      </c>
      <c r="F65" s="563">
        <v>3.0</v>
      </c>
      <c r="G65" s="563" t="s">
        <v>559</v>
      </c>
      <c r="H65" s="564"/>
      <c r="I65" s="622" t="s">
        <v>365</v>
      </c>
      <c r="J65" s="566"/>
      <c r="K65" s="567">
        <v>1.0</v>
      </c>
      <c r="L65" s="601">
        <v>2.0</v>
      </c>
      <c r="M65" s="602"/>
      <c r="N65" s="617"/>
      <c r="O65" s="621"/>
      <c r="P65" s="134"/>
      <c r="Q65" s="57"/>
      <c r="S65" s="605"/>
      <c r="U65" s="573"/>
      <c r="V65" s="574"/>
      <c r="W65" s="618"/>
      <c r="X65" s="576">
        <v>0.0</v>
      </c>
      <c r="Y65" s="630">
        <v>0.0</v>
      </c>
      <c r="Z65" s="630">
        <v>60.0</v>
      </c>
      <c r="AA65" s="631" t="b">
        <v>0</v>
      </c>
      <c r="AB65" s="631"/>
      <c r="AC65" s="576"/>
      <c r="AD65" s="479">
        <v>0.0</v>
      </c>
      <c r="AE65" s="632"/>
      <c r="AF65" s="582" t="s">
        <v>560</v>
      </c>
      <c r="AG65" s="583"/>
      <c r="AH65" s="584"/>
      <c r="AI65" s="583"/>
      <c r="AJ65" s="585"/>
      <c r="AK65" s="583"/>
      <c r="AL65" s="584"/>
      <c r="AM65" s="583"/>
      <c r="AN65" s="585"/>
      <c r="AO65" s="583"/>
      <c r="AP65" s="584"/>
      <c r="AQ65" s="583"/>
      <c r="AR65" s="585"/>
      <c r="AS65" s="583"/>
      <c r="AT65" s="584"/>
      <c r="AU65" s="583"/>
      <c r="AV65" s="585"/>
      <c r="AW65" s="583"/>
      <c r="AX65" s="584"/>
      <c r="AY65" s="583"/>
      <c r="AZ65" s="585"/>
      <c r="BA65" s="583"/>
      <c r="BB65" s="584"/>
      <c r="BC65" s="583"/>
      <c r="BD65" s="585"/>
      <c r="BE65" s="583"/>
      <c r="BF65" s="584"/>
      <c r="BG65" s="583"/>
      <c r="BH65" s="585"/>
      <c r="BI65" s="583"/>
      <c r="BJ65" s="584"/>
      <c r="BK65" s="583"/>
      <c r="BL65" s="585"/>
      <c r="BM65" s="583"/>
      <c r="BN65" s="584"/>
      <c r="BO65" s="583"/>
      <c r="BP65" s="585"/>
      <c r="BQ65" s="583"/>
      <c r="BR65" s="584"/>
      <c r="BS65" s="583"/>
      <c r="BT65" s="586"/>
      <c r="BU65" s="540"/>
      <c r="BV65" s="540"/>
      <c r="BW65" s="540"/>
      <c r="BX65" s="538"/>
      <c r="BY65" s="538"/>
      <c r="BZ65" s="592"/>
      <c r="CA65" s="633"/>
      <c r="CB65" s="592" t="s">
        <v>365</v>
      </c>
      <c r="CC65" s="592">
        <v>0.0</v>
      </c>
      <c r="CD65" s="592" t="s">
        <v>365</v>
      </c>
      <c r="CE65" s="592">
        <v>0.0</v>
      </c>
      <c r="CF65" s="592"/>
      <c r="CG65" s="592">
        <v>0.0</v>
      </c>
      <c r="CH65" s="592"/>
      <c r="CI65" s="633"/>
      <c r="CJ65" s="592">
        <v>0.0</v>
      </c>
      <c r="CK65" s="479" t="s">
        <v>365</v>
      </c>
      <c r="CL65" s="592"/>
      <c r="CM65" s="593"/>
      <c r="CN65" s="538"/>
      <c r="CO65" s="538"/>
      <c r="CP65" s="538"/>
      <c r="CQ65" s="538"/>
      <c r="CR65" s="538"/>
      <c r="CS65" s="538"/>
      <c r="CT65" s="538"/>
      <c r="CU65" s="538"/>
      <c r="CV65" s="538"/>
      <c r="CW65" s="538"/>
      <c r="CX65" s="538"/>
      <c r="CY65" s="538"/>
      <c r="CZ65" s="538"/>
      <c r="DA65" s="538"/>
      <c r="DB65" s="538"/>
      <c r="DC65" s="538"/>
      <c r="DD65" s="538"/>
      <c r="DE65" s="538"/>
      <c r="DF65" s="538"/>
      <c r="DG65" s="538"/>
      <c r="DH65" s="538"/>
      <c r="DI65" s="538"/>
      <c r="DJ65" s="84"/>
      <c r="DK65" s="538"/>
      <c r="DL65" s="538"/>
      <c r="DM65" s="538"/>
      <c r="DN65" s="538"/>
      <c r="DO65" s="538"/>
      <c r="DP65" s="538"/>
      <c r="DQ65" s="538"/>
      <c r="DR65" s="538"/>
      <c r="DS65" s="538"/>
      <c r="DT65" s="538"/>
      <c r="DU65" s="538"/>
      <c r="DV65" s="538"/>
      <c r="DW65" s="538"/>
      <c r="DX65" s="538"/>
      <c r="DY65" s="538"/>
      <c r="DZ65" s="538"/>
      <c r="EA65" s="538"/>
      <c r="EB65" s="538"/>
      <c r="EC65" s="538"/>
      <c r="ED65" s="538"/>
      <c r="EE65" s="538"/>
      <c r="EF65" s="538"/>
      <c r="EG65" s="538"/>
      <c r="EH65" s="538"/>
      <c r="EI65" s="538"/>
      <c r="EJ65" s="538"/>
      <c r="EK65" s="538"/>
      <c r="EL65" s="538"/>
      <c r="EM65" s="538"/>
      <c r="EN65" s="538"/>
      <c r="EO65" s="538"/>
      <c r="EP65" s="538"/>
      <c r="EQ65" s="538"/>
      <c r="ER65" s="538"/>
      <c r="ES65" s="538"/>
      <c r="ET65" s="538"/>
      <c r="EU65" s="538"/>
      <c r="EV65" s="538"/>
      <c r="EW65" s="538"/>
      <c r="EX65" s="559"/>
      <c r="EY65" s="559"/>
      <c r="EZ65" s="559"/>
      <c r="FA65" s="559"/>
      <c r="FB65" s="559"/>
      <c r="FC65" s="559"/>
      <c r="FD65" s="559"/>
      <c r="FE65" s="559"/>
      <c r="FF65" s="559"/>
      <c r="FG65" s="559"/>
      <c r="FH65" s="559"/>
      <c r="FI65" s="559"/>
      <c r="FJ65" s="559"/>
      <c r="FK65" s="559"/>
      <c r="FL65" s="559"/>
      <c r="FM65" s="559"/>
      <c r="FN65" s="559"/>
      <c r="FO65" s="559"/>
      <c r="FP65" s="559"/>
      <c r="FQ65" s="559"/>
      <c r="FR65" s="559"/>
      <c r="FS65" s="559"/>
      <c r="FT65" s="559"/>
      <c r="FU65" s="559"/>
      <c r="FV65" s="559"/>
      <c r="FW65" s="559"/>
      <c r="FX65" s="559"/>
      <c r="FY65" s="559"/>
      <c r="FZ65" s="559"/>
      <c r="GA65" s="559"/>
      <c r="GB65" s="559"/>
      <c r="GC65" s="559"/>
      <c r="GD65" s="559"/>
      <c r="GE65" s="559"/>
      <c r="GF65" s="559"/>
      <c r="GG65" s="559"/>
      <c r="GH65" s="559"/>
    </row>
    <row r="66">
      <c r="A66" s="538"/>
      <c r="B66" s="134" t="s">
        <v>444</v>
      </c>
      <c r="C66" s="57"/>
      <c r="D66" s="594"/>
      <c r="E66" s="595"/>
      <c r="F66" s="596"/>
      <c r="G66" s="596"/>
      <c r="H66" s="615"/>
      <c r="I66" s="616" t="s">
        <v>365</v>
      </c>
      <c r="J66" s="599"/>
      <c r="K66" s="600"/>
      <c r="L66" s="568"/>
      <c r="M66" s="626"/>
      <c r="N66" s="619"/>
      <c r="O66" s="623"/>
      <c r="P66" s="47"/>
      <c r="Q66" s="47"/>
      <c r="R66" s="47"/>
      <c r="S66" s="572"/>
      <c r="T66" s="572"/>
      <c r="U66" s="573"/>
      <c r="V66" s="574"/>
      <c r="W66" s="618"/>
      <c r="X66" s="576">
        <v>0.0</v>
      </c>
      <c r="Y66" s="630">
        <v>0.0</v>
      </c>
      <c r="Z66" s="630" t="s">
        <v>365</v>
      </c>
      <c r="AA66" s="631" t="b">
        <v>0</v>
      </c>
      <c r="AB66" s="631"/>
      <c r="AC66" s="576"/>
      <c r="AD66" s="479">
        <v>0.0</v>
      </c>
      <c r="AE66" s="632"/>
      <c r="AF66" s="582" t="s">
        <v>365</v>
      </c>
      <c r="AG66" s="583"/>
      <c r="AH66" s="584"/>
      <c r="AI66" s="583"/>
      <c r="AJ66" s="585"/>
      <c r="AK66" s="583"/>
      <c r="AL66" s="584"/>
      <c r="AM66" s="583"/>
      <c r="AN66" s="585"/>
      <c r="AO66" s="583"/>
      <c r="AP66" s="584"/>
      <c r="AQ66" s="583"/>
      <c r="AR66" s="585"/>
      <c r="AS66" s="583"/>
      <c r="AT66" s="584"/>
      <c r="AU66" s="583"/>
      <c r="AV66" s="585"/>
      <c r="AW66" s="583"/>
      <c r="AX66" s="584"/>
      <c r="AY66" s="583"/>
      <c r="AZ66" s="585"/>
      <c r="BA66" s="583"/>
      <c r="BB66" s="584"/>
      <c r="BC66" s="583"/>
      <c r="BD66" s="585"/>
      <c r="BE66" s="583"/>
      <c r="BF66" s="584"/>
      <c r="BG66" s="583"/>
      <c r="BH66" s="585"/>
      <c r="BI66" s="583"/>
      <c r="BJ66" s="584"/>
      <c r="BK66" s="583"/>
      <c r="BL66" s="585"/>
      <c r="BM66" s="583"/>
      <c r="BN66" s="584"/>
      <c r="BO66" s="583"/>
      <c r="BP66" s="585"/>
      <c r="BQ66" s="583"/>
      <c r="BR66" s="584"/>
      <c r="BS66" s="583"/>
      <c r="BT66" s="586"/>
      <c r="BU66" s="540"/>
      <c r="BV66" s="540"/>
      <c r="BW66" s="540"/>
      <c r="BX66" s="538"/>
      <c r="BY66" s="538"/>
      <c r="BZ66" s="592"/>
      <c r="CA66" s="633"/>
      <c r="CB66" s="592" t="s">
        <v>365</v>
      </c>
      <c r="CC66" s="592">
        <v>0.0</v>
      </c>
      <c r="CD66" s="592" t="s">
        <v>365</v>
      </c>
      <c r="CE66" s="592">
        <v>0.0</v>
      </c>
      <c r="CF66" s="592"/>
      <c r="CG66" s="592">
        <v>0.0</v>
      </c>
      <c r="CH66" s="592"/>
      <c r="CI66" s="633"/>
      <c r="CJ66" s="592">
        <v>0.0</v>
      </c>
      <c r="CK66" s="479" t="s">
        <v>365</v>
      </c>
      <c r="CL66" s="592"/>
      <c r="CM66" s="593"/>
      <c r="CN66" s="538"/>
      <c r="CO66" s="538"/>
      <c r="CP66" s="538"/>
      <c r="CQ66" s="538"/>
      <c r="CR66" s="538"/>
      <c r="CS66" s="538"/>
      <c r="CT66" s="538"/>
      <c r="CU66" s="538"/>
      <c r="CV66" s="538"/>
      <c r="CW66" s="538"/>
      <c r="CX66" s="538"/>
      <c r="CY66" s="538"/>
      <c r="CZ66" s="538"/>
      <c r="DA66" s="538"/>
      <c r="DB66" s="538"/>
      <c r="DC66" s="538"/>
      <c r="DD66" s="538"/>
      <c r="DE66" s="538"/>
      <c r="DF66" s="538"/>
      <c r="DG66" s="538"/>
      <c r="DH66" s="538"/>
      <c r="DI66" s="538"/>
      <c r="DJ66" s="84"/>
      <c r="DK66" s="538"/>
      <c r="DL66" s="538"/>
      <c r="DM66" s="538"/>
      <c r="DN66" s="538"/>
      <c r="DO66" s="538"/>
      <c r="DP66" s="538"/>
      <c r="DQ66" s="538"/>
      <c r="DR66" s="538"/>
      <c r="DS66" s="538"/>
      <c r="DT66" s="538"/>
      <c r="DU66" s="538"/>
      <c r="DV66" s="538"/>
      <c r="DW66" s="538"/>
      <c r="DX66" s="538"/>
      <c r="DY66" s="538"/>
      <c r="DZ66" s="538"/>
      <c r="EA66" s="538"/>
      <c r="EB66" s="538"/>
      <c r="EC66" s="538"/>
      <c r="ED66" s="538"/>
      <c r="EE66" s="538"/>
      <c r="EF66" s="538"/>
      <c r="EG66" s="538"/>
      <c r="EH66" s="538"/>
      <c r="EI66" s="538"/>
      <c r="EJ66" s="538"/>
      <c r="EK66" s="538"/>
      <c r="EL66" s="538"/>
      <c r="EM66" s="538"/>
      <c r="EN66" s="538"/>
      <c r="EO66" s="538"/>
      <c r="EP66" s="538"/>
      <c r="EQ66" s="538"/>
      <c r="ER66" s="538"/>
      <c r="ES66" s="538"/>
      <c r="ET66" s="538"/>
      <c r="EU66" s="538"/>
      <c r="EV66" s="538"/>
      <c r="EW66" s="538"/>
      <c r="EX66" s="559"/>
      <c r="EY66" s="559"/>
      <c r="EZ66" s="559"/>
      <c r="FA66" s="559"/>
      <c r="FB66" s="559"/>
      <c r="FC66" s="559"/>
      <c r="FD66" s="559"/>
      <c r="FE66" s="559"/>
      <c r="FF66" s="559"/>
      <c r="FG66" s="559"/>
      <c r="FH66" s="559"/>
      <c r="FI66" s="559"/>
      <c r="FJ66" s="559"/>
      <c r="FK66" s="559"/>
      <c r="FL66" s="559"/>
      <c r="FM66" s="559"/>
      <c r="FN66" s="559"/>
      <c r="FO66" s="559"/>
      <c r="FP66" s="559"/>
      <c r="FQ66" s="559"/>
      <c r="FR66" s="559"/>
      <c r="FS66" s="559"/>
      <c r="FT66" s="559"/>
      <c r="FU66" s="559"/>
      <c r="FV66" s="559"/>
      <c r="FW66" s="559"/>
      <c r="FX66" s="559"/>
      <c r="FY66" s="559"/>
      <c r="FZ66" s="559"/>
      <c r="GA66" s="559"/>
      <c r="GB66" s="559"/>
      <c r="GC66" s="559"/>
      <c r="GD66" s="559"/>
      <c r="GE66" s="559"/>
      <c r="GF66" s="559"/>
      <c r="GG66" s="559"/>
      <c r="GH66" s="559"/>
    </row>
    <row r="67">
      <c r="A67" s="538"/>
      <c r="B67" s="134"/>
      <c r="C67" s="57"/>
      <c r="D67" s="594"/>
      <c r="E67" s="606"/>
      <c r="F67" s="563"/>
      <c r="G67" s="563"/>
      <c r="H67" s="627"/>
      <c r="I67" s="622" t="s">
        <v>365</v>
      </c>
      <c r="J67" s="566"/>
      <c r="K67" s="567"/>
      <c r="L67" s="601"/>
      <c r="M67" s="625"/>
      <c r="N67" s="617"/>
      <c r="O67" s="621"/>
      <c r="P67" s="57"/>
      <c r="Q67" s="57"/>
      <c r="S67" s="605"/>
      <c r="U67" s="573"/>
      <c r="V67" s="574"/>
      <c r="W67" s="618"/>
      <c r="X67" s="576">
        <v>0.0</v>
      </c>
      <c r="Y67" s="630">
        <v>0.0</v>
      </c>
      <c r="Z67" s="630" t="s">
        <v>365</v>
      </c>
      <c r="AA67" s="631" t="b">
        <v>0</v>
      </c>
      <c r="AB67" s="631"/>
      <c r="AC67" s="576"/>
      <c r="AD67" s="479">
        <v>0.0</v>
      </c>
      <c r="AE67" s="632"/>
      <c r="AF67" s="582" t="s">
        <v>365</v>
      </c>
      <c r="AG67" s="583"/>
      <c r="AH67" s="584"/>
      <c r="AI67" s="583"/>
      <c r="AJ67" s="585"/>
      <c r="AK67" s="583"/>
      <c r="AL67" s="584"/>
      <c r="AM67" s="583"/>
      <c r="AN67" s="585"/>
      <c r="AO67" s="583"/>
      <c r="AP67" s="584"/>
      <c r="AQ67" s="583"/>
      <c r="AR67" s="585"/>
      <c r="AS67" s="583"/>
      <c r="AT67" s="584"/>
      <c r="AU67" s="583"/>
      <c r="AV67" s="585"/>
      <c r="AW67" s="583"/>
      <c r="AX67" s="584"/>
      <c r="AY67" s="583"/>
      <c r="AZ67" s="585"/>
      <c r="BA67" s="583"/>
      <c r="BB67" s="584"/>
      <c r="BC67" s="583"/>
      <c r="BD67" s="585"/>
      <c r="BE67" s="583"/>
      <c r="BF67" s="584"/>
      <c r="BG67" s="583"/>
      <c r="BH67" s="585"/>
      <c r="BI67" s="583"/>
      <c r="BJ67" s="584"/>
      <c r="BK67" s="583"/>
      <c r="BL67" s="585"/>
      <c r="BM67" s="583"/>
      <c r="BN67" s="584"/>
      <c r="BO67" s="583"/>
      <c r="BP67" s="585"/>
      <c r="BQ67" s="583"/>
      <c r="BR67" s="584"/>
      <c r="BS67" s="583"/>
      <c r="BT67" s="586"/>
      <c r="BU67" s="540"/>
      <c r="BV67" s="540"/>
      <c r="BW67" s="540"/>
      <c r="BX67" s="538"/>
      <c r="BY67" s="538"/>
      <c r="BZ67" s="592"/>
      <c r="CA67" s="633"/>
      <c r="CB67" s="592" t="s">
        <v>365</v>
      </c>
      <c r="CC67" s="592">
        <v>0.0</v>
      </c>
      <c r="CD67" s="592" t="s">
        <v>365</v>
      </c>
      <c r="CE67" s="592">
        <v>0.0</v>
      </c>
      <c r="CF67" s="592"/>
      <c r="CG67" s="592">
        <v>0.0</v>
      </c>
      <c r="CH67" s="592"/>
      <c r="CI67" s="633"/>
      <c r="CJ67" s="592">
        <v>0.0</v>
      </c>
      <c r="CK67" s="479" t="s">
        <v>365</v>
      </c>
      <c r="CL67" s="592"/>
      <c r="CM67" s="593"/>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84"/>
      <c r="DK67" s="538"/>
      <c r="DL67" s="538"/>
      <c r="DM67" s="538"/>
      <c r="DN67" s="538"/>
      <c r="DO67" s="538"/>
      <c r="DP67" s="538"/>
      <c r="DQ67" s="538"/>
      <c r="DR67" s="538"/>
      <c r="DS67" s="538"/>
      <c r="DT67" s="538"/>
      <c r="DU67" s="538"/>
      <c r="DV67" s="538"/>
      <c r="DW67" s="538"/>
      <c r="DX67" s="538"/>
      <c r="DY67" s="538"/>
      <c r="DZ67" s="538"/>
      <c r="EA67" s="538"/>
      <c r="EB67" s="538"/>
      <c r="EC67" s="538"/>
      <c r="ED67" s="538"/>
      <c r="EE67" s="538"/>
      <c r="EF67" s="538"/>
      <c r="EG67" s="538"/>
      <c r="EH67" s="538"/>
      <c r="EI67" s="538"/>
      <c r="EJ67" s="538"/>
      <c r="EK67" s="538"/>
      <c r="EL67" s="538"/>
      <c r="EM67" s="538"/>
      <c r="EN67" s="538"/>
      <c r="EO67" s="538"/>
      <c r="EP67" s="538"/>
      <c r="EQ67" s="538"/>
      <c r="ER67" s="538"/>
      <c r="ES67" s="538"/>
      <c r="ET67" s="538"/>
      <c r="EU67" s="538"/>
      <c r="EV67" s="538"/>
      <c r="EW67" s="538"/>
      <c r="EX67" s="559"/>
      <c r="EY67" s="559"/>
      <c r="EZ67" s="559"/>
      <c r="FA67" s="559"/>
      <c r="FB67" s="559"/>
      <c r="FC67" s="559"/>
      <c r="FD67" s="559"/>
      <c r="FE67" s="559"/>
      <c r="FF67" s="559"/>
      <c r="FG67" s="559"/>
      <c r="FH67" s="559"/>
      <c r="FI67" s="559"/>
      <c r="FJ67" s="559"/>
      <c r="FK67" s="559"/>
      <c r="FL67" s="559"/>
      <c r="FM67" s="559"/>
      <c r="FN67" s="559"/>
      <c r="FO67" s="559"/>
      <c r="FP67" s="559"/>
      <c r="FQ67" s="559"/>
      <c r="FR67" s="559"/>
      <c r="FS67" s="559"/>
      <c r="FT67" s="559"/>
      <c r="FU67" s="559"/>
      <c r="FV67" s="559"/>
      <c r="FW67" s="559"/>
      <c r="FX67" s="559"/>
      <c r="FY67" s="559"/>
      <c r="FZ67" s="559"/>
      <c r="GA67" s="559"/>
      <c r="GB67" s="559"/>
      <c r="GC67" s="559"/>
      <c r="GD67" s="559"/>
      <c r="GE67" s="559"/>
      <c r="GF67" s="559"/>
      <c r="GG67" s="559"/>
      <c r="GH67" s="559"/>
    </row>
    <row r="68">
      <c r="A68" s="538"/>
      <c r="B68" s="560"/>
      <c r="C68" s="47"/>
      <c r="D68" s="561"/>
      <c r="E68" s="606"/>
      <c r="F68" s="563"/>
      <c r="G68" s="563"/>
      <c r="H68" s="627"/>
      <c r="I68" s="622" t="s">
        <v>365</v>
      </c>
      <c r="J68" s="566"/>
      <c r="K68" s="567"/>
      <c r="L68" s="568"/>
      <c r="M68" s="626"/>
      <c r="N68" s="619"/>
      <c r="O68" s="623"/>
      <c r="P68" s="47"/>
      <c r="Q68" s="47"/>
      <c r="R68" s="47"/>
      <c r="S68" s="572"/>
      <c r="T68" s="572"/>
      <c r="U68" s="573"/>
      <c r="V68" s="574"/>
      <c r="W68" s="618"/>
      <c r="X68" s="576">
        <v>0.0</v>
      </c>
      <c r="Y68" s="630">
        <v>0.0</v>
      </c>
      <c r="Z68" s="630" t="s">
        <v>365</v>
      </c>
      <c r="AA68" s="631" t="b">
        <v>0</v>
      </c>
      <c r="AB68" s="631"/>
      <c r="AC68" s="576"/>
      <c r="AD68" s="479">
        <v>0.0</v>
      </c>
      <c r="AE68" s="632"/>
      <c r="AF68" s="582" t="s">
        <v>365</v>
      </c>
      <c r="AG68" s="583"/>
      <c r="AH68" s="584"/>
      <c r="AI68" s="583"/>
      <c r="AJ68" s="585"/>
      <c r="AK68" s="583"/>
      <c r="AL68" s="584"/>
      <c r="AM68" s="583"/>
      <c r="AN68" s="585"/>
      <c r="AO68" s="583"/>
      <c r="AP68" s="584"/>
      <c r="AQ68" s="583"/>
      <c r="AR68" s="585"/>
      <c r="AS68" s="583"/>
      <c r="AT68" s="584"/>
      <c r="AU68" s="583"/>
      <c r="AV68" s="585"/>
      <c r="AW68" s="583"/>
      <c r="AX68" s="584"/>
      <c r="AY68" s="583"/>
      <c r="AZ68" s="585"/>
      <c r="BA68" s="583"/>
      <c r="BB68" s="584"/>
      <c r="BC68" s="583"/>
      <c r="BD68" s="585"/>
      <c r="BE68" s="583"/>
      <c r="BF68" s="584"/>
      <c r="BG68" s="583"/>
      <c r="BH68" s="585"/>
      <c r="BI68" s="583"/>
      <c r="BJ68" s="584"/>
      <c r="BK68" s="583"/>
      <c r="BL68" s="585"/>
      <c r="BM68" s="583"/>
      <c r="BN68" s="584"/>
      <c r="BO68" s="583"/>
      <c r="BP68" s="585"/>
      <c r="BQ68" s="583"/>
      <c r="BR68" s="584"/>
      <c r="BS68" s="583"/>
      <c r="BT68" s="586"/>
      <c r="BU68" s="540"/>
      <c r="BV68" s="540"/>
      <c r="BW68" s="540"/>
      <c r="BX68" s="538"/>
      <c r="BY68" s="538"/>
      <c r="BZ68" s="592"/>
      <c r="CA68" s="633"/>
      <c r="CB68" s="592" t="s">
        <v>365</v>
      </c>
      <c r="CC68" s="592">
        <v>0.0</v>
      </c>
      <c r="CD68" s="592" t="s">
        <v>365</v>
      </c>
      <c r="CE68" s="592">
        <v>0.0</v>
      </c>
      <c r="CF68" s="592"/>
      <c r="CG68" s="592">
        <v>0.0</v>
      </c>
      <c r="CH68" s="592"/>
      <c r="CI68" s="633"/>
      <c r="CJ68" s="592">
        <v>0.0</v>
      </c>
      <c r="CK68" s="479" t="s">
        <v>365</v>
      </c>
      <c r="CL68" s="592"/>
      <c r="CM68" s="593"/>
      <c r="CN68" s="538"/>
      <c r="CO68" s="538"/>
      <c r="CP68" s="538"/>
      <c r="CQ68" s="538"/>
      <c r="CR68" s="538"/>
      <c r="CS68" s="538"/>
      <c r="CT68" s="538"/>
      <c r="CU68" s="538"/>
      <c r="CV68" s="538"/>
      <c r="CW68" s="538"/>
      <c r="CX68" s="538"/>
      <c r="CY68" s="538"/>
      <c r="CZ68" s="538"/>
      <c r="DA68" s="538"/>
      <c r="DB68" s="538"/>
      <c r="DC68" s="538"/>
      <c r="DD68" s="538"/>
      <c r="DE68" s="538"/>
      <c r="DF68" s="538"/>
      <c r="DG68" s="538"/>
      <c r="DH68" s="538"/>
      <c r="DI68" s="538"/>
      <c r="DJ68" s="84"/>
      <c r="DK68" s="538"/>
      <c r="DL68" s="538"/>
      <c r="DM68" s="538"/>
      <c r="DN68" s="538"/>
      <c r="DO68" s="538"/>
      <c r="DP68" s="538"/>
      <c r="DQ68" s="538"/>
      <c r="DR68" s="538"/>
      <c r="DS68" s="538"/>
      <c r="DT68" s="538"/>
      <c r="DU68" s="538"/>
      <c r="DV68" s="538"/>
      <c r="DW68" s="538"/>
      <c r="DX68" s="538"/>
      <c r="DY68" s="538"/>
      <c r="DZ68" s="538"/>
      <c r="EA68" s="538"/>
      <c r="EB68" s="538"/>
      <c r="EC68" s="538"/>
      <c r="ED68" s="538"/>
      <c r="EE68" s="538"/>
      <c r="EF68" s="538"/>
      <c r="EG68" s="538"/>
      <c r="EH68" s="538"/>
      <c r="EI68" s="538"/>
      <c r="EJ68" s="538"/>
      <c r="EK68" s="538"/>
      <c r="EL68" s="538"/>
      <c r="EM68" s="538"/>
      <c r="EN68" s="538"/>
      <c r="EO68" s="538"/>
      <c r="EP68" s="538"/>
      <c r="EQ68" s="538"/>
      <c r="ER68" s="538"/>
      <c r="ES68" s="538"/>
      <c r="ET68" s="538"/>
      <c r="EU68" s="538"/>
      <c r="EV68" s="538"/>
      <c r="EW68" s="538"/>
      <c r="EX68" s="559"/>
      <c r="EY68" s="559"/>
      <c r="EZ68" s="559"/>
      <c r="FA68" s="559"/>
      <c r="FB68" s="559"/>
      <c r="FC68" s="559"/>
      <c r="FD68" s="559"/>
      <c r="FE68" s="559"/>
      <c r="FF68" s="559"/>
      <c r="FG68" s="559"/>
      <c r="FH68" s="559"/>
      <c r="FI68" s="559"/>
      <c r="FJ68" s="559"/>
      <c r="FK68" s="559"/>
      <c r="FL68" s="559"/>
      <c r="FM68" s="559"/>
      <c r="FN68" s="559"/>
      <c r="FO68" s="559"/>
      <c r="FP68" s="559"/>
      <c r="FQ68" s="559"/>
      <c r="FR68" s="559"/>
      <c r="FS68" s="559"/>
      <c r="FT68" s="559"/>
      <c r="FU68" s="559"/>
      <c r="FV68" s="559"/>
      <c r="FW68" s="559"/>
      <c r="FX68" s="559"/>
      <c r="FY68" s="559"/>
      <c r="FZ68" s="559"/>
      <c r="GA68" s="559"/>
      <c r="GB68" s="559"/>
      <c r="GC68" s="559"/>
      <c r="GD68" s="559"/>
      <c r="GE68" s="559"/>
      <c r="GF68" s="559"/>
      <c r="GG68" s="559"/>
      <c r="GH68" s="559"/>
    </row>
    <row r="69">
      <c r="A69" s="538"/>
      <c r="B69" s="134"/>
      <c r="C69" s="57"/>
      <c r="D69" s="594"/>
      <c r="E69" s="595"/>
      <c r="F69" s="596"/>
      <c r="G69" s="596"/>
      <c r="H69" s="597"/>
      <c r="I69" s="616" t="s">
        <v>365</v>
      </c>
      <c r="J69" s="599"/>
      <c r="K69" s="600"/>
      <c r="L69" s="601"/>
      <c r="M69" s="625"/>
      <c r="N69" s="617"/>
      <c r="O69" s="621"/>
      <c r="P69" s="57"/>
      <c r="Q69" s="57"/>
      <c r="S69" s="605"/>
      <c r="U69" s="573"/>
      <c r="V69" s="574"/>
      <c r="W69" s="618"/>
      <c r="X69" s="576">
        <v>0.0</v>
      </c>
      <c r="Y69" s="630">
        <v>0.0</v>
      </c>
      <c r="Z69" s="630" t="s">
        <v>365</v>
      </c>
      <c r="AA69" s="631" t="b">
        <v>0</v>
      </c>
      <c r="AB69" s="631"/>
      <c r="AC69" s="576"/>
      <c r="AD69" s="479">
        <v>0.0</v>
      </c>
      <c r="AE69" s="632"/>
      <c r="AF69" s="582" t="s">
        <v>365</v>
      </c>
      <c r="AG69" s="583"/>
      <c r="AH69" s="584"/>
      <c r="AI69" s="583"/>
      <c r="AJ69" s="585"/>
      <c r="AK69" s="583"/>
      <c r="AL69" s="584"/>
      <c r="AM69" s="583"/>
      <c r="AN69" s="585"/>
      <c r="AO69" s="583"/>
      <c r="AP69" s="584"/>
      <c r="AQ69" s="583"/>
      <c r="AR69" s="585"/>
      <c r="AS69" s="583"/>
      <c r="AT69" s="584"/>
      <c r="AU69" s="583"/>
      <c r="AV69" s="585"/>
      <c r="AW69" s="583"/>
      <c r="AX69" s="584"/>
      <c r="AY69" s="583"/>
      <c r="AZ69" s="585"/>
      <c r="BA69" s="583"/>
      <c r="BB69" s="584"/>
      <c r="BC69" s="583"/>
      <c r="BD69" s="585"/>
      <c r="BE69" s="583"/>
      <c r="BF69" s="584"/>
      <c r="BG69" s="583"/>
      <c r="BH69" s="585"/>
      <c r="BI69" s="583"/>
      <c r="BJ69" s="584"/>
      <c r="BK69" s="583"/>
      <c r="BL69" s="585"/>
      <c r="BM69" s="583"/>
      <c r="BN69" s="584"/>
      <c r="BO69" s="583"/>
      <c r="BP69" s="585"/>
      <c r="BQ69" s="583"/>
      <c r="BR69" s="584"/>
      <c r="BS69" s="583"/>
      <c r="BT69" s="586"/>
      <c r="BU69" s="540"/>
      <c r="BV69" s="540"/>
      <c r="BW69" s="540"/>
      <c r="BX69" s="538"/>
      <c r="BY69" s="538"/>
      <c r="BZ69" s="592"/>
      <c r="CA69" s="633"/>
      <c r="CB69" s="592" t="s">
        <v>365</v>
      </c>
      <c r="CC69" s="592">
        <v>0.0</v>
      </c>
      <c r="CD69" s="592" t="s">
        <v>365</v>
      </c>
      <c r="CE69" s="592">
        <v>0.0</v>
      </c>
      <c r="CF69" s="592"/>
      <c r="CG69" s="592">
        <v>0.0</v>
      </c>
      <c r="CH69" s="592"/>
      <c r="CI69" s="633"/>
      <c r="CJ69" s="592">
        <v>0.0</v>
      </c>
      <c r="CK69" s="479" t="s">
        <v>365</v>
      </c>
      <c r="CL69" s="592"/>
      <c r="CM69" s="593"/>
      <c r="CN69" s="538"/>
      <c r="CO69" s="538"/>
      <c r="CP69" s="538"/>
      <c r="CQ69" s="538"/>
      <c r="CR69" s="538"/>
      <c r="CS69" s="538"/>
      <c r="CT69" s="538"/>
      <c r="CU69" s="538"/>
      <c r="CV69" s="538"/>
      <c r="CW69" s="538"/>
      <c r="CX69" s="538"/>
      <c r="CY69" s="538"/>
      <c r="CZ69" s="538"/>
      <c r="DA69" s="538"/>
      <c r="DB69" s="538"/>
      <c r="DC69" s="538"/>
      <c r="DD69" s="538"/>
      <c r="DE69" s="538"/>
      <c r="DF69" s="538"/>
      <c r="DG69" s="538"/>
      <c r="DH69" s="538"/>
      <c r="DI69" s="538"/>
      <c r="DJ69" s="84"/>
      <c r="DK69" s="538"/>
      <c r="DL69" s="538"/>
      <c r="DM69" s="538"/>
      <c r="DN69" s="538"/>
      <c r="DO69" s="538"/>
      <c r="DP69" s="538"/>
      <c r="DQ69" s="538"/>
      <c r="DR69" s="538"/>
      <c r="DS69" s="538"/>
      <c r="DT69" s="538"/>
      <c r="DU69" s="538"/>
      <c r="DV69" s="538"/>
      <c r="DW69" s="538"/>
      <c r="DX69" s="538"/>
      <c r="DY69" s="538"/>
      <c r="DZ69" s="538"/>
      <c r="EA69" s="538"/>
      <c r="EB69" s="538"/>
      <c r="EC69" s="538"/>
      <c r="ED69" s="538"/>
      <c r="EE69" s="538"/>
      <c r="EF69" s="538"/>
      <c r="EG69" s="538"/>
      <c r="EH69" s="538"/>
      <c r="EI69" s="538"/>
      <c r="EJ69" s="538"/>
      <c r="EK69" s="538"/>
      <c r="EL69" s="538"/>
      <c r="EM69" s="538"/>
      <c r="EN69" s="538"/>
      <c r="EO69" s="538"/>
      <c r="EP69" s="538"/>
      <c r="EQ69" s="538"/>
      <c r="ER69" s="538"/>
      <c r="ES69" s="538"/>
      <c r="ET69" s="538"/>
      <c r="EU69" s="538"/>
      <c r="EV69" s="538"/>
      <c r="EW69" s="538"/>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row>
    <row r="70">
      <c r="A70" s="538"/>
      <c r="B70" s="560"/>
      <c r="C70" s="47"/>
      <c r="D70" s="561"/>
      <c r="E70" s="606"/>
      <c r="F70" s="563"/>
      <c r="G70" s="563"/>
      <c r="H70" s="564"/>
      <c r="I70" s="622" t="s">
        <v>365</v>
      </c>
      <c r="J70" s="566"/>
      <c r="K70" s="567"/>
      <c r="L70" s="628"/>
      <c r="M70" s="626"/>
      <c r="N70" s="619"/>
      <c r="O70" s="623"/>
      <c r="P70" s="47"/>
      <c r="Q70" s="47"/>
      <c r="S70" s="572"/>
      <c r="U70" s="573"/>
      <c r="V70" s="574"/>
      <c r="W70" s="618"/>
      <c r="X70" s="576">
        <v>0.0</v>
      </c>
      <c r="Y70" s="630">
        <v>0.0</v>
      </c>
      <c r="Z70" s="630" t="s">
        <v>365</v>
      </c>
      <c r="AA70" s="631" t="b">
        <v>0</v>
      </c>
      <c r="AB70" s="631"/>
      <c r="AC70" s="576"/>
      <c r="AD70" s="479">
        <v>0.0</v>
      </c>
      <c r="AE70" s="632"/>
      <c r="AF70" s="582" t="s">
        <v>365</v>
      </c>
      <c r="AG70" s="583"/>
      <c r="AH70" s="584"/>
      <c r="AI70" s="583"/>
      <c r="AJ70" s="585"/>
      <c r="AK70" s="583"/>
      <c r="AL70" s="584"/>
      <c r="AM70" s="583"/>
      <c r="AN70" s="585"/>
      <c r="AO70" s="583"/>
      <c r="AP70" s="584"/>
      <c r="AQ70" s="583"/>
      <c r="AR70" s="585"/>
      <c r="AS70" s="583"/>
      <c r="AT70" s="584"/>
      <c r="AU70" s="583"/>
      <c r="AV70" s="585"/>
      <c r="AW70" s="583"/>
      <c r="AX70" s="584"/>
      <c r="AY70" s="583"/>
      <c r="AZ70" s="585"/>
      <c r="BA70" s="583"/>
      <c r="BB70" s="584"/>
      <c r="BC70" s="583"/>
      <c r="BD70" s="585"/>
      <c r="BE70" s="583"/>
      <c r="BF70" s="584"/>
      <c r="BG70" s="583"/>
      <c r="BH70" s="585"/>
      <c r="BI70" s="583"/>
      <c r="BJ70" s="584"/>
      <c r="BK70" s="583"/>
      <c r="BL70" s="585"/>
      <c r="BM70" s="583"/>
      <c r="BN70" s="584"/>
      <c r="BO70" s="583"/>
      <c r="BP70" s="585"/>
      <c r="BQ70" s="583"/>
      <c r="BR70" s="584"/>
      <c r="BS70" s="583"/>
      <c r="BT70" s="586"/>
      <c r="BU70" s="540"/>
      <c r="BV70" s="540"/>
      <c r="BW70" s="540"/>
      <c r="BX70" s="538"/>
      <c r="BY70" s="538"/>
      <c r="BZ70" s="592"/>
      <c r="CA70" s="633"/>
      <c r="CB70" s="592" t="s">
        <v>365</v>
      </c>
      <c r="CC70" s="592">
        <v>0.0</v>
      </c>
      <c r="CD70" s="592" t="s">
        <v>365</v>
      </c>
      <c r="CE70" s="592">
        <v>0.0</v>
      </c>
      <c r="CF70" s="592"/>
      <c r="CG70" s="592">
        <v>0.0</v>
      </c>
      <c r="CH70" s="592"/>
      <c r="CI70" s="633"/>
      <c r="CJ70" s="592">
        <v>0.0</v>
      </c>
      <c r="CK70" s="479" t="s">
        <v>365</v>
      </c>
      <c r="CL70" s="592"/>
      <c r="CM70" s="593"/>
      <c r="CN70" s="538"/>
      <c r="CO70" s="538"/>
      <c r="CP70" s="538"/>
      <c r="CQ70" s="538"/>
      <c r="CR70" s="538"/>
      <c r="CS70" s="538"/>
      <c r="CT70" s="538"/>
      <c r="CU70" s="538"/>
      <c r="CV70" s="538"/>
      <c r="CW70" s="538"/>
      <c r="CX70" s="538"/>
      <c r="CY70" s="538"/>
      <c r="CZ70" s="538"/>
      <c r="DA70" s="538"/>
      <c r="DB70" s="538"/>
      <c r="DC70" s="538"/>
      <c r="DD70" s="538"/>
      <c r="DE70" s="538"/>
      <c r="DF70" s="538"/>
      <c r="DG70" s="538"/>
      <c r="DH70" s="538"/>
      <c r="DI70" s="538"/>
      <c r="DJ70" s="538"/>
      <c r="DK70" s="538"/>
      <c r="DL70" s="538"/>
      <c r="DM70" s="538"/>
      <c r="DN70" s="538"/>
      <c r="DO70" s="538"/>
      <c r="DP70" s="538"/>
      <c r="DQ70" s="538"/>
      <c r="DR70" s="538"/>
      <c r="DS70" s="538"/>
      <c r="DT70" s="538"/>
      <c r="DU70" s="538"/>
      <c r="DV70" s="538"/>
      <c r="DW70" s="538"/>
      <c r="DX70" s="538"/>
      <c r="DY70" s="538"/>
      <c r="DZ70" s="538"/>
      <c r="EA70" s="538"/>
      <c r="EB70" s="538"/>
      <c r="EC70" s="538"/>
      <c r="ED70" s="538"/>
      <c r="EE70" s="538"/>
      <c r="EF70" s="538"/>
      <c r="EG70" s="538"/>
      <c r="EH70" s="538"/>
      <c r="EI70" s="538"/>
      <c r="EJ70" s="538"/>
      <c r="EK70" s="538"/>
      <c r="EL70" s="538"/>
      <c r="EM70" s="538"/>
      <c r="EN70" s="538"/>
      <c r="EO70" s="538"/>
      <c r="EP70" s="538"/>
      <c r="EQ70" s="538"/>
      <c r="ER70" s="538"/>
      <c r="ES70" s="538"/>
      <c r="ET70" s="538"/>
      <c r="EU70" s="538"/>
      <c r="EV70" s="538"/>
      <c r="EW70" s="538"/>
      <c r="EX70" s="559"/>
      <c r="EY70" s="559"/>
      <c r="EZ70" s="559"/>
      <c r="FA70" s="559"/>
      <c r="FB70" s="559"/>
      <c r="FC70" s="559"/>
      <c r="FD70" s="559"/>
      <c r="FE70" s="559"/>
      <c r="FF70" s="559"/>
      <c r="FG70" s="559"/>
      <c r="FH70" s="559"/>
      <c r="FI70" s="559"/>
      <c r="FJ70" s="559"/>
      <c r="FK70" s="559"/>
      <c r="FL70" s="559"/>
      <c r="FM70" s="559"/>
      <c r="FN70" s="559"/>
      <c r="FO70" s="559"/>
      <c r="FP70" s="559"/>
      <c r="FQ70" s="559"/>
      <c r="FR70" s="559"/>
      <c r="FS70" s="559"/>
      <c r="FT70" s="559"/>
      <c r="FU70" s="559"/>
      <c r="FV70" s="559"/>
      <c r="FW70" s="559"/>
      <c r="FX70" s="559"/>
      <c r="FY70" s="559"/>
      <c r="FZ70" s="559"/>
      <c r="GA70" s="559"/>
      <c r="GB70" s="559"/>
      <c r="GC70" s="559"/>
      <c r="GD70" s="559"/>
      <c r="GE70" s="559"/>
      <c r="GF70" s="559"/>
      <c r="GG70" s="559"/>
      <c r="GH70" s="559"/>
    </row>
    <row r="71">
      <c r="A71" s="538"/>
      <c r="B71" s="156"/>
      <c r="C71" s="444"/>
      <c r="D71" s="614"/>
      <c r="E71" s="595"/>
      <c r="F71" s="596"/>
      <c r="G71" s="596"/>
      <c r="H71" s="597"/>
      <c r="I71" s="616" t="s">
        <v>365</v>
      </c>
      <c r="J71" s="624"/>
      <c r="K71" s="600"/>
      <c r="L71" s="601"/>
      <c r="M71" s="625"/>
      <c r="N71" s="617"/>
      <c r="O71" s="621"/>
      <c r="P71" s="57"/>
      <c r="Q71" s="57"/>
      <c r="S71" s="605"/>
      <c r="U71" s="573"/>
      <c r="V71" s="574"/>
      <c r="W71" s="618"/>
      <c r="X71" s="576">
        <v>0.0</v>
      </c>
      <c r="Y71" s="630">
        <v>0.0</v>
      </c>
      <c r="Z71" s="630" t="s">
        <v>365</v>
      </c>
      <c r="AA71" s="631" t="b">
        <v>0</v>
      </c>
      <c r="AB71" s="631"/>
      <c r="AC71" s="576"/>
      <c r="AD71" s="479">
        <v>0.0</v>
      </c>
      <c r="AE71" s="632"/>
      <c r="AF71" s="582" t="s">
        <v>365</v>
      </c>
      <c r="AG71" s="583"/>
      <c r="AH71" s="584"/>
      <c r="AI71" s="583"/>
      <c r="AJ71" s="585"/>
      <c r="AK71" s="583"/>
      <c r="AL71" s="584"/>
      <c r="AM71" s="583"/>
      <c r="AN71" s="585"/>
      <c r="AO71" s="583"/>
      <c r="AP71" s="584"/>
      <c r="AQ71" s="583"/>
      <c r="AR71" s="585"/>
      <c r="AS71" s="583"/>
      <c r="AT71" s="584"/>
      <c r="AU71" s="583"/>
      <c r="AV71" s="585"/>
      <c r="AW71" s="583"/>
      <c r="AX71" s="584"/>
      <c r="AY71" s="583"/>
      <c r="AZ71" s="585"/>
      <c r="BA71" s="583"/>
      <c r="BB71" s="584"/>
      <c r="BC71" s="583"/>
      <c r="BD71" s="585"/>
      <c r="BE71" s="583"/>
      <c r="BF71" s="584"/>
      <c r="BG71" s="583"/>
      <c r="BH71" s="585"/>
      <c r="BI71" s="583"/>
      <c r="BJ71" s="584"/>
      <c r="BK71" s="583"/>
      <c r="BL71" s="585"/>
      <c r="BM71" s="583"/>
      <c r="BN71" s="584"/>
      <c r="BO71" s="583"/>
      <c r="BP71" s="585"/>
      <c r="BQ71" s="583"/>
      <c r="BR71" s="584"/>
      <c r="BS71" s="583"/>
      <c r="BT71" s="586"/>
      <c r="BU71" s="540"/>
      <c r="BV71" s="540"/>
      <c r="BW71" s="540"/>
      <c r="BX71" s="538"/>
      <c r="BY71" s="538"/>
      <c r="BZ71" s="592"/>
      <c r="CA71" s="633"/>
      <c r="CB71" s="592" t="s">
        <v>365</v>
      </c>
      <c r="CC71" s="592">
        <v>0.0</v>
      </c>
      <c r="CD71" s="592" t="s">
        <v>365</v>
      </c>
      <c r="CE71" s="592">
        <v>0.0</v>
      </c>
      <c r="CF71" s="592"/>
      <c r="CG71" s="592">
        <v>0.0</v>
      </c>
      <c r="CH71" s="592"/>
      <c r="CI71" s="633"/>
      <c r="CJ71" s="592">
        <v>0.0</v>
      </c>
      <c r="CK71" s="479" t="s">
        <v>365</v>
      </c>
      <c r="CL71" s="592"/>
      <c r="CM71" s="593"/>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c r="DS71" s="538"/>
      <c r="DT71" s="538"/>
      <c r="DU71" s="538"/>
      <c r="DV71" s="538"/>
      <c r="DW71" s="538"/>
      <c r="DX71" s="538"/>
      <c r="DY71" s="538"/>
      <c r="DZ71" s="538"/>
      <c r="EA71" s="538"/>
      <c r="EB71" s="538"/>
      <c r="EC71" s="538"/>
      <c r="ED71" s="538"/>
      <c r="EE71" s="538"/>
      <c r="EF71" s="538"/>
      <c r="EG71" s="538"/>
      <c r="EH71" s="538"/>
      <c r="EI71" s="538"/>
      <c r="EJ71" s="538"/>
      <c r="EK71" s="538"/>
      <c r="EL71" s="538"/>
      <c r="EM71" s="538"/>
      <c r="EN71" s="538"/>
      <c r="EO71" s="538"/>
      <c r="EP71" s="538"/>
      <c r="EQ71" s="538"/>
      <c r="ER71" s="538"/>
      <c r="ES71" s="538"/>
      <c r="ET71" s="538"/>
      <c r="EU71" s="538"/>
      <c r="EV71" s="538"/>
      <c r="EW71" s="538"/>
      <c r="EX71" s="559"/>
      <c r="EY71" s="559"/>
      <c r="EZ71" s="559"/>
      <c r="FA71" s="559"/>
      <c r="FB71" s="559"/>
      <c r="FC71" s="559"/>
      <c r="FD71" s="559"/>
      <c r="FE71" s="559"/>
      <c r="FF71" s="559"/>
      <c r="FG71" s="559"/>
      <c r="FH71" s="559"/>
      <c r="FI71" s="559"/>
      <c r="FJ71" s="559"/>
      <c r="FK71" s="559"/>
      <c r="FL71" s="559"/>
      <c r="FM71" s="559"/>
      <c r="FN71" s="559"/>
      <c r="FO71" s="559"/>
      <c r="FP71" s="559"/>
      <c r="FQ71" s="559"/>
      <c r="FR71" s="559"/>
      <c r="FS71" s="559"/>
      <c r="FT71" s="559"/>
      <c r="FU71" s="559"/>
      <c r="FV71" s="559"/>
      <c r="FW71" s="559"/>
      <c r="FX71" s="559"/>
      <c r="FY71" s="559"/>
      <c r="FZ71" s="559"/>
      <c r="GA71" s="559"/>
      <c r="GB71" s="559"/>
      <c r="GC71" s="559"/>
      <c r="GD71" s="559"/>
      <c r="GE71" s="559"/>
      <c r="GF71" s="559"/>
      <c r="GG71" s="559"/>
      <c r="GH71" s="559"/>
    </row>
    <row r="72">
      <c r="A72" s="538"/>
      <c r="B72" s="156"/>
      <c r="C72" s="444"/>
      <c r="D72" s="614"/>
      <c r="E72" s="606"/>
      <c r="F72" s="563"/>
      <c r="G72" s="563"/>
      <c r="H72" s="564"/>
      <c r="I72" s="622" t="s">
        <v>365</v>
      </c>
      <c r="J72" s="607"/>
      <c r="K72" s="567"/>
      <c r="L72" s="628"/>
      <c r="M72" s="626"/>
      <c r="N72" s="619"/>
      <c r="O72" s="623"/>
      <c r="P72" s="47"/>
      <c r="Q72" s="47"/>
      <c r="S72" s="572"/>
      <c r="U72" s="573"/>
      <c r="V72" s="574"/>
      <c r="W72" s="618"/>
      <c r="X72" s="576">
        <v>0.0</v>
      </c>
      <c r="Y72" s="630">
        <v>0.0</v>
      </c>
      <c r="Z72" s="630" t="s">
        <v>365</v>
      </c>
      <c r="AA72" s="631" t="b">
        <v>0</v>
      </c>
      <c r="AB72" s="631"/>
      <c r="AC72" s="576"/>
      <c r="AD72" s="479">
        <v>0.0</v>
      </c>
      <c r="AE72" s="632"/>
      <c r="AF72" s="582" t="s">
        <v>365</v>
      </c>
      <c r="AG72" s="583"/>
      <c r="AH72" s="584"/>
      <c r="AI72" s="583"/>
      <c r="AJ72" s="585"/>
      <c r="AK72" s="583"/>
      <c r="AL72" s="584"/>
      <c r="AM72" s="583"/>
      <c r="AN72" s="585"/>
      <c r="AO72" s="583"/>
      <c r="AP72" s="584"/>
      <c r="AQ72" s="583"/>
      <c r="AR72" s="585"/>
      <c r="AS72" s="583"/>
      <c r="AT72" s="584"/>
      <c r="AU72" s="583"/>
      <c r="AV72" s="585"/>
      <c r="AW72" s="583"/>
      <c r="AX72" s="584"/>
      <c r="AY72" s="583"/>
      <c r="AZ72" s="585"/>
      <c r="BA72" s="583"/>
      <c r="BB72" s="584"/>
      <c r="BC72" s="583"/>
      <c r="BD72" s="585"/>
      <c r="BE72" s="583"/>
      <c r="BF72" s="584"/>
      <c r="BG72" s="583"/>
      <c r="BH72" s="585"/>
      <c r="BI72" s="583"/>
      <c r="BJ72" s="584"/>
      <c r="BK72" s="583"/>
      <c r="BL72" s="585"/>
      <c r="BM72" s="583"/>
      <c r="BN72" s="584"/>
      <c r="BO72" s="583"/>
      <c r="BP72" s="585"/>
      <c r="BQ72" s="583"/>
      <c r="BR72" s="584"/>
      <c r="BS72" s="583"/>
      <c r="BT72" s="586"/>
      <c r="BU72" s="540"/>
      <c r="BV72" s="540"/>
      <c r="BW72" s="540"/>
      <c r="BX72" s="538"/>
      <c r="BY72" s="538"/>
      <c r="BZ72" s="592"/>
      <c r="CA72" s="633"/>
      <c r="CB72" s="592" t="s">
        <v>365</v>
      </c>
      <c r="CC72" s="592">
        <v>0.0</v>
      </c>
      <c r="CD72" s="592" t="s">
        <v>365</v>
      </c>
      <c r="CE72" s="592">
        <v>0.0</v>
      </c>
      <c r="CF72" s="592"/>
      <c r="CG72" s="592">
        <v>0.0</v>
      </c>
      <c r="CH72" s="592"/>
      <c r="CI72" s="633"/>
      <c r="CJ72" s="592">
        <v>0.0</v>
      </c>
      <c r="CK72" s="479" t="s">
        <v>365</v>
      </c>
      <c r="CL72" s="592"/>
      <c r="CM72" s="593"/>
      <c r="CN72" s="538"/>
      <c r="CO72" s="538"/>
      <c r="CP72" s="538"/>
      <c r="CQ72" s="538"/>
      <c r="CR72" s="538"/>
      <c r="CS72" s="538"/>
      <c r="CT72" s="538"/>
      <c r="CU72" s="538"/>
      <c r="CV72" s="538"/>
      <c r="CW72" s="538"/>
      <c r="CX72" s="538"/>
      <c r="CY72" s="538"/>
      <c r="CZ72" s="538"/>
      <c r="DA72" s="538"/>
      <c r="DB72" s="538"/>
      <c r="DC72" s="538"/>
      <c r="DD72" s="538"/>
      <c r="DE72" s="538"/>
      <c r="DF72" s="538"/>
      <c r="DG72" s="538"/>
      <c r="DH72" s="538"/>
      <c r="DI72" s="538"/>
      <c r="DJ72" s="538"/>
      <c r="DK72" s="538"/>
      <c r="DL72" s="538"/>
      <c r="DM72" s="538"/>
      <c r="DN72" s="538"/>
      <c r="DO72" s="538"/>
      <c r="DP72" s="538"/>
      <c r="DQ72" s="538"/>
      <c r="DR72" s="538"/>
      <c r="DS72" s="538"/>
      <c r="DT72" s="538"/>
      <c r="DU72" s="538"/>
      <c r="DV72" s="538"/>
      <c r="DW72" s="538"/>
      <c r="DX72" s="538"/>
      <c r="DY72" s="538"/>
      <c r="DZ72" s="538"/>
      <c r="EA72" s="538"/>
      <c r="EB72" s="538"/>
      <c r="EC72" s="538"/>
      <c r="ED72" s="538"/>
      <c r="EE72" s="538"/>
      <c r="EF72" s="538"/>
      <c r="EG72" s="538"/>
      <c r="EH72" s="538"/>
      <c r="EI72" s="538"/>
      <c r="EJ72" s="538"/>
      <c r="EK72" s="538"/>
      <c r="EL72" s="538"/>
      <c r="EM72" s="538"/>
      <c r="EN72" s="538"/>
      <c r="EO72" s="538"/>
      <c r="EP72" s="538"/>
      <c r="EQ72" s="538"/>
      <c r="ER72" s="538"/>
      <c r="ES72" s="538"/>
      <c r="ET72" s="538"/>
      <c r="EU72" s="538"/>
      <c r="EV72" s="538"/>
      <c r="EW72" s="538"/>
      <c r="EX72" s="559"/>
      <c r="EY72" s="559"/>
      <c r="EZ72" s="559"/>
      <c r="FA72" s="559"/>
      <c r="FB72" s="559"/>
      <c r="FC72" s="559"/>
      <c r="FD72" s="559"/>
      <c r="FE72" s="559"/>
      <c r="FF72" s="559"/>
      <c r="FG72" s="559"/>
      <c r="FH72" s="559"/>
      <c r="FI72" s="559"/>
      <c r="FJ72" s="559"/>
      <c r="FK72" s="559"/>
      <c r="FL72" s="559"/>
      <c r="FM72" s="559"/>
      <c r="FN72" s="559"/>
      <c r="FO72" s="559"/>
      <c r="FP72" s="559"/>
      <c r="FQ72" s="559"/>
      <c r="FR72" s="559"/>
      <c r="FS72" s="559"/>
      <c r="FT72" s="559"/>
      <c r="FU72" s="559"/>
      <c r="FV72" s="559"/>
      <c r="FW72" s="559"/>
      <c r="FX72" s="559"/>
      <c r="FY72" s="559"/>
      <c r="FZ72" s="559"/>
      <c r="GA72" s="559"/>
      <c r="GB72" s="559"/>
      <c r="GC72" s="559"/>
      <c r="GD72" s="559"/>
      <c r="GE72" s="559"/>
      <c r="GF72" s="559"/>
      <c r="GG72" s="559"/>
      <c r="GH72" s="559"/>
    </row>
    <row r="73">
      <c r="A73" s="538"/>
      <c r="B73" s="156"/>
      <c r="C73" s="444"/>
      <c r="D73" s="614"/>
      <c r="E73" s="595"/>
      <c r="F73" s="596"/>
      <c r="G73" s="596"/>
      <c r="H73" s="615"/>
      <c r="I73" s="616" t="s">
        <v>365</v>
      </c>
      <c r="J73" s="624"/>
      <c r="K73" s="600"/>
      <c r="L73" s="640"/>
      <c r="M73" s="625"/>
      <c r="N73" s="617"/>
      <c r="O73" s="621"/>
      <c r="P73" s="57"/>
      <c r="Q73" s="57"/>
      <c r="S73" s="605"/>
      <c r="U73" s="573"/>
      <c r="V73" s="574"/>
      <c r="W73" s="618"/>
      <c r="X73" s="576">
        <v>0.0</v>
      </c>
      <c r="Y73" s="630">
        <v>0.0</v>
      </c>
      <c r="Z73" s="630" t="s">
        <v>365</v>
      </c>
      <c r="AA73" s="631" t="b">
        <v>0</v>
      </c>
      <c r="AB73" s="631"/>
      <c r="AC73" s="576"/>
      <c r="AD73" s="479">
        <v>0.0</v>
      </c>
      <c r="AE73" s="632"/>
      <c r="AF73" s="582" t="s">
        <v>365</v>
      </c>
      <c r="AG73" s="583"/>
      <c r="AH73" s="584"/>
      <c r="AI73" s="583"/>
      <c r="AJ73" s="585"/>
      <c r="AK73" s="583"/>
      <c r="AL73" s="584"/>
      <c r="AM73" s="583"/>
      <c r="AN73" s="585"/>
      <c r="AO73" s="583"/>
      <c r="AP73" s="584"/>
      <c r="AQ73" s="583"/>
      <c r="AR73" s="585"/>
      <c r="AS73" s="583"/>
      <c r="AT73" s="584"/>
      <c r="AU73" s="583"/>
      <c r="AV73" s="585"/>
      <c r="AW73" s="583"/>
      <c r="AX73" s="584"/>
      <c r="AY73" s="583"/>
      <c r="AZ73" s="585"/>
      <c r="BA73" s="583"/>
      <c r="BB73" s="584"/>
      <c r="BC73" s="583"/>
      <c r="BD73" s="585"/>
      <c r="BE73" s="583"/>
      <c r="BF73" s="584"/>
      <c r="BG73" s="583"/>
      <c r="BH73" s="585"/>
      <c r="BI73" s="583"/>
      <c r="BJ73" s="584"/>
      <c r="BK73" s="583"/>
      <c r="BL73" s="585"/>
      <c r="BM73" s="583"/>
      <c r="BN73" s="584"/>
      <c r="BO73" s="583"/>
      <c r="BP73" s="585"/>
      <c r="BQ73" s="583"/>
      <c r="BR73" s="584"/>
      <c r="BS73" s="583"/>
      <c r="BT73" s="586"/>
      <c r="BU73" s="540"/>
      <c r="BV73" s="540"/>
      <c r="BW73" s="540"/>
      <c r="BX73" s="538"/>
      <c r="BY73" s="538"/>
      <c r="BZ73" s="592"/>
      <c r="CA73" s="633"/>
      <c r="CB73" s="592" t="s">
        <v>365</v>
      </c>
      <c r="CC73" s="592">
        <v>0.0</v>
      </c>
      <c r="CD73" s="592" t="s">
        <v>365</v>
      </c>
      <c r="CE73" s="592">
        <v>0.0</v>
      </c>
      <c r="CF73" s="592"/>
      <c r="CG73" s="592">
        <v>0.0</v>
      </c>
      <c r="CH73" s="592"/>
      <c r="CI73" s="633"/>
      <c r="CJ73" s="592">
        <v>0.0</v>
      </c>
      <c r="CK73" s="479" t="s">
        <v>365</v>
      </c>
      <c r="CL73" s="592"/>
      <c r="CM73" s="593"/>
      <c r="CN73" s="538"/>
      <c r="CO73" s="538"/>
      <c r="CP73" s="538"/>
      <c r="CQ73" s="538"/>
      <c r="CR73" s="538"/>
      <c r="CS73" s="538"/>
      <c r="CT73" s="538"/>
      <c r="CU73" s="538"/>
      <c r="CV73" s="538"/>
      <c r="CW73" s="538"/>
      <c r="CX73" s="538"/>
      <c r="CY73" s="538"/>
      <c r="CZ73" s="538"/>
      <c r="DA73" s="538"/>
      <c r="DB73" s="538"/>
      <c r="DC73" s="538"/>
      <c r="DD73" s="538"/>
      <c r="DE73" s="538"/>
      <c r="DF73" s="538"/>
      <c r="DG73" s="538"/>
      <c r="DH73" s="538"/>
      <c r="DI73" s="538"/>
      <c r="DJ73" s="538"/>
      <c r="DK73" s="538"/>
      <c r="DL73" s="538"/>
      <c r="DM73" s="538"/>
      <c r="DN73" s="538"/>
      <c r="DO73" s="538"/>
      <c r="DP73" s="538"/>
      <c r="DQ73" s="538"/>
      <c r="DR73" s="538"/>
      <c r="DS73" s="538"/>
      <c r="DT73" s="538"/>
      <c r="DU73" s="538"/>
      <c r="DV73" s="538"/>
      <c r="DW73" s="538"/>
      <c r="DX73" s="538"/>
      <c r="DY73" s="538"/>
      <c r="DZ73" s="538"/>
      <c r="EA73" s="538"/>
      <c r="EB73" s="538"/>
      <c r="EC73" s="538"/>
      <c r="ED73" s="538"/>
      <c r="EE73" s="538"/>
      <c r="EF73" s="538"/>
      <c r="EG73" s="538"/>
      <c r="EH73" s="538"/>
      <c r="EI73" s="538"/>
      <c r="EJ73" s="538"/>
      <c r="EK73" s="538"/>
      <c r="EL73" s="538"/>
      <c r="EM73" s="538"/>
      <c r="EN73" s="538"/>
      <c r="EO73" s="538"/>
      <c r="EP73" s="538"/>
      <c r="EQ73" s="538"/>
      <c r="ER73" s="538"/>
      <c r="ES73" s="538"/>
      <c r="ET73" s="538"/>
      <c r="EU73" s="538"/>
      <c r="EV73" s="538"/>
      <c r="EW73" s="538"/>
      <c r="EX73" s="559"/>
      <c r="EY73" s="559"/>
      <c r="EZ73" s="559"/>
      <c r="FA73" s="559"/>
      <c r="FB73" s="559"/>
      <c r="FC73" s="559"/>
      <c r="FD73" s="559"/>
      <c r="FE73" s="559"/>
      <c r="FF73" s="559"/>
      <c r="FG73" s="559"/>
      <c r="FH73" s="559"/>
      <c r="FI73" s="559"/>
      <c r="FJ73" s="559"/>
      <c r="FK73" s="559"/>
      <c r="FL73" s="559"/>
      <c r="FM73" s="559"/>
      <c r="FN73" s="559"/>
      <c r="FO73" s="559"/>
      <c r="FP73" s="559"/>
      <c r="FQ73" s="559"/>
      <c r="FR73" s="559"/>
      <c r="FS73" s="559"/>
      <c r="FT73" s="559"/>
      <c r="FU73" s="559"/>
      <c r="FV73" s="559"/>
      <c r="FW73" s="559"/>
      <c r="FX73" s="559"/>
      <c r="FY73" s="559"/>
      <c r="FZ73" s="559"/>
      <c r="GA73" s="559"/>
      <c r="GB73" s="559"/>
      <c r="GC73" s="559"/>
      <c r="GD73" s="559"/>
      <c r="GE73" s="559"/>
      <c r="GF73" s="559"/>
      <c r="GG73" s="559"/>
      <c r="GH73" s="559"/>
    </row>
    <row r="74">
      <c r="A74" s="538"/>
      <c r="B74" s="156"/>
      <c r="C74" s="444"/>
      <c r="D74" s="614"/>
      <c r="E74" s="606"/>
      <c r="F74" s="563"/>
      <c r="G74" s="563"/>
      <c r="H74" s="627"/>
      <c r="I74" s="622" t="s">
        <v>365</v>
      </c>
      <c r="J74" s="607"/>
      <c r="K74" s="567"/>
      <c r="L74" s="628"/>
      <c r="M74" s="626"/>
      <c r="N74" s="619"/>
      <c r="O74" s="623"/>
      <c r="P74" s="47"/>
      <c r="Q74" s="47"/>
      <c r="S74" s="572"/>
      <c r="U74" s="573"/>
      <c r="V74" s="574"/>
      <c r="W74" s="618"/>
      <c r="X74" s="576">
        <v>0.0</v>
      </c>
      <c r="Y74" s="630">
        <v>0.0</v>
      </c>
      <c r="Z74" s="630" t="s">
        <v>365</v>
      </c>
      <c r="AA74" s="631" t="b">
        <v>0</v>
      </c>
      <c r="AB74" s="631"/>
      <c r="AC74" s="576"/>
      <c r="AD74" s="479">
        <v>0.0</v>
      </c>
      <c r="AE74" s="632"/>
      <c r="AF74" s="582" t="s">
        <v>365</v>
      </c>
      <c r="AG74" s="583"/>
      <c r="AH74" s="584"/>
      <c r="AI74" s="583"/>
      <c r="AJ74" s="585"/>
      <c r="AK74" s="583"/>
      <c r="AL74" s="584"/>
      <c r="AM74" s="583"/>
      <c r="AN74" s="585"/>
      <c r="AO74" s="583"/>
      <c r="AP74" s="584"/>
      <c r="AQ74" s="583"/>
      <c r="AR74" s="585"/>
      <c r="AS74" s="583"/>
      <c r="AT74" s="584"/>
      <c r="AU74" s="583"/>
      <c r="AV74" s="585"/>
      <c r="AW74" s="583"/>
      <c r="AX74" s="584"/>
      <c r="AY74" s="583"/>
      <c r="AZ74" s="585"/>
      <c r="BA74" s="583"/>
      <c r="BB74" s="584"/>
      <c r="BC74" s="583"/>
      <c r="BD74" s="585"/>
      <c r="BE74" s="583"/>
      <c r="BF74" s="584"/>
      <c r="BG74" s="583"/>
      <c r="BH74" s="585"/>
      <c r="BI74" s="583"/>
      <c r="BJ74" s="584"/>
      <c r="BK74" s="583"/>
      <c r="BL74" s="585"/>
      <c r="BM74" s="583"/>
      <c r="BN74" s="584"/>
      <c r="BO74" s="583"/>
      <c r="BP74" s="585"/>
      <c r="BQ74" s="583"/>
      <c r="BR74" s="584"/>
      <c r="BS74" s="583"/>
      <c r="BT74" s="586"/>
      <c r="BU74" s="540"/>
      <c r="BV74" s="540"/>
      <c r="BW74" s="540"/>
      <c r="BX74" s="538"/>
      <c r="BY74" s="538"/>
      <c r="BZ74" s="592"/>
      <c r="CA74" s="633"/>
      <c r="CB74" s="592" t="s">
        <v>365</v>
      </c>
      <c r="CC74" s="592">
        <v>0.0</v>
      </c>
      <c r="CD74" s="592" t="s">
        <v>365</v>
      </c>
      <c r="CE74" s="592">
        <v>0.0</v>
      </c>
      <c r="CF74" s="592"/>
      <c r="CG74" s="592">
        <v>0.0</v>
      </c>
      <c r="CH74" s="592"/>
      <c r="CI74" s="633"/>
      <c r="CJ74" s="592">
        <v>0.0</v>
      </c>
      <c r="CK74" s="479" t="s">
        <v>365</v>
      </c>
      <c r="CL74" s="592"/>
      <c r="CM74" s="593"/>
      <c r="CN74" s="538"/>
      <c r="CO74" s="538"/>
      <c r="CP74" s="538"/>
      <c r="CQ74" s="538"/>
      <c r="CR74" s="538"/>
      <c r="CS74" s="538"/>
      <c r="CT74" s="538"/>
      <c r="CU74" s="538"/>
      <c r="CV74" s="538"/>
      <c r="CW74" s="538"/>
      <c r="CX74" s="538"/>
      <c r="CY74" s="538"/>
      <c r="CZ74" s="538"/>
      <c r="DA74" s="538"/>
      <c r="DB74" s="538"/>
      <c r="DC74" s="538"/>
      <c r="DD74" s="538"/>
      <c r="DE74" s="538"/>
      <c r="DF74" s="538"/>
      <c r="DG74" s="538"/>
      <c r="DH74" s="538"/>
      <c r="DI74" s="538"/>
      <c r="DJ74" s="538"/>
      <c r="DK74" s="538"/>
      <c r="DL74" s="538"/>
      <c r="DM74" s="538"/>
      <c r="DN74" s="538"/>
      <c r="DO74" s="538"/>
      <c r="DP74" s="538"/>
      <c r="DQ74" s="538"/>
      <c r="DR74" s="538"/>
      <c r="DS74" s="538"/>
      <c r="DT74" s="538"/>
      <c r="DU74" s="538"/>
      <c r="DV74" s="538"/>
      <c r="DW74" s="538"/>
      <c r="DX74" s="538"/>
      <c r="DY74" s="538"/>
      <c r="DZ74" s="538"/>
      <c r="EA74" s="538"/>
      <c r="EB74" s="538"/>
      <c r="EC74" s="538"/>
      <c r="ED74" s="538"/>
      <c r="EE74" s="538"/>
      <c r="EF74" s="538"/>
      <c r="EG74" s="538"/>
      <c r="EH74" s="538"/>
      <c r="EI74" s="538"/>
      <c r="EJ74" s="538"/>
      <c r="EK74" s="538"/>
      <c r="EL74" s="538"/>
      <c r="EM74" s="538"/>
      <c r="EN74" s="538"/>
      <c r="EO74" s="538"/>
      <c r="EP74" s="538"/>
      <c r="EQ74" s="538"/>
      <c r="ER74" s="538"/>
      <c r="ES74" s="538"/>
      <c r="ET74" s="538"/>
      <c r="EU74" s="538"/>
      <c r="EV74" s="538"/>
      <c r="EW74" s="538"/>
      <c r="EX74" s="559"/>
      <c r="EY74" s="559"/>
      <c r="EZ74" s="559"/>
      <c r="FA74" s="559"/>
      <c r="FB74" s="559"/>
      <c r="FC74" s="559"/>
      <c r="FD74" s="559"/>
      <c r="FE74" s="559"/>
      <c r="FF74" s="559"/>
      <c r="FG74" s="559"/>
      <c r="FH74" s="559"/>
      <c r="FI74" s="559"/>
      <c r="FJ74" s="559"/>
      <c r="FK74" s="559"/>
      <c r="FL74" s="559"/>
      <c r="FM74" s="559"/>
      <c r="FN74" s="559"/>
      <c r="FO74" s="559"/>
      <c r="FP74" s="559"/>
      <c r="FQ74" s="559"/>
      <c r="FR74" s="559"/>
      <c r="FS74" s="559"/>
      <c r="FT74" s="559"/>
      <c r="FU74" s="559"/>
      <c r="FV74" s="559"/>
      <c r="FW74" s="559"/>
      <c r="FX74" s="559"/>
      <c r="FY74" s="559"/>
      <c r="FZ74" s="559"/>
      <c r="GA74" s="559"/>
      <c r="GB74" s="559"/>
      <c r="GC74" s="559"/>
      <c r="GD74" s="559"/>
      <c r="GE74" s="559"/>
      <c r="GF74" s="559"/>
      <c r="GG74" s="559"/>
      <c r="GH74" s="559"/>
    </row>
    <row r="75">
      <c r="A75" s="538"/>
      <c r="B75" s="156"/>
      <c r="C75" s="444"/>
      <c r="D75" s="614"/>
      <c r="E75" s="595"/>
      <c r="F75" s="596"/>
      <c r="G75" s="596"/>
      <c r="H75" s="615"/>
      <c r="I75" s="616" t="s">
        <v>365</v>
      </c>
      <c r="J75" s="624"/>
      <c r="K75" s="600"/>
      <c r="L75" s="640"/>
      <c r="M75" s="625"/>
      <c r="N75" s="617"/>
      <c r="O75" s="621"/>
      <c r="P75" s="57"/>
      <c r="Q75" s="57"/>
      <c r="S75" s="605"/>
      <c r="U75" s="573"/>
      <c r="V75" s="574"/>
      <c r="W75" s="618"/>
      <c r="X75" s="576">
        <v>0.0</v>
      </c>
      <c r="Y75" s="630">
        <v>0.0</v>
      </c>
      <c r="Z75" s="630" t="s">
        <v>365</v>
      </c>
      <c r="AA75" s="631" t="b">
        <v>0</v>
      </c>
      <c r="AB75" s="631"/>
      <c r="AC75" s="576"/>
      <c r="AD75" s="479">
        <v>0.0</v>
      </c>
      <c r="AE75" s="632"/>
      <c r="AF75" s="582" t="s">
        <v>365</v>
      </c>
      <c r="AG75" s="583"/>
      <c r="AH75" s="584"/>
      <c r="AI75" s="583"/>
      <c r="AJ75" s="585"/>
      <c r="AK75" s="583"/>
      <c r="AL75" s="584"/>
      <c r="AM75" s="583"/>
      <c r="AN75" s="585"/>
      <c r="AO75" s="583"/>
      <c r="AP75" s="584"/>
      <c r="AQ75" s="583"/>
      <c r="AR75" s="585"/>
      <c r="AS75" s="583"/>
      <c r="AT75" s="584"/>
      <c r="AU75" s="583"/>
      <c r="AV75" s="585"/>
      <c r="AW75" s="583"/>
      <c r="AX75" s="584"/>
      <c r="AY75" s="583"/>
      <c r="AZ75" s="585"/>
      <c r="BA75" s="583"/>
      <c r="BB75" s="584"/>
      <c r="BC75" s="583"/>
      <c r="BD75" s="585"/>
      <c r="BE75" s="583"/>
      <c r="BF75" s="584"/>
      <c r="BG75" s="583"/>
      <c r="BH75" s="585"/>
      <c r="BI75" s="583"/>
      <c r="BJ75" s="584"/>
      <c r="BK75" s="583"/>
      <c r="BL75" s="585"/>
      <c r="BM75" s="583"/>
      <c r="BN75" s="584"/>
      <c r="BO75" s="583"/>
      <c r="BP75" s="585"/>
      <c r="BQ75" s="583"/>
      <c r="BR75" s="584"/>
      <c r="BS75" s="583"/>
      <c r="BT75" s="586"/>
      <c r="BU75" s="540"/>
      <c r="BV75" s="540"/>
      <c r="BW75" s="540"/>
      <c r="BX75" s="538"/>
      <c r="BY75" s="538"/>
      <c r="BZ75" s="592"/>
      <c r="CA75" s="633"/>
      <c r="CB75" s="592" t="s">
        <v>365</v>
      </c>
      <c r="CC75" s="592">
        <v>0.0</v>
      </c>
      <c r="CD75" s="592" t="s">
        <v>365</v>
      </c>
      <c r="CE75" s="592">
        <v>0.0</v>
      </c>
      <c r="CF75" s="592"/>
      <c r="CG75" s="592">
        <v>0.0</v>
      </c>
      <c r="CH75" s="592"/>
      <c r="CI75" s="633"/>
      <c r="CJ75" s="592">
        <v>0.0</v>
      </c>
      <c r="CK75" s="479" t="s">
        <v>365</v>
      </c>
      <c r="CL75" s="592"/>
      <c r="CM75" s="593"/>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c r="DS75" s="538"/>
      <c r="DT75" s="538"/>
      <c r="DU75" s="538"/>
      <c r="DV75" s="538"/>
      <c r="DW75" s="538"/>
      <c r="DX75" s="538"/>
      <c r="DY75" s="538"/>
      <c r="DZ75" s="538"/>
      <c r="EA75" s="538"/>
      <c r="EB75" s="538"/>
      <c r="EC75" s="538"/>
      <c r="ED75" s="538"/>
      <c r="EE75" s="538"/>
      <c r="EF75" s="538"/>
      <c r="EG75" s="538"/>
      <c r="EH75" s="538"/>
      <c r="EI75" s="538"/>
      <c r="EJ75" s="538"/>
      <c r="EK75" s="538"/>
      <c r="EL75" s="538"/>
      <c r="EM75" s="538"/>
      <c r="EN75" s="538"/>
      <c r="EO75" s="538"/>
      <c r="EP75" s="538"/>
      <c r="EQ75" s="538"/>
      <c r="ER75" s="538"/>
      <c r="ES75" s="538"/>
      <c r="ET75" s="538"/>
      <c r="EU75" s="538"/>
      <c r="EV75" s="538"/>
      <c r="EW75" s="538"/>
      <c r="EX75" s="559"/>
      <c r="EY75" s="559"/>
      <c r="EZ75" s="559"/>
      <c r="FA75" s="559"/>
      <c r="FB75" s="559"/>
      <c r="FC75" s="559"/>
      <c r="FD75" s="559"/>
      <c r="FE75" s="559"/>
      <c r="FF75" s="559"/>
      <c r="FG75" s="559"/>
      <c r="FH75" s="559"/>
      <c r="FI75" s="559"/>
      <c r="FJ75" s="559"/>
      <c r="FK75" s="559"/>
      <c r="FL75" s="559"/>
      <c r="FM75" s="559"/>
      <c r="FN75" s="559"/>
      <c r="FO75" s="559"/>
      <c r="FP75" s="559"/>
      <c r="FQ75" s="559"/>
      <c r="FR75" s="559"/>
      <c r="FS75" s="559"/>
      <c r="FT75" s="559"/>
      <c r="FU75" s="559"/>
      <c r="FV75" s="559"/>
      <c r="FW75" s="559"/>
      <c r="FX75" s="559"/>
      <c r="FY75" s="559"/>
      <c r="FZ75" s="559"/>
      <c r="GA75" s="559"/>
      <c r="GB75" s="559"/>
      <c r="GC75" s="559"/>
      <c r="GD75" s="559"/>
      <c r="GE75" s="559"/>
      <c r="GF75" s="559"/>
      <c r="GG75" s="559"/>
      <c r="GH75" s="559"/>
    </row>
    <row r="76">
      <c r="A76" s="538"/>
      <c r="B76" s="156"/>
      <c r="C76" s="444"/>
      <c r="D76" s="614"/>
      <c r="E76" s="606"/>
      <c r="F76" s="563"/>
      <c r="G76" s="563"/>
      <c r="H76" s="564"/>
      <c r="I76" s="622" t="s">
        <v>365</v>
      </c>
      <c r="J76" s="607"/>
      <c r="K76" s="567"/>
      <c r="L76" s="568"/>
      <c r="M76" s="626"/>
      <c r="N76" s="619"/>
      <c r="O76" s="623"/>
      <c r="P76" s="47"/>
      <c r="Q76" s="47"/>
      <c r="S76" s="572"/>
      <c r="U76" s="573"/>
      <c r="V76" s="574"/>
      <c r="W76" s="618"/>
      <c r="X76" s="576">
        <v>0.0</v>
      </c>
      <c r="Y76" s="630">
        <v>0.0</v>
      </c>
      <c r="Z76" s="630" t="s">
        <v>365</v>
      </c>
      <c r="AA76" s="631" t="b">
        <v>0</v>
      </c>
      <c r="AB76" s="631"/>
      <c r="AC76" s="576"/>
      <c r="AD76" s="479">
        <v>0.0</v>
      </c>
      <c r="AE76" s="632"/>
      <c r="AF76" s="582" t="s">
        <v>365</v>
      </c>
      <c r="AG76" s="583"/>
      <c r="AH76" s="584"/>
      <c r="AI76" s="583"/>
      <c r="AJ76" s="585"/>
      <c r="AK76" s="583"/>
      <c r="AL76" s="584"/>
      <c r="AM76" s="583"/>
      <c r="AN76" s="585"/>
      <c r="AO76" s="583"/>
      <c r="AP76" s="584"/>
      <c r="AQ76" s="583"/>
      <c r="AR76" s="585"/>
      <c r="AS76" s="583"/>
      <c r="AT76" s="584"/>
      <c r="AU76" s="583"/>
      <c r="AV76" s="585"/>
      <c r="AW76" s="583"/>
      <c r="AX76" s="584"/>
      <c r="AY76" s="583"/>
      <c r="AZ76" s="585"/>
      <c r="BA76" s="583"/>
      <c r="BB76" s="584"/>
      <c r="BC76" s="583"/>
      <c r="BD76" s="585"/>
      <c r="BE76" s="583"/>
      <c r="BF76" s="584"/>
      <c r="BG76" s="583"/>
      <c r="BH76" s="585"/>
      <c r="BI76" s="583"/>
      <c r="BJ76" s="584"/>
      <c r="BK76" s="583"/>
      <c r="BL76" s="585"/>
      <c r="BM76" s="583"/>
      <c r="BN76" s="584"/>
      <c r="BO76" s="583"/>
      <c r="BP76" s="585"/>
      <c r="BQ76" s="583"/>
      <c r="BR76" s="584"/>
      <c r="BS76" s="583"/>
      <c r="BT76" s="586"/>
      <c r="BU76" s="540"/>
      <c r="BV76" s="540"/>
      <c r="BW76" s="540"/>
      <c r="BX76" s="538"/>
      <c r="BY76" s="538"/>
      <c r="BZ76" s="592"/>
      <c r="CA76" s="633"/>
      <c r="CB76" s="592" t="s">
        <v>365</v>
      </c>
      <c r="CC76" s="592">
        <v>0.0</v>
      </c>
      <c r="CD76" s="592" t="s">
        <v>365</v>
      </c>
      <c r="CE76" s="592">
        <v>0.0</v>
      </c>
      <c r="CF76" s="592"/>
      <c r="CG76" s="592">
        <v>0.0</v>
      </c>
      <c r="CH76" s="592"/>
      <c r="CI76" s="633"/>
      <c r="CJ76" s="592">
        <v>0.0</v>
      </c>
      <c r="CK76" s="479" t="s">
        <v>365</v>
      </c>
      <c r="CL76" s="592"/>
      <c r="CM76" s="593"/>
      <c r="CN76" s="538"/>
      <c r="CO76" s="538"/>
      <c r="CP76" s="538"/>
      <c r="CQ76" s="538"/>
      <c r="CR76" s="538"/>
      <c r="CS76" s="538"/>
      <c r="CT76" s="538"/>
      <c r="CU76" s="538"/>
      <c r="CV76" s="538"/>
      <c r="CW76" s="538"/>
      <c r="CX76" s="538"/>
      <c r="CY76" s="538"/>
      <c r="CZ76" s="538"/>
      <c r="DA76" s="538"/>
      <c r="DB76" s="538"/>
      <c r="DC76" s="538"/>
      <c r="DD76" s="538"/>
      <c r="DE76" s="538"/>
      <c r="DF76" s="538"/>
      <c r="DG76" s="538"/>
      <c r="DH76" s="538"/>
      <c r="DI76" s="538"/>
      <c r="DJ76" s="538"/>
      <c r="DK76" s="538"/>
      <c r="DL76" s="538"/>
      <c r="DM76" s="538"/>
      <c r="DN76" s="538"/>
      <c r="DO76" s="538"/>
      <c r="DP76" s="538"/>
      <c r="DQ76" s="538"/>
      <c r="DR76" s="538"/>
      <c r="DS76" s="538"/>
      <c r="DT76" s="538"/>
      <c r="DU76" s="538"/>
      <c r="DV76" s="538"/>
      <c r="DW76" s="538"/>
      <c r="DX76" s="538"/>
      <c r="DY76" s="538"/>
      <c r="DZ76" s="538"/>
      <c r="EA76" s="538"/>
      <c r="EB76" s="538"/>
      <c r="EC76" s="538"/>
      <c r="ED76" s="538"/>
      <c r="EE76" s="538"/>
      <c r="EF76" s="538"/>
      <c r="EG76" s="538"/>
      <c r="EH76" s="538"/>
      <c r="EI76" s="538"/>
      <c r="EJ76" s="538"/>
      <c r="EK76" s="538"/>
      <c r="EL76" s="538"/>
      <c r="EM76" s="538"/>
      <c r="EN76" s="538"/>
      <c r="EO76" s="538"/>
      <c r="EP76" s="538"/>
      <c r="EQ76" s="538"/>
      <c r="ER76" s="538"/>
      <c r="ES76" s="538"/>
      <c r="ET76" s="538"/>
      <c r="EU76" s="538"/>
      <c r="EV76" s="538"/>
      <c r="EW76" s="538"/>
      <c r="EX76" s="559"/>
      <c r="EY76" s="559"/>
      <c r="EZ76" s="559"/>
      <c r="FA76" s="559"/>
      <c r="FB76" s="559"/>
      <c r="FC76" s="559"/>
      <c r="FD76" s="559"/>
      <c r="FE76" s="559"/>
      <c r="FF76" s="559"/>
      <c r="FG76" s="559"/>
      <c r="FH76" s="559"/>
      <c r="FI76" s="559"/>
      <c r="FJ76" s="559"/>
      <c r="FK76" s="559"/>
      <c r="FL76" s="559"/>
      <c r="FM76" s="559"/>
      <c r="FN76" s="559"/>
      <c r="FO76" s="559"/>
      <c r="FP76" s="559"/>
      <c r="FQ76" s="559"/>
      <c r="FR76" s="559"/>
      <c r="FS76" s="559"/>
      <c r="FT76" s="559"/>
      <c r="FU76" s="559"/>
      <c r="FV76" s="559"/>
      <c r="FW76" s="559"/>
      <c r="FX76" s="559"/>
      <c r="FY76" s="559"/>
      <c r="FZ76" s="559"/>
      <c r="GA76" s="559"/>
      <c r="GB76" s="559"/>
      <c r="GC76" s="559"/>
      <c r="GD76" s="559"/>
      <c r="GE76" s="559"/>
      <c r="GF76" s="559"/>
      <c r="GG76" s="559"/>
      <c r="GH76" s="559"/>
    </row>
    <row r="77">
      <c r="A77" s="538"/>
      <c r="B77" s="156"/>
      <c r="C77" s="444"/>
      <c r="D77" s="614"/>
      <c r="E77" s="595"/>
      <c r="F77" s="596"/>
      <c r="G77" s="596"/>
      <c r="H77" s="597"/>
      <c r="I77" s="616" t="s">
        <v>365</v>
      </c>
      <c r="J77" s="624"/>
      <c r="K77" s="643"/>
      <c r="L77" s="640"/>
      <c r="M77" s="625"/>
      <c r="N77" s="617"/>
      <c r="O77" s="621"/>
      <c r="P77" s="57"/>
      <c r="Q77" s="57"/>
      <c r="S77" s="605"/>
      <c r="U77" s="573"/>
      <c r="V77" s="574"/>
      <c r="W77" s="618"/>
      <c r="X77" s="576">
        <v>0.0</v>
      </c>
      <c r="Y77" s="630">
        <v>0.0</v>
      </c>
      <c r="Z77" s="630" t="s">
        <v>365</v>
      </c>
      <c r="AA77" s="631" t="b">
        <v>0</v>
      </c>
      <c r="AB77" s="631"/>
      <c r="AC77" s="576"/>
      <c r="AD77" s="479">
        <v>0.0</v>
      </c>
      <c r="AE77" s="632"/>
      <c r="AF77" s="582" t="s">
        <v>365</v>
      </c>
      <c r="AG77" s="583"/>
      <c r="AH77" s="584"/>
      <c r="AI77" s="583"/>
      <c r="AJ77" s="585"/>
      <c r="AK77" s="583"/>
      <c r="AL77" s="584"/>
      <c r="AM77" s="583"/>
      <c r="AN77" s="585"/>
      <c r="AO77" s="583"/>
      <c r="AP77" s="584"/>
      <c r="AQ77" s="583"/>
      <c r="AR77" s="585"/>
      <c r="AS77" s="583"/>
      <c r="AT77" s="584"/>
      <c r="AU77" s="583"/>
      <c r="AV77" s="585"/>
      <c r="AW77" s="583"/>
      <c r="AX77" s="584"/>
      <c r="AY77" s="583"/>
      <c r="AZ77" s="585"/>
      <c r="BA77" s="583"/>
      <c r="BB77" s="584"/>
      <c r="BC77" s="583"/>
      <c r="BD77" s="585"/>
      <c r="BE77" s="583"/>
      <c r="BF77" s="584"/>
      <c r="BG77" s="583"/>
      <c r="BH77" s="585"/>
      <c r="BI77" s="583"/>
      <c r="BJ77" s="584"/>
      <c r="BK77" s="583"/>
      <c r="BL77" s="585"/>
      <c r="BM77" s="583"/>
      <c r="BN77" s="584"/>
      <c r="BO77" s="583"/>
      <c r="BP77" s="585"/>
      <c r="BQ77" s="583"/>
      <c r="BR77" s="584"/>
      <c r="BS77" s="583"/>
      <c r="BT77" s="586"/>
      <c r="BU77" s="540"/>
      <c r="BV77" s="540"/>
      <c r="BW77" s="540"/>
      <c r="BX77" s="538"/>
      <c r="BY77" s="538"/>
      <c r="BZ77" s="592"/>
      <c r="CA77" s="633"/>
      <c r="CB77" s="592" t="s">
        <v>365</v>
      </c>
      <c r="CC77" s="592">
        <v>0.0</v>
      </c>
      <c r="CD77" s="592" t="s">
        <v>365</v>
      </c>
      <c r="CE77" s="592">
        <v>0.0</v>
      </c>
      <c r="CF77" s="592"/>
      <c r="CG77" s="592">
        <v>0.0</v>
      </c>
      <c r="CH77" s="592"/>
      <c r="CI77" s="633"/>
      <c r="CJ77" s="592">
        <v>0.0</v>
      </c>
      <c r="CK77" s="479" t="s">
        <v>365</v>
      </c>
      <c r="CL77" s="592"/>
      <c r="CM77" s="593"/>
      <c r="CN77" s="538"/>
      <c r="CO77" s="538"/>
      <c r="CP77" s="538"/>
      <c r="CQ77" s="538"/>
      <c r="CR77" s="538"/>
      <c r="CS77" s="538"/>
      <c r="CT77" s="538"/>
      <c r="CU77" s="538"/>
      <c r="CV77" s="538"/>
      <c r="CW77" s="538"/>
      <c r="CX77" s="538"/>
      <c r="CY77" s="538"/>
      <c r="CZ77" s="538"/>
      <c r="DA77" s="538"/>
      <c r="DB77" s="538"/>
      <c r="DC77" s="538"/>
      <c r="DD77" s="538"/>
      <c r="DE77" s="538"/>
      <c r="DF77" s="538"/>
      <c r="DG77" s="538"/>
      <c r="DH77" s="538"/>
      <c r="DI77" s="538"/>
      <c r="DJ77" s="538"/>
      <c r="DK77" s="538"/>
      <c r="DL77" s="538"/>
      <c r="DM77" s="538"/>
      <c r="DN77" s="538"/>
      <c r="DO77" s="538"/>
      <c r="DP77" s="538"/>
      <c r="DQ77" s="538"/>
      <c r="DR77" s="538"/>
      <c r="DS77" s="538"/>
      <c r="DT77" s="538"/>
      <c r="DU77" s="538"/>
      <c r="DV77" s="538"/>
      <c r="DW77" s="538"/>
      <c r="DX77" s="538"/>
      <c r="DY77" s="538"/>
      <c r="DZ77" s="538"/>
      <c r="EA77" s="538"/>
      <c r="EB77" s="538"/>
      <c r="EC77" s="538"/>
      <c r="ED77" s="538"/>
      <c r="EE77" s="538"/>
      <c r="EF77" s="538"/>
      <c r="EG77" s="538"/>
      <c r="EH77" s="538"/>
      <c r="EI77" s="538"/>
      <c r="EJ77" s="538"/>
      <c r="EK77" s="538"/>
      <c r="EL77" s="538"/>
      <c r="EM77" s="538"/>
      <c r="EN77" s="538"/>
      <c r="EO77" s="538"/>
      <c r="EP77" s="538"/>
      <c r="EQ77" s="538"/>
      <c r="ER77" s="538"/>
      <c r="ES77" s="538"/>
      <c r="ET77" s="538"/>
      <c r="EU77" s="538"/>
      <c r="EV77" s="538"/>
      <c r="EW77" s="538"/>
      <c r="EX77" s="559"/>
      <c r="EY77" s="559"/>
      <c r="EZ77" s="559"/>
      <c r="FA77" s="559"/>
      <c r="FB77" s="559"/>
      <c r="FC77" s="559"/>
      <c r="FD77" s="559"/>
      <c r="FE77" s="559"/>
      <c r="FF77" s="559"/>
      <c r="FG77" s="559"/>
      <c r="FH77" s="559"/>
      <c r="FI77" s="559"/>
      <c r="FJ77" s="559"/>
      <c r="FK77" s="559"/>
      <c r="FL77" s="559"/>
      <c r="FM77" s="559"/>
      <c r="FN77" s="559"/>
      <c r="FO77" s="559"/>
      <c r="FP77" s="559"/>
      <c r="FQ77" s="559"/>
      <c r="FR77" s="559"/>
      <c r="FS77" s="559"/>
      <c r="FT77" s="559"/>
      <c r="FU77" s="559"/>
      <c r="FV77" s="559"/>
      <c r="FW77" s="559"/>
      <c r="FX77" s="559"/>
      <c r="FY77" s="559"/>
      <c r="FZ77" s="559"/>
      <c r="GA77" s="559"/>
      <c r="GB77" s="559"/>
      <c r="GC77" s="559"/>
      <c r="GD77" s="559"/>
      <c r="GE77" s="559"/>
      <c r="GF77" s="559"/>
      <c r="GG77" s="559"/>
      <c r="GH77" s="559"/>
    </row>
    <row r="78">
      <c r="A78" s="538"/>
      <c r="B78" s="156"/>
      <c r="C78" s="444"/>
      <c r="D78" s="614"/>
      <c r="E78" s="606"/>
      <c r="F78" s="563"/>
      <c r="G78" s="563"/>
      <c r="H78" s="627"/>
      <c r="I78" s="622" t="s">
        <v>365</v>
      </c>
      <c r="J78" s="607"/>
      <c r="K78" s="567"/>
      <c r="L78" s="568"/>
      <c r="M78" s="626"/>
      <c r="N78" s="619"/>
      <c r="O78" s="623"/>
      <c r="P78" s="47"/>
      <c r="Q78" s="47"/>
      <c r="S78" s="572"/>
      <c r="U78" s="573"/>
      <c r="V78" s="574"/>
      <c r="W78" s="618"/>
      <c r="X78" s="576">
        <v>0.0</v>
      </c>
      <c r="Y78" s="630">
        <v>0.0</v>
      </c>
      <c r="Z78" s="630" t="s">
        <v>365</v>
      </c>
      <c r="AA78" s="631" t="b">
        <v>0</v>
      </c>
      <c r="AB78" s="631"/>
      <c r="AC78" s="576"/>
      <c r="AD78" s="479">
        <v>0.0</v>
      </c>
      <c r="AE78" s="632"/>
      <c r="AF78" s="582" t="s">
        <v>365</v>
      </c>
      <c r="AG78" s="583"/>
      <c r="AH78" s="584"/>
      <c r="AI78" s="583"/>
      <c r="AJ78" s="585"/>
      <c r="AK78" s="583"/>
      <c r="AL78" s="584"/>
      <c r="AM78" s="583"/>
      <c r="AN78" s="585"/>
      <c r="AO78" s="583"/>
      <c r="AP78" s="584"/>
      <c r="AQ78" s="583"/>
      <c r="AR78" s="585"/>
      <c r="AS78" s="583"/>
      <c r="AT78" s="584"/>
      <c r="AU78" s="583"/>
      <c r="AV78" s="585"/>
      <c r="AW78" s="583"/>
      <c r="AX78" s="584"/>
      <c r="AY78" s="583"/>
      <c r="AZ78" s="585"/>
      <c r="BA78" s="583"/>
      <c r="BB78" s="584"/>
      <c r="BC78" s="583"/>
      <c r="BD78" s="585"/>
      <c r="BE78" s="583"/>
      <c r="BF78" s="584"/>
      <c r="BG78" s="583"/>
      <c r="BH78" s="585"/>
      <c r="BI78" s="583"/>
      <c r="BJ78" s="584"/>
      <c r="BK78" s="583"/>
      <c r="BL78" s="585"/>
      <c r="BM78" s="583"/>
      <c r="BN78" s="584"/>
      <c r="BO78" s="583"/>
      <c r="BP78" s="585"/>
      <c r="BQ78" s="583"/>
      <c r="BR78" s="584"/>
      <c r="BS78" s="583"/>
      <c r="BT78" s="586"/>
      <c r="BU78" s="540"/>
      <c r="BV78" s="540"/>
      <c r="BW78" s="540"/>
      <c r="BX78" s="538"/>
      <c r="BY78" s="538"/>
      <c r="BZ78" s="592"/>
      <c r="CA78" s="633"/>
      <c r="CB78" s="592" t="s">
        <v>365</v>
      </c>
      <c r="CC78" s="592">
        <v>0.0</v>
      </c>
      <c r="CD78" s="592" t="s">
        <v>365</v>
      </c>
      <c r="CE78" s="592">
        <v>0.0</v>
      </c>
      <c r="CF78" s="592"/>
      <c r="CG78" s="592">
        <v>0.0</v>
      </c>
      <c r="CH78" s="592"/>
      <c r="CI78" s="633"/>
      <c r="CJ78" s="592">
        <v>0.0</v>
      </c>
      <c r="CK78" s="479" t="s">
        <v>365</v>
      </c>
      <c r="CL78" s="592"/>
      <c r="CM78" s="593"/>
      <c r="CN78" s="538"/>
      <c r="CO78" s="538"/>
      <c r="CP78" s="538"/>
      <c r="CQ78" s="538"/>
      <c r="CR78" s="538"/>
      <c r="CS78" s="538"/>
      <c r="CT78" s="538"/>
      <c r="CU78" s="538"/>
      <c r="CV78" s="538"/>
      <c r="CW78" s="538"/>
      <c r="CX78" s="538"/>
      <c r="CY78" s="538"/>
      <c r="CZ78" s="538"/>
      <c r="DA78" s="538"/>
      <c r="DB78" s="538"/>
      <c r="DC78" s="538"/>
      <c r="DD78" s="538"/>
      <c r="DE78" s="538"/>
      <c r="DF78" s="538"/>
      <c r="DG78" s="538"/>
      <c r="DH78" s="538"/>
      <c r="DI78" s="538"/>
      <c r="DJ78" s="538"/>
      <c r="DK78" s="538"/>
      <c r="DL78" s="538"/>
      <c r="DM78" s="538"/>
      <c r="DN78" s="538"/>
      <c r="DO78" s="538"/>
      <c r="DP78" s="538"/>
      <c r="DQ78" s="538"/>
      <c r="DR78" s="538"/>
      <c r="DS78" s="538"/>
      <c r="DT78" s="538"/>
      <c r="DU78" s="538"/>
      <c r="DV78" s="538"/>
      <c r="DW78" s="538"/>
      <c r="DX78" s="538"/>
      <c r="DY78" s="538"/>
      <c r="DZ78" s="538"/>
      <c r="EA78" s="538"/>
      <c r="EB78" s="538"/>
      <c r="EC78" s="538"/>
      <c r="ED78" s="538"/>
      <c r="EE78" s="538"/>
      <c r="EF78" s="538"/>
      <c r="EG78" s="538"/>
      <c r="EH78" s="538"/>
      <c r="EI78" s="538"/>
      <c r="EJ78" s="538"/>
      <c r="EK78" s="538"/>
      <c r="EL78" s="538"/>
      <c r="EM78" s="538"/>
      <c r="EN78" s="538"/>
      <c r="EO78" s="538"/>
      <c r="EP78" s="538"/>
      <c r="EQ78" s="538"/>
      <c r="ER78" s="538"/>
      <c r="ES78" s="538"/>
      <c r="ET78" s="538"/>
      <c r="EU78" s="538"/>
      <c r="EV78" s="538"/>
      <c r="EW78" s="538"/>
      <c r="EX78" s="559"/>
      <c r="EY78" s="559"/>
      <c r="EZ78" s="559"/>
      <c r="FA78" s="559"/>
      <c r="FB78" s="559"/>
      <c r="FC78" s="559"/>
      <c r="FD78" s="559"/>
      <c r="FE78" s="559"/>
      <c r="FF78" s="559"/>
      <c r="FG78" s="559"/>
      <c r="FH78" s="559"/>
      <c r="FI78" s="559"/>
      <c r="FJ78" s="559"/>
      <c r="FK78" s="559"/>
      <c r="FL78" s="559"/>
      <c r="FM78" s="559"/>
      <c r="FN78" s="559"/>
      <c r="FO78" s="559"/>
      <c r="FP78" s="559"/>
      <c r="FQ78" s="559"/>
      <c r="FR78" s="559"/>
      <c r="FS78" s="559"/>
      <c r="FT78" s="559"/>
      <c r="FU78" s="559"/>
      <c r="FV78" s="559"/>
      <c r="FW78" s="559"/>
      <c r="FX78" s="559"/>
      <c r="FY78" s="559"/>
      <c r="FZ78" s="559"/>
      <c r="GA78" s="559"/>
      <c r="GB78" s="559"/>
      <c r="GC78" s="559"/>
      <c r="GD78" s="559"/>
      <c r="GE78" s="559"/>
      <c r="GF78" s="559"/>
      <c r="GG78" s="559"/>
      <c r="GH78" s="559"/>
    </row>
    <row r="79">
      <c r="A79" s="538"/>
      <c r="B79" s="156"/>
      <c r="C79" s="444"/>
      <c r="D79" s="614"/>
      <c r="E79" s="595"/>
      <c r="F79" s="596"/>
      <c r="G79" s="596"/>
      <c r="H79" s="615"/>
      <c r="I79" s="616" t="s">
        <v>365</v>
      </c>
      <c r="J79" s="624"/>
      <c r="K79" s="600"/>
      <c r="L79" s="640"/>
      <c r="M79" s="625"/>
      <c r="N79" s="617"/>
      <c r="O79" s="621"/>
      <c r="P79" s="57"/>
      <c r="Q79" s="57"/>
      <c r="S79" s="605"/>
      <c r="U79" s="573"/>
      <c r="V79" s="574"/>
      <c r="W79" s="618"/>
      <c r="X79" s="576">
        <v>0.0</v>
      </c>
      <c r="Y79" s="630">
        <v>0.0</v>
      </c>
      <c r="Z79" s="630" t="s">
        <v>365</v>
      </c>
      <c r="AA79" s="631" t="b">
        <v>0</v>
      </c>
      <c r="AB79" s="631"/>
      <c r="AC79" s="576"/>
      <c r="AD79" s="479">
        <v>0.0</v>
      </c>
      <c r="AE79" s="632"/>
      <c r="AF79" s="582" t="s">
        <v>365</v>
      </c>
      <c r="AG79" s="583"/>
      <c r="AH79" s="584"/>
      <c r="AI79" s="583"/>
      <c r="AJ79" s="585"/>
      <c r="AK79" s="583"/>
      <c r="AL79" s="584"/>
      <c r="AM79" s="583"/>
      <c r="AN79" s="585"/>
      <c r="AO79" s="583"/>
      <c r="AP79" s="584"/>
      <c r="AQ79" s="583"/>
      <c r="AR79" s="585"/>
      <c r="AS79" s="583"/>
      <c r="AT79" s="584"/>
      <c r="AU79" s="583"/>
      <c r="AV79" s="585"/>
      <c r="AW79" s="583"/>
      <c r="AX79" s="584"/>
      <c r="AY79" s="583"/>
      <c r="AZ79" s="585"/>
      <c r="BA79" s="583"/>
      <c r="BB79" s="584"/>
      <c r="BC79" s="583"/>
      <c r="BD79" s="585"/>
      <c r="BE79" s="583"/>
      <c r="BF79" s="584"/>
      <c r="BG79" s="583"/>
      <c r="BH79" s="585"/>
      <c r="BI79" s="583"/>
      <c r="BJ79" s="584"/>
      <c r="BK79" s="583"/>
      <c r="BL79" s="585"/>
      <c r="BM79" s="583"/>
      <c r="BN79" s="584"/>
      <c r="BO79" s="583"/>
      <c r="BP79" s="585"/>
      <c r="BQ79" s="583"/>
      <c r="BR79" s="584"/>
      <c r="BS79" s="583"/>
      <c r="BT79" s="586"/>
      <c r="BU79" s="540"/>
      <c r="BV79" s="540"/>
      <c r="BW79" s="540"/>
      <c r="BX79" s="538"/>
      <c r="BY79" s="538"/>
      <c r="BZ79" s="592"/>
      <c r="CA79" s="633"/>
      <c r="CB79" s="592" t="s">
        <v>365</v>
      </c>
      <c r="CC79" s="592">
        <v>0.0</v>
      </c>
      <c r="CD79" s="592" t="s">
        <v>365</v>
      </c>
      <c r="CE79" s="592">
        <v>0.0</v>
      </c>
      <c r="CF79" s="592"/>
      <c r="CG79" s="592">
        <v>0.0</v>
      </c>
      <c r="CH79" s="592"/>
      <c r="CI79" s="633"/>
      <c r="CJ79" s="592">
        <v>0.0</v>
      </c>
      <c r="CK79" s="479" t="s">
        <v>365</v>
      </c>
      <c r="CL79" s="592"/>
      <c r="CM79" s="593"/>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c r="DS79" s="538"/>
      <c r="DT79" s="538"/>
      <c r="DU79" s="538"/>
      <c r="DV79" s="538"/>
      <c r="DW79" s="538"/>
      <c r="DX79" s="538"/>
      <c r="DY79" s="538"/>
      <c r="DZ79" s="538"/>
      <c r="EA79" s="538"/>
      <c r="EB79" s="538"/>
      <c r="EC79" s="538"/>
      <c r="ED79" s="538"/>
      <c r="EE79" s="538"/>
      <c r="EF79" s="538"/>
      <c r="EG79" s="538"/>
      <c r="EH79" s="538"/>
      <c r="EI79" s="538"/>
      <c r="EJ79" s="538"/>
      <c r="EK79" s="538"/>
      <c r="EL79" s="538"/>
      <c r="EM79" s="538"/>
      <c r="EN79" s="538"/>
      <c r="EO79" s="538"/>
      <c r="EP79" s="538"/>
      <c r="EQ79" s="538"/>
      <c r="ER79" s="538"/>
      <c r="ES79" s="538"/>
      <c r="ET79" s="538"/>
      <c r="EU79" s="538"/>
      <c r="EV79" s="538"/>
      <c r="EW79" s="538"/>
      <c r="EX79" s="559"/>
      <c r="EY79" s="559"/>
      <c r="EZ79" s="559"/>
      <c r="FA79" s="559"/>
      <c r="FB79" s="559"/>
      <c r="FC79" s="559"/>
      <c r="FD79" s="559"/>
      <c r="FE79" s="559"/>
      <c r="FF79" s="559"/>
      <c r="FG79" s="559"/>
      <c r="FH79" s="559"/>
      <c r="FI79" s="559"/>
      <c r="FJ79" s="559"/>
      <c r="FK79" s="559"/>
      <c r="FL79" s="559"/>
      <c r="FM79" s="559"/>
      <c r="FN79" s="559"/>
      <c r="FO79" s="559"/>
      <c r="FP79" s="559"/>
      <c r="FQ79" s="559"/>
      <c r="FR79" s="559"/>
      <c r="FS79" s="559"/>
      <c r="FT79" s="559"/>
      <c r="FU79" s="559"/>
      <c r="FV79" s="559"/>
      <c r="FW79" s="559"/>
      <c r="FX79" s="559"/>
      <c r="FY79" s="559"/>
      <c r="FZ79" s="559"/>
      <c r="GA79" s="559"/>
      <c r="GB79" s="559"/>
      <c r="GC79" s="559"/>
      <c r="GD79" s="559"/>
      <c r="GE79" s="559"/>
      <c r="GF79" s="559"/>
      <c r="GG79" s="559"/>
      <c r="GH79" s="559"/>
    </row>
    <row r="80">
      <c r="A80" s="538"/>
      <c r="B80" s="156"/>
      <c r="C80" s="444"/>
      <c r="D80" s="614"/>
      <c r="E80" s="606"/>
      <c r="F80" s="563"/>
      <c r="G80" s="563"/>
      <c r="H80" s="627"/>
      <c r="I80" s="622" t="s">
        <v>365</v>
      </c>
      <c r="J80" s="607"/>
      <c r="K80" s="567"/>
      <c r="L80" s="568"/>
      <c r="M80" s="626"/>
      <c r="N80" s="619"/>
      <c r="O80" s="623"/>
      <c r="P80" s="47"/>
      <c r="Q80" s="47"/>
      <c r="S80" s="572"/>
      <c r="U80" s="573"/>
      <c r="V80" s="574"/>
      <c r="W80" s="618"/>
      <c r="X80" s="576">
        <v>0.0</v>
      </c>
      <c r="Y80" s="630">
        <v>0.0</v>
      </c>
      <c r="Z80" s="630" t="s">
        <v>365</v>
      </c>
      <c r="AA80" s="631" t="b">
        <v>0</v>
      </c>
      <c r="AB80" s="631"/>
      <c r="AC80" s="576"/>
      <c r="AD80" s="479">
        <v>0.0</v>
      </c>
      <c r="AE80" s="632"/>
      <c r="AF80" s="582" t="s">
        <v>365</v>
      </c>
      <c r="AG80" s="583"/>
      <c r="AH80" s="584"/>
      <c r="AI80" s="583"/>
      <c r="AJ80" s="585"/>
      <c r="AK80" s="583"/>
      <c r="AL80" s="584"/>
      <c r="AM80" s="583"/>
      <c r="AN80" s="585"/>
      <c r="AO80" s="583"/>
      <c r="AP80" s="584"/>
      <c r="AQ80" s="583"/>
      <c r="AR80" s="585"/>
      <c r="AS80" s="583"/>
      <c r="AT80" s="584"/>
      <c r="AU80" s="583"/>
      <c r="AV80" s="585"/>
      <c r="AW80" s="583"/>
      <c r="AX80" s="584"/>
      <c r="AY80" s="583"/>
      <c r="AZ80" s="585"/>
      <c r="BA80" s="583"/>
      <c r="BB80" s="584"/>
      <c r="BC80" s="583"/>
      <c r="BD80" s="585"/>
      <c r="BE80" s="583"/>
      <c r="BF80" s="584"/>
      <c r="BG80" s="583"/>
      <c r="BH80" s="585"/>
      <c r="BI80" s="583"/>
      <c r="BJ80" s="584"/>
      <c r="BK80" s="583"/>
      <c r="BL80" s="585"/>
      <c r="BM80" s="583"/>
      <c r="BN80" s="584"/>
      <c r="BO80" s="583"/>
      <c r="BP80" s="585"/>
      <c r="BQ80" s="583"/>
      <c r="BR80" s="584"/>
      <c r="BS80" s="583"/>
      <c r="BT80" s="586"/>
      <c r="BU80" s="540"/>
      <c r="BV80" s="540"/>
      <c r="BW80" s="540"/>
      <c r="BX80" s="538"/>
      <c r="BY80" s="538"/>
      <c r="BZ80" s="592"/>
      <c r="CA80" s="633"/>
      <c r="CB80" s="592" t="s">
        <v>365</v>
      </c>
      <c r="CC80" s="592">
        <v>0.0</v>
      </c>
      <c r="CD80" s="592" t="s">
        <v>365</v>
      </c>
      <c r="CE80" s="592">
        <v>0.0</v>
      </c>
      <c r="CF80" s="592"/>
      <c r="CG80" s="592">
        <v>0.0</v>
      </c>
      <c r="CH80" s="592"/>
      <c r="CI80" s="633"/>
      <c r="CJ80" s="592">
        <v>0.0</v>
      </c>
      <c r="CK80" s="479" t="s">
        <v>365</v>
      </c>
      <c r="CL80" s="592"/>
      <c r="CM80" s="593"/>
      <c r="CN80" s="538"/>
      <c r="CO80" s="538"/>
      <c r="CP80" s="538"/>
      <c r="CQ80" s="538"/>
      <c r="CR80" s="538"/>
      <c r="CS80" s="538"/>
      <c r="CT80" s="538"/>
      <c r="CU80" s="538"/>
      <c r="CV80" s="538"/>
      <c r="CW80" s="538"/>
      <c r="CX80" s="538"/>
      <c r="CY80" s="538"/>
      <c r="CZ80" s="538"/>
      <c r="DA80" s="538"/>
      <c r="DB80" s="538"/>
      <c r="DC80" s="538"/>
      <c r="DD80" s="538"/>
      <c r="DE80" s="538"/>
      <c r="DF80" s="538"/>
      <c r="DG80" s="538"/>
      <c r="DH80" s="538"/>
      <c r="DI80" s="538"/>
      <c r="DJ80" s="538"/>
      <c r="DK80" s="538"/>
      <c r="DL80" s="538"/>
      <c r="DM80" s="538"/>
      <c r="DN80" s="538"/>
      <c r="DO80" s="538"/>
      <c r="DP80" s="538"/>
      <c r="DQ80" s="538"/>
      <c r="DR80" s="538"/>
      <c r="DS80" s="538"/>
      <c r="DT80" s="538"/>
      <c r="DU80" s="538"/>
      <c r="DV80" s="538"/>
      <c r="DW80" s="538"/>
      <c r="DX80" s="538"/>
      <c r="DY80" s="538"/>
      <c r="DZ80" s="538"/>
      <c r="EA80" s="538"/>
      <c r="EB80" s="538"/>
      <c r="EC80" s="538"/>
      <c r="ED80" s="538"/>
      <c r="EE80" s="538"/>
      <c r="EF80" s="538"/>
      <c r="EG80" s="538"/>
      <c r="EH80" s="538"/>
      <c r="EI80" s="538"/>
      <c r="EJ80" s="538"/>
      <c r="EK80" s="538"/>
      <c r="EL80" s="538"/>
      <c r="EM80" s="538"/>
      <c r="EN80" s="538"/>
      <c r="EO80" s="538"/>
      <c r="EP80" s="538"/>
      <c r="EQ80" s="538"/>
      <c r="ER80" s="538"/>
      <c r="ES80" s="538"/>
      <c r="ET80" s="538"/>
      <c r="EU80" s="538"/>
      <c r="EV80" s="538"/>
      <c r="EW80" s="538"/>
      <c r="EX80" s="559"/>
      <c r="EY80" s="559"/>
      <c r="EZ80" s="559"/>
      <c r="FA80" s="559"/>
      <c r="FB80" s="559"/>
      <c r="FC80" s="559"/>
      <c r="FD80" s="559"/>
      <c r="FE80" s="559"/>
      <c r="FF80" s="559"/>
      <c r="FG80" s="559"/>
      <c r="FH80" s="559"/>
      <c r="FI80" s="559"/>
      <c r="FJ80" s="559"/>
      <c r="FK80" s="559"/>
      <c r="FL80" s="559"/>
      <c r="FM80" s="559"/>
      <c r="FN80" s="559"/>
      <c r="FO80" s="559"/>
      <c r="FP80" s="559"/>
      <c r="FQ80" s="559"/>
      <c r="FR80" s="559"/>
      <c r="FS80" s="559"/>
      <c r="FT80" s="559"/>
      <c r="FU80" s="559"/>
      <c r="FV80" s="559"/>
      <c r="FW80" s="559"/>
      <c r="FX80" s="559"/>
      <c r="FY80" s="559"/>
      <c r="FZ80" s="559"/>
      <c r="GA80" s="559"/>
      <c r="GB80" s="559"/>
      <c r="GC80" s="559"/>
      <c r="GD80" s="559"/>
      <c r="GE80" s="559"/>
      <c r="GF80" s="559"/>
      <c r="GG80" s="559"/>
      <c r="GH80" s="559"/>
    </row>
    <row r="81">
      <c r="A81" s="538"/>
      <c r="B81" s="156"/>
      <c r="C81" s="444"/>
      <c r="D81" s="614"/>
      <c r="E81" s="595"/>
      <c r="F81" s="596"/>
      <c r="G81" s="596"/>
      <c r="H81" s="615"/>
      <c r="I81" s="616" t="s">
        <v>365</v>
      </c>
      <c r="J81" s="624"/>
      <c r="K81" s="600"/>
      <c r="L81" s="601"/>
      <c r="M81" s="625"/>
      <c r="N81" s="617"/>
      <c r="O81" s="621"/>
      <c r="P81" s="57"/>
      <c r="Q81" s="57"/>
      <c r="S81" s="605"/>
      <c r="U81" s="573"/>
      <c r="V81" s="574"/>
      <c r="W81" s="618"/>
      <c r="X81" s="576">
        <v>0.0</v>
      </c>
      <c r="Y81" s="630">
        <v>0.0</v>
      </c>
      <c r="Z81" s="630" t="s">
        <v>365</v>
      </c>
      <c r="AA81" s="631" t="b">
        <v>0</v>
      </c>
      <c r="AB81" s="631"/>
      <c r="AC81" s="576"/>
      <c r="AD81" s="479">
        <v>0.0</v>
      </c>
      <c r="AE81" s="632"/>
      <c r="AF81" s="582" t="s">
        <v>365</v>
      </c>
      <c r="AG81" s="583"/>
      <c r="AH81" s="584"/>
      <c r="AI81" s="583"/>
      <c r="AJ81" s="585"/>
      <c r="AK81" s="583"/>
      <c r="AL81" s="584"/>
      <c r="AM81" s="583"/>
      <c r="AN81" s="585"/>
      <c r="AO81" s="583"/>
      <c r="AP81" s="584"/>
      <c r="AQ81" s="583"/>
      <c r="AR81" s="585"/>
      <c r="AS81" s="583"/>
      <c r="AT81" s="584"/>
      <c r="AU81" s="583"/>
      <c r="AV81" s="585"/>
      <c r="AW81" s="583"/>
      <c r="AX81" s="584"/>
      <c r="AY81" s="583"/>
      <c r="AZ81" s="585"/>
      <c r="BA81" s="583"/>
      <c r="BB81" s="584"/>
      <c r="BC81" s="583"/>
      <c r="BD81" s="585"/>
      <c r="BE81" s="583"/>
      <c r="BF81" s="584"/>
      <c r="BG81" s="583"/>
      <c r="BH81" s="585"/>
      <c r="BI81" s="583"/>
      <c r="BJ81" s="584"/>
      <c r="BK81" s="583"/>
      <c r="BL81" s="585"/>
      <c r="BM81" s="583"/>
      <c r="BN81" s="584"/>
      <c r="BO81" s="583"/>
      <c r="BP81" s="585"/>
      <c r="BQ81" s="583"/>
      <c r="BR81" s="584"/>
      <c r="BS81" s="583"/>
      <c r="BT81" s="586"/>
      <c r="BU81" s="540"/>
      <c r="BV81" s="540"/>
      <c r="BW81" s="540"/>
      <c r="BX81" s="538"/>
      <c r="BY81" s="538"/>
      <c r="BZ81" s="592"/>
      <c r="CA81" s="633"/>
      <c r="CB81" s="592" t="s">
        <v>365</v>
      </c>
      <c r="CC81" s="592">
        <v>0.0</v>
      </c>
      <c r="CD81" s="592" t="s">
        <v>365</v>
      </c>
      <c r="CE81" s="592">
        <v>0.0</v>
      </c>
      <c r="CF81" s="592"/>
      <c r="CG81" s="592">
        <v>0.0</v>
      </c>
      <c r="CH81" s="592"/>
      <c r="CI81" s="633"/>
      <c r="CJ81" s="592">
        <v>0.0</v>
      </c>
      <c r="CK81" s="479" t="s">
        <v>365</v>
      </c>
      <c r="CL81" s="592"/>
      <c r="CM81" s="593"/>
      <c r="CN81" s="538"/>
      <c r="CO81" s="538"/>
      <c r="CP81" s="538"/>
      <c r="CQ81" s="538"/>
      <c r="CR81" s="538"/>
      <c r="CS81" s="538"/>
      <c r="CT81" s="538"/>
      <c r="CU81" s="538"/>
      <c r="CV81" s="538"/>
      <c r="CW81" s="538"/>
      <c r="CX81" s="538"/>
      <c r="CY81" s="538"/>
      <c r="CZ81" s="538"/>
      <c r="DA81" s="538"/>
      <c r="DB81" s="538"/>
      <c r="DC81" s="538"/>
      <c r="DD81" s="538"/>
      <c r="DE81" s="538"/>
      <c r="DF81" s="538"/>
      <c r="DG81" s="538"/>
      <c r="DH81" s="538"/>
      <c r="DI81" s="538"/>
      <c r="DJ81" s="538"/>
      <c r="DK81" s="538"/>
      <c r="DL81" s="538"/>
      <c r="DM81" s="538"/>
      <c r="DN81" s="538"/>
      <c r="DO81" s="538"/>
      <c r="DP81" s="538"/>
      <c r="DQ81" s="538"/>
      <c r="DR81" s="538"/>
      <c r="DS81" s="538"/>
      <c r="DT81" s="538"/>
      <c r="DU81" s="538"/>
      <c r="DV81" s="538"/>
      <c r="DW81" s="538"/>
      <c r="DX81" s="538"/>
      <c r="DY81" s="538"/>
      <c r="DZ81" s="538"/>
      <c r="EA81" s="538"/>
      <c r="EB81" s="538"/>
      <c r="EC81" s="538"/>
      <c r="ED81" s="538"/>
      <c r="EE81" s="538"/>
      <c r="EF81" s="538"/>
      <c r="EG81" s="538"/>
      <c r="EH81" s="538"/>
      <c r="EI81" s="538"/>
      <c r="EJ81" s="538"/>
      <c r="EK81" s="538"/>
      <c r="EL81" s="538"/>
      <c r="EM81" s="538"/>
      <c r="EN81" s="538"/>
      <c r="EO81" s="538"/>
      <c r="EP81" s="538"/>
      <c r="EQ81" s="538"/>
      <c r="ER81" s="538"/>
      <c r="ES81" s="538"/>
      <c r="ET81" s="538"/>
      <c r="EU81" s="538"/>
      <c r="EV81" s="538"/>
      <c r="EW81" s="538"/>
      <c r="EX81" s="559"/>
      <c r="EY81" s="559"/>
      <c r="EZ81" s="559"/>
      <c r="FA81" s="559"/>
      <c r="FB81" s="559"/>
      <c r="FC81" s="559"/>
      <c r="FD81" s="559"/>
      <c r="FE81" s="559"/>
      <c r="FF81" s="559"/>
      <c r="FG81" s="559"/>
      <c r="FH81" s="559"/>
      <c r="FI81" s="559"/>
      <c r="FJ81" s="559"/>
      <c r="FK81" s="559"/>
      <c r="FL81" s="559"/>
      <c r="FM81" s="559"/>
      <c r="FN81" s="559"/>
      <c r="FO81" s="559"/>
      <c r="FP81" s="559"/>
      <c r="FQ81" s="559"/>
      <c r="FR81" s="559"/>
      <c r="FS81" s="559"/>
      <c r="FT81" s="559"/>
      <c r="FU81" s="559"/>
      <c r="FV81" s="559"/>
      <c r="FW81" s="559"/>
      <c r="FX81" s="559"/>
      <c r="FY81" s="559"/>
      <c r="FZ81" s="559"/>
      <c r="GA81" s="559"/>
      <c r="GB81" s="559"/>
      <c r="GC81" s="559"/>
      <c r="GD81" s="559"/>
      <c r="GE81" s="559"/>
      <c r="GF81" s="559"/>
      <c r="GG81" s="559"/>
      <c r="GH81" s="559"/>
    </row>
    <row r="82">
      <c r="A82" s="538"/>
      <c r="B82" s="156"/>
      <c r="C82" s="444"/>
      <c r="D82" s="614"/>
      <c r="E82" s="68"/>
      <c r="F82" s="644"/>
      <c r="G82" s="644"/>
      <c r="H82" s="627"/>
      <c r="I82" s="622" t="s">
        <v>365</v>
      </c>
      <c r="J82" s="607"/>
      <c r="K82" s="641"/>
      <c r="L82" s="628"/>
      <c r="M82" s="626"/>
      <c r="N82" s="619"/>
      <c r="O82" s="623"/>
      <c r="P82" s="47"/>
      <c r="Q82" s="47"/>
      <c r="S82" s="572"/>
      <c r="U82" s="573"/>
      <c r="V82" s="574"/>
      <c r="W82" s="618"/>
      <c r="X82" s="576">
        <v>0.0</v>
      </c>
      <c r="Y82" s="630">
        <v>0.0</v>
      </c>
      <c r="Z82" s="630" t="s">
        <v>365</v>
      </c>
      <c r="AA82" s="631" t="b">
        <v>0</v>
      </c>
      <c r="AB82" s="631"/>
      <c r="AC82" s="576"/>
      <c r="AD82" s="479">
        <v>0.0</v>
      </c>
      <c r="AE82" s="632"/>
      <c r="AF82" s="582" t="s">
        <v>365</v>
      </c>
      <c r="AG82" s="583"/>
      <c r="AH82" s="584"/>
      <c r="AI82" s="583"/>
      <c r="AJ82" s="585"/>
      <c r="AK82" s="583"/>
      <c r="AL82" s="584"/>
      <c r="AM82" s="583"/>
      <c r="AN82" s="585"/>
      <c r="AO82" s="583"/>
      <c r="AP82" s="584"/>
      <c r="AQ82" s="583"/>
      <c r="AR82" s="585"/>
      <c r="AS82" s="583"/>
      <c r="AT82" s="584"/>
      <c r="AU82" s="583"/>
      <c r="AV82" s="585"/>
      <c r="AW82" s="583"/>
      <c r="AX82" s="584"/>
      <c r="AY82" s="583"/>
      <c r="AZ82" s="585"/>
      <c r="BA82" s="583"/>
      <c r="BB82" s="584"/>
      <c r="BC82" s="583"/>
      <c r="BD82" s="585"/>
      <c r="BE82" s="583"/>
      <c r="BF82" s="584"/>
      <c r="BG82" s="583"/>
      <c r="BH82" s="585"/>
      <c r="BI82" s="583"/>
      <c r="BJ82" s="584"/>
      <c r="BK82" s="583"/>
      <c r="BL82" s="585"/>
      <c r="BM82" s="583"/>
      <c r="BN82" s="584"/>
      <c r="BO82" s="583"/>
      <c r="BP82" s="585"/>
      <c r="BQ82" s="583"/>
      <c r="BR82" s="584"/>
      <c r="BS82" s="583"/>
      <c r="BT82" s="586"/>
      <c r="BU82" s="540"/>
      <c r="BV82" s="540"/>
      <c r="BW82" s="540"/>
      <c r="BX82" s="538"/>
      <c r="BY82" s="538"/>
      <c r="BZ82" s="592"/>
      <c r="CA82" s="633"/>
      <c r="CB82" s="592" t="s">
        <v>365</v>
      </c>
      <c r="CC82" s="592">
        <v>0.0</v>
      </c>
      <c r="CD82" s="592" t="s">
        <v>365</v>
      </c>
      <c r="CE82" s="592">
        <v>0.0</v>
      </c>
      <c r="CF82" s="592"/>
      <c r="CG82" s="592">
        <v>0.0</v>
      </c>
      <c r="CH82" s="592"/>
      <c r="CI82" s="633"/>
      <c r="CJ82" s="592">
        <v>0.0</v>
      </c>
      <c r="CK82" s="479" t="s">
        <v>365</v>
      </c>
      <c r="CL82" s="592"/>
      <c r="CM82" s="593"/>
      <c r="CN82" s="538"/>
      <c r="CO82" s="538"/>
      <c r="CP82" s="538"/>
      <c r="CQ82" s="538"/>
      <c r="CR82" s="538"/>
      <c r="CS82" s="538"/>
      <c r="CT82" s="538"/>
      <c r="CU82" s="538"/>
      <c r="CV82" s="538"/>
      <c r="CW82" s="538"/>
      <c r="CX82" s="538"/>
      <c r="CY82" s="538"/>
      <c r="CZ82" s="538"/>
      <c r="DA82" s="538"/>
      <c r="DB82" s="538"/>
      <c r="DC82" s="538"/>
      <c r="DD82" s="538"/>
      <c r="DE82" s="538"/>
      <c r="DF82" s="538"/>
      <c r="DG82" s="538"/>
      <c r="DH82" s="538"/>
      <c r="DI82" s="538"/>
      <c r="DJ82" s="538"/>
      <c r="DK82" s="538"/>
      <c r="DL82" s="538"/>
      <c r="DM82" s="538"/>
      <c r="DN82" s="538"/>
      <c r="DO82" s="538"/>
      <c r="DP82" s="538"/>
      <c r="DQ82" s="538"/>
      <c r="DR82" s="538"/>
      <c r="DS82" s="538"/>
      <c r="DT82" s="538"/>
      <c r="DU82" s="538"/>
      <c r="DV82" s="538"/>
      <c r="DW82" s="538"/>
      <c r="DX82" s="538"/>
      <c r="DY82" s="538"/>
      <c r="DZ82" s="538"/>
      <c r="EA82" s="538"/>
      <c r="EB82" s="538"/>
      <c r="EC82" s="538"/>
      <c r="ED82" s="538"/>
      <c r="EE82" s="538"/>
      <c r="EF82" s="538"/>
      <c r="EG82" s="538"/>
      <c r="EH82" s="538"/>
      <c r="EI82" s="538"/>
      <c r="EJ82" s="538"/>
      <c r="EK82" s="538"/>
      <c r="EL82" s="538"/>
      <c r="EM82" s="538"/>
      <c r="EN82" s="538"/>
      <c r="EO82" s="538"/>
      <c r="EP82" s="538"/>
      <c r="EQ82" s="538"/>
      <c r="ER82" s="538"/>
      <c r="ES82" s="538"/>
      <c r="ET82" s="538"/>
      <c r="EU82" s="538"/>
      <c r="EV82" s="538"/>
      <c r="EW82" s="538"/>
      <c r="EX82" s="559"/>
      <c r="EY82" s="559"/>
      <c r="EZ82" s="559"/>
      <c r="FA82" s="559"/>
      <c r="FB82" s="559"/>
      <c r="FC82" s="559"/>
      <c r="FD82" s="559"/>
      <c r="FE82" s="559"/>
      <c r="FF82" s="559"/>
      <c r="FG82" s="559"/>
      <c r="FH82" s="559"/>
      <c r="FI82" s="559"/>
      <c r="FJ82" s="559"/>
      <c r="FK82" s="559"/>
      <c r="FL82" s="559"/>
      <c r="FM82" s="559"/>
      <c r="FN82" s="559"/>
      <c r="FO82" s="559"/>
      <c r="FP82" s="559"/>
      <c r="FQ82" s="559"/>
      <c r="FR82" s="559"/>
      <c r="FS82" s="559"/>
      <c r="FT82" s="559"/>
      <c r="FU82" s="559"/>
      <c r="FV82" s="559"/>
      <c r="FW82" s="559"/>
      <c r="FX82" s="559"/>
      <c r="FY82" s="559"/>
      <c r="FZ82" s="559"/>
      <c r="GA82" s="559"/>
      <c r="GB82" s="559"/>
      <c r="GC82" s="559"/>
      <c r="GD82" s="559"/>
      <c r="GE82" s="559"/>
      <c r="GF82" s="559"/>
      <c r="GG82" s="559"/>
      <c r="GH82" s="559"/>
    </row>
    <row r="83">
      <c r="A83" s="538"/>
      <c r="B83" s="156"/>
      <c r="C83" s="444"/>
      <c r="D83" s="614"/>
      <c r="E83" s="595"/>
      <c r="F83" s="642"/>
      <c r="G83" s="642"/>
      <c r="H83" s="615"/>
      <c r="I83" s="616" t="s">
        <v>365</v>
      </c>
      <c r="J83" s="624"/>
      <c r="K83" s="643"/>
      <c r="L83" s="640"/>
      <c r="M83" s="625"/>
      <c r="N83" s="617"/>
      <c r="O83" s="621"/>
      <c r="P83" s="57"/>
      <c r="Q83" s="57"/>
      <c r="S83" s="605"/>
      <c r="U83" s="573"/>
      <c r="V83" s="574"/>
      <c r="W83" s="618"/>
      <c r="X83" s="576">
        <v>0.0</v>
      </c>
      <c r="Y83" s="630">
        <v>0.0</v>
      </c>
      <c r="Z83" s="630" t="s">
        <v>365</v>
      </c>
      <c r="AA83" s="631" t="b">
        <v>0</v>
      </c>
      <c r="AB83" s="631"/>
      <c r="AC83" s="576"/>
      <c r="AD83" s="479">
        <v>0.0</v>
      </c>
      <c r="AE83" s="632"/>
      <c r="AF83" s="582" t="s">
        <v>365</v>
      </c>
      <c r="AG83" s="583"/>
      <c r="AH83" s="584"/>
      <c r="AI83" s="583"/>
      <c r="AJ83" s="585"/>
      <c r="AK83" s="583"/>
      <c r="AL83" s="584"/>
      <c r="AM83" s="583"/>
      <c r="AN83" s="585"/>
      <c r="AO83" s="583"/>
      <c r="AP83" s="584"/>
      <c r="AQ83" s="583"/>
      <c r="AR83" s="585"/>
      <c r="AS83" s="583"/>
      <c r="AT83" s="584"/>
      <c r="AU83" s="583"/>
      <c r="AV83" s="585"/>
      <c r="AW83" s="583"/>
      <c r="AX83" s="584"/>
      <c r="AY83" s="583"/>
      <c r="AZ83" s="585"/>
      <c r="BA83" s="583"/>
      <c r="BB83" s="584"/>
      <c r="BC83" s="583"/>
      <c r="BD83" s="585"/>
      <c r="BE83" s="583"/>
      <c r="BF83" s="584"/>
      <c r="BG83" s="583"/>
      <c r="BH83" s="585"/>
      <c r="BI83" s="583"/>
      <c r="BJ83" s="584"/>
      <c r="BK83" s="583"/>
      <c r="BL83" s="585"/>
      <c r="BM83" s="583"/>
      <c r="BN83" s="584"/>
      <c r="BO83" s="583"/>
      <c r="BP83" s="585"/>
      <c r="BQ83" s="583"/>
      <c r="BR83" s="584"/>
      <c r="BS83" s="583"/>
      <c r="BT83" s="586"/>
      <c r="BU83" s="540"/>
      <c r="BV83" s="540"/>
      <c r="BW83" s="540"/>
      <c r="BX83" s="538"/>
      <c r="BY83" s="538"/>
      <c r="BZ83" s="592"/>
      <c r="CA83" s="633"/>
      <c r="CB83" s="592" t="s">
        <v>365</v>
      </c>
      <c r="CC83" s="592">
        <v>0.0</v>
      </c>
      <c r="CD83" s="592" t="s">
        <v>365</v>
      </c>
      <c r="CE83" s="592">
        <v>0.0</v>
      </c>
      <c r="CF83" s="592"/>
      <c r="CG83" s="592">
        <v>0.0</v>
      </c>
      <c r="CH83" s="592"/>
      <c r="CI83" s="633"/>
      <c r="CJ83" s="592">
        <v>0.0</v>
      </c>
      <c r="CK83" s="479" t="s">
        <v>365</v>
      </c>
      <c r="CL83" s="592"/>
      <c r="CM83" s="593"/>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c r="DS83" s="538"/>
      <c r="DT83" s="538"/>
      <c r="DU83" s="538"/>
      <c r="DV83" s="538"/>
      <c r="DW83" s="538"/>
      <c r="DX83" s="538"/>
      <c r="DY83" s="538"/>
      <c r="DZ83" s="538"/>
      <c r="EA83" s="538"/>
      <c r="EB83" s="538"/>
      <c r="EC83" s="538"/>
      <c r="ED83" s="538"/>
      <c r="EE83" s="538"/>
      <c r="EF83" s="538"/>
      <c r="EG83" s="538"/>
      <c r="EH83" s="538"/>
      <c r="EI83" s="538"/>
      <c r="EJ83" s="538"/>
      <c r="EK83" s="538"/>
      <c r="EL83" s="538"/>
      <c r="EM83" s="538"/>
      <c r="EN83" s="538"/>
      <c r="EO83" s="538"/>
      <c r="EP83" s="538"/>
      <c r="EQ83" s="538"/>
      <c r="ER83" s="538"/>
      <c r="ES83" s="538"/>
      <c r="ET83" s="538"/>
      <c r="EU83" s="538"/>
      <c r="EV83" s="538"/>
      <c r="EW83" s="538"/>
      <c r="EX83" s="559"/>
      <c r="EY83" s="559"/>
      <c r="EZ83" s="559"/>
      <c r="FA83" s="559"/>
      <c r="FB83" s="559"/>
      <c r="FC83" s="559"/>
      <c r="FD83" s="559"/>
      <c r="FE83" s="559"/>
      <c r="FF83" s="559"/>
      <c r="FG83" s="559"/>
      <c r="FH83" s="559"/>
      <c r="FI83" s="559"/>
      <c r="FJ83" s="559"/>
      <c r="FK83" s="559"/>
      <c r="FL83" s="559"/>
      <c r="FM83" s="559"/>
      <c r="FN83" s="559"/>
      <c r="FO83" s="559"/>
      <c r="FP83" s="559"/>
      <c r="FQ83" s="559"/>
      <c r="FR83" s="559"/>
      <c r="FS83" s="559"/>
      <c r="FT83" s="559"/>
      <c r="FU83" s="559"/>
      <c r="FV83" s="559"/>
      <c r="FW83" s="559"/>
      <c r="FX83" s="559"/>
      <c r="FY83" s="559"/>
      <c r="FZ83" s="559"/>
      <c r="GA83" s="559"/>
      <c r="GB83" s="559"/>
      <c r="GC83" s="559"/>
      <c r="GD83" s="559"/>
      <c r="GE83" s="559"/>
      <c r="GF83" s="559"/>
      <c r="GG83" s="559"/>
      <c r="GH83" s="559"/>
    </row>
    <row r="84">
      <c r="A84" s="538"/>
      <c r="B84" s="156"/>
      <c r="C84" s="444"/>
      <c r="D84" s="614"/>
      <c r="E84" s="606"/>
      <c r="F84" s="563"/>
      <c r="G84" s="563"/>
      <c r="H84" s="564"/>
      <c r="I84" s="622" t="s">
        <v>365</v>
      </c>
      <c r="J84" s="607"/>
      <c r="K84" s="567"/>
      <c r="L84" s="568"/>
      <c r="M84" s="569"/>
      <c r="N84" s="570"/>
      <c r="O84" s="560"/>
      <c r="P84" s="47"/>
      <c r="Q84" s="47"/>
      <c r="S84" s="572"/>
      <c r="U84" s="573"/>
      <c r="V84" s="574"/>
      <c r="W84" s="618"/>
      <c r="X84" s="576">
        <v>0.0</v>
      </c>
      <c r="Y84" s="630">
        <v>0.0</v>
      </c>
      <c r="Z84" s="630" t="s">
        <v>365</v>
      </c>
      <c r="AA84" s="631" t="b">
        <v>0</v>
      </c>
      <c r="AB84" s="631"/>
      <c r="AC84" s="576"/>
      <c r="AD84" s="479">
        <v>0.0</v>
      </c>
      <c r="AE84" s="632"/>
      <c r="AF84" s="582" t="s">
        <v>365</v>
      </c>
      <c r="AG84" s="583"/>
      <c r="AH84" s="584"/>
      <c r="AI84" s="583"/>
      <c r="AJ84" s="585"/>
      <c r="AK84" s="583"/>
      <c r="AL84" s="584"/>
      <c r="AM84" s="583"/>
      <c r="AN84" s="585"/>
      <c r="AO84" s="583"/>
      <c r="AP84" s="584"/>
      <c r="AQ84" s="583"/>
      <c r="AR84" s="585"/>
      <c r="AS84" s="583"/>
      <c r="AT84" s="584"/>
      <c r="AU84" s="583"/>
      <c r="AV84" s="585"/>
      <c r="AW84" s="583"/>
      <c r="AX84" s="584"/>
      <c r="AY84" s="583"/>
      <c r="AZ84" s="585"/>
      <c r="BA84" s="583"/>
      <c r="BB84" s="584"/>
      <c r="BC84" s="583"/>
      <c r="BD84" s="585"/>
      <c r="BE84" s="583"/>
      <c r="BF84" s="584"/>
      <c r="BG84" s="583"/>
      <c r="BH84" s="585"/>
      <c r="BI84" s="583"/>
      <c r="BJ84" s="584"/>
      <c r="BK84" s="583"/>
      <c r="BL84" s="585"/>
      <c r="BM84" s="583"/>
      <c r="BN84" s="584"/>
      <c r="BO84" s="583"/>
      <c r="BP84" s="585"/>
      <c r="BQ84" s="583"/>
      <c r="BR84" s="584"/>
      <c r="BS84" s="583"/>
      <c r="BT84" s="586"/>
      <c r="BU84" s="540"/>
      <c r="BV84" s="540"/>
      <c r="BW84" s="540"/>
      <c r="BX84" s="538"/>
      <c r="BY84" s="538"/>
      <c r="BZ84" s="592"/>
      <c r="CA84" s="633"/>
      <c r="CB84" s="592" t="s">
        <v>365</v>
      </c>
      <c r="CC84" s="592">
        <v>0.0</v>
      </c>
      <c r="CD84" s="592" t="s">
        <v>365</v>
      </c>
      <c r="CE84" s="592">
        <v>0.0</v>
      </c>
      <c r="CF84" s="592"/>
      <c r="CG84" s="592">
        <v>0.0</v>
      </c>
      <c r="CH84" s="592"/>
      <c r="CI84" s="633"/>
      <c r="CJ84" s="592">
        <v>0.0</v>
      </c>
      <c r="CK84" s="479" t="s">
        <v>365</v>
      </c>
      <c r="CL84" s="592"/>
      <c r="CM84" s="593"/>
      <c r="CN84" s="538"/>
      <c r="CO84" s="538"/>
      <c r="CP84" s="538"/>
      <c r="CQ84" s="538"/>
      <c r="CR84" s="538"/>
      <c r="CS84" s="538"/>
      <c r="CT84" s="538"/>
      <c r="CU84" s="538"/>
      <c r="CV84" s="538"/>
      <c r="CW84" s="538"/>
      <c r="CX84" s="538"/>
      <c r="CY84" s="538"/>
      <c r="CZ84" s="538"/>
      <c r="DA84" s="538"/>
      <c r="DB84" s="538"/>
      <c r="DC84" s="538"/>
      <c r="DD84" s="538"/>
      <c r="DE84" s="538"/>
      <c r="DF84" s="538"/>
      <c r="DG84" s="538"/>
      <c r="DH84" s="538"/>
      <c r="DI84" s="538"/>
      <c r="DJ84" s="538"/>
      <c r="DK84" s="538"/>
      <c r="DL84" s="538"/>
      <c r="DM84" s="538"/>
      <c r="DN84" s="538"/>
      <c r="DO84" s="538"/>
      <c r="DP84" s="538"/>
      <c r="DQ84" s="538"/>
      <c r="DR84" s="538"/>
      <c r="DS84" s="538"/>
      <c r="DT84" s="538"/>
      <c r="DU84" s="538"/>
      <c r="DV84" s="538"/>
      <c r="DW84" s="538"/>
      <c r="DX84" s="538"/>
      <c r="DY84" s="538"/>
      <c r="DZ84" s="538"/>
      <c r="EA84" s="538"/>
      <c r="EB84" s="538"/>
      <c r="EC84" s="538"/>
      <c r="ED84" s="538"/>
      <c r="EE84" s="538"/>
      <c r="EF84" s="538"/>
      <c r="EG84" s="538"/>
      <c r="EH84" s="538"/>
      <c r="EI84" s="538"/>
      <c r="EJ84" s="538"/>
      <c r="EK84" s="538"/>
      <c r="EL84" s="538"/>
      <c r="EM84" s="538"/>
      <c r="EN84" s="538"/>
      <c r="EO84" s="538"/>
      <c r="EP84" s="538"/>
      <c r="EQ84" s="538"/>
      <c r="ER84" s="538"/>
      <c r="ES84" s="538"/>
      <c r="ET84" s="538"/>
      <c r="EU84" s="538"/>
      <c r="EV84" s="538"/>
      <c r="EW84" s="538"/>
      <c r="EX84" s="559"/>
      <c r="EY84" s="559"/>
      <c r="EZ84" s="559"/>
      <c r="FA84" s="559"/>
      <c r="FB84" s="559"/>
      <c r="FC84" s="559"/>
      <c r="FD84" s="559"/>
      <c r="FE84" s="559"/>
      <c r="FF84" s="559"/>
      <c r="FG84" s="559"/>
      <c r="FH84" s="559"/>
      <c r="FI84" s="559"/>
      <c r="FJ84" s="559"/>
      <c r="FK84" s="559"/>
      <c r="FL84" s="559"/>
      <c r="FM84" s="559"/>
      <c r="FN84" s="559"/>
      <c r="FO84" s="559"/>
      <c r="FP84" s="559"/>
      <c r="FQ84" s="559"/>
      <c r="FR84" s="559"/>
      <c r="FS84" s="559"/>
      <c r="FT84" s="559"/>
      <c r="FU84" s="559"/>
      <c r="FV84" s="559"/>
      <c r="FW84" s="559"/>
      <c r="FX84" s="559"/>
      <c r="FY84" s="559"/>
      <c r="FZ84" s="559"/>
      <c r="GA84" s="559"/>
      <c r="GB84" s="559"/>
      <c r="GC84" s="559"/>
      <c r="GD84" s="559"/>
      <c r="GE84" s="559"/>
      <c r="GF84" s="559"/>
      <c r="GG84" s="559"/>
      <c r="GH84" s="559"/>
    </row>
    <row r="85">
      <c r="A85" s="538"/>
      <c r="B85" s="156"/>
      <c r="C85" s="444"/>
      <c r="D85" s="614"/>
      <c r="E85" s="66"/>
      <c r="F85" s="642"/>
      <c r="G85" s="642"/>
      <c r="H85" s="615"/>
      <c r="I85" s="616" t="s">
        <v>365</v>
      </c>
      <c r="J85" s="624"/>
      <c r="K85" s="643"/>
      <c r="L85" s="640"/>
      <c r="M85" s="625"/>
      <c r="N85" s="617"/>
      <c r="O85" s="134"/>
      <c r="P85" s="57"/>
      <c r="Q85" s="57"/>
      <c r="S85" s="605"/>
      <c r="U85" s="573"/>
      <c r="V85" s="574"/>
      <c r="W85" s="618"/>
      <c r="X85" s="576">
        <v>0.0</v>
      </c>
      <c r="Y85" s="630">
        <v>0.0</v>
      </c>
      <c r="Z85" s="630" t="s">
        <v>365</v>
      </c>
      <c r="AA85" s="631" t="b">
        <v>0</v>
      </c>
      <c r="AB85" s="631"/>
      <c r="AC85" s="576"/>
      <c r="AD85" s="479">
        <v>0.0</v>
      </c>
      <c r="AE85" s="632"/>
      <c r="AF85" s="582" t="s">
        <v>365</v>
      </c>
      <c r="AG85" s="583"/>
      <c r="AH85" s="584"/>
      <c r="AI85" s="583"/>
      <c r="AJ85" s="585"/>
      <c r="AK85" s="583"/>
      <c r="AL85" s="584"/>
      <c r="AM85" s="583"/>
      <c r="AN85" s="585"/>
      <c r="AO85" s="583"/>
      <c r="AP85" s="584"/>
      <c r="AQ85" s="583"/>
      <c r="AR85" s="585"/>
      <c r="AS85" s="583"/>
      <c r="AT85" s="584"/>
      <c r="AU85" s="583"/>
      <c r="AV85" s="585"/>
      <c r="AW85" s="583"/>
      <c r="AX85" s="584"/>
      <c r="AY85" s="583"/>
      <c r="AZ85" s="585"/>
      <c r="BA85" s="583"/>
      <c r="BB85" s="584"/>
      <c r="BC85" s="583"/>
      <c r="BD85" s="585"/>
      <c r="BE85" s="583"/>
      <c r="BF85" s="584"/>
      <c r="BG85" s="583"/>
      <c r="BH85" s="585"/>
      <c r="BI85" s="583"/>
      <c r="BJ85" s="584"/>
      <c r="BK85" s="583"/>
      <c r="BL85" s="585"/>
      <c r="BM85" s="583"/>
      <c r="BN85" s="584"/>
      <c r="BO85" s="583"/>
      <c r="BP85" s="585"/>
      <c r="BQ85" s="583"/>
      <c r="BR85" s="584"/>
      <c r="BS85" s="583"/>
      <c r="BT85" s="586"/>
      <c r="BU85" s="540"/>
      <c r="BV85" s="540"/>
      <c r="BW85" s="540"/>
      <c r="BX85" s="538"/>
      <c r="BY85" s="538"/>
      <c r="BZ85" s="592"/>
      <c r="CA85" s="633"/>
      <c r="CB85" s="592" t="s">
        <v>365</v>
      </c>
      <c r="CC85" s="592">
        <v>0.0</v>
      </c>
      <c r="CD85" s="592" t="s">
        <v>365</v>
      </c>
      <c r="CE85" s="592">
        <v>0.0</v>
      </c>
      <c r="CF85" s="592"/>
      <c r="CG85" s="592">
        <v>0.0</v>
      </c>
      <c r="CH85" s="592"/>
      <c r="CI85" s="633"/>
      <c r="CJ85" s="592">
        <v>0.0</v>
      </c>
      <c r="CK85" s="479" t="s">
        <v>365</v>
      </c>
      <c r="CL85" s="592"/>
      <c r="CM85" s="593"/>
      <c r="CN85" s="538"/>
      <c r="CO85" s="538"/>
      <c r="CP85" s="538"/>
      <c r="CQ85" s="538"/>
      <c r="CR85" s="538"/>
      <c r="CS85" s="538"/>
      <c r="CT85" s="538"/>
      <c r="CU85" s="538"/>
      <c r="CV85" s="538"/>
      <c r="CW85" s="538"/>
      <c r="CX85" s="538"/>
      <c r="CY85" s="538"/>
      <c r="CZ85" s="538"/>
      <c r="DA85" s="538"/>
      <c r="DB85" s="538"/>
      <c r="DC85" s="538"/>
      <c r="DD85" s="538"/>
      <c r="DE85" s="538"/>
      <c r="DF85" s="538"/>
      <c r="DG85" s="538"/>
      <c r="DH85" s="538"/>
      <c r="DI85" s="538"/>
      <c r="DJ85" s="538"/>
      <c r="DK85" s="538"/>
      <c r="DL85" s="538"/>
      <c r="DM85" s="538"/>
      <c r="DN85" s="538"/>
      <c r="DO85" s="538"/>
      <c r="DP85" s="538"/>
      <c r="DQ85" s="538"/>
      <c r="DR85" s="538"/>
      <c r="DS85" s="538"/>
      <c r="DT85" s="538"/>
      <c r="DU85" s="538"/>
      <c r="DV85" s="538"/>
      <c r="DW85" s="538"/>
      <c r="DX85" s="538"/>
      <c r="DY85" s="538"/>
      <c r="DZ85" s="538"/>
      <c r="EA85" s="538"/>
      <c r="EB85" s="538"/>
      <c r="EC85" s="538"/>
      <c r="ED85" s="538"/>
      <c r="EE85" s="538"/>
      <c r="EF85" s="538"/>
      <c r="EG85" s="538"/>
      <c r="EH85" s="538"/>
      <c r="EI85" s="538"/>
      <c r="EJ85" s="538"/>
      <c r="EK85" s="538"/>
      <c r="EL85" s="538"/>
      <c r="EM85" s="538"/>
      <c r="EN85" s="538"/>
      <c r="EO85" s="538"/>
      <c r="EP85" s="538"/>
      <c r="EQ85" s="538"/>
      <c r="ER85" s="538"/>
      <c r="ES85" s="538"/>
      <c r="ET85" s="538"/>
      <c r="EU85" s="538"/>
      <c r="EV85" s="538"/>
      <c r="EW85" s="538"/>
      <c r="EX85" s="559"/>
      <c r="EY85" s="559"/>
      <c r="EZ85" s="559"/>
      <c r="FA85" s="559"/>
      <c r="FB85" s="559"/>
      <c r="FC85" s="559"/>
      <c r="FD85" s="559"/>
      <c r="FE85" s="559"/>
      <c r="FF85" s="559"/>
      <c r="FG85" s="559"/>
      <c r="FH85" s="559"/>
      <c r="FI85" s="559"/>
      <c r="FJ85" s="559"/>
      <c r="FK85" s="559"/>
      <c r="FL85" s="559"/>
      <c r="FM85" s="559"/>
      <c r="FN85" s="559"/>
      <c r="FO85" s="559"/>
      <c r="FP85" s="559"/>
      <c r="FQ85" s="559"/>
      <c r="FR85" s="559"/>
      <c r="FS85" s="559"/>
      <c r="FT85" s="559"/>
      <c r="FU85" s="559"/>
      <c r="FV85" s="559"/>
      <c r="FW85" s="559"/>
      <c r="FX85" s="559"/>
      <c r="FY85" s="559"/>
      <c r="FZ85" s="559"/>
      <c r="GA85" s="559"/>
      <c r="GB85" s="559"/>
      <c r="GC85" s="559"/>
      <c r="GD85" s="559"/>
      <c r="GE85" s="559"/>
      <c r="GF85" s="559"/>
      <c r="GG85" s="559"/>
      <c r="GH85" s="559"/>
    </row>
    <row r="86">
      <c r="A86" s="538"/>
      <c r="B86" s="156"/>
      <c r="C86" s="444"/>
      <c r="D86" s="614"/>
      <c r="E86" s="68"/>
      <c r="F86" s="644"/>
      <c r="G86" s="644"/>
      <c r="H86" s="627"/>
      <c r="I86" s="622" t="s">
        <v>365</v>
      </c>
      <c r="J86" s="607"/>
      <c r="K86" s="641"/>
      <c r="L86" s="628"/>
      <c r="M86" s="626"/>
      <c r="N86" s="619"/>
      <c r="O86" s="560"/>
      <c r="P86" s="47"/>
      <c r="Q86" s="47"/>
      <c r="S86" s="572"/>
      <c r="U86" s="573"/>
      <c r="V86" s="574"/>
      <c r="W86" s="618"/>
      <c r="X86" s="576">
        <v>0.0</v>
      </c>
      <c r="Y86" s="630">
        <v>0.0</v>
      </c>
      <c r="Z86" s="630" t="s">
        <v>365</v>
      </c>
      <c r="AA86" s="631" t="b">
        <v>0</v>
      </c>
      <c r="AB86" s="631"/>
      <c r="AC86" s="576"/>
      <c r="AD86" s="479">
        <v>0.0</v>
      </c>
      <c r="AE86" s="632"/>
      <c r="AF86" s="582" t="s">
        <v>365</v>
      </c>
      <c r="AG86" s="583"/>
      <c r="AH86" s="584"/>
      <c r="AI86" s="583"/>
      <c r="AJ86" s="585"/>
      <c r="AK86" s="583"/>
      <c r="AL86" s="584"/>
      <c r="AM86" s="583"/>
      <c r="AN86" s="585"/>
      <c r="AO86" s="583"/>
      <c r="AP86" s="584"/>
      <c r="AQ86" s="583"/>
      <c r="AR86" s="585"/>
      <c r="AS86" s="583"/>
      <c r="AT86" s="584"/>
      <c r="AU86" s="583"/>
      <c r="AV86" s="585"/>
      <c r="AW86" s="583"/>
      <c r="AX86" s="584"/>
      <c r="AY86" s="583"/>
      <c r="AZ86" s="585"/>
      <c r="BA86" s="583"/>
      <c r="BB86" s="584"/>
      <c r="BC86" s="583"/>
      <c r="BD86" s="585"/>
      <c r="BE86" s="583"/>
      <c r="BF86" s="584"/>
      <c r="BG86" s="583"/>
      <c r="BH86" s="585"/>
      <c r="BI86" s="583"/>
      <c r="BJ86" s="584"/>
      <c r="BK86" s="583"/>
      <c r="BL86" s="585"/>
      <c r="BM86" s="583"/>
      <c r="BN86" s="584"/>
      <c r="BO86" s="583"/>
      <c r="BP86" s="585"/>
      <c r="BQ86" s="583"/>
      <c r="BR86" s="584"/>
      <c r="BS86" s="583"/>
      <c r="BT86" s="586"/>
      <c r="BU86" s="540"/>
      <c r="BV86" s="540"/>
      <c r="BW86" s="540"/>
      <c r="BX86" s="538"/>
      <c r="BY86" s="538"/>
      <c r="BZ86" s="592"/>
      <c r="CA86" s="633"/>
      <c r="CB86" s="592" t="s">
        <v>365</v>
      </c>
      <c r="CC86" s="592">
        <v>0.0</v>
      </c>
      <c r="CD86" s="592" t="s">
        <v>365</v>
      </c>
      <c r="CE86" s="592">
        <v>0.0</v>
      </c>
      <c r="CF86" s="592"/>
      <c r="CG86" s="592">
        <v>0.0</v>
      </c>
      <c r="CH86" s="592"/>
      <c r="CI86" s="633"/>
      <c r="CJ86" s="592">
        <v>0.0</v>
      </c>
      <c r="CK86" s="479" t="s">
        <v>365</v>
      </c>
      <c r="CL86" s="592"/>
      <c r="CM86" s="593"/>
      <c r="CN86" s="538"/>
      <c r="CO86" s="538"/>
      <c r="CP86" s="538"/>
      <c r="CQ86" s="538"/>
      <c r="CR86" s="538"/>
      <c r="CS86" s="538"/>
      <c r="CT86" s="538"/>
      <c r="CU86" s="538"/>
      <c r="CV86" s="538"/>
      <c r="CW86" s="538"/>
      <c r="CX86" s="538"/>
      <c r="CY86" s="538"/>
      <c r="CZ86" s="538"/>
      <c r="DA86" s="538"/>
      <c r="DB86" s="538"/>
      <c r="DC86" s="538"/>
      <c r="DD86" s="538"/>
      <c r="DE86" s="538"/>
      <c r="DF86" s="538"/>
      <c r="DG86" s="538"/>
      <c r="DH86" s="538"/>
      <c r="DI86" s="538"/>
      <c r="DJ86" s="538"/>
      <c r="DK86" s="538"/>
      <c r="DL86" s="538"/>
      <c r="DM86" s="538"/>
      <c r="DN86" s="538"/>
      <c r="DO86" s="538"/>
      <c r="DP86" s="538"/>
      <c r="DQ86" s="538"/>
      <c r="DR86" s="538"/>
      <c r="DS86" s="538"/>
      <c r="DT86" s="538"/>
      <c r="DU86" s="538"/>
      <c r="DV86" s="538"/>
      <c r="DW86" s="538"/>
      <c r="DX86" s="538"/>
      <c r="DY86" s="538"/>
      <c r="DZ86" s="538"/>
      <c r="EA86" s="538"/>
      <c r="EB86" s="538"/>
      <c r="EC86" s="538"/>
      <c r="ED86" s="538"/>
      <c r="EE86" s="538"/>
      <c r="EF86" s="538"/>
      <c r="EG86" s="538"/>
      <c r="EH86" s="538"/>
      <c r="EI86" s="538"/>
      <c r="EJ86" s="538"/>
      <c r="EK86" s="538"/>
      <c r="EL86" s="538"/>
      <c r="EM86" s="538"/>
      <c r="EN86" s="538"/>
      <c r="EO86" s="538"/>
      <c r="EP86" s="538"/>
      <c r="EQ86" s="538"/>
      <c r="ER86" s="538"/>
      <c r="ES86" s="538"/>
      <c r="ET86" s="538"/>
      <c r="EU86" s="538"/>
      <c r="EV86" s="538"/>
      <c r="EW86" s="538"/>
      <c r="EX86" s="559"/>
      <c r="EY86" s="559"/>
      <c r="EZ86" s="559"/>
      <c r="FA86" s="559"/>
      <c r="FB86" s="559"/>
      <c r="FC86" s="559"/>
      <c r="FD86" s="559"/>
      <c r="FE86" s="559"/>
      <c r="FF86" s="559"/>
      <c r="FG86" s="559"/>
      <c r="FH86" s="559"/>
      <c r="FI86" s="559"/>
      <c r="FJ86" s="559"/>
      <c r="FK86" s="559"/>
      <c r="FL86" s="559"/>
      <c r="FM86" s="559"/>
      <c r="FN86" s="559"/>
      <c r="FO86" s="559"/>
      <c r="FP86" s="559"/>
      <c r="FQ86" s="559"/>
      <c r="FR86" s="559"/>
      <c r="FS86" s="559"/>
      <c r="FT86" s="559"/>
      <c r="FU86" s="559"/>
      <c r="FV86" s="559"/>
      <c r="FW86" s="559"/>
      <c r="FX86" s="559"/>
      <c r="FY86" s="559"/>
      <c r="FZ86" s="559"/>
      <c r="GA86" s="559"/>
      <c r="GB86" s="559"/>
      <c r="GC86" s="559"/>
      <c r="GD86" s="559"/>
      <c r="GE86" s="559"/>
      <c r="GF86" s="559"/>
      <c r="GG86" s="559"/>
      <c r="GH86" s="559"/>
    </row>
    <row r="87">
      <c r="A87" s="538"/>
      <c r="B87" s="156"/>
      <c r="C87" s="444"/>
      <c r="D87" s="614"/>
      <c r="E87" s="66"/>
      <c r="F87" s="642"/>
      <c r="G87" s="642"/>
      <c r="H87" s="615"/>
      <c r="I87" s="616" t="s">
        <v>365</v>
      </c>
      <c r="J87" s="624"/>
      <c r="K87" s="643"/>
      <c r="L87" s="640"/>
      <c r="M87" s="625"/>
      <c r="N87" s="617"/>
      <c r="O87" s="134"/>
      <c r="P87" s="57"/>
      <c r="Q87" s="57"/>
      <c r="S87" s="605"/>
      <c r="U87" s="573"/>
      <c r="V87" s="574"/>
      <c r="W87" s="618"/>
      <c r="X87" s="576">
        <v>0.0</v>
      </c>
      <c r="Y87" s="630">
        <v>0.0</v>
      </c>
      <c r="Z87" s="630" t="s">
        <v>365</v>
      </c>
      <c r="AA87" s="631" t="b">
        <v>0</v>
      </c>
      <c r="AB87" s="631"/>
      <c r="AC87" s="576"/>
      <c r="AD87" s="479">
        <v>0.0</v>
      </c>
      <c r="AE87" s="632"/>
      <c r="AF87" s="582" t="s">
        <v>365</v>
      </c>
      <c r="AG87" s="583"/>
      <c r="AH87" s="584"/>
      <c r="AI87" s="583"/>
      <c r="AJ87" s="585"/>
      <c r="AK87" s="583"/>
      <c r="AL87" s="584"/>
      <c r="AM87" s="583"/>
      <c r="AN87" s="585"/>
      <c r="AO87" s="583"/>
      <c r="AP87" s="584"/>
      <c r="AQ87" s="583"/>
      <c r="AR87" s="585"/>
      <c r="AS87" s="583"/>
      <c r="AT87" s="584"/>
      <c r="AU87" s="583"/>
      <c r="AV87" s="585"/>
      <c r="AW87" s="583"/>
      <c r="AX87" s="584"/>
      <c r="AY87" s="583"/>
      <c r="AZ87" s="585"/>
      <c r="BA87" s="583"/>
      <c r="BB87" s="584"/>
      <c r="BC87" s="583"/>
      <c r="BD87" s="585"/>
      <c r="BE87" s="583"/>
      <c r="BF87" s="584"/>
      <c r="BG87" s="583"/>
      <c r="BH87" s="585"/>
      <c r="BI87" s="583"/>
      <c r="BJ87" s="584"/>
      <c r="BK87" s="583"/>
      <c r="BL87" s="585"/>
      <c r="BM87" s="583"/>
      <c r="BN87" s="584"/>
      <c r="BO87" s="583"/>
      <c r="BP87" s="585"/>
      <c r="BQ87" s="583"/>
      <c r="BR87" s="584"/>
      <c r="BS87" s="583"/>
      <c r="BT87" s="586"/>
      <c r="BU87" s="540"/>
      <c r="BV87" s="540"/>
      <c r="BW87" s="540"/>
      <c r="BX87" s="538"/>
      <c r="BY87" s="538"/>
      <c r="BZ87" s="592"/>
      <c r="CA87" s="633"/>
      <c r="CB87" s="592" t="s">
        <v>365</v>
      </c>
      <c r="CC87" s="592">
        <v>0.0</v>
      </c>
      <c r="CD87" s="592" t="s">
        <v>365</v>
      </c>
      <c r="CE87" s="592">
        <v>0.0</v>
      </c>
      <c r="CF87" s="592"/>
      <c r="CG87" s="592">
        <v>0.0</v>
      </c>
      <c r="CH87" s="592"/>
      <c r="CI87" s="633"/>
      <c r="CJ87" s="592">
        <v>0.0</v>
      </c>
      <c r="CK87" s="479" t="s">
        <v>365</v>
      </c>
      <c r="CL87" s="592"/>
      <c r="CM87" s="593"/>
      <c r="CN87" s="538"/>
      <c r="CO87" s="538"/>
      <c r="CP87" s="538"/>
      <c r="CQ87" s="538"/>
      <c r="CR87" s="538"/>
      <c r="CS87" s="538"/>
      <c r="CT87" s="538"/>
      <c r="CU87" s="538"/>
      <c r="CV87" s="538"/>
      <c r="CW87" s="538"/>
      <c r="CX87" s="538"/>
      <c r="CY87" s="538"/>
      <c r="CZ87" s="538"/>
      <c r="DA87" s="538"/>
      <c r="DB87" s="538"/>
      <c r="DC87" s="538"/>
      <c r="DD87" s="538"/>
      <c r="DE87" s="538"/>
      <c r="DF87" s="538"/>
      <c r="DG87" s="538"/>
      <c r="DH87" s="538"/>
      <c r="DI87" s="538"/>
      <c r="DJ87" s="538"/>
      <c r="DK87" s="538"/>
      <c r="DL87" s="538"/>
      <c r="DM87" s="538"/>
      <c r="DN87" s="538"/>
      <c r="DO87" s="538"/>
      <c r="DP87" s="538"/>
      <c r="DQ87" s="538"/>
      <c r="DR87" s="538"/>
      <c r="DS87" s="538"/>
      <c r="DT87" s="538"/>
      <c r="DU87" s="538"/>
      <c r="DV87" s="538"/>
      <c r="DW87" s="538"/>
      <c r="DX87" s="538"/>
      <c r="DY87" s="538"/>
      <c r="DZ87" s="538"/>
      <c r="EA87" s="538"/>
      <c r="EB87" s="538"/>
      <c r="EC87" s="538"/>
      <c r="ED87" s="538"/>
      <c r="EE87" s="538"/>
      <c r="EF87" s="538"/>
      <c r="EG87" s="538"/>
      <c r="EH87" s="538"/>
      <c r="EI87" s="538"/>
      <c r="EJ87" s="538"/>
      <c r="EK87" s="538"/>
      <c r="EL87" s="538"/>
      <c r="EM87" s="538"/>
      <c r="EN87" s="538"/>
      <c r="EO87" s="538"/>
      <c r="EP87" s="538"/>
      <c r="EQ87" s="538"/>
      <c r="ER87" s="538"/>
      <c r="ES87" s="538"/>
      <c r="ET87" s="538"/>
      <c r="EU87" s="538"/>
      <c r="EV87" s="538"/>
      <c r="EW87" s="538"/>
      <c r="EX87" s="559"/>
      <c r="EY87" s="559"/>
      <c r="EZ87" s="559"/>
      <c r="FA87" s="559"/>
      <c r="FB87" s="559"/>
      <c r="FC87" s="559"/>
      <c r="FD87" s="559"/>
      <c r="FE87" s="559"/>
      <c r="FF87" s="559"/>
      <c r="FG87" s="559"/>
      <c r="FH87" s="559"/>
      <c r="FI87" s="559"/>
      <c r="FJ87" s="559"/>
      <c r="FK87" s="559"/>
      <c r="FL87" s="559"/>
      <c r="FM87" s="559"/>
      <c r="FN87" s="559"/>
      <c r="FO87" s="559"/>
      <c r="FP87" s="559"/>
      <c r="FQ87" s="559"/>
      <c r="FR87" s="559"/>
      <c r="FS87" s="559"/>
      <c r="FT87" s="559"/>
      <c r="FU87" s="559"/>
      <c r="FV87" s="559"/>
      <c r="FW87" s="559"/>
      <c r="FX87" s="559"/>
      <c r="FY87" s="559"/>
      <c r="FZ87" s="559"/>
      <c r="GA87" s="559"/>
      <c r="GB87" s="559"/>
      <c r="GC87" s="559"/>
      <c r="GD87" s="559"/>
      <c r="GE87" s="559"/>
      <c r="GF87" s="559"/>
      <c r="GG87" s="559"/>
      <c r="GH87" s="559"/>
    </row>
    <row r="88">
      <c r="A88" s="538"/>
      <c r="B88" s="156"/>
      <c r="C88" s="444"/>
      <c r="D88" s="614"/>
      <c r="E88" s="68"/>
      <c r="F88" s="644"/>
      <c r="G88" s="644"/>
      <c r="H88" s="627"/>
      <c r="I88" s="622" t="s">
        <v>365</v>
      </c>
      <c r="J88" s="607"/>
      <c r="K88" s="641"/>
      <c r="L88" s="628"/>
      <c r="M88" s="626"/>
      <c r="N88" s="619"/>
      <c r="O88" s="560"/>
      <c r="P88" s="47"/>
      <c r="Q88" s="47"/>
      <c r="S88" s="572"/>
      <c r="U88" s="573"/>
      <c r="V88" s="574"/>
      <c r="W88" s="618"/>
      <c r="X88" s="576">
        <v>0.0</v>
      </c>
      <c r="Y88" s="630">
        <v>0.0</v>
      </c>
      <c r="Z88" s="630" t="s">
        <v>365</v>
      </c>
      <c r="AA88" s="631" t="b">
        <v>0</v>
      </c>
      <c r="AB88" s="631"/>
      <c r="AC88" s="576"/>
      <c r="AD88" s="479">
        <v>0.0</v>
      </c>
      <c r="AE88" s="632"/>
      <c r="AF88" s="582" t="s">
        <v>365</v>
      </c>
      <c r="AG88" s="583"/>
      <c r="AH88" s="584"/>
      <c r="AI88" s="583"/>
      <c r="AJ88" s="585"/>
      <c r="AK88" s="583"/>
      <c r="AL88" s="584"/>
      <c r="AM88" s="583"/>
      <c r="AN88" s="585"/>
      <c r="AO88" s="583"/>
      <c r="AP88" s="584"/>
      <c r="AQ88" s="583"/>
      <c r="AR88" s="585"/>
      <c r="AS88" s="583"/>
      <c r="AT88" s="584"/>
      <c r="AU88" s="583"/>
      <c r="AV88" s="585"/>
      <c r="AW88" s="583"/>
      <c r="AX88" s="584"/>
      <c r="AY88" s="583"/>
      <c r="AZ88" s="585"/>
      <c r="BA88" s="583"/>
      <c r="BB88" s="584"/>
      <c r="BC88" s="583"/>
      <c r="BD88" s="585"/>
      <c r="BE88" s="583"/>
      <c r="BF88" s="584"/>
      <c r="BG88" s="583"/>
      <c r="BH88" s="585"/>
      <c r="BI88" s="583"/>
      <c r="BJ88" s="584"/>
      <c r="BK88" s="583"/>
      <c r="BL88" s="585"/>
      <c r="BM88" s="583"/>
      <c r="BN88" s="584"/>
      <c r="BO88" s="583"/>
      <c r="BP88" s="585"/>
      <c r="BQ88" s="583"/>
      <c r="BR88" s="584"/>
      <c r="BS88" s="583"/>
      <c r="BT88" s="586"/>
      <c r="BU88" s="540"/>
      <c r="BV88" s="540"/>
      <c r="BW88" s="540"/>
      <c r="BX88" s="538"/>
      <c r="BY88" s="538"/>
      <c r="BZ88" s="592"/>
      <c r="CA88" s="633"/>
      <c r="CB88" s="592" t="s">
        <v>365</v>
      </c>
      <c r="CC88" s="592">
        <v>0.0</v>
      </c>
      <c r="CD88" s="592" t="s">
        <v>365</v>
      </c>
      <c r="CE88" s="592">
        <v>0.0</v>
      </c>
      <c r="CF88" s="592"/>
      <c r="CG88" s="592">
        <v>0.0</v>
      </c>
      <c r="CH88" s="592"/>
      <c r="CI88" s="633"/>
      <c r="CJ88" s="592">
        <v>0.0</v>
      </c>
      <c r="CK88" s="479" t="s">
        <v>365</v>
      </c>
      <c r="CL88" s="592"/>
      <c r="CM88" s="593"/>
      <c r="CN88" s="538"/>
      <c r="CO88" s="538"/>
      <c r="CP88" s="538"/>
      <c r="CQ88" s="538"/>
      <c r="CR88" s="538"/>
      <c r="CS88" s="538"/>
      <c r="CT88" s="538"/>
      <c r="CU88" s="538"/>
      <c r="CV88" s="538"/>
      <c r="CW88" s="538"/>
      <c r="CX88" s="538"/>
      <c r="CY88" s="538"/>
      <c r="CZ88" s="538"/>
      <c r="DA88" s="538"/>
      <c r="DB88" s="538"/>
      <c r="DC88" s="538"/>
      <c r="DD88" s="538"/>
      <c r="DE88" s="538"/>
      <c r="DF88" s="538"/>
      <c r="DG88" s="538"/>
      <c r="DH88" s="538"/>
      <c r="DI88" s="538"/>
      <c r="DJ88" s="538"/>
      <c r="DK88" s="538"/>
      <c r="DL88" s="538"/>
      <c r="DM88" s="538"/>
      <c r="DN88" s="538"/>
      <c r="DO88" s="538"/>
      <c r="DP88" s="538"/>
      <c r="DQ88" s="538"/>
      <c r="DR88" s="538"/>
      <c r="DS88" s="538"/>
      <c r="DT88" s="538"/>
      <c r="DU88" s="538"/>
      <c r="DV88" s="538"/>
      <c r="DW88" s="538"/>
      <c r="DX88" s="538"/>
      <c r="DY88" s="538"/>
      <c r="DZ88" s="538"/>
      <c r="EA88" s="538"/>
      <c r="EB88" s="538"/>
      <c r="EC88" s="538"/>
      <c r="ED88" s="538"/>
      <c r="EE88" s="538"/>
      <c r="EF88" s="538"/>
      <c r="EG88" s="538"/>
      <c r="EH88" s="538"/>
      <c r="EI88" s="538"/>
      <c r="EJ88" s="538"/>
      <c r="EK88" s="538"/>
      <c r="EL88" s="538"/>
      <c r="EM88" s="538"/>
      <c r="EN88" s="538"/>
      <c r="EO88" s="538"/>
      <c r="EP88" s="538"/>
      <c r="EQ88" s="538"/>
      <c r="ER88" s="538"/>
      <c r="ES88" s="538"/>
      <c r="ET88" s="538"/>
      <c r="EU88" s="538"/>
      <c r="EV88" s="538"/>
      <c r="EW88" s="538"/>
      <c r="EX88" s="559"/>
      <c r="EY88" s="559"/>
      <c r="EZ88" s="559"/>
      <c r="FA88" s="559"/>
      <c r="FB88" s="559"/>
      <c r="FC88" s="559"/>
      <c r="FD88" s="559"/>
      <c r="FE88" s="559"/>
      <c r="FF88" s="559"/>
      <c r="FG88" s="559"/>
      <c r="FH88" s="559"/>
      <c r="FI88" s="559"/>
      <c r="FJ88" s="559"/>
      <c r="FK88" s="559"/>
      <c r="FL88" s="559"/>
      <c r="FM88" s="559"/>
      <c r="FN88" s="559"/>
      <c r="FO88" s="559"/>
      <c r="FP88" s="559"/>
      <c r="FQ88" s="559"/>
      <c r="FR88" s="559"/>
      <c r="FS88" s="559"/>
      <c r="FT88" s="559"/>
      <c r="FU88" s="559"/>
      <c r="FV88" s="559"/>
      <c r="FW88" s="559"/>
      <c r="FX88" s="559"/>
      <c r="FY88" s="559"/>
      <c r="FZ88" s="559"/>
      <c r="GA88" s="559"/>
      <c r="GB88" s="559"/>
      <c r="GC88" s="559"/>
      <c r="GD88" s="559"/>
      <c r="GE88" s="559"/>
      <c r="GF88" s="559"/>
      <c r="GG88" s="559"/>
      <c r="GH88" s="559"/>
    </row>
    <row r="89">
      <c r="A89" s="538"/>
      <c r="B89" s="156"/>
      <c r="C89" s="444"/>
      <c r="D89" s="614"/>
      <c r="E89" s="66"/>
      <c r="F89" s="642"/>
      <c r="G89" s="642"/>
      <c r="H89" s="615"/>
      <c r="I89" s="616" t="s">
        <v>365</v>
      </c>
      <c r="J89" s="624"/>
      <c r="K89" s="643"/>
      <c r="L89" s="640"/>
      <c r="M89" s="625"/>
      <c r="N89" s="617"/>
      <c r="O89" s="134"/>
      <c r="P89" s="57"/>
      <c r="Q89" s="57"/>
      <c r="S89" s="605"/>
      <c r="U89" s="573"/>
      <c r="V89" s="574"/>
      <c r="W89" s="618"/>
      <c r="X89" s="576">
        <v>0.0</v>
      </c>
      <c r="Y89" s="630">
        <v>0.0</v>
      </c>
      <c r="Z89" s="630" t="s">
        <v>365</v>
      </c>
      <c r="AA89" s="631" t="b">
        <v>0</v>
      </c>
      <c r="AB89" s="631"/>
      <c r="AC89" s="576"/>
      <c r="AD89" s="479">
        <v>0.0</v>
      </c>
      <c r="AE89" s="632"/>
      <c r="AF89" s="582" t="s">
        <v>365</v>
      </c>
      <c r="AG89" s="583"/>
      <c r="AH89" s="584"/>
      <c r="AI89" s="583"/>
      <c r="AJ89" s="585"/>
      <c r="AK89" s="583"/>
      <c r="AL89" s="584"/>
      <c r="AM89" s="583"/>
      <c r="AN89" s="585"/>
      <c r="AO89" s="583"/>
      <c r="AP89" s="584"/>
      <c r="AQ89" s="583"/>
      <c r="AR89" s="585"/>
      <c r="AS89" s="583"/>
      <c r="AT89" s="584"/>
      <c r="AU89" s="583"/>
      <c r="AV89" s="585"/>
      <c r="AW89" s="583"/>
      <c r="AX89" s="584"/>
      <c r="AY89" s="583"/>
      <c r="AZ89" s="585"/>
      <c r="BA89" s="583"/>
      <c r="BB89" s="584"/>
      <c r="BC89" s="583"/>
      <c r="BD89" s="585"/>
      <c r="BE89" s="583"/>
      <c r="BF89" s="584"/>
      <c r="BG89" s="583"/>
      <c r="BH89" s="585"/>
      <c r="BI89" s="583"/>
      <c r="BJ89" s="584"/>
      <c r="BK89" s="583"/>
      <c r="BL89" s="585"/>
      <c r="BM89" s="583"/>
      <c r="BN89" s="584"/>
      <c r="BO89" s="583"/>
      <c r="BP89" s="585"/>
      <c r="BQ89" s="583"/>
      <c r="BR89" s="584"/>
      <c r="BS89" s="583"/>
      <c r="BT89" s="586"/>
      <c r="BU89" s="540"/>
      <c r="BV89" s="540"/>
      <c r="BW89" s="540"/>
      <c r="BX89" s="538"/>
      <c r="BY89" s="538"/>
      <c r="BZ89" s="592"/>
      <c r="CA89" s="633"/>
      <c r="CB89" s="592" t="s">
        <v>365</v>
      </c>
      <c r="CC89" s="592">
        <v>0.0</v>
      </c>
      <c r="CD89" s="592" t="s">
        <v>365</v>
      </c>
      <c r="CE89" s="592">
        <v>0.0</v>
      </c>
      <c r="CF89" s="592"/>
      <c r="CG89" s="592">
        <v>0.0</v>
      </c>
      <c r="CH89" s="592"/>
      <c r="CI89" s="633"/>
      <c r="CJ89" s="592">
        <v>0.0</v>
      </c>
      <c r="CK89" s="479" t="s">
        <v>365</v>
      </c>
      <c r="CL89" s="592"/>
      <c r="CM89" s="593"/>
      <c r="CN89" s="538"/>
      <c r="CO89" s="538"/>
      <c r="CP89" s="538"/>
      <c r="CQ89" s="538"/>
      <c r="CR89" s="538"/>
      <c r="CS89" s="538"/>
      <c r="CT89" s="538"/>
      <c r="CU89" s="538"/>
      <c r="CV89" s="538"/>
      <c r="CW89" s="538"/>
      <c r="CX89" s="538"/>
      <c r="CY89" s="538"/>
      <c r="CZ89" s="538"/>
      <c r="DA89" s="538"/>
      <c r="DB89" s="538"/>
      <c r="DC89" s="538"/>
      <c r="DD89" s="538"/>
      <c r="DE89" s="538"/>
      <c r="DF89" s="538"/>
      <c r="DG89" s="538"/>
      <c r="DH89" s="538"/>
      <c r="DI89" s="538"/>
      <c r="DJ89" s="538"/>
      <c r="DK89" s="538"/>
      <c r="DL89" s="538"/>
      <c r="DM89" s="538"/>
      <c r="DN89" s="538"/>
      <c r="DO89" s="538"/>
      <c r="DP89" s="538"/>
      <c r="DQ89" s="538"/>
      <c r="DR89" s="538"/>
      <c r="DS89" s="538"/>
      <c r="DT89" s="538"/>
      <c r="DU89" s="538"/>
      <c r="DV89" s="538"/>
      <c r="DW89" s="538"/>
      <c r="DX89" s="538"/>
      <c r="DY89" s="538"/>
      <c r="DZ89" s="538"/>
      <c r="EA89" s="538"/>
      <c r="EB89" s="538"/>
      <c r="EC89" s="538"/>
      <c r="ED89" s="538"/>
      <c r="EE89" s="538"/>
      <c r="EF89" s="538"/>
      <c r="EG89" s="538"/>
      <c r="EH89" s="538"/>
      <c r="EI89" s="538"/>
      <c r="EJ89" s="538"/>
      <c r="EK89" s="538"/>
      <c r="EL89" s="538"/>
      <c r="EM89" s="538"/>
      <c r="EN89" s="538"/>
      <c r="EO89" s="538"/>
      <c r="EP89" s="538"/>
      <c r="EQ89" s="538"/>
      <c r="ER89" s="538"/>
      <c r="ES89" s="538"/>
      <c r="ET89" s="538"/>
      <c r="EU89" s="538"/>
      <c r="EV89" s="538"/>
      <c r="EW89" s="538"/>
      <c r="EX89" s="559"/>
      <c r="EY89" s="559"/>
      <c r="EZ89" s="559"/>
      <c r="FA89" s="559"/>
      <c r="FB89" s="559"/>
      <c r="FC89" s="559"/>
      <c r="FD89" s="559"/>
      <c r="FE89" s="559"/>
      <c r="FF89" s="559"/>
      <c r="FG89" s="559"/>
      <c r="FH89" s="559"/>
      <c r="FI89" s="559"/>
      <c r="FJ89" s="559"/>
      <c r="FK89" s="559"/>
      <c r="FL89" s="559"/>
      <c r="FM89" s="559"/>
      <c r="FN89" s="559"/>
      <c r="FO89" s="559"/>
      <c r="FP89" s="559"/>
      <c r="FQ89" s="559"/>
      <c r="FR89" s="559"/>
      <c r="FS89" s="559"/>
      <c r="FT89" s="559"/>
      <c r="FU89" s="559"/>
      <c r="FV89" s="559"/>
      <c r="FW89" s="559"/>
      <c r="FX89" s="559"/>
      <c r="FY89" s="559"/>
      <c r="FZ89" s="559"/>
      <c r="GA89" s="559"/>
      <c r="GB89" s="559"/>
      <c r="GC89" s="559"/>
      <c r="GD89" s="559"/>
      <c r="GE89" s="559"/>
      <c r="GF89" s="559"/>
      <c r="GG89" s="559"/>
      <c r="GH89" s="559"/>
    </row>
    <row r="90">
      <c r="A90" s="538"/>
      <c r="B90" s="156"/>
      <c r="C90" s="444"/>
      <c r="D90" s="614"/>
      <c r="E90" s="68"/>
      <c r="F90" s="644"/>
      <c r="G90" s="644"/>
      <c r="H90" s="627"/>
      <c r="I90" s="622" t="s">
        <v>365</v>
      </c>
      <c r="J90" s="607"/>
      <c r="K90" s="641"/>
      <c r="L90" s="628"/>
      <c r="M90" s="626"/>
      <c r="N90" s="619"/>
      <c r="O90" s="560"/>
      <c r="P90" s="47"/>
      <c r="Q90" s="47"/>
      <c r="S90" s="572"/>
      <c r="U90" s="573"/>
      <c r="V90" s="574"/>
      <c r="W90" s="618"/>
      <c r="X90" s="576">
        <v>0.0</v>
      </c>
      <c r="Y90" s="630">
        <v>0.0</v>
      </c>
      <c r="Z90" s="630" t="s">
        <v>365</v>
      </c>
      <c r="AA90" s="631" t="b">
        <v>0</v>
      </c>
      <c r="AB90" s="631"/>
      <c r="AC90" s="576"/>
      <c r="AD90" s="479">
        <v>0.0</v>
      </c>
      <c r="AE90" s="632"/>
      <c r="AF90" s="582" t="s">
        <v>365</v>
      </c>
      <c r="AG90" s="583"/>
      <c r="AH90" s="584"/>
      <c r="AI90" s="583"/>
      <c r="AJ90" s="585"/>
      <c r="AK90" s="583"/>
      <c r="AL90" s="584"/>
      <c r="AM90" s="583"/>
      <c r="AN90" s="585"/>
      <c r="AO90" s="583"/>
      <c r="AP90" s="584"/>
      <c r="AQ90" s="583"/>
      <c r="AR90" s="585"/>
      <c r="AS90" s="583"/>
      <c r="AT90" s="584"/>
      <c r="AU90" s="583"/>
      <c r="AV90" s="585"/>
      <c r="AW90" s="583"/>
      <c r="AX90" s="584"/>
      <c r="AY90" s="583"/>
      <c r="AZ90" s="585"/>
      <c r="BA90" s="583"/>
      <c r="BB90" s="584"/>
      <c r="BC90" s="583"/>
      <c r="BD90" s="585"/>
      <c r="BE90" s="583"/>
      <c r="BF90" s="584"/>
      <c r="BG90" s="583"/>
      <c r="BH90" s="585"/>
      <c r="BI90" s="583"/>
      <c r="BJ90" s="584"/>
      <c r="BK90" s="583"/>
      <c r="BL90" s="585"/>
      <c r="BM90" s="583"/>
      <c r="BN90" s="584"/>
      <c r="BO90" s="583"/>
      <c r="BP90" s="585"/>
      <c r="BQ90" s="583"/>
      <c r="BR90" s="584"/>
      <c r="BS90" s="583"/>
      <c r="BT90" s="586"/>
      <c r="BU90" s="540"/>
      <c r="BV90" s="540"/>
      <c r="BW90" s="540"/>
      <c r="BX90" s="538"/>
      <c r="BY90" s="538"/>
      <c r="BZ90" s="592"/>
      <c r="CA90" s="633"/>
      <c r="CB90" s="592" t="s">
        <v>365</v>
      </c>
      <c r="CC90" s="592">
        <v>0.0</v>
      </c>
      <c r="CD90" s="592" t="s">
        <v>365</v>
      </c>
      <c r="CE90" s="592">
        <v>0.0</v>
      </c>
      <c r="CF90" s="592"/>
      <c r="CG90" s="592">
        <v>0.0</v>
      </c>
      <c r="CH90" s="592"/>
      <c r="CI90" s="633"/>
      <c r="CJ90" s="592">
        <v>0.0</v>
      </c>
      <c r="CK90" s="479" t="s">
        <v>365</v>
      </c>
      <c r="CL90" s="592"/>
      <c r="CM90" s="593"/>
      <c r="CN90" s="538"/>
      <c r="CO90" s="538"/>
      <c r="CP90" s="538"/>
      <c r="CQ90" s="538"/>
      <c r="CR90" s="538"/>
      <c r="CS90" s="538"/>
      <c r="CT90" s="538"/>
      <c r="CU90" s="538"/>
      <c r="CV90" s="538"/>
      <c r="CW90" s="538"/>
      <c r="CX90" s="538"/>
      <c r="CY90" s="538"/>
      <c r="CZ90" s="538"/>
      <c r="DA90" s="538"/>
      <c r="DB90" s="538"/>
      <c r="DC90" s="538"/>
      <c r="DD90" s="538"/>
      <c r="DE90" s="538"/>
      <c r="DF90" s="538"/>
      <c r="DG90" s="538"/>
      <c r="DH90" s="538"/>
      <c r="DI90" s="538"/>
      <c r="DJ90" s="538"/>
      <c r="DK90" s="538"/>
      <c r="DL90" s="538"/>
      <c r="DM90" s="538"/>
      <c r="DN90" s="538"/>
      <c r="DO90" s="538"/>
      <c r="DP90" s="538"/>
      <c r="DQ90" s="538"/>
      <c r="DR90" s="538"/>
      <c r="DS90" s="538"/>
      <c r="DT90" s="538"/>
      <c r="DU90" s="538"/>
      <c r="DV90" s="538"/>
      <c r="DW90" s="538"/>
      <c r="DX90" s="538"/>
      <c r="DY90" s="538"/>
      <c r="DZ90" s="538"/>
      <c r="EA90" s="538"/>
      <c r="EB90" s="538"/>
      <c r="EC90" s="538"/>
      <c r="ED90" s="538"/>
      <c r="EE90" s="538"/>
      <c r="EF90" s="538"/>
      <c r="EG90" s="538"/>
      <c r="EH90" s="538"/>
      <c r="EI90" s="538"/>
      <c r="EJ90" s="538"/>
      <c r="EK90" s="538"/>
      <c r="EL90" s="538"/>
      <c r="EM90" s="538"/>
      <c r="EN90" s="538"/>
      <c r="EO90" s="538"/>
      <c r="EP90" s="538"/>
      <c r="EQ90" s="538"/>
      <c r="ER90" s="538"/>
      <c r="ES90" s="538"/>
      <c r="ET90" s="538"/>
      <c r="EU90" s="538"/>
      <c r="EV90" s="538"/>
      <c r="EW90" s="538"/>
      <c r="EX90" s="559"/>
      <c r="EY90" s="559"/>
      <c r="EZ90" s="559"/>
      <c r="FA90" s="559"/>
      <c r="FB90" s="559"/>
      <c r="FC90" s="559"/>
      <c r="FD90" s="559"/>
      <c r="FE90" s="559"/>
      <c r="FF90" s="559"/>
      <c r="FG90" s="559"/>
      <c r="FH90" s="559"/>
      <c r="FI90" s="559"/>
      <c r="FJ90" s="559"/>
      <c r="FK90" s="559"/>
      <c r="FL90" s="559"/>
      <c r="FM90" s="559"/>
      <c r="FN90" s="559"/>
      <c r="FO90" s="559"/>
      <c r="FP90" s="559"/>
      <c r="FQ90" s="559"/>
      <c r="FR90" s="559"/>
      <c r="FS90" s="559"/>
      <c r="FT90" s="559"/>
      <c r="FU90" s="559"/>
      <c r="FV90" s="559"/>
      <c r="FW90" s="559"/>
      <c r="FX90" s="559"/>
      <c r="FY90" s="559"/>
      <c r="FZ90" s="559"/>
      <c r="GA90" s="559"/>
      <c r="GB90" s="559"/>
      <c r="GC90" s="559"/>
      <c r="GD90" s="559"/>
      <c r="GE90" s="559"/>
      <c r="GF90" s="559"/>
      <c r="GG90" s="559"/>
      <c r="GH90" s="559"/>
    </row>
    <row r="91">
      <c r="A91" s="538"/>
      <c r="B91" s="156"/>
      <c r="C91" s="444"/>
      <c r="D91" s="614"/>
      <c r="E91" s="66"/>
      <c r="F91" s="642"/>
      <c r="G91" s="642"/>
      <c r="H91" s="615"/>
      <c r="I91" s="616" t="s">
        <v>365</v>
      </c>
      <c r="J91" s="624"/>
      <c r="K91" s="643"/>
      <c r="L91" s="640"/>
      <c r="M91" s="625"/>
      <c r="N91" s="617"/>
      <c r="O91" s="134"/>
      <c r="P91" s="57"/>
      <c r="Q91" s="57"/>
      <c r="S91" s="605"/>
      <c r="U91" s="573"/>
      <c r="V91" s="574"/>
      <c r="W91" s="618"/>
      <c r="X91" s="576">
        <v>0.0</v>
      </c>
      <c r="Y91" s="630">
        <v>0.0</v>
      </c>
      <c r="Z91" s="630" t="s">
        <v>365</v>
      </c>
      <c r="AA91" s="631" t="b">
        <v>0</v>
      </c>
      <c r="AB91" s="631"/>
      <c r="AC91" s="576"/>
      <c r="AD91" s="479">
        <v>0.0</v>
      </c>
      <c r="AE91" s="632"/>
      <c r="AF91" s="582" t="s">
        <v>365</v>
      </c>
      <c r="AG91" s="583"/>
      <c r="AH91" s="584"/>
      <c r="AI91" s="583"/>
      <c r="AJ91" s="585"/>
      <c r="AK91" s="583"/>
      <c r="AL91" s="584"/>
      <c r="AM91" s="583"/>
      <c r="AN91" s="585"/>
      <c r="AO91" s="583"/>
      <c r="AP91" s="584"/>
      <c r="AQ91" s="583"/>
      <c r="AR91" s="585"/>
      <c r="AS91" s="583"/>
      <c r="AT91" s="584"/>
      <c r="AU91" s="583"/>
      <c r="AV91" s="585"/>
      <c r="AW91" s="583"/>
      <c r="AX91" s="584"/>
      <c r="AY91" s="583"/>
      <c r="AZ91" s="585"/>
      <c r="BA91" s="583"/>
      <c r="BB91" s="584"/>
      <c r="BC91" s="583"/>
      <c r="BD91" s="585"/>
      <c r="BE91" s="583"/>
      <c r="BF91" s="584"/>
      <c r="BG91" s="583"/>
      <c r="BH91" s="585"/>
      <c r="BI91" s="583"/>
      <c r="BJ91" s="584"/>
      <c r="BK91" s="583"/>
      <c r="BL91" s="585"/>
      <c r="BM91" s="583"/>
      <c r="BN91" s="584"/>
      <c r="BO91" s="583"/>
      <c r="BP91" s="585"/>
      <c r="BQ91" s="583"/>
      <c r="BR91" s="584"/>
      <c r="BS91" s="583"/>
      <c r="BT91" s="586"/>
      <c r="BU91" s="540"/>
      <c r="BV91" s="540"/>
      <c r="BW91" s="540"/>
      <c r="BX91" s="538"/>
      <c r="BY91" s="538"/>
      <c r="BZ91" s="592"/>
      <c r="CA91" s="633"/>
      <c r="CB91" s="592" t="s">
        <v>365</v>
      </c>
      <c r="CC91" s="592">
        <v>0.0</v>
      </c>
      <c r="CD91" s="592" t="s">
        <v>365</v>
      </c>
      <c r="CE91" s="592">
        <v>0.0</v>
      </c>
      <c r="CF91" s="592"/>
      <c r="CG91" s="592">
        <v>0.0</v>
      </c>
      <c r="CH91" s="592"/>
      <c r="CI91" s="633"/>
      <c r="CJ91" s="592">
        <v>0.0</v>
      </c>
      <c r="CK91" s="479" t="s">
        <v>365</v>
      </c>
      <c r="CL91" s="592"/>
      <c r="CM91" s="593"/>
      <c r="CN91" s="538"/>
      <c r="CO91" s="538"/>
      <c r="CP91" s="538"/>
      <c r="CQ91" s="538"/>
      <c r="CR91" s="538"/>
      <c r="CS91" s="538"/>
      <c r="CT91" s="538"/>
      <c r="CU91" s="538"/>
      <c r="CV91" s="538"/>
      <c r="CW91" s="538"/>
      <c r="CX91" s="538"/>
      <c r="CY91" s="538"/>
      <c r="CZ91" s="538"/>
      <c r="DA91" s="538"/>
      <c r="DB91" s="538"/>
      <c r="DC91" s="538"/>
      <c r="DD91" s="538"/>
      <c r="DE91" s="538"/>
      <c r="DF91" s="538"/>
      <c r="DG91" s="538"/>
      <c r="DH91" s="538"/>
      <c r="DI91" s="538"/>
      <c r="DJ91" s="538"/>
      <c r="DK91" s="538"/>
      <c r="DL91" s="538"/>
      <c r="DM91" s="538"/>
      <c r="DN91" s="538"/>
      <c r="DO91" s="538"/>
      <c r="DP91" s="538"/>
      <c r="DQ91" s="538"/>
      <c r="DR91" s="538"/>
      <c r="DS91" s="538"/>
      <c r="DT91" s="538"/>
      <c r="DU91" s="538"/>
      <c r="DV91" s="538"/>
      <c r="DW91" s="538"/>
      <c r="DX91" s="538"/>
      <c r="DY91" s="538"/>
      <c r="DZ91" s="538"/>
      <c r="EA91" s="538"/>
      <c r="EB91" s="538"/>
      <c r="EC91" s="538"/>
      <c r="ED91" s="538"/>
      <c r="EE91" s="538"/>
      <c r="EF91" s="538"/>
      <c r="EG91" s="538"/>
      <c r="EH91" s="538"/>
      <c r="EI91" s="538"/>
      <c r="EJ91" s="538"/>
      <c r="EK91" s="538"/>
      <c r="EL91" s="538"/>
      <c r="EM91" s="538"/>
      <c r="EN91" s="538"/>
      <c r="EO91" s="538"/>
      <c r="EP91" s="538"/>
      <c r="EQ91" s="538"/>
      <c r="ER91" s="538"/>
      <c r="ES91" s="538"/>
      <c r="ET91" s="538"/>
      <c r="EU91" s="538"/>
      <c r="EV91" s="538"/>
      <c r="EW91" s="538"/>
      <c r="EX91" s="559"/>
      <c r="EY91" s="559"/>
      <c r="EZ91" s="559"/>
      <c r="FA91" s="559"/>
      <c r="FB91" s="559"/>
      <c r="FC91" s="559"/>
      <c r="FD91" s="559"/>
      <c r="FE91" s="559"/>
      <c r="FF91" s="559"/>
      <c r="FG91" s="559"/>
      <c r="FH91" s="559"/>
      <c r="FI91" s="559"/>
      <c r="FJ91" s="559"/>
      <c r="FK91" s="559"/>
      <c r="FL91" s="559"/>
      <c r="FM91" s="559"/>
      <c r="FN91" s="559"/>
      <c r="FO91" s="559"/>
      <c r="FP91" s="559"/>
      <c r="FQ91" s="559"/>
      <c r="FR91" s="559"/>
      <c r="FS91" s="559"/>
      <c r="FT91" s="559"/>
      <c r="FU91" s="559"/>
      <c r="FV91" s="559"/>
      <c r="FW91" s="559"/>
      <c r="FX91" s="559"/>
      <c r="FY91" s="559"/>
      <c r="FZ91" s="559"/>
      <c r="GA91" s="559"/>
      <c r="GB91" s="559"/>
      <c r="GC91" s="559"/>
      <c r="GD91" s="559"/>
      <c r="GE91" s="559"/>
      <c r="GF91" s="559"/>
      <c r="GG91" s="559"/>
      <c r="GH91" s="559"/>
    </row>
    <row r="92">
      <c r="A92" s="538"/>
      <c r="B92" s="156"/>
      <c r="C92" s="444"/>
      <c r="D92" s="614"/>
      <c r="E92" s="68"/>
      <c r="F92" s="644"/>
      <c r="G92" s="644"/>
      <c r="H92" s="627"/>
      <c r="I92" s="622" t="s">
        <v>365</v>
      </c>
      <c r="J92" s="607"/>
      <c r="K92" s="641"/>
      <c r="L92" s="628"/>
      <c r="M92" s="626"/>
      <c r="N92" s="619"/>
      <c r="O92" s="560"/>
      <c r="P92" s="47"/>
      <c r="Q92" s="47"/>
      <c r="S92" s="572"/>
      <c r="U92" s="573"/>
      <c r="V92" s="574"/>
      <c r="W92" s="618"/>
      <c r="X92" s="576">
        <v>0.0</v>
      </c>
      <c r="Y92" s="630">
        <v>0.0</v>
      </c>
      <c r="Z92" s="630" t="s">
        <v>365</v>
      </c>
      <c r="AA92" s="631" t="b">
        <v>0</v>
      </c>
      <c r="AB92" s="631"/>
      <c r="AC92" s="576"/>
      <c r="AD92" s="479">
        <v>0.0</v>
      </c>
      <c r="AE92" s="632"/>
      <c r="AF92" s="582" t="s">
        <v>365</v>
      </c>
      <c r="AG92" s="583"/>
      <c r="AH92" s="584"/>
      <c r="AI92" s="583"/>
      <c r="AJ92" s="585"/>
      <c r="AK92" s="583"/>
      <c r="AL92" s="584"/>
      <c r="AM92" s="583"/>
      <c r="AN92" s="585"/>
      <c r="AO92" s="583"/>
      <c r="AP92" s="584"/>
      <c r="AQ92" s="583"/>
      <c r="AR92" s="585"/>
      <c r="AS92" s="583"/>
      <c r="AT92" s="584"/>
      <c r="AU92" s="583"/>
      <c r="AV92" s="585"/>
      <c r="AW92" s="583"/>
      <c r="AX92" s="584"/>
      <c r="AY92" s="583"/>
      <c r="AZ92" s="585"/>
      <c r="BA92" s="583"/>
      <c r="BB92" s="584"/>
      <c r="BC92" s="583"/>
      <c r="BD92" s="585"/>
      <c r="BE92" s="583"/>
      <c r="BF92" s="584"/>
      <c r="BG92" s="583"/>
      <c r="BH92" s="585"/>
      <c r="BI92" s="583"/>
      <c r="BJ92" s="584"/>
      <c r="BK92" s="583"/>
      <c r="BL92" s="585"/>
      <c r="BM92" s="583"/>
      <c r="BN92" s="584"/>
      <c r="BO92" s="583"/>
      <c r="BP92" s="585"/>
      <c r="BQ92" s="583"/>
      <c r="BR92" s="584"/>
      <c r="BS92" s="583"/>
      <c r="BT92" s="586"/>
      <c r="BU92" s="540"/>
      <c r="BV92" s="540"/>
      <c r="BW92" s="540"/>
      <c r="BX92" s="538"/>
      <c r="BY92" s="538"/>
      <c r="BZ92" s="592"/>
      <c r="CA92" s="633"/>
      <c r="CB92" s="592" t="s">
        <v>365</v>
      </c>
      <c r="CC92" s="592">
        <v>0.0</v>
      </c>
      <c r="CD92" s="592" t="s">
        <v>365</v>
      </c>
      <c r="CE92" s="592">
        <v>0.0</v>
      </c>
      <c r="CF92" s="592"/>
      <c r="CG92" s="592">
        <v>0.0</v>
      </c>
      <c r="CH92" s="592"/>
      <c r="CI92" s="633"/>
      <c r="CJ92" s="592">
        <v>0.0</v>
      </c>
      <c r="CK92" s="479" t="s">
        <v>365</v>
      </c>
      <c r="CL92" s="592"/>
      <c r="CM92" s="593"/>
      <c r="CN92" s="538"/>
      <c r="CO92" s="538"/>
      <c r="CP92" s="538"/>
      <c r="CQ92" s="538"/>
      <c r="CR92" s="538"/>
      <c r="CS92" s="538"/>
      <c r="CT92" s="538"/>
      <c r="CU92" s="538"/>
      <c r="CV92" s="538"/>
      <c r="CW92" s="538"/>
      <c r="CX92" s="538"/>
      <c r="CY92" s="538"/>
      <c r="CZ92" s="538"/>
      <c r="DA92" s="538"/>
      <c r="DB92" s="538"/>
      <c r="DC92" s="538"/>
      <c r="DD92" s="538"/>
      <c r="DE92" s="538"/>
      <c r="DF92" s="538"/>
      <c r="DG92" s="538"/>
      <c r="DH92" s="538"/>
      <c r="DI92" s="538"/>
      <c r="DJ92" s="538"/>
      <c r="DK92" s="538"/>
      <c r="DL92" s="538"/>
      <c r="DM92" s="538"/>
      <c r="DN92" s="538"/>
      <c r="DO92" s="538"/>
      <c r="DP92" s="538"/>
      <c r="DQ92" s="538"/>
      <c r="DR92" s="538"/>
      <c r="DS92" s="538"/>
      <c r="DT92" s="538"/>
      <c r="DU92" s="538"/>
      <c r="DV92" s="538"/>
      <c r="DW92" s="538"/>
      <c r="DX92" s="538"/>
      <c r="DY92" s="538"/>
      <c r="DZ92" s="538"/>
      <c r="EA92" s="538"/>
      <c r="EB92" s="538"/>
      <c r="EC92" s="538"/>
      <c r="ED92" s="538"/>
      <c r="EE92" s="538"/>
      <c r="EF92" s="538"/>
      <c r="EG92" s="538"/>
      <c r="EH92" s="538"/>
      <c r="EI92" s="538"/>
      <c r="EJ92" s="538"/>
      <c r="EK92" s="538"/>
      <c r="EL92" s="538"/>
      <c r="EM92" s="538"/>
      <c r="EN92" s="538"/>
      <c r="EO92" s="538"/>
      <c r="EP92" s="538"/>
      <c r="EQ92" s="538"/>
      <c r="ER92" s="538"/>
      <c r="ES92" s="538"/>
      <c r="ET92" s="538"/>
      <c r="EU92" s="538"/>
      <c r="EV92" s="538"/>
      <c r="EW92" s="538"/>
      <c r="EX92" s="559"/>
      <c r="EY92" s="559"/>
      <c r="EZ92" s="559"/>
      <c r="FA92" s="559"/>
      <c r="FB92" s="559"/>
      <c r="FC92" s="559"/>
      <c r="FD92" s="559"/>
      <c r="FE92" s="559"/>
      <c r="FF92" s="559"/>
      <c r="FG92" s="559"/>
      <c r="FH92" s="559"/>
      <c r="FI92" s="559"/>
      <c r="FJ92" s="559"/>
      <c r="FK92" s="559"/>
      <c r="FL92" s="559"/>
      <c r="FM92" s="559"/>
      <c r="FN92" s="559"/>
      <c r="FO92" s="559"/>
      <c r="FP92" s="559"/>
      <c r="FQ92" s="559"/>
      <c r="FR92" s="559"/>
      <c r="FS92" s="559"/>
      <c r="FT92" s="559"/>
      <c r="FU92" s="559"/>
      <c r="FV92" s="559"/>
      <c r="FW92" s="559"/>
      <c r="FX92" s="559"/>
      <c r="FY92" s="559"/>
      <c r="FZ92" s="559"/>
      <c r="GA92" s="559"/>
      <c r="GB92" s="559"/>
      <c r="GC92" s="559"/>
      <c r="GD92" s="559"/>
      <c r="GE92" s="559"/>
      <c r="GF92" s="559"/>
      <c r="GG92" s="559"/>
      <c r="GH92" s="559"/>
    </row>
    <row r="93">
      <c r="A93" s="538"/>
      <c r="B93" s="156"/>
      <c r="C93" s="444"/>
      <c r="D93" s="614"/>
      <c r="E93" s="66"/>
      <c r="F93" s="642"/>
      <c r="G93" s="642"/>
      <c r="H93" s="615"/>
      <c r="I93" s="616" t="s">
        <v>365</v>
      </c>
      <c r="J93" s="624"/>
      <c r="K93" s="643"/>
      <c r="L93" s="640"/>
      <c r="M93" s="625"/>
      <c r="N93" s="617"/>
      <c r="O93" s="134"/>
      <c r="P93" s="57"/>
      <c r="Q93" s="57"/>
      <c r="S93" s="605"/>
      <c r="U93" s="573"/>
      <c r="V93" s="574"/>
      <c r="W93" s="618"/>
      <c r="X93" s="576">
        <v>0.0</v>
      </c>
      <c r="Y93" s="630">
        <v>0.0</v>
      </c>
      <c r="Z93" s="630" t="s">
        <v>365</v>
      </c>
      <c r="AA93" s="631" t="b">
        <v>0</v>
      </c>
      <c r="AB93" s="631"/>
      <c r="AC93" s="576"/>
      <c r="AD93" s="479">
        <v>0.0</v>
      </c>
      <c r="AE93" s="632"/>
      <c r="AF93" s="582" t="s">
        <v>365</v>
      </c>
      <c r="AG93" s="583"/>
      <c r="AH93" s="584"/>
      <c r="AI93" s="583"/>
      <c r="AJ93" s="585"/>
      <c r="AK93" s="583"/>
      <c r="AL93" s="584"/>
      <c r="AM93" s="583"/>
      <c r="AN93" s="585"/>
      <c r="AO93" s="583"/>
      <c r="AP93" s="584"/>
      <c r="AQ93" s="583"/>
      <c r="AR93" s="585"/>
      <c r="AS93" s="583"/>
      <c r="AT93" s="584"/>
      <c r="AU93" s="583"/>
      <c r="AV93" s="585"/>
      <c r="AW93" s="583"/>
      <c r="AX93" s="584"/>
      <c r="AY93" s="583"/>
      <c r="AZ93" s="585"/>
      <c r="BA93" s="583"/>
      <c r="BB93" s="584"/>
      <c r="BC93" s="583"/>
      <c r="BD93" s="585"/>
      <c r="BE93" s="583"/>
      <c r="BF93" s="584"/>
      <c r="BG93" s="583"/>
      <c r="BH93" s="585"/>
      <c r="BI93" s="583"/>
      <c r="BJ93" s="584"/>
      <c r="BK93" s="583"/>
      <c r="BL93" s="585"/>
      <c r="BM93" s="583"/>
      <c r="BN93" s="584"/>
      <c r="BO93" s="583"/>
      <c r="BP93" s="585"/>
      <c r="BQ93" s="583"/>
      <c r="BR93" s="584"/>
      <c r="BS93" s="583"/>
      <c r="BT93" s="586"/>
      <c r="BU93" s="540"/>
      <c r="BV93" s="540"/>
      <c r="BW93" s="540"/>
      <c r="BX93" s="538"/>
      <c r="BY93" s="538"/>
      <c r="BZ93" s="592"/>
      <c r="CA93" s="633"/>
      <c r="CB93" s="592" t="s">
        <v>365</v>
      </c>
      <c r="CC93" s="592">
        <v>0.0</v>
      </c>
      <c r="CD93" s="592" t="s">
        <v>365</v>
      </c>
      <c r="CE93" s="592">
        <v>0.0</v>
      </c>
      <c r="CF93" s="592"/>
      <c r="CG93" s="592">
        <v>0.0</v>
      </c>
      <c r="CH93" s="592"/>
      <c r="CI93" s="633"/>
      <c r="CJ93" s="592">
        <v>0.0</v>
      </c>
      <c r="CK93" s="479" t="s">
        <v>365</v>
      </c>
      <c r="CL93" s="592"/>
      <c r="CM93" s="593"/>
      <c r="CN93" s="538"/>
      <c r="CO93" s="538"/>
      <c r="CP93" s="538"/>
      <c r="CQ93" s="538"/>
      <c r="CR93" s="538"/>
      <c r="CS93" s="538"/>
      <c r="CT93" s="538"/>
      <c r="CU93" s="538"/>
      <c r="CV93" s="538"/>
      <c r="CW93" s="538"/>
      <c r="CX93" s="538"/>
      <c r="CY93" s="538"/>
      <c r="CZ93" s="538"/>
      <c r="DA93" s="538"/>
      <c r="DB93" s="538"/>
      <c r="DC93" s="538"/>
      <c r="DD93" s="538"/>
      <c r="DE93" s="538"/>
      <c r="DF93" s="538"/>
      <c r="DG93" s="538"/>
      <c r="DH93" s="538"/>
      <c r="DI93" s="538"/>
      <c r="DJ93" s="538"/>
      <c r="DK93" s="538"/>
      <c r="DL93" s="538"/>
      <c r="DM93" s="538"/>
      <c r="DN93" s="538"/>
      <c r="DO93" s="538"/>
      <c r="DP93" s="538"/>
      <c r="DQ93" s="538"/>
      <c r="DR93" s="538"/>
      <c r="DS93" s="538"/>
      <c r="DT93" s="538"/>
      <c r="DU93" s="538"/>
      <c r="DV93" s="538"/>
      <c r="DW93" s="538"/>
      <c r="DX93" s="538"/>
      <c r="DY93" s="538"/>
      <c r="DZ93" s="538"/>
      <c r="EA93" s="538"/>
      <c r="EB93" s="538"/>
      <c r="EC93" s="538"/>
      <c r="ED93" s="538"/>
      <c r="EE93" s="538"/>
      <c r="EF93" s="538"/>
      <c r="EG93" s="538"/>
      <c r="EH93" s="538"/>
      <c r="EI93" s="538"/>
      <c r="EJ93" s="538"/>
      <c r="EK93" s="538"/>
      <c r="EL93" s="538"/>
      <c r="EM93" s="538"/>
      <c r="EN93" s="538"/>
      <c r="EO93" s="538"/>
      <c r="EP93" s="538"/>
      <c r="EQ93" s="538"/>
      <c r="ER93" s="538"/>
      <c r="ES93" s="538"/>
      <c r="ET93" s="538"/>
      <c r="EU93" s="538"/>
      <c r="EV93" s="538"/>
      <c r="EW93" s="538"/>
      <c r="EX93" s="559"/>
      <c r="EY93" s="559"/>
      <c r="EZ93" s="559"/>
      <c r="FA93" s="559"/>
      <c r="FB93" s="559"/>
      <c r="FC93" s="559"/>
      <c r="FD93" s="559"/>
      <c r="FE93" s="559"/>
      <c r="FF93" s="559"/>
      <c r="FG93" s="559"/>
      <c r="FH93" s="559"/>
      <c r="FI93" s="559"/>
      <c r="FJ93" s="559"/>
      <c r="FK93" s="559"/>
      <c r="FL93" s="559"/>
      <c r="FM93" s="559"/>
      <c r="FN93" s="559"/>
      <c r="FO93" s="559"/>
      <c r="FP93" s="559"/>
      <c r="FQ93" s="559"/>
      <c r="FR93" s="559"/>
      <c r="FS93" s="559"/>
      <c r="FT93" s="559"/>
      <c r="FU93" s="559"/>
      <c r="FV93" s="559"/>
      <c r="FW93" s="559"/>
      <c r="FX93" s="559"/>
      <c r="FY93" s="559"/>
      <c r="FZ93" s="559"/>
      <c r="GA93" s="559"/>
      <c r="GB93" s="559"/>
      <c r="GC93" s="559"/>
      <c r="GD93" s="559"/>
      <c r="GE93" s="559"/>
      <c r="GF93" s="559"/>
      <c r="GG93" s="559"/>
      <c r="GH93" s="559"/>
    </row>
    <row r="94">
      <c r="A94" s="538"/>
      <c r="B94" s="156"/>
      <c r="C94" s="444"/>
      <c r="D94" s="614"/>
      <c r="E94" s="68"/>
      <c r="F94" s="644"/>
      <c r="G94" s="644"/>
      <c r="H94" s="627"/>
      <c r="I94" s="622" t="s">
        <v>365</v>
      </c>
      <c r="J94" s="607"/>
      <c r="K94" s="641"/>
      <c r="L94" s="628"/>
      <c r="M94" s="626"/>
      <c r="N94" s="619"/>
      <c r="O94" s="560"/>
      <c r="P94" s="47"/>
      <c r="Q94" s="47"/>
      <c r="S94" s="572"/>
      <c r="U94" s="573"/>
      <c r="V94" s="574"/>
      <c r="W94" s="618"/>
      <c r="X94" s="576">
        <v>0.0</v>
      </c>
      <c r="Y94" s="630">
        <v>0.0</v>
      </c>
      <c r="Z94" s="630" t="s">
        <v>365</v>
      </c>
      <c r="AA94" s="631" t="b">
        <v>0</v>
      </c>
      <c r="AB94" s="631"/>
      <c r="AC94" s="576"/>
      <c r="AD94" s="479">
        <v>0.0</v>
      </c>
      <c r="AE94" s="632"/>
      <c r="AF94" s="582" t="s">
        <v>365</v>
      </c>
      <c r="AG94" s="583"/>
      <c r="AH94" s="584"/>
      <c r="AI94" s="583"/>
      <c r="AJ94" s="585"/>
      <c r="AK94" s="583"/>
      <c r="AL94" s="584"/>
      <c r="AM94" s="583"/>
      <c r="AN94" s="585"/>
      <c r="AO94" s="583"/>
      <c r="AP94" s="584"/>
      <c r="AQ94" s="583"/>
      <c r="AR94" s="585"/>
      <c r="AS94" s="583"/>
      <c r="AT94" s="584"/>
      <c r="AU94" s="583"/>
      <c r="AV94" s="585"/>
      <c r="AW94" s="583"/>
      <c r="AX94" s="584"/>
      <c r="AY94" s="583"/>
      <c r="AZ94" s="585"/>
      <c r="BA94" s="583"/>
      <c r="BB94" s="584"/>
      <c r="BC94" s="583"/>
      <c r="BD94" s="585"/>
      <c r="BE94" s="583"/>
      <c r="BF94" s="584"/>
      <c r="BG94" s="583"/>
      <c r="BH94" s="585"/>
      <c r="BI94" s="583"/>
      <c r="BJ94" s="584"/>
      <c r="BK94" s="583"/>
      <c r="BL94" s="585"/>
      <c r="BM94" s="583"/>
      <c r="BN94" s="584"/>
      <c r="BO94" s="583"/>
      <c r="BP94" s="585"/>
      <c r="BQ94" s="583"/>
      <c r="BR94" s="584"/>
      <c r="BS94" s="583"/>
      <c r="BT94" s="586"/>
      <c r="BU94" s="540"/>
      <c r="BV94" s="540"/>
      <c r="BW94" s="540"/>
      <c r="BX94" s="538"/>
      <c r="BY94" s="538"/>
      <c r="BZ94" s="592"/>
      <c r="CA94" s="633"/>
      <c r="CB94" s="592" t="s">
        <v>365</v>
      </c>
      <c r="CC94" s="592">
        <v>0.0</v>
      </c>
      <c r="CD94" s="592" t="s">
        <v>365</v>
      </c>
      <c r="CE94" s="592">
        <v>0.0</v>
      </c>
      <c r="CF94" s="592"/>
      <c r="CG94" s="592">
        <v>0.0</v>
      </c>
      <c r="CH94" s="592"/>
      <c r="CI94" s="633"/>
      <c r="CJ94" s="592">
        <v>0.0</v>
      </c>
      <c r="CK94" s="479" t="s">
        <v>365</v>
      </c>
      <c r="CL94" s="592"/>
      <c r="CM94" s="593"/>
      <c r="CN94" s="538"/>
      <c r="CO94" s="538"/>
      <c r="CP94" s="538"/>
      <c r="CQ94" s="538"/>
      <c r="CR94" s="538"/>
      <c r="CS94" s="538"/>
      <c r="CT94" s="538"/>
      <c r="CU94" s="538"/>
      <c r="CV94" s="538"/>
      <c r="CW94" s="538"/>
      <c r="CX94" s="538"/>
      <c r="CY94" s="538"/>
      <c r="CZ94" s="538"/>
      <c r="DA94" s="538"/>
      <c r="DB94" s="538"/>
      <c r="DC94" s="538"/>
      <c r="DD94" s="538"/>
      <c r="DE94" s="538"/>
      <c r="DF94" s="538"/>
      <c r="DG94" s="538"/>
      <c r="DH94" s="538"/>
      <c r="DI94" s="538"/>
      <c r="DJ94" s="538"/>
      <c r="DK94" s="538"/>
      <c r="DL94" s="538"/>
      <c r="DM94" s="538"/>
      <c r="DN94" s="538"/>
      <c r="DO94" s="538"/>
      <c r="DP94" s="538"/>
      <c r="DQ94" s="538"/>
      <c r="DR94" s="538"/>
      <c r="DS94" s="538"/>
      <c r="DT94" s="538"/>
      <c r="DU94" s="538"/>
      <c r="DV94" s="538"/>
      <c r="DW94" s="538"/>
      <c r="DX94" s="538"/>
      <c r="DY94" s="538"/>
      <c r="DZ94" s="538"/>
      <c r="EA94" s="538"/>
      <c r="EB94" s="538"/>
      <c r="EC94" s="538"/>
      <c r="ED94" s="538"/>
      <c r="EE94" s="538"/>
      <c r="EF94" s="538"/>
      <c r="EG94" s="538"/>
      <c r="EH94" s="538"/>
      <c r="EI94" s="538"/>
      <c r="EJ94" s="538"/>
      <c r="EK94" s="538"/>
      <c r="EL94" s="538"/>
      <c r="EM94" s="538"/>
      <c r="EN94" s="538"/>
      <c r="EO94" s="538"/>
      <c r="EP94" s="538"/>
      <c r="EQ94" s="538"/>
      <c r="ER94" s="538"/>
      <c r="ES94" s="538"/>
      <c r="ET94" s="538"/>
      <c r="EU94" s="538"/>
      <c r="EV94" s="538"/>
      <c r="EW94" s="538"/>
      <c r="EX94" s="559"/>
      <c r="EY94" s="559"/>
      <c r="EZ94" s="559"/>
      <c r="FA94" s="559"/>
      <c r="FB94" s="559"/>
      <c r="FC94" s="559"/>
      <c r="FD94" s="559"/>
      <c r="FE94" s="559"/>
      <c r="FF94" s="559"/>
      <c r="FG94" s="559"/>
      <c r="FH94" s="559"/>
      <c r="FI94" s="559"/>
      <c r="FJ94" s="559"/>
      <c r="FK94" s="559"/>
      <c r="FL94" s="559"/>
      <c r="FM94" s="559"/>
      <c r="FN94" s="559"/>
      <c r="FO94" s="559"/>
      <c r="FP94" s="559"/>
      <c r="FQ94" s="559"/>
      <c r="FR94" s="559"/>
      <c r="FS94" s="559"/>
      <c r="FT94" s="559"/>
      <c r="FU94" s="559"/>
      <c r="FV94" s="559"/>
      <c r="FW94" s="559"/>
      <c r="FX94" s="559"/>
      <c r="FY94" s="559"/>
      <c r="FZ94" s="559"/>
      <c r="GA94" s="559"/>
      <c r="GB94" s="559"/>
      <c r="GC94" s="559"/>
      <c r="GD94" s="559"/>
      <c r="GE94" s="559"/>
      <c r="GF94" s="559"/>
      <c r="GG94" s="559"/>
      <c r="GH94" s="559"/>
    </row>
    <row r="95">
      <c r="A95" s="538"/>
      <c r="B95" s="156"/>
      <c r="C95" s="444"/>
      <c r="D95" s="614"/>
      <c r="E95" s="66"/>
      <c r="F95" s="642"/>
      <c r="G95" s="642"/>
      <c r="H95" s="615"/>
      <c r="I95" s="616" t="s">
        <v>365</v>
      </c>
      <c r="J95" s="624"/>
      <c r="K95" s="643"/>
      <c r="L95" s="640"/>
      <c r="M95" s="625"/>
      <c r="N95" s="617"/>
      <c r="O95" s="134"/>
      <c r="P95" s="57"/>
      <c r="Q95" s="57"/>
      <c r="S95" s="605"/>
      <c r="U95" s="573"/>
      <c r="V95" s="574"/>
      <c r="W95" s="618"/>
      <c r="X95" s="576">
        <v>0.0</v>
      </c>
      <c r="Y95" s="630">
        <v>0.0</v>
      </c>
      <c r="Z95" s="630" t="s">
        <v>365</v>
      </c>
      <c r="AA95" s="631" t="b">
        <v>0</v>
      </c>
      <c r="AB95" s="631"/>
      <c r="AC95" s="576"/>
      <c r="AD95" s="479">
        <v>0.0</v>
      </c>
      <c r="AE95" s="632"/>
      <c r="AF95" s="582" t="s">
        <v>365</v>
      </c>
      <c r="AG95" s="583"/>
      <c r="AH95" s="584"/>
      <c r="AI95" s="583"/>
      <c r="AJ95" s="585"/>
      <c r="AK95" s="583"/>
      <c r="AL95" s="584"/>
      <c r="AM95" s="583"/>
      <c r="AN95" s="585"/>
      <c r="AO95" s="583"/>
      <c r="AP95" s="584"/>
      <c r="AQ95" s="583"/>
      <c r="AR95" s="585"/>
      <c r="AS95" s="583"/>
      <c r="AT95" s="584"/>
      <c r="AU95" s="583"/>
      <c r="AV95" s="585"/>
      <c r="AW95" s="583"/>
      <c r="AX95" s="584"/>
      <c r="AY95" s="583"/>
      <c r="AZ95" s="585"/>
      <c r="BA95" s="583"/>
      <c r="BB95" s="584"/>
      <c r="BC95" s="583"/>
      <c r="BD95" s="585"/>
      <c r="BE95" s="583"/>
      <c r="BF95" s="584"/>
      <c r="BG95" s="583"/>
      <c r="BH95" s="585"/>
      <c r="BI95" s="583"/>
      <c r="BJ95" s="584"/>
      <c r="BK95" s="583"/>
      <c r="BL95" s="585"/>
      <c r="BM95" s="583"/>
      <c r="BN95" s="584"/>
      <c r="BO95" s="583"/>
      <c r="BP95" s="585"/>
      <c r="BQ95" s="583"/>
      <c r="BR95" s="584"/>
      <c r="BS95" s="583"/>
      <c r="BT95" s="586"/>
      <c r="BU95" s="540"/>
      <c r="BV95" s="540"/>
      <c r="BW95" s="540"/>
      <c r="BX95" s="538"/>
      <c r="BY95" s="538"/>
      <c r="BZ95" s="592"/>
      <c r="CA95" s="633"/>
      <c r="CB95" s="592" t="s">
        <v>365</v>
      </c>
      <c r="CC95" s="592">
        <v>0.0</v>
      </c>
      <c r="CD95" s="592" t="s">
        <v>365</v>
      </c>
      <c r="CE95" s="592">
        <v>0.0</v>
      </c>
      <c r="CF95" s="592"/>
      <c r="CG95" s="592">
        <v>0.0</v>
      </c>
      <c r="CH95" s="592"/>
      <c r="CI95" s="633"/>
      <c r="CJ95" s="592">
        <v>0.0</v>
      </c>
      <c r="CK95" s="479" t="s">
        <v>365</v>
      </c>
      <c r="CL95" s="592"/>
      <c r="CM95" s="593"/>
      <c r="CN95" s="538"/>
      <c r="CO95" s="538"/>
      <c r="CP95" s="538"/>
      <c r="CQ95" s="538"/>
      <c r="CR95" s="538"/>
      <c r="CS95" s="538"/>
      <c r="CT95" s="538"/>
      <c r="CU95" s="538"/>
      <c r="CV95" s="538"/>
      <c r="CW95" s="538"/>
      <c r="CX95" s="538"/>
      <c r="CY95" s="538"/>
      <c r="CZ95" s="538"/>
      <c r="DA95" s="538"/>
      <c r="DB95" s="538"/>
      <c r="DC95" s="538"/>
      <c r="DD95" s="538"/>
      <c r="DE95" s="538"/>
      <c r="DF95" s="538"/>
      <c r="DG95" s="538"/>
      <c r="DH95" s="538"/>
      <c r="DI95" s="538"/>
      <c r="DJ95" s="538"/>
      <c r="DK95" s="538"/>
      <c r="DL95" s="538"/>
      <c r="DM95" s="538"/>
      <c r="DN95" s="538"/>
      <c r="DO95" s="538"/>
      <c r="DP95" s="538"/>
      <c r="DQ95" s="538"/>
      <c r="DR95" s="538"/>
      <c r="DS95" s="538"/>
      <c r="DT95" s="538"/>
      <c r="DU95" s="538"/>
      <c r="DV95" s="538"/>
      <c r="DW95" s="538"/>
      <c r="DX95" s="538"/>
      <c r="DY95" s="538"/>
      <c r="DZ95" s="538"/>
      <c r="EA95" s="538"/>
      <c r="EB95" s="538"/>
      <c r="EC95" s="538"/>
      <c r="ED95" s="538"/>
      <c r="EE95" s="538"/>
      <c r="EF95" s="538"/>
      <c r="EG95" s="538"/>
      <c r="EH95" s="538"/>
      <c r="EI95" s="538"/>
      <c r="EJ95" s="538"/>
      <c r="EK95" s="538"/>
      <c r="EL95" s="538"/>
      <c r="EM95" s="538"/>
      <c r="EN95" s="538"/>
      <c r="EO95" s="538"/>
      <c r="EP95" s="538"/>
      <c r="EQ95" s="538"/>
      <c r="ER95" s="538"/>
      <c r="ES95" s="538"/>
      <c r="ET95" s="538"/>
      <c r="EU95" s="538"/>
      <c r="EV95" s="538"/>
      <c r="EW95" s="538"/>
      <c r="EX95" s="559"/>
      <c r="EY95" s="559"/>
      <c r="EZ95" s="559"/>
      <c r="FA95" s="559"/>
      <c r="FB95" s="559"/>
      <c r="FC95" s="559"/>
      <c r="FD95" s="559"/>
      <c r="FE95" s="559"/>
      <c r="FF95" s="559"/>
      <c r="FG95" s="559"/>
      <c r="FH95" s="559"/>
      <c r="FI95" s="559"/>
      <c r="FJ95" s="559"/>
      <c r="FK95" s="559"/>
      <c r="FL95" s="559"/>
      <c r="FM95" s="559"/>
      <c r="FN95" s="559"/>
      <c r="FO95" s="559"/>
      <c r="FP95" s="559"/>
      <c r="FQ95" s="559"/>
      <c r="FR95" s="559"/>
      <c r="FS95" s="559"/>
      <c r="FT95" s="559"/>
      <c r="FU95" s="559"/>
      <c r="FV95" s="559"/>
      <c r="FW95" s="559"/>
      <c r="FX95" s="559"/>
      <c r="FY95" s="559"/>
      <c r="FZ95" s="559"/>
      <c r="GA95" s="559"/>
      <c r="GB95" s="559"/>
      <c r="GC95" s="559"/>
      <c r="GD95" s="559"/>
      <c r="GE95" s="559"/>
      <c r="GF95" s="559"/>
      <c r="GG95" s="559"/>
      <c r="GH95" s="559"/>
    </row>
    <row r="96">
      <c r="A96" s="538"/>
      <c r="B96" s="156"/>
      <c r="C96" s="444"/>
      <c r="D96" s="614"/>
      <c r="E96" s="68"/>
      <c r="F96" s="644"/>
      <c r="G96" s="644"/>
      <c r="H96" s="627"/>
      <c r="I96" s="622" t="s">
        <v>365</v>
      </c>
      <c r="J96" s="607"/>
      <c r="K96" s="641"/>
      <c r="L96" s="628"/>
      <c r="M96" s="626"/>
      <c r="N96" s="619"/>
      <c r="O96" s="560"/>
      <c r="P96" s="47"/>
      <c r="Q96" s="47"/>
      <c r="S96" s="572"/>
      <c r="U96" s="573"/>
      <c r="V96" s="574"/>
      <c r="W96" s="618"/>
      <c r="X96" s="576">
        <v>0.0</v>
      </c>
      <c r="Y96" s="630">
        <v>0.0</v>
      </c>
      <c r="Z96" s="630" t="s">
        <v>365</v>
      </c>
      <c r="AA96" s="631" t="b">
        <v>0</v>
      </c>
      <c r="AB96" s="631"/>
      <c r="AC96" s="576"/>
      <c r="AD96" s="479">
        <v>0.0</v>
      </c>
      <c r="AE96" s="632"/>
      <c r="AF96" s="582" t="s">
        <v>365</v>
      </c>
      <c r="AG96" s="583"/>
      <c r="AH96" s="584"/>
      <c r="AI96" s="583"/>
      <c r="AJ96" s="585"/>
      <c r="AK96" s="583"/>
      <c r="AL96" s="584"/>
      <c r="AM96" s="583"/>
      <c r="AN96" s="585"/>
      <c r="AO96" s="583"/>
      <c r="AP96" s="584"/>
      <c r="AQ96" s="583"/>
      <c r="AR96" s="585"/>
      <c r="AS96" s="583"/>
      <c r="AT96" s="584"/>
      <c r="AU96" s="583"/>
      <c r="AV96" s="585"/>
      <c r="AW96" s="583"/>
      <c r="AX96" s="584"/>
      <c r="AY96" s="583"/>
      <c r="AZ96" s="585"/>
      <c r="BA96" s="583"/>
      <c r="BB96" s="584"/>
      <c r="BC96" s="583"/>
      <c r="BD96" s="585"/>
      <c r="BE96" s="583"/>
      <c r="BF96" s="584"/>
      <c r="BG96" s="583"/>
      <c r="BH96" s="585"/>
      <c r="BI96" s="583"/>
      <c r="BJ96" s="584"/>
      <c r="BK96" s="583"/>
      <c r="BL96" s="585"/>
      <c r="BM96" s="583"/>
      <c r="BN96" s="584"/>
      <c r="BO96" s="583"/>
      <c r="BP96" s="585"/>
      <c r="BQ96" s="583"/>
      <c r="BR96" s="584"/>
      <c r="BS96" s="583"/>
      <c r="BT96" s="586"/>
      <c r="BU96" s="540"/>
      <c r="BV96" s="540"/>
      <c r="BW96" s="540"/>
      <c r="BX96" s="538"/>
      <c r="BY96" s="538"/>
      <c r="BZ96" s="592"/>
      <c r="CA96" s="633"/>
      <c r="CB96" s="592" t="s">
        <v>365</v>
      </c>
      <c r="CC96" s="592">
        <v>0.0</v>
      </c>
      <c r="CD96" s="592" t="s">
        <v>365</v>
      </c>
      <c r="CE96" s="592">
        <v>0.0</v>
      </c>
      <c r="CF96" s="592"/>
      <c r="CG96" s="592">
        <v>0.0</v>
      </c>
      <c r="CH96" s="592"/>
      <c r="CI96" s="633"/>
      <c r="CJ96" s="592">
        <v>0.0</v>
      </c>
      <c r="CK96" s="479" t="s">
        <v>365</v>
      </c>
      <c r="CL96" s="592"/>
      <c r="CM96" s="593"/>
      <c r="CN96" s="538"/>
      <c r="CO96" s="538"/>
      <c r="CP96" s="538"/>
      <c r="CQ96" s="538"/>
      <c r="CR96" s="538"/>
      <c r="CS96" s="538"/>
      <c r="CT96" s="538"/>
      <c r="CU96" s="538"/>
      <c r="CV96" s="538"/>
      <c r="CW96" s="538"/>
      <c r="CX96" s="538"/>
      <c r="CY96" s="538"/>
      <c r="CZ96" s="538"/>
      <c r="DA96" s="538"/>
      <c r="DB96" s="538"/>
      <c r="DC96" s="538"/>
      <c r="DD96" s="538"/>
      <c r="DE96" s="538"/>
      <c r="DF96" s="538"/>
      <c r="DG96" s="538"/>
      <c r="DH96" s="538"/>
      <c r="DI96" s="538"/>
      <c r="DJ96" s="538"/>
      <c r="DK96" s="538"/>
      <c r="DL96" s="538"/>
      <c r="DM96" s="538"/>
      <c r="DN96" s="538"/>
      <c r="DO96" s="538"/>
      <c r="DP96" s="538"/>
      <c r="DQ96" s="538"/>
      <c r="DR96" s="538"/>
      <c r="DS96" s="538"/>
      <c r="DT96" s="538"/>
      <c r="DU96" s="538"/>
      <c r="DV96" s="538"/>
      <c r="DW96" s="538"/>
      <c r="DX96" s="538"/>
      <c r="DY96" s="538"/>
      <c r="DZ96" s="538"/>
      <c r="EA96" s="538"/>
      <c r="EB96" s="538"/>
      <c r="EC96" s="538"/>
      <c r="ED96" s="538"/>
      <c r="EE96" s="538"/>
      <c r="EF96" s="538"/>
      <c r="EG96" s="538"/>
      <c r="EH96" s="538"/>
      <c r="EI96" s="538"/>
      <c r="EJ96" s="538"/>
      <c r="EK96" s="538"/>
      <c r="EL96" s="538"/>
      <c r="EM96" s="538"/>
      <c r="EN96" s="538"/>
      <c r="EO96" s="538"/>
      <c r="EP96" s="538"/>
      <c r="EQ96" s="538"/>
      <c r="ER96" s="538"/>
      <c r="ES96" s="538"/>
      <c r="ET96" s="538"/>
      <c r="EU96" s="538"/>
      <c r="EV96" s="538"/>
      <c r="EW96" s="538"/>
      <c r="EX96" s="559"/>
      <c r="EY96" s="559"/>
      <c r="EZ96" s="559"/>
      <c r="FA96" s="559"/>
      <c r="FB96" s="559"/>
      <c r="FC96" s="559"/>
      <c r="FD96" s="559"/>
      <c r="FE96" s="559"/>
      <c r="FF96" s="559"/>
      <c r="FG96" s="559"/>
      <c r="FH96" s="559"/>
      <c r="FI96" s="559"/>
      <c r="FJ96" s="559"/>
      <c r="FK96" s="559"/>
      <c r="FL96" s="559"/>
      <c r="FM96" s="559"/>
      <c r="FN96" s="559"/>
      <c r="FO96" s="559"/>
      <c r="FP96" s="559"/>
      <c r="FQ96" s="559"/>
      <c r="FR96" s="559"/>
      <c r="FS96" s="559"/>
      <c r="FT96" s="559"/>
      <c r="FU96" s="559"/>
      <c r="FV96" s="559"/>
      <c r="FW96" s="559"/>
      <c r="FX96" s="559"/>
      <c r="FY96" s="559"/>
      <c r="FZ96" s="559"/>
      <c r="GA96" s="559"/>
      <c r="GB96" s="559"/>
      <c r="GC96" s="559"/>
      <c r="GD96" s="559"/>
      <c r="GE96" s="559"/>
      <c r="GF96" s="559"/>
      <c r="GG96" s="559"/>
      <c r="GH96" s="559"/>
    </row>
    <row r="97">
      <c r="A97" s="538"/>
      <c r="B97" s="156"/>
      <c r="C97" s="444"/>
      <c r="D97" s="614"/>
      <c r="E97" s="66"/>
      <c r="F97" s="642"/>
      <c r="G97" s="642"/>
      <c r="H97" s="615"/>
      <c r="I97" s="616" t="s">
        <v>365</v>
      </c>
      <c r="J97" s="624"/>
      <c r="K97" s="643"/>
      <c r="L97" s="640"/>
      <c r="M97" s="625"/>
      <c r="N97" s="617"/>
      <c r="O97" s="134"/>
      <c r="P97" s="57"/>
      <c r="Q97" s="57"/>
      <c r="S97" s="605"/>
      <c r="U97" s="573"/>
      <c r="V97" s="574"/>
      <c r="W97" s="618"/>
      <c r="X97" s="576">
        <v>0.0</v>
      </c>
      <c r="Y97" s="630">
        <v>0.0</v>
      </c>
      <c r="Z97" s="630" t="s">
        <v>365</v>
      </c>
      <c r="AA97" s="631" t="b">
        <v>0</v>
      </c>
      <c r="AB97" s="631"/>
      <c r="AC97" s="576"/>
      <c r="AD97" s="479">
        <v>0.0</v>
      </c>
      <c r="AE97" s="632"/>
      <c r="AF97" s="582" t="s">
        <v>365</v>
      </c>
      <c r="AG97" s="583"/>
      <c r="AH97" s="584"/>
      <c r="AI97" s="583"/>
      <c r="AJ97" s="585"/>
      <c r="AK97" s="583"/>
      <c r="AL97" s="584"/>
      <c r="AM97" s="583"/>
      <c r="AN97" s="585"/>
      <c r="AO97" s="583"/>
      <c r="AP97" s="584"/>
      <c r="AQ97" s="583"/>
      <c r="AR97" s="585"/>
      <c r="AS97" s="583"/>
      <c r="AT97" s="584"/>
      <c r="AU97" s="583"/>
      <c r="AV97" s="585"/>
      <c r="AW97" s="583"/>
      <c r="AX97" s="584"/>
      <c r="AY97" s="583"/>
      <c r="AZ97" s="585"/>
      <c r="BA97" s="583"/>
      <c r="BB97" s="584"/>
      <c r="BC97" s="583"/>
      <c r="BD97" s="585"/>
      <c r="BE97" s="583"/>
      <c r="BF97" s="584"/>
      <c r="BG97" s="583"/>
      <c r="BH97" s="585"/>
      <c r="BI97" s="583"/>
      <c r="BJ97" s="584"/>
      <c r="BK97" s="583"/>
      <c r="BL97" s="585"/>
      <c r="BM97" s="583"/>
      <c r="BN97" s="584"/>
      <c r="BO97" s="583"/>
      <c r="BP97" s="585"/>
      <c r="BQ97" s="583"/>
      <c r="BR97" s="584"/>
      <c r="BS97" s="583"/>
      <c r="BT97" s="586"/>
      <c r="BU97" s="540"/>
      <c r="BV97" s="540"/>
      <c r="BW97" s="540"/>
      <c r="BX97" s="538"/>
      <c r="BY97" s="538"/>
      <c r="BZ97" s="592"/>
      <c r="CA97" s="633"/>
      <c r="CB97" s="592" t="s">
        <v>365</v>
      </c>
      <c r="CC97" s="592">
        <v>0.0</v>
      </c>
      <c r="CD97" s="592" t="s">
        <v>365</v>
      </c>
      <c r="CE97" s="592">
        <v>0.0</v>
      </c>
      <c r="CF97" s="592"/>
      <c r="CG97" s="592">
        <v>0.0</v>
      </c>
      <c r="CH97" s="592"/>
      <c r="CI97" s="633"/>
      <c r="CJ97" s="592">
        <v>0.0</v>
      </c>
      <c r="CK97" s="479" t="s">
        <v>365</v>
      </c>
      <c r="CL97" s="592"/>
      <c r="CM97" s="593"/>
      <c r="CN97" s="538"/>
      <c r="CO97" s="538"/>
      <c r="CP97" s="538"/>
      <c r="CQ97" s="538"/>
      <c r="CR97" s="538"/>
      <c r="CS97" s="538"/>
      <c r="CT97" s="538"/>
      <c r="CU97" s="538"/>
      <c r="CV97" s="538"/>
      <c r="CW97" s="538"/>
      <c r="CX97" s="538"/>
      <c r="CY97" s="538"/>
      <c r="CZ97" s="538"/>
      <c r="DA97" s="538"/>
      <c r="DB97" s="538"/>
      <c r="DC97" s="538"/>
      <c r="DD97" s="538"/>
      <c r="DE97" s="538"/>
      <c r="DF97" s="538"/>
      <c r="DG97" s="538"/>
      <c r="DH97" s="538"/>
      <c r="DI97" s="538"/>
      <c r="DJ97" s="538"/>
      <c r="DK97" s="538"/>
      <c r="DL97" s="538"/>
      <c r="DM97" s="538"/>
      <c r="DN97" s="538"/>
      <c r="DO97" s="538"/>
      <c r="DP97" s="538"/>
      <c r="DQ97" s="538"/>
      <c r="DR97" s="538"/>
      <c r="DS97" s="538"/>
      <c r="DT97" s="538"/>
      <c r="DU97" s="538"/>
      <c r="DV97" s="538"/>
      <c r="DW97" s="538"/>
      <c r="DX97" s="538"/>
      <c r="DY97" s="538"/>
      <c r="DZ97" s="538"/>
      <c r="EA97" s="538"/>
      <c r="EB97" s="538"/>
      <c r="EC97" s="538"/>
      <c r="ED97" s="538"/>
      <c r="EE97" s="538"/>
      <c r="EF97" s="538"/>
      <c r="EG97" s="538"/>
      <c r="EH97" s="538"/>
      <c r="EI97" s="538"/>
      <c r="EJ97" s="538"/>
      <c r="EK97" s="538"/>
      <c r="EL97" s="538"/>
      <c r="EM97" s="538"/>
      <c r="EN97" s="538"/>
      <c r="EO97" s="538"/>
      <c r="EP97" s="538"/>
      <c r="EQ97" s="538"/>
      <c r="ER97" s="538"/>
      <c r="ES97" s="538"/>
      <c r="ET97" s="538"/>
      <c r="EU97" s="538"/>
      <c r="EV97" s="538"/>
      <c r="EW97" s="538"/>
      <c r="EX97" s="559"/>
      <c r="EY97" s="559"/>
      <c r="EZ97" s="559"/>
      <c r="FA97" s="559"/>
      <c r="FB97" s="559"/>
      <c r="FC97" s="559"/>
      <c r="FD97" s="559"/>
      <c r="FE97" s="559"/>
      <c r="FF97" s="559"/>
      <c r="FG97" s="559"/>
      <c r="FH97" s="559"/>
      <c r="FI97" s="559"/>
      <c r="FJ97" s="559"/>
      <c r="FK97" s="559"/>
      <c r="FL97" s="559"/>
      <c r="FM97" s="559"/>
      <c r="FN97" s="559"/>
      <c r="FO97" s="559"/>
      <c r="FP97" s="559"/>
      <c r="FQ97" s="559"/>
      <c r="FR97" s="559"/>
      <c r="FS97" s="559"/>
      <c r="FT97" s="559"/>
      <c r="FU97" s="559"/>
      <c r="FV97" s="559"/>
      <c r="FW97" s="559"/>
      <c r="FX97" s="559"/>
      <c r="FY97" s="559"/>
      <c r="FZ97" s="559"/>
      <c r="GA97" s="559"/>
      <c r="GB97" s="559"/>
      <c r="GC97" s="559"/>
      <c r="GD97" s="559"/>
      <c r="GE97" s="559"/>
      <c r="GF97" s="559"/>
      <c r="GG97" s="559"/>
      <c r="GH97" s="559"/>
    </row>
    <row r="98">
      <c r="A98" s="538"/>
      <c r="B98" s="156"/>
      <c r="C98" s="444"/>
      <c r="D98" s="614"/>
      <c r="E98" s="68"/>
      <c r="F98" s="644"/>
      <c r="G98" s="644"/>
      <c r="H98" s="627"/>
      <c r="I98" s="622" t="s">
        <v>365</v>
      </c>
      <c r="J98" s="607"/>
      <c r="K98" s="641"/>
      <c r="L98" s="628"/>
      <c r="M98" s="626"/>
      <c r="N98" s="619"/>
      <c r="O98" s="560"/>
      <c r="P98" s="47"/>
      <c r="Q98" s="47"/>
      <c r="S98" s="572"/>
      <c r="U98" s="573"/>
      <c r="V98" s="574"/>
      <c r="W98" s="618"/>
      <c r="X98" s="576">
        <v>0.0</v>
      </c>
      <c r="Y98" s="630">
        <v>0.0</v>
      </c>
      <c r="Z98" s="630" t="s">
        <v>365</v>
      </c>
      <c r="AA98" s="631" t="b">
        <v>0</v>
      </c>
      <c r="AB98" s="631"/>
      <c r="AC98" s="576"/>
      <c r="AD98" s="479">
        <v>0.0</v>
      </c>
      <c r="AE98" s="632"/>
      <c r="AF98" s="582" t="s">
        <v>365</v>
      </c>
      <c r="AG98" s="583"/>
      <c r="AH98" s="584"/>
      <c r="AI98" s="583"/>
      <c r="AJ98" s="585"/>
      <c r="AK98" s="583"/>
      <c r="AL98" s="584"/>
      <c r="AM98" s="583"/>
      <c r="AN98" s="585"/>
      <c r="AO98" s="583"/>
      <c r="AP98" s="584"/>
      <c r="AQ98" s="583"/>
      <c r="AR98" s="585"/>
      <c r="AS98" s="583"/>
      <c r="AT98" s="584"/>
      <c r="AU98" s="583"/>
      <c r="AV98" s="585"/>
      <c r="AW98" s="583"/>
      <c r="AX98" s="584"/>
      <c r="AY98" s="583"/>
      <c r="AZ98" s="585"/>
      <c r="BA98" s="583"/>
      <c r="BB98" s="584"/>
      <c r="BC98" s="583"/>
      <c r="BD98" s="585"/>
      <c r="BE98" s="583"/>
      <c r="BF98" s="584"/>
      <c r="BG98" s="583"/>
      <c r="BH98" s="585"/>
      <c r="BI98" s="583"/>
      <c r="BJ98" s="584"/>
      <c r="BK98" s="583"/>
      <c r="BL98" s="585"/>
      <c r="BM98" s="583"/>
      <c r="BN98" s="584"/>
      <c r="BO98" s="583"/>
      <c r="BP98" s="585"/>
      <c r="BQ98" s="583"/>
      <c r="BR98" s="584"/>
      <c r="BS98" s="583"/>
      <c r="BT98" s="586"/>
      <c r="BU98" s="540"/>
      <c r="BV98" s="540"/>
      <c r="BW98" s="540"/>
      <c r="BX98" s="538"/>
      <c r="BY98" s="538"/>
      <c r="BZ98" s="592"/>
      <c r="CA98" s="633"/>
      <c r="CB98" s="592" t="s">
        <v>365</v>
      </c>
      <c r="CC98" s="592">
        <v>0.0</v>
      </c>
      <c r="CD98" s="592" t="s">
        <v>365</v>
      </c>
      <c r="CE98" s="592">
        <v>0.0</v>
      </c>
      <c r="CF98" s="592"/>
      <c r="CG98" s="592">
        <v>0.0</v>
      </c>
      <c r="CH98" s="592"/>
      <c r="CI98" s="633"/>
      <c r="CJ98" s="592">
        <v>0.0</v>
      </c>
      <c r="CK98" s="479" t="s">
        <v>365</v>
      </c>
      <c r="CL98" s="592"/>
      <c r="CM98" s="593"/>
      <c r="CN98" s="538"/>
      <c r="CO98" s="538"/>
      <c r="CP98" s="538"/>
      <c r="CQ98" s="538"/>
      <c r="CR98" s="538"/>
      <c r="CS98" s="538"/>
      <c r="CT98" s="538"/>
      <c r="CU98" s="538"/>
      <c r="CV98" s="538"/>
      <c r="CW98" s="538"/>
      <c r="CX98" s="538"/>
      <c r="CY98" s="538"/>
      <c r="CZ98" s="538"/>
      <c r="DA98" s="538"/>
      <c r="DB98" s="538"/>
      <c r="DC98" s="538"/>
      <c r="DD98" s="538"/>
      <c r="DE98" s="538"/>
      <c r="DF98" s="538"/>
      <c r="DG98" s="538"/>
      <c r="DH98" s="538"/>
      <c r="DI98" s="538"/>
      <c r="DJ98" s="538"/>
      <c r="DK98" s="538"/>
      <c r="DL98" s="538"/>
      <c r="DM98" s="538"/>
      <c r="DN98" s="538"/>
      <c r="DO98" s="538"/>
      <c r="DP98" s="538"/>
      <c r="DQ98" s="538"/>
      <c r="DR98" s="538"/>
      <c r="DS98" s="538"/>
      <c r="DT98" s="538"/>
      <c r="DU98" s="538"/>
      <c r="DV98" s="538"/>
      <c r="DW98" s="538"/>
      <c r="DX98" s="538"/>
      <c r="DY98" s="538"/>
      <c r="DZ98" s="538"/>
      <c r="EA98" s="538"/>
      <c r="EB98" s="538"/>
      <c r="EC98" s="538"/>
      <c r="ED98" s="538"/>
      <c r="EE98" s="538"/>
      <c r="EF98" s="538"/>
      <c r="EG98" s="538"/>
      <c r="EH98" s="538"/>
      <c r="EI98" s="538"/>
      <c r="EJ98" s="538"/>
      <c r="EK98" s="538"/>
      <c r="EL98" s="538"/>
      <c r="EM98" s="538"/>
      <c r="EN98" s="538"/>
      <c r="EO98" s="538"/>
      <c r="EP98" s="538"/>
      <c r="EQ98" s="538"/>
      <c r="ER98" s="538"/>
      <c r="ES98" s="538"/>
      <c r="ET98" s="538"/>
      <c r="EU98" s="538"/>
      <c r="EV98" s="538"/>
      <c r="EW98" s="538"/>
      <c r="EX98" s="559"/>
      <c r="EY98" s="559"/>
      <c r="EZ98" s="559"/>
      <c r="FA98" s="559"/>
      <c r="FB98" s="559"/>
      <c r="FC98" s="559"/>
      <c r="FD98" s="559"/>
      <c r="FE98" s="559"/>
      <c r="FF98" s="559"/>
      <c r="FG98" s="559"/>
      <c r="FH98" s="559"/>
      <c r="FI98" s="559"/>
      <c r="FJ98" s="559"/>
      <c r="FK98" s="559"/>
      <c r="FL98" s="559"/>
      <c r="FM98" s="559"/>
      <c r="FN98" s="559"/>
      <c r="FO98" s="559"/>
      <c r="FP98" s="559"/>
      <c r="FQ98" s="559"/>
      <c r="FR98" s="559"/>
      <c r="FS98" s="559"/>
      <c r="FT98" s="559"/>
      <c r="FU98" s="559"/>
      <c r="FV98" s="559"/>
      <c r="FW98" s="559"/>
      <c r="FX98" s="559"/>
      <c r="FY98" s="559"/>
      <c r="FZ98" s="559"/>
      <c r="GA98" s="559"/>
      <c r="GB98" s="559"/>
      <c r="GC98" s="559"/>
      <c r="GD98" s="559"/>
      <c r="GE98" s="559"/>
      <c r="GF98" s="559"/>
      <c r="GG98" s="559"/>
      <c r="GH98" s="559"/>
    </row>
    <row r="99">
      <c r="A99" s="538"/>
      <c r="B99" s="156"/>
      <c r="C99" s="444"/>
      <c r="D99" s="614"/>
      <c r="E99" s="66"/>
      <c r="F99" s="642"/>
      <c r="G99" s="642"/>
      <c r="H99" s="615"/>
      <c r="I99" s="616" t="s">
        <v>365</v>
      </c>
      <c r="J99" s="624"/>
      <c r="K99" s="643"/>
      <c r="L99" s="640"/>
      <c r="M99" s="625"/>
      <c r="N99" s="617"/>
      <c r="O99" s="134"/>
      <c r="P99" s="57"/>
      <c r="Q99" s="57"/>
      <c r="S99" s="605"/>
      <c r="U99" s="573"/>
      <c r="V99" s="574"/>
      <c r="W99" s="618"/>
      <c r="X99" s="576">
        <v>0.0</v>
      </c>
      <c r="Y99" s="630">
        <v>0.0</v>
      </c>
      <c r="Z99" s="630" t="s">
        <v>365</v>
      </c>
      <c r="AA99" s="631" t="b">
        <v>0</v>
      </c>
      <c r="AB99" s="631"/>
      <c r="AC99" s="576"/>
      <c r="AD99" s="479">
        <v>0.0</v>
      </c>
      <c r="AE99" s="632"/>
      <c r="AF99" s="582" t="s">
        <v>365</v>
      </c>
      <c r="AG99" s="583"/>
      <c r="AH99" s="584"/>
      <c r="AI99" s="583"/>
      <c r="AJ99" s="585"/>
      <c r="AK99" s="583"/>
      <c r="AL99" s="584"/>
      <c r="AM99" s="583"/>
      <c r="AN99" s="585"/>
      <c r="AO99" s="583"/>
      <c r="AP99" s="584"/>
      <c r="AQ99" s="583"/>
      <c r="AR99" s="585"/>
      <c r="AS99" s="583"/>
      <c r="AT99" s="584"/>
      <c r="AU99" s="583"/>
      <c r="AV99" s="585"/>
      <c r="AW99" s="583"/>
      <c r="AX99" s="584"/>
      <c r="AY99" s="583"/>
      <c r="AZ99" s="585"/>
      <c r="BA99" s="583"/>
      <c r="BB99" s="584"/>
      <c r="BC99" s="583"/>
      <c r="BD99" s="585"/>
      <c r="BE99" s="583"/>
      <c r="BF99" s="584"/>
      <c r="BG99" s="583"/>
      <c r="BH99" s="585"/>
      <c r="BI99" s="583"/>
      <c r="BJ99" s="584"/>
      <c r="BK99" s="583"/>
      <c r="BL99" s="585"/>
      <c r="BM99" s="583"/>
      <c r="BN99" s="584"/>
      <c r="BO99" s="583"/>
      <c r="BP99" s="585"/>
      <c r="BQ99" s="583"/>
      <c r="BR99" s="584"/>
      <c r="BS99" s="583"/>
      <c r="BT99" s="586"/>
      <c r="BU99" s="540"/>
      <c r="BV99" s="540"/>
      <c r="BW99" s="540"/>
      <c r="BX99" s="538"/>
      <c r="BY99" s="538"/>
      <c r="BZ99" s="592"/>
      <c r="CA99" s="633"/>
      <c r="CB99" s="592" t="s">
        <v>365</v>
      </c>
      <c r="CC99" s="592">
        <v>0.0</v>
      </c>
      <c r="CD99" s="592" t="s">
        <v>365</v>
      </c>
      <c r="CE99" s="592">
        <v>0.0</v>
      </c>
      <c r="CF99" s="592"/>
      <c r="CG99" s="592">
        <v>0.0</v>
      </c>
      <c r="CH99" s="592"/>
      <c r="CI99" s="633"/>
      <c r="CJ99" s="592">
        <v>0.0</v>
      </c>
      <c r="CK99" s="479" t="s">
        <v>365</v>
      </c>
      <c r="CL99" s="592"/>
      <c r="CM99" s="593"/>
      <c r="CN99" s="538"/>
      <c r="CO99" s="538"/>
      <c r="CP99" s="538"/>
      <c r="CQ99" s="538"/>
      <c r="CR99" s="538"/>
      <c r="CS99" s="538"/>
      <c r="CT99" s="538"/>
      <c r="CU99" s="538"/>
      <c r="CV99" s="538"/>
      <c r="CW99" s="538"/>
      <c r="CX99" s="538"/>
      <c r="CY99" s="538"/>
      <c r="CZ99" s="538"/>
      <c r="DA99" s="538"/>
      <c r="DB99" s="538"/>
      <c r="DC99" s="538"/>
      <c r="DD99" s="538"/>
      <c r="DE99" s="538"/>
      <c r="DF99" s="538"/>
      <c r="DG99" s="538"/>
      <c r="DH99" s="538"/>
      <c r="DI99" s="538"/>
      <c r="DJ99" s="538"/>
      <c r="DK99" s="538"/>
      <c r="DL99" s="538"/>
      <c r="DM99" s="538"/>
      <c r="DN99" s="538"/>
      <c r="DO99" s="538"/>
      <c r="DP99" s="538"/>
      <c r="DQ99" s="538"/>
      <c r="DR99" s="538"/>
      <c r="DS99" s="538"/>
      <c r="DT99" s="538"/>
      <c r="DU99" s="538"/>
      <c r="DV99" s="538"/>
      <c r="DW99" s="538"/>
      <c r="DX99" s="538"/>
      <c r="DY99" s="538"/>
      <c r="DZ99" s="538"/>
      <c r="EA99" s="538"/>
      <c r="EB99" s="538"/>
      <c r="EC99" s="538"/>
      <c r="ED99" s="538"/>
      <c r="EE99" s="538"/>
      <c r="EF99" s="538"/>
      <c r="EG99" s="538"/>
      <c r="EH99" s="538"/>
      <c r="EI99" s="538"/>
      <c r="EJ99" s="538"/>
      <c r="EK99" s="538"/>
      <c r="EL99" s="538"/>
      <c r="EM99" s="538"/>
      <c r="EN99" s="538"/>
      <c r="EO99" s="538"/>
      <c r="EP99" s="538"/>
      <c r="EQ99" s="538"/>
      <c r="ER99" s="538"/>
      <c r="ES99" s="538"/>
      <c r="ET99" s="538"/>
      <c r="EU99" s="538"/>
      <c r="EV99" s="538"/>
      <c r="EW99" s="538"/>
      <c r="EX99" s="559"/>
      <c r="EY99" s="559"/>
      <c r="EZ99" s="559"/>
      <c r="FA99" s="559"/>
      <c r="FB99" s="559"/>
      <c r="FC99" s="559"/>
      <c r="FD99" s="559"/>
      <c r="FE99" s="559"/>
      <c r="FF99" s="559"/>
      <c r="FG99" s="559"/>
      <c r="FH99" s="559"/>
      <c r="FI99" s="559"/>
      <c r="FJ99" s="559"/>
      <c r="FK99" s="559"/>
      <c r="FL99" s="559"/>
      <c r="FM99" s="559"/>
      <c r="FN99" s="559"/>
      <c r="FO99" s="559"/>
      <c r="FP99" s="559"/>
      <c r="FQ99" s="559"/>
      <c r="FR99" s="559"/>
      <c r="FS99" s="559"/>
      <c r="FT99" s="559"/>
      <c r="FU99" s="559"/>
      <c r="FV99" s="559"/>
      <c r="FW99" s="559"/>
      <c r="FX99" s="559"/>
      <c r="FY99" s="559"/>
      <c r="FZ99" s="559"/>
      <c r="GA99" s="559"/>
      <c r="GB99" s="559"/>
      <c r="GC99" s="559"/>
      <c r="GD99" s="559"/>
      <c r="GE99" s="559"/>
      <c r="GF99" s="559"/>
      <c r="GG99" s="559"/>
      <c r="GH99" s="559"/>
    </row>
    <row r="100">
      <c r="A100" s="538"/>
      <c r="B100" s="156"/>
      <c r="C100" s="444"/>
      <c r="D100" s="614"/>
      <c r="E100" s="68"/>
      <c r="F100" s="644"/>
      <c r="G100" s="644"/>
      <c r="H100" s="627"/>
      <c r="I100" s="622" t="s">
        <v>365</v>
      </c>
      <c r="J100" s="607"/>
      <c r="K100" s="641"/>
      <c r="L100" s="628"/>
      <c r="M100" s="626"/>
      <c r="N100" s="619"/>
      <c r="O100" s="560"/>
      <c r="P100" s="47"/>
      <c r="Q100" s="47"/>
      <c r="S100" s="572"/>
      <c r="U100" s="573"/>
      <c r="V100" s="574"/>
      <c r="W100" s="618"/>
      <c r="X100" s="576">
        <v>0.0</v>
      </c>
      <c r="Y100" s="630">
        <v>0.0</v>
      </c>
      <c r="Z100" s="630" t="s">
        <v>365</v>
      </c>
      <c r="AA100" s="631" t="b">
        <v>0</v>
      </c>
      <c r="AB100" s="631"/>
      <c r="AC100" s="576"/>
      <c r="AD100" s="479">
        <v>0.0</v>
      </c>
      <c r="AE100" s="632"/>
      <c r="AF100" s="582" t="s">
        <v>365</v>
      </c>
      <c r="AG100" s="583"/>
      <c r="AH100" s="584"/>
      <c r="AI100" s="583"/>
      <c r="AJ100" s="585"/>
      <c r="AK100" s="583"/>
      <c r="AL100" s="584"/>
      <c r="AM100" s="583"/>
      <c r="AN100" s="585"/>
      <c r="AO100" s="583"/>
      <c r="AP100" s="584"/>
      <c r="AQ100" s="583"/>
      <c r="AR100" s="585"/>
      <c r="AS100" s="583"/>
      <c r="AT100" s="584"/>
      <c r="AU100" s="583"/>
      <c r="AV100" s="585"/>
      <c r="AW100" s="583"/>
      <c r="AX100" s="584"/>
      <c r="AY100" s="583"/>
      <c r="AZ100" s="585"/>
      <c r="BA100" s="583"/>
      <c r="BB100" s="584"/>
      <c r="BC100" s="583"/>
      <c r="BD100" s="585"/>
      <c r="BE100" s="583"/>
      <c r="BF100" s="584"/>
      <c r="BG100" s="583"/>
      <c r="BH100" s="585"/>
      <c r="BI100" s="583"/>
      <c r="BJ100" s="584"/>
      <c r="BK100" s="583"/>
      <c r="BL100" s="585"/>
      <c r="BM100" s="583"/>
      <c r="BN100" s="584"/>
      <c r="BO100" s="583"/>
      <c r="BP100" s="585"/>
      <c r="BQ100" s="583"/>
      <c r="BR100" s="584"/>
      <c r="BS100" s="583"/>
      <c r="BT100" s="586"/>
      <c r="BU100" s="540"/>
      <c r="BV100" s="540"/>
      <c r="BW100" s="540"/>
      <c r="BX100" s="538"/>
      <c r="BY100" s="538"/>
      <c r="BZ100" s="592"/>
      <c r="CA100" s="633"/>
      <c r="CB100" s="592" t="s">
        <v>365</v>
      </c>
      <c r="CC100" s="592">
        <v>0.0</v>
      </c>
      <c r="CD100" s="592" t="s">
        <v>365</v>
      </c>
      <c r="CE100" s="592">
        <v>0.0</v>
      </c>
      <c r="CF100" s="592"/>
      <c r="CG100" s="592">
        <v>0.0</v>
      </c>
      <c r="CH100" s="592"/>
      <c r="CI100" s="633"/>
      <c r="CJ100" s="592">
        <v>0.0</v>
      </c>
      <c r="CK100" s="479" t="s">
        <v>365</v>
      </c>
      <c r="CL100" s="592"/>
      <c r="CM100" s="593"/>
      <c r="CN100" s="538"/>
      <c r="CO100" s="538"/>
      <c r="CP100" s="538"/>
      <c r="CQ100" s="538"/>
      <c r="CR100" s="538"/>
      <c r="CS100" s="538"/>
      <c r="CT100" s="538"/>
      <c r="CU100" s="538"/>
      <c r="CV100" s="538"/>
      <c r="CW100" s="538"/>
      <c r="CX100" s="538"/>
      <c r="CY100" s="538"/>
      <c r="CZ100" s="538"/>
      <c r="DA100" s="538"/>
      <c r="DB100" s="538"/>
      <c r="DC100" s="538"/>
      <c r="DD100" s="538"/>
      <c r="DE100" s="538"/>
      <c r="DF100" s="538"/>
      <c r="DG100" s="538"/>
      <c r="DH100" s="538"/>
      <c r="DI100" s="538"/>
      <c r="DJ100" s="538"/>
      <c r="DK100" s="538"/>
      <c r="DL100" s="538"/>
      <c r="DM100" s="538"/>
      <c r="DN100" s="538"/>
      <c r="DO100" s="538"/>
      <c r="DP100" s="538"/>
      <c r="DQ100" s="538"/>
      <c r="DR100" s="538"/>
      <c r="DS100" s="538"/>
      <c r="DT100" s="538"/>
      <c r="DU100" s="538"/>
      <c r="DV100" s="538"/>
      <c r="DW100" s="538"/>
      <c r="DX100" s="538"/>
      <c r="DY100" s="538"/>
      <c r="DZ100" s="538"/>
      <c r="EA100" s="538"/>
      <c r="EB100" s="538"/>
      <c r="EC100" s="538"/>
      <c r="ED100" s="538"/>
      <c r="EE100" s="538"/>
      <c r="EF100" s="538"/>
      <c r="EG100" s="538"/>
      <c r="EH100" s="538"/>
      <c r="EI100" s="538"/>
      <c r="EJ100" s="538"/>
      <c r="EK100" s="538"/>
      <c r="EL100" s="538"/>
      <c r="EM100" s="538"/>
      <c r="EN100" s="538"/>
      <c r="EO100" s="538"/>
      <c r="EP100" s="538"/>
      <c r="EQ100" s="538"/>
      <c r="ER100" s="538"/>
      <c r="ES100" s="538"/>
      <c r="ET100" s="538"/>
      <c r="EU100" s="538"/>
      <c r="EV100" s="538"/>
      <c r="EW100" s="538"/>
      <c r="EX100" s="559"/>
      <c r="EY100" s="559"/>
      <c r="EZ100" s="559"/>
      <c r="FA100" s="559"/>
      <c r="FB100" s="559"/>
      <c r="FC100" s="559"/>
      <c r="FD100" s="559"/>
      <c r="FE100" s="559"/>
      <c r="FF100" s="559"/>
      <c r="FG100" s="559"/>
      <c r="FH100" s="559"/>
      <c r="FI100" s="559"/>
      <c r="FJ100" s="559"/>
      <c r="FK100" s="559"/>
      <c r="FL100" s="559"/>
      <c r="FM100" s="559"/>
      <c r="FN100" s="559"/>
      <c r="FO100" s="559"/>
      <c r="FP100" s="559"/>
      <c r="FQ100" s="559"/>
      <c r="FR100" s="559"/>
      <c r="FS100" s="559"/>
      <c r="FT100" s="559"/>
      <c r="FU100" s="559"/>
      <c r="FV100" s="559"/>
      <c r="FW100" s="559"/>
      <c r="FX100" s="559"/>
      <c r="FY100" s="559"/>
      <c r="FZ100" s="559"/>
      <c r="GA100" s="559"/>
      <c r="GB100" s="559"/>
      <c r="GC100" s="559"/>
      <c r="GD100" s="559"/>
      <c r="GE100" s="559"/>
      <c r="GF100" s="559"/>
      <c r="GG100" s="559"/>
      <c r="GH100" s="559"/>
    </row>
    <row r="101">
      <c r="A101" s="538"/>
      <c r="B101" s="156"/>
      <c r="C101" s="444"/>
      <c r="D101" s="614"/>
      <c r="E101" s="66"/>
      <c r="F101" s="642"/>
      <c r="G101" s="642"/>
      <c r="H101" s="615"/>
      <c r="I101" s="616" t="s">
        <v>365</v>
      </c>
      <c r="J101" s="624"/>
      <c r="K101" s="643"/>
      <c r="L101" s="640"/>
      <c r="M101" s="625"/>
      <c r="N101" s="617"/>
      <c r="O101" s="134"/>
      <c r="P101" s="57"/>
      <c r="Q101" s="57"/>
      <c r="S101" s="605"/>
      <c r="U101" s="573"/>
      <c r="V101" s="574"/>
      <c r="W101" s="618"/>
      <c r="X101" s="576">
        <v>0.0</v>
      </c>
      <c r="Y101" s="630">
        <v>0.0</v>
      </c>
      <c r="Z101" s="630" t="s">
        <v>365</v>
      </c>
      <c r="AA101" s="631" t="b">
        <v>0</v>
      </c>
      <c r="AB101" s="631"/>
      <c r="AC101" s="576"/>
      <c r="AD101" s="479">
        <v>0.0</v>
      </c>
      <c r="AE101" s="632"/>
      <c r="AF101" s="582" t="s">
        <v>365</v>
      </c>
      <c r="AG101" s="583"/>
      <c r="AH101" s="584"/>
      <c r="AI101" s="583"/>
      <c r="AJ101" s="585"/>
      <c r="AK101" s="583"/>
      <c r="AL101" s="584"/>
      <c r="AM101" s="583"/>
      <c r="AN101" s="585"/>
      <c r="AO101" s="583"/>
      <c r="AP101" s="584"/>
      <c r="AQ101" s="583"/>
      <c r="AR101" s="585"/>
      <c r="AS101" s="583"/>
      <c r="AT101" s="584"/>
      <c r="AU101" s="583"/>
      <c r="AV101" s="585"/>
      <c r="AW101" s="583"/>
      <c r="AX101" s="584"/>
      <c r="AY101" s="583"/>
      <c r="AZ101" s="585"/>
      <c r="BA101" s="583"/>
      <c r="BB101" s="584"/>
      <c r="BC101" s="583"/>
      <c r="BD101" s="585"/>
      <c r="BE101" s="583"/>
      <c r="BF101" s="584"/>
      <c r="BG101" s="583"/>
      <c r="BH101" s="585"/>
      <c r="BI101" s="583"/>
      <c r="BJ101" s="584"/>
      <c r="BK101" s="583"/>
      <c r="BL101" s="585"/>
      <c r="BM101" s="583"/>
      <c r="BN101" s="584"/>
      <c r="BO101" s="583"/>
      <c r="BP101" s="585"/>
      <c r="BQ101" s="583"/>
      <c r="BR101" s="584"/>
      <c r="BS101" s="583"/>
      <c r="BT101" s="586"/>
      <c r="BU101" s="540"/>
      <c r="BV101" s="540"/>
      <c r="BW101" s="540"/>
      <c r="BX101" s="538"/>
      <c r="BY101" s="538"/>
      <c r="BZ101" s="592"/>
      <c r="CA101" s="633"/>
      <c r="CB101" s="592" t="s">
        <v>365</v>
      </c>
      <c r="CC101" s="592">
        <v>0.0</v>
      </c>
      <c r="CD101" s="592" t="s">
        <v>365</v>
      </c>
      <c r="CE101" s="592">
        <v>0.0</v>
      </c>
      <c r="CF101" s="592"/>
      <c r="CG101" s="592">
        <v>0.0</v>
      </c>
      <c r="CH101" s="592"/>
      <c r="CI101" s="633"/>
      <c r="CJ101" s="592">
        <v>0.0</v>
      </c>
      <c r="CK101" s="479" t="s">
        <v>365</v>
      </c>
      <c r="CL101" s="592"/>
      <c r="CM101" s="593"/>
      <c r="CN101" s="538"/>
      <c r="CO101" s="538"/>
      <c r="CP101" s="538"/>
      <c r="CQ101" s="538"/>
      <c r="CR101" s="538"/>
      <c r="CS101" s="538"/>
      <c r="CT101" s="538"/>
      <c r="CU101" s="538"/>
      <c r="CV101" s="538"/>
      <c r="CW101" s="538"/>
      <c r="CX101" s="538"/>
      <c r="CY101" s="538"/>
      <c r="CZ101" s="538"/>
      <c r="DA101" s="538"/>
      <c r="DB101" s="538"/>
      <c r="DC101" s="538"/>
      <c r="DD101" s="538"/>
      <c r="DE101" s="538"/>
      <c r="DF101" s="538"/>
      <c r="DG101" s="538"/>
      <c r="DH101" s="538"/>
      <c r="DI101" s="538"/>
      <c r="DJ101" s="538"/>
      <c r="DK101" s="538"/>
      <c r="DL101" s="538"/>
      <c r="DM101" s="538"/>
      <c r="DN101" s="538"/>
      <c r="DO101" s="538"/>
      <c r="DP101" s="538"/>
      <c r="DQ101" s="538"/>
      <c r="DR101" s="538"/>
      <c r="DS101" s="538"/>
      <c r="DT101" s="538"/>
      <c r="DU101" s="538"/>
      <c r="DV101" s="538"/>
      <c r="DW101" s="538"/>
      <c r="DX101" s="538"/>
      <c r="DY101" s="538"/>
      <c r="DZ101" s="538"/>
      <c r="EA101" s="538"/>
      <c r="EB101" s="538"/>
      <c r="EC101" s="538"/>
      <c r="ED101" s="538"/>
      <c r="EE101" s="538"/>
      <c r="EF101" s="538"/>
      <c r="EG101" s="538"/>
      <c r="EH101" s="538"/>
      <c r="EI101" s="538"/>
      <c r="EJ101" s="538"/>
      <c r="EK101" s="538"/>
      <c r="EL101" s="538"/>
      <c r="EM101" s="538"/>
      <c r="EN101" s="538"/>
      <c r="EO101" s="538"/>
      <c r="EP101" s="538"/>
      <c r="EQ101" s="538"/>
      <c r="ER101" s="538"/>
      <c r="ES101" s="538"/>
      <c r="ET101" s="538"/>
      <c r="EU101" s="538"/>
      <c r="EV101" s="538"/>
      <c r="EW101" s="538"/>
      <c r="EX101" s="559"/>
      <c r="EY101" s="559"/>
      <c r="EZ101" s="559"/>
      <c r="FA101" s="559"/>
      <c r="FB101" s="559"/>
      <c r="FC101" s="559"/>
      <c r="FD101" s="559"/>
      <c r="FE101" s="559"/>
      <c r="FF101" s="559"/>
      <c r="FG101" s="559"/>
      <c r="FH101" s="559"/>
      <c r="FI101" s="559"/>
      <c r="FJ101" s="559"/>
      <c r="FK101" s="559"/>
      <c r="FL101" s="559"/>
      <c r="FM101" s="559"/>
      <c r="FN101" s="559"/>
      <c r="FO101" s="559"/>
      <c r="FP101" s="559"/>
      <c r="FQ101" s="559"/>
      <c r="FR101" s="559"/>
      <c r="FS101" s="559"/>
      <c r="FT101" s="559"/>
      <c r="FU101" s="559"/>
      <c r="FV101" s="559"/>
      <c r="FW101" s="559"/>
      <c r="FX101" s="559"/>
      <c r="FY101" s="559"/>
      <c r="FZ101" s="559"/>
      <c r="GA101" s="559"/>
      <c r="GB101" s="559"/>
      <c r="GC101" s="559"/>
      <c r="GD101" s="559"/>
      <c r="GE101" s="559"/>
      <c r="GF101" s="559"/>
      <c r="GG101" s="559"/>
      <c r="GH101" s="559"/>
    </row>
    <row r="102">
      <c r="A102" s="538"/>
      <c r="B102" s="156"/>
      <c r="C102" s="444"/>
      <c r="D102" s="614"/>
      <c r="E102" s="68"/>
      <c r="F102" s="644"/>
      <c r="G102" s="644"/>
      <c r="H102" s="627"/>
      <c r="I102" s="622" t="s">
        <v>365</v>
      </c>
      <c r="J102" s="607"/>
      <c r="K102" s="641"/>
      <c r="L102" s="628"/>
      <c r="M102" s="626"/>
      <c r="N102" s="619"/>
      <c r="O102" s="560"/>
      <c r="P102" s="47"/>
      <c r="Q102" s="47"/>
      <c r="S102" s="572"/>
      <c r="U102" s="573"/>
      <c r="V102" s="574"/>
      <c r="W102" s="618"/>
      <c r="X102" s="576">
        <v>0.0</v>
      </c>
      <c r="Y102" s="630">
        <v>0.0</v>
      </c>
      <c r="Z102" s="630" t="s">
        <v>365</v>
      </c>
      <c r="AA102" s="631" t="b">
        <v>0</v>
      </c>
      <c r="AB102" s="631"/>
      <c r="AC102" s="576"/>
      <c r="AD102" s="479">
        <v>0.0</v>
      </c>
      <c r="AE102" s="632"/>
      <c r="AF102" s="582" t="s">
        <v>365</v>
      </c>
      <c r="AG102" s="583"/>
      <c r="AH102" s="584"/>
      <c r="AI102" s="583"/>
      <c r="AJ102" s="585"/>
      <c r="AK102" s="583"/>
      <c r="AL102" s="584"/>
      <c r="AM102" s="583"/>
      <c r="AN102" s="585"/>
      <c r="AO102" s="583"/>
      <c r="AP102" s="584"/>
      <c r="AQ102" s="583"/>
      <c r="AR102" s="585"/>
      <c r="AS102" s="583"/>
      <c r="AT102" s="584"/>
      <c r="AU102" s="583"/>
      <c r="AV102" s="585"/>
      <c r="AW102" s="583"/>
      <c r="AX102" s="584"/>
      <c r="AY102" s="583"/>
      <c r="AZ102" s="585"/>
      <c r="BA102" s="583"/>
      <c r="BB102" s="584"/>
      <c r="BC102" s="583"/>
      <c r="BD102" s="585"/>
      <c r="BE102" s="583"/>
      <c r="BF102" s="584"/>
      <c r="BG102" s="583"/>
      <c r="BH102" s="585"/>
      <c r="BI102" s="583"/>
      <c r="BJ102" s="584"/>
      <c r="BK102" s="583"/>
      <c r="BL102" s="585"/>
      <c r="BM102" s="583"/>
      <c r="BN102" s="584"/>
      <c r="BO102" s="583"/>
      <c r="BP102" s="585"/>
      <c r="BQ102" s="583"/>
      <c r="BR102" s="584"/>
      <c r="BS102" s="583"/>
      <c r="BT102" s="586"/>
      <c r="BU102" s="540"/>
      <c r="BV102" s="540"/>
      <c r="BW102" s="540"/>
      <c r="BX102" s="538"/>
      <c r="BY102" s="538"/>
      <c r="BZ102" s="592"/>
      <c r="CA102" s="633"/>
      <c r="CB102" s="592" t="s">
        <v>365</v>
      </c>
      <c r="CC102" s="592">
        <v>0.0</v>
      </c>
      <c r="CD102" s="592" t="s">
        <v>365</v>
      </c>
      <c r="CE102" s="592">
        <v>0.0</v>
      </c>
      <c r="CF102" s="592"/>
      <c r="CG102" s="592">
        <v>0.0</v>
      </c>
      <c r="CH102" s="592"/>
      <c r="CI102" s="633"/>
      <c r="CJ102" s="592">
        <v>0.0</v>
      </c>
      <c r="CK102" s="479" t="s">
        <v>365</v>
      </c>
      <c r="CL102" s="592"/>
      <c r="CM102" s="593"/>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c r="DS102" s="538"/>
      <c r="DT102" s="538"/>
      <c r="DU102" s="538"/>
      <c r="DV102" s="538"/>
      <c r="DW102" s="538"/>
      <c r="DX102" s="538"/>
      <c r="DY102" s="538"/>
      <c r="DZ102" s="538"/>
      <c r="EA102" s="538"/>
      <c r="EB102" s="538"/>
      <c r="EC102" s="538"/>
      <c r="ED102" s="538"/>
      <c r="EE102" s="538"/>
      <c r="EF102" s="538"/>
      <c r="EG102" s="538"/>
      <c r="EH102" s="538"/>
      <c r="EI102" s="538"/>
      <c r="EJ102" s="538"/>
      <c r="EK102" s="538"/>
      <c r="EL102" s="538"/>
      <c r="EM102" s="538"/>
      <c r="EN102" s="538"/>
      <c r="EO102" s="538"/>
      <c r="EP102" s="538"/>
      <c r="EQ102" s="538"/>
      <c r="ER102" s="538"/>
      <c r="ES102" s="538"/>
      <c r="ET102" s="538"/>
      <c r="EU102" s="538"/>
      <c r="EV102" s="538"/>
      <c r="EW102" s="538"/>
      <c r="EX102" s="559"/>
      <c r="EY102" s="559"/>
      <c r="EZ102" s="559"/>
      <c r="FA102" s="559"/>
      <c r="FB102" s="559"/>
      <c r="FC102" s="559"/>
      <c r="FD102" s="559"/>
      <c r="FE102" s="559"/>
      <c r="FF102" s="559"/>
      <c r="FG102" s="559"/>
      <c r="FH102" s="559"/>
      <c r="FI102" s="559"/>
      <c r="FJ102" s="559"/>
      <c r="FK102" s="559"/>
      <c r="FL102" s="559"/>
      <c r="FM102" s="559"/>
      <c r="FN102" s="559"/>
      <c r="FO102" s="559"/>
      <c r="FP102" s="559"/>
      <c r="FQ102" s="559"/>
      <c r="FR102" s="559"/>
      <c r="FS102" s="559"/>
      <c r="FT102" s="559"/>
      <c r="FU102" s="559"/>
      <c r="FV102" s="559"/>
      <c r="FW102" s="559"/>
      <c r="FX102" s="559"/>
      <c r="FY102" s="559"/>
      <c r="FZ102" s="559"/>
      <c r="GA102" s="559"/>
      <c r="GB102" s="559"/>
      <c r="GC102" s="559"/>
      <c r="GD102" s="559"/>
      <c r="GE102" s="559"/>
      <c r="GF102" s="559"/>
      <c r="GG102" s="559"/>
      <c r="GH102" s="559"/>
    </row>
    <row r="103">
      <c r="A103" s="538"/>
      <c r="B103" s="156"/>
      <c r="C103" s="444"/>
      <c r="D103" s="614"/>
      <c r="E103" s="66"/>
      <c r="F103" s="642"/>
      <c r="G103" s="642"/>
      <c r="H103" s="615"/>
      <c r="I103" s="616" t="s">
        <v>365</v>
      </c>
      <c r="J103" s="624"/>
      <c r="K103" s="643"/>
      <c r="L103" s="640"/>
      <c r="M103" s="625"/>
      <c r="N103" s="617"/>
      <c r="O103" s="134"/>
      <c r="P103" s="57"/>
      <c r="Q103" s="57"/>
      <c r="S103" s="605"/>
      <c r="U103" s="573"/>
      <c r="V103" s="574"/>
      <c r="W103" s="618"/>
      <c r="X103" s="576">
        <v>0.0</v>
      </c>
      <c r="Y103" s="630">
        <v>0.0</v>
      </c>
      <c r="Z103" s="630" t="s">
        <v>365</v>
      </c>
      <c r="AA103" s="631" t="b">
        <v>0</v>
      </c>
      <c r="AB103" s="631"/>
      <c r="AC103" s="576"/>
      <c r="AD103" s="479">
        <v>0.0</v>
      </c>
      <c r="AE103" s="632"/>
      <c r="AF103" s="582" t="s">
        <v>365</v>
      </c>
      <c r="AG103" s="583"/>
      <c r="AH103" s="584"/>
      <c r="AI103" s="583"/>
      <c r="AJ103" s="585"/>
      <c r="AK103" s="583"/>
      <c r="AL103" s="584"/>
      <c r="AM103" s="583"/>
      <c r="AN103" s="585"/>
      <c r="AO103" s="583"/>
      <c r="AP103" s="584"/>
      <c r="AQ103" s="583"/>
      <c r="AR103" s="585"/>
      <c r="AS103" s="583"/>
      <c r="AT103" s="584"/>
      <c r="AU103" s="583"/>
      <c r="AV103" s="585"/>
      <c r="AW103" s="583"/>
      <c r="AX103" s="584"/>
      <c r="AY103" s="583"/>
      <c r="AZ103" s="585"/>
      <c r="BA103" s="583"/>
      <c r="BB103" s="584"/>
      <c r="BC103" s="583"/>
      <c r="BD103" s="585"/>
      <c r="BE103" s="583"/>
      <c r="BF103" s="584"/>
      <c r="BG103" s="583"/>
      <c r="BH103" s="585"/>
      <c r="BI103" s="583"/>
      <c r="BJ103" s="584"/>
      <c r="BK103" s="583"/>
      <c r="BL103" s="585"/>
      <c r="BM103" s="583"/>
      <c r="BN103" s="584"/>
      <c r="BO103" s="583"/>
      <c r="BP103" s="585"/>
      <c r="BQ103" s="583"/>
      <c r="BR103" s="584"/>
      <c r="BS103" s="583"/>
      <c r="BT103" s="586"/>
      <c r="BU103" s="540"/>
      <c r="BV103" s="540"/>
      <c r="BW103" s="540"/>
      <c r="BX103" s="538"/>
      <c r="BY103" s="538"/>
      <c r="BZ103" s="592"/>
      <c r="CA103" s="633"/>
      <c r="CB103" s="592" t="s">
        <v>365</v>
      </c>
      <c r="CC103" s="592">
        <v>0.0</v>
      </c>
      <c r="CD103" s="592" t="s">
        <v>365</v>
      </c>
      <c r="CE103" s="592">
        <v>0.0</v>
      </c>
      <c r="CF103" s="592"/>
      <c r="CG103" s="592">
        <v>0.0</v>
      </c>
      <c r="CH103" s="592"/>
      <c r="CI103" s="633"/>
      <c r="CJ103" s="592">
        <v>0.0</v>
      </c>
      <c r="CK103" s="479" t="s">
        <v>365</v>
      </c>
      <c r="CL103" s="592"/>
      <c r="CM103" s="593"/>
      <c r="CN103" s="538"/>
      <c r="CO103" s="538"/>
      <c r="CP103" s="538"/>
      <c r="CQ103" s="538"/>
      <c r="CR103" s="538"/>
      <c r="CS103" s="538"/>
      <c r="CT103" s="538"/>
      <c r="CU103" s="538"/>
      <c r="CV103" s="538"/>
      <c r="CW103" s="538"/>
      <c r="CX103" s="538"/>
      <c r="CY103" s="538"/>
      <c r="CZ103" s="538"/>
      <c r="DA103" s="538"/>
      <c r="DB103" s="538"/>
      <c r="DC103" s="538"/>
      <c r="DD103" s="538"/>
      <c r="DE103" s="538"/>
      <c r="DF103" s="538"/>
      <c r="DG103" s="538"/>
      <c r="DH103" s="538"/>
      <c r="DI103" s="538"/>
      <c r="DJ103" s="538"/>
      <c r="DK103" s="538"/>
      <c r="DL103" s="538"/>
      <c r="DM103" s="538"/>
      <c r="DN103" s="538"/>
      <c r="DO103" s="538"/>
      <c r="DP103" s="538"/>
      <c r="DQ103" s="538"/>
      <c r="DR103" s="538"/>
      <c r="DS103" s="538"/>
      <c r="DT103" s="538"/>
      <c r="DU103" s="538"/>
      <c r="DV103" s="538"/>
      <c r="DW103" s="538"/>
      <c r="DX103" s="538"/>
      <c r="DY103" s="538"/>
      <c r="DZ103" s="538"/>
      <c r="EA103" s="538"/>
      <c r="EB103" s="538"/>
      <c r="EC103" s="538"/>
      <c r="ED103" s="538"/>
      <c r="EE103" s="538"/>
      <c r="EF103" s="538"/>
      <c r="EG103" s="538"/>
      <c r="EH103" s="538"/>
      <c r="EI103" s="538"/>
      <c r="EJ103" s="538"/>
      <c r="EK103" s="538"/>
      <c r="EL103" s="538"/>
      <c r="EM103" s="538"/>
      <c r="EN103" s="538"/>
      <c r="EO103" s="538"/>
      <c r="EP103" s="538"/>
      <c r="EQ103" s="538"/>
      <c r="ER103" s="538"/>
      <c r="ES103" s="538"/>
      <c r="ET103" s="538"/>
      <c r="EU103" s="538"/>
      <c r="EV103" s="538"/>
      <c r="EW103" s="538"/>
      <c r="EX103" s="559"/>
      <c r="EY103" s="559"/>
      <c r="EZ103" s="559"/>
      <c r="FA103" s="559"/>
      <c r="FB103" s="559"/>
      <c r="FC103" s="559"/>
      <c r="FD103" s="559"/>
      <c r="FE103" s="559"/>
      <c r="FF103" s="559"/>
      <c r="FG103" s="559"/>
      <c r="FH103" s="559"/>
      <c r="FI103" s="559"/>
      <c r="FJ103" s="559"/>
      <c r="FK103" s="559"/>
      <c r="FL103" s="559"/>
      <c r="FM103" s="559"/>
      <c r="FN103" s="559"/>
      <c r="FO103" s="559"/>
      <c r="FP103" s="559"/>
      <c r="FQ103" s="559"/>
      <c r="FR103" s="559"/>
      <c r="FS103" s="559"/>
      <c r="FT103" s="559"/>
      <c r="FU103" s="559"/>
      <c r="FV103" s="559"/>
      <c r="FW103" s="559"/>
      <c r="FX103" s="559"/>
      <c r="FY103" s="559"/>
      <c r="FZ103" s="559"/>
      <c r="GA103" s="559"/>
      <c r="GB103" s="559"/>
      <c r="GC103" s="559"/>
      <c r="GD103" s="559"/>
      <c r="GE103" s="559"/>
      <c r="GF103" s="559"/>
      <c r="GG103" s="559"/>
      <c r="GH103" s="559"/>
    </row>
    <row r="104">
      <c r="A104" s="538"/>
      <c r="B104" s="156"/>
      <c r="C104" s="444"/>
      <c r="D104" s="614"/>
      <c r="E104" s="68"/>
      <c r="F104" s="644"/>
      <c r="G104" s="644"/>
      <c r="H104" s="627"/>
      <c r="I104" s="622" t="s">
        <v>365</v>
      </c>
      <c r="J104" s="607"/>
      <c r="K104" s="641"/>
      <c r="L104" s="628"/>
      <c r="M104" s="626"/>
      <c r="N104" s="619"/>
      <c r="O104" s="560"/>
      <c r="P104" s="47"/>
      <c r="Q104" s="47"/>
      <c r="S104" s="572"/>
      <c r="U104" s="573"/>
      <c r="V104" s="574"/>
      <c r="W104" s="618"/>
      <c r="X104" s="576">
        <v>0.0</v>
      </c>
      <c r="Y104" s="630">
        <v>0.0</v>
      </c>
      <c r="Z104" s="630" t="s">
        <v>365</v>
      </c>
      <c r="AA104" s="631" t="b">
        <v>0</v>
      </c>
      <c r="AB104" s="631"/>
      <c r="AC104" s="576"/>
      <c r="AD104" s="479">
        <v>0.0</v>
      </c>
      <c r="AE104" s="632"/>
      <c r="AF104" s="582" t="s">
        <v>365</v>
      </c>
      <c r="AG104" s="583"/>
      <c r="AH104" s="584"/>
      <c r="AI104" s="583"/>
      <c r="AJ104" s="585"/>
      <c r="AK104" s="583"/>
      <c r="AL104" s="584"/>
      <c r="AM104" s="583"/>
      <c r="AN104" s="585"/>
      <c r="AO104" s="583"/>
      <c r="AP104" s="584"/>
      <c r="AQ104" s="583"/>
      <c r="AR104" s="585"/>
      <c r="AS104" s="583"/>
      <c r="AT104" s="584"/>
      <c r="AU104" s="583"/>
      <c r="AV104" s="585"/>
      <c r="AW104" s="583"/>
      <c r="AX104" s="584"/>
      <c r="AY104" s="583"/>
      <c r="AZ104" s="585"/>
      <c r="BA104" s="583"/>
      <c r="BB104" s="584"/>
      <c r="BC104" s="583"/>
      <c r="BD104" s="585"/>
      <c r="BE104" s="583"/>
      <c r="BF104" s="584"/>
      <c r="BG104" s="583"/>
      <c r="BH104" s="585"/>
      <c r="BI104" s="583"/>
      <c r="BJ104" s="584"/>
      <c r="BK104" s="583"/>
      <c r="BL104" s="585"/>
      <c r="BM104" s="583"/>
      <c r="BN104" s="584"/>
      <c r="BO104" s="583"/>
      <c r="BP104" s="585"/>
      <c r="BQ104" s="583"/>
      <c r="BR104" s="584"/>
      <c r="BS104" s="583"/>
      <c r="BT104" s="586"/>
      <c r="BU104" s="540"/>
      <c r="BV104" s="540"/>
      <c r="BW104" s="540"/>
      <c r="BX104" s="538"/>
      <c r="BY104" s="538"/>
      <c r="BZ104" s="592"/>
      <c r="CA104" s="633"/>
      <c r="CB104" s="592" t="s">
        <v>365</v>
      </c>
      <c r="CC104" s="592">
        <v>0.0</v>
      </c>
      <c r="CD104" s="592" t="s">
        <v>365</v>
      </c>
      <c r="CE104" s="592">
        <v>0.0</v>
      </c>
      <c r="CF104" s="592"/>
      <c r="CG104" s="592">
        <v>0.0</v>
      </c>
      <c r="CH104" s="592"/>
      <c r="CI104" s="633"/>
      <c r="CJ104" s="592">
        <v>0.0</v>
      </c>
      <c r="CK104" s="479" t="s">
        <v>365</v>
      </c>
      <c r="CL104" s="592"/>
      <c r="CM104" s="593"/>
      <c r="CN104" s="538"/>
      <c r="CO104" s="538"/>
      <c r="CP104" s="538"/>
      <c r="CQ104" s="538"/>
      <c r="CR104" s="538"/>
      <c r="CS104" s="538"/>
      <c r="CT104" s="538"/>
      <c r="CU104" s="538"/>
      <c r="CV104" s="538"/>
      <c r="CW104" s="538"/>
      <c r="CX104" s="538"/>
      <c r="CY104" s="538"/>
      <c r="CZ104" s="538"/>
      <c r="DA104" s="538"/>
      <c r="DB104" s="538"/>
      <c r="DC104" s="538"/>
      <c r="DD104" s="538"/>
      <c r="DE104" s="538"/>
      <c r="DF104" s="538"/>
      <c r="DG104" s="538"/>
      <c r="DH104" s="538"/>
      <c r="DI104" s="538"/>
      <c r="DJ104" s="538"/>
      <c r="DK104" s="538"/>
      <c r="DL104" s="538"/>
      <c r="DM104" s="538"/>
      <c r="DN104" s="538"/>
      <c r="DO104" s="538"/>
      <c r="DP104" s="538"/>
      <c r="DQ104" s="538"/>
      <c r="DR104" s="538"/>
      <c r="DS104" s="538"/>
      <c r="DT104" s="538"/>
      <c r="DU104" s="538"/>
      <c r="DV104" s="538"/>
      <c r="DW104" s="538"/>
      <c r="DX104" s="538"/>
      <c r="DY104" s="538"/>
      <c r="DZ104" s="538"/>
      <c r="EA104" s="538"/>
      <c r="EB104" s="538"/>
      <c r="EC104" s="538"/>
      <c r="ED104" s="538"/>
      <c r="EE104" s="538"/>
      <c r="EF104" s="538"/>
      <c r="EG104" s="538"/>
      <c r="EH104" s="538"/>
      <c r="EI104" s="538"/>
      <c r="EJ104" s="538"/>
      <c r="EK104" s="538"/>
      <c r="EL104" s="538"/>
      <c r="EM104" s="538"/>
      <c r="EN104" s="538"/>
      <c r="EO104" s="538"/>
      <c r="EP104" s="538"/>
      <c r="EQ104" s="538"/>
      <c r="ER104" s="538"/>
      <c r="ES104" s="538"/>
      <c r="ET104" s="538"/>
      <c r="EU104" s="538"/>
      <c r="EV104" s="538"/>
      <c r="EW104" s="538"/>
      <c r="EX104" s="559"/>
      <c r="EY104" s="559"/>
      <c r="EZ104" s="559"/>
      <c r="FA104" s="559"/>
      <c r="FB104" s="559"/>
      <c r="FC104" s="559"/>
      <c r="FD104" s="559"/>
      <c r="FE104" s="559"/>
      <c r="FF104" s="559"/>
      <c r="FG104" s="559"/>
      <c r="FH104" s="559"/>
      <c r="FI104" s="559"/>
      <c r="FJ104" s="559"/>
      <c r="FK104" s="559"/>
      <c r="FL104" s="559"/>
      <c r="FM104" s="559"/>
      <c r="FN104" s="559"/>
      <c r="FO104" s="559"/>
      <c r="FP104" s="559"/>
      <c r="FQ104" s="559"/>
      <c r="FR104" s="559"/>
      <c r="FS104" s="559"/>
      <c r="FT104" s="559"/>
      <c r="FU104" s="559"/>
      <c r="FV104" s="559"/>
      <c r="FW104" s="559"/>
      <c r="FX104" s="559"/>
      <c r="FY104" s="559"/>
      <c r="FZ104" s="559"/>
      <c r="GA104" s="559"/>
      <c r="GB104" s="559"/>
      <c r="GC104" s="559"/>
      <c r="GD104" s="559"/>
      <c r="GE104" s="559"/>
      <c r="GF104" s="559"/>
      <c r="GG104" s="559"/>
      <c r="GH104" s="559"/>
    </row>
    <row r="105">
      <c r="A105" s="538"/>
      <c r="B105" s="156"/>
      <c r="C105" s="444"/>
      <c r="D105" s="614"/>
      <c r="E105" s="66"/>
      <c r="F105" s="642"/>
      <c r="G105" s="642"/>
      <c r="H105" s="615"/>
      <c r="I105" s="616" t="s">
        <v>365</v>
      </c>
      <c r="J105" s="624"/>
      <c r="K105" s="643"/>
      <c r="L105" s="640"/>
      <c r="M105" s="625"/>
      <c r="N105" s="617"/>
      <c r="O105" s="134"/>
      <c r="P105" s="57"/>
      <c r="Q105" s="57"/>
      <c r="S105" s="605"/>
      <c r="U105" s="573"/>
      <c r="V105" s="574"/>
      <c r="W105" s="618"/>
      <c r="X105" s="576">
        <v>0.0</v>
      </c>
      <c r="Y105" s="630">
        <v>0.0</v>
      </c>
      <c r="Z105" s="630" t="s">
        <v>365</v>
      </c>
      <c r="AA105" s="631" t="b">
        <v>0</v>
      </c>
      <c r="AB105" s="631"/>
      <c r="AC105" s="576"/>
      <c r="AD105" s="479">
        <v>0.0</v>
      </c>
      <c r="AE105" s="632"/>
      <c r="AF105" s="582" t="s">
        <v>365</v>
      </c>
      <c r="AG105" s="583"/>
      <c r="AH105" s="584"/>
      <c r="AI105" s="583"/>
      <c r="AJ105" s="585"/>
      <c r="AK105" s="583"/>
      <c r="AL105" s="584"/>
      <c r="AM105" s="583"/>
      <c r="AN105" s="585"/>
      <c r="AO105" s="583"/>
      <c r="AP105" s="584"/>
      <c r="AQ105" s="583"/>
      <c r="AR105" s="585"/>
      <c r="AS105" s="583"/>
      <c r="AT105" s="584"/>
      <c r="AU105" s="583"/>
      <c r="AV105" s="585"/>
      <c r="AW105" s="583"/>
      <c r="AX105" s="584"/>
      <c r="AY105" s="583"/>
      <c r="AZ105" s="585"/>
      <c r="BA105" s="583"/>
      <c r="BB105" s="584"/>
      <c r="BC105" s="583"/>
      <c r="BD105" s="585"/>
      <c r="BE105" s="583"/>
      <c r="BF105" s="584"/>
      <c r="BG105" s="583"/>
      <c r="BH105" s="585"/>
      <c r="BI105" s="583"/>
      <c r="BJ105" s="584"/>
      <c r="BK105" s="583"/>
      <c r="BL105" s="585"/>
      <c r="BM105" s="583"/>
      <c r="BN105" s="584"/>
      <c r="BO105" s="583"/>
      <c r="BP105" s="585"/>
      <c r="BQ105" s="583"/>
      <c r="BR105" s="584"/>
      <c r="BS105" s="583"/>
      <c r="BT105" s="586"/>
      <c r="BU105" s="540"/>
      <c r="BV105" s="540"/>
      <c r="BW105" s="540"/>
      <c r="BX105" s="538"/>
      <c r="BY105" s="538"/>
      <c r="BZ105" s="592"/>
      <c r="CA105" s="633"/>
      <c r="CB105" s="592" t="s">
        <v>365</v>
      </c>
      <c r="CC105" s="592">
        <v>0.0</v>
      </c>
      <c r="CD105" s="592" t="s">
        <v>365</v>
      </c>
      <c r="CE105" s="592">
        <v>0.0</v>
      </c>
      <c r="CF105" s="592"/>
      <c r="CG105" s="592">
        <v>0.0</v>
      </c>
      <c r="CH105" s="592"/>
      <c r="CI105" s="633"/>
      <c r="CJ105" s="592">
        <v>0.0</v>
      </c>
      <c r="CK105" s="479" t="s">
        <v>365</v>
      </c>
      <c r="CL105" s="592"/>
      <c r="CM105" s="593"/>
      <c r="CN105" s="538"/>
      <c r="CO105" s="538"/>
      <c r="CP105" s="538"/>
      <c r="CQ105" s="538"/>
      <c r="CR105" s="538"/>
      <c r="CS105" s="538"/>
      <c r="CT105" s="538"/>
      <c r="CU105" s="538"/>
      <c r="CV105" s="538"/>
      <c r="CW105" s="538"/>
      <c r="CX105" s="538"/>
      <c r="CY105" s="538"/>
      <c r="CZ105" s="538"/>
      <c r="DA105" s="538"/>
      <c r="DB105" s="538"/>
      <c r="DC105" s="538"/>
      <c r="DD105" s="538"/>
      <c r="DE105" s="538"/>
      <c r="DF105" s="538"/>
      <c r="DG105" s="538"/>
      <c r="DH105" s="538"/>
      <c r="DI105" s="538"/>
      <c r="DJ105" s="538"/>
      <c r="DK105" s="538"/>
      <c r="DL105" s="538"/>
      <c r="DM105" s="538"/>
      <c r="DN105" s="538"/>
      <c r="DO105" s="538"/>
      <c r="DP105" s="538"/>
      <c r="DQ105" s="538"/>
      <c r="DR105" s="538"/>
      <c r="DS105" s="538"/>
      <c r="DT105" s="538"/>
      <c r="DU105" s="538"/>
      <c r="DV105" s="538"/>
      <c r="DW105" s="538"/>
      <c r="DX105" s="538"/>
      <c r="DY105" s="538"/>
      <c r="DZ105" s="538"/>
      <c r="EA105" s="538"/>
      <c r="EB105" s="538"/>
      <c r="EC105" s="538"/>
      <c r="ED105" s="538"/>
      <c r="EE105" s="538"/>
      <c r="EF105" s="538"/>
      <c r="EG105" s="538"/>
      <c r="EH105" s="538"/>
      <c r="EI105" s="538"/>
      <c r="EJ105" s="538"/>
      <c r="EK105" s="538"/>
      <c r="EL105" s="538"/>
      <c r="EM105" s="538"/>
      <c r="EN105" s="538"/>
      <c r="EO105" s="538"/>
      <c r="EP105" s="538"/>
      <c r="EQ105" s="538"/>
      <c r="ER105" s="538"/>
      <c r="ES105" s="538"/>
      <c r="ET105" s="538"/>
      <c r="EU105" s="538"/>
      <c r="EV105" s="538"/>
      <c r="EW105" s="538"/>
      <c r="EX105" s="559"/>
      <c r="EY105" s="559"/>
      <c r="EZ105" s="559"/>
      <c r="FA105" s="559"/>
      <c r="FB105" s="559"/>
      <c r="FC105" s="559"/>
      <c r="FD105" s="559"/>
      <c r="FE105" s="559"/>
      <c r="FF105" s="559"/>
      <c r="FG105" s="559"/>
      <c r="FH105" s="559"/>
      <c r="FI105" s="559"/>
      <c r="FJ105" s="559"/>
      <c r="FK105" s="559"/>
      <c r="FL105" s="559"/>
      <c r="FM105" s="559"/>
      <c r="FN105" s="559"/>
      <c r="FO105" s="559"/>
      <c r="FP105" s="559"/>
      <c r="FQ105" s="559"/>
      <c r="FR105" s="559"/>
      <c r="FS105" s="559"/>
      <c r="FT105" s="559"/>
      <c r="FU105" s="559"/>
      <c r="FV105" s="559"/>
      <c r="FW105" s="559"/>
      <c r="FX105" s="559"/>
      <c r="FY105" s="559"/>
      <c r="FZ105" s="559"/>
      <c r="GA105" s="559"/>
      <c r="GB105" s="559"/>
      <c r="GC105" s="559"/>
      <c r="GD105" s="559"/>
      <c r="GE105" s="559"/>
      <c r="GF105" s="559"/>
      <c r="GG105" s="559"/>
      <c r="GH105" s="559"/>
    </row>
    <row r="106">
      <c r="A106" s="538"/>
      <c r="B106" s="156"/>
      <c r="C106" s="444"/>
      <c r="D106" s="614"/>
      <c r="E106" s="68"/>
      <c r="F106" s="644"/>
      <c r="G106" s="644"/>
      <c r="H106" s="627"/>
      <c r="I106" s="622" t="s">
        <v>365</v>
      </c>
      <c r="J106" s="607"/>
      <c r="K106" s="641"/>
      <c r="L106" s="628"/>
      <c r="M106" s="626"/>
      <c r="N106" s="619"/>
      <c r="O106" s="560"/>
      <c r="P106" s="47"/>
      <c r="Q106" s="47"/>
      <c r="S106" s="572"/>
      <c r="U106" s="573"/>
      <c r="V106" s="574"/>
      <c r="W106" s="618"/>
      <c r="X106" s="576">
        <v>0.0</v>
      </c>
      <c r="Y106" s="630">
        <v>0.0</v>
      </c>
      <c r="Z106" s="630" t="s">
        <v>365</v>
      </c>
      <c r="AA106" s="631" t="b">
        <v>0</v>
      </c>
      <c r="AB106" s="631"/>
      <c r="AC106" s="576"/>
      <c r="AD106" s="479">
        <v>0.0</v>
      </c>
      <c r="AE106" s="632"/>
      <c r="AF106" s="582" t="s">
        <v>365</v>
      </c>
      <c r="AG106" s="583"/>
      <c r="AH106" s="584"/>
      <c r="AI106" s="583"/>
      <c r="AJ106" s="585"/>
      <c r="AK106" s="583"/>
      <c r="AL106" s="584"/>
      <c r="AM106" s="583"/>
      <c r="AN106" s="585"/>
      <c r="AO106" s="583"/>
      <c r="AP106" s="584"/>
      <c r="AQ106" s="583"/>
      <c r="AR106" s="585"/>
      <c r="AS106" s="583"/>
      <c r="AT106" s="584"/>
      <c r="AU106" s="583"/>
      <c r="AV106" s="585"/>
      <c r="AW106" s="583"/>
      <c r="AX106" s="584"/>
      <c r="AY106" s="583"/>
      <c r="AZ106" s="585"/>
      <c r="BA106" s="583"/>
      <c r="BB106" s="584"/>
      <c r="BC106" s="583"/>
      <c r="BD106" s="585"/>
      <c r="BE106" s="583"/>
      <c r="BF106" s="584"/>
      <c r="BG106" s="583"/>
      <c r="BH106" s="585"/>
      <c r="BI106" s="583"/>
      <c r="BJ106" s="584"/>
      <c r="BK106" s="583"/>
      <c r="BL106" s="585"/>
      <c r="BM106" s="583"/>
      <c r="BN106" s="584"/>
      <c r="BO106" s="583"/>
      <c r="BP106" s="585"/>
      <c r="BQ106" s="583"/>
      <c r="BR106" s="584"/>
      <c r="BS106" s="583"/>
      <c r="BT106" s="586"/>
      <c r="BU106" s="540"/>
      <c r="BV106" s="540"/>
      <c r="BW106" s="540"/>
      <c r="BX106" s="538"/>
      <c r="BY106" s="538"/>
      <c r="BZ106" s="592"/>
      <c r="CA106" s="633"/>
      <c r="CB106" s="592" t="s">
        <v>365</v>
      </c>
      <c r="CC106" s="592">
        <v>0.0</v>
      </c>
      <c r="CD106" s="592" t="s">
        <v>365</v>
      </c>
      <c r="CE106" s="592">
        <v>0.0</v>
      </c>
      <c r="CF106" s="592"/>
      <c r="CG106" s="592">
        <v>0.0</v>
      </c>
      <c r="CH106" s="592"/>
      <c r="CI106" s="633"/>
      <c r="CJ106" s="592">
        <v>0.0</v>
      </c>
      <c r="CK106" s="479" t="s">
        <v>365</v>
      </c>
      <c r="CL106" s="592"/>
      <c r="CM106" s="593"/>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c r="DS106" s="538"/>
      <c r="DT106" s="538"/>
      <c r="DU106" s="538"/>
      <c r="DV106" s="538"/>
      <c r="DW106" s="538"/>
      <c r="DX106" s="538"/>
      <c r="DY106" s="538"/>
      <c r="DZ106" s="538"/>
      <c r="EA106" s="538"/>
      <c r="EB106" s="538"/>
      <c r="EC106" s="538"/>
      <c r="ED106" s="538"/>
      <c r="EE106" s="538"/>
      <c r="EF106" s="538"/>
      <c r="EG106" s="538"/>
      <c r="EH106" s="538"/>
      <c r="EI106" s="538"/>
      <c r="EJ106" s="538"/>
      <c r="EK106" s="538"/>
      <c r="EL106" s="538"/>
      <c r="EM106" s="538"/>
      <c r="EN106" s="538"/>
      <c r="EO106" s="538"/>
      <c r="EP106" s="538"/>
      <c r="EQ106" s="538"/>
      <c r="ER106" s="538"/>
      <c r="ES106" s="538"/>
      <c r="ET106" s="538"/>
      <c r="EU106" s="538"/>
      <c r="EV106" s="538"/>
      <c r="EW106" s="538"/>
      <c r="EX106" s="559"/>
      <c r="EY106" s="559"/>
      <c r="EZ106" s="559"/>
      <c r="FA106" s="559"/>
      <c r="FB106" s="559"/>
      <c r="FC106" s="559"/>
      <c r="FD106" s="559"/>
      <c r="FE106" s="559"/>
      <c r="FF106" s="559"/>
      <c r="FG106" s="559"/>
      <c r="FH106" s="559"/>
      <c r="FI106" s="559"/>
      <c r="FJ106" s="559"/>
      <c r="FK106" s="559"/>
      <c r="FL106" s="559"/>
      <c r="FM106" s="559"/>
      <c r="FN106" s="559"/>
      <c r="FO106" s="559"/>
      <c r="FP106" s="559"/>
      <c r="FQ106" s="559"/>
      <c r="FR106" s="559"/>
      <c r="FS106" s="559"/>
      <c r="FT106" s="559"/>
      <c r="FU106" s="559"/>
      <c r="FV106" s="559"/>
      <c r="FW106" s="559"/>
      <c r="FX106" s="559"/>
      <c r="FY106" s="559"/>
      <c r="FZ106" s="559"/>
      <c r="GA106" s="559"/>
      <c r="GB106" s="559"/>
      <c r="GC106" s="559"/>
      <c r="GD106" s="559"/>
      <c r="GE106" s="559"/>
      <c r="GF106" s="559"/>
      <c r="GG106" s="559"/>
      <c r="GH106" s="559"/>
    </row>
    <row r="107">
      <c r="A107" s="538"/>
      <c r="B107" s="156"/>
      <c r="C107" s="444"/>
      <c r="D107" s="614"/>
      <c r="E107" s="66"/>
      <c r="F107" s="642"/>
      <c r="G107" s="642"/>
      <c r="H107" s="615"/>
      <c r="I107" s="616" t="s">
        <v>365</v>
      </c>
      <c r="J107" s="624"/>
      <c r="K107" s="643"/>
      <c r="L107" s="640"/>
      <c r="M107" s="625"/>
      <c r="N107" s="617"/>
      <c r="O107" s="134"/>
      <c r="P107" s="57"/>
      <c r="Q107" s="57"/>
      <c r="S107" s="605"/>
      <c r="U107" s="573"/>
      <c r="V107" s="574"/>
      <c r="W107" s="618"/>
      <c r="X107" s="576">
        <v>0.0</v>
      </c>
      <c r="Y107" s="630">
        <v>0.0</v>
      </c>
      <c r="Z107" s="630" t="s">
        <v>365</v>
      </c>
      <c r="AA107" s="631" t="b">
        <v>0</v>
      </c>
      <c r="AB107" s="631"/>
      <c r="AC107" s="576"/>
      <c r="AD107" s="479">
        <v>0.0</v>
      </c>
      <c r="AE107" s="632"/>
      <c r="AF107" s="582" t="s">
        <v>365</v>
      </c>
      <c r="AG107" s="583"/>
      <c r="AH107" s="584"/>
      <c r="AI107" s="583"/>
      <c r="AJ107" s="585"/>
      <c r="AK107" s="583"/>
      <c r="AL107" s="584"/>
      <c r="AM107" s="583"/>
      <c r="AN107" s="585"/>
      <c r="AO107" s="583"/>
      <c r="AP107" s="584"/>
      <c r="AQ107" s="583"/>
      <c r="AR107" s="585"/>
      <c r="AS107" s="583"/>
      <c r="AT107" s="584"/>
      <c r="AU107" s="583"/>
      <c r="AV107" s="585"/>
      <c r="AW107" s="583"/>
      <c r="AX107" s="584"/>
      <c r="AY107" s="583"/>
      <c r="AZ107" s="585"/>
      <c r="BA107" s="583"/>
      <c r="BB107" s="584"/>
      <c r="BC107" s="583"/>
      <c r="BD107" s="585"/>
      <c r="BE107" s="583"/>
      <c r="BF107" s="584"/>
      <c r="BG107" s="583"/>
      <c r="BH107" s="585"/>
      <c r="BI107" s="583"/>
      <c r="BJ107" s="584"/>
      <c r="BK107" s="583"/>
      <c r="BL107" s="585"/>
      <c r="BM107" s="583"/>
      <c r="BN107" s="584"/>
      <c r="BO107" s="583"/>
      <c r="BP107" s="585"/>
      <c r="BQ107" s="583"/>
      <c r="BR107" s="584"/>
      <c r="BS107" s="583"/>
      <c r="BT107" s="586"/>
      <c r="BU107" s="540"/>
      <c r="BV107" s="540"/>
      <c r="BW107" s="540"/>
      <c r="BX107" s="538"/>
      <c r="BY107" s="538"/>
      <c r="BZ107" s="592"/>
      <c r="CA107" s="633"/>
      <c r="CB107" s="592" t="s">
        <v>365</v>
      </c>
      <c r="CC107" s="592">
        <v>0.0</v>
      </c>
      <c r="CD107" s="592" t="s">
        <v>365</v>
      </c>
      <c r="CE107" s="592">
        <v>0.0</v>
      </c>
      <c r="CF107" s="592"/>
      <c r="CG107" s="592">
        <v>0.0</v>
      </c>
      <c r="CH107" s="592"/>
      <c r="CI107" s="633"/>
      <c r="CJ107" s="592">
        <v>0.0</v>
      </c>
      <c r="CK107" s="479" t="s">
        <v>365</v>
      </c>
      <c r="CL107" s="592"/>
      <c r="CM107" s="593"/>
      <c r="CN107" s="538"/>
      <c r="CO107" s="538"/>
      <c r="CP107" s="538"/>
      <c r="CQ107" s="538"/>
      <c r="CR107" s="538"/>
      <c r="CS107" s="538"/>
      <c r="CT107" s="538"/>
      <c r="CU107" s="538"/>
      <c r="CV107" s="538"/>
      <c r="CW107" s="538"/>
      <c r="CX107" s="538"/>
      <c r="CY107" s="538"/>
      <c r="CZ107" s="538"/>
      <c r="DA107" s="538"/>
      <c r="DB107" s="538"/>
      <c r="DC107" s="538"/>
      <c r="DD107" s="538"/>
      <c r="DE107" s="538"/>
      <c r="DF107" s="538"/>
      <c r="DG107" s="538"/>
      <c r="DH107" s="538"/>
      <c r="DI107" s="538"/>
      <c r="DJ107" s="538"/>
      <c r="DK107" s="538"/>
      <c r="DL107" s="538"/>
      <c r="DM107" s="538"/>
      <c r="DN107" s="538"/>
      <c r="DO107" s="538"/>
      <c r="DP107" s="538"/>
      <c r="DQ107" s="538"/>
      <c r="DR107" s="538"/>
      <c r="DS107" s="538"/>
      <c r="DT107" s="538"/>
      <c r="DU107" s="538"/>
      <c r="DV107" s="538"/>
      <c r="DW107" s="538"/>
      <c r="DX107" s="538"/>
      <c r="DY107" s="538"/>
      <c r="DZ107" s="538"/>
      <c r="EA107" s="538"/>
      <c r="EB107" s="538"/>
      <c r="EC107" s="538"/>
      <c r="ED107" s="538"/>
      <c r="EE107" s="538"/>
      <c r="EF107" s="538"/>
      <c r="EG107" s="538"/>
      <c r="EH107" s="538"/>
      <c r="EI107" s="538"/>
      <c r="EJ107" s="538"/>
      <c r="EK107" s="538"/>
      <c r="EL107" s="538"/>
      <c r="EM107" s="538"/>
      <c r="EN107" s="538"/>
      <c r="EO107" s="538"/>
      <c r="EP107" s="538"/>
      <c r="EQ107" s="538"/>
      <c r="ER107" s="538"/>
      <c r="ES107" s="538"/>
      <c r="ET107" s="538"/>
      <c r="EU107" s="538"/>
      <c r="EV107" s="538"/>
      <c r="EW107" s="538"/>
      <c r="EX107" s="559"/>
      <c r="EY107" s="559"/>
      <c r="EZ107" s="559"/>
      <c r="FA107" s="559"/>
      <c r="FB107" s="559"/>
      <c r="FC107" s="559"/>
      <c r="FD107" s="559"/>
      <c r="FE107" s="559"/>
      <c r="FF107" s="559"/>
      <c r="FG107" s="559"/>
      <c r="FH107" s="559"/>
      <c r="FI107" s="559"/>
      <c r="FJ107" s="559"/>
      <c r="FK107" s="559"/>
      <c r="FL107" s="559"/>
      <c r="FM107" s="559"/>
      <c r="FN107" s="559"/>
      <c r="FO107" s="559"/>
      <c r="FP107" s="559"/>
      <c r="FQ107" s="559"/>
      <c r="FR107" s="559"/>
      <c r="FS107" s="559"/>
      <c r="FT107" s="559"/>
      <c r="FU107" s="559"/>
      <c r="FV107" s="559"/>
      <c r="FW107" s="559"/>
      <c r="FX107" s="559"/>
      <c r="FY107" s="559"/>
      <c r="FZ107" s="559"/>
      <c r="GA107" s="559"/>
      <c r="GB107" s="559"/>
      <c r="GC107" s="559"/>
      <c r="GD107" s="559"/>
      <c r="GE107" s="559"/>
      <c r="GF107" s="559"/>
      <c r="GG107" s="559"/>
      <c r="GH107" s="559"/>
    </row>
    <row r="108">
      <c r="A108" s="538"/>
      <c r="B108" s="156"/>
      <c r="C108" s="444"/>
      <c r="D108" s="614"/>
      <c r="E108" s="68"/>
      <c r="F108" s="644"/>
      <c r="G108" s="644"/>
      <c r="H108" s="627"/>
      <c r="I108" s="622" t="s">
        <v>365</v>
      </c>
      <c r="J108" s="607"/>
      <c r="K108" s="641"/>
      <c r="L108" s="628"/>
      <c r="M108" s="626"/>
      <c r="N108" s="619"/>
      <c r="O108" s="560"/>
      <c r="P108" s="47"/>
      <c r="Q108" s="47"/>
      <c r="S108" s="572"/>
      <c r="U108" s="573"/>
      <c r="V108" s="574"/>
      <c r="W108" s="618"/>
      <c r="X108" s="576">
        <v>0.0</v>
      </c>
      <c r="Y108" s="630">
        <v>0.0</v>
      </c>
      <c r="Z108" s="630" t="s">
        <v>365</v>
      </c>
      <c r="AA108" s="631" t="b">
        <v>0</v>
      </c>
      <c r="AB108" s="631"/>
      <c r="AC108" s="576"/>
      <c r="AD108" s="479">
        <v>0.0</v>
      </c>
      <c r="AE108" s="632"/>
      <c r="AF108" s="582" t="s">
        <v>365</v>
      </c>
      <c r="AG108" s="583"/>
      <c r="AH108" s="584"/>
      <c r="AI108" s="583"/>
      <c r="AJ108" s="585"/>
      <c r="AK108" s="583"/>
      <c r="AL108" s="584"/>
      <c r="AM108" s="583"/>
      <c r="AN108" s="585"/>
      <c r="AO108" s="583"/>
      <c r="AP108" s="584"/>
      <c r="AQ108" s="583"/>
      <c r="AR108" s="585"/>
      <c r="AS108" s="583"/>
      <c r="AT108" s="584"/>
      <c r="AU108" s="583"/>
      <c r="AV108" s="585"/>
      <c r="AW108" s="583"/>
      <c r="AX108" s="584"/>
      <c r="AY108" s="583"/>
      <c r="AZ108" s="585"/>
      <c r="BA108" s="583"/>
      <c r="BB108" s="584"/>
      <c r="BC108" s="583"/>
      <c r="BD108" s="585"/>
      <c r="BE108" s="583"/>
      <c r="BF108" s="584"/>
      <c r="BG108" s="583"/>
      <c r="BH108" s="585"/>
      <c r="BI108" s="583"/>
      <c r="BJ108" s="584"/>
      <c r="BK108" s="583"/>
      <c r="BL108" s="585"/>
      <c r="BM108" s="583"/>
      <c r="BN108" s="584"/>
      <c r="BO108" s="583"/>
      <c r="BP108" s="585"/>
      <c r="BQ108" s="583"/>
      <c r="BR108" s="584"/>
      <c r="BS108" s="583"/>
      <c r="BT108" s="586"/>
      <c r="BU108" s="540"/>
      <c r="BV108" s="540"/>
      <c r="BW108" s="540"/>
      <c r="BX108" s="538"/>
      <c r="BY108" s="538"/>
      <c r="BZ108" s="592"/>
      <c r="CA108" s="633"/>
      <c r="CB108" s="592" t="s">
        <v>365</v>
      </c>
      <c r="CC108" s="592">
        <v>0.0</v>
      </c>
      <c r="CD108" s="592" t="s">
        <v>365</v>
      </c>
      <c r="CE108" s="592">
        <v>0.0</v>
      </c>
      <c r="CF108" s="592"/>
      <c r="CG108" s="592">
        <v>0.0</v>
      </c>
      <c r="CH108" s="592"/>
      <c r="CI108" s="633"/>
      <c r="CJ108" s="592">
        <v>0.0</v>
      </c>
      <c r="CK108" s="479" t="s">
        <v>365</v>
      </c>
      <c r="CL108" s="592"/>
      <c r="CM108" s="593"/>
      <c r="CN108" s="538"/>
      <c r="CO108" s="538"/>
      <c r="CP108" s="538"/>
      <c r="CQ108" s="538"/>
      <c r="CR108" s="538"/>
      <c r="CS108" s="538"/>
      <c r="CT108" s="538"/>
      <c r="CU108" s="538"/>
      <c r="CV108" s="538"/>
      <c r="CW108" s="538"/>
      <c r="CX108" s="538"/>
      <c r="CY108" s="538"/>
      <c r="CZ108" s="538"/>
      <c r="DA108" s="538"/>
      <c r="DB108" s="538"/>
      <c r="DC108" s="538"/>
      <c r="DD108" s="538"/>
      <c r="DE108" s="538"/>
      <c r="DF108" s="538"/>
      <c r="DG108" s="538"/>
      <c r="DH108" s="538"/>
      <c r="DI108" s="538"/>
      <c r="DJ108" s="538"/>
      <c r="DK108" s="538"/>
      <c r="DL108" s="538"/>
      <c r="DM108" s="538"/>
      <c r="DN108" s="538"/>
      <c r="DO108" s="538"/>
      <c r="DP108" s="538"/>
      <c r="DQ108" s="538"/>
      <c r="DR108" s="538"/>
      <c r="DS108" s="538"/>
      <c r="DT108" s="538"/>
      <c r="DU108" s="538"/>
      <c r="DV108" s="538"/>
      <c r="DW108" s="538"/>
      <c r="DX108" s="538"/>
      <c r="DY108" s="538"/>
      <c r="DZ108" s="538"/>
      <c r="EA108" s="538"/>
      <c r="EB108" s="538"/>
      <c r="EC108" s="538"/>
      <c r="ED108" s="538"/>
      <c r="EE108" s="538"/>
      <c r="EF108" s="538"/>
      <c r="EG108" s="538"/>
      <c r="EH108" s="538"/>
      <c r="EI108" s="538"/>
      <c r="EJ108" s="538"/>
      <c r="EK108" s="538"/>
      <c r="EL108" s="538"/>
      <c r="EM108" s="538"/>
      <c r="EN108" s="538"/>
      <c r="EO108" s="538"/>
      <c r="EP108" s="538"/>
      <c r="EQ108" s="538"/>
      <c r="ER108" s="538"/>
      <c r="ES108" s="538"/>
      <c r="ET108" s="538"/>
      <c r="EU108" s="538"/>
      <c r="EV108" s="538"/>
      <c r="EW108" s="538"/>
      <c r="EX108" s="559"/>
      <c r="EY108" s="559"/>
      <c r="EZ108" s="559"/>
      <c r="FA108" s="559"/>
      <c r="FB108" s="559"/>
      <c r="FC108" s="559"/>
      <c r="FD108" s="559"/>
      <c r="FE108" s="559"/>
      <c r="FF108" s="559"/>
      <c r="FG108" s="559"/>
      <c r="FH108" s="559"/>
      <c r="FI108" s="559"/>
      <c r="FJ108" s="559"/>
      <c r="FK108" s="559"/>
      <c r="FL108" s="559"/>
      <c r="FM108" s="559"/>
      <c r="FN108" s="559"/>
      <c r="FO108" s="559"/>
      <c r="FP108" s="559"/>
      <c r="FQ108" s="559"/>
      <c r="FR108" s="559"/>
      <c r="FS108" s="559"/>
      <c r="FT108" s="559"/>
      <c r="FU108" s="559"/>
      <c r="FV108" s="559"/>
      <c r="FW108" s="559"/>
      <c r="FX108" s="559"/>
      <c r="FY108" s="559"/>
      <c r="FZ108" s="559"/>
      <c r="GA108" s="559"/>
      <c r="GB108" s="559"/>
      <c r="GC108" s="559"/>
      <c r="GD108" s="559"/>
      <c r="GE108" s="559"/>
      <c r="GF108" s="559"/>
      <c r="GG108" s="559"/>
      <c r="GH108" s="559"/>
    </row>
    <row r="109">
      <c r="A109" s="538"/>
      <c r="B109" s="156"/>
      <c r="C109" s="444"/>
      <c r="D109" s="614"/>
      <c r="E109" s="66"/>
      <c r="F109" s="642"/>
      <c r="G109" s="642"/>
      <c r="H109" s="615"/>
      <c r="I109" s="616" t="s">
        <v>365</v>
      </c>
      <c r="J109" s="624"/>
      <c r="K109" s="643"/>
      <c r="L109" s="640"/>
      <c r="M109" s="625"/>
      <c r="N109" s="617"/>
      <c r="O109" s="134"/>
      <c r="P109" s="57"/>
      <c r="Q109" s="57"/>
      <c r="S109" s="605"/>
      <c r="U109" s="573"/>
      <c r="V109" s="574"/>
      <c r="W109" s="618"/>
      <c r="X109" s="576">
        <v>0.0</v>
      </c>
      <c r="Y109" s="630">
        <v>0.0</v>
      </c>
      <c r="Z109" s="630" t="s">
        <v>365</v>
      </c>
      <c r="AA109" s="631" t="b">
        <v>0</v>
      </c>
      <c r="AB109" s="631"/>
      <c r="AC109" s="576"/>
      <c r="AD109" s="479">
        <v>0.0</v>
      </c>
      <c r="AE109" s="632"/>
      <c r="AF109" s="582" t="s">
        <v>365</v>
      </c>
      <c r="AG109" s="583"/>
      <c r="AH109" s="584"/>
      <c r="AI109" s="583"/>
      <c r="AJ109" s="585"/>
      <c r="AK109" s="583"/>
      <c r="AL109" s="584"/>
      <c r="AM109" s="583"/>
      <c r="AN109" s="585"/>
      <c r="AO109" s="583"/>
      <c r="AP109" s="584"/>
      <c r="AQ109" s="583"/>
      <c r="AR109" s="585"/>
      <c r="AS109" s="583"/>
      <c r="AT109" s="584"/>
      <c r="AU109" s="583"/>
      <c r="AV109" s="585"/>
      <c r="AW109" s="583"/>
      <c r="AX109" s="584"/>
      <c r="AY109" s="583"/>
      <c r="AZ109" s="585"/>
      <c r="BA109" s="583"/>
      <c r="BB109" s="584"/>
      <c r="BC109" s="583"/>
      <c r="BD109" s="585"/>
      <c r="BE109" s="583"/>
      <c r="BF109" s="584"/>
      <c r="BG109" s="583"/>
      <c r="BH109" s="585"/>
      <c r="BI109" s="583"/>
      <c r="BJ109" s="584"/>
      <c r="BK109" s="583"/>
      <c r="BL109" s="585"/>
      <c r="BM109" s="583"/>
      <c r="BN109" s="584"/>
      <c r="BO109" s="583"/>
      <c r="BP109" s="585"/>
      <c r="BQ109" s="583"/>
      <c r="BR109" s="584"/>
      <c r="BS109" s="583"/>
      <c r="BT109" s="586"/>
      <c r="BU109" s="540"/>
      <c r="BV109" s="540"/>
      <c r="BW109" s="540"/>
      <c r="BX109" s="538"/>
      <c r="BY109" s="538"/>
      <c r="BZ109" s="592"/>
      <c r="CA109" s="633"/>
      <c r="CB109" s="592" t="s">
        <v>365</v>
      </c>
      <c r="CC109" s="592">
        <v>0.0</v>
      </c>
      <c r="CD109" s="592" t="s">
        <v>365</v>
      </c>
      <c r="CE109" s="592">
        <v>0.0</v>
      </c>
      <c r="CF109" s="592"/>
      <c r="CG109" s="592">
        <v>0.0</v>
      </c>
      <c r="CH109" s="592"/>
      <c r="CI109" s="633"/>
      <c r="CJ109" s="592">
        <v>0.0</v>
      </c>
      <c r="CK109" s="479" t="s">
        <v>365</v>
      </c>
      <c r="CL109" s="592"/>
      <c r="CM109" s="593"/>
      <c r="CN109" s="538"/>
      <c r="CO109" s="538"/>
      <c r="CP109" s="538"/>
      <c r="CQ109" s="538"/>
      <c r="CR109" s="538"/>
      <c r="CS109" s="538"/>
      <c r="CT109" s="538"/>
      <c r="CU109" s="538"/>
      <c r="CV109" s="538"/>
      <c r="CW109" s="538"/>
      <c r="CX109" s="538"/>
      <c r="CY109" s="538"/>
      <c r="CZ109" s="538"/>
      <c r="DA109" s="538"/>
      <c r="DB109" s="538"/>
      <c r="DC109" s="538"/>
      <c r="DD109" s="538"/>
      <c r="DE109" s="538"/>
      <c r="DF109" s="538"/>
      <c r="DG109" s="538"/>
      <c r="DH109" s="538"/>
      <c r="DI109" s="538"/>
      <c r="DJ109" s="538"/>
      <c r="DK109" s="538"/>
      <c r="DL109" s="538"/>
      <c r="DM109" s="538"/>
      <c r="DN109" s="538"/>
      <c r="DO109" s="538"/>
      <c r="DP109" s="538"/>
      <c r="DQ109" s="538"/>
      <c r="DR109" s="538"/>
      <c r="DS109" s="538"/>
      <c r="DT109" s="538"/>
      <c r="DU109" s="538"/>
      <c r="DV109" s="538"/>
      <c r="DW109" s="538"/>
      <c r="DX109" s="538"/>
      <c r="DY109" s="538"/>
      <c r="DZ109" s="538"/>
      <c r="EA109" s="538"/>
      <c r="EB109" s="538"/>
      <c r="EC109" s="538"/>
      <c r="ED109" s="538"/>
      <c r="EE109" s="538"/>
      <c r="EF109" s="538"/>
      <c r="EG109" s="538"/>
      <c r="EH109" s="538"/>
      <c r="EI109" s="538"/>
      <c r="EJ109" s="538"/>
      <c r="EK109" s="538"/>
      <c r="EL109" s="538"/>
      <c r="EM109" s="538"/>
      <c r="EN109" s="538"/>
      <c r="EO109" s="538"/>
      <c r="EP109" s="538"/>
      <c r="EQ109" s="538"/>
      <c r="ER109" s="538"/>
      <c r="ES109" s="538"/>
      <c r="ET109" s="538"/>
      <c r="EU109" s="538"/>
      <c r="EV109" s="538"/>
      <c r="EW109" s="538"/>
      <c r="EX109" s="559"/>
      <c r="EY109" s="559"/>
      <c r="EZ109" s="559"/>
      <c r="FA109" s="559"/>
      <c r="FB109" s="559"/>
      <c r="FC109" s="559"/>
      <c r="FD109" s="559"/>
      <c r="FE109" s="559"/>
      <c r="FF109" s="559"/>
      <c r="FG109" s="559"/>
      <c r="FH109" s="559"/>
      <c r="FI109" s="559"/>
      <c r="FJ109" s="559"/>
      <c r="FK109" s="559"/>
      <c r="FL109" s="559"/>
      <c r="FM109" s="559"/>
      <c r="FN109" s="559"/>
      <c r="FO109" s="559"/>
      <c r="FP109" s="559"/>
      <c r="FQ109" s="559"/>
      <c r="FR109" s="559"/>
      <c r="FS109" s="559"/>
      <c r="FT109" s="559"/>
      <c r="FU109" s="559"/>
      <c r="FV109" s="559"/>
      <c r="FW109" s="559"/>
      <c r="FX109" s="559"/>
      <c r="FY109" s="559"/>
      <c r="FZ109" s="559"/>
      <c r="GA109" s="559"/>
      <c r="GB109" s="559"/>
      <c r="GC109" s="559"/>
      <c r="GD109" s="559"/>
      <c r="GE109" s="559"/>
      <c r="GF109" s="559"/>
      <c r="GG109" s="559"/>
      <c r="GH109" s="559"/>
    </row>
    <row r="110">
      <c r="A110" s="538"/>
      <c r="B110" s="156"/>
      <c r="C110" s="444"/>
      <c r="D110" s="614"/>
      <c r="E110" s="68"/>
      <c r="F110" s="644"/>
      <c r="G110" s="644"/>
      <c r="H110" s="627"/>
      <c r="I110" s="622" t="s">
        <v>365</v>
      </c>
      <c r="J110" s="607"/>
      <c r="K110" s="641"/>
      <c r="L110" s="628"/>
      <c r="M110" s="626"/>
      <c r="N110" s="619"/>
      <c r="O110" s="560"/>
      <c r="P110" s="47"/>
      <c r="Q110" s="47"/>
      <c r="S110" s="572"/>
      <c r="U110" s="573"/>
      <c r="V110" s="574"/>
      <c r="W110" s="618"/>
      <c r="X110" s="576">
        <v>0.0</v>
      </c>
      <c r="Y110" s="630">
        <v>0.0</v>
      </c>
      <c r="Z110" s="630" t="s">
        <v>365</v>
      </c>
      <c r="AA110" s="631" t="b">
        <v>0</v>
      </c>
      <c r="AB110" s="631"/>
      <c r="AC110" s="576"/>
      <c r="AD110" s="479">
        <v>0.0</v>
      </c>
      <c r="AE110" s="632"/>
      <c r="AF110" s="582" t="s">
        <v>365</v>
      </c>
      <c r="AG110" s="583"/>
      <c r="AH110" s="584"/>
      <c r="AI110" s="583"/>
      <c r="AJ110" s="585"/>
      <c r="AK110" s="583"/>
      <c r="AL110" s="584"/>
      <c r="AM110" s="583"/>
      <c r="AN110" s="585"/>
      <c r="AO110" s="583"/>
      <c r="AP110" s="584"/>
      <c r="AQ110" s="583"/>
      <c r="AR110" s="585"/>
      <c r="AS110" s="583"/>
      <c r="AT110" s="584"/>
      <c r="AU110" s="583"/>
      <c r="AV110" s="585"/>
      <c r="AW110" s="583"/>
      <c r="AX110" s="584"/>
      <c r="AY110" s="583"/>
      <c r="AZ110" s="585"/>
      <c r="BA110" s="583"/>
      <c r="BB110" s="584"/>
      <c r="BC110" s="583"/>
      <c r="BD110" s="585"/>
      <c r="BE110" s="583"/>
      <c r="BF110" s="584"/>
      <c r="BG110" s="583"/>
      <c r="BH110" s="585"/>
      <c r="BI110" s="583"/>
      <c r="BJ110" s="584"/>
      <c r="BK110" s="583"/>
      <c r="BL110" s="585"/>
      <c r="BM110" s="583"/>
      <c r="BN110" s="584"/>
      <c r="BO110" s="583"/>
      <c r="BP110" s="585"/>
      <c r="BQ110" s="583"/>
      <c r="BR110" s="584"/>
      <c r="BS110" s="583"/>
      <c r="BT110" s="586"/>
      <c r="BU110" s="540"/>
      <c r="BV110" s="540"/>
      <c r="BW110" s="540"/>
      <c r="BX110" s="538"/>
      <c r="BY110" s="538"/>
      <c r="BZ110" s="592"/>
      <c r="CA110" s="633"/>
      <c r="CB110" s="592" t="s">
        <v>365</v>
      </c>
      <c r="CC110" s="592">
        <v>0.0</v>
      </c>
      <c r="CD110" s="592" t="s">
        <v>365</v>
      </c>
      <c r="CE110" s="592">
        <v>0.0</v>
      </c>
      <c r="CF110" s="592"/>
      <c r="CG110" s="592">
        <v>0.0</v>
      </c>
      <c r="CH110" s="592"/>
      <c r="CI110" s="633"/>
      <c r="CJ110" s="592">
        <v>0.0</v>
      </c>
      <c r="CK110" s="479" t="s">
        <v>365</v>
      </c>
      <c r="CL110" s="592"/>
      <c r="CM110" s="593"/>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c r="DS110" s="538"/>
      <c r="DT110" s="538"/>
      <c r="DU110" s="538"/>
      <c r="DV110" s="538"/>
      <c r="DW110" s="538"/>
      <c r="DX110" s="538"/>
      <c r="DY110" s="538"/>
      <c r="DZ110" s="538"/>
      <c r="EA110" s="538"/>
      <c r="EB110" s="538"/>
      <c r="EC110" s="538"/>
      <c r="ED110" s="538"/>
      <c r="EE110" s="538"/>
      <c r="EF110" s="538"/>
      <c r="EG110" s="538"/>
      <c r="EH110" s="538"/>
      <c r="EI110" s="538"/>
      <c r="EJ110" s="538"/>
      <c r="EK110" s="538"/>
      <c r="EL110" s="538"/>
      <c r="EM110" s="538"/>
      <c r="EN110" s="538"/>
      <c r="EO110" s="538"/>
      <c r="EP110" s="538"/>
      <c r="EQ110" s="538"/>
      <c r="ER110" s="538"/>
      <c r="ES110" s="538"/>
      <c r="ET110" s="538"/>
      <c r="EU110" s="538"/>
      <c r="EV110" s="538"/>
      <c r="EW110" s="538"/>
      <c r="EX110" s="559"/>
      <c r="EY110" s="559"/>
      <c r="EZ110" s="559"/>
      <c r="FA110" s="559"/>
      <c r="FB110" s="559"/>
      <c r="FC110" s="559"/>
      <c r="FD110" s="559"/>
      <c r="FE110" s="559"/>
      <c r="FF110" s="559"/>
      <c r="FG110" s="559"/>
      <c r="FH110" s="559"/>
      <c r="FI110" s="559"/>
      <c r="FJ110" s="559"/>
      <c r="FK110" s="559"/>
      <c r="FL110" s="559"/>
      <c r="FM110" s="559"/>
      <c r="FN110" s="559"/>
      <c r="FO110" s="559"/>
      <c r="FP110" s="559"/>
      <c r="FQ110" s="559"/>
      <c r="FR110" s="559"/>
      <c r="FS110" s="559"/>
      <c r="FT110" s="559"/>
      <c r="FU110" s="559"/>
      <c r="FV110" s="559"/>
      <c r="FW110" s="559"/>
      <c r="FX110" s="559"/>
      <c r="FY110" s="559"/>
      <c r="FZ110" s="559"/>
      <c r="GA110" s="559"/>
      <c r="GB110" s="559"/>
      <c r="GC110" s="559"/>
      <c r="GD110" s="559"/>
      <c r="GE110" s="559"/>
      <c r="GF110" s="559"/>
      <c r="GG110" s="559"/>
      <c r="GH110" s="559"/>
    </row>
    <row r="111">
      <c r="A111" s="538"/>
      <c r="B111" s="156"/>
      <c r="C111" s="444"/>
      <c r="D111" s="614"/>
      <c r="E111" s="66"/>
      <c r="F111" s="642"/>
      <c r="G111" s="642"/>
      <c r="H111" s="615"/>
      <c r="I111" s="616" t="s">
        <v>365</v>
      </c>
      <c r="J111" s="624"/>
      <c r="K111" s="643"/>
      <c r="L111" s="640"/>
      <c r="M111" s="625"/>
      <c r="N111" s="617"/>
      <c r="O111" s="134"/>
      <c r="P111" s="57"/>
      <c r="Q111" s="57"/>
      <c r="S111" s="605"/>
      <c r="U111" s="573"/>
      <c r="V111" s="574"/>
      <c r="W111" s="618"/>
      <c r="X111" s="576">
        <v>0.0</v>
      </c>
      <c r="Y111" s="630">
        <v>0.0</v>
      </c>
      <c r="Z111" s="630" t="s">
        <v>365</v>
      </c>
      <c r="AA111" s="631" t="b">
        <v>0</v>
      </c>
      <c r="AB111" s="631"/>
      <c r="AC111" s="576"/>
      <c r="AD111" s="479">
        <v>0.0</v>
      </c>
      <c r="AE111" s="632"/>
      <c r="AF111" s="582" t="s">
        <v>365</v>
      </c>
      <c r="AG111" s="583"/>
      <c r="AH111" s="584"/>
      <c r="AI111" s="583"/>
      <c r="AJ111" s="585"/>
      <c r="AK111" s="583"/>
      <c r="AL111" s="584"/>
      <c r="AM111" s="583"/>
      <c r="AN111" s="585"/>
      <c r="AO111" s="583"/>
      <c r="AP111" s="584"/>
      <c r="AQ111" s="583"/>
      <c r="AR111" s="585"/>
      <c r="AS111" s="583"/>
      <c r="AT111" s="584"/>
      <c r="AU111" s="583"/>
      <c r="AV111" s="585"/>
      <c r="AW111" s="583"/>
      <c r="AX111" s="584"/>
      <c r="AY111" s="583"/>
      <c r="AZ111" s="585"/>
      <c r="BA111" s="583"/>
      <c r="BB111" s="584"/>
      <c r="BC111" s="583"/>
      <c r="BD111" s="585"/>
      <c r="BE111" s="583"/>
      <c r="BF111" s="584"/>
      <c r="BG111" s="583"/>
      <c r="BH111" s="585"/>
      <c r="BI111" s="583"/>
      <c r="BJ111" s="584"/>
      <c r="BK111" s="583"/>
      <c r="BL111" s="585"/>
      <c r="BM111" s="583"/>
      <c r="BN111" s="584"/>
      <c r="BO111" s="583"/>
      <c r="BP111" s="585"/>
      <c r="BQ111" s="583"/>
      <c r="BR111" s="584"/>
      <c r="BS111" s="583"/>
      <c r="BT111" s="586"/>
      <c r="BU111" s="540"/>
      <c r="BV111" s="540"/>
      <c r="BW111" s="540"/>
      <c r="BX111" s="538"/>
      <c r="BY111" s="538"/>
      <c r="BZ111" s="592"/>
      <c r="CA111" s="633"/>
      <c r="CB111" s="592" t="s">
        <v>365</v>
      </c>
      <c r="CC111" s="592">
        <v>0.0</v>
      </c>
      <c r="CD111" s="592" t="s">
        <v>365</v>
      </c>
      <c r="CE111" s="592">
        <v>0.0</v>
      </c>
      <c r="CF111" s="592"/>
      <c r="CG111" s="592">
        <v>0.0</v>
      </c>
      <c r="CH111" s="592"/>
      <c r="CI111" s="633"/>
      <c r="CJ111" s="592">
        <v>0.0</v>
      </c>
      <c r="CK111" s="479" t="s">
        <v>365</v>
      </c>
      <c r="CL111" s="592"/>
      <c r="CM111" s="593"/>
      <c r="CN111" s="538"/>
      <c r="CO111" s="538"/>
      <c r="CP111" s="538"/>
      <c r="CQ111" s="538"/>
      <c r="CR111" s="538"/>
      <c r="CS111" s="538"/>
      <c r="CT111" s="538"/>
      <c r="CU111" s="538"/>
      <c r="CV111" s="538"/>
      <c r="CW111" s="538"/>
      <c r="CX111" s="538"/>
      <c r="CY111" s="538"/>
      <c r="CZ111" s="538"/>
      <c r="DA111" s="538"/>
      <c r="DB111" s="538"/>
      <c r="DC111" s="538"/>
      <c r="DD111" s="538"/>
      <c r="DE111" s="538"/>
      <c r="DF111" s="538"/>
      <c r="DG111" s="538"/>
      <c r="DH111" s="538"/>
      <c r="DI111" s="538"/>
      <c r="DJ111" s="538"/>
      <c r="DK111" s="538"/>
      <c r="DL111" s="538"/>
      <c r="DM111" s="538"/>
      <c r="DN111" s="538"/>
      <c r="DO111" s="538"/>
      <c r="DP111" s="538"/>
      <c r="DQ111" s="538"/>
      <c r="DR111" s="538"/>
      <c r="DS111" s="538"/>
      <c r="DT111" s="538"/>
      <c r="DU111" s="538"/>
      <c r="DV111" s="538"/>
      <c r="DW111" s="538"/>
      <c r="DX111" s="538"/>
      <c r="DY111" s="538"/>
      <c r="DZ111" s="538"/>
      <c r="EA111" s="538"/>
      <c r="EB111" s="538"/>
      <c r="EC111" s="538"/>
      <c r="ED111" s="538"/>
      <c r="EE111" s="538"/>
      <c r="EF111" s="538"/>
      <c r="EG111" s="538"/>
      <c r="EH111" s="538"/>
      <c r="EI111" s="538"/>
      <c r="EJ111" s="538"/>
      <c r="EK111" s="538"/>
      <c r="EL111" s="538"/>
      <c r="EM111" s="538"/>
      <c r="EN111" s="538"/>
      <c r="EO111" s="538"/>
      <c r="EP111" s="538"/>
      <c r="EQ111" s="538"/>
      <c r="ER111" s="538"/>
      <c r="ES111" s="538"/>
      <c r="ET111" s="538"/>
      <c r="EU111" s="538"/>
      <c r="EV111" s="538"/>
      <c r="EW111" s="538"/>
      <c r="EX111" s="559"/>
      <c r="EY111" s="559"/>
      <c r="EZ111" s="559"/>
      <c r="FA111" s="559"/>
      <c r="FB111" s="559"/>
      <c r="FC111" s="559"/>
      <c r="FD111" s="559"/>
      <c r="FE111" s="559"/>
      <c r="FF111" s="559"/>
      <c r="FG111" s="559"/>
      <c r="FH111" s="559"/>
      <c r="FI111" s="559"/>
      <c r="FJ111" s="559"/>
      <c r="FK111" s="559"/>
      <c r="FL111" s="559"/>
      <c r="FM111" s="559"/>
      <c r="FN111" s="559"/>
      <c r="FO111" s="559"/>
      <c r="FP111" s="559"/>
      <c r="FQ111" s="559"/>
      <c r="FR111" s="559"/>
      <c r="FS111" s="559"/>
      <c r="FT111" s="559"/>
      <c r="FU111" s="559"/>
      <c r="FV111" s="559"/>
      <c r="FW111" s="559"/>
      <c r="FX111" s="559"/>
      <c r="FY111" s="559"/>
      <c r="FZ111" s="559"/>
      <c r="GA111" s="559"/>
      <c r="GB111" s="559"/>
      <c r="GC111" s="559"/>
      <c r="GD111" s="559"/>
      <c r="GE111" s="559"/>
      <c r="GF111" s="559"/>
      <c r="GG111" s="559"/>
      <c r="GH111" s="559"/>
    </row>
    <row r="112">
      <c r="A112" s="538"/>
      <c r="B112" s="156"/>
      <c r="C112" s="444"/>
      <c r="D112" s="614"/>
      <c r="E112" s="68"/>
      <c r="F112" s="644"/>
      <c r="G112" s="644"/>
      <c r="H112" s="627"/>
      <c r="I112" s="622" t="s">
        <v>365</v>
      </c>
      <c r="J112" s="607"/>
      <c r="K112" s="641"/>
      <c r="L112" s="628"/>
      <c r="M112" s="626"/>
      <c r="N112" s="619"/>
      <c r="O112" s="560"/>
      <c r="P112" s="47"/>
      <c r="Q112" s="47"/>
      <c r="S112" s="572"/>
      <c r="U112" s="573"/>
      <c r="V112" s="574"/>
      <c r="W112" s="618"/>
      <c r="X112" s="576">
        <v>0.0</v>
      </c>
      <c r="Y112" s="630">
        <v>0.0</v>
      </c>
      <c r="Z112" s="630" t="s">
        <v>365</v>
      </c>
      <c r="AA112" s="631" t="b">
        <v>0</v>
      </c>
      <c r="AB112" s="631"/>
      <c r="AC112" s="576"/>
      <c r="AD112" s="479">
        <v>0.0</v>
      </c>
      <c r="AE112" s="632"/>
      <c r="AF112" s="582" t="s">
        <v>365</v>
      </c>
      <c r="AG112" s="583"/>
      <c r="AH112" s="584"/>
      <c r="AI112" s="583"/>
      <c r="AJ112" s="585"/>
      <c r="AK112" s="583"/>
      <c r="AL112" s="584"/>
      <c r="AM112" s="583"/>
      <c r="AN112" s="585"/>
      <c r="AO112" s="583"/>
      <c r="AP112" s="584"/>
      <c r="AQ112" s="583"/>
      <c r="AR112" s="585"/>
      <c r="AS112" s="583"/>
      <c r="AT112" s="584"/>
      <c r="AU112" s="583"/>
      <c r="AV112" s="585"/>
      <c r="AW112" s="583"/>
      <c r="AX112" s="584"/>
      <c r="AY112" s="583"/>
      <c r="AZ112" s="585"/>
      <c r="BA112" s="583"/>
      <c r="BB112" s="584"/>
      <c r="BC112" s="583"/>
      <c r="BD112" s="585"/>
      <c r="BE112" s="583"/>
      <c r="BF112" s="584"/>
      <c r="BG112" s="583"/>
      <c r="BH112" s="585"/>
      <c r="BI112" s="583"/>
      <c r="BJ112" s="584"/>
      <c r="BK112" s="583"/>
      <c r="BL112" s="585"/>
      <c r="BM112" s="583"/>
      <c r="BN112" s="584"/>
      <c r="BO112" s="583"/>
      <c r="BP112" s="585"/>
      <c r="BQ112" s="583"/>
      <c r="BR112" s="584"/>
      <c r="BS112" s="583"/>
      <c r="BT112" s="586"/>
      <c r="BU112" s="540"/>
      <c r="BV112" s="540"/>
      <c r="BW112" s="540"/>
      <c r="BX112" s="538"/>
      <c r="BY112" s="538"/>
      <c r="BZ112" s="592"/>
      <c r="CA112" s="633"/>
      <c r="CB112" s="592" t="s">
        <v>365</v>
      </c>
      <c r="CC112" s="592">
        <v>0.0</v>
      </c>
      <c r="CD112" s="592" t="s">
        <v>365</v>
      </c>
      <c r="CE112" s="592">
        <v>0.0</v>
      </c>
      <c r="CF112" s="592"/>
      <c r="CG112" s="592">
        <v>0.0</v>
      </c>
      <c r="CH112" s="592"/>
      <c r="CI112" s="633"/>
      <c r="CJ112" s="592">
        <v>0.0</v>
      </c>
      <c r="CK112" s="479" t="s">
        <v>365</v>
      </c>
      <c r="CL112" s="592"/>
      <c r="CM112" s="593"/>
      <c r="CN112" s="538"/>
      <c r="CO112" s="538"/>
      <c r="CP112" s="538"/>
      <c r="CQ112" s="538"/>
      <c r="CR112" s="538"/>
      <c r="CS112" s="538"/>
      <c r="CT112" s="538"/>
      <c r="CU112" s="538"/>
      <c r="CV112" s="538"/>
      <c r="CW112" s="538"/>
      <c r="CX112" s="538"/>
      <c r="CY112" s="538"/>
      <c r="CZ112" s="538"/>
      <c r="DA112" s="538"/>
      <c r="DB112" s="538"/>
      <c r="DC112" s="538"/>
      <c r="DD112" s="538"/>
      <c r="DE112" s="538"/>
      <c r="DF112" s="538"/>
      <c r="DG112" s="538"/>
      <c r="DH112" s="538"/>
      <c r="DI112" s="538"/>
      <c r="DJ112" s="538"/>
      <c r="DK112" s="538"/>
      <c r="DL112" s="538"/>
      <c r="DM112" s="538"/>
      <c r="DN112" s="538"/>
      <c r="DO112" s="538"/>
      <c r="DP112" s="538"/>
      <c r="DQ112" s="538"/>
      <c r="DR112" s="538"/>
      <c r="DS112" s="538"/>
      <c r="DT112" s="538"/>
      <c r="DU112" s="538"/>
      <c r="DV112" s="538"/>
      <c r="DW112" s="538"/>
      <c r="DX112" s="538"/>
      <c r="DY112" s="538"/>
      <c r="DZ112" s="538"/>
      <c r="EA112" s="538"/>
      <c r="EB112" s="538"/>
      <c r="EC112" s="538"/>
      <c r="ED112" s="538"/>
      <c r="EE112" s="538"/>
      <c r="EF112" s="538"/>
      <c r="EG112" s="538"/>
      <c r="EH112" s="538"/>
      <c r="EI112" s="538"/>
      <c r="EJ112" s="538"/>
      <c r="EK112" s="538"/>
      <c r="EL112" s="538"/>
      <c r="EM112" s="538"/>
      <c r="EN112" s="538"/>
      <c r="EO112" s="538"/>
      <c r="EP112" s="538"/>
      <c r="EQ112" s="538"/>
      <c r="ER112" s="538"/>
      <c r="ES112" s="538"/>
      <c r="ET112" s="538"/>
      <c r="EU112" s="538"/>
      <c r="EV112" s="538"/>
      <c r="EW112" s="538"/>
      <c r="EX112" s="559"/>
      <c r="EY112" s="559"/>
      <c r="EZ112" s="559"/>
      <c r="FA112" s="559"/>
      <c r="FB112" s="559"/>
      <c r="FC112" s="559"/>
      <c r="FD112" s="559"/>
      <c r="FE112" s="559"/>
      <c r="FF112" s="559"/>
      <c r="FG112" s="559"/>
      <c r="FH112" s="559"/>
      <c r="FI112" s="559"/>
      <c r="FJ112" s="559"/>
      <c r="FK112" s="559"/>
      <c r="FL112" s="559"/>
      <c r="FM112" s="559"/>
      <c r="FN112" s="559"/>
      <c r="FO112" s="559"/>
      <c r="FP112" s="559"/>
      <c r="FQ112" s="559"/>
      <c r="FR112" s="559"/>
      <c r="FS112" s="559"/>
      <c r="FT112" s="559"/>
      <c r="FU112" s="559"/>
      <c r="FV112" s="559"/>
      <c r="FW112" s="559"/>
      <c r="FX112" s="559"/>
      <c r="FY112" s="559"/>
      <c r="FZ112" s="559"/>
      <c r="GA112" s="559"/>
      <c r="GB112" s="559"/>
      <c r="GC112" s="559"/>
      <c r="GD112" s="559"/>
      <c r="GE112" s="559"/>
      <c r="GF112" s="559"/>
      <c r="GG112" s="559"/>
      <c r="GH112" s="559"/>
    </row>
    <row r="113">
      <c r="A113" s="538"/>
      <c r="B113" s="156"/>
      <c r="C113" s="444"/>
      <c r="D113" s="614"/>
      <c r="E113" s="66"/>
      <c r="F113" s="642"/>
      <c r="G113" s="642"/>
      <c r="H113" s="615"/>
      <c r="I113" s="616" t="s">
        <v>365</v>
      </c>
      <c r="J113" s="624"/>
      <c r="K113" s="643"/>
      <c r="L113" s="640"/>
      <c r="M113" s="625"/>
      <c r="N113" s="617"/>
      <c r="O113" s="134"/>
      <c r="P113" s="57"/>
      <c r="Q113" s="57"/>
      <c r="S113" s="605"/>
      <c r="U113" s="573"/>
      <c r="V113" s="574"/>
      <c r="W113" s="618"/>
      <c r="X113" s="576">
        <v>0.0</v>
      </c>
      <c r="Y113" s="630">
        <v>0.0</v>
      </c>
      <c r="Z113" s="630" t="s">
        <v>365</v>
      </c>
      <c r="AA113" s="631" t="b">
        <v>0</v>
      </c>
      <c r="AB113" s="631"/>
      <c r="AC113" s="576"/>
      <c r="AD113" s="479">
        <v>0.0</v>
      </c>
      <c r="AE113" s="632"/>
      <c r="AF113" s="582" t="s">
        <v>365</v>
      </c>
      <c r="AG113" s="583"/>
      <c r="AH113" s="584"/>
      <c r="AI113" s="583"/>
      <c r="AJ113" s="585"/>
      <c r="AK113" s="583"/>
      <c r="AL113" s="584"/>
      <c r="AM113" s="583"/>
      <c r="AN113" s="585"/>
      <c r="AO113" s="583"/>
      <c r="AP113" s="584"/>
      <c r="AQ113" s="583"/>
      <c r="AR113" s="585"/>
      <c r="AS113" s="583"/>
      <c r="AT113" s="584"/>
      <c r="AU113" s="583"/>
      <c r="AV113" s="585"/>
      <c r="AW113" s="583"/>
      <c r="AX113" s="584"/>
      <c r="AY113" s="583"/>
      <c r="AZ113" s="585"/>
      <c r="BA113" s="583"/>
      <c r="BB113" s="584"/>
      <c r="BC113" s="583"/>
      <c r="BD113" s="585"/>
      <c r="BE113" s="583"/>
      <c r="BF113" s="584"/>
      <c r="BG113" s="583"/>
      <c r="BH113" s="585"/>
      <c r="BI113" s="583"/>
      <c r="BJ113" s="584"/>
      <c r="BK113" s="583"/>
      <c r="BL113" s="585"/>
      <c r="BM113" s="583"/>
      <c r="BN113" s="584"/>
      <c r="BO113" s="583"/>
      <c r="BP113" s="585"/>
      <c r="BQ113" s="583"/>
      <c r="BR113" s="584"/>
      <c r="BS113" s="583"/>
      <c r="BT113" s="586"/>
      <c r="BU113" s="540"/>
      <c r="BV113" s="540"/>
      <c r="BW113" s="540"/>
      <c r="BX113" s="538"/>
      <c r="BY113" s="538"/>
      <c r="BZ113" s="592"/>
      <c r="CA113" s="633"/>
      <c r="CB113" s="592" t="s">
        <v>365</v>
      </c>
      <c r="CC113" s="592">
        <v>0.0</v>
      </c>
      <c r="CD113" s="592" t="s">
        <v>365</v>
      </c>
      <c r="CE113" s="592">
        <v>0.0</v>
      </c>
      <c r="CF113" s="592"/>
      <c r="CG113" s="592">
        <v>0.0</v>
      </c>
      <c r="CH113" s="592"/>
      <c r="CI113" s="633"/>
      <c r="CJ113" s="592">
        <v>0.0</v>
      </c>
      <c r="CK113" s="479" t="s">
        <v>365</v>
      </c>
      <c r="CL113" s="592"/>
      <c r="CM113" s="593"/>
      <c r="CN113" s="538"/>
      <c r="CO113" s="538"/>
      <c r="CP113" s="538"/>
      <c r="CQ113" s="538"/>
      <c r="CR113" s="538"/>
      <c r="CS113" s="538"/>
      <c r="CT113" s="538"/>
      <c r="CU113" s="538"/>
      <c r="CV113" s="538"/>
      <c r="CW113" s="538"/>
      <c r="CX113" s="538"/>
      <c r="CY113" s="538"/>
      <c r="CZ113" s="538"/>
      <c r="DA113" s="538"/>
      <c r="DB113" s="538"/>
      <c r="DC113" s="538"/>
      <c r="DD113" s="538"/>
      <c r="DE113" s="538"/>
      <c r="DF113" s="538"/>
      <c r="DG113" s="538"/>
      <c r="DH113" s="538"/>
      <c r="DI113" s="538"/>
      <c r="DJ113" s="538"/>
      <c r="DK113" s="538"/>
      <c r="DL113" s="538"/>
      <c r="DM113" s="538"/>
      <c r="DN113" s="538"/>
      <c r="DO113" s="538"/>
      <c r="DP113" s="538"/>
      <c r="DQ113" s="538"/>
      <c r="DR113" s="538"/>
      <c r="DS113" s="538"/>
      <c r="DT113" s="538"/>
      <c r="DU113" s="538"/>
      <c r="DV113" s="538"/>
      <c r="DW113" s="538"/>
      <c r="DX113" s="538"/>
      <c r="DY113" s="538"/>
      <c r="DZ113" s="538"/>
      <c r="EA113" s="538"/>
      <c r="EB113" s="538"/>
      <c r="EC113" s="538"/>
      <c r="ED113" s="538"/>
      <c r="EE113" s="538"/>
      <c r="EF113" s="538"/>
      <c r="EG113" s="538"/>
      <c r="EH113" s="538"/>
      <c r="EI113" s="538"/>
      <c r="EJ113" s="538"/>
      <c r="EK113" s="538"/>
      <c r="EL113" s="538"/>
      <c r="EM113" s="538"/>
      <c r="EN113" s="538"/>
      <c r="EO113" s="538"/>
      <c r="EP113" s="538"/>
      <c r="EQ113" s="538"/>
      <c r="ER113" s="538"/>
      <c r="ES113" s="538"/>
      <c r="ET113" s="538"/>
      <c r="EU113" s="538"/>
      <c r="EV113" s="538"/>
      <c r="EW113" s="538"/>
      <c r="EX113" s="559"/>
      <c r="EY113" s="559"/>
      <c r="EZ113" s="559"/>
      <c r="FA113" s="559"/>
      <c r="FB113" s="559"/>
      <c r="FC113" s="559"/>
      <c r="FD113" s="559"/>
      <c r="FE113" s="559"/>
      <c r="FF113" s="559"/>
      <c r="FG113" s="559"/>
      <c r="FH113" s="559"/>
      <c r="FI113" s="559"/>
      <c r="FJ113" s="559"/>
      <c r="FK113" s="559"/>
      <c r="FL113" s="559"/>
      <c r="FM113" s="559"/>
      <c r="FN113" s="559"/>
      <c r="FO113" s="559"/>
      <c r="FP113" s="559"/>
      <c r="FQ113" s="559"/>
      <c r="FR113" s="559"/>
      <c r="FS113" s="559"/>
      <c r="FT113" s="559"/>
      <c r="FU113" s="559"/>
      <c r="FV113" s="559"/>
      <c r="FW113" s="559"/>
      <c r="FX113" s="559"/>
      <c r="FY113" s="559"/>
      <c r="FZ113" s="559"/>
      <c r="GA113" s="559"/>
      <c r="GB113" s="559"/>
      <c r="GC113" s="559"/>
      <c r="GD113" s="559"/>
      <c r="GE113" s="559"/>
      <c r="GF113" s="559"/>
      <c r="GG113" s="559"/>
      <c r="GH113" s="559"/>
    </row>
    <row r="114">
      <c r="A114" s="538"/>
      <c r="B114" s="156"/>
      <c r="C114" s="444"/>
      <c r="D114" s="614"/>
      <c r="E114" s="68"/>
      <c r="F114" s="644"/>
      <c r="G114" s="644"/>
      <c r="H114" s="627"/>
      <c r="I114" s="622" t="s">
        <v>365</v>
      </c>
      <c r="J114" s="607"/>
      <c r="K114" s="641"/>
      <c r="L114" s="628"/>
      <c r="M114" s="626"/>
      <c r="N114" s="619"/>
      <c r="O114" s="560"/>
      <c r="P114" s="47"/>
      <c r="Q114" s="47"/>
      <c r="S114" s="572"/>
      <c r="U114" s="573"/>
      <c r="V114" s="574"/>
      <c r="W114" s="618"/>
      <c r="X114" s="576">
        <v>0.0</v>
      </c>
      <c r="Y114" s="630">
        <v>0.0</v>
      </c>
      <c r="Z114" s="630" t="s">
        <v>365</v>
      </c>
      <c r="AA114" s="631" t="b">
        <v>0</v>
      </c>
      <c r="AB114" s="631"/>
      <c r="AC114" s="576"/>
      <c r="AD114" s="479">
        <v>0.0</v>
      </c>
      <c r="AE114" s="632"/>
      <c r="AF114" s="582" t="s">
        <v>365</v>
      </c>
      <c r="AG114" s="583"/>
      <c r="AH114" s="584"/>
      <c r="AI114" s="583"/>
      <c r="AJ114" s="585"/>
      <c r="AK114" s="583"/>
      <c r="AL114" s="584"/>
      <c r="AM114" s="583"/>
      <c r="AN114" s="585"/>
      <c r="AO114" s="583"/>
      <c r="AP114" s="584"/>
      <c r="AQ114" s="583"/>
      <c r="AR114" s="585"/>
      <c r="AS114" s="583"/>
      <c r="AT114" s="584"/>
      <c r="AU114" s="583"/>
      <c r="AV114" s="585"/>
      <c r="AW114" s="583"/>
      <c r="AX114" s="584"/>
      <c r="AY114" s="583"/>
      <c r="AZ114" s="585"/>
      <c r="BA114" s="583"/>
      <c r="BB114" s="584"/>
      <c r="BC114" s="583"/>
      <c r="BD114" s="585"/>
      <c r="BE114" s="583"/>
      <c r="BF114" s="584"/>
      <c r="BG114" s="583"/>
      <c r="BH114" s="585"/>
      <c r="BI114" s="583"/>
      <c r="BJ114" s="584"/>
      <c r="BK114" s="583"/>
      <c r="BL114" s="585"/>
      <c r="BM114" s="583"/>
      <c r="BN114" s="584"/>
      <c r="BO114" s="583"/>
      <c r="BP114" s="585"/>
      <c r="BQ114" s="583"/>
      <c r="BR114" s="584"/>
      <c r="BS114" s="583"/>
      <c r="BT114" s="586"/>
      <c r="BU114" s="540"/>
      <c r="BV114" s="540"/>
      <c r="BW114" s="540"/>
      <c r="BX114" s="538"/>
      <c r="BY114" s="538"/>
      <c r="BZ114" s="592"/>
      <c r="CA114" s="633"/>
      <c r="CB114" s="592" t="s">
        <v>365</v>
      </c>
      <c r="CC114" s="592">
        <v>0.0</v>
      </c>
      <c r="CD114" s="592" t="s">
        <v>365</v>
      </c>
      <c r="CE114" s="592">
        <v>0.0</v>
      </c>
      <c r="CF114" s="592"/>
      <c r="CG114" s="592">
        <v>0.0</v>
      </c>
      <c r="CH114" s="592"/>
      <c r="CI114" s="633"/>
      <c r="CJ114" s="592">
        <v>0.0</v>
      </c>
      <c r="CK114" s="479" t="s">
        <v>365</v>
      </c>
      <c r="CL114" s="592"/>
      <c r="CM114" s="593"/>
      <c r="CN114" s="538"/>
      <c r="CO114" s="538"/>
      <c r="CP114" s="538"/>
      <c r="CQ114" s="538"/>
      <c r="CR114" s="538"/>
      <c r="CS114" s="538"/>
      <c r="CT114" s="538"/>
      <c r="CU114" s="538"/>
      <c r="CV114" s="538"/>
      <c r="CW114" s="538"/>
      <c r="CX114" s="538"/>
      <c r="CY114" s="538"/>
      <c r="CZ114" s="538"/>
      <c r="DA114" s="538"/>
      <c r="DB114" s="538"/>
      <c r="DC114" s="538"/>
      <c r="DD114" s="538"/>
      <c r="DE114" s="538"/>
      <c r="DF114" s="538"/>
      <c r="DG114" s="538"/>
      <c r="DH114" s="538"/>
      <c r="DI114" s="538"/>
      <c r="DJ114" s="538"/>
      <c r="DK114" s="538"/>
      <c r="DL114" s="538"/>
      <c r="DM114" s="538"/>
      <c r="DN114" s="538"/>
      <c r="DO114" s="538"/>
      <c r="DP114" s="538"/>
      <c r="DQ114" s="538"/>
      <c r="DR114" s="538"/>
      <c r="DS114" s="538"/>
      <c r="DT114" s="538"/>
      <c r="DU114" s="538"/>
      <c r="DV114" s="538"/>
      <c r="DW114" s="538"/>
      <c r="DX114" s="538"/>
      <c r="DY114" s="538"/>
      <c r="DZ114" s="538"/>
      <c r="EA114" s="538"/>
      <c r="EB114" s="538"/>
      <c r="EC114" s="538"/>
      <c r="ED114" s="538"/>
      <c r="EE114" s="538"/>
      <c r="EF114" s="538"/>
      <c r="EG114" s="538"/>
      <c r="EH114" s="538"/>
      <c r="EI114" s="538"/>
      <c r="EJ114" s="538"/>
      <c r="EK114" s="538"/>
      <c r="EL114" s="538"/>
      <c r="EM114" s="538"/>
      <c r="EN114" s="538"/>
      <c r="EO114" s="538"/>
      <c r="EP114" s="538"/>
      <c r="EQ114" s="538"/>
      <c r="ER114" s="538"/>
      <c r="ES114" s="538"/>
      <c r="ET114" s="538"/>
      <c r="EU114" s="538"/>
      <c r="EV114" s="538"/>
      <c r="EW114" s="538"/>
      <c r="EX114" s="559"/>
      <c r="EY114" s="559"/>
      <c r="EZ114" s="559"/>
      <c r="FA114" s="559"/>
      <c r="FB114" s="559"/>
      <c r="FC114" s="559"/>
      <c r="FD114" s="559"/>
      <c r="FE114" s="559"/>
      <c r="FF114" s="559"/>
      <c r="FG114" s="559"/>
      <c r="FH114" s="559"/>
      <c r="FI114" s="559"/>
      <c r="FJ114" s="559"/>
      <c r="FK114" s="559"/>
      <c r="FL114" s="559"/>
      <c r="FM114" s="559"/>
      <c r="FN114" s="559"/>
      <c r="FO114" s="559"/>
      <c r="FP114" s="559"/>
      <c r="FQ114" s="559"/>
      <c r="FR114" s="559"/>
      <c r="FS114" s="559"/>
      <c r="FT114" s="559"/>
      <c r="FU114" s="559"/>
      <c r="FV114" s="559"/>
      <c r="FW114" s="559"/>
      <c r="FX114" s="559"/>
      <c r="FY114" s="559"/>
      <c r="FZ114" s="559"/>
      <c r="GA114" s="559"/>
      <c r="GB114" s="559"/>
      <c r="GC114" s="559"/>
      <c r="GD114" s="559"/>
      <c r="GE114" s="559"/>
      <c r="GF114" s="559"/>
      <c r="GG114" s="559"/>
      <c r="GH114" s="559"/>
    </row>
    <row r="115">
      <c r="A115" s="538"/>
      <c r="B115" s="156"/>
      <c r="C115" s="444"/>
      <c r="D115" s="614"/>
      <c r="E115" s="66"/>
      <c r="F115" s="642"/>
      <c r="G115" s="642"/>
      <c r="H115" s="615"/>
      <c r="I115" s="616" t="s">
        <v>365</v>
      </c>
      <c r="J115" s="624"/>
      <c r="K115" s="643"/>
      <c r="L115" s="640"/>
      <c r="M115" s="625"/>
      <c r="N115" s="617"/>
      <c r="O115" s="134"/>
      <c r="P115" s="57"/>
      <c r="Q115" s="57"/>
      <c r="S115" s="605"/>
      <c r="U115" s="573"/>
      <c r="V115" s="574"/>
      <c r="W115" s="618"/>
      <c r="X115" s="576">
        <v>0.0</v>
      </c>
      <c r="Y115" s="630">
        <v>0.0</v>
      </c>
      <c r="Z115" s="630" t="s">
        <v>365</v>
      </c>
      <c r="AA115" s="631" t="b">
        <v>0</v>
      </c>
      <c r="AB115" s="631"/>
      <c r="AC115" s="576"/>
      <c r="AD115" s="479">
        <v>0.0</v>
      </c>
      <c r="AE115" s="632"/>
      <c r="AF115" s="582" t="s">
        <v>365</v>
      </c>
      <c r="AG115" s="583"/>
      <c r="AH115" s="584"/>
      <c r="AI115" s="583"/>
      <c r="AJ115" s="585"/>
      <c r="AK115" s="583"/>
      <c r="AL115" s="584"/>
      <c r="AM115" s="583"/>
      <c r="AN115" s="585"/>
      <c r="AO115" s="583"/>
      <c r="AP115" s="584"/>
      <c r="AQ115" s="583"/>
      <c r="AR115" s="585"/>
      <c r="AS115" s="583"/>
      <c r="AT115" s="584"/>
      <c r="AU115" s="583"/>
      <c r="AV115" s="585"/>
      <c r="AW115" s="583"/>
      <c r="AX115" s="584"/>
      <c r="AY115" s="583"/>
      <c r="AZ115" s="585"/>
      <c r="BA115" s="583"/>
      <c r="BB115" s="584"/>
      <c r="BC115" s="583"/>
      <c r="BD115" s="585"/>
      <c r="BE115" s="583"/>
      <c r="BF115" s="584"/>
      <c r="BG115" s="583"/>
      <c r="BH115" s="585"/>
      <c r="BI115" s="583"/>
      <c r="BJ115" s="584"/>
      <c r="BK115" s="583"/>
      <c r="BL115" s="585"/>
      <c r="BM115" s="583"/>
      <c r="BN115" s="584"/>
      <c r="BO115" s="583"/>
      <c r="BP115" s="585"/>
      <c r="BQ115" s="583"/>
      <c r="BR115" s="584"/>
      <c r="BS115" s="583"/>
      <c r="BT115" s="586"/>
      <c r="BU115" s="540"/>
      <c r="BV115" s="540"/>
      <c r="BW115" s="540"/>
      <c r="BX115" s="538"/>
      <c r="BY115" s="538"/>
      <c r="BZ115" s="592"/>
      <c r="CA115" s="633"/>
      <c r="CB115" s="592" t="s">
        <v>365</v>
      </c>
      <c r="CC115" s="592">
        <v>0.0</v>
      </c>
      <c r="CD115" s="592" t="s">
        <v>365</v>
      </c>
      <c r="CE115" s="592">
        <v>0.0</v>
      </c>
      <c r="CF115" s="592"/>
      <c r="CG115" s="592">
        <v>0.0</v>
      </c>
      <c r="CH115" s="592"/>
      <c r="CI115" s="633"/>
      <c r="CJ115" s="592">
        <v>0.0</v>
      </c>
      <c r="CK115" s="479" t="s">
        <v>365</v>
      </c>
      <c r="CL115" s="592"/>
      <c r="CM115" s="593"/>
      <c r="CN115" s="538"/>
      <c r="CO115" s="538"/>
      <c r="CP115" s="538"/>
      <c r="CQ115" s="538"/>
      <c r="CR115" s="538"/>
      <c r="CS115" s="538"/>
      <c r="CT115" s="538"/>
      <c r="CU115" s="538"/>
      <c r="CV115" s="538"/>
      <c r="CW115" s="538"/>
      <c r="CX115" s="538"/>
      <c r="CY115" s="538"/>
      <c r="CZ115" s="538"/>
      <c r="DA115" s="538"/>
      <c r="DB115" s="538"/>
      <c r="DC115" s="538"/>
      <c r="DD115" s="538"/>
      <c r="DE115" s="538"/>
      <c r="DF115" s="538"/>
      <c r="DG115" s="538"/>
      <c r="DH115" s="538"/>
      <c r="DI115" s="538"/>
      <c r="DJ115" s="538"/>
      <c r="DK115" s="538"/>
      <c r="DL115" s="538"/>
      <c r="DM115" s="538"/>
      <c r="DN115" s="538"/>
      <c r="DO115" s="538"/>
      <c r="DP115" s="538"/>
      <c r="DQ115" s="538"/>
      <c r="DR115" s="538"/>
      <c r="DS115" s="538"/>
      <c r="DT115" s="538"/>
      <c r="DU115" s="538"/>
      <c r="DV115" s="538"/>
      <c r="DW115" s="538"/>
      <c r="DX115" s="538"/>
      <c r="DY115" s="538"/>
      <c r="DZ115" s="538"/>
      <c r="EA115" s="538"/>
      <c r="EB115" s="538"/>
      <c r="EC115" s="538"/>
      <c r="ED115" s="538"/>
      <c r="EE115" s="538"/>
      <c r="EF115" s="538"/>
      <c r="EG115" s="538"/>
      <c r="EH115" s="538"/>
      <c r="EI115" s="538"/>
      <c r="EJ115" s="538"/>
      <c r="EK115" s="538"/>
      <c r="EL115" s="538"/>
      <c r="EM115" s="538"/>
      <c r="EN115" s="538"/>
      <c r="EO115" s="538"/>
      <c r="EP115" s="538"/>
      <c r="EQ115" s="538"/>
      <c r="ER115" s="538"/>
      <c r="ES115" s="538"/>
      <c r="ET115" s="538"/>
      <c r="EU115" s="538"/>
      <c r="EV115" s="538"/>
      <c r="EW115" s="538"/>
      <c r="EX115" s="559"/>
      <c r="EY115" s="559"/>
      <c r="EZ115" s="559"/>
      <c r="FA115" s="559"/>
      <c r="FB115" s="559"/>
      <c r="FC115" s="559"/>
      <c r="FD115" s="559"/>
      <c r="FE115" s="559"/>
      <c r="FF115" s="559"/>
      <c r="FG115" s="559"/>
      <c r="FH115" s="559"/>
      <c r="FI115" s="559"/>
      <c r="FJ115" s="559"/>
      <c r="FK115" s="559"/>
      <c r="FL115" s="559"/>
      <c r="FM115" s="559"/>
      <c r="FN115" s="559"/>
      <c r="FO115" s="559"/>
      <c r="FP115" s="559"/>
      <c r="FQ115" s="559"/>
      <c r="FR115" s="559"/>
      <c r="FS115" s="559"/>
      <c r="FT115" s="559"/>
      <c r="FU115" s="559"/>
      <c r="FV115" s="559"/>
      <c r="FW115" s="559"/>
      <c r="FX115" s="559"/>
      <c r="FY115" s="559"/>
      <c r="FZ115" s="559"/>
      <c r="GA115" s="559"/>
      <c r="GB115" s="559"/>
      <c r="GC115" s="559"/>
      <c r="GD115" s="559"/>
      <c r="GE115" s="559"/>
      <c r="GF115" s="559"/>
      <c r="GG115" s="559"/>
      <c r="GH115" s="559"/>
    </row>
    <row r="116">
      <c r="A116" s="538"/>
      <c r="B116" s="156"/>
      <c r="C116" s="444"/>
      <c r="D116" s="614"/>
      <c r="E116" s="68"/>
      <c r="F116" s="644"/>
      <c r="G116" s="644"/>
      <c r="H116" s="627"/>
      <c r="I116" s="622" t="s">
        <v>365</v>
      </c>
      <c r="J116" s="607"/>
      <c r="K116" s="641"/>
      <c r="L116" s="628"/>
      <c r="M116" s="626"/>
      <c r="N116" s="619"/>
      <c r="O116" s="560"/>
      <c r="P116" s="47"/>
      <c r="Q116" s="47"/>
      <c r="S116" s="572"/>
      <c r="U116" s="573"/>
      <c r="V116" s="574"/>
      <c r="W116" s="618"/>
      <c r="X116" s="576">
        <v>0.0</v>
      </c>
      <c r="Y116" s="630">
        <v>0.0</v>
      </c>
      <c r="Z116" s="630" t="s">
        <v>365</v>
      </c>
      <c r="AA116" s="631" t="b">
        <v>0</v>
      </c>
      <c r="AB116" s="631"/>
      <c r="AC116" s="576"/>
      <c r="AD116" s="479">
        <v>0.0</v>
      </c>
      <c r="AE116" s="632"/>
      <c r="AF116" s="582" t="s">
        <v>365</v>
      </c>
      <c r="AG116" s="583"/>
      <c r="AH116" s="584"/>
      <c r="AI116" s="583"/>
      <c r="AJ116" s="585"/>
      <c r="AK116" s="583"/>
      <c r="AL116" s="584"/>
      <c r="AM116" s="583"/>
      <c r="AN116" s="585"/>
      <c r="AO116" s="583"/>
      <c r="AP116" s="584"/>
      <c r="AQ116" s="583"/>
      <c r="AR116" s="585"/>
      <c r="AS116" s="583"/>
      <c r="AT116" s="584"/>
      <c r="AU116" s="583"/>
      <c r="AV116" s="585"/>
      <c r="AW116" s="583"/>
      <c r="AX116" s="584"/>
      <c r="AY116" s="583"/>
      <c r="AZ116" s="585"/>
      <c r="BA116" s="583"/>
      <c r="BB116" s="584"/>
      <c r="BC116" s="583"/>
      <c r="BD116" s="585"/>
      <c r="BE116" s="583"/>
      <c r="BF116" s="584"/>
      <c r="BG116" s="583"/>
      <c r="BH116" s="585"/>
      <c r="BI116" s="583"/>
      <c r="BJ116" s="584"/>
      <c r="BK116" s="583"/>
      <c r="BL116" s="585"/>
      <c r="BM116" s="583"/>
      <c r="BN116" s="584"/>
      <c r="BO116" s="583"/>
      <c r="BP116" s="585"/>
      <c r="BQ116" s="583"/>
      <c r="BR116" s="584"/>
      <c r="BS116" s="583"/>
      <c r="BT116" s="586"/>
      <c r="BU116" s="540"/>
      <c r="BV116" s="540"/>
      <c r="BW116" s="540"/>
      <c r="BX116" s="538"/>
      <c r="BY116" s="538"/>
      <c r="BZ116" s="592"/>
      <c r="CA116" s="633"/>
      <c r="CB116" s="592" t="s">
        <v>365</v>
      </c>
      <c r="CC116" s="592">
        <v>0.0</v>
      </c>
      <c r="CD116" s="592" t="s">
        <v>365</v>
      </c>
      <c r="CE116" s="592">
        <v>0.0</v>
      </c>
      <c r="CF116" s="592"/>
      <c r="CG116" s="592">
        <v>0.0</v>
      </c>
      <c r="CH116" s="592"/>
      <c r="CI116" s="633"/>
      <c r="CJ116" s="592">
        <v>0.0</v>
      </c>
      <c r="CK116" s="479" t="s">
        <v>365</v>
      </c>
      <c r="CL116" s="592"/>
      <c r="CM116" s="593"/>
      <c r="CN116" s="538"/>
      <c r="CO116" s="538"/>
      <c r="CP116" s="538"/>
      <c r="CQ116" s="538"/>
      <c r="CR116" s="538"/>
      <c r="CS116" s="538"/>
      <c r="CT116" s="538"/>
      <c r="CU116" s="538"/>
      <c r="CV116" s="538"/>
      <c r="CW116" s="538"/>
      <c r="CX116" s="538"/>
      <c r="CY116" s="538"/>
      <c r="CZ116" s="538"/>
      <c r="DA116" s="538"/>
      <c r="DB116" s="538"/>
      <c r="DC116" s="538"/>
      <c r="DD116" s="538"/>
      <c r="DE116" s="538"/>
      <c r="DF116" s="538"/>
      <c r="DG116" s="538"/>
      <c r="DH116" s="538"/>
      <c r="DI116" s="538"/>
      <c r="DJ116" s="538"/>
      <c r="DK116" s="538"/>
      <c r="DL116" s="538"/>
      <c r="DM116" s="538"/>
      <c r="DN116" s="538"/>
      <c r="DO116" s="538"/>
      <c r="DP116" s="538"/>
      <c r="DQ116" s="538"/>
      <c r="DR116" s="538"/>
      <c r="DS116" s="538"/>
      <c r="DT116" s="538"/>
      <c r="DU116" s="538"/>
      <c r="DV116" s="538"/>
      <c r="DW116" s="538"/>
      <c r="DX116" s="538"/>
      <c r="DY116" s="538"/>
      <c r="DZ116" s="538"/>
      <c r="EA116" s="538"/>
      <c r="EB116" s="538"/>
      <c r="EC116" s="538"/>
      <c r="ED116" s="538"/>
      <c r="EE116" s="538"/>
      <c r="EF116" s="538"/>
      <c r="EG116" s="538"/>
      <c r="EH116" s="538"/>
      <c r="EI116" s="538"/>
      <c r="EJ116" s="538"/>
      <c r="EK116" s="538"/>
      <c r="EL116" s="538"/>
      <c r="EM116" s="538"/>
      <c r="EN116" s="538"/>
      <c r="EO116" s="538"/>
      <c r="EP116" s="538"/>
      <c r="EQ116" s="538"/>
      <c r="ER116" s="538"/>
      <c r="ES116" s="538"/>
      <c r="ET116" s="538"/>
      <c r="EU116" s="538"/>
      <c r="EV116" s="538"/>
      <c r="EW116" s="538"/>
      <c r="EX116" s="559"/>
      <c r="EY116" s="559"/>
      <c r="EZ116" s="559"/>
      <c r="FA116" s="559"/>
      <c r="FB116" s="559"/>
      <c r="FC116" s="559"/>
      <c r="FD116" s="559"/>
      <c r="FE116" s="559"/>
      <c r="FF116" s="559"/>
      <c r="FG116" s="559"/>
      <c r="FH116" s="559"/>
      <c r="FI116" s="559"/>
      <c r="FJ116" s="559"/>
      <c r="FK116" s="559"/>
      <c r="FL116" s="559"/>
      <c r="FM116" s="559"/>
      <c r="FN116" s="559"/>
      <c r="FO116" s="559"/>
      <c r="FP116" s="559"/>
      <c r="FQ116" s="559"/>
      <c r="FR116" s="559"/>
      <c r="FS116" s="559"/>
      <c r="FT116" s="559"/>
      <c r="FU116" s="559"/>
      <c r="FV116" s="559"/>
      <c r="FW116" s="559"/>
      <c r="FX116" s="559"/>
      <c r="FY116" s="559"/>
      <c r="FZ116" s="559"/>
      <c r="GA116" s="559"/>
      <c r="GB116" s="559"/>
      <c r="GC116" s="559"/>
      <c r="GD116" s="559"/>
      <c r="GE116" s="559"/>
      <c r="GF116" s="559"/>
      <c r="GG116" s="559"/>
      <c r="GH116" s="559"/>
    </row>
    <row r="117">
      <c r="A117" s="538"/>
      <c r="B117" s="156"/>
      <c r="C117" s="444"/>
      <c r="D117" s="614"/>
      <c r="E117" s="66"/>
      <c r="F117" s="642"/>
      <c r="G117" s="642"/>
      <c r="H117" s="615"/>
      <c r="I117" s="616" t="s">
        <v>365</v>
      </c>
      <c r="J117" s="624"/>
      <c r="K117" s="643"/>
      <c r="L117" s="640"/>
      <c r="M117" s="625"/>
      <c r="N117" s="617"/>
      <c r="O117" s="134"/>
      <c r="P117" s="57"/>
      <c r="Q117" s="57"/>
      <c r="S117" s="605"/>
      <c r="U117" s="573"/>
      <c r="V117" s="574"/>
      <c r="W117" s="618"/>
      <c r="X117" s="576">
        <v>0.0</v>
      </c>
      <c r="Y117" s="630">
        <v>0.0</v>
      </c>
      <c r="Z117" s="630" t="s">
        <v>365</v>
      </c>
      <c r="AA117" s="631" t="b">
        <v>0</v>
      </c>
      <c r="AB117" s="631"/>
      <c r="AC117" s="576"/>
      <c r="AD117" s="479">
        <v>0.0</v>
      </c>
      <c r="AE117" s="632"/>
      <c r="AF117" s="582" t="s">
        <v>365</v>
      </c>
      <c r="AG117" s="583"/>
      <c r="AH117" s="584"/>
      <c r="AI117" s="583"/>
      <c r="AJ117" s="585"/>
      <c r="AK117" s="583"/>
      <c r="AL117" s="584"/>
      <c r="AM117" s="583"/>
      <c r="AN117" s="585"/>
      <c r="AO117" s="583"/>
      <c r="AP117" s="584"/>
      <c r="AQ117" s="583"/>
      <c r="AR117" s="585"/>
      <c r="AS117" s="583"/>
      <c r="AT117" s="584"/>
      <c r="AU117" s="583"/>
      <c r="AV117" s="585"/>
      <c r="AW117" s="583"/>
      <c r="AX117" s="584"/>
      <c r="AY117" s="583"/>
      <c r="AZ117" s="585"/>
      <c r="BA117" s="583"/>
      <c r="BB117" s="584"/>
      <c r="BC117" s="583"/>
      <c r="BD117" s="585"/>
      <c r="BE117" s="583"/>
      <c r="BF117" s="584"/>
      <c r="BG117" s="583"/>
      <c r="BH117" s="585"/>
      <c r="BI117" s="583"/>
      <c r="BJ117" s="584"/>
      <c r="BK117" s="583"/>
      <c r="BL117" s="585"/>
      <c r="BM117" s="583"/>
      <c r="BN117" s="584"/>
      <c r="BO117" s="583"/>
      <c r="BP117" s="585"/>
      <c r="BQ117" s="583"/>
      <c r="BR117" s="584"/>
      <c r="BS117" s="583"/>
      <c r="BT117" s="586"/>
      <c r="BU117" s="540"/>
      <c r="BV117" s="540"/>
      <c r="BW117" s="540"/>
      <c r="BX117" s="538"/>
      <c r="BY117" s="538"/>
      <c r="BZ117" s="592"/>
      <c r="CA117" s="633"/>
      <c r="CB117" s="592" t="s">
        <v>365</v>
      </c>
      <c r="CC117" s="592">
        <v>0.0</v>
      </c>
      <c r="CD117" s="592" t="s">
        <v>365</v>
      </c>
      <c r="CE117" s="592">
        <v>0.0</v>
      </c>
      <c r="CF117" s="592"/>
      <c r="CG117" s="592">
        <v>0.0</v>
      </c>
      <c r="CH117" s="592"/>
      <c r="CI117" s="633"/>
      <c r="CJ117" s="592">
        <v>0.0</v>
      </c>
      <c r="CK117" s="479" t="s">
        <v>365</v>
      </c>
      <c r="CL117" s="592"/>
      <c r="CM117" s="593"/>
      <c r="CN117" s="538"/>
      <c r="CO117" s="538"/>
      <c r="CP117" s="538"/>
      <c r="CQ117" s="538"/>
      <c r="CR117" s="538"/>
      <c r="CS117" s="538"/>
      <c r="CT117" s="538"/>
      <c r="CU117" s="538"/>
      <c r="CV117" s="538"/>
      <c r="CW117" s="538"/>
      <c r="CX117" s="538"/>
      <c r="CY117" s="538"/>
      <c r="CZ117" s="538"/>
      <c r="DA117" s="538"/>
      <c r="DB117" s="538"/>
      <c r="DC117" s="538"/>
      <c r="DD117" s="538"/>
      <c r="DE117" s="538"/>
      <c r="DF117" s="538"/>
      <c r="DG117" s="538"/>
      <c r="DH117" s="538"/>
      <c r="DI117" s="538"/>
      <c r="DJ117" s="538"/>
      <c r="DK117" s="538"/>
      <c r="DL117" s="538"/>
      <c r="DM117" s="538"/>
      <c r="DN117" s="538"/>
      <c r="DO117" s="538"/>
      <c r="DP117" s="538"/>
      <c r="DQ117" s="538"/>
      <c r="DR117" s="538"/>
      <c r="DS117" s="538"/>
      <c r="DT117" s="538"/>
      <c r="DU117" s="538"/>
      <c r="DV117" s="538"/>
      <c r="DW117" s="538"/>
      <c r="DX117" s="538"/>
      <c r="DY117" s="538"/>
      <c r="DZ117" s="538"/>
      <c r="EA117" s="538"/>
      <c r="EB117" s="538"/>
      <c r="EC117" s="538"/>
      <c r="ED117" s="538"/>
      <c r="EE117" s="538"/>
      <c r="EF117" s="538"/>
      <c r="EG117" s="538"/>
      <c r="EH117" s="538"/>
      <c r="EI117" s="538"/>
      <c r="EJ117" s="538"/>
      <c r="EK117" s="538"/>
      <c r="EL117" s="538"/>
      <c r="EM117" s="538"/>
      <c r="EN117" s="538"/>
      <c r="EO117" s="538"/>
      <c r="EP117" s="538"/>
      <c r="EQ117" s="538"/>
      <c r="ER117" s="538"/>
      <c r="ES117" s="538"/>
      <c r="ET117" s="538"/>
      <c r="EU117" s="538"/>
      <c r="EV117" s="538"/>
      <c r="EW117" s="538"/>
      <c r="EX117" s="559"/>
      <c r="EY117" s="559"/>
      <c r="EZ117" s="559"/>
      <c r="FA117" s="559"/>
      <c r="FB117" s="559"/>
      <c r="FC117" s="559"/>
      <c r="FD117" s="559"/>
      <c r="FE117" s="559"/>
      <c r="FF117" s="559"/>
      <c r="FG117" s="559"/>
      <c r="FH117" s="559"/>
      <c r="FI117" s="559"/>
      <c r="FJ117" s="559"/>
      <c r="FK117" s="559"/>
      <c r="FL117" s="559"/>
      <c r="FM117" s="559"/>
      <c r="FN117" s="559"/>
      <c r="FO117" s="559"/>
      <c r="FP117" s="559"/>
      <c r="FQ117" s="559"/>
      <c r="FR117" s="559"/>
      <c r="FS117" s="559"/>
      <c r="FT117" s="559"/>
      <c r="FU117" s="559"/>
      <c r="FV117" s="559"/>
      <c r="FW117" s="559"/>
      <c r="FX117" s="559"/>
      <c r="FY117" s="559"/>
      <c r="FZ117" s="559"/>
      <c r="GA117" s="559"/>
      <c r="GB117" s="559"/>
      <c r="GC117" s="559"/>
      <c r="GD117" s="559"/>
      <c r="GE117" s="559"/>
      <c r="GF117" s="559"/>
      <c r="GG117" s="559"/>
      <c r="GH117" s="559"/>
    </row>
    <row r="118">
      <c r="A118" s="538"/>
      <c r="B118" s="156"/>
      <c r="C118" s="444"/>
      <c r="D118" s="614"/>
      <c r="E118" s="68"/>
      <c r="F118" s="644"/>
      <c r="G118" s="644"/>
      <c r="H118" s="627"/>
      <c r="I118" s="622" t="s">
        <v>365</v>
      </c>
      <c r="J118" s="607"/>
      <c r="K118" s="641"/>
      <c r="L118" s="628"/>
      <c r="M118" s="626"/>
      <c r="N118" s="619"/>
      <c r="O118" s="560"/>
      <c r="P118" s="47"/>
      <c r="Q118" s="47"/>
      <c r="S118" s="572"/>
      <c r="U118" s="573"/>
      <c r="V118" s="574"/>
      <c r="W118" s="618"/>
      <c r="X118" s="576">
        <v>0.0</v>
      </c>
      <c r="Y118" s="630">
        <v>0.0</v>
      </c>
      <c r="Z118" s="630" t="s">
        <v>365</v>
      </c>
      <c r="AA118" s="631" t="b">
        <v>0</v>
      </c>
      <c r="AB118" s="631"/>
      <c r="AC118" s="576"/>
      <c r="AD118" s="479">
        <v>0.0</v>
      </c>
      <c r="AE118" s="632"/>
      <c r="AF118" s="582" t="s">
        <v>365</v>
      </c>
      <c r="AG118" s="583"/>
      <c r="AH118" s="584"/>
      <c r="AI118" s="583"/>
      <c r="AJ118" s="585"/>
      <c r="AK118" s="583"/>
      <c r="AL118" s="584"/>
      <c r="AM118" s="583"/>
      <c r="AN118" s="585"/>
      <c r="AO118" s="583"/>
      <c r="AP118" s="584"/>
      <c r="AQ118" s="583"/>
      <c r="AR118" s="585"/>
      <c r="AS118" s="583"/>
      <c r="AT118" s="584"/>
      <c r="AU118" s="583"/>
      <c r="AV118" s="585"/>
      <c r="AW118" s="583"/>
      <c r="AX118" s="584"/>
      <c r="AY118" s="583"/>
      <c r="AZ118" s="585"/>
      <c r="BA118" s="583"/>
      <c r="BB118" s="584"/>
      <c r="BC118" s="583"/>
      <c r="BD118" s="585"/>
      <c r="BE118" s="583"/>
      <c r="BF118" s="584"/>
      <c r="BG118" s="583"/>
      <c r="BH118" s="585"/>
      <c r="BI118" s="583"/>
      <c r="BJ118" s="584"/>
      <c r="BK118" s="583"/>
      <c r="BL118" s="585"/>
      <c r="BM118" s="583"/>
      <c r="BN118" s="584"/>
      <c r="BO118" s="583"/>
      <c r="BP118" s="585"/>
      <c r="BQ118" s="583"/>
      <c r="BR118" s="584"/>
      <c r="BS118" s="583"/>
      <c r="BT118" s="586"/>
      <c r="BU118" s="540"/>
      <c r="BV118" s="540"/>
      <c r="BW118" s="540"/>
      <c r="BX118" s="538"/>
      <c r="BY118" s="538"/>
      <c r="BZ118" s="592"/>
      <c r="CA118" s="633"/>
      <c r="CB118" s="592" t="s">
        <v>365</v>
      </c>
      <c r="CC118" s="592">
        <v>0.0</v>
      </c>
      <c r="CD118" s="592" t="s">
        <v>365</v>
      </c>
      <c r="CE118" s="592">
        <v>0.0</v>
      </c>
      <c r="CF118" s="592"/>
      <c r="CG118" s="592">
        <v>0.0</v>
      </c>
      <c r="CH118" s="592"/>
      <c r="CI118" s="633"/>
      <c r="CJ118" s="592">
        <v>0.0</v>
      </c>
      <c r="CK118" s="479" t="s">
        <v>365</v>
      </c>
      <c r="CL118" s="592"/>
      <c r="CM118" s="593"/>
      <c r="CN118" s="538"/>
      <c r="CO118" s="538"/>
      <c r="CP118" s="538"/>
      <c r="CQ118" s="538"/>
      <c r="CR118" s="538"/>
      <c r="CS118" s="538"/>
      <c r="CT118" s="538"/>
      <c r="CU118" s="538"/>
      <c r="CV118" s="538"/>
      <c r="CW118" s="538"/>
      <c r="CX118" s="538"/>
      <c r="CY118" s="538"/>
      <c r="CZ118" s="538"/>
      <c r="DA118" s="538"/>
      <c r="DB118" s="538"/>
      <c r="DC118" s="538"/>
      <c r="DD118" s="538"/>
      <c r="DE118" s="538"/>
      <c r="DF118" s="538"/>
      <c r="DG118" s="538"/>
      <c r="DH118" s="538"/>
      <c r="DI118" s="538"/>
      <c r="DJ118" s="538"/>
      <c r="DK118" s="538"/>
      <c r="DL118" s="538"/>
      <c r="DM118" s="538"/>
      <c r="DN118" s="538"/>
      <c r="DO118" s="538"/>
      <c r="DP118" s="538"/>
      <c r="DQ118" s="538"/>
      <c r="DR118" s="538"/>
      <c r="DS118" s="538"/>
      <c r="DT118" s="538"/>
      <c r="DU118" s="538"/>
      <c r="DV118" s="538"/>
      <c r="DW118" s="538"/>
      <c r="DX118" s="538"/>
      <c r="DY118" s="538"/>
      <c r="DZ118" s="538"/>
      <c r="EA118" s="538"/>
      <c r="EB118" s="538"/>
      <c r="EC118" s="538"/>
      <c r="ED118" s="538"/>
      <c r="EE118" s="538"/>
      <c r="EF118" s="538"/>
      <c r="EG118" s="538"/>
      <c r="EH118" s="538"/>
      <c r="EI118" s="538"/>
      <c r="EJ118" s="538"/>
      <c r="EK118" s="538"/>
      <c r="EL118" s="538"/>
      <c r="EM118" s="538"/>
      <c r="EN118" s="538"/>
      <c r="EO118" s="538"/>
      <c r="EP118" s="538"/>
      <c r="EQ118" s="538"/>
      <c r="ER118" s="538"/>
      <c r="ES118" s="538"/>
      <c r="ET118" s="538"/>
      <c r="EU118" s="538"/>
      <c r="EV118" s="538"/>
      <c r="EW118" s="538"/>
      <c r="EX118" s="559"/>
      <c r="EY118" s="559"/>
      <c r="EZ118" s="559"/>
      <c r="FA118" s="559"/>
      <c r="FB118" s="559"/>
      <c r="FC118" s="559"/>
      <c r="FD118" s="559"/>
      <c r="FE118" s="559"/>
      <c r="FF118" s="559"/>
      <c r="FG118" s="559"/>
      <c r="FH118" s="559"/>
      <c r="FI118" s="559"/>
      <c r="FJ118" s="559"/>
      <c r="FK118" s="559"/>
      <c r="FL118" s="559"/>
      <c r="FM118" s="559"/>
      <c r="FN118" s="559"/>
      <c r="FO118" s="559"/>
      <c r="FP118" s="559"/>
      <c r="FQ118" s="559"/>
      <c r="FR118" s="559"/>
      <c r="FS118" s="559"/>
      <c r="FT118" s="559"/>
      <c r="FU118" s="559"/>
      <c r="FV118" s="559"/>
      <c r="FW118" s="559"/>
      <c r="FX118" s="559"/>
      <c r="FY118" s="559"/>
      <c r="FZ118" s="559"/>
      <c r="GA118" s="559"/>
      <c r="GB118" s="559"/>
      <c r="GC118" s="559"/>
      <c r="GD118" s="559"/>
      <c r="GE118" s="559"/>
      <c r="GF118" s="559"/>
      <c r="GG118" s="559"/>
      <c r="GH118" s="559"/>
    </row>
    <row r="119">
      <c r="A119" s="538"/>
      <c r="B119" s="156"/>
      <c r="C119" s="444"/>
      <c r="D119" s="614"/>
      <c r="E119" s="66"/>
      <c r="F119" s="642"/>
      <c r="G119" s="642"/>
      <c r="H119" s="615"/>
      <c r="I119" s="616" t="s">
        <v>365</v>
      </c>
      <c r="J119" s="624"/>
      <c r="K119" s="643"/>
      <c r="L119" s="640"/>
      <c r="M119" s="625"/>
      <c r="N119" s="617"/>
      <c r="O119" s="134"/>
      <c r="P119" s="57"/>
      <c r="Q119" s="57"/>
      <c r="S119" s="605"/>
      <c r="U119" s="573"/>
      <c r="V119" s="574"/>
      <c r="W119" s="618"/>
      <c r="X119" s="576">
        <v>0.0</v>
      </c>
      <c r="Y119" s="630">
        <v>0.0</v>
      </c>
      <c r="Z119" s="630" t="s">
        <v>365</v>
      </c>
      <c r="AA119" s="631" t="b">
        <v>0</v>
      </c>
      <c r="AB119" s="631"/>
      <c r="AC119" s="576"/>
      <c r="AD119" s="479">
        <v>0.0</v>
      </c>
      <c r="AE119" s="632"/>
      <c r="AF119" s="582" t="s">
        <v>365</v>
      </c>
      <c r="AG119" s="583"/>
      <c r="AH119" s="584"/>
      <c r="AI119" s="583"/>
      <c r="AJ119" s="585"/>
      <c r="AK119" s="583"/>
      <c r="AL119" s="584"/>
      <c r="AM119" s="583"/>
      <c r="AN119" s="585"/>
      <c r="AO119" s="583"/>
      <c r="AP119" s="584"/>
      <c r="AQ119" s="583"/>
      <c r="AR119" s="585"/>
      <c r="AS119" s="583"/>
      <c r="AT119" s="584"/>
      <c r="AU119" s="583"/>
      <c r="AV119" s="585"/>
      <c r="AW119" s="583"/>
      <c r="AX119" s="584"/>
      <c r="AY119" s="583"/>
      <c r="AZ119" s="585"/>
      <c r="BA119" s="583"/>
      <c r="BB119" s="584"/>
      <c r="BC119" s="583"/>
      <c r="BD119" s="585"/>
      <c r="BE119" s="583"/>
      <c r="BF119" s="584"/>
      <c r="BG119" s="583"/>
      <c r="BH119" s="585"/>
      <c r="BI119" s="583"/>
      <c r="BJ119" s="584"/>
      <c r="BK119" s="583"/>
      <c r="BL119" s="585"/>
      <c r="BM119" s="583"/>
      <c r="BN119" s="584"/>
      <c r="BO119" s="583"/>
      <c r="BP119" s="585"/>
      <c r="BQ119" s="583"/>
      <c r="BR119" s="584"/>
      <c r="BS119" s="583"/>
      <c r="BT119" s="586"/>
      <c r="BU119" s="540"/>
      <c r="BV119" s="540"/>
      <c r="BW119" s="540"/>
      <c r="BX119" s="538"/>
      <c r="BY119" s="538"/>
      <c r="BZ119" s="592"/>
      <c r="CA119" s="633"/>
      <c r="CB119" s="592" t="s">
        <v>365</v>
      </c>
      <c r="CC119" s="592">
        <v>0.0</v>
      </c>
      <c r="CD119" s="592" t="s">
        <v>365</v>
      </c>
      <c r="CE119" s="592">
        <v>0.0</v>
      </c>
      <c r="CF119" s="592"/>
      <c r="CG119" s="592">
        <v>0.0</v>
      </c>
      <c r="CH119" s="592"/>
      <c r="CI119" s="633"/>
      <c r="CJ119" s="592">
        <v>0.0</v>
      </c>
      <c r="CK119" s="479" t="s">
        <v>365</v>
      </c>
      <c r="CL119" s="592"/>
      <c r="CM119" s="593"/>
      <c r="CN119" s="538"/>
      <c r="CO119" s="538"/>
      <c r="CP119" s="538"/>
      <c r="CQ119" s="538"/>
      <c r="CR119" s="538"/>
      <c r="CS119" s="538"/>
      <c r="CT119" s="538"/>
      <c r="CU119" s="538"/>
      <c r="CV119" s="538"/>
      <c r="CW119" s="538"/>
      <c r="CX119" s="538"/>
      <c r="CY119" s="538"/>
      <c r="CZ119" s="538"/>
      <c r="DA119" s="538"/>
      <c r="DB119" s="538"/>
      <c r="DC119" s="538"/>
      <c r="DD119" s="538"/>
      <c r="DE119" s="538"/>
      <c r="DF119" s="538"/>
      <c r="DG119" s="538"/>
      <c r="DH119" s="538"/>
      <c r="DI119" s="538"/>
      <c r="DJ119" s="538"/>
      <c r="DK119" s="538"/>
      <c r="DL119" s="538"/>
      <c r="DM119" s="538"/>
      <c r="DN119" s="538"/>
      <c r="DO119" s="538"/>
      <c r="DP119" s="538"/>
      <c r="DQ119" s="538"/>
      <c r="DR119" s="538"/>
      <c r="DS119" s="538"/>
      <c r="DT119" s="538"/>
      <c r="DU119" s="538"/>
      <c r="DV119" s="538"/>
      <c r="DW119" s="538"/>
      <c r="DX119" s="538"/>
      <c r="DY119" s="538"/>
      <c r="DZ119" s="538"/>
      <c r="EA119" s="538"/>
      <c r="EB119" s="538"/>
      <c r="EC119" s="538"/>
      <c r="ED119" s="538"/>
      <c r="EE119" s="538"/>
      <c r="EF119" s="538"/>
      <c r="EG119" s="538"/>
      <c r="EH119" s="538"/>
      <c r="EI119" s="538"/>
      <c r="EJ119" s="538"/>
      <c r="EK119" s="538"/>
      <c r="EL119" s="538"/>
      <c r="EM119" s="538"/>
      <c r="EN119" s="538"/>
      <c r="EO119" s="538"/>
      <c r="EP119" s="538"/>
      <c r="EQ119" s="538"/>
      <c r="ER119" s="538"/>
      <c r="ES119" s="538"/>
      <c r="ET119" s="538"/>
      <c r="EU119" s="538"/>
      <c r="EV119" s="538"/>
      <c r="EW119" s="538"/>
      <c r="EX119" s="559"/>
      <c r="EY119" s="559"/>
      <c r="EZ119" s="559"/>
      <c r="FA119" s="559"/>
      <c r="FB119" s="559"/>
      <c r="FC119" s="559"/>
      <c r="FD119" s="559"/>
      <c r="FE119" s="559"/>
      <c r="FF119" s="559"/>
      <c r="FG119" s="559"/>
      <c r="FH119" s="559"/>
      <c r="FI119" s="559"/>
      <c r="FJ119" s="559"/>
      <c r="FK119" s="559"/>
      <c r="FL119" s="559"/>
      <c r="FM119" s="559"/>
      <c r="FN119" s="559"/>
      <c r="FO119" s="559"/>
      <c r="FP119" s="559"/>
      <c r="FQ119" s="559"/>
      <c r="FR119" s="559"/>
      <c r="FS119" s="559"/>
      <c r="FT119" s="559"/>
      <c r="FU119" s="559"/>
      <c r="FV119" s="559"/>
      <c r="FW119" s="559"/>
      <c r="FX119" s="559"/>
      <c r="FY119" s="559"/>
      <c r="FZ119" s="559"/>
      <c r="GA119" s="559"/>
      <c r="GB119" s="559"/>
      <c r="GC119" s="559"/>
      <c r="GD119" s="559"/>
      <c r="GE119" s="559"/>
      <c r="GF119" s="559"/>
      <c r="GG119" s="559"/>
      <c r="GH119" s="559"/>
    </row>
    <row r="120">
      <c r="A120" s="538"/>
      <c r="B120" s="156"/>
      <c r="C120" s="444"/>
      <c r="D120" s="614"/>
      <c r="E120" s="68"/>
      <c r="F120" s="644"/>
      <c r="G120" s="644"/>
      <c r="H120" s="627"/>
      <c r="I120" s="622" t="s">
        <v>365</v>
      </c>
      <c r="J120" s="607"/>
      <c r="K120" s="641"/>
      <c r="L120" s="628"/>
      <c r="M120" s="626"/>
      <c r="N120" s="619"/>
      <c r="O120" s="560"/>
      <c r="P120" s="47"/>
      <c r="Q120" s="47"/>
      <c r="S120" s="572"/>
      <c r="U120" s="573"/>
      <c r="V120" s="574"/>
      <c r="W120" s="618"/>
      <c r="X120" s="576">
        <v>0.0</v>
      </c>
      <c r="Y120" s="630">
        <v>0.0</v>
      </c>
      <c r="Z120" s="630" t="s">
        <v>365</v>
      </c>
      <c r="AA120" s="631" t="b">
        <v>0</v>
      </c>
      <c r="AB120" s="631"/>
      <c r="AC120" s="576"/>
      <c r="AD120" s="479">
        <v>0.0</v>
      </c>
      <c r="AE120" s="632"/>
      <c r="AF120" s="582" t="s">
        <v>365</v>
      </c>
      <c r="AG120" s="583"/>
      <c r="AH120" s="584"/>
      <c r="AI120" s="583"/>
      <c r="AJ120" s="585"/>
      <c r="AK120" s="583"/>
      <c r="AL120" s="584"/>
      <c r="AM120" s="583"/>
      <c r="AN120" s="585"/>
      <c r="AO120" s="583"/>
      <c r="AP120" s="584"/>
      <c r="AQ120" s="583"/>
      <c r="AR120" s="585"/>
      <c r="AS120" s="583"/>
      <c r="AT120" s="584"/>
      <c r="AU120" s="583"/>
      <c r="AV120" s="585"/>
      <c r="AW120" s="583"/>
      <c r="AX120" s="584"/>
      <c r="AY120" s="583"/>
      <c r="AZ120" s="585"/>
      <c r="BA120" s="583"/>
      <c r="BB120" s="584"/>
      <c r="BC120" s="583"/>
      <c r="BD120" s="585"/>
      <c r="BE120" s="583"/>
      <c r="BF120" s="584"/>
      <c r="BG120" s="583"/>
      <c r="BH120" s="585"/>
      <c r="BI120" s="583"/>
      <c r="BJ120" s="584"/>
      <c r="BK120" s="583"/>
      <c r="BL120" s="585"/>
      <c r="BM120" s="583"/>
      <c r="BN120" s="584"/>
      <c r="BO120" s="583"/>
      <c r="BP120" s="585"/>
      <c r="BQ120" s="583"/>
      <c r="BR120" s="584"/>
      <c r="BS120" s="583"/>
      <c r="BT120" s="586"/>
      <c r="BU120" s="540"/>
      <c r="BV120" s="540"/>
      <c r="BW120" s="540"/>
      <c r="BX120" s="538"/>
      <c r="BY120" s="538"/>
      <c r="BZ120" s="592"/>
      <c r="CA120" s="633"/>
      <c r="CB120" s="592" t="s">
        <v>365</v>
      </c>
      <c r="CC120" s="592">
        <v>0.0</v>
      </c>
      <c r="CD120" s="592" t="s">
        <v>365</v>
      </c>
      <c r="CE120" s="592">
        <v>0.0</v>
      </c>
      <c r="CF120" s="592"/>
      <c r="CG120" s="592">
        <v>0.0</v>
      </c>
      <c r="CH120" s="592"/>
      <c r="CI120" s="633"/>
      <c r="CJ120" s="592">
        <v>0.0</v>
      </c>
      <c r="CK120" s="479" t="s">
        <v>365</v>
      </c>
      <c r="CL120" s="592"/>
      <c r="CM120" s="593"/>
      <c r="CN120" s="538"/>
      <c r="CO120" s="538"/>
      <c r="CP120" s="538"/>
      <c r="CQ120" s="538"/>
      <c r="CR120" s="538"/>
      <c r="CS120" s="538"/>
      <c r="CT120" s="538"/>
      <c r="CU120" s="538"/>
      <c r="CV120" s="538"/>
      <c r="CW120" s="538"/>
      <c r="CX120" s="538"/>
      <c r="CY120" s="538"/>
      <c r="CZ120" s="538"/>
      <c r="DA120" s="538"/>
      <c r="DB120" s="538"/>
      <c r="DC120" s="538"/>
      <c r="DD120" s="538"/>
      <c r="DE120" s="538"/>
      <c r="DF120" s="538"/>
      <c r="DG120" s="538"/>
      <c r="DH120" s="538"/>
      <c r="DI120" s="538"/>
      <c r="DJ120" s="538"/>
      <c r="DK120" s="538"/>
      <c r="DL120" s="538"/>
      <c r="DM120" s="538"/>
      <c r="DN120" s="538"/>
      <c r="DO120" s="538"/>
      <c r="DP120" s="538"/>
      <c r="DQ120" s="538"/>
      <c r="DR120" s="538"/>
      <c r="DS120" s="538"/>
      <c r="DT120" s="538"/>
      <c r="DU120" s="538"/>
      <c r="DV120" s="538"/>
      <c r="DW120" s="538"/>
      <c r="DX120" s="538"/>
      <c r="DY120" s="538"/>
      <c r="DZ120" s="538"/>
      <c r="EA120" s="538"/>
      <c r="EB120" s="538"/>
      <c r="EC120" s="538"/>
      <c r="ED120" s="538"/>
      <c r="EE120" s="538"/>
      <c r="EF120" s="538"/>
      <c r="EG120" s="538"/>
      <c r="EH120" s="538"/>
      <c r="EI120" s="538"/>
      <c r="EJ120" s="538"/>
      <c r="EK120" s="538"/>
      <c r="EL120" s="538"/>
      <c r="EM120" s="538"/>
      <c r="EN120" s="538"/>
      <c r="EO120" s="538"/>
      <c r="EP120" s="538"/>
      <c r="EQ120" s="538"/>
      <c r="ER120" s="538"/>
      <c r="ES120" s="538"/>
      <c r="ET120" s="538"/>
      <c r="EU120" s="538"/>
      <c r="EV120" s="538"/>
      <c r="EW120" s="538"/>
      <c r="EX120" s="559"/>
      <c r="EY120" s="559"/>
      <c r="EZ120" s="559"/>
      <c r="FA120" s="559"/>
      <c r="FB120" s="559"/>
      <c r="FC120" s="559"/>
      <c r="FD120" s="559"/>
      <c r="FE120" s="559"/>
      <c r="FF120" s="559"/>
      <c r="FG120" s="559"/>
      <c r="FH120" s="559"/>
      <c r="FI120" s="559"/>
      <c r="FJ120" s="559"/>
      <c r="FK120" s="559"/>
      <c r="FL120" s="559"/>
      <c r="FM120" s="559"/>
      <c r="FN120" s="559"/>
      <c r="FO120" s="559"/>
      <c r="FP120" s="559"/>
      <c r="FQ120" s="559"/>
      <c r="FR120" s="559"/>
      <c r="FS120" s="559"/>
      <c r="FT120" s="559"/>
      <c r="FU120" s="559"/>
      <c r="FV120" s="559"/>
      <c r="FW120" s="559"/>
      <c r="FX120" s="559"/>
      <c r="FY120" s="559"/>
      <c r="FZ120" s="559"/>
      <c r="GA120" s="559"/>
      <c r="GB120" s="559"/>
      <c r="GC120" s="559"/>
      <c r="GD120" s="559"/>
      <c r="GE120" s="559"/>
      <c r="GF120" s="559"/>
      <c r="GG120" s="559"/>
      <c r="GH120" s="559"/>
    </row>
    <row r="121">
      <c r="A121" s="538"/>
      <c r="B121" s="156"/>
      <c r="C121" s="444"/>
      <c r="D121" s="614"/>
      <c r="E121" s="66"/>
      <c r="F121" s="642"/>
      <c r="G121" s="642"/>
      <c r="H121" s="615"/>
      <c r="I121" s="616" t="s">
        <v>365</v>
      </c>
      <c r="J121" s="624"/>
      <c r="K121" s="643"/>
      <c r="L121" s="640"/>
      <c r="M121" s="625"/>
      <c r="N121" s="617"/>
      <c r="O121" s="134"/>
      <c r="P121" s="57"/>
      <c r="Q121" s="57"/>
      <c r="S121" s="605"/>
      <c r="U121" s="573"/>
      <c r="V121" s="574"/>
      <c r="W121" s="618"/>
      <c r="X121" s="576">
        <v>0.0</v>
      </c>
      <c r="Y121" s="630">
        <v>0.0</v>
      </c>
      <c r="Z121" s="630" t="s">
        <v>365</v>
      </c>
      <c r="AA121" s="631" t="b">
        <v>0</v>
      </c>
      <c r="AB121" s="631"/>
      <c r="AC121" s="576"/>
      <c r="AD121" s="479">
        <v>0.0</v>
      </c>
      <c r="AE121" s="632"/>
      <c r="AF121" s="582" t="s">
        <v>365</v>
      </c>
      <c r="AG121" s="583"/>
      <c r="AH121" s="584"/>
      <c r="AI121" s="583"/>
      <c r="AJ121" s="585"/>
      <c r="AK121" s="583"/>
      <c r="AL121" s="584"/>
      <c r="AM121" s="583"/>
      <c r="AN121" s="585"/>
      <c r="AO121" s="583"/>
      <c r="AP121" s="584"/>
      <c r="AQ121" s="583"/>
      <c r="AR121" s="585"/>
      <c r="AS121" s="583"/>
      <c r="AT121" s="584"/>
      <c r="AU121" s="583"/>
      <c r="AV121" s="585"/>
      <c r="AW121" s="583"/>
      <c r="AX121" s="584"/>
      <c r="AY121" s="583"/>
      <c r="AZ121" s="585"/>
      <c r="BA121" s="583"/>
      <c r="BB121" s="584"/>
      <c r="BC121" s="583"/>
      <c r="BD121" s="585"/>
      <c r="BE121" s="583"/>
      <c r="BF121" s="584"/>
      <c r="BG121" s="583"/>
      <c r="BH121" s="585"/>
      <c r="BI121" s="583"/>
      <c r="BJ121" s="584"/>
      <c r="BK121" s="583"/>
      <c r="BL121" s="585"/>
      <c r="BM121" s="583"/>
      <c r="BN121" s="584"/>
      <c r="BO121" s="583"/>
      <c r="BP121" s="585"/>
      <c r="BQ121" s="583"/>
      <c r="BR121" s="584"/>
      <c r="BS121" s="583"/>
      <c r="BT121" s="586"/>
      <c r="BU121" s="540"/>
      <c r="BV121" s="540"/>
      <c r="BW121" s="540"/>
      <c r="BX121" s="538"/>
      <c r="BY121" s="538"/>
      <c r="BZ121" s="592"/>
      <c r="CA121" s="633"/>
      <c r="CB121" s="592" t="s">
        <v>365</v>
      </c>
      <c r="CC121" s="592">
        <v>0.0</v>
      </c>
      <c r="CD121" s="592" t="s">
        <v>365</v>
      </c>
      <c r="CE121" s="592">
        <v>0.0</v>
      </c>
      <c r="CF121" s="592"/>
      <c r="CG121" s="592">
        <v>0.0</v>
      </c>
      <c r="CH121" s="592"/>
      <c r="CI121" s="633"/>
      <c r="CJ121" s="592">
        <v>0.0</v>
      </c>
      <c r="CK121" s="479" t="s">
        <v>365</v>
      </c>
      <c r="CL121" s="592"/>
      <c r="CM121" s="593"/>
      <c r="CN121" s="538"/>
      <c r="CO121" s="538"/>
      <c r="CP121" s="538"/>
      <c r="CQ121" s="538"/>
      <c r="CR121" s="538"/>
      <c r="CS121" s="538"/>
      <c r="CT121" s="538"/>
      <c r="CU121" s="538"/>
      <c r="CV121" s="538"/>
      <c r="CW121" s="538"/>
      <c r="CX121" s="538"/>
      <c r="CY121" s="538"/>
      <c r="CZ121" s="538"/>
      <c r="DA121" s="538"/>
      <c r="DB121" s="538"/>
      <c r="DC121" s="538"/>
      <c r="DD121" s="538"/>
      <c r="DE121" s="538"/>
      <c r="DF121" s="538"/>
      <c r="DG121" s="538"/>
      <c r="DH121" s="538"/>
      <c r="DI121" s="538"/>
      <c r="DJ121" s="538"/>
      <c r="DK121" s="538"/>
      <c r="DL121" s="538"/>
      <c r="DM121" s="538"/>
      <c r="DN121" s="538"/>
      <c r="DO121" s="538"/>
      <c r="DP121" s="538"/>
      <c r="DQ121" s="538"/>
      <c r="DR121" s="538"/>
      <c r="DS121" s="538"/>
      <c r="DT121" s="538"/>
      <c r="DU121" s="538"/>
      <c r="DV121" s="538"/>
      <c r="DW121" s="538"/>
      <c r="DX121" s="538"/>
      <c r="DY121" s="538"/>
      <c r="DZ121" s="538"/>
      <c r="EA121" s="538"/>
      <c r="EB121" s="538"/>
      <c r="EC121" s="538"/>
      <c r="ED121" s="538"/>
      <c r="EE121" s="538"/>
      <c r="EF121" s="538"/>
      <c r="EG121" s="538"/>
      <c r="EH121" s="538"/>
      <c r="EI121" s="538"/>
      <c r="EJ121" s="538"/>
      <c r="EK121" s="538"/>
      <c r="EL121" s="538"/>
      <c r="EM121" s="538"/>
      <c r="EN121" s="538"/>
      <c r="EO121" s="538"/>
      <c r="EP121" s="538"/>
      <c r="EQ121" s="538"/>
      <c r="ER121" s="538"/>
      <c r="ES121" s="538"/>
      <c r="ET121" s="538"/>
      <c r="EU121" s="538"/>
      <c r="EV121" s="538"/>
      <c r="EW121" s="538"/>
      <c r="EX121" s="559"/>
      <c r="EY121" s="559"/>
      <c r="EZ121" s="559"/>
      <c r="FA121" s="559"/>
      <c r="FB121" s="559"/>
      <c r="FC121" s="559"/>
      <c r="FD121" s="559"/>
      <c r="FE121" s="559"/>
      <c r="FF121" s="559"/>
      <c r="FG121" s="559"/>
      <c r="FH121" s="559"/>
      <c r="FI121" s="559"/>
      <c r="FJ121" s="559"/>
      <c r="FK121" s="559"/>
      <c r="FL121" s="559"/>
      <c r="FM121" s="559"/>
      <c r="FN121" s="559"/>
      <c r="FO121" s="559"/>
      <c r="FP121" s="559"/>
      <c r="FQ121" s="559"/>
      <c r="FR121" s="559"/>
      <c r="FS121" s="559"/>
      <c r="FT121" s="559"/>
      <c r="FU121" s="559"/>
      <c r="FV121" s="559"/>
      <c r="FW121" s="559"/>
      <c r="FX121" s="559"/>
      <c r="FY121" s="559"/>
      <c r="FZ121" s="559"/>
      <c r="GA121" s="559"/>
      <c r="GB121" s="559"/>
      <c r="GC121" s="559"/>
      <c r="GD121" s="559"/>
      <c r="GE121" s="559"/>
      <c r="GF121" s="559"/>
      <c r="GG121" s="559"/>
      <c r="GH121" s="559"/>
    </row>
    <row r="122">
      <c r="A122" s="538"/>
      <c r="B122" s="156"/>
      <c r="C122" s="444"/>
      <c r="D122" s="614"/>
      <c r="E122" s="68"/>
      <c r="F122" s="644"/>
      <c r="G122" s="644"/>
      <c r="H122" s="627"/>
      <c r="I122" s="622" t="s">
        <v>365</v>
      </c>
      <c r="J122" s="607"/>
      <c r="K122" s="641"/>
      <c r="L122" s="628"/>
      <c r="M122" s="626"/>
      <c r="N122" s="619"/>
      <c r="O122" s="560"/>
      <c r="P122" s="47"/>
      <c r="Q122" s="47"/>
      <c r="S122" s="572"/>
      <c r="U122" s="573"/>
      <c r="V122" s="574"/>
      <c r="W122" s="618"/>
      <c r="X122" s="576">
        <v>0.0</v>
      </c>
      <c r="Y122" s="630">
        <v>0.0</v>
      </c>
      <c r="Z122" s="630" t="s">
        <v>365</v>
      </c>
      <c r="AA122" s="631" t="b">
        <v>0</v>
      </c>
      <c r="AB122" s="631"/>
      <c r="AC122" s="576"/>
      <c r="AD122" s="479">
        <v>0.0</v>
      </c>
      <c r="AE122" s="632"/>
      <c r="AF122" s="582" t="s">
        <v>365</v>
      </c>
      <c r="AG122" s="583"/>
      <c r="AH122" s="584"/>
      <c r="AI122" s="583"/>
      <c r="AJ122" s="585"/>
      <c r="AK122" s="583"/>
      <c r="AL122" s="584"/>
      <c r="AM122" s="583"/>
      <c r="AN122" s="585"/>
      <c r="AO122" s="583"/>
      <c r="AP122" s="584"/>
      <c r="AQ122" s="583"/>
      <c r="AR122" s="585"/>
      <c r="AS122" s="583"/>
      <c r="AT122" s="584"/>
      <c r="AU122" s="583"/>
      <c r="AV122" s="585"/>
      <c r="AW122" s="583"/>
      <c r="AX122" s="584"/>
      <c r="AY122" s="583"/>
      <c r="AZ122" s="585"/>
      <c r="BA122" s="583"/>
      <c r="BB122" s="584"/>
      <c r="BC122" s="583"/>
      <c r="BD122" s="585"/>
      <c r="BE122" s="583"/>
      <c r="BF122" s="584"/>
      <c r="BG122" s="583"/>
      <c r="BH122" s="585"/>
      <c r="BI122" s="583"/>
      <c r="BJ122" s="584"/>
      <c r="BK122" s="583"/>
      <c r="BL122" s="585"/>
      <c r="BM122" s="583"/>
      <c r="BN122" s="584"/>
      <c r="BO122" s="583"/>
      <c r="BP122" s="585"/>
      <c r="BQ122" s="583"/>
      <c r="BR122" s="584"/>
      <c r="BS122" s="583"/>
      <c r="BT122" s="586"/>
      <c r="BU122" s="540"/>
      <c r="BV122" s="540"/>
      <c r="BW122" s="540"/>
      <c r="BX122" s="538"/>
      <c r="BY122" s="538"/>
      <c r="BZ122" s="592"/>
      <c r="CA122" s="633"/>
      <c r="CB122" s="592" t="s">
        <v>365</v>
      </c>
      <c r="CC122" s="592">
        <v>0.0</v>
      </c>
      <c r="CD122" s="592" t="s">
        <v>365</v>
      </c>
      <c r="CE122" s="592">
        <v>0.0</v>
      </c>
      <c r="CF122" s="592"/>
      <c r="CG122" s="592">
        <v>0.0</v>
      </c>
      <c r="CH122" s="592"/>
      <c r="CI122" s="633"/>
      <c r="CJ122" s="592">
        <v>0.0</v>
      </c>
      <c r="CK122" s="479" t="s">
        <v>365</v>
      </c>
      <c r="CL122" s="592"/>
      <c r="CM122" s="593"/>
      <c r="CN122" s="538"/>
      <c r="CO122" s="538"/>
      <c r="CP122" s="538"/>
      <c r="CQ122" s="538"/>
      <c r="CR122" s="538"/>
      <c r="CS122" s="538"/>
      <c r="CT122" s="538"/>
      <c r="CU122" s="538"/>
      <c r="CV122" s="538"/>
      <c r="CW122" s="538"/>
      <c r="CX122" s="538"/>
      <c r="CY122" s="538"/>
      <c r="CZ122" s="538"/>
      <c r="DA122" s="538"/>
      <c r="DB122" s="538"/>
      <c r="DC122" s="538"/>
      <c r="DD122" s="538"/>
      <c r="DE122" s="538"/>
      <c r="DF122" s="538"/>
      <c r="DG122" s="538"/>
      <c r="DH122" s="538"/>
      <c r="DI122" s="538"/>
      <c r="DJ122" s="538"/>
      <c r="DK122" s="538"/>
      <c r="DL122" s="538"/>
      <c r="DM122" s="538"/>
      <c r="DN122" s="538"/>
      <c r="DO122" s="538"/>
      <c r="DP122" s="538"/>
      <c r="DQ122" s="538"/>
      <c r="DR122" s="538"/>
      <c r="DS122" s="538"/>
      <c r="DT122" s="538"/>
      <c r="DU122" s="538"/>
      <c r="DV122" s="538"/>
      <c r="DW122" s="538"/>
      <c r="DX122" s="538"/>
      <c r="DY122" s="538"/>
      <c r="DZ122" s="538"/>
      <c r="EA122" s="538"/>
      <c r="EB122" s="538"/>
      <c r="EC122" s="538"/>
      <c r="ED122" s="538"/>
      <c r="EE122" s="538"/>
      <c r="EF122" s="538"/>
      <c r="EG122" s="538"/>
      <c r="EH122" s="538"/>
      <c r="EI122" s="538"/>
      <c r="EJ122" s="538"/>
      <c r="EK122" s="538"/>
      <c r="EL122" s="538"/>
      <c r="EM122" s="538"/>
      <c r="EN122" s="538"/>
      <c r="EO122" s="538"/>
      <c r="EP122" s="538"/>
      <c r="EQ122" s="538"/>
      <c r="ER122" s="538"/>
      <c r="ES122" s="538"/>
      <c r="ET122" s="538"/>
      <c r="EU122" s="538"/>
      <c r="EV122" s="538"/>
      <c r="EW122" s="538"/>
      <c r="EX122" s="559"/>
      <c r="EY122" s="559"/>
      <c r="EZ122" s="559"/>
      <c r="FA122" s="559"/>
      <c r="FB122" s="559"/>
      <c r="FC122" s="559"/>
      <c r="FD122" s="559"/>
      <c r="FE122" s="559"/>
      <c r="FF122" s="559"/>
      <c r="FG122" s="559"/>
      <c r="FH122" s="559"/>
      <c r="FI122" s="559"/>
      <c r="FJ122" s="559"/>
      <c r="FK122" s="559"/>
      <c r="FL122" s="559"/>
      <c r="FM122" s="559"/>
      <c r="FN122" s="559"/>
      <c r="FO122" s="559"/>
      <c r="FP122" s="559"/>
      <c r="FQ122" s="559"/>
      <c r="FR122" s="559"/>
      <c r="FS122" s="559"/>
      <c r="FT122" s="559"/>
      <c r="FU122" s="559"/>
      <c r="FV122" s="559"/>
      <c r="FW122" s="559"/>
      <c r="FX122" s="559"/>
      <c r="FY122" s="559"/>
      <c r="FZ122" s="559"/>
      <c r="GA122" s="559"/>
      <c r="GB122" s="559"/>
      <c r="GC122" s="559"/>
      <c r="GD122" s="559"/>
      <c r="GE122" s="559"/>
      <c r="GF122" s="559"/>
      <c r="GG122" s="559"/>
      <c r="GH122" s="559"/>
    </row>
    <row r="123">
      <c r="A123" s="538"/>
      <c r="B123" s="156"/>
      <c r="C123" s="444"/>
      <c r="D123" s="614"/>
      <c r="E123" s="66"/>
      <c r="F123" s="642"/>
      <c r="G123" s="642"/>
      <c r="H123" s="615"/>
      <c r="I123" s="616" t="s">
        <v>365</v>
      </c>
      <c r="J123" s="624"/>
      <c r="K123" s="643"/>
      <c r="L123" s="640"/>
      <c r="M123" s="625"/>
      <c r="N123" s="617"/>
      <c r="O123" s="134"/>
      <c r="P123" s="57"/>
      <c r="Q123" s="57"/>
      <c r="S123" s="605"/>
      <c r="U123" s="573"/>
      <c r="V123" s="574"/>
      <c r="W123" s="618"/>
      <c r="X123" s="576">
        <v>0.0</v>
      </c>
      <c r="Y123" s="630">
        <v>0.0</v>
      </c>
      <c r="Z123" s="630" t="s">
        <v>365</v>
      </c>
      <c r="AA123" s="631" t="b">
        <v>0</v>
      </c>
      <c r="AB123" s="631"/>
      <c r="AC123" s="576"/>
      <c r="AD123" s="479">
        <v>0.0</v>
      </c>
      <c r="AE123" s="632"/>
      <c r="AF123" s="582" t="s">
        <v>365</v>
      </c>
      <c r="AG123" s="583"/>
      <c r="AH123" s="584"/>
      <c r="AI123" s="583"/>
      <c r="AJ123" s="585"/>
      <c r="AK123" s="583"/>
      <c r="AL123" s="584"/>
      <c r="AM123" s="583"/>
      <c r="AN123" s="585"/>
      <c r="AO123" s="583"/>
      <c r="AP123" s="584"/>
      <c r="AQ123" s="583"/>
      <c r="AR123" s="585"/>
      <c r="AS123" s="583"/>
      <c r="AT123" s="584"/>
      <c r="AU123" s="583"/>
      <c r="AV123" s="585"/>
      <c r="AW123" s="583"/>
      <c r="AX123" s="584"/>
      <c r="AY123" s="583"/>
      <c r="AZ123" s="585"/>
      <c r="BA123" s="583"/>
      <c r="BB123" s="584"/>
      <c r="BC123" s="583"/>
      <c r="BD123" s="585"/>
      <c r="BE123" s="583"/>
      <c r="BF123" s="584"/>
      <c r="BG123" s="583"/>
      <c r="BH123" s="585"/>
      <c r="BI123" s="583"/>
      <c r="BJ123" s="584"/>
      <c r="BK123" s="583"/>
      <c r="BL123" s="585"/>
      <c r="BM123" s="583"/>
      <c r="BN123" s="584"/>
      <c r="BO123" s="583"/>
      <c r="BP123" s="585"/>
      <c r="BQ123" s="583"/>
      <c r="BR123" s="584"/>
      <c r="BS123" s="583"/>
      <c r="BT123" s="586"/>
      <c r="BU123" s="540"/>
      <c r="BV123" s="540"/>
      <c r="BW123" s="540"/>
      <c r="BX123" s="538"/>
      <c r="BY123" s="538"/>
      <c r="BZ123" s="592"/>
      <c r="CA123" s="633"/>
      <c r="CB123" s="592" t="s">
        <v>365</v>
      </c>
      <c r="CC123" s="592">
        <v>0.0</v>
      </c>
      <c r="CD123" s="592" t="s">
        <v>365</v>
      </c>
      <c r="CE123" s="592">
        <v>0.0</v>
      </c>
      <c r="CF123" s="592"/>
      <c r="CG123" s="592">
        <v>0.0</v>
      </c>
      <c r="CH123" s="592"/>
      <c r="CI123" s="633"/>
      <c r="CJ123" s="592">
        <v>0.0</v>
      </c>
      <c r="CK123" s="479" t="s">
        <v>365</v>
      </c>
      <c r="CL123" s="592"/>
      <c r="CM123" s="593"/>
      <c r="CN123" s="538"/>
      <c r="CO123" s="538"/>
      <c r="CP123" s="538"/>
      <c r="CQ123" s="538"/>
      <c r="CR123" s="538"/>
      <c r="CS123" s="538"/>
      <c r="CT123" s="538"/>
      <c r="CU123" s="538"/>
      <c r="CV123" s="538"/>
      <c r="CW123" s="538"/>
      <c r="CX123" s="538"/>
      <c r="CY123" s="538"/>
      <c r="CZ123" s="538"/>
      <c r="DA123" s="538"/>
      <c r="DB123" s="538"/>
      <c r="DC123" s="538"/>
      <c r="DD123" s="538"/>
      <c r="DE123" s="538"/>
      <c r="DF123" s="538"/>
      <c r="DG123" s="538"/>
      <c r="DH123" s="538"/>
      <c r="DI123" s="538"/>
      <c r="DJ123" s="538"/>
      <c r="DK123" s="538"/>
      <c r="DL123" s="538"/>
      <c r="DM123" s="538"/>
      <c r="DN123" s="538"/>
      <c r="DO123" s="538"/>
      <c r="DP123" s="538"/>
      <c r="DQ123" s="538"/>
      <c r="DR123" s="538"/>
      <c r="DS123" s="538"/>
      <c r="DT123" s="538"/>
      <c r="DU123" s="538"/>
      <c r="DV123" s="538"/>
      <c r="DW123" s="538"/>
      <c r="DX123" s="538"/>
      <c r="DY123" s="538"/>
      <c r="DZ123" s="538"/>
      <c r="EA123" s="538"/>
      <c r="EB123" s="538"/>
      <c r="EC123" s="538"/>
      <c r="ED123" s="538"/>
      <c r="EE123" s="538"/>
      <c r="EF123" s="538"/>
      <c r="EG123" s="538"/>
      <c r="EH123" s="538"/>
      <c r="EI123" s="538"/>
      <c r="EJ123" s="538"/>
      <c r="EK123" s="538"/>
      <c r="EL123" s="538"/>
      <c r="EM123" s="538"/>
      <c r="EN123" s="538"/>
      <c r="EO123" s="538"/>
      <c r="EP123" s="538"/>
      <c r="EQ123" s="538"/>
      <c r="ER123" s="538"/>
      <c r="ES123" s="538"/>
      <c r="ET123" s="538"/>
      <c r="EU123" s="538"/>
      <c r="EV123" s="538"/>
      <c r="EW123" s="538"/>
      <c r="EX123" s="559"/>
      <c r="EY123" s="559"/>
      <c r="EZ123" s="559"/>
      <c r="FA123" s="559"/>
      <c r="FB123" s="559"/>
      <c r="FC123" s="559"/>
      <c r="FD123" s="559"/>
      <c r="FE123" s="559"/>
      <c r="FF123" s="559"/>
      <c r="FG123" s="559"/>
      <c r="FH123" s="559"/>
      <c r="FI123" s="559"/>
      <c r="FJ123" s="559"/>
      <c r="FK123" s="559"/>
      <c r="FL123" s="559"/>
      <c r="FM123" s="559"/>
      <c r="FN123" s="559"/>
      <c r="FO123" s="559"/>
      <c r="FP123" s="559"/>
      <c r="FQ123" s="559"/>
      <c r="FR123" s="559"/>
      <c r="FS123" s="559"/>
      <c r="FT123" s="559"/>
      <c r="FU123" s="559"/>
      <c r="FV123" s="559"/>
      <c r="FW123" s="559"/>
      <c r="FX123" s="559"/>
      <c r="FY123" s="559"/>
      <c r="FZ123" s="559"/>
      <c r="GA123" s="559"/>
      <c r="GB123" s="559"/>
      <c r="GC123" s="559"/>
      <c r="GD123" s="559"/>
      <c r="GE123" s="559"/>
      <c r="GF123" s="559"/>
      <c r="GG123" s="559"/>
      <c r="GH123" s="559"/>
    </row>
    <row r="124">
      <c r="A124" s="538"/>
      <c r="B124" s="156"/>
      <c r="C124" s="444"/>
      <c r="D124" s="614"/>
      <c r="E124" s="68"/>
      <c r="F124" s="644"/>
      <c r="G124" s="644"/>
      <c r="H124" s="627"/>
      <c r="I124" s="622" t="s">
        <v>365</v>
      </c>
      <c r="J124" s="607"/>
      <c r="K124" s="641"/>
      <c r="L124" s="628"/>
      <c r="M124" s="626"/>
      <c r="N124" s="619"/>
      <c r="O124" s="560"/>
      <c r="P124" s="47"/>
      <c r="Q124" s="47"/>
      <c r="S124" s="572"/>
      <c r="U124" s="573"/>
      <c r="V124" s="574"/>
      <c r="W124" s="618"/>
      <c r="X124" s="576">
        <v>0.0</v>
      </c>
      <c r="Y124" s="630">
        <v>0.0</v>
      </c>
      <c r="Z124" s="630" t="s">
        <v>365</v>
      </c>
      <c r="AA124" s="631" t="b">
        <v>0</v>
      </c>
      <c r="AB124" s="631"/>
      <c r="AC124" s="576"/>
      <c r="AD124" s="479">
        <v>0.0</v>
      </c>
      <c r="AE124" s="632"/>
      <c r="AF124" s="582" t="s">
        <v>365</v>
      </c>
      <c r="AG124" s="583"/>
      <c r="AH124" s="584"/>
      <c r="AI124" s="583"/>
      <c r="AJ124" s="585"/>
      <c r="AK124" s="583"/>
      <c r="AL124" s="584"/>
      <c r="AM124" s="583"/>
      <c r="AN124" s="585"/>
      <c r="AO124" s="583"/>
      <c r="AP124" s="584"/>
      <c r="AQ124" s="583"/>
      <c r="AR124" s="585"/>
      <c r="AS124" s="583"/>
      <c r="AT124" s="584"/>
      <c r="AU124" s="583"/>
      <c r="AV124" s="585"/>
      <c r="AW124" s="583"/>
      <c r="AX124" s="584"/>
      <c r="AY124" s="583"/>
      <c r="AZ124" s="585"/>
      <c r="BA124" s="583"/>
      <c r="BB124" s="584"/>
      <c r="BC124" s="583"/>
      <c r="BD124" s="585"/>
      <c r="BE124" s="583"/>
      <c r="BF124" s="584"/>
      <c r="BG124" s="583"/>
      <c r="BH124" s="585"/>
      <c r="BI124" s="583"/>
      <c r="BJ124" s="584"/>
      <c r="BK124" s="583"/>
      <c r="BL124" s="585"/>
      <c r="BM124" s="583"/>
      <c r="BN124" s="584"/>
      <c r="BO124" s="583"/>
      <c r="BP124" s="585"/>
      <c r="BQ124" s="583"/>
      <c r="BR124" s="584"/>
      <c r="BS124" s="583"/>
      <c r="BT124" s="586"/>
      <c r="BU124" s="540"/>
      <c r="BV124" s="540"/>
      <c r="BW124" s="540"/>
      <c r="BX124" s="538"/>
      <c r="BY124" s="538"/>
      <c r="BZ124" s="592"/>
      <c r="CA124" s="633"/>
      <c r="CB124" s="592" t="s">
        <v>365</v>
      </c>
      <c r="CC124" s="592">
        <v>0.0</v>
      </c>
      <c r="CD124" s="592" t="s">
        <v>365</v>
      </c>
      <c r="CE124" s="592">
        <v>0.0</v>
      </c>
      <c r="CF124" s="592"/>
      <c r="CG124" s="592">
        <v>0.0</v>
      </c>
      <c r="CH124" s="592"/>
      <c r="CI124" s="633"/>
      <c r="CJ124" s="592">
        <v>0.0</v>
      </c>
      <c r="CK124" s="479" t="s">
        <v>365</v>
      </c>
      <c r="CL124" s="592"/>
      <c r="CM124" s="593"/>
      <c r="CN124" s="538"/>
      <c r="CO124" s="538"/>
      <c r="CP124" s="538"/>
      <c r="CQ124" s="538"/>
      <c r="CR124" s="538"/>
      <c r="CS124" s="538"/>
      <c r="CT124" s="538"/>
      <c r="CU124" s="538"/>
      <c r="CV124" s="538"/>
      <c r="CW124" s="538"/>
      <c r="CX124" s="538"/>
      <c r="CY124" s="538"/>
      <c r="CZ124" s="538"/>
      <c r="DA124" s="538"/>
      <c r="DB124" s="538"/>
      <c r="DC124" s="538"/>
      <c r="DD124" s="538"/>
      <c r="DE124" s="538"/>
      <c r="DF124" s="538"/>
      <c r="DG124" s="538"/>
      <c r="DH124" s="538"/>
      <c r="DI124" s="538"/>
      <c r="DJ124" s="538"/>
      <c r="DK124" s="538"/>
      <c r="DL124" s="538"/>
      <c r="DM124" s="538"/>
      <c r="DN124" s="538"/>
      <c r="DO124" s="538"/>
      <c r="DP124" s="538"/>
      <c r="DQ124" s="538"/>
      <c r="DR124" s="538"/>
      <c r="DS124" s="538"/>
      <c r="DT124" s="538"/>
      <c r="DU124" s="538"/>
      <c r="DV124" s="538"/>
      <c r="DW124" s="538"/>
      <c r="DX124" s="538"/>
      <c r="DY124" s="538"/>
      <c r="DZ124" s="538"/>
      <c r="EA124" s="538"/>
      <c r="EB124" s="538"/>
      <c r="EC124" s="538"/>
      <c r="ED124" s="538"/>
      <c r="EE124" s="538"/>
      <c r="EF124" s="538"/>
      <c r="EG124" s="538"/>
      <c r="EH124" s="538"/>
      <c r="EI124" s="538"/>
      <c r="EJ124" s="538"/>
      <c r="EK124" s="538"/>
      <c r="EL124" s="538"/>
      <c r="EM124" s="538"/>
      <c r="EN124" s="538"/>
      <c r="EO124" s="538"/>
      <c r="EP124" s="538"/>
      <c r="EQ124" s="538"/>
      <c r="ER124" s="538"/>
      <c r="ES124" s="538"/>
      <c r="ET124" s="538"/>
      <c r="EU124" s="538"/>
      <c r="EV124" s="538"/>
      <c r="EW124" s="538"/>
      <c r="EX124" s="559"/>
      <c r="EY124" s="559"/>
      <c r="EZ124" s="559"/>
      <c r="FA124" s="559"/>
      <c r="FB124" s="559"/>
      <c r="FC124" s="559"/>
      <c r="FD124" s="559"/>
      <c r="FE124" s="559"/>
      <c r="FF124" s="559"/>
      <c r="FG124" s="559"/>
      <c r="FH124" s="559"/>
      <c r="FI124" s="559"/>
      <c r="FJ124" s="559"/>
      <c r="FK124" s="559"/>
      <c r="FL124" s="559"/>
      <c r="FM124" s="559"/>
      <c r="FN124" s="559"/>
      <c r="FO124" s="559"/>
      <c r="FP124" s="559"/>
      <c r="FQ124" s="559"/>
      <c r="FR124" s="559"/>
      <c r="FS124" s="559"/>
      <c r="FT124" s="559"/>
      <c r="FU124" s="559"/>
      <c r="FV124" s="559"/>
      <c r="FW124" s="559"/>
      <c r="FX124" s="559"/>
      <c r="FY124" s="559"/>
      <c r="FZ124" s="559"/>
      <c r="GA124" s="559"/>
      <c r="GB124" s="559"/>
      <c r="GC124" s="559"/>
      <c r="GD124" s="559"/>
      <c r="GE124" s="559"/>
      <c r="GF124" s="559"/>
      <c r="GG124" s="559"/>
      <c r="GH124" s="559"/>
    </row>
    <row r="125">
      <c r="A125" s="538"/>
      <c r="B125" s="156"/>
      <c r="C125" s="444"/>
      <c r="D125" s="614"/>
      <c r="E125" s="66"/>
      <c r="F125" s="642"/>
      <c r="G125" s="642"/>
      <c r="H125" s="615"/>
      <c r="I125" s="616" t="s">
        <v>365</v>
      </c>
      <c r="J125" s="624"/>
      <c r="K125" s="643"/>
      <c r="L125" s="640"/>
      <c r="M125" s="625"/>
      <c r="N125" s="617"/>
      <c r="O125" s="134"/>
      <c r="P125" s="57"/>
      <c r="Q125" s="57"/>
      <c r="S125" s="605"/>
      <c r="U125" s="573"/>
      <c r="V125" s="574"/>
      <c r="W125" s="618"/>
      <c r="X125" s="576">
        <v>0.0</v>
      </c>
      <c r="Y125" s="630">
        <v>0.0</v>
      </c>
      <c r="Z125" s="630" t="s">
        <v>365</v>
      </c>
      <c r="AA125" s="631" t="b">
        <v>0</v>
      </c>
      <c r="AB125" s="631"/>
      <c r="AC125" s="576"/>
      <c r="AD125" s="479">
        <v>0.0</v>
      </c>
      <c r="AE125" s="632"/>
      <c r="AF125" s="582" t="s">
        <v>365</v>
      </c>
      <c r="AG125" s="583"/>
      <c r="AH125" s="584"/>
      <c r="AI125" s="583"/>
      <c r="AJ125" s="585"/>
      <c r="AK125" s="583"/>
      <c r="AL125" s="584"/>
      <c r="AM125" s="583"/>
      <c r="AN125" s="585"/>
      <c r="AO125" s="583"/>
      <c r="AP125" s="584"/>
      <c r="AQ125" s="583"/>
      <c r="AR125" s="585"/>
      <c r="AS125" s="583"/>
      <c r="AT125" s="584"/>
      <c r="AU125" s="583"/>
      <c r="AV125" s="585"/>
      <c r="AW125" s="583"/>
      <c r="AX125" s="584"/>
      <c r="AY125" s="583"/>
      <c r="AZ125" s="585"/>
      <c r="BA125" s="583"/>
      <c r="BB125" s="584"/>
      <c r="BC125" s="583"/>
      <c r="BD125" s="585"/>
      <c r="BE125" s="583"/>
      <c r="BF125" s="584"/>
      <c r="BG125" s="583"/>
      <c r="BH125" s="585"/>
      <c r="BI125" s="583"/>
      <c r="BJ125" s="584"/>
      <c r="BK125" s="583"/>
      <c r="BL125" s="585"/>
      <c r="BM125" s="583"/>
      <c r="BN125" s="584"/>
      <c r="BO125" s="583"/>
      <c r="BP125" s="585"/>
      <c r="BQ125" s="583"/>
      <c r="BR125" s="584"/>
      <c r="BS125" s="583"/>
      <c r="BT125" s="586"/>
      <c r="BU125" s="540"/>
      <c r="BV125" s="540"/>
      <c r="BW125" s="540"/>
      <c r="BX125" s="538"/>
      <c r="BY125" s="538"/>
      <c r="BZ125" s="592"/>
      <c r="CA125" s="633"/>
      <c r="CB125" s="592" t="s">
        <v>365</v>
      </c>
      <c r="CC125" s="592">
        <v>0.0</v>
      </c>
      <c r="CD125" s="592" t="s">
        <v>365</v>
      </c>
      <c r="CE125" s="592">
        <v>0.0</v>
      </c>
      <c r="CF125" s="592"/>
      <c r="CG125" s="592">
        <v>0.0</v>
      </c>
      <c r="CH125" s="592"/>
      <c r="CI125" s="633"/>
      <c r="CJ125" s="592">
        <v>0.0</v>
      </c>
      <c r="CK125" s="479" t="s">
        <v>365</v>
      </c>
      <c r="CL125" s="592"/>
      <c r="CM125" s="593"/>
      <c r="CN125" s="538"/>
      <c r="CO125" s="538"/>
      <c r="CP125" s="538"/>
      <c r="CQ125" s="538"/>
      <c r="CR125" s="538"/>
      <c r="CS125" s="538"/>
      <c r="CT125" s="538"/>
      <c r="CU125" s="538"/>
      <c r="CV125" s="538"/>
      <c r="CW125" s="538"/>
      <c r="CX125" s="538"/>
      <c r="CY125" s="538"/>
      <c r="CZ125" s="538"/>
      <c r="DA125" s="538"/>
      <c r="DB125" s="538"/>
      <c r="DC125" s="538"/>
      <c r="DD125" s="538"/>
      <c r="DE125" s="538"/>
      <c r="DF125" s="538"/>
      <c r="DG125" s="538"/>
      <c r="DH125" s="538"/>
      <c r="DI125" s="538"/>
      <c r="DJ125" s="538"/>
      <c r="DK125" s="538"/>
      <c r="DL125" s="538"/>
      <c r="DM125" s="538"/>
      <c r="DN125" s="538"/>
      <c r="DO125" s="538"/>
      <c r="DP125" s="538"/>
      <c r="DQ125" s="538"/>
      <c r="DR125" s="538"/>
      <c r="DS125" s="538"/>
      <c r="DT125" s="538"/>
      <c r="DU125" s="538"/>
      <c r="DV125" s="538"/>
      <c r="DW125" s="538"/>
      <c r="DX125" s="538"/>
      <c r="DY125" s="538"/>
      <c r="DZ125" s="538"/>
      <c r="EA125" s="538"/>
      <c r="EB125" s="538"/>
      <c r="EC125" s="538"/>
      <c r="ED125" s="538"/>
      <c r="EE125" s="538"/>
      <c r="EF125" s="538"/>
      <c r="EG125" s="538"/>
      <c r="EH125" s="538"/>
      <c r="EI125" s="538"/>
      <c r="EJ125" s="538"/>
      <c r="EK125" s="538"/>
      <c r="EL125" s="538"/>
      <c r="EM125" s="538"/>
      <c r="EN125" s="538"/>
      <c r="EO125" s="538"/>
      <c r="EP125" s="538"/>
      <c r="EQ125" s="538"/>
      <c r="ER125" s="538"/>
      <c r="ES125" s="538"/>
      <c r="ET125" s="538"/>
      <c r="EU125" s="538"/>
      <c r="EV125" s="538"/>
      <c r="EW125" s="538"/>
      <c r="EX125" s="559"/>
      <c r="EY125" s="559"/>
      <c r="EZ125" s="559"/>
      <c r="FA125" s="559"/>
      <c r="FB125" s="559"/>
      <c r="FC125" s="559"/>
      <c r="FD125" s="559"/>
      <c r="FE125" s="559"/>
      <c r="FF125" s="559"/>
      <c r="FG125" s="559"/>
      <c r="FH125" s="559"/>
      <c r="FI125" s="559"/>
      <c r="FJ125" s="559"/>
      <c r="FK125" s="559"/>
      <c r="FL125" s="559"/>
      <c r="FM125" s="559"/>
      <c r="FN125" s="559"/>
      <c r="FO125" s="559"/>
      <c r="FP125" s="559"/>
      <c r="FQ125" s="559"/>
      <c r="FR125" s="559"/>
      <c r="FS125" s="559"/>
      <c r="FT125" s="559"/>
      <c r="FU125" s="559"/>
      <c r="FV125" s="559"/>
      <c r="FW125" s="559"/>
      <c r="FX125" s="559"/>
      <c r="FY125" s="559"/>
      <c r="FZ125" s="559"/>
      <c r="GA125" s="559"/>
      <c r="GB125" s="559"/>
      <c r="GC125" s="559"/>
      <c r="GD125" s="559"/>
      <c r="GE125" s="559"/>
      <c r="GF125" s="559"/>
      <c r="GG125" s="559"/>
      <c r="GH125" s="559"/>
    </row>
    <row r="126">
      <c r="A126" s="538"/>
      <c r="B126" s="156"/>
      <c r="C126" s="444"/>
      <c r="D126" s="614"/>
      <c r="E126" s="68"/>
      <c r="F126" s="644"/>
      <c r="G126" s="644"/>
      <c r="H126" s="627"/>
      <c r="I126" s="622" t="s">
        <v>365</v>
      </c>
      <c r="J126" s="607"/>
      <c r="K126" s="641"/>
      <c r="L126" s="628"/>
      <c r="M126" s="626"/>
      <c r="N126" s="619"/>
      <c r="O126" s="560"/>
      <c r="P126" s="47"/>
      <c r="Q126" s="47"/>
      <c r="S126" s="572"/>
      <c r="U126" s="573"/>
      <c r="V126" s="574"/>
      <c r="W126" s="618"/>
      <c r="X126" s="576">
        <v>0.0</v>
      </c>
      <c r="Y126" s="630">
        <v>0.0</v>
      </c>
      <c r="Z126" s="630" t="s">
        <v>365</v>
      </c>
      <c r="AA126" s="631" t="b">
        <v>0</v>
      </c>
      <c r="AB126" s="631"/>
      <c r="AC126" s="576"/>
      <c r="AD126" s="479">
        <v>0.0</v>
      </c>
      <c r="AE126" s="632"/>
      <c r="AF126" s="582" t="s">
        <v>365</v>
      </c>
      <c r="AG126" s="583"/>
      <c r="AH126" s="584"/>
      <c r="AI126" s="583"/>
      <c r="AJ126" s="585"/>
      <c r="AK126" s="583"/>
      <c r="AL126" s="584"/>
      <c r="AM126" s="583"/>
      <c r="AN126" s="585"/>
      <c r="AO126" s="583"/>
      <c r="AP126" s="584"/>
      <c r="AQ126" s="583"/>
      <c r="AR126" s="585"/>
      <c r="AS126" s="583"/>
      <c r="AT126" s="584"/>
      <c r="AU126" s="583"/>
      <c r="AV126" s="585"/>
      <c r="AW126" s="583"/>
      <c r="AX126" s="584"/>
      <c r="AY126" s="583"/>
      <c r="AZ126" s="585"/>
      <c r="BA126" s="583"/>
      <c r="BB126" s="584"/>
      <c r="BC126" s="583"/>
      <c r="BD126" s="585"/>
      <c r="BE126" s="583"/>
      <c r="BF126" s="584"/>
      <c r="BG126" s="583"/>
      <c r="BH126" s="585"/>
      <c r="BI126" s="583"/>
      <c r="BJ126" s="584"/>
      <c r="BK126" s="583"/>
      <c r="BL126" s="585"/>
      <c r="BM126" s="583"/>
      <c r="BN126" s="584"/>
      <c r="BO126" s="583"/>
      <c r="BP126" s="585"/>
      <c r="BQ126" s="583"/>
      <c r="BR126" s="584"/>
      <c r="BS126" s="583"/>
      <c r="BT126" s="586"/>
      <c r="BU126" s="540"/>
      <c r="BV126" s="540"/>
      <c r="BW126" s="540"/>
      <c r="BX126" s="538"/>
      <c r="BY126" s="538"/>
      <c r="BZ126" s="592"/>
      <c r="CA126" s="633"/>
      <c r="CB126" s="592" t="s">
        <v>365</v>
      </c>
      <c r="CC126" s="592">
        <v>0.0</v>
      </c>
      <c r="CD126" s="592" t="s">
        <v>365</v>
      </c>
      <c r="CE126" s="592">
        <v>0.0</v>
      </c>
      <c r="CF126" s="592"/>
      <c r="CG126" s="592">
        <v>0.0</v>
      </c>
      <c r="CH126" s="592"/>
      <c r="CI126" s="633"/>
      <c r="CJ126" s="592">
        <v>0.0</v>
      </c>
      <c r="CK126" s="479" t="s">
        <v>365</v>
      </c>
      <c r="CL126" s="592"/>
      <c r="CM126" s="593"/>
      <c r="CN126" s="538"/>
      <c r="CO126" s="538"/>
      <c r="CP126" s="538"/>
      <c r="CQ126" s="538"/>
      <c r="CR126" s="538"/>
      <c r="CS126" s="538"/>
      <c r="CT126" s="538"/>
      <c r="CU126" s="538"/>
      <c r="CV126" s="538"/>
      <c r="CW126" s="538"/>
      <c r="CX126" s="538"/>
      <c r="CY126" s="538"/>
      <c r="CZ126" s="538"/>
      <c r="DA126" s="538"/>
      <c r="DB126" s="538"/>
      <c r="DC126" s="538"/>
      <c r="DD126" s="538"/>
      <c r="DE126" s="538"/>
      <c r="DF126" s="538"/>
      <c r="DG126" s="538"/>
      <c r="DH126" s="538"/>
      <c r="DI126" s="538"/>
      <c r="DJ126" s="538"/>
      <c r="DK126" s="538"/>
      <c r="DL126" s="538"/>
      <c r="DM126" s="538"/>
      <c r="DN126" s="538"/>
      <c r="DO126" s="538"/>
      <c r="DP126" s="538"/>
      <c r="DQ126" s="538"/>
      <c r="DR126" s="538"/>
      <c r="DS126" s="538"/>
      <c r="DT126" s="538"/>
      <c r="DU126" s="538"/>
      <c r="DV126" s="538"/>
      <c r="DW126" s="538"/>
      <c r="DX126" s="538"/>
      <c r="DY126" s="538"/>
      <c r="DZ126" s="538"/>
      <c r="EA126" s="538"/>
      <c r="EB126" s="538"/>
      <c r="EC126" s="538"/>
      <c r="ED126" s="538"/>
      <c r="EE126" s="538"/>
      <c r="EF126" s="538"/>
      <c r="EG126" s="538"/>
      <c r="EH126" s="538"/>
      <c r="EI126" s="538"/>
      <c r="EJ126" s="538"/>
      <c r="EK126" s="538"/>
      <c r="EL126" s="538"/>
      <c r="EM126" s="538"/>
      <c r="EN126" s="538"/>
      <c r="EO126" s="538"/>
      <c r="EP126" s="538"/>
      <c r="EQ126" s="538"/>
      <c r="ER126" s="538"/>
      <c r="ES126" s="538"/>
      <c r="ET126" s="538"/>
      <c r="EU126" s="538"/>
      <c r="EV126" s="538"/>
      <c r="EW126" s="538"/>
      <c r="EX126" s="559"/>
      <c r="EY126" s="559"/>
      <c r="EZ126" s="559"/>
      <c r="FA126" s="559"/>
      <c r="FB126" s="559"/>
      <c r="FC126" s="559"/>
      <c r="FD126" s="559"/>
      <c r="FE126" s="559"/>
      <c r="FF126" s="559"/>
      <c r="FG126" s="559"/>
      <c r="FH126" s="559"/>
      <c r="FI126" s="559"/>
      <c r="FJ126" s="559"/>
      <c r="FK126" s="559"/>
      <c r="FL126" s="559"/>
      <c r="FM126" s="559"/>
      <c r="FN126" s="559"/>
      <c r="FO126" s="559"/>
      <c r="FP126" s="559"/>
      <c r="FQ126" s="559"/>
      <c r="FR126" s="559"/>
      <c r="FS126" s="559"/>
      <c r="FT126" s="559"/>
      <c r="FU126" s="559"/>
      <c r="FV126" s="559"/>
      <c r="FW126" s="559"/>
      <c r="FX126" s="559"/>
      <c r="FY126" s="559"/>
      <c r="FZ126" s="559"/>
      <c r="GA126" s="559"/>
      <c r="GB126" s="559"/>
      <c r="GC126" s="559"/>
      <c r="GD126" s="559"/>
      <c r="GE126" s="559"/>
      <c r="GF126" s="559"/>
      <c r="GG126" s="559"/>
      <c r="GH126" s="559"/>
    </row>
    <row r="127">
      <c r="A127" s="538"/>
      <c r="B127" s="156"/>
      <c r="C127" s="444"/>
      <c r="D127" s="614"/>
      <c r="E127" s="66"/>
      <c r="F127" s="642"/>
      <c r="G127" s="642"/>
      <c r="H127" s="615"/>
      <c r="I127" s="616" t="s">
        <v>365</v>
      </c>
      <c r="J127" s="624"/>
      <c r="K127" s="643"/>
      <c r="L127" s="640"/>
      <c r="M127" s="625"/>
      <c r="N127" s="617"/>
      <c r="O127" s="134"/>
      <c r="P127" s="57"/>
      <c r="Q127" s="57"/>
      <c r="S127" s="605"/>
      <c r="U127" s="573"/>
      <c r="V127" s="574"/>
      <c r="W127" s="618"/>
      <c r="X127" s="576">
        <v>0.0</v>
      </c>
      <c r="Y127" s="630">
        <v>0.0</v>
      </c>
      <c r="Z127" s="630" t="s">
        <v>365</v>
      </c>
      <c r="AA127" s="631" t="b">
        <v>0</v>
      </c>
      <c r="AB127" s="631"/>
      <c r="AC127" s="576"/>
      <c r="AD127" s="479">
        <v>0.0</v>
      </c>
      <c r="AE127" s="632"/>
      <c r="AF127" s="582" t="s">
        <v>365</v>
      </c>
      <c r="AG127" s="583"/>
      <c r="AH127" s="584"/>
      <c r="AI127" s="583"/>
      <c r="AJ127" s="585"/>
      <c r="AK127" s="583"/>
      <c r="AL127" s="584"/>
      <c r="AM127" s="583"/>
      <c r="AN127" s="585"/>
      <c r="AO127" s="583"/>
      <c r="AP127" s="584"/>
      <c r="AQ127" s="583"/>
      <c r="AR127" s="585"/>
      <c r="AS127" s="583"/>
      <c r="AT127" s="584"/>
      <c r="AU127" s="583"/>
      <c r="AV127" s="585"/>
      <c r="AW127" s="583"/>
      <c r="AX127" s="584"/>
      <c r="AY127" s="583"/>
      <c r="AZ127" s="585"/>
      <c r="BA127" s="583"/>
      <c r="BB127" s="584"/>
      <c r="BC127" s="583"/>
      <c r="BD127" s="585"/>
      <c r="BE127" s="583"/>
      <c r="BF127" s="584"/>
      <c r="BG127" s="583"/>
      <c r="BH127" s="585"/>
      <c r="BI127" s="583"/>
      <c r="BJ127" s="584"/>
      <c r="BK127" s="583"/>
      <c r="BL127" s="585"/>
      <c r="BM127" s="583"/>
      <c r="BN127" s="584"/>
      <c r="BO127" s="583"/>
      <c r="BP127" s="585"/>
      <c r="BQ127" s="583"/>
      <c r="BR127" s="584"/>
      <c r="BS127" s="583"/>
      <c r="BT127" s="586"/>
      <c r="BU127" s="540"/>
      <c r="BV127" s="540"/>
      <c r="BW127" s="540"/>
      <c r="BX127" s="538"/>
      <c r="BY127" s="538"/>
      <c r="BZ127" s="592"/>
      <c r="CA127" s="633"/>
      <c r="CB127" s="592" t="s">
        <v>365</v>
      </c>
      <c r="CC127" s="592">
        <v>0.0</v>
      </c>
      <c r="CD127" s="592" t="s">
        <v>365</v>
      </c>
      <c r="CE127" s="592">
        <v>0.0</v>
      </c>
      <c r="CF127" s="592"/>
      <c r="CG127" s="592">
        <v>0.0</v>
      </c>
      <c r="CH127" s="592"/>
      <c r="CI127" s="633"/>
      <c r="CJ127" s="592">
        <v>0.0</v>
      </c>
      <c r="CK127" s="479" t="s">
        <v>365</v>
      </c>
      <c r="CL127" s="592"/>
      <c r="CM127" s="593"/>
      <c r="CN127" s="538"/>
      <c r="CO127" s="538"/>
      <c r="CP127" s="538"/>
      <c r="CQ127" s="538"/>
      <c r="CR127" s="538"/>
      <c r="CS127" s="538"/>
      <c r="CT127" s="538"/>
      <c r="CU127" s="538"/>
      <c r="CV127" s="538"/>
      <c r="CW127" s="538"/>
      <c r="CX127" s="538"/>
      <c r="CY127" s="538"/>
      <c r="CZ127" s="538"/>
      <c r="DA127" s="538"/>
      <c r="DB127" s="538"/>
      <c r="DC127" s="538"/>
      <c r="DD127" s="538"/>
      <c r="DE127" s="538"/>
      <c r="DF127" s="538"/>
      <c r="DG127" s="538"/>
      <c r="DH127" s="538"/>
      <c r="DI127" s="538"/>
      <c r="DJ127" s="538"/>
      <c r="DK127" s="538"/>
      <c r="DL127" s="538"/>
      <c r="DM127" s="538"/>
      <c r="DN127" s="538"/>
      <c r="DO127" s="538"/>
      <c r="DP127" s="538"/>
      <c r="DQ127" s="538"/>
      <c r="DR127" s="538"/>
      <c r="DS127" s="538"/>
      <c r="DT127" s="538"/>
      <c r="DU127" s="538"/>
      <c r="DV127" s="538"/>
      <c r="DW127" s="538"/>
      <c r="DX127" s="538"/>
      <c r="DY127" s="538"/>
      <c r="DZ127" s="538"/>
      <c r="EA127" s="538"/>
      <c r="EB127" s="538"/>
      <c r="EC127" s="538"/>
      <c r="ED127" s="538"/>
      <c r="EE127" s="538"/>
      <c r="EF127" s="538"/>
      <c r="EG127" s="538"/>
      <c r="EH127" s="538"/>
      <c r="EI127" s="538"/>
      <c r="EJ127" s="538"/>
      <c r="EK127" s="538"/>
      <c r="EL127" s="538"/>
      <c r="EM127" s="538"/>
      <c r="EN127" s="538"/>
      <c r="EO127" s="538"/>
      <c r="EP127" s="538"/>
      <c r="EQ127" s="538"/>
      <c r="ER127" s="538"/>
      <c r="ES127" s="538"/>
      <c r="ET127" s="538"/>
      <c r="EU127" s="538"/>
      <c r="EV127" s="538"/>
      <c r="EW127" s="538"/>
      <c r="EX127" s="559"/>
      <c r="EY127" s="559"/>
      <c r="EZ127" s="559"/>
      <c r="FA127" s="559"/>
      <c r="FB127" s="559"/>
      <c r="FC127" s="559"/>
      <c r="FD127" s="559"/>
      <c r="FE127" s="559"/>
      <c r="FF127" s="559"/>
      <c r="FG127" s="559"/>
      <c r="FH127" s="559"/>
      <c r="FI127" s="559"/>
      <c r="FJ127" s="559"/>
      <c r="FK127" s="559"/>
      <c r="FL127" s="559"/>
      <c r="FM127" s="559"/>
      <c r="FN127" s="559"/>
      <c r="FO127" s="559"/>
      <c r="FP127" s="559"/>
      <c r="FQ127" s="559"/>
      <c r="FR127" s="559"/>
      <c r="FS127" s="559"/>
      <c r="FT127" s="559"/>
      <c r="FU127" s="559"/>
      <c r="FV127" s="559"/>
      <c r="FW127" s="559"/>
      <c r="FX127" s="559"/>
      <c r="FY127" s="559"/>
      <c r="FZ127" s="559"/>
      <c r="GA127" s="559"/>
      <c r="GB127" s="559"/>
      <c r="GC127" s="559"/>
      <c r="GD127" s="559"/>
      <c r="GE127" s="559"/>
      <c r="GF127" s="559"/>
      <c r="GG127" s="559"/>
      <c r="GH127" s="559"/>
    </row>
    <row r="128">
      <c r="A128" s="538"/>
      <c r="B128" s="156"/>
      <c r="C128" s="444"/>
      <c r="D128" s="614"/>
      <c r="E128" s="68"/>
      <c r="F128" s="644"/>
      <c r="G128" s="644"/>
      <c r="H128" s="627"/>
      <c r="I128" s="622" t="s">
        <v>365</v>
      </c>
      <c r="J128" s="607"/>
      <c r="K128" s="641"/>
      <c r="L128" s="628"/>
      <c r="M128" s="626"/>
      <c r="N128" s="619"/>
      <c r="O128" s="560"/>
      <c r="P128" s="47"/>
      <c r="Q128" s="47"/>
      <c r="S128" s="572"/>
      <c r="U128" s="573"/>
      <c r="V128" s="574"/>
      <c r="W128" s="618"/>
      <c r="X128" s="576">
        <v>0.0</v>
      </c>
      <c r="Y128" s="630">
        <v>0.0</v>
      </c>
      <c r="Z128" s="630" t="s">
        <v>365</v>
      </c>
      <c r="AA128" s="631" t="b">
        <v>0</v>
      </c>
      <c r="AB128" s="631"/>
      <c r="AC128" s="576"/>
      <c r="AD128" s="479">
        <v>0.0</v>
      </c>
      <c r="AE128" s="632"/>
      <c r="AF128" s="582" t="s">
        <v>365</v>
      </c>
      <c r="AG128" s="583"/>
      <c r="AH128" s="584"/>
      <c r="AI128" s="583"/>
      <c r="AJ128" s="585"/>
      <c r="AK128" s="583"/>
      <c r="AL128" s="584"/>
      <c r="AM128" s="583"/>
      <c r="AN128" s="585"/>
      <c r="AO128" s="583"/>
      <c r="AP128" s="584"/>
      <c r="AQ128" s="583"/>
      <c r="AR128" s="585"/>
      <c r="AS128" s="583"/>
      <c r="AT128" s="584"/>
      <c r="AU128" s="583"/>
      <c r="AV128" s="585"/>
      <c r="AW128" s="583"/>
      <c r="AX128" s="584"/>
      <c r="AY128" s="583"/>
      <c r="AZ128" s="585"/>
      <c r="BA128" s="583"/>
      <c r="BB128" s="584"/>
      <c r="BC128" s="583"/>
      <c r="BD128" s="585"/>
      <c r="BE128" s="583"/>
      <c r="BF128" s="584"/>
      <c r="BG128" s="583"/>
      <c r="BH128" s="585"/>
      <c r="BI128" s="583"/>
      <c r="BJ128" s="584"/>
      <c r="BK128" s="583"/>
      <c r="BL128" s="585"/>
      <c r="BM128" s="583"/>
      <c r="BN128" s="584"/>
      <c r="BO128" s="583"/>
      <c r="BP128" s="585"/>
      <c r="BQ128" s="583"/>
      <c r="BR128" s="584"/>
      <c r="BS128" s="583"/>
      <c r="BT128" s="586"/>
      <c r="BU128" s="540"/>
      <c r="BV128" s="540"/>
      <c r="BW128" s="540"/>
      <c r="BX128" s="538"/>
      <c r="BY128" s="538"/>
      <c r="BZ128" s="592"/>
      <c r="CA128" s="633"/>
      <c r="CB128" s="592" t="s">
        <v>365</v>
      </c>
      <c r="CC128" s="592">
        <v>0.0</v>
      </c>
      <c r="CD128" s="592" t="s">
        <v>365</v>
      </c>
      <c r="CE128" s="592">
        <v>0.0</v>
      </c>
      <c r="CF128" s="592"/>
      <c r="CG128" s="592">
        <v>0.0</v>
      </c>
      <c r="CH128" s="592"/>
      <c r="CI128" s="633"/>
      <c r="CJ128" s="592">
        <v>0.0</v>
      </c>
      <c r="CK128" s="479" t="s">
        <v>365</v>
      </c>
      <c r="CL128" s="592"/>
      <c r="CM128" s="593"/>
      <c r="CN128" s="538"/>
      <c r="CO128" s="538"/>
      <c r="CP128" s="538"/>
      <c r="CQ128" s="538"/>
      <c r="CR128" s="538"/>
      <c r="CS128" s="538"/>
      <c r="CT128" s="538"/>
      <c r="CU128" s="538"/>
      <c r="CV128" s="538"/>
      <c r="CW128" s="538"/>
      <c r="CX128" s="538"/>
      <c r="CY128" s="538"/>
      <c r="CZ128" s="538"/>
      <c r="DA128" s="538"/>
      <c r="DB128" s="538"/>
      <c r="DC128" s="538"/>
      <c r="DD128" s="538"/>
      <c r="DE128" s="538"/>
      <c r="DF128" s="538"/>
      <c r="DG128" s="538"/>
      <c r="DH128" s="538"/>
      <c r="DI128" s="538"/>
      <c r="DJ128" s="538"/>
      <c r="DK128" s="538"/>
      <c r="DL128" s="538"/>
      <c r="DM128" s="538"/>
      <c r="DN128" s="538"/>
      <c r="DO128" s="538"/>
      <c r="DP128" s="538"/>
      <c r="DQ128" s="538"/>
      <c r="DR128" s="538"/>
      <c r="DS128" s="538"/>
      <c r="DT128" s="538"/>
      <c r="DU128" s="538"/>
      <c r="DV128" s="538"/>
      <c r="DW128" s="538"/>
      <c r="DX128" s="538"/>
      <c r="DY128" s="538"/>
      <c r="DZ128" s="538"/>
      <c r="EA128" s="538"/>
      <c r="EB128" s="538"/>
      <c r="EC128" s="538"/>
      <c r="ED128" s="538"/>
      <c r="EE128" s="538"/>
      <c r="EF128" s="538"/>
      <c r="EG128" s="538"/>
      <c r="EH128" s="538"/>
      <c r="EI128" s="538"/>
      <c r="EJ128" s="538"/>
      <c r="EK128" s="538"/>
      <c r="EL128" s="538"/>
      <c r="EM128" s="538"/>
      <c r="EN128" s="538"/>
      <c r="EO128" s="538"/>
      <c r="EP128" s="538"/>
      <c r="EQ128" s="538"/>
      <c r="ER128" s="538"/>
      <c r="ES128" s="538"/>
      <c r="ET128" s="538"/>
      <c r="EU128" s="538"/>
      <c r="EV128" s="538"/>
      <c r="EW128" s="538"/>
      <c r="EX128" s="559"/>
      <c r="EY128" s="559"/>
      <c r="EZ128" s="559"/>
      <c r="FA128" s="559"/>
      <c r="FB128" s="559"/>
      <c r="FC128" s="559"/>
      <c r="FD128" s="559"/>
      <c r="FE128" s="559"/>
      <c r="FF128" s="559"/>
      <c r="FG128" s="559"/>
      <c r="FH128" s="559"/>
      <c r="FI128" s="559"/>
      <c r="FJ128" s="559"/>
      <c r="FK128" s="559"/>
      <c r="FL128" s="559"/>
      <c r="FM128" s="559"/>
      <c r="FN128" s="559"/>
      <c r="FO128" s="559"/>
      <c r="FP128" s="559"/>
      <c r="FQ128" s="559"/>
      <c r="FR128" s="559"/>
      <c r="FS128" s="559"/>
      <c r="FT128" s="559"/>
      <c r="FU128" s="559"/>
      <c r="FV128" s="559"/>
      <c r="FW128" s="559"/>
      <c r="FX128" s="559"/>
      <c r="FY128" s="559"/>
      <c r="FZ128" s="559"/>
      <c r="GA128" s="559"/>
      <c r="GB128" s="559"/>
      <c r="GC128" s="559"/>
      <c r="GD128" s="559"/>
      <c r="GE128" s="559"/>
      <c r="GF128" s="559"/>
      <c r="GG128" s="559"/>
      <c r="GH128" s="559"/>
    </row>
    <row r="129">
      <c r="A129" s="538"/>
      <c r="B129" s="156"/>
      <c r="C129" s="444"/>
      <c r="D129" s="614"/>
      <c r="E129" s="66"/>
      <c r="F129" s="642"/>
      <c r="G129" s="642"/>
      <c r="H129" s="615"/>
      <c r="I129" s="616" t="s">
        <v>365</v>
      </c>
      <c r="J129" s="624"/>
      <c r="K129" s="643"/>
      <c r="L129" s="640"/>
      <c r="M129" s="625"/>
      <c r="N129" s="617"/>
      <c r="O129" s="134"/>
      <c r="P129" s="57"/>
      <c r="Q129" s="57"/>
      <c r="S129" s="605"/>
      <c r="U129" s="573"/>
      <c r="V129" s="574"/>
      <c r="W129" s="618"/>
      <c r="X129" s="576">
        <v>0.0</v>
      </c>
      <c r="Y129" s="630">
        <v>0.0</v>
      </c>
      <c r="Z129" s="630" t="s">
        <v>365</v>
      </c>
      <c r="AA129" s="631" t="b">
        <v>0</v>
      </c>
      <c r="AB129" s="631"/>
      <c r="AC129" s="576"/>
      <c r="AD129" s="479">
        <v>0.0</v>
      </c>
      <c r="AE129" s="632"/>
      <c r="AF129" s="582" t="s">
        <v>365</v>
      </c>
      <c r="AG129" s="583"/>
      <c r="AH129" s="584"/>
      <c r="AI129" s="583"/>
      <c r="AJ129" s="585"/>
      <c r="AK129" s="583"/>
      <c r="AL129" s="584"/>
      <c r="AM129" s="583"/>
      <c r="AN129" s="585"/>
      <c r="AO129" s="583"/>
      <c r="AP129" s="584"/>
      <c r="AQ129" s="583"/>
      <c r="AR129" s="585"/>
      <c r="AS129" s="583"/>
      <c r="AT129" s="584"/>
      <c r="AU129" s="583"/>
      <c r="AV129" s="585"/>
      <c r="AW129" s="583"/>
      <c r="AX129" s="584"/>
      <c r="AY129" s="583"/>
      <c r="AZ129" s="585"/>
      <c r="BA129" s="583"/>
      <c r="BB129" s="584"/>
      <c r="BC129" s="583"/>
      <c r="BD129" s="585"/>
      <c r="BE129" s="583"/>
      <c r="BF129" s="584"/>
      <c r="BG129" s="583"/>
      <c r="BH129" s="585"/>
      <c r="BI129" s="583"/>
      <c r="BJ129" s="584"/>
      <c r="BK129" s="583"/>
      <c r="BL129" s="585"/>
      <c r="BM129" s="583"/>
      <c r="BN129" s="584"/>
      <c r="BO129" s="583"/>
      <c r="BP129" s="585"/>
      <c r="BQ129" s="583"/>
      <c r="BR129" s="584"/>
      <c r="BS129" s="583"/>
      <c r="BT129" s="586"/>
      <c r="BU129" s="540"/>
      <c r="BV129" s="540"/>
      <c r="BW129" s="540"/>
      <c r="BX129" s="538"/>
      <c r="BY129" s="538"/>
      <c r="BZ129" s="592"/>
      <c r="CA129" s="633"/>
      <c r="CB129" s="592" t="s">
        <v>365</v>
      </c>
      <c r="CC129" s="592">
        <v>0.0</v>
      </c>
      <c r="CD129" s="592" t="s">
        <v>365</v>
      </c>
      <c r="CE129" s="592">
        <v>0.0</v>
      </c>
      <c r="CF129" s="592"/>
      <c r="CG129" s="592">
        <v>0.0</v>
      </c>
      <c r="CH129" s="592"/>
      <c r="CI129" s="633"/>
      <c r="CJ129" s="592">
        <v>0.0</v>
      </c>
      <c r="CK129" s="479" t="s">
        <v>365</v>
      </c>
      <c r="CL129" s="592"/>
      <c r="CM129" s="593"/>
      <c r="CN129" s="538"/>
      <c r="CO129" s="538"/>
      <c r="CP129" s="538"/>
      <c r="CQ129" s="538"/>
      <c r="CR129" s="538"/>
      <c r="CS129" s="538"/>
      <c r="CT129" s="538"/>
      <c r="CU129" s="538"/>
      <c r="CV129" s="538"/>
      <c r="CW129" s="538"/>
      <c r="CX129" s="538"/>
      <c r="CY129" s="538"/>
      <c r="CZ129" s="538"/>
      <c r="DA129" s="538"/>
      <c r="DB129" s="538"/>
      <c r="DC129" s="538"/>
      <c r="DD129" s="538"/>
      <c r="DE129" s="538"/>
      <c r="DF129" s="538"/>
      <c r="DG129" s="538"/>
      <c r="DH129" s="538"/>
      <c r="DI129" s="538"/>
      <c r="DJ129" s="538"/>
      <c r="DK129" s="538"/>
      <c r="DL129" s="538"/>
      <c r="DM129" s="538"/>
      <c r="DN129" s="538"/>
      <c r="DO129" s="538"/>
      <c r="DP129" s="538"/>
      <c r="DQ129" s="538"/>
      <c r="DR129" s="538"/>
      <c r="DS129" s="538"/>
      <c r="DT129" s="538"/>
      <c r="DU129" s="538"/>
      <c r="DV129" s="538"/>
      <c r="DW129" s="538"/>
      <c r="DX129" s="538"/>
      <c r="DY129" s="538"/>
      <c r="DZ129" s="538"/>
      <c r="EA129" s="538"/>
      <c r="EB129" s="538"/>
      <c r="EC129" s="538"/>
      <c r="ED129" s="538"/>
      <c r="EE129" s="538"/>
      <c r="EF129" s="538"/>
      <c r="EG129" s="538"/>
      <c r="EH129" s="538"/>
      <c r="EI129" s="538"/>
      <c r="EJ129" s="538"/>
      <c r="EK129" s="538"/>
      <c r="EL129" s="538"/>
      <c r="EM129" s="538"/>
      <c r="EN129" s="538"/>
      <c r="EO129" s="538"/>
      <c r="EP129" s="538"/>
      <c r="EQ129" s="538"/>
      <c r="ER129" s="538"/>
      <c r="ES129" s="538"/>
      <c r="ET129" s="538"/>
      <c r="EU129" s="538"/>
      <c r="EV129" s="538"/>
      <c r="EW129" s="538"/>
      <c r="EX129" s="559"/>
      <c r="EY129" s="559"/>
      <c r="EZ129" s="559"/>
      <c r="FA129" s="559"/>
      <c r="FB129" s="559"/>
      <c r="FC129" s="559"/>
      <c r="FD129" s="559"/>
      <c r="FE129" s="559"/>
      <c r="FF129" s="559"/>
      <c r="FG129" s="559"/>
      <c r="FH129" s="559"/>
      <c r="FI129" s="559"/>
      <c r="FJ129" s="559"/>
      <c r="FK129" s="559"/>
      <c r="FL129" s="559"/>
      <c r="FM129" s="559"/>
      <c r="FN129" s="559"/>
      <c r="FO129" s="559"/>
      <c r="FP129" s="559"/>
      <c r="FQ129" s="559"/>
      <c r="FR129" s="559"/>
      <c r="FS129" s="559"/>
      <c r="FT129" s="559"/>
      <c r="FU129" s="559"/>
      <c r="FV129" s="559"/>
      <c r="FW129" s="559"/>
      <c r="FX129" s="559"/>
      <c r="FY129" s="559"/>
      <c r="FZ129" s="559"/>
      <c r="GA129" s="559"/>
      <c r="GB129" s="559"/>
      <c r="GC129" s="559"/>
      <c r="GD129" s="559"/>
      <c r="GE129" s="559"/>
      <c r="GF129" s="559"/>
      <c r="GG129" s="559"/>
      <c r="GH129" s="559"/>
    </row>
    <row r="130">
      <c r="A130" s="538"/>
      <c r="B130" s="156"/>
      <c r="C130" s="444"/>
      <c r="D130" s="614"/>
      <c r="E130" s="68"/>
      <c r="F130" s="644"/>
      <c r="G130" s="644"/>
      <c r="H130" s="627"/>
      <c r="I130" s="622" t="s">
        <v>365</v>
      </c>
      <c r="J130" s="607"/>
      <c r="K130" s="641"/>
      <c r="L130" s="628"/>
      <c r="M130" s="626"/>
      <c r="N130" s="619"/>
      <c r="O130" s="560"/>
      <c r="P130" s="47"/>
      <c r="Q130" s="47"/>
      <c r="S130" s="572"/>
      <c r="U130" s="573"/>
      <c r="V130" s="574"/>
      <c r="W130" s="618"/>
      <c r="X130" s="576">
        <v>0.0</v>
      </c>
      <c r="Y130" s="630">
        <v>0.0</v>
      </c>
      <c r="Z130" s="630" t="s">
        <v>365</v>
      </c>
      <c r="AA130" s="631" t="b">
        <v>0</v>
      </c>
      <c r="AB130" s="631"/>
      <c r="AC130" s="576"/>
      <c r="AD130" s="479">
        <v>0.0</v>
      </c>
      <c r="AE130" s="632"/>
      <c r="AF130" s="582" t="s">
        <v>365</v>
      </c>
      <c r="AG130" s="583"/>
      <c r="AH130" s="584"/>
      <c r="AI130" s="583"/>
      <c r="AJ130" s="585"/>
      <c r="AK130" s="583"/>
      <c r="AL130" s="584"/>
      <c r="AM130" s="583"/>
      <c r="AN130" s="585"/>
      <c r="AO130" s="583"/>
      <c r="AP130" s="584"/>
      <c r="AQ130" s="583"/>
      <c r="AR130" s="585"/>
      <c r="AS130" s="583"/>
      <c r="AT130" s="584"/>
      <c r="AU130" s="583"/>
      <c r="AV130" s="585"/>
      <c r="AW130" s="583"/>
      <c r="AX130" s="584"/>
      <c r="AY130" s="583"/>
      <c r="AZ130" s="585"/>
      <c r="BA130" s="583"/>
      <c r="BB130" s="584"/>
      <c r="BC130" s="583"/>
      <c r="BD130" s="585"/>
      <c r="BE130" s="583"/>
      <c r="BF130" s="584"/>
      <c r="BG130" s="583"/>
      <c r="BH130" s="585"/>
      <c r="BI130" s="583"/>
      <c r="BJ130" s="584"/>
      <c r="BK130" s="583"/>
      <c r="BL130" s="585"/>
      <c r="BM130" s="583"/>
      <c r="BN130" s="584"/>
      <c r="BO130" s="583"/>
      <c r="BP130" s="585"/>
      <c r="BQ130" s="583"/>
      <c r="BR130" s="584"/>
      <c r="BS130" s="583"/>
      <c r="BT130" s="586"/>
      <c r="BU130" s="540"/>
      <c r="BV130" s="540"/>
      <c r="BW130" s="540"/>
      <c r="BX130" s="538"/>
      <c r="BY130" s="538"/>
      <c r="BZ130" s="592"/>
      <c r="CA130" s="633"/>
      <c r="CB130" s="592" t="s">
        <v>365</v>
      </c>
      <c r="CC130" s="592">
        <v>0.0</v>
      </c>
      <c r="CD130" s="592" t="s">
        <v>365</v>
      </c>
      <c r="CE130" s="592">
        <v>0.0</v>
      </c>
      <c r="CF130" s="592"/>
      <c r="CG130" s="592">
        <v>0.0</v>
      </c>
      <c r="CH130" s="592"/>
      <c r="CI130" s="633"/>
      <c r="CJ130" s="592">
        <v>0.0</v>
      </c>
      <c r="CK130" s="479" t="s">
        <v>365</v>
      </c>
      <c r="CL130" s="592"/>
      <c r="CM130" s="593"/>
      <c r="CN130" s="538"/>
      <c r="CO130" s="538"/>
      <c r="CP130" s="538"/>
      <c r="CQ130" s="538"/>
      <c r="CR130" s="538"/>
      <c r="CS130" s="538"/>
      <c r="CT130" s="538"/>
      <c r="CU130" s="538"/>
      <c r="CV130" s="538"/>
      <c r="CW130" s="538"/>
      <c r="CX130" s="538"/>
      <c r="CY130" s="538"/>
      <c r="CZ130" s="538"/>
      <c r="DA130" s="538"/>
      <c r="DB130" s="538"/>
      <c r="DC130" s="538"/>
      <c r="DD130" s="538"/>
      <c r="DE130" s="538"/>
      <c r="DF130" s="538"/>
      <c r="DG130" s="538"/>
      <c r="DH130" s="538"/>
      <c r="DI130" s="538"/>
      <c r="DJ130" s="538"/>
      <c r="DK130" s="538"/>
      <c r="DL130" s="538"/>
      <c r="DM130" s="538"/>
      <c r="DN130" s="538"/>
      <c r="DO130" s="538"/>
      <c r="DP130" s="538"/>
      <c r="DQ130" s="538"/>
      <c r="DR130" s="538"/>
      <c r="DS130" s="538"/>
      <c r="DT130" s="538"/>
      <c r="DU130" s="538"/>
      <c r="DV130" s="538"/>
      <c r="DW130" s="538"/>
      <c r="DX130" s="538"/>
      <c r="DY130" s="538"/>
      <c r="DZ130" s="538"/>
      <c r="EA130" s="538"/>
      <c r="EB130" s="538"/>
      <c r="EC130" s="538"/>
      <c r="ED130" s="538"/>
      <c r="EE130" s="538"/>
      <c r="EF130" s="538"/>
      <c r="EG130" s="538"/>
      <c r="EH130" s="538"/>
      <c r="EI130" s="538"/>
      <c r="EJ130" s="538"/>
      <c r="EK130" s="538"/>
      <c r="EL130" s="538"/>
      <c r="EM130" s="538"/>
      <c r="EN130" s="538"/>
      <c r="EO130" s="538"/>
      <c r="EP130" s="538"/>
      <c r="EQ130" s="538"/>
      <c r="ER130" s="538"/>
      <c r="ES130" s="538"/>
      <c r="ET130" s="538"/>
      <c r="EU130" s="538"/>
      <c r="EV130" s="538"/>
      <c r="EW130" s="538"/>
      <c r="EX130" s="559"/>
      <c r="EY130" s="559"/>
      <c r="EZ130" s="559"/>
      <c r="FA130" s="559"/>
      <c r="FB130" s="559"/>
      <c r="FC130" s="559"/>
      <c r="FD130" s="559"/>
      <c r="FE130" s="559"/>
      <c r="FF130" s="559"/>
      <c r="FG130" s="559"/>
      <c r="FH130" s="559"/>
      <c r="FI130" s="559"/>
      <c r="FJ130" s="559"/>
      <c r="FK130" s="559"/>
      <c r="FL130" s="559"/>
      <c r="FM130" s="559"/>
      <c r="FN130" s="559"/>
      <c r="FO130" s="559"/>
      <c r="FP130" s="559"/>
      <c r="FQ130" s="559"/>
      <c r="FR130" s="559"/>
      <c r="FS130" s="559"/>
      <c r="FT130" s="559"/>
      <c r="FU130" s="559"/>
      <c r="FV130" s="559"/>
      <c r="FW130" s="559"/>
      <c r="FX130" s="559"/>
      <c r="FY130" s="559"/>
      <c r="FZ130" s="559"/>
      <c r="GA130" s="559"/>
      <c r="GB130" s="559"/>
      <c r="GC130" s="559"/>
      <c r="GD130" s="559"/>
      <c r="GE130" s="559"/>
      <c r="GF130" s="559"/>
      <c r="GG130" s="559"/>
      <c r="GH130" s="559"/>
    </row>
    <row r="131">
      <c r="A131" s="538"/>
      <c r="B131" s="156"/>
      <c r="C131" s="444"/>
      <c r="D131" s="614"/>
      <c r="E131" s="66"/>
      <c r="F131" s="642"/>
      <c r="G131" s="642"/>
      <c r="H131" s="615"/>
      <c r="I131" s="616" t="s">
        <v>365</v>
      </c>
      <c r="J131" s="624"/>
      <c r="K131" s="643"/>
      <c r="L131" s="640"/>
      <c r="M131" s="625"/>
      <c r="N131" s="617"/>
      <c r="O131" s="134"/>
      <c r="P131" s="57"/>
      <c r="Q131" s="57"/>
      <c r="S131" s="605"/>
      <c r="U131" s="573"/>
      <c r="V131" s="574"/>
      <c r="W131" s="618"/>
      <c r="X131" s="576">
        <v>0.0</v>
      </c>
      <c r="Y131" s="630">
        <v>0.0</v>
      </c>
      <c r="Z131" s="630" t="s">
        <v>365</v>
      </c>
      <c r="AA131" s="631" t="b">
        <v>0</v>
      </c>
      <c r="AB131" s="631"/>
      <c r="AC131" s="576"/>
      <c r="AD131" s="479">
        <v>0.0</v>
      </c>
      <c r="AE131" s="632"/>
      <c r="AF131" s="582" t="s">
        <v>365</v>
      </c>
      <c r="AG131" s="583"/>
      <c r="AH131" s="584"/>
      <c r="AI131" s="583"/>
      <c r="AJ131" s="585"/>
      <c r="AK131" s="583"/>
      <c r="AL131" s="584"/>
      <c r="AM131" s="583"/>
      <c r="AN131" s="585"/>
      <c r="AO131" s="583"/>
      <c r="AP131" s="584"/>
      <c r="AQ131" s="583"/>
      <c r="AR131" s="585"/>
      <c r="AS131" s="583"/>
      <c r="AT131" s="584"/>
      <c r="AU131" s="583"/>
      <c r="AV131" s="585"/>
      <c r="AW131" s="583"/>
      <c r="AX131" s="584"/>
      <c r="AY131" s="583"/>
      <c r="AZ131" s="585"/>
      <c r="BA131" s="583"/>
      <c r="BB131" s="584"/>
      <c r="BC131" s="583"/>
      <c r="BD131" s="585"/>
      <c r="BE131" s="583"/>
      <c r="BF131" s="584"/>
      <c r="BG131" s="583"/>
      <c r="BH131" s="585"/>
      <c r="BI131" s="583"/>
      <c r="BJ131" s="584"/>
      <c r="BK131" s="583"/>
      <c r="BL131" s="585"/>
      <c r="BM131" s="583"/>
      <c r="BN131" s="584"/>
      <c r="BO131" s="583"/>
      <c r="BP131" s="585"/>
      <c r="BQ131" s="583"/>
      <c r="BR131" s="584"/>
      <c r="BS131" s="583"/>
      <c r="BT131" s="586"/>
      <c r="BU131" s="540"/>
      <c r="BV131" s="540"/>
      <c r="BW131" s="540"/>
      <c r="BX131" s="538"/>
      <c r="BY131" s="538"/>
      <c r="BZ131" s="592"/>
      <c r="CA131" s="633"/>
      <c r="CB131" s="592" t="s">
        <v>365</v>
      </c>
      <c r="CC131" s="592">
        <v>0.0</v>
      </c>
      <c r="CD131" s="592" t="s">
        <v>365</v>
      </c>
      <c r="CE131" s="592">
        <v>0.0</v>
      </c>
      <c r="CF131" s="592"/>
      <c r="CG131" s="592">
        <v>0.0</v>
      </c>
      <c r="CH131" s="592"/>
      <c r="CI131" s="633"/>
      <c r="CJ131" s="592">
        <v>0.0</v>
      </c>
      <c r="CK131" s="479" t="s">
        <v>365</v>
      </c>
      <c r="CL131" s="592"/>
      <c r="CM131" s="593"/>
      <c r="CN131" s="538"/>
      <c r="CO131" s="538"/>
      <c r="CP131" s="538"/>
      <c r="CQ131" s="538"/>
      <c r="CR131" s="538"/>
      <c r="CS131" s="538"/>
      <c r="CT131" s="538"/>
      <c r="CU131" s="538"/>
      <c r="CV131" s="538"/>
      <c r="CW131" s="538"/>
      <c r="CX131" s="538"/>
      <c r="CY131" s="538"/>
      <c r="CZ131" s="538"/>
      <c r="DA131" s="538"/>
      <c r="DB131" s="538"/>
      <c r="DC131" s="538"/>
      <c r="DD131" s="538"/>
      <c r="DE131" s="538"/>
      <c r="DF131" s="538"/>
      <c r="DG131" s="538"/>
      <c r="DH131" s="538"/>
      <c r="DI131" s="538"/>
      <c r="DJ131" s="538"/>
      <c r="DK131" s="538"/>
      <c r="DL131" s="538"/>
      <c r="DM131" s="538"/>
      <c r="DN131" s="538"/>
      <c r="DO131" s="538"/>
      <c r="DP131" s="538"/>
      <c r="DQ131" s="538"/>
      <c r="DR131" s="538"/>
      <c r="DS131" s="538"/>
      <c r="DT131" s="538"/>
      <c r="DU131" s="538"/>
      <c r="DV131" s="538"/>
      <c r="DW131" s="538"/>
      <c r="DX131" s="538"/>
      <c r="DY131" s="538"/>
      <c r="DZ131" s="538"/>
      <c r="EA131" s="538"/>
      <c r="EB131" s="538"/>
      <c r="EC131" s="538"/>
      <c r="ED131" s="538"/>
      <c r="EE131" s="538"/>
      <c r="EF131" s="538"/>
      <c r="EG131" s="538"/>
      <c r="EH131" s="538"/>
      <c r="EI131" s="538"/>
      <c r="EJ131" s="538"/>
      <c r="EK131" s="538"/>
      <c r="EL131" s="538"/>
      <c r="EM131" s="538"/>
      <c r="EN131" s="538"/>
      <c r="EO131" s="538"/>
      <c r="EP131" s="538"/>
      <c r="EQ131" s="538"/>
      <c r="ER131" s="538"/>
      <c r="ES131" s="538"/>
      <c r="ET131" s="538"/>
      <c r="EU131" s="538"/>
      <c r="EV131" s="538"/>
      <c r="EW131" s="538"/>
      <c r="EX131" s="559"/>
      <c r="EY131" s="559"/>
      <c r="EZ131" s="559"/>
      <c r="FA131" s="559"/>
      <c r="FB131" s="559"/>
      <c r="FC131" s="559"/>
      <c r="FD131" s="559"/>
      <c r="FE131" s="559"/>
      <c r="FF131" s="559"/>
      <c r="FG131" s="559"/>
      <c r="FH131" s="559"/>
      <c r="FI131" s="559"/>
      <c r="FJ131" s="559"/>
      <c r="FK131" s="559"/>
      <c r="FL131" s="559"/>
      <c r="FM131" s="559"/>
      <c r="FN131" s="559"/>
      <c r="FO131" s="559"/>
      <c r="FP131" s="559"/>
      <c r="FQ131" s="559"/>
      <c r="FR131" s="559"/>
      <c r="FS131" s="559"/>
      <c r="FT131" s="559"/>
      <c r="FU131" s="559"/>
      <c r="FV131" s="559"/>
      <c r="FW131" s="559"/>
      <c r="FX131" s="559"/>
      <c r="FY131" s="559"/>
      <c r="FZ131" s="559"/>
      <c r="GA131" s="559"/>
      <c r="GB131" s="559"/>
      <c r="GC131" s="559"/>
      <c r="GD131" s="559"/>
      <c r="GE131" s="559"/>
      <c r="GF131" s="559"/>
      <c r="GG131" s="559"/>
      <c r="GH131" s="559"/>
    </row>
    <row r="132">
      <c r="A132" s="538"/>
      <c r="B132" s="156"/>
      <c r="C132" s="444"/>
      <c r="D132" s="614"/>
      <c r="E132" s="68"/>
      <c r="F132" s="644"/>
      <c r="G132" s="644"/>
      <c r="H132" s="627"/>
      <c r="I132" s="622" t="s">
        <v>365</v>
      </c>
      <c r="J132" s="607"/>
      <c r="K132" s="641"/>
      <c r="L132" s="628"/>
      <c r="M132" s="626"/>
      <c r="N132" s="619"/>
      <c r="O132" s="560"/>
      <c r="P132" s="47"/>
      <c r="Q132" s="47"/>
      <c r="S132" s="572"/>
      <c r="U132" s="573"/>
      <c r="V132" s="574"/>
      <c r="W132" s="618"/>
      <c r="X132" s="576">
        <v>0.0</v>
      </c>
      <c r="Y132" s="630">
        <v>0.0</v>
      </c>
      <c r="Z132" s="630" t="s">
        <v>365</v>
      </c>
      <c r="AA132" s="631" t="b">
        <v>0</v>
      </c>
      <c r="AB132" s="631"/>
      <c r="AC132" s="576"/>
      <c r="AD132" s="479">
        <v>0.0</v>
      </c>
      <c r="AE132" s="632"/>
      <c r="AF132" s="582" t="s">
        <v>365</v>
      </c>
      <c r="AG132" s="583"/>
      <c r="AH132" s="584"/>
      <c r="AI132" s="583"/>
      <c r="AJ132" s="585"/>
      <c r="AK132" s="583"/>
      <c r="AL132" s="584"/>
      <c r="AM132" s="583"/>
      <c r="AN132" s="585"/>
      <c r="AO132" s="583"/>
      <c r="AP132" s="584"/>
      <c r="AQ132" s="583"/>
      <c r="AR132" s="585"/>
      <c r="AS132" s="583"/>
      <c r="AT132" s="584"/>
      <c r="AU132" s="583"/>
      <c r="AV132" s="585"/>
      <c r="AW132" s="583"/>
      <c r="AX132" s="584"/>
      <c r="AY132" s="583"/>
      <c r="AZ132" s="585"/>
      <c r="BA132" s="583"/>
      <c r="BB132" s="584"/>
      <c r="BC132" s="583"/>
      <c r="BD132" s="585"/>
      <c r="BE132" s="583"/>
      <c r="BF132" s="584"/>
      <c r="BG132" s="583"/>
      <c r="BH132" s="585"/>
      <c r="BI132" s="583"/>
      <c r="BJ132" s="584"/>
      <c r="BK132" s="583"/>
      <c r="BL132" s="585"/>
      <c r="BM132" s="583"/>
      <c r="BN132" s="584"/>
      <c r="BO132" s="583"/>
      <c r="BP132" s="585"/>
      <c r="BQ132" s="583"/>
      <c r="BR132" s="584"/>
      <c r="BS132" s="583"/>
      <c r="BT132" s="586"/>
      <c r="BU132" s="540"/>
      <c r="BV132" s="540"/>
      <c r="BW132" s="540"/>
      <c r="BX132" s="538"/>
      <c r="BY132" s="538"/>
      <c r="BZ132" s="592"/>
      <c r="CA132" s="633"/>
      <c r="CB132" s="592" t="s">
        <v>365</v>
      </c>
      <c r="CC132" s="592">
        <v>0.0</v>
      </c>
      <c r="CD132" s="592" t="s">
        <v>365</v>
      </c>
      <c r="CE132" s="592">
        <v>0.0</v>
      </c>
      <c r="CF132" s="592"/>
      <c r="CG132" s="592">
        <v>0.0</v>
      </c>
      <c r="CH132" s="592"/>
      <c r="CI132" s="633"/>
      <c r="CJ132" s="592">
        <v>0.0</v>
      </c>
      <c r="CK132" s="479" t="s">
        <v>365</v>
      </c>
      <c r="CL132" s="592"/>
      <c r="CM132" s="593"/>
      <c r="CN132" s="538"/>
      <c r="CO132" s="538"/>
      <c r="CP132" s="538"/>
      <c r="CQ132" s="538"/>
      <c r="CR132" s="538"/>
      <c r="CS132" s="538"/>
      <c r="CT132" s="538"/>
      <c r="CU132" s="538"/>
      <c r="CV132" s="538"/>
      <c r="CW132" s="538"/>
      <c r="CX132" s="538"/>
      <c r="CY132" s="538"/>
      <c r="CZ132" s="538"/>
      <c r="DA132" s="538"/>
      <c r="DB132" s="538"/>
      <c r="DC132" s="538"/>
      <c r="DD132" s="538"/>
      <c r="DE132" s="538"/>
      <c r="DF132" s="538"/>
      <c r="DG132" s="538"/>
      <c r="DH132" s="538"/>
      <c r="DI132" s="538"/>
      <c r="DJ132" s="538"/>
      <c r="DK132" s="538"/>
      <c r="DL132" s="538"/>
      <c r="DM132" s="538"/>
      <c r="DN132" s="538"/>
      <c r="DO132" s="538"/>
      <c r="DP132" s="538"/>
      <c r="DQ132" s="538"/>
      <c r="DR132" s="538"/>
      <c r="DS132" s="538"/>
      <c r="DT132" s="538"/>
      <c r="DU132" s="538"/>
      <c r="DV132" s="538"/>
      <c r="DW132" s="538"/>
      <c r="DX132" s="538"/>
      <c r="DY132" s="538"/>
      <c r="DZ132" s="538"/>
      <c r="EA132" s="538"/>
      <c r="EB132" s="538"/>
      <c r="EC132" s="538"/>
      <c r="ED132" s="538"/>
      <c r="EE132" s="538"/>
      <c r="EF132" s="538"/>
      <c r="EG132" s="538"/>
      <c r="EH132" s="538"/>
      <c r="EI132" s="538"/>
      <c r="EJ132" s="538"/>
      <c r="EK132" s="538"/>
      <c r="EL132" s="538"/>
      <c r="EM132" s="538"/>
      <c r="EN132" s="538"/>
      <c r="EO132" s="538"/>
      <c r="EP132" s="538"/>
      <c r="EQ132" s="538"/>
      <c r="ER132" s="538"/>
      <c r="ES132" s="538"/>
      <c r="ET132" s="538"/>
      <c r="EU132" s="538"/>
      <c r="EV132" s="538"/>
      <c r="EW132" s="538"/>
      <c r="EX132" s="559"/>
      <c r="EY132" s="559"/>
      <c r="EZ132" s="559"/>
      <c r="FA132" s="559"/>
      <c r="FB132" s="559"/>
      <c r="FC132" s="559"/>
      <c r="FD132" s="559"/>
      <c r="FE132" s="559"/>
      <c r="FF132" s="559"/>
      <c r="FG132" s="559"/>
      <c r="FH132" s="559"/>
      <c r="FI132" s="559"/>
      <c r="FJ132" s="559"/>
      <c r="FK132" s="559"/>
      <c r="FL132" s="559"/>
      <c r="FM132" s="559"/>
      <c r="FN132" s="559"/>
      <c r="FO132" s="559"/>
      <c r="FP132" s="559"/>
      <c r="FQ132" s="559"/>
      <c r="FR132" s="559"/>
      <c r="FS132" s="559"/>
      <c r="FT132" s="559"/>
      <c r="FU132" s="559"/>
      <c r="FV132" s="559"/>
      <c r="FW132" s="559"/>
      <c r="FX132" s="559"/>
      <c r="FY132" s="559"/>
      <c r="FZ132" s="559"/>
      <c r="GA132" s="559"/>
      <c r="GB132" s="559"/>
      <c r="GC132" s="559"/>
      <c r="GD132" s="559"/>
      <c r="GE132" s="559"/>
      <c r="GF132" s="559"/>
      <c r="GG132" s="559"/>
      <c r="GH132" s="559"/>
    </row>
    <row r="133">
      <c r="A133" s="538"/>
      <c r="B133" s="156"/>
      <c r="C133" s="444"/>
      <c r="D133" s="614"/>
      <c r="E133" s="66"/>
      <c r="F133" s="642"/>
      <c r="G133" s="642"/>
      <c r="H133" s="615"/>
      <c r="I133" s="616" t="s">
        <v>365</v>
      </c>
      <c r="J133" s="624"/>
      <c r="K133" s="643"/>
      <c r="L133" s="640"/>
      <c r="M133" s="625"/>
      <c r="N133" s="617"/>
      <c r="O133" s="134"/>
      <c r="P133" s="57"/>
      <c r="Q133" s="57"/>
      <c r="S133" s="605"/>
      <c r="U133" s="573"/>
      <c r="V133" s="574"/>
      <c r="W133" s="618"/>
      <c r="X133" s="576">
        <v>0.0</v>
      </c>
      <c r="Y133" s="630">
        <v>0.0</v>
      </c>
      <c r="Z133" s="630" t="s">
        <v>365</v>
      </c>
      <c r="AA133" s="631" t="b">
        <v>0</v>
      </c>
      <c r="AB133" s="631"/>
      <c r="AC133" s="576"/>
      <c r="AD133" s="479">
        <v>0.0</v>
      </c>
      <c r="AE133" s="632"/>
      <c r="AF133" s="582" t="s">
        <v>365</v>
      </c>
      <c r="AG133" s="583"/>
      <c r="AH133" s="584"/>
      <c r="AI133" s="583"/>
      <c r="AJ133" s="585"/>
      <c r="AK133" s="583"/>
      <c r="AL133" s="584"/>
      <c r="AM133" s="583"/>
      <c r="AN133" s="585"/>
      <c r="AO133" s="583"/>
      <c r="AP133" s="584"/>
      <c r="AQ133" s="583"/>
      <c r="AR133" s="585"/>
      <c r="AS133" s="583"/>
      <c r="AT133" s="584"/>
      <c r="AU133" s="583"/>
      <c r="AV133" s="585"/>
      <c r="AW133" s="583"/>
      <c r="AX133" s="584"/>
      <c r="AY133" s="583"/>
      <c r="AZ133" s="585"/>
      <c r="BA133" s="583"/>
      <c r="BB133" s="584"/>
      <c r="BC133" s="583"/>
      <c r="BD133" s="585"/>
      <c r="BE133" s="583"/>
      <c r="BF133" s="584"/>
      <c r="BG133" s="583"/>
      <c r="BH133" s="585"/>
      <c r="BI133" s="583"/>
      <c r="BJ133" s="584"/>
      <c r="BK133" s="583"/>
      <c r="BL133" s="585"/>
      <c r="BM133" s="583"/>
      <c r="BN133" s="584"/>
      <c r="BO133" s="583"/>
      <c r="BP133" s="585"/>
      <c r="BQ133" s="583"/>
      <c r="BR133" s="584"/>
      <c r="BS133" s="583"/>
      <c r="BT133" s="586"/>
      <c r="BU133" s="540"/>
      <c r="BV133" s="540"/>
      <c r="BW133" s="540"/>
      <c r="BX133" s="538"/>
      <c r="BY133" s="538"/>
      <c r="BZ133" s="592"/>
      <c r="CA133" s="633"/>
      <c r="CB133" s="592" t="s">
        <v>365</v>
      </c>
      <c r="CC133" s="592">
        <v>0.0</v>
      </c>
      <c r="CD133" s="592" t="s">
        <v>365</v>
      </c>
      <c r="CE133" s="592">
        <v>0.0</v>
      </c>
      <c r="CF133" s="592"/>
      <c r="CG133" s="592">
        <v>0.0</v>
      </c>
      <c r="CH133" s="592"/>
      <c r="CI133" s="633"/>
      <c r="CJ133" s="592">
        <v>0.0</v>
      </c>
      <c r="CK133" s="479" t="s">
        <v>365</v>
      </c>
      <c r="CL133" s="592"/>
      <c r="CM133" s="593"/>
      <c r="CN133" s="538"/>
      <c r="CO133" s="538"/>
      <c r="CP133" s="538"/>
      <c r="CQ133" s="538"/>
      <c r="CR133" s="538"/>
      <c r="CS133" s="538"/>
      <c r="CT133" s="538"/>
      <c r="CU133" s="538"/>
      <c r="CV133" s="538"/>
      <c r="CW133" s="538"/>
      <c r="CX133" s="538"/>
      <c r="CY133" s="538"/>
      <c r="CZ133" s="538"/>
      <c r="DA133" s="538"/>
      <c r="DB133" s="538"/>
      <c r="DC133" s="538"/>
      <c r="DD133" s="538"/>
      <c r="DE133" s="538"/>
      <c r="DF133" s="538"/>
      <c r="DG133" s="538"/>
      <c r="DH133" s="538"/>
      <c r="DI133" s="538"/>
      <c r="DJ133" s="538"/>
      <c r="DK133" s="538"/>
      <c r="DL133" s="538"/>
      <c r="DM133" s="538"/>
      <c r="DN133" s="538"/>
      <c r="DO133" s="538"/>
      <c r="DP133" s="538"/>
      <c r="DQ133" s="538"/>
      <c r="DR133" s="538"/>
      <c r="DS133" s="538"/>
      <c r="DT133" s="538"/>
      <c r="DU133" s="538"/>
      <c r="DV133" s="538"/>
      <c r="DW133" s="538"/>
      <c r="DX133" s="538"/>
      <c r="DY133" s="538"/>
      <c r="DZ133" s="538"/>
      <c r="EA133" s="538"/>
      <c r="EB133" s="538"/>
      <c r="EC133" s="538"/>
      <c r="ED133" s="538"/>
      <c r="EE133" s="538"/>
      <c r="EF133" s="538"/>
      <c r="EG133" s="538"/>
      <c r="EH133" s="538"/>
      <c r="EI133" s="538"/>
      <c r="EJ133" s="538"/>
      <c r="EK133" s="538"/>
      <c r="EL133" s="538"/>
      <c r="EM133" s="538"/>
      <c r="EN133" s="538"/>
      <c r="EO133" s="538"/>
      <c r="EP133" s="538"/>
      <c r="EQ133" s="538"/>
      <c r="ER133" s="538"/>
      <c r="ES133" s="538"/>
      <c r="ET133" s="538"/>
      <c r="EU133" s="538"/>
      <c r="EV133" s="538"/>
      <c r="EW133" s="538"/>
      <c r="EX133" s="559"/>
      <c r="EY133" s="559"/>
      <c r="EZ133" s="559"/>
      <c r="FA133" s="559"/>
      <c r="FB133" s="559"/>
      <c r="FC133" s="559"/>
      <c r="FD133" s="559"/>
      <c r="FE133" s="559"/>
      <c r="FF133" s="559"/>
      <c r="FG133" s="559"/>
      <c r="FH133" s="559"/>
      <c r="FI133" s="559"/>
      <c r="FJ133" s="559"/>
      <c r="FK133" s="559"/>
      <c r="FL133" s="559"/>
      <c r="FM133" s="559"/>
      <c r="FN133" s="559"/>
      <c r="FO133" s="559"/>
      <c r="FP133" s="559"/>
      <c r="FQ133" s="559"/>
      <c r="FR133" s="559"/>
      <c r="FS133" s="559"/>
      <c r="FT133" s="559"/>
      <c r="FU133" s="559"/>
      <c r="FV133" s="559"/>
      <c r="FW133" s="559"/>
      <c r="FX133" s="559"/>
      <c r="FY133" s="559"/>
      <c r="FZ133" s="559"/>
      <c r="GA133" s="559"/>
      <c r="GB133" s="559"/>
      <c r="GC133" s="559"/>
      <c r="GD133" s="559"/>
      <c r="GE133" s="559"/>
      <c r="GF133" s="559"/>
      <c r="GG133" s="559"/>
      <c r="GH133" s="559"/>
    </row>
    <row r="134">
      <c r="A134" s="538"/>
      <c r="B134" s="156"/>
      <c r="C134" s="444"/>
      <c r="D134" s="614"/>
      <c r="E134" s="68"/>
      <c r="F134" s="644"/>
      <c r="G134" s="644"/>
      <c r="H134" s="627"/>
      <c r="I134" s="622" t="s">
        <v>365</v>
      </c>
      <c r="J134" s="607"/>
      <c r="K134" s="641"/>
      <c r="L134" s="628"/>
      <c r="M134" s="626"/>
      <c r="N134" s="619"/>
      <c r="O134" s="560"/>
      <c r="P134" s="47"/>
      <c r="Q134" s="47"/>
      <c r="S134" s="572"/>
      <c r="U134" s="573"/>
      <c r="V134" s="574"/>
      <c r="W134" s="618"/>
      <c r="X134" s="576">
        <v>0.0</v>
      </c>
      <c r="Y134" s="630">
        <v>0.0</v>
      </c>
      <c r="Z134" s="630" t="s">
        <v>365</v>
      </c>
      <c r="AA134" s="631" t="b">
        <v>0</v>
      </c>
      <c r="AB134" s="631"/>
      <c r="AC134" s="576"/>
      <c r="AD134" s="479">
        <v>0.0</v>
      </c>
      <c r="AE134" s="632"/>
      <c r="AF134" s="582" t="s">
        <v>365</v>
      </c>
      <c r="AG134" s="583"/>
      <c r="AH134" s="584"/>
      <c r="AI134" s="583"/>
      <c r="AJ134" s="585"/>
      <c r="AK134" s="583"/>
      <c r="AL134" s="584"/>
      <c r="AM134" s="583"/>
      <c r="AN134" s="585"/>
      <c r="AO134" s="583"/>
      <c r="AP134" s="584"/>
      <c r="AQ134" s="583"/>
      <c r="AR134" s="585"/>
      <c r="AS134" s="583"/>
      <c r="AT134" s="584"/>
      <c r="AU134" s="583"/>
      <c r="AV134" s="585"/>
      <c r="AW134" s="583"/>
      <c r="AX134" s="584"/>
      <c r="AY134" s="583"/>
      <c r="AZ134" s="585"/>
      <c r="BA134" s="583"/>
      <c r="BB134" s="584"/>
      <c r="BC134" s="583"/>
      <c r="BD134" s="585"/>
      <c r="BE134" s="583"/>
      <c r="BF134" s="584"/>
      <c r="BG134" s="583"/>
      <c r="BH134" s="585"/>
      <c r="BI134" s="583"/>
      <c r="BJ134" s="584"/>
      <c r="BK134" s="583"/>
      <c r="BL134" s="585"/>
      <c r="BM134" s="583"/>
      <c r="BN134" s="584"/>
      <c r="BO134" s="583"/>
      <c r="BP134" s="585"/>
      <c r="BQ134" s="583"/>
      <c r="BR134" s="584"/>
      <c r="BS134" s="583"/>
      <c r="BT134" s="586"/>
      <c r="BU134" s="540"/>
      <c r="BV134" s="540"/>
      <c r="BW134" s="540"/>
      <c r="BX134" s="538"/>
      <c r="BY134" s="538"/>
      <c r="BZ134" s="592"/>
      <c r="CA134" s="633"/>
      <c r="CB134" s="592" t="s">
        <v>365</v>
      </c>
      <c r="CC134" s="592">
        <v>0.0</v>
      </c>
      <c r="CD134" s="592" t="s">
        <v>365</v>
      </c>
      <c r="CE134" s="592">
        <v>0.0</v>
      </c>
      <c r="CF134" s="592"/>
      <c r="CG134" s="592">
        <v>0.0</v>
      </c>
      <c r="CH134" s="592"/>
      <c r="CI134" s="633"/>
      <c r="CJ134" s="592">
        <v>0.0</v>
      </c>
      <c r="CK134" s="479" t="s">
        <v>365</v>
      </c>
      <c r="CL134" s="592"/>
      <c r="CM134" s="593"/>
      <c r="CN134" s="538"/>
      <c r="CO134" s="538"/>
      <c r="CP134" s="538"/>
      <c r="CQ134" s="538"/>
      <c r="CR134" s="538"/>
      <c r="CS134" s="538"/>
      <c r="CT134" s="538"/>
      <c r="CU134" s="538"/>
      <c r="CV134" s="538"/>
      <c r="CW134" s="538"/>
      <c r="CX134" s="538"/>
      <c r="CY134" s="538"/>
      <c r="CZ134" s="538"/>
      <c r="DA134" s="538"/>
      <c r="DB134" s="538"/>
      <c r="DC134" s="538"/>
      <c r="DD134" s="538"/>
      <c r="DE134" s="538"/>
      <c r="DF134" s="538"/>
      <c r="DG134" s="538"/>
      <c r="DH134" s="538"/>
      <c r="DI134" s="538"/>
      <c r="DJ134" s="538"/>
      <c r="DK134" s="538"/>
      <c r="DL134" s="538"/>
      <c r="DM134" s="538"/>
      <c r="DN134" s="538"/>
      <c r="DO134" s="538"/>
      <c r="DP134" s="538"/>
      <c r="DQ134" s="538"/>
      <c r="DR134" s="538"/>
      <c r="DS134" s="538"/>
      <c r="DT134" s="538"/>
      <c r="DU134" s="538"/>
      <c r="DV134" s="538"/>
      <c r="DW134" s="538"/>
      <c r="DX134" s="538"/>
      <c r="DY134" s="538"/>
      <c r="DZ134" s="538"/>
      <c r="EA134" s="538"/>
      <c r="EB134" s="538"/>
      <c r="EC134" s="538"/>
      <c r="ED134" s="538"/>
      <c r="EE134" s="538"/>
      <c r="EF134" s="538"/>
      <c r="EG134" s="538"/>
      <c r="EH134" s="538"/>
      <c r="EI134" s="538"/>
      <c r="EJ134" s="538"/>
      <c r="EK134" s="538"/>
      <c r="EL134" s="538"/>
      <c r="EM134" s="538"/>
      <c r="EN134" s="538"/>
      <c r="EO134" s="538"/>
      <c r="EP134" s="538"/>
      <c r="EQ134" s="538"/>
      <c r="ER134" s="538"/>
      <c r="ES134" s="538"/>
      <c r="ET134" s="538"/>
      <c r="EU134" s="538"/>
      <c r="EV134" s="538"/>
      <c r="EW134" s="538"/>
      <c r="EX134" s="559"/>
      <c r="EY134" s="559"/>
      <c r="EZ134" s="559"/>
      <c r="FA134" s="559"/>
      <c r="FB134" s="559"/>
      <c r="FC134" s="559"/>
      <c r="FD134" s="559"/>
      <c r="FE134" s="559"/>
      <c r="FF134" s="559"/>
      <c r="FG134" s="559"/>
      <c r="FH134" s="559"/>
      <c r="FI134" s="559"/>
      <c r="FJ134" s="559"/>
      <c r="FK134" s="559"/>
      <c r="FL134" s="559"/>
      <c r="FM134" s="559"/>
      <c r="FN134" s="559"/>
      <c r="FO134" s="559"/>
      <c r="FP134" s="559"/>
      <c r="FQ134" s="559"/>
      <c r="FR134" s="559"/>
      <c r="FS134" s="559"/>
      <c r="FT134" s="559"/>
      <c r="FU134" s="559"/>
      <c r="FV134" s="559"/>
      <c r="FW134" s="559"/>
      <c r="FX134" s="559"/>
      <c r="FY134" s="559"/>
      <c r="FZ134" s="559"/>
      <c r="GA134" s="559"/>
      <c r="GB134" s="559"/>
      <c r="GC134" s="559"/>
      <c r="GD134" s="559"/>
      <c r="GE134" s="559"/>
      <c r="GF134" s="559"/>
      <c r="GG134" s="559"/>
      <c r="GH134" s="559"/>
    </row>
    <row r="135">
      <c r="A135" s="538"/>
      <c r="B135" s="156"/>
      <c r="C135" s="444"/>
      <c r="D135" s="614"/>
      <c r="E135" s="66"/>
      <c r="F135" s="642"/>
      <c r="G135" s="642"/>
      <c r="H135" s="615"/>
      <c r="I135" s="616" t="s">
        <v>365</v>
      </c>
      <c r="J135" s="624"/>
      <c r="K135" s="643"/>
      <c r="L135" s="640"/>
      <c r="M135" s="625"/>
      <c r="N135" s="617"/>
      <c r="O135" s="134"/>
      <c r="P135" s="57"/>
      <c r="Q135" s="57"/>
      <c r="S135" s="605"/>
      <c r="U135" s="573"/>
      <c r="V135" s="574"/>
      <c r="W135" s="618"/>
      <c r="X135" s="576">
        <v>0.0</v>
      </c>
      <c r="Y135" s="630">
        <v>0.0</v>
      </c>
      <c r="Z135" s="630" t="s">
        <v>365</v>
      </c>
      <c r="AA135" s="631" t="b">
        <v>0</v>
      </c>
      <c r="AB135" s="631"/>
      <c r="AC135" s="576"/>
      <c r="AD135" s="479">
        <v>0.0</v>
      </c>
      <c r="AE135" s="632"/>
      <c r="AF135" s="582" t="s">
        <v>365</v>
      </c>
      <c r="AG135" s="583"/>
      <c r="AH135" s="584"/>
      <c r="AI135" s="583"/>
      <c r="AJ135" s="585"/>
      <c r="AK135" s="583"/>
      <c r="AL135" s="584"/>
      <c r="AM135" s="583"/>
      <c r="AN135" s="585"/>
      <c r="AO135" s="583"/>
      <c r="AP135" s="584"/>
      <c r="AQ135" s="583"/>
      <c r="AR135" s="585"/>
      <c r="AS135" s="583"/>
      <c r="AT135" s="584"/>
      <c r="AU135" s="583"/>
      <c r="AV135" s="585"/>
      <c r="AW135" s="583"/>
      <c r="AX135" s="584"/>
      <c r="AY135" s="583"/>
      <c r="AZ135" s="585"/>
      <c r="BA135" s="583"/>
      <c r="BB135" s="584"/>
      <c r="BC135" s="583"/>
      <c r="BD135" s="585"/>
      <c r="BE135" s="583"/>
      <c r="BF135" s="584"/>
      <c r="BG135" s="583"/>
      <c r="BH135" s="585"/>
      <c r="BI135" s="583"/>
      <c r="BJ135" s="584"/>
      <c r="BK135" s="583"/>
      <c r="BL135" s="585"/>
      <c r="BM135" s="583"/>
      <c r="BN135" s="584"/>
      <c r="BO135" s="583"/>
      <c r="BP135" s="585"/>
      <c r="BQ135" s="583"/>
      <c r="BR135" s="584"/>
      <c r="BS135" s="583"/>
      <c r="BT135" s="586"/>
      <c r="BU135" s="540"/>
      <c r="BV135" s="540"/>
      <c r="BW135" s="540"/>
      <c r="BX135" s="538"/>
      <c r="BY135" s="538"/>
      <c r="BZ135" s="592"/>
      <c r="CA135" s="633"/>
      <c r="CB135" s="592" t="s">
        <v>365</v>
      </c>
      <c r="CC135" s="592">
        <v>0.0</v>
      </c>
      <c r="CD135" s="592" t="s">
        <v>365</v>
      </c>
      <c r="CE135" s="592">
        <v>0.0</v>
      </c>
      <c r="CF135" s="592"/>
      <c r="CG135" s="592">
        <v>0.0</v>
      </c>
      <c r="CH135" s="592"/>
      <c r="CI135" s="633"/>
      <c r="CJ135" s="592">
        <v>0.0</v>
      </c>
      <c r="CK135" s="479" t="s">
        <v>365</v>
      </c>
      <c r="CL135" s="592"/>
      <c r="CM135" s="593"/>
      <c r="CN135" s="538"/>
      <c r="CO135" s="538"/>
      <c r="CP135" s="538"/>
      <c r="CQ135" s="538"/>
      <c r="CR135" s="538"/>
      <c r="CS135" s="538"/>
      <c r="CT135" s="538"/>
      <c r="CU135" s="538"/>
      <c r="CV135" s="538"/>
      <c r="CW135" s="538"/>
      <c r="CX135" s="538"/>
      <c r="CY135" s="538"/>
      <c r="CZ135" s="538"/>
      <c r="DA135" s="538"/>
      <c r="DB135" s="538"/>
      <c r="DC135" s="538"/>
      <c r="DD135" s="538"/>
      <c r="DE135" s="538"/>
      <c r="DF135" s="538"/>
      <c r="DG135" s="538"/>
      <c r="DH135" s="538"/>
      <c r="DI135" s="538"/>
      <c r="DJ135" s="538"/>
      <c r="DK135" s="538"/>
      <c r="DL135" s="538"/>
      <c r="DM135" s="538"/>
      <c r="DN135" s="538"/>
      <c r="DO135" s="538"/>
      <c r="DP135" s="538"/>
      <c r="DQ135" s="538"/>
      <c r="DR135" s="538"/>
      <c r="DS135" s="538"/>
      <c r="DT135" s="538"/>
      <c r="DU135" s="538"/>
      <c r="DV135" s="538"/>
      <c r="DW135" s="538"/>
      <c r="DX135" s="538"/>
      <c r="DY135" s="538"/>
      <c r="DZ135" s="538"/>
      <c r="EA135" s="538"/>
      <c r="EB135" s="538"/>
      <c r="EC135" s="538"/>
      <c r="ED135" s="538"/>
      <c r="EE135" s="538"/>
      <c r="EF135" s="538"/>
      <c r="EG135" s="538"/>
      <c r="EH135" s="538"/>
      <c r="EI135" s="538"/>
      <c r="EJ135" s="538"/>
      <c r="EK135" s="538"/>
      <c r="EL135" s="538"/>
      <c r="EM135" s="538"/>
      <c r="EN135" s="538"/>
      <c r="EO135" s="538"/>
      <c r="EP135" s="538"/>
      <c r="EQ135" s="538"/>
      <c r="ER135" s="538"/>
      <c r="ES135" s="538"/>
      <c r="ET135" s="538"/>
      <c r="EU135" s="538"/>
      <c r="EV135" s="538"/>
      <c r="EW135" s="538"/>
      <c r="EX135" s="559"/>
      <c r="EY135" s="559"/>
      <c r="EZ135" s="559"/>
      <c r="FA135" s="559"/>
      <c r="FB135" s="559"/>
      <c r="FC135" s="559"/>
      <c r="FD135" s="559"/>
      <c r="FE135" s="559"/>
      <c r="FF135" s="559"/>
      <c r="FG135" s="559"/>
      <c r="FH135" s="559"/>
      <c r="FI135" s="559"/>
      <c r="FJ135" s="559"/>
      <c r="FK135" s="559"/>
      <c r="FL135" s="559"/>
      <c r="FM135" s="559"/>
      <c r="FN135" s="559"/>
      <c r="FO135" s="559"/>
      <c r="FP135" s="559"/>
      <c r="FQ135" s="559"/>
      <c r="FR135" s="559"/>
      <c r="FS135" s="559"/>
      <c r="FT135" s="559"/>
      <c r="FU135" s="559"/>
      <c r="FV135" s="559"/>
      <c r="FW135" s="559"/>
      <c r="FX135" s="559"/>
      <c r="FY135" s="559"/>
      <c r="FZ135" s="559"/>
      <c r="GA135" s="559"/>
      <c r="GB135" s="559"/>
      <c r="GC135" s="559"/>
      <c r="GD135" s="559"/>
      <c r="GE135" s="559"/>
      <c r="GF135" s="559"/>
      <c r="GG135" s="559"/>
      <c r="GH135" s="559"/>
    </row>
    <row r="136">
      <c r="A136" s="538"/>
      <c r="B136" s="156"/>
      <c r="C136" s="444"/>
      <c r="D136" s="614"/>
      <c r="E136" s="68"/>
      <c r="F136" s="644"/>
      <c r="G136" s="644"/>
      <c r="H136" s="627"/>
      <c r="I136" s="622" t="s">
        <v>365</v>
      </c>
      <c r="J136" s="607"/>
      <c r="K136" s="641"/>
      <c r="L136" s="628"/>
      <c r="M136" s="626"/>
      <c r="N136" s="619"/>
      <c r="O136" s="560"/>
      <c r="P136" s="47"/>
      <c r="Q136" s="47"/>
      <c r="S136" s="572"/>
      <c r="U136" s="573"/>
      <c r="V136" s="574"/>
      <c r="W136" s="618"/>
      <c r="X136" s="576">
        <v>0.0</v>
      </c>
      <c r="Y136" s="630">
        <v>0.0</v>
      </c>
      <c r="Z136" s="630" t="s">
        <v>365</v>
      </c>
      <c r="AA136" s="631" t="b">
        <v>0</v>
      </c>
      <c r="AB136" s="631"/>
      <c r="AC136" s="576"/>
      <c r="AD136" s="479">
        <v>0.0</v>
      </c>
      <c r="AE136" s="632"/>
      <c r="AF136" s="582" t="s">
        <v>365</v>
      </c>
      <c r="AG136" s="583"/>
      <c r="AH136" s="584"/>
      <c r="AI136" s="583"/>
      <c r="AJ136" s="585"/>
      <c r="AK136" s="583"/>
      <c r="AL136" s="584"/>
      <c r="AM136" s="583"/>
      <c r="AN136" s="585"/>
      <c r="AO136" s="583"/>
      <c r="AP136" s="584"/>
      <c r="AQ136" s="583"/>
      <c r="AR136" s="585"/>
      <c r="AS136" s="583"/>
      <c r="AT136" s="584"/>
      <c r="AU136" s="583"/>
      <c r="AV136" s="585"/>
      <c r="AW136" s="583"/>
      <c r="AX136" s="584"/>
      <c r="AY136" s="583"/>
      <c r="AZ136" s="585"/>
      <c r="BA136" s="583"/>
      <c r="BB136" s="584"/>
      <c r="BC136" s="583"/>
      <c r="BD136" s="585"/>
      <c r="BE136" s="583"/>
      <c r="BF136" s="584"/>
      <c r="BG136" s="583"/>
      <c r="BH136" s="585"/>
      <c r="BI136" s="583"/>
      <c r="BJ136" s="584"/>
      <c r="BK136" s="583"/>
      <c r="BL136" s="585"/>
      <c r="BM136" s="583"/>
      <c r="BN136" s="584"/>
      <c r="BO136" s="583"/>
      <c r="BP136" s="585"/>
      <c r="BQ136" s="583"/>
      <c r="BR136" s="584"/>
      <c r="BS136" s="583"/>
      <c r="BT136" s="586"/>
      <c r="BU136" s="540"/>
      <c r="BV136" s="540"/>
      <c r="BW136" s="540"/>
      <c r="BX136" s="538"/>
      <c r="BY136" s="538"/>
      <c r="BZ136" s="592"/>
      <c r="CA136" s="633"/>
      <c r="CB136" s="592" t="s">
        <v>365</v>
      </c>
      <c r="CC136" s="592">
        <v>0.0</v>
      </c>
      <c r="CD136" s="592" t="s">
        <v>365</v>
      </c>
      <c r="CE136" s="592">
        <v>0.0</v>
      </c>
      <c r="CF136" s="592"/>
      <c r="CG136" s="592">
        <v>0.0</v>
      </c>
      <c r="CH136" s="592"/>
      <c r="CI136" s="633"/>
      <c r="CJ136" s="592">
        <v>0.0</v>
      </c>
      <c r="CK136" s="479" t="s">
        <v>365</v>
      </c>
      <c r="CL136" s="592"/>
      <c r="CM136" s="593"/>
      <c r="CN136" s="538"/>
      <c r="CO136" s="538"/>
      <c r="CP136" s="538"/>
      <c r="CQ136" s="538"/>
      <c r="CR136" s="538"/>
      <c r="CS136" s="538"/>
      <c r="CT136" s="538"/>
      <c r="CU136" s="538"/>
      <c r="CV136" s="538"/>
      <c r="CW136" s="538"/>
      <c r="CX136" s="538"/>
      <c r="CY136" s="538"/>
      <c r="CZ136" s="538"/>
      <c r="DA136" s="538"/>
      <c r="DB136" s="538"/>
      <c r="DC136" s="538"/>
      <c r="DD136" s="538"/>
      <c r="DE136" s="538"/>
      <c r="DF136" s="538"/>
      <c r="DG136" s="538"/>
      <c r="DH136" s="538"/>
      <c r="DI136" s="538"/>
      <c r="DJ136" s="538"/>
      <c r="DK136" s="538"/>
      <c r="DL136" s="538"/>
      <c r="DM136" s="538"/>
      <c r="DN136" s="538"/>
      <c r="DO136" s="538"/>
      <c r="DP136" s="538"/>
      <c r="DQ136" s="538"/>
      <c r="DR136" s="538"/>
      <c r="DS136" s="538"/>
      <c r="DT136" s="538"/>
      <c r="DU136" s="538"/>
      <c r="DV136" s="538"/>
      <c r="DW136" s="538"/>
      <c r="DX136" s="538"/>
      <c r="DY136" s="538"/>
      <c r="DZ136" s="538"/>
      <c r="EA136" s="538"/>
      <c r="EB136" s="538"/>
      <c r="EC136" s="538"/>
      <c r="ED136" s="538"/>
      <c r="EE136" s="538"/>
      <c r="EF136" s="538"/>
      <c r="EG136" s="538"/>
      <c r="EH136" s="538"/>
      <c r="EI136" s="538"/>
      <c r="EJ136" s="538"/>
      <c r="EK136" s="538"/>
      <c r="EL136" s="538"/>
      <c r="EM136" s="538"/>
      <c r="EN136" s="538"/>
      <c r="EO136" s="538"/>
      <c r="EP136" s="538"/>
      <c r="EQ136" s="538"/>
      <c r="ER136" s="538"/>
      <c r="ES136" s="538"/>
      <c r="ET136" s="538"/>
      <c r="EU136" s="538"/>
      <c r="EV136" s="538"/>
      <c r="EW136" s="538"/>
      <c r="EX136" s="559"/>
      <c r="EY136" s="559"/>
      <c r="EZ136" s="559"/>
      <c r="FA136" s="559"/>
      <c r="FB136" s="559"/>
      <c r="FC136" s="559"/>
      <c r="FD136" s="559"/>
      <c r="FE136" s="559"/>
      <c r="FF136" s="559"/>
      <c r="FG136" s="559"/>
      <c r="FH136" s="559"/>
      <c r="FI136" s="559"/>
      <c r="FJ136" s="559"/>
      <c r="FK136" s="559"/>
      <c r="FL136" s="559"/>
      <c r="FM136" s="559"/>
      <c r="FN136" s="559"/>
      <c r="FO136" s="559"/>
      <c r="FP136" s="559"/>
      <c r="FQ136" s="559"/>
      <c r="FR136" s="559"/>
      <c r="FS136" s="559"/>
      <c r="FT136" s="559"/>
      <c r="FU136" s="559"/>
      <c r="FV136" s="559"/>
      <c r="FW136" s="559"/>
      <c r="FX136" s="559"/>
      <c r="FY136" s="559"/>
      <c r="FZ136" s="559"/>
      <c r="GA136" s="559"/>
      <c r="GB136" s="559"/>
      <c r="GC136" s="559"/>
      <c r="GD136" s="559"/>
      <c r="GE136" s="559"/>
      <c r="GF136" s="559"/>
      <c r="GG136" s="559"/>
      <c r="GH136" s="559"/>
    </row>
    <row r="137">
      <c r="A137" s="538"/>
      <c r="B137" s="156"/>
      <c r="C137" s="444"/>
      <c r="D137" s="614"/>
      <c r="E137" s="66"/>
      <c r="F137" s="642"/>
      <c r="G137" s="642"/>
      <c r="H137" s="615"/>
      <c r="I137" s="616" t="s">
        <v>365</v>
      </c>
      <c r="J137" s="624"/>
      <c r="K137" s="643"/>
      <c r="L137" s="640"/>
      <c r="M137" s="625"/>
      <c r="N137" s="617"/>
      <c r="O137" s="134"/>
      <c r="P137" s="57"/>
      <c r="Q137" s="57"/>
      <c r="S137" s="605"/>
      <c r="U137" s="573"/>
      <c r="V137" s="574"/>
      <c r="W137" s="618"/>
      <c r="X137" s="576">
        <v>0.0</v>
      </c>
      <c r="Y137" s="630">
        <v>0.0</v>
      </c>
      <c r="Z137" s="630" t="s">
        <v>365</v>
      </c>
      <c r="AA137" s="631" t="b">
        <v>0</v>
      </c>
      <c r="AB137" s="631"/>
      <c r="AC137" s="576"/>
      <c r="AD137" s="479">
        <v>0.0</v>
      </c>
      <c r="AE137" s="632"/>
      <c r="AF137" s="582" t="s">
        <v>365</v>
      </c>
      <c r="AG137" s="583"/>
      <c r="AH137" s="584"/>
      <c r="AI137" s="583"/>
      <c r="AJ137" s="585"/>
      <c r="AK137" s="583"/>
      <c r="AL137" s="584"/>
      <c r="AM137" s="583"/>
      <c r="AN137" s="585"/>
      <c r="AO137" s="583"/>
      <c r="AP137" s="584"/>
      <c r="AQ137" s="583"/>
      <c r="AR137" s="585"/>
      <c r="AS137" s="583"/>
      <c r="AT137" s="584"/>
      <c r="AU137" s="583"/>
      <c r="AV137" s="585"/>
      <c r="AW137" s="583"/>
      <c r="AX137" s="584"/>
      <c r="AY137" s="583"/>
      <c r="AZ137" s="585"/>
      <c r="BA137" s="583"/>
      <c r="BB137" s="584"/>
      <c r="BC137" s="583"/>
      <c r="BD137" s="585"/>
      <c r="BE137" s="583"/>
      <c r="BF137" s="584"/>
      <c r="BG137" s="583"/>
      <c r="BH137" s="585"/>
      <c r="BI137" s="583"/>
      <c r="BJ137" s="584"/>
      <c r="BK137" s="583"/>
      <c r="BL137" s="585"/>
      <c r="BM137" s="583"/>
      <c r="BN137" s="584"/>
      <c r="BO137" s="583"/>
      <c r="BP137" s="585"/>
      <c r="BQ137" s="583"/>
      <c r="BR137" s="584"/>
      <c r="BS137" s="583"/>
      <c r="BT137" s="586"/>
      <c r="BU137" s="540"/>
      <c r="BV137" s="540"/>
      <c r="BW137" s="540"/>
      <c r="BX137" s="538"/>
      <c r="BY137" s="538"/>
      <c r="BZ137" s="592"/>
      <c r="CA137" s="633"/>
      <c r="CB137" s="592" t="s">
        <v>365</v>
      </c>
      <c r="CC137" s="592">
        <v>0.0</v>
      </c>
      <c r="CD137" s="592" t="s">
        <v>365</v>
      </c>
      <c r="CE137" s="592">
        <v>0.0</v>
      </c>
      <c r="CF137" s="592"/>
      <c r="CG137" s="592">
        <v>0.0</v>
      </c>
      <c r="CH137" s="592"/>
      <c r="CI137" s="633"/>
      <c r="CJ137" s="592">
        <v>0.0</v>
      </c>
      <c r="CK137" s="479" t="s">
        <v>365</v>
      </c>
      <c r="CL137" s="592"/>
      <c r="CM137" s="593"/>
      <c r="CN137" s="538"/>
      <c r="CO137" s="538"/>
      <c r="CP137" s="538"/>
      <c r="CQ137" s="538"/>
      <c r="CR137" s="538"/>
      <c r="CS137" s="538"/>
      <c r="CT137" s="538"/>
      <c r="CU137" s="538"/>
      <c r="CV137" s="538"/>
      <c r="CW137" s="538"/>
      <c r="CX137" s="538"/>
      <c r="CY137" s="538"/>
      <c r="CZ137" s="538"/>
      <c r="DA137" s="538"/>
      <c r="DB137" s="538"/>
      <c r="DC137" s="538"/>
      <c r="DD137" s="538"/>
      <c r="DE137" s="538"/>
      <c r="DF137" s="538"/>
      <c r="DG137" s="538"/>
      <c r="DH137" s="538"/>
      <c r="DI137" s="538"/>
      <c r="DJ137" s="538"/>
      <c r="DK137" s="538"/>
      <c r="DL137" s="538"/>
      <c r="DM137" s="538"/>
      <c r="DN137" s="538"/>
      <c r="DO137" s="538"/>
      <c r="DP137" s="538"/>
      <c r="DQ137" s="538"/>
      <c r="DR137" s="538"/>
      <c r="DS137" s="538"/>
      <c r="DT137" s="538"/>
      <c r="DU137" s="538"/>
      <c r="DV137" s="538"/>
      <c r="DW137" s="538"/>
      <c r="DX137" s="538"/>
      <c r="DY137" s="538"/>
      <c r="DZ137" s="538"/>
      <c r="EA137" s="538"/>
      <c r="EB137" s="538"/>
      <c r="EC137" s="538"/>
      <c r="ED137" s="538"/>
      <c r="EE137" s="538"/>
      <c r="EF137" s="538"/>
      <c r="EG137" s="538"/>
      <c r="EH137" s="538"/>
      <c r="EI137" s="538"/>
      <c r="EJ137" s="538"/>
      <c r="EK137" s="538"/>
      <c r="EL137" s="538"/>
      <c r="EM137" s="538"/>
      <c r="EN137" s="538"/>
      <c r="EO137" s="538"/>
      <c r="EP137" s="538"/>
      <c r="EQ137" s="538"/>
      <c r="ER137" s="538"/>
      <c r="ES137" s="538"/>
      <c r="ET137" s="538"/>
      <c r="EU137" s="538"/>
      <c r="EV137" s="538"/>
      <c r="EW137" s="538"/>
      <c r="EX137" s="559"/>
      <c r="EY137" s="559"/>
      <c r="EZ137" s="559"/>
      <c r="FA137" s="559"/>
      <c r="FB137" s="559"/>
      <c r="FC137" s="559"/>
      <c r="FD137" s="559"/>
      <c r="FE137" s="559"/>
      <c r="FF137" s="559"/>
      <c r="FG137" s="559"/>
      <c r="FH137" s="559"/>
      <c r="FI137" s="559"/>
      <c r="FJ137" s="559"/>
      <c r="FK137" s="559"/>
      <c r="FL137" s="559"/>
      <c r="FM137" s="559"/>
      <c r="FN137" s="559"/>
      <c r="FO137" s="559"/>
      <c r="FP137" s="559"/>
      <c r="FQ137" s="559"/>
      <c r="FR137" s="559"/>
      <c r="FS137" s="559"/>
      <c r="FT137" s="559"/>
      <c r="FU137" s="559"/>
      <c r="FV137" s="559"/>
      <c r="FW137" s="559"/>
      <c r="FX137" s="559"/>
      <c r="FY137" s="559"/>
      <c r="FZ137" s="559"/>
      <c r="GA137" s="559"/>
      <c r="GB137" s="559"/>
      <c r="GC137" s="559"/>
      <c r="GD137" s="559"/>
      <c r="GE137" s="559"/>
      <c r="GF137" s="559"/>
      <c r="GG137" s="559"/>
      <c r="GH137" s="559"/>
    </row>
    <row r="138">
      <c r="A138" s="538"/>
      <c r="B138" s="156"/>
      <c r="C138" s="444"/>
      <c r="D138" s="614"/>
      <c r="E138" s="68"/>
      <c r="F138" s="644"/>
      <c r="G138" s="644"/>
      <c r="H138" s="627"/>
      <c r="I138" s="622" t="s">
        <v>365</v>
      </c>
      <c r="J138" s="607"/>
      <c r="K138" s="641"/>
      <c r="L138" s="628"/>
      <c r="M138" s="626"/>
      <c r="N138" s="619"/>
      <c r="O138" s="560"/>
      <c r="P138" s="47"/>
      <c r="Q138" s="47"/>
      <c r="S138" s="572"/>
      <c r="U138" s="573"/>
      <c r="V138" s="574"/>
      <c r="W138" s="618"/>
      <c r="X138" s="576">
        <v>0.0</v>
      </c>
      <c r="Y138" s="630">
        <v>0.0</v>
      </c>
      <c r="Z138" s="630" t="s">
        <v>365</v>
      </c>
      <c r="AA138" s="631" t="b">
        <v>0</v>
      </c>
      <c r="AB138" s="631"/>
      <c r="AC138" s="576"/>
      <c r="AD138" s="479">
        <v>0.0</v>
      </c>
      <c r="AE138" s="632"/>
      <c r="AF138" s="582" t="s">
        <v>365</v>
      </c>
      <c r="AG138" s="583"/>
      <c r="AH138" s="584"/>
      <c r="AI138" s="583"/>
      <c r="AJ138" s="585"/>
      <c r="AK138" s="583"/>
      <c r="AL138" s="584"/>
      <c r="AM138" s="583"/>
      <c r="AN138" s="585"/>
      <c r="AO138" s="583"/>
      <c r="AP138" s="584"/>
      <c r="AQ138" s="583"/>
      <c r="AR138" s="585"/>
      <c r="AS138" s="583"/>
      <c r="AT138" s="584"/>
      <c r="AU138" s="583"/>
      <c r="AV138" s="585"/>
      <c r="AW138" s="583"/>
      <c r="AX138" s="584"/>
      <c r="AY138" s="583"/>
      <c r="AZ138" s="585"/>
      <c r="BA138" s="583"/>
      <c r="BB138" s="584"/>
      <c r="BC138" s="583"/>
      <c r="BD138" s="585"/>
      <c r="BE138" s="583"/>
      <c r="BF138" s="584"/>
      <c r="BG138" s="583"/>
      <c r="BH138" s="585"/>
      <c r="BI138" s="583"/>
      <c r="BJ138" s="584"/>
      <c r="BK138" s="583"/>
      <c r="BL138" s="585"/>
      <c r="BM138" s="583"/>
      <c r="BN138" s="584"/>
      <c r="BO138" s="583"/>
      <c r="BP138" s="585"/>
      <c r="BQ138" s="583"/>
      <c r="BR138" s="584"/>
      <c r="BS138" s="583"/>
      <c r="BT138" s="586"/>
      <c r="BU138" s="540"/>
      <c r="BV138" s="540"/>
      <c r="BW138" s="540"/>
      <c r="BX138" s="538"/>
      <c r="BY138" s="538"/>
      <c r="BZ138" s="592"/>
      <c r="CA138" s="633"/>
      <c r="CB138" s="592" t="s">
        <v>365</v>
      </c>
      <c r="CC138" s="592">
        <v>0.0</v>
      </c>
      <c r="CD138" s="592" t="s">
        <v>365</v>
      </c>
      <c r="CE138" s="592">
        <v>0.0</v>
      </c>
      <c r="CF138" s="592"/>
      <c r="CG138" s="592">
        <v>0.0</v>
      </c>
      <c r="CH138" s="592"/>
      <c r="CI138" s="633"/>
      <c r="CJ138" s="592">
        <v>0.0</v>
      </c>
      <c r="CK138" s="479" t="s">
        <v>365</v>
      </c>
      <c r="CL138" s="592"/>
      <c r="CM138" s="593"/>
      <c r="CN138" s="538"/>
      <c r="CO138" s="538"/>
      <c r="CP138" s="538"/>
      <c r="CQ138" s="538"/>
      <c r="CR138" s="538"/>
      <c r="CS138" s="538"/>
      <c r="CT138" s="538"/>
      <c r="CU138" s="538"/>
      <c r="CV138" s="538"/>
      <c r="CW138" s="538"/>
      <c r="CX138" s="538"/>
      <c r="CY138" s="538"/>
      <c r="CZ138" s="538"/>
      <c r="DA138" s="538"/>
      <c r="DB138" s="538"/>
      <c r="DC138" s="538"/>
      <c r="DD138" s="538"/>
      <c r="DE138" s="538"/>
      <c r="DF138" s="538"/>
      <c r="DG138" s="538"/>
      <c r="DH138" s="538"/>
      <c r="DI138" s="538"/>
      <c r="DJ138" s="538"/>
      <c r="DK138" s="538"/>
      <c r="DL138" s="538"/>
      <c r="DM138" s="538"/>
      <c r="DN138" s="538"/>
      <c r="DO138" s="538"/>
      <c r="DP138" s="538"/>
      <c r="DQ138" s="538"/>
      <c r="DR138" s="538"/>
      <c r="DS138" s="538"/>
      <c r="DT138" s="538"/>
      <c r="DU138" s="538"/>
      <c r="DV138" s="538"/>
      <c r="DW138" s="538"/>
      <c r="DX138" s="538"/>
      <c r="DY138" s="538"/>
      <c r="DZ138" s="538"/>
      <c r="EA138" s="538"/>
      <c r="EB138" s="538"/>
      <c r="EC138" s="538"/>
      <c r="ED138" s="538"/>
      <c r="EE138" s="538"/>
      <c r="EF138" s="538"/>
      <c r="EG138" s="538"/>
      <c r="EH138" s="538"/>
      <c r="EI138" s="538"/>
      <c r="EJ138" s="538"/>
      <c r="EK138" s="538"/>
      <c r="EL138" s="538"/>
      <c r="EM138" s="538"/>
      <c r="EN138" s="538"/>
      <c r="EO138" s="538"/>
      <c r="EP138" s="538"/>
      <c r="EQ138" s="538"/>
      <c r="ER138" s="538"/>
      <c r="ES138" s="538"/>
      <c r="ET138" s="538"/>
      <c r="EU138" s="538"/>
      <c r="EV138" s="538"/>
      <c r="EW138" s="538"/>
      <c r="EX138" s="559"/>
      <c r="EY138" s="559"/>
      <c r="EZ138" s="559"/>
      <c r="FA138" s="559"/>
      <c r="FB138" s="559"/>
      <c r="FC138" s="559"/>
      <c r="FD138" s="559"/>
      <c r="FE138" s="559"/>
      <c r="FF138" s="559"/>
      <c r="FG138" s="559"/>
      <c r="FH138" s="559"/>
      <c r="FI138" s="559"/>
      <c r="FJ138" s="559"/>
      <c r="FK138" s="559"/>
      <c r="FL138" s="559"/>
      <c r="FM138" s="559"/>
      <c r="FN138" s="559"/>
      <c r="FO138" s="559"/>
      <c r="FP138" s="559"/>
      <c r="FQ138" s="559"/>
      <c r="FR138" s="559"/>
      <c r="FS138" s="559"/>
      <c r="FT138" s="559"/>
      <c r="FU138" s="559"/>
      <c r="FV138" s="559"/>
      <c r="FW138" s="559"/>
      <c r="FX138" s="559"/>
      <c r="FY138" s="559"/>
      <c r="FZ138" s="559"/>
      <c r="GA138" s="559"/>
      <c r="GB138" s="559"/>
      <c r="GC138" s="559"/>
      <c r="GD138" s="559"/>
      <c r="GE138" s="559"/>
      <c r="GF138" s="559"/>
      <c r="GG138" s="559"/>
      <c r="GH138" s="559"/>
    </row>
    <row r="139">
      <c r="A139" s="538"/>
      <c r="B139" s="156"/>
      <c r="C139" s="444"/>
      <c r="D139" s="614"/>
      <c r="E139" s="66"/>
      <c r="F139" s="642"/>
      <c r="G139" s="642"/>
      <c r="H139" s="615"/>
      <c r="I139" s="616" t="s">
        <v>365</v>
      </c>
      <c r="J139" s="624"/>
      <c r="K139" s="643"/>
      <c r="L139" s="640"/>
      <c r="M139" s="625"/>
      <c r="N139" s="617"/>
      <c r="O139" s="134"/>
      <c r="P139" s="57"/>
      <c r="Q139" s="57"/>
      <c r="S139" s="605"/>
      <c r="U139" s="573"/>
      <c r="V139" s="574"/>
      <c r="W139" s="618"/>
      <c r="X139" s="576">
        <v>0.0</v>
      </c>
      <c r="Y139" s="630">
        <v>0.0</v>
      </c>
      <c r="Z139" s="630" t="s">
        <v>365</v>
      </c>
      <c r="AA139" s="631" t="b">
        <v>0</v>
      </c>
      <c r="AB139" s="631"/>
      <c r="AC139" s="576"/>
      <c r="AD139" s="479">
        <v>0.0</v>
      </c>
      <c r="AE139" s="632"/>
      <c r="AF139" s="582" t="s">
        <v>365</v>
      </c>
      <c r="AG139" s="583"/>
      <c r="AH139" s="584"/>
      <c r="AI139" s="583"/>
      <c r="AJ139" s="585"/>
      <c r="AK139" s="583"/>
      <c r="AL139" s="584"/>
      <c r="AM139" s="583"/>
      <c r="AN139" s="585"/>
      <c r="AO139" s="583"/>
      <c r="AP139" s="584"/>
      <c r="AQ139" s="583"/>
      <c r="AR139" s="585"/>
      <c r="AS139" s="583"/>
      <c r="AT139" s="584"/>
      <c r="AU139" s="583"/>
      <c r="AV139" s="585"/>
      <c r="AW139" s="583"/>
      <c r="AX139" s="584"/>
      <c r="AY139" s="583"/>
      <c r="AZ139" s="585"/>
      <c r="BA139" s="583"/>
      <c r="BB139" s="584"/>
      <c r="BC139" s="583"/>
      <c r="BD139" s="585"/>
      <c r="BE139" s="583"/>
      <c r="BF139" s="584"/>
      <c r="BG139" s="583"/>
      <c r="BH139" s="585"/>
      <c r="BI139" s="583"/>
      <c r="BJ139" s="584"/>
      <c r="BK139" s="583"/>
      <c r="BL139" s="585"/>
      <c r="BM139" s="583"/>
      <c r="BN139" s="584"/>
      <c r="BO139" s="583"/>
      <c r="BP139" s="585"/>
      <c r="BQ139" s="583"/>
      <c r="BR139" s="584"/>
      <c r="BS139" s="583"/>
      <c r="BT139" s="586"/>
      <c r="BU139" s="540"/>
      <c r="BV139" s="540"/>
      <c r="BW139" s="540"/>
      <c r="BX139" s="538"/>
      <c r="BY139" s="538"/>
      <c r="BZ139" s="592"/>
      <c r="CA139" s="633"/>
      <c r="CB139" s="592" t="s">
        <v>365</v>
      </c>
      <c r="CC139" s="592">
        <v>0.0</v>
      </c>
      <c r="CD139" s="592" t="s">
        <v>365</v>
      </c>
      <c r="CE139" s="592">
        <v>0.0</v>
      </c>
      <c r="CF139" s="592"/>
      <c r="CG139" s="592">
        <v>0.0</v>
      </c>
      <c r="CH139" s="592"/>
      <c r="CI139" s="633"/>
      <c r="CJ139" s="592">
        <v>0.0</v>
      </c>
      <c r="CK139" s="479" t="s">
        <v>365</v>
      </c>
      <c r="CL139" s="592"/>
      <c r="CM139" s="593"/>
      <c r="CN139" s="538"/>
      <c r="CO139" s="538"/>
      <c r="CP139" s="538"/>
      <c r="CQ139" s="538"/>
      <c r="CR139" s="538"/>
      <c r="CS139" s="538"/>
      <c r="CT139" s="538"/>
      <c r="CU139" s="538"/>
      <c r="CV139" s="538"/>
      <c r="CW139" s="538"/>
      <c r="CX139" s="538"/>
      <c r="CY139" s="538"/>
      <c r="CZ139" s="538"/>
      <c r="DA139" s="538"/>
      <c r="DB139" s="538"/>
      <c r="DC139" s="538"/>
      <c r="DD139" s="538"/>
      <c r="DE139" s="538"/>
      <c r="DF139" s="538"/>
      <c r="DG139" s="538"/>
      <c r="DH139" s="538"/>
      <c r="DI139" s="538"/>
      <c r="DJ139" s="538"/>
      <c r="DK139" s="538"/>
      <c r="DL139" s="538"/>
      <c r="DM139" s="538"/>
      <c r="DN139" s="538"/>
      <c r="DO139" s="538"/>
      <c r="DP139" s="538"/>
      <c r="DQ139" s="538"/>
      <c r="DR139" s="538"/>
      <c r="DS139" s="538"/>
      <c r="DT139" s="538"/>
      <c r="DU139" s="538"/>
      <c r="DV139" s="538"/>
      <c r="DW139" s="538"/>
      <c r="DX139" s="538"/>
      <c r="DY139" s="538"/>
      <c r="DZ139" s="538"/>
      <c r="EA139" s="538"/>
      <c r="EB139" s="538"/>
      <c r="EC139" s="538"/>
      <c r="ED139" s="538"/>
      <c r="EE139" s="538"/>
      <c r="EF139" s="538"/>
      <c r="EG139" s="538"/>
      <c r="EH139" s="538"/>
      <c r="EI139" s="538"/>
      <c r="EJ139" s="538"/>
      <c r="EK139" s="538"/>
      <c r="EL139" s="538"/>
      <c r="EM139" s="538"/>
      <c r="EN139" s="538"/>
      <c r="EO139" s="538"/>
      <c r="EP139" s="538"/>
      <c r="EQ139" s="538"/>
      <c r="ER139" s="538"/>
      <c r="ES139" s="538"/>
      <c r="ET139" s="538"/>
      <c r="EU139" s="538"/>
      <c r="EV139" s="538"/>
      <c r="EW139" s="538"/>
      <c r="EX139" s="559"/>
      <c r="EY139" s="559"/>
      <c r="EZ139" s="559"/>
      <c r="FA139" s="559"/>
      <c r="FB139" s="559"/>
      <c r="FC139" s="559"/>
      <c r="FD139" s="559"/>
      <c r="FE139" s="559"/>
      <c r="FF139" s="559"/>
      <c r="FG139" s="559"/>
      <c r="FH139" s="559"/>
      <c r="FI139" s="559"/>
      <c r="FJ139" s="559"/>
      <c r="FK139" s="559"/>
      <c r="FL139" s="559"/>
      <c r="FM139" s="559"/>
      <c r="FN139" s="559"/>
      <c r="FO139" s="559"/>
      <c r="FP139" s="559"/>
      <c r="FQ139" s="559"/>
      <c r="FR139" s="559"/>
      <c r="FS139" s="559"/>
      <c r="FT139" s="559"/>
      <c r="FU139" s="559"/>
      <c r="FV139" s="559"/>
      <c r="FW139" s="559"/>
      <c r="FX139" s="559"/>
      <c r="FY139" s="559"/>
      <c r="FZ139" s="559"/>
      <c r="GA139" s="559"/>
      <c r="GB139" s="559"/>
      <c r="GC139" s="559"/>
      <c r="GD139" s="559"/>
      <c r="GE139" s="559"/>
      <c r="GF139" s="559"/>
      <c r="GG139" s="559"/>
      <c r="GH139" s="559"/>
    </row>
    <row r="140">
      <c r="A140" s="538"/>
      <c r="B140" s="156"/>
      <c r="C140" s="444"/>
      <c r="D140" s="614"/>
      <c r="E140" s="68"/>
      <c r="F140" s="644"/>
      <c r="G140" s="644"/>
      <c r="H140" s="627"/>
      <c r="I140" s="622" t="s">
        <v>365</v>
      </c>
      <c r="J140" s="607"/>
      <c r="K140" s="641"/>
      <c r="L140" s="628"/>
      <c r="M140" s="626"/>
      <c r="N140" s="619"/>
      <c r="O140" s="560"/>
      <c r="P140" s="47"/>
      <c r="Q140" s="47"/>
      <c r="S140" s="572"/>
      <c r="U140" s="573"/>
      <c r="V140" s="574"/>
      <c r="W140" s="618"/>
      <c r="X140" s="576">
        <v>0.0</v>
      </c>
      <c r="Y140" s="630">
        <v>0.0</v>
      </c>
      <c r="Z140" s="630" t="s">
        <v>365</v>
      </c>
      <c r="AA140" s="631" t="b">
        <v>0</v>
      </c>
      <c r="AB140" s="631"/>
      <c r="AC140" s="576"/>
      <c r="AD140" s="479">
        <v>0.0</v>
      </c>
      <c r="AE140" s="632"/>
      <c r="AF140" s="582" t="s">
        <v>365</v>
      </c>
      <c r="AG140" s="583"/>
      <c r="AH140" s="584"/>
      <c r="AI140" s="583"/>
      <c r="AJ140" s="585"/>
      <c r="AK140" s="583"/>
      <c r="AL140" s="584"/>
      <c r="AM140" s="583"/>
      <c r="AN140" s="585"/>
      <c r="AO140" s="583"/>
      <c r="AP140" s="584"/>
      <c r="AQ140" s="583"/>
      <c r="AR140" s="585"/>
      <c r="AS140" s="583"/>
      <c r="AT140" s="584"/>
      <c r="AU140" s="583"/>
      <c r="AV140" s="585"/>
      <c r="AW140" s="583"/>
      <c r="AX140" s="584"/>
      <c r="AY140" s="583"/>
      <c r="AZ140" s="585"/>
      <c r="BA140" s="583"/>
      <c r="BB140" s="584"/>
      <c r="BC140" s="583"/>
      <c r="BD140" s="585"/>
      <c r="BE140" s="583"/>
      <c r="BF140" s="584"/>
      <c r="BG140" s="583"/>
      <c r="BH140" s="585"/>
      <c r="BI140" s="583"/>
      <c r="BJ140" s="584"/>
      <c r="BK140" s="583"/>
      <c r="BL140" s="585"/>
      <c r="BM140" s="583"/>
      <c r="BN140" s="584"/>
      <c r="BO140" s="583"/>
      <c r="BP140" s="585"/>
      <c r="BQ140" s="583"/>
      <c r="BR140" s="584"/>
      <c r="BS140" s="583"/>
      <c r="BT140" s="586"/>
      <c r="BU140" s="540"/>
      <c r="BV140" s="540"/>
      <c r="BW140" s="540"/>
      <c r="BX140" s="538"/>
      <c r="BY140" s="538"/>
      <c r="BZ140" s="592"/>
      <c r="CA140" s="633"/>
      <c r="CB140" s="592" t="s">
        <v>365</v>
      </c>
      <c r="CC140" s="592">
        <v>0.0</v>
      </c>
      <c r="CD140" s="592" t="s">
        <v>365</v>
      </c>
      <c r="CE140" s="592">
        <v>0.0</v>
      </c>
      <c r="CF140" s="592"/>
      <c r="CG140" s="592">
        <v>0.0</v>
      </c>
      <c r="CH140" s="592"/>
      <c r="CI140" s="633"/>
      <c r="CJ140" s="592">
        <v>0.0</v>
      </c>
      <c r="CK140" s="479" t="s">
        <v>365</v>
      </c>
      <c r="CL140" s="592"/>
      <c r="CM140" s="593"/>
      <c r="CN140" s="538"/>
      <c r="CO140" s="538"/>
      <c r="CP140" s="538"/>
      <c r="CQ140" s="538"/>
      <c r="CR140" s="538"/>
      <c r="CS140" s="538"/>
      <c r="CT140" s="538"/>
      <c r="CU140" s="538"/>
      <c r="CV140" s="538"/>
      <c r="CW140" s="538"/>
      <c r="CX140" s="538"/>
      <c r="CY140" s="538"/>
      <c r="CZ140" s="538"/>
      <c r="DA140" s="538"/>
      <c r="DB140" s="538"/>
      <c r="DC140" s="538"/>
      <c r="DD140" s="538"/>
      <c r="DE140" s="538"/>
      <c r="DF140" s="538"/>
      <c r="DG140" s="538"/>
      <c r="DH140" s="538"/>
      <c r="DI140" s="538"/>
      <c r="DJ140" s="538"/>
      <c r="DK140" s="538"/>
      <c r="DL140" s="538"/>
      <c r="DM140" s="538"/>
      <c r="DN140" s="538"/>
      <c r="DO140" s="538"/>
      <c r="DP140" s="538"/>
      <c r="DQ140" s="538"/>
      <c r="DR140" s="538"/>
      <c r="DS140" s="538"/>
      <c r="DT140" s="538"/>
      <c r="DU140" s="538"/>
      <c r="DV140" s="538"/>
      <c r="DW140" s="538"/>
      <c r="DX140" s="538"/>
      <c r="DY140" s="538"/>
      <c r="DZ140" s="538"/>
      <c r="EA140" s="538"/>
      <c r="EB140" s="538"/>
      <c r="EC140" s="538"/>
      <c r="ED140" s="538"/>
      <c r="EE140" s="538"/>
      <c r="EF140" s="538"/>
      <c r="EG140" s="538"/>
      <c r="EH140" s="538"/>
      <c r="EI140" s="538"/>
      <c r="EJ140" s="538"/>
      <c r="EK140" s="538"/>
      <c r="EL140" s="538"/>
      <c r="EM140" s="538"/>
      <c r="EN140" s="538"/>
      <c r="EO140" s="538"/>
      <c r="EP140" s="538"/>
      <c r="EQ140" s="538"/>
      <c r="ER140" s="538"/>
      <c r="ES140" s="538"/>
      <c r="ET140" s="538"/>
      <c r="EU140" s="538"/>
      <c r="EV140" s="538"/>
      <c r="EW140" s="538"/>
      <c r="EX140" s="559"/>
      <c r="EY140" s="559"/>
      <c r="EZ140" s="559"/>
      <c r="FA140" s="559"/>
      <c r="FB140" s="559"/>
      <c r="FC140" s="559"/>
      <c r="FD140" s="559"/>
      <c r="FE140" s="559"/>
      <c r="FF140" s="559"/>
      <c r="FG140" s="559"/>
      <c r="FH140" s="559"/>
      <c r="FI140" s="559"/>
      <c r="FJ140" s="559"/>
      <c r="FK140" s="559"/>
      <c r="FL140" s="559"/>
      <c r="FM140" s="559"/>
      <c r="FN140" s="559"/>
      <c r="FO140" s="559"/>
      <c r="FP140" s="559"/>
      <c r="FQ140" s="559"/>
      <c r="FR140" s="559"/>
      <c r="FS140" s="559"/>
      <c r="FT140" s="559"/>
      <c r="FU140" s="559"/>
      <c r="FV140" s="559"/>
      <c r="FW140" s="559"/>
      <c r="FX140" s="559"/>
      <c r="FY140" s="559"/>
      <c r="FZ140" s="559"/>
      <c r="GA140" s="559"/>
      <c r="GB140" s="559"/>
      <c r="GC140" s="559"/>
      <c r="GD140" s="559"/>
      <c r="GE140" s="559"/>
      <c r="GF140" s="559"/>
      <c r="GG140" s="559"/>
      <c r="GH140" s="559"/>
    </row>
    <row r="141">
      <c r="A141" s="538"/>
      <c r="B141" s="156"/>
      <c r="C141" s="444"/>
      <c r="D141" s="614"/>
      <c r="E141" s="66"/>
      <c r="F141" s="642"/>
      <c r="G141" s="642"/>
      <c r="H141" s="615"/>
      <c r="I141" s="616" t="s">
        <v>365</v>
      </c>
      <c r="J141" s="624"/>
      <c r="K141" s="643"/>
      <c r="L141" s="640"/>
      <c r="M141" s="625"/>
      <c r="N141" s="617"/>
      <c r="O141" s="134"/>
      <c r="P141" s="57"/>
      <c r="Q141" s="57"/>
      <c r="S141" s="605"/>
      <c r="U141" s="573"/>
      <c r="V141" s="574"/>
      <c r="W141" s="618"/>
      <c r="X141" s="576">
        <v>0.0</v>
      </c>
      <c r="Y141" s="630">
        <v>0.0</v>
      </c>
      <c r="Z141" s="630" t="s">
        <v>365</v>
      </c>
      <c r="AA141" s="631" t="b">
        <v>0</v>
      </c>
      <c r="AB141" s="631"/>
      <c r="AC141" s="576"/>
      <c r="AD141" s="479">
        <v>0.0</v>
      </c>
      <c r="AE141" s="632"/>
      <c r="AF141" s="582" t="s">
        <v>365</v>
      </c>
      <c r="AG141" s="583"/>
      <c r="AH141" s="584"/>
      <c r="AI141" s="583"/>
      <c r="AJ141" s="585"/>
      <c r="AK141" s="583"/>
      <c r="AL141" s="584"/>
      <c r="AM141" s="583"/>
      <c r="AN141" s="585"/>
      <c r="AO141" s="583"/>
      <c r="AP141" s="584"/>
      <c r="AQ141" s="583"/>
      <c r="AR141" s="585"/>
      <c r="AS141" s="583"/>
      <c r="AT141" s="584"/>
      <c r="AU141" s="583"/>
      <c r="AV141" s="585"/>
      <c r="AW141" s="583"/>
      <c r="AX141" s="584"/>
      <c r="AY141" s="583"/>
      <c r="AZ141" s="585"/>
      <c r="BA141" s="583"/>
      <c r="BB141" s="584"/>
      <c r="BC141" s="583"/>
      <c r="BD141" s="585"/>
      <c r="BE141" s="583"/>
      <c r="BF141" s="584"/>
      <c r="BG141" s="583"/>
      <c r="BH141" s="585"/>
      <c r="BI141" s="583"/>
      <c r="BJ141" s="584"/>
      <c r="BK141" s="583"/>
      <c r="BL141" s="585"/>
      <c r="BM141" s="583"/>
      <c r="BN141" s="584"/>
      <c r="BO141" s="583"/>
      <c r="BP141" s="585"/>
      <c r="BQ141" s="583"/>
      <c r="BR141" s="584"/>
      <c r="BS141" s="583"/>
      <c r="BT141" s="586"/>
      <c r="BU141" s="540"/>
      <c r="BV141" s="540"/>
      <c r="BW141" s="540"/>
      <c r="BX141" s="538"/>
      <c r="BY141" s="538"/>
      <c r="BZ141" s="592"/>
      <c r="CA141" s="633"/>
      <c r="CB141" s="592" t="s">
        <v>365</v>
      </c>
      <c r="CC141" s="592">
        <v>0.0</v>
      </c>
      <c r="CD141" s="592" t="s">
        <v>365</v>
      </c>
      <c r="CE141" s="592">
        <v>0.0</v>
      </c>
      <c r="CF141" s="592"/>
      <c r="CG141" s="592">
        <v>0.0</v>
      </c>
      <c r="CH141" s="592"/>
      <c r="CI141" s="633"/>
      <c r="CJ141" s="592">
        <v>0.0</v>
      </c>
      <c r="CK141" s="479" t="s">
        <v>365</v>
      </c>
      <c r="CL141" s="592"/>
      <c r="CM141" s="593"/>
      <c r="CN141" s="538"/>
      <c r="CO141" s="538"/>
      <c r="CP141" s="538"/>
      <c r="CQ141" s="538"/>
      <c r="CR141" s="538"/>
      <c r="CS141" s="538"/>
      <c r="CT141" s="538"/>
      <c r="CU141" s="538"/>
      <c r="CV141" s="538"/>
      <c r="CW141" s="538"/>
      <c r="CX141" s="538"/>
      <c r="CY141" s="538"/>
      <c r="CZ141" s="538"/>
      <c r="DA141" s="538"/>
      <c r="DB141" s="538"/>
      <c r="DC141" s="538"/>
      <c r="DD141" s="538"/>
      <c r="DE141" s="538"/>
      <c r="DF141" s="538"/>
      <c r="DG141" s="538"/>
      <c r="DH141" s="538"/>
      <c r="DI141" s="538"/>
      <c r="DJ141" s="538"/>
      <c r="DK141" s="538"/>
      <c r="DL141" s="538"/>
      <c r="DM141" s="538"/>
      <c r="DN141" s="538"/>
      <c r="DO141" s="538"/>
      <c r="DP141" s="538"/>
      <c r="DQ141" s="538"/>
      <c r="DR141" s="538"/>
      <c r="DS141" s="538"/>
      <c r="DT141" s="538"/>
      <c r="DU141" s="538"/>
      <c r="DV141" s="538"/>
      <c r="DW141" s="538"/>
      <c r="DX141" s="538"/>
      <c r="DY141" s="538"/>
      <c r="DZ141" s="538"/>
      <c r="EA141" s="538"/>
      <c r="EB141" s="538"/>
      <c r="EC141" s="538"/>
      <c r="ED141" s="538"/>
      <c r="EE141" s="538"/>
      <c r="EF141" s="538"/>
      <c r="EG141" s="538"/>
      <c r="EH141" s="538"/>
      <c r="EI141" s="538"/>
      <c r="EJ141" s="538"/>
      <c r="EK141" s="538"/>
      <c r="EL141" s="538"/>
      <c r="EM141" s="538"/>
      <c r="EN141" s="538"/>
      <c r="EO141" s="538"/>
      <c r="EP141" s="538"/>
      <c r="EQ141" s="538"/>
      <c r="ER141" s="538"/>
      <c r="ES141" s="538"/>
      <c r="ET141" s="538"/>
      <c r="EU141" s="538"/>
      <c r="EV141" s="538"/>
      <c r="EW141" s="538"/>
      <c r="EX141" s="559"/>
      <c r="EY141" s="559"/>
      <c r="EZ141" s="559"/>
      <c r="FA141" s="559"/>
      <c r="FB141" s="559"/>
      <c r="FC141" s="559"/>
      <c r="FD141" s="559"/>
      <c r="FE141" s="559"/>
      <c r="FF141" s="559"/>
      <c r="FG141" s="559"/>
      <c r="FH141" s="559"/>
      <c r="FI141" s="559"/>
      <c r="FJ141" s="559"/>
      <c r="FK141" s="559"/>
      <c r="FL141" s="559"/>
      <c r="FM141" s="559"/>
      <c r="FN141" s="559"/>
      <c r="FO141" s="559"/>
      <c r="FP141" s="559"/>
      <c r="FQ141" s="559"/>
      <c r="FR141" s="559"/>
      <c r="FS141" s="559"/>
      <c r="FT141" s="559"/>
      <c r="FU141" s="559"/>
      <c r="FV141" s="559"/>
      <c r="FW141" s="559"/>
      <c r="FX141" s="559"/>
      <c r="FY141" s="559"/>
      <c r="FZ141" s="559"/>
      <c r="GA141" s="559"/>
      <c r="GB141" s="559"/>
      <c r="GC141" s="559"/>
      <c r="GD141" s="559"/>
      <c r="GE141" s="559"/>
      <c r="GF141" s="559"/>
      <c r="GG141" s="559"/>
      <c r="GH141" s="559"/>
    </row>
    <row r="142">
      <c r="A142" s="538"/>
      <c r="B142" s="156"/>
      <c r="C142" s="444"/>
      <c r="D142" s="614"/>
      <c r="E142" s="68"/>
      <c r="F142" s="644"/>
      <c r="G142" s="644"/>
      <c r="H142" s="627"/>
      <c r="I142" s="622" t="s">
        <v>365</v>
      </c>
      <c r="J142" s="607"/>
      <c r="K142" s="641"/>
      <c r="L142" s="628"/>
      <c r="M142" s="626"/>
      <c r="N142" s="619"/>
      <c r="O142" s="560"/>
      <c r="P142" s="47"/>
      <c r="Q142" s="47"/>
      <c r="S142" s="572"/>
      <c r="U142" s="573"/>
      <c r="V142" s="574"/>
      <c r="W142" s="618"/>
      <c r="X142" s="576">
        <v>0.0</v>
      </c>
      <c r="Y142" s="630">
        <v>0.0</v>
      </c>
      <c r="Z142" s="630" t="s">
        <v>365</v>
      </c>
      <c r="AA142" s="631" t="b">
        <v>0</v>
      </c>
      <c r="AB142" s="631"/>
      <c r="AC142" s="576"/>
      <c r="AD142" s="479">
        <v>0.0</v>
      </c>
      <c r="AE142" s="632"/>
      <c r="AF142" s="582" t="s">
        <v>365</v>
      </c>
      <c r="AG142" s="583"/>
      <c r="AH142" s="584"/>
      <c r="AI142" s="583"/>
      <c r="AJ142" s="585"/>
      <c r="AK142" s="583"/>
      <c r="AL142" s="584"/>
      <c r="AM142" s="583"/>
      <c r="AN142" s="585"/>
      <c r="AO142" s="583"/>
      <c r="AP142" s="584"/>
      <c r="AQ142" s="583"/>
      <c r="AR142" s="585"/>
      <c r="AS142" s="583"/>
      <c r="AT142" s="584"/>
      <c r="AU142" s="583"/>
      <c r="AV142" s="585"/>
      <c r="AW142" s="583"/>
      <c r="AX142" s="584"/>
      <c r="AY142" s="583"/>
      <c r="AZ142" s="585"/>
      <c r="BA142" s="583"/>
      <c r="BB142" s="584"/>
      <c r="BC142" s="583"/>
      <c r="BD142" s="585"/>
      <c r="BE142" s="583"/>
      <c r="BF142" s="584"/>
      <c r="BG142" s="583"/>
      <c r="BH142" s="585"/>
      <c r="BI142" s="583"/>
      <c r="BJ142" s="584"/>
      <c r="BK142" s="583"/>
      <c r="BL142" s="585"/>
      <c r="BM142" s="583"/>
      <c r="BN142" s="584"/>
      <c r="BO142" s="583"/>
      <c r="BP142" s="585"/>
      <c r="BQ142" s="583"/>
      <c r="BR142" s="584"/>
      <c r="BS142" s="583"/>
      <c r="BT142" s="586"/>
      <c r="BU142" s="540"/>
      <c r="BV142" s="540"/>
      <c r="BW142" s="540"/>
      <c r="BX142" s="538"/>
      <c r="BY142" s="538"/>
      <c r="BZ142" s="592"/>
      <c r="CA142" s="633"/>
      <c r="CB142" s="592" t="s">
        <v>365</v>
      </c>
      <c r="CC142" s="592">
        <v>0.0</v>
      </c>
      <c r="CD142" s="592" t="s">
        <v>365</v>
      </c>
      <c r="CE142" s="592">
        <v>0.0</v>
      </c>
      <c r="CF142" s="592"/>
      <c r="CG142" s="592">
        <v>0.0</v>
      </c>
      <c r="CH142" s="592"/>
      <c r="CI142" s="633"/>
      <c r="CJ142" s="592">
        <v>0.0</v>
      </c>
      <c r="CK142" s="479" t="s">
        <v>365</v>
      </c>
      <c r="CL142" s="592"/>
      <c r="CM142" s="593"/>
      <c r="CN142" s="538"/>
      <c r="CO142" s="538"/>
      <c r="CP142" s="538"/>
      <c r="CQ142" s="538"/>
      <c r="CR142" s="538"/>
      <c r="CS142" s="538"/>
      <c r="CT142" s="538"/>
      <c r="CU142" s="538"/>
      <c r="CV142" s="538"/>
      <c r="CW142" s="538"/>
      <c r="CX142" s="538"/>
      <c r="CY142" s="538"/>
      <c r="CZ142" s="538"/>
      <c r="DA142" s="538"/>
      <c r="DB142" s="538"/>
      <c r="DC142" s="538"/>
      <c r="DD142" s="538"/>
      <c r="DE142" s="538"/>
      <c r="DF142" s="538"/>
      <c r="DG142" s="538"/>
      <c r="DH142" s="538"/>
      <c r="DI142" s="538"/>
      <c r="DJ142" s="538"/>
      <c r="DK142" s="538"/>
      <c r="DL142" s="538"/>
      <c r="DM142" s="538"/>
      <c r="DN142" s="538"/>
      <c r="DO142" s="538"/>
      <c r="DP142" s="538"/>
      <c r="DQ142" s="538"/>
      <c r="DR142" s="538"/>
      <c r="DS142" s="538"/>
      <c r="DT142" s="538"/>
      <c r="DU142" s="538"/>
      <c r="DV142" s="538"/>
      <c r="DW142" s="538"/>
      <c r="DX142" s="538"/>
      <c r="DY142" s="538"/>
      <c r="DZ142" s="538"/>
      <c r="EA142" s="538"/>
      <c r="EB142" s="538"/>
      <c r="EC142" s="538"/>
      <c r="ED142" s="538"/>
      <c r="EE142" s="538"/>
      <c r="EF142" s="538"/>
      <c r="EG142" s="538"/>
      <c r="EH142" s="538"/>
      <c r="EI142" s="538"/>
      <c r="EJ142" s="538"/>
      <c r="EK142" s="538"/>
      <c r="EL142" s="538"/>
      <c r="EM142" s="538"/>
      <c r="EN142" s="538"/>
      <c r="EO142" s="538"/>
      <c r="EP142" s="538"/>
      <c r="EQ142" s="538"/>
      <c r="ER142" s="538"/>
      <c r="ES142" s="538"/>
      <c r="ET142" s="538"/>
      <c r="EU142" s="538"/>
      <c r="EV142" s="538"/>
      <c r="EW142" s="538"/>
      <c r="EX142" s="559"/>
      <c r="EY142" s="559"/>
      <c r="EZ142" s="559"/>
      <c r="FA142" s="559"/>
      <c r="FB142" s="559"/>
      <c r="FC142" s="559"/>
      <c r="FD142" s="559"/>
      <c r="FE142" s="559"/>
      <c r="FF142" s="559"/>
      <c r="FG142" s="559"/>
      <c r="FH142" s="559"/>
      <c r="FI142" s="559"/>
      <c r="FJ142" s="559"/>
      <c r="FK142" s="559"/>
      <c r="FL142" s="559"/>
      <c r="FM142" s="559"/>
      <c r="FN142" s="559"/>
      <c r="FO142" s="559"/>
      <c r="FP142" s="559"/>
      <c r="FQ142" s="559"/>
      <c r="FR142" s="559"/>
      <c r="FS142" s="559"/>
      <c r="FT142" s="559"/>
      <c r="FU142" s="559"/>
      <c r="FV142" s="559"/>
      <c r="FW142" s="559"/>
      <c r="FX142" s="559"/>
      <c r="FY142" s="559"/>
      <c r="FZ142" s="559"/>
      <c r="GA142" s="559"/>
      <c r="GB142" s="559"/>
      <c r="GC142" s="559"/>
      <c r="GD142" s="559"/>
      <c r="GE142" s="559"/>
      <c r="GF142" s="559"/>
      <c r="GG142" s="559"/>
      <c r="GH142" s="559"/>
    </row>
    <row r="143">
      <c r="A143" s="538"/>
      <c r="B143" s="156"/>
      <c r="C143" s="444"/>
      <c r="D143" s="614"/>
      <c r="E143" s="66"/>
      <c r="F143" s="642"/>
      <c r="G143" s="642"/>
      <c r="H143" s="615"/>
      <c r="I143" s="616" t="s">
        <v>365</v>
      </c>
      <c r="J143" s="624"/>
      <c r="K143" s="643"/>
      <c r="L143" s="640"/>
      <c r="M143" s="625"/>
      <c r="N143" s="617"/>
      <c r="O143" s="134"/>
      <c r="P143" s="57"/>
      <c r="Q143" s="57"/>
      <c r="S143" s="605"/>
      <c r="U143" s="573"/>
      <c r="V143" s="574"/>
      <c r="W143" s="618"/>
      <c r="X143" s="576">
        <v>0.0</v>
      </c>
      <c r="Y143" s="630">
        <v>0.0</v>
      </c>
      <c r="Z143" s="630" t="s">
        <v>365</v>
      </c>
      <c r="AA143" s="631" t="b">
        <v>0</v>
      </c>
      <c r="AB143" s="631"/>
      <c r="AC143" s="576"/>
      <c r="AD143" s="479">
        <v>0.0</v>
      </c>
      <c r="AE143" s="632"/>
      <c r="AF143" s="582" t="s">
        <v>365</v>
      </c>
      <c r="AG143" s="583"/>
      <c r="AH143" s="584"/>
      <c r="AI143" s="583"/>
      <c r="AJ143" s="585"/>
      <c r="AK143" s="583"/>
      <c r="AL143" s="584"/>
      <c r="AM143" s="583"/>
      <c r="AN143" s="585"/>
      <c r="AO143" s="583"/>
      <c r="AP143" s="584"/>
      <c r="AQ143" s="583"/>
      <c r="AR143" s="585"/>
      <c r="AS143" s="583"/>
      <c r="AT143" s="584"/>
      <c r="AU143" s="583"/>
      <c r="AV143" s="585"/>
      <c r="AW143" s="583"/>
      <c r="AX143" s="584"/>
      <c r="AY143" s="583"/>
      <c r="AZ143" s="585"/>
      <c r="BA143" s="583"/>
      <c r="BB143" s="584"/>
      <c r="BC143" s="583"/>
      <c r="BD143" s="585"/>
      <c r="BE143" s="583"/>
      <c r="BF143" s="584"/>
      <c r="BG143" s="583"/>
      <c r="BH143" s="585"/>
      <c r="BI143" s="583"/>
      <c r="BJ143" s="584"/>
      <c r="BK143" s="583"/>
      <c r="BL143" s="585"/>
      <c r="BM143" s="583"/>
      <c r="BN143" s="584"/>
      <c r="BO143" s="583"/>
      <c r="BP143" s="585"/>
      <c r="BQ143" s="583"/>
      <c r="BR143" s="584"/>
      <c r="BS143" s="583"/>
      <c r="BT143" s="586"/>
      <c r="BU143" s="540"/>
      <c r="BV143" s="540"/>
      <c r="BW143" s="540"/>
      <c r="BX143" s="538"/>
      <c r="BY143" s="538"/>
      <c r="BZ143" s="592"/>
      <c r="CA143" s="633"/>
      <c r="CB143" s="592" t="s">
        <v>365</v>
      </c>
      <c r="CC143" s="592">
        <v>0.0</v>
      </c>
      <c r="CD143" s="592" t="s">
        <v>365</v>
      </c>
      <c r="CE143" s="592">
        <v>0.0</v>
      </c>
      <c r="CF143" s="592"/>
      <c r="CG143" s="592">
        <v>0.0</v>
      </c>
      <c r="CH143" s="592"/>
      <c r="CI143" s="633"/>
      <c r="CJ143" s="592">
        <v>0.0</v>
      </c>
      <c r="CK143" s="479" t="s">
        <v>365</v>
      </c>
      <c r="CL143" s="592"/>
      <c r="CM143" s="593"/>
      <c r="CN143" s="538"/>
      <c r="CO143" s="538"/>
      <c r="CP143" s="538"/>
      <c r="CQ143" s="538"/>
      <c r="CR143" s="538"/>
      <c r="CS143" s="538"/>
      <c r="CT143" s="538"/>
      <c r="CU143" s="538"/>
      <c r="CV143" s="538"/>
      <c r="CW143" s="538"/>
      <c r="CX143" s="538"/>
      <c r="CY143" s="538"/>
      <c r="CZ143" s="538"/>
      <c r="DA143" s="538"/>
      <c r="DB143" s="538"/>
      <c r="DC143" s="538"/>
      <c r="DD143" s="538"/>
      <c r="DE143" s="538"/>
      <c r="DF143" s="538"/>
      <c r="DG143" s="538"/>
      <c r="DH143" s="538"/>
      <c r="DI143" s="538"/>
      <c r="DJ143" s="538"/>
      <c r="DK143" s="538"/>
      <c r="DL143" s="538"/>
      <c r="DM143" s="538"/>
      <c r="DN143" s="538"/>
      <c r="DO143" s="538"/>
      <c r="DP143" s="538"/>
      <c r="DQ143" s="538"/>
      <c r="DR143" s="538"/>
      <c r="DS143" s="538"/>
      <c r="DT143" s="538"/>
      <c r="DU143" s="538"/>
      <c r="DV143" s="538"/>
      <c r="DW143" s="538"/>
      <c r="DX143" s="538"/>
      <c r="DY143" s="538"/>
      <c r="DZ143" s="538"/>
      <c r="EA143" s="538"/>
      <c r="EB143" s="538"/>
      <c r="EC143" s="538"/>
      <c r="ED143" s="538"/>
      <c r="EE143" s="538"/>
      <c r="EF143" s="538"/>
      <c r="EG143" s="538"/>
      <c r="EH143" s="538"/>
      <c r="EI143" s="538"/>
      <c r="EJ143" s="538"/>
      <c r="EK143" s="538"/>
      <c r="EL143" s="538"/>
      <c r="EM143" s="538"/>
      <c r="EN143" s="538"/>
      <c r="EO143" s="538"/>
      <c r="EP143" s="538"/>
      <c r="EQ143" s="538"/>
      <c r="ER143" s="538"/>
      <c r="ES143" s="538"/>
      <c r="ET143" s="538"/>
      <c r="EU143" s="538"/>
      <c r="EV143" s="538"/>
      <c r="EW143" s="538"/>
      <c r="EX143" s="559"/>
      <c r="EY143" s="559"/>
      <c r="EZ143" s="559"/>
      <c r="FA143" s="559"/>
      <c r="FB143" s="559"/>
      <c r="FC143" s="559"/>
      <c r="FD143" s="559"/>
      <c r="FE143" s="559"/>
      <c r="FF143" s="559"/>
      <c r="FG143" s="559"/>
      <c r="FH143" s="559"/>
      <c r="FI143" s="559"/>
      <c r="FJ143" s="559"/>
      <c r="FK143" s="559"/>
      <c r="FL143" s="559"/>
      <c r="FM143" s="559"/>
      <c r="FN143" s="559"/>
      <c r="FO143" s="559"/>
      <c r="FP143" s="559"/>
      <c r="FQ143" s="559"/>
      <c r="FR143" s="559"/>
      <c r="FS143" s="559"/>
      <c r="FT143" s="559"/>
      <c r="FU143" s="559"/>
      <c r="FV143" s="559"/>
      <c r="FW143" s="559"/>
      <c r="FX143" s="559"/>
      <c r="FY143" s="559"/>
      <c r="FZ143" s="559"/>
      <c r="GA143" s="559"/>
      <c r="GB143" s="559"/>
      <c r="GC143" s="559"/>
      <c r="GD143" s="559"/>
      <c r="GE143" s="559"/>
      <c r="GF143" s="559"/>
      <c r="GG143" s="559"/>
      <c r="GH143" s="559"/>
    </row>
    <row r="144">
      <c r="A144" s="538"/>
      <c r="B144" s="156"/>
      <c r="C144" s="444"/>
      <c r="D144" s="614"/>
      <c r="E144" s="68"/>
      <c r="F144" s="644"/>
      <c r="G144" s="644"/>
      <c r="H144" s="627"/>
      <c r="I144" s="622" t="s">
        <v>365</v>
      </c>
      <c r="J144" s="607"/>
      <c r="K144" s="641"/>
      <c r="L144" s="628"/>
      <c r="M144" s="626"/>
      <c r="N144" s="619"/>
      <c r="O144" s="560"/>
      <c r="P144" s="47"/>
      <c r="Q144" s="47"/>
      <c r="S144" s="572"/>
      <c r="U144" s="573"/>
      <c r="V144" s="574"/>
      <c r="W144" s="618"/>
      <c r="X144" s="576">
        <v>0.0</v>
      </c>
      <c r="Y144" s="630">
        <v>0.0</v>
      </c>
      <c r="Z144" s="630" t="s">
        <v>365</v>
      </c>
      <c r="AA144" s="631" t="b">
        <v>0</v>
      </c>
      <c r="AB144" s="631"/>
      <c r="AC144" s="576"/>
      <c r="AD144" s="479">
        <v>0.0</v>
      </c>
      <c r="AE144" s="632"/>
      <c r="AF144" s="582" t="s">
        <v>365</v>
      </c>
      <c r="AG144" s="583"/>
      <c r="AH144" s="584"/>
      <c r="AI144" s="583"/>
      <c r="AJ144" s="585"/>
      <c r="AK144" s="583"/>
      <c r="AL144" s="584"/>
      <c r="AM144" s="583"/>
      <c r="AN144" s="585"/>
      <c r="AO144" s="583"/>
      <c r="AP144" s="584"/>
      <c r="AQ144" s="583"/>
      <c r="AR144" s="585"/>
      <c r="AS144" s="583"/>
      <c r="AT144" s="584"/>
      <c r="AU144" s="583"/>
      <c r="AV144" s="585"/>
      <c r="AW144" s="583"/>
      <c r="AX144" s="584"/>
      <c r="AY144" s="583"/>
      <c r="AZ144" s="585"/>
      <c r="BA144" s="583"/>
      <c r="BB144" s="584"/>
      <c r="BC144" s="583"/>
      <c r="BD144" s="585"/>
      <c r="BE144" s="583"/>
      <c r="BF144" s="584"/>
      <c r="BG144" s="583"/>
      <c r="BH144" s="585"/>
      <c r="BI144" s="583"/>
      <c r="BJ144" s="584"/>
      <c r="BK144" s="583"/>
      <c r="BL144" s="585"/>
      <c r="BM144" s="583"/>
      <c r="BN144" s="584"/>
      <c r="BO144" s="583"/>
      <c r="BP144" s="585"/>
      <c r="BQ144" s="583"/>
      <c r="BR144" s="584"/>
      <c r="BS144" s="583"/>
      <c r="BT144" s="586"/>
      <c r="BU144" s="540"/>
      <c r="BV144" s="540"/>
      <c r="BW144" s="540"/>
      <c r="BX144" s="538"/>
      <c r="BY144" s="538"/>
      <c r="BZ144" s="592"/>
      <c r="CA144" s="633"/>
      <c r="CB144" s="592" t="s">
        <v>365</v>
      </c>
      <c r="CC144" s="592">
        <v>0.0</v>
      </c>
      <c r="CD144" s="592" t="s">
        <v>365</v>
      </c>
      <c r="CE144" s="592">
        <v>0.0</v>
      </c>
      <c r="CF144" s="592"/>
      <c r="CG144" s="592">
        <v>0.0</v>
      </c>
      <c r="CH144" s="592"/>
      <c r="CI144" s="633"/>
      <c r="CJ144" s="592">
        <v>0.0</v>
      </c>
      <c r="CK144" s="479" t="s">
        <v>365</v>
      </c>
      <c r="CL144" s="592"/>
      <c r="CM144" s="593"/>
      <c r="CN144" s="538"/>
      <c r="CO144" s="538"/>
      <c r="CP144" s="538"/>
      <c r="CQ144" s="538"/>
      <c r="CR144" s="538"/>
      <c r="CS144" s="538"/>
      <c r="CT144" s="538"/>
      <c r="CU144" s="538"/>
      <c r="CV144" s="538"/>
      <c r="CW144" s="538"/>
      <c r="CX144" s="538"/>
      <c r="CY144" s="538"/>
      <c r="CZ144" s="538"/>
      <c r="DA144" s="538"/>
      <c r="DB144" s="538"/>
      <c r="DC144" s="538"/>
      <c r="DD144" s="538"/>
      <c r="DE144" s="538"/>
      <c r="DF144" s="538"/>
      <c r="DG144" s="538"/>
      <c r="DH144" s="538"/>
      <c r="DI144" s="538"/>
      <c r="DJ144" s="538"/>
      <c r="DK144" s="538"/>
      <c r="DL144" s="538"/>
      <c r="DM144" s="538"/>
      <c r="DN144" s="538"/>
      <c r="DO144" s="538"/>
      <c r="DP144" s="538"/>
      <c r="DQ144" s="538"/>
      <c r="DR144" s="538"/>
      <c r="DS144" s="538"/>
      <c r="DT144" s="538"/>
      <c r="DU144" s="538"/>
      <c r="DV144" s="538"/>
      <c r="DW144" s="538"/>
      <c r="DX144" s="538"/>
      <c r="DY144" s="538"/>
      <c r="DZ144" s="538"/>
      <c r="EA144" s="538"/>
      <c r="EB144" s="538"/>
      <c r="EC144" s="538"/>
      <c r="ED144" s="538"/>
      <c r="EE144" s="538"/>
      <c r="EF144" s="538"/>
      <c r="EG144" s="538"/>
      <c r="EH144" s="538"/>
      <c r="EI144" s="538"/>
      <c r="EJ144" s="538"/>
      <c r="EK144" s="538"/>
      <c r="EL144" s="538"/>
      <c r="EM144" s="538"/>
      <c r="EN144" s="538"/>
      <c r="EO144" s="538"/>
      <c r="EP144" s="538"/>
      <c r="EQ144" s="538"/>
      <c r="ER144" s="538"/>
      <c r="ES144" s="538"/>
      <c r="ET144" s="538"/>
      <c r="EU144" s="538"/>
      <c r="EV144" s="538"/>
      <c r="EW144" s="538"/>
      <c r="EX144" s="559"/>
      <c r="EY144" s="559"/>
      <c r="EZ144" s="559"/>
      <c r="FA144" s="559"/>
      <c r="FB144" s="559"/>
      <c r="FC144" s="559"/>
      <c r="FD144" s="559"/>
      <c r="FE144" s="559"/>
      <c r="FF144" s="559"/>
      <c r="FG144" s="559"/>
      <c r="FH144" s="559"/>
      <c r="FI144" s="559"/>
      <c r="FJ144" s="559"/>
      <c r="FK144" s="559"/>
      <c r="FL144" s="559"/>
      <c r="FM144" s="559"/>
      <c r="FN144" s="559"/>
      <c r="FO144" s="559"/>
      <c r="FP144" s="559"/>
      <c r="FQ144" s="559"/>
      <c r="FR144" s="559"/>
      <c r="FS144" s="559"/>
      <c r="FT144" s="559"/>
      <c r="FU144" s="559"/>
      <c r="FV144" s="559"/>
      <c r="FW144" s="559"/>
      <c r="FX144" s="559"/>
      <c r="FY144" s="559"/>
      <c r="FZ144" s="559"/>
      <c r="GA144" s="559"/>
      <c r="GB144" s="559"/>
      <c r="GC144" s="559"/>
      <c r="GD144" s="559"/>
      <c r="GE144" s="559"/>
      <c r="GF144" s="559"/>
      <c r="GG144" s="559"/>
      <c r="GH144" s="559"/>
    </row>
    <row r="145">
      <c r="A145" s="538"/>
      <c r="B145" s="156"/>
      <c r="C145" s="444"/>
      <c r="D145" s="614"/>
      <c r="E145" s="66"/>
      <c r="F145" s="642"/>
      <c r="G145" s="642"/>
      <c r="H145" s="615"/>
      <c r="I145" s="616" t="s">
        <v>365</v>
      </c>
      <c r="J145" s="624"/>
      <c r="K145" s="643"/>
      <c r="L145" s="640"/>
      <c r="M145" s="625"/>
      <c r="N145" s="617"/>
      <c r="O145" s="134"/>
      <c r="P145" s="57"/>
      <c r="Q145" s="57"/>
      <c r="S145" s="605"/>
      <c r="U145" s="573"/>
      <c r="V145" s="574"/>
      <c r="W145" s="618"/>
      <c r="X145" s="576">
        <v>0.0</v>
      </c>
      <c r="Y145" s="630">
        <v>0.0</v>
      </c>
      <c r="Z145" s="630" t="s">
        <v>365</v>
      </c>
      <c r="AA145" s="631" t="b">
        <v>0</v>
      </c>
      <c r="AB145" s="631"/>
      <c r="AC145" s="576"/>
      <c r="AD145" s="479">
        <v>0.0</v>
      </c>
      <c r="AE145" s="632"/>
      <c r="AF145" s="582" t="s">
        <v>365</v>
      </c>
      <c r="AG145" s="583"/>
      <c r="AH145" s="584"/>
      <c r="AI145" s="583"/>
      <c r="AJ145" s="585"/>
      <c r="AK145" s="583"/>
      <c r="AL145" s="584"/>
      <c r="AM145" s="583"/>
      <c r="AN145" s="585"/>
      <c r="AO145" s="583"/>
      <c r="AP145" s="584"/>
      <c r="AQ145" s="583"/>
      <c r="AR145" s="585"/>
      <c r="AS145" s="583"/>
      <c r="AT145" s="584"/>
      <c r="AU145" s="583"/>
      <c r="AV145" s="585"/>
      <c r="AW145" s="583"/>
      <c r="AX145" s="584"/>
      <c r="AY145" s="583"/>
      <c r="AZ145" s="585"/>
      <c r="BA145" s="583"/>
      <c r="BB145" s="584"/>
      <c r="BC145" s="583"/>
      <c r="BD145" s="585"/>
      <c r="BE145" s="583"/>
      <c r="BF145" s="584"/>
      <c r="BG145" s="583"/>
      <c r="BH145" s="585"/>
      <c r="BI145" s="583"/>
      <c r="BJ145" s="584"/>
      <c r="BK145" s="583"/>
      <c r="BL145" s="585"/>
      <c r="BM145" s="583"/>
      <c r="BN145" s="584"/>
      <c r="BO145" s="583"/>
      <c r="BP145" s="585"/>
      <c r="BQ145" s="583"/>
      <c r="BR145" s="584"/>
      <c r="BS145" s="583"/>
      <c r="BT145" s="586"/>
      <c r="BU145" s="540"/>
      <c r="BV145" s="540"/>
      <c r="BW145" s="540"/>
      <c r="BX145" s="538"/>
      <c r="BY145" s="538"/>
      <c r="BZ145" s="592"/>
      <c r="CA145" s="633"/>
      <c r="CB145" s="592" t="s">
        <v>365</v>
      </c>
      <c r="CC145" s="592">
        <v>0.0</v>
      </c>
      <c r="CD145" s="592" t="s">
        <v>365</v>
      </c>
      <c r="CE145" s="592">
        <v>0.0</v>
      </c>
      <c r="CF145" s="592"/>
      <c r="CG145" s="592">
        <v>0.0</v>
      </c>
      <c r="CH145" s="592"/>
      <c r="CI145" s="633"/>
      <c r="CJ145" s="592">
        <v>0.0</v>
      </c>
      <c r="CK145" s="479" t="s">
        <v>365</v>
      </c>
      <c r="CL145" s="592"/>
      <c r="CM145" s="593"/>
      <c r="CN145" s="538"/>
      <c r="CO145" s="538"/>
      <c r="CP145" s="538"/>
      <c r="CQ145" s="538"/>
      <c r="CR145" s="538"/>
      <c r="CS145" s="538"/>
      <c r="CT145" s="538"/>
      <c r="CU145" s="538"/>
      <c r="CV145" s="538"/>
      <c r="CW145" s="538"/>
      <c r="CX145" s="538"/>
      <c r="CY145" s="538"/>
      <c r="CZ145" s="538"/>
      <c r="DA145" s="538"/>
      <c r="DB145" s="538"/>
      <c r="DC145" s="538"/>
      <c r="DD145" s="538"/>
      <c r="DE145" s="538"/>
      <c r="DF145" s="538"/>
      <c r="DG145" s="538"/>
      <c r="DH145" s="538"/>
      <c r="DI145" s="538"/>
      <c r="DJ145" s="538"/>
      <c r="DK145" s="538"/>
      <c r="DL145" s="538"/>
      <c r="DM145" s="538"/>
      <c r="DN145" s="538"/>
      <c r="DO145" s="538"/>
      <c r="DP145" s="538"/>
      <c r="DQ145" s="538"/>
      <c r="DR145" s="538"/>
      <c r="DS145" s="538"/>
      <c r="DT145" s="538"/>
      <c r="DU145" s="538"/>
      <c r="DV145" s="538"/>
      <c r="DW145" s="538"/>
      <c r="DX145" s="538"/>
      <c r="DY145" s="538"/>
      <c r="DZ145" s="538"/>
      <c r="EA145" s="538"/>
      <c r="EB145" s="538"/>
      <c r="EC145" s="538"/>
      <c r="ED145" s="538"/>
      <c r="EE145" s="538"/>
      <c r="EF145" s="538"/>
      <c r="EG145" s="538"/>
      <c r="EH145" s="538"/>
      <c r="EI145" s="538"/>
      <c r="EJ145" s="538"/>
      <c r="EK145" s="538"/>
      <c r="EL145" s="538"/>
      <c r="EM145" s="538"/>
      <c r="EN145" s="538"/>
      <c r="EO145" s="538"/>
      <c r="EP145" s="538"/>
      <c r="EQ145" s="538"/>
      <c r="ER145" s="538"/>
      <c r="ES145" s="538"/>
      <c r="ET145" s="538"/>
      <c r="EU145" s="538"/>
      <c r="EV145" s="538"/>
      <c r="EW145" s="538"/>
      <c r="EX145" s="559"/>
      <c r="EY145" s="559"/>
      <c r="EZ145" s="559"/>
      <c r="FA145" s="559"/>
      <c r="FB145" s="559"/>
      <c r="FC145" s="559"/>
      <c r="FD145" s="559"/>
      <c r="FE145" s="559"/>
      <c r="FF145" s="559"/>
      <c r="FG145" s="559"/>
      <c r="FH145" s="559"/>
      <c r="FI145" s="559"/>
      <c r="FJ145" s="559"/>
      <c r="FK145" s="559"/>
      <c r="FL145" s="559"/>
      <c r="FM145" s="559"/>
      <c r="FN145" s="559"/>
      <c r="FO145" s="559"/>
      <c r="FP145" s="559"/>
      <c r="FQ145" s="559"/>
      <c r="FR145" s="559"/>
      <c r="FS145" s="559"/>
      <c r="FT145" s="559"/>
      <c r="FU145" s="559"/>
      <c r="FV145" s="559"/>
      <c r="FW145" s="559"/>
      <c r="FX145" s="559"/>
      <c r="FY145" s="559"/>
      <c r="FZ145" s="559"/>
      <c r="GA145" s="559"/>
      <c r="GB145" s="559"/>
      <c r="GC145" s="559"/>
      <c r="GD145" s="559"/>
      <c r="GE145" s="559"/>
      <c r="GF145" s="559"/>
      <c r="GG145" s="559"/>
      <c r="GH145" s="559"/>
    </row>
    <row r="146">
      <c r="A146" s="538"/>
      <c r="B146" s="156"/>
      <c r="C146" s="444"/>
      <c r="D146" s="614"/>
      <c r="E146" s="68"/>
      <c r="F146" s="644"/>
      <c r="G146" s="644"/>
      <c r="H146" s="627"/>
      <c r="I146" s="622" t="s">
        <v>365</v>
      </c>
      <c r="J146" s="607"/>
      <c r="K146" s="641"/>
      <c r="L146" s="628"/>
      <c r="M146" s="626"/>
      <c r="N146" s="619"/>
      <c r="O146" s="560"/>
      <c r="P146" s="47"/>
      <c r="Q146" s="47"/>
      <c r="S146" s="572"/>
      <c r="U146" s="573"/>
      <c r="V146" s="574"/>
      <c r="W146" s="618"/>
      <c r="X146" s="576">
        <v>0.0</v>
      </c>
      <c r="Y146" s="630">
        <v>0.0</v>
      </c>
      <c r="Z146" s="630" t="s">
        <v>365</v>
      </c>
      <c r="AA146" s="631" t="b">
        <v>0</v>
      </c>
      <c r="AB146" s="631"/>
      <c r="AC146" s="576"/>
      <c r="AD146" s="479">
        <v>0.0</v>
      </c>
      <c r="AE146" s="632"/>
      <c r="AF146" s="582" t="s">
        <v>365</v>
      </c>
      <c r="AG146" s="583"/>
      <c r="AH146" s="584"/>
      <c r="AI146" s="583"/>
      <c r="AJ146" s="585"/>
      <c r="AK146" s="583"/>
      <c r="AL146" s="584"/>
      <c r="AM146" s="583"/>
      <c r="AN146" s="585"/>
      <c r="AO146" s="583"/>
      <c r="AP146" s="584"/>
      <c r="AQ146" s="583"/>
      <c r="AR146" s="585"/>
      <c r="AS146" s="583"/>
      <c r="AT146" s="584"/>
      <c r="AU146" s="583"/>
      <c r="AV146" s="585"/>
      <c r="AW146" s="583"/>
      <c r="AX146" s="584"/>
      <c r="AY146" s="583"/>
      <c r="AZ146" s="585"/>
      <c r="BA146" s="583"/>
      <c r="BB146" s="584"/>
      <c r="BC146" s="583"/>
      <c r="BD146" s="585"/>
      <c r="BE146" s="583"/>
      <c r="BF146" s="584"/>
      <c r="BG146" s="583"/>
      <c r="BH146" s="585"/>
      <c r="BI146" s="583"/>
      <c r="BJ146" s="584"/>
      <c r="BK146" s="583"/>
      <c r="BL146" s="585"/>
      <c r="BM146" s="583"/>
      <c r="BN146" s="584"/>
      <c r="BO146" s="583"/>
      <c r="BP146" s="585"/>
      <c r="BQ146" s="583"/>
      <c r="BR146" s="584"/>
      <c r="BS146" s="583"/>
      <c r="BT146" s="586"/>
      <c r="BU146" s="540"/>
      <c r="BV146" s="540"/>
      <c r="BW146" s="540"/>
      <c r="BX146" s="538"/>
      <c r="BY146" s="538"/>
      <c r="BZ146" s="592"/>
      <c r="CA146" s="633"/>
      <c r="CB146" s="592" t="s">
        <v>365</v>
      </c>
      <c r="CC146" s="592">
        <v>0.0</v>
      </c>
      <c r="CD146" s="592" t="s">
        <v>365</v>
      </c>
      <c r="CE146" s="592">
        <v>0.0</v>
      </c>
      <c r="CF146" s="592"/>
      <c r="CG146" s="592">
        <v>0.0</v>
      </c>
      <c r="CH146" s="592"/>
      <c r="CI146" s="633"/>
      <c r="CJ146" s="592">
        <v>0.0</v>
      </c>
      <c r="CK146" s="479" t="s">
        <v>365</v>
      </c>
      <c r="CL146" s="592"/>
      <c r="CM146" s="593"/>
      <c r="CN146" s="538"/>
      <c r="CO146" s="538"/>
      <c r="CP146" s="538"/>
      <c r="CQ146" s="538"/>
      <c r="CR146" s="538"/>
      <c r="CS146" s="538"/>
      <c r="CT146" s="538"/>
      <c r="CU146" s="538"/>
      <c r="CV146" s="538"/>
      <c r="CW146" s="538"/>
      <c r="CX146" s="538"/>
      <c r="CY146" s="538"/>
      <c r="CZ146" s="538"/>
      <c r="DA146" s="538"/>
      <c r="DB146" s="538"/>
      <c r="DC146" s="538"/>
      <c r="DD146" s="538"/>
      <c r="DE146" s="538"/>
      <c r="DF146" s="538"/>
      <c r="DG146" s="538"/>
      <c r="DH146" s="538"/>
      <c r="DI146" s="538"/>
      <c r="DJ146" s="538"/>
      <c r="DK146" s="538"/>
      <c r="DL146" s="538"/>
      <c r="DM146" s="538"/>
      <c r="DN146" s="538"/>
      <c r="DO146" s="538"/>
      <c r="DP146" s="538"/>
      <c r="DQ146" s="538"/>
      <c r="DR146" s="538"/>
      <c r="DS146" s="538"/>
      <c r="DT146" s="538"/>
      <c r="DU146" s="538"/>
      <c r="DV146" s="538"/>
      <c r="DW146" s="538"/>
      <c r="DX146" s="538"/>
      <c r="DY146" s="538"/>
      <c r="DZ146" s="538"/>
      <c r="EA146" s="538"/>
      <c r="EB146" s="538"/>
      <c r="EC146" s="538"/>
      <c r="ED146" s="538"/>
      <c r="EE146" s="538"/>
      <c r="EF146" s="538"/>
      <c r="EG146" s="538"/>
      <c r="EH146" s="538"/>
      <c r="EI146" s="538"/>
      <c r="EJ146" s="538"/>
      <c r="EK146" s="538"/>
      <c r="EL146" s="538"/>
      <c r="EM146" s="538"/>
      <c r="EN146" s="538"/>
      <c r="EO146" s="538"/>
      <c r="EP146" s="538"/>
      <c r="EQ146" s="538"/>
      <c r="ER146" s="538"/>
      <c r="ES146" s="538"/>
      <c r="ET146" s="538"/>
      <c r="EU146" s="538"/>
      <c r="EV146" s="538"/>
      <c r="EW146" s="538"/>
      <c r="EX146" s="559"/>
      <c r="EY146" s="559"/>
      <c r="EZ146" s="559"/>
      <c r="FA146" s="559"/>
      <c r="FB146" s="559"/>
      <c r="FC146" s="559"/>
      <c r="FD146" s="559"/>
      <c r="FE146" s="559"/>
      <c r="FF146" s="559"/>
      <c r="FG146" s="559"/>
      <c r="FH146" s="559"/>
      <c r="FI146" s="559"/>
      <c r="FJ146" s="559"/>
      <c r="FK146" s="559"/>
      <c r="FL146" s="559"/>
      <c r="FM146" s="559"/>
      <c r="FN146" s="559"/>
      <c r="FO146" s="559"/>
      <c r="FP146" s="559"/>
      <c r="FQ146" s="559"/>
      <c r="FR146" s="559"/>
      <c r="FS146" s="559"/>
      <c r="FT146" s="559"/>
      <c r="FU146" s="559"/>
      <c r="FV146" s="559"/>
      <c r="FW146" s="559"/>
      <c r="FX146" s="559"/>
      <c r="FY146" s="559"/>
      <c r="FZ146" s="559"/>
      <c r="GA146" s="559"/>
      <c r="GB146" s="559"/>
      <c r="GC146" s="559"/>
      <c r="GD146" s="559"/>
      <c r="GE146" s="559"/>
      <c r="GF146" s="559"/>
      <c r="GG146" s="559"/>
      <c r="GH146" s="559"/>
    </row>
    <row r="147">
      <c r="A147" s="538"/>
      <c r="B147" s="156"/>
      <c r="C147" s="444"/>
      <c r="D147" s="614"/>
      <c r="E147" s="66"/>
      <c r="F147" s="642"/>
      <c r="G147" s="642"/>
      <c r="H147" s="615"/>
      <c r="I147" s="616" t="s">
        <v>365</v>
      </c>
      <c r="J147" s="624"/>
      <c r="K147" s="643"/>
      <c r="L147" s="640"/>
      <c r="M147" s="625"/>
      <c r="N147" s="617"/>
      <c r="O147" s="134"/>
      <c r="P147" s="57"/>
      <c r="Q147" s="57"/>
      <c r="S147" s="605"/>
      <c r="U147" s="573"/>
      <c r="V147" s="574"/>
      <c r="W147" s="618"/>
      <c r="X147" s="576">
        <v>0.0</v>
      </c>
      <c r="Y147" s="630">
        <v>0.0</v>
      </c>
      <c r="Z147" s="630" t="s">
        <v>365</v>
      </c>
      <c r="AA147" s="631" t="b">
        <v>0</v>
      </c>
      <c r="AB147" s="631"/>
      <c r="AC147" s="576"/>
      <c r="AD147" s="479">
        <v>0.0</v>
      </c>
      <c r="AE147" s="632"/>
      <c r="AF147" s="582" t="s">
        <v>365</v>
      </c>
      <c r="AG147" s="583"/>
      <c r="AH147" s="584"/>
      <c r="AI147" s="583"/>
      <c r="AJ147" s="585"/>
      <c r="AK147" s="583"/>
      <c r="AL147" s="584"/>
      <c r="AM147" s="583"/>
      <c r="AN147" s="585"/>
      <c r="AO147" s="583"/>
      <c r="AP147" s="584"/>
      <c r="AQ147" s="583"/>
      <c r="AR147" s="585"/>
      <c r="AS147" s="583"/>
      <c r="AT147" s="584"/>
      <c r="AU147" s="583"/>
      <c r="AV147" s="585"/>
      <c r="AW147" s="583"/>
      <c r="AX147" s="584"/>
      <c r="AY147" s="583"/>
      <c r="AZ147" s="585"/>
      <c r="BA147" s="583"/>
      <c r="BB147" s="584"/>
      <c r="BC147" s="583"/>
      <c r="BD147" s="585"/>
      <c r="BE147" s="583"/>
      <c r="BF147" s="584"/>
      <c r="BG147" s="583"/>
      <c r="BH147" s="585"/>
      <c r="BI147" s="583"/>
      <c r="BJ147" s="584"/>
      <c r="BK147" s="583"/>
      <c r="BL147" s="585"/>
      <c r="BM147" s="583"/>
      <c r="BN147" s="584"/>
      <c r="BO147" s="583"/>
      <c r="BP147" s="585"/>
      <c r="BQ147" s="583"/>
      <c r="BR147" s="584"/>
      <c r="BS147" s="583"/>
      <c r="BT147" s="586"/>
      <c r="BU147" s="540"/>
      <c r="BV147" s="540"/>
      <c r="BW147" s="540"/>
      <c r="BX147" s="538"/>
      <c r="BY147" s="538"/>
      <c r="BZ147" s="592"/>
      <c r="CA147" s="633"/>
      <c r="CB147" s="592" t="s">
        <v>365</v>
      </c>
      <c r="CC147" s="592">
        <v>0.0</v>
      </c>
      <c r="CD147" s="592" t="s">
        <v>365</v>
      </c>
      <c r="CE147" s="592">
        <v>0.0</v>
      </c>
      <c r="CF147" s="592"/>
      <c r="CG147" s="592">
        <v>0.0</v>
      </c>
      <c r="CH147" s="592"/>
      <c r="CI147" s="633"/>
      <c r="CJ147" s="592">
        <v>0.0</v>
      </c>
      <c r="CK147" s="479" t="s">
        <v>365</v>
      </c>
      <c r="CL147" s="592"/>
      <c r="CM147" s="593"/>
      <c r="CN147" s="538"/>
      <c r="CO147" s="538"/>
      <c r="CP147" s="538"/>
      <c r="CQ147" s="538"/>
      <c r="CR147" s="538"/>
      <c r="CS147" s="538"/>
      <c r="CT147" s="538"/>
      <c r="CU147" s="538"/>
      <c r="CV147" s="538"/>
      <c r="CW147" s="538"/>
      <c r="CX147" s="538"/>
      <c r="CY147" s="538"/>
      <c r="CZ147" s="538"/>
      <c r="DA147" s="538"/>
      <c r="DB147" s="538"/>
      <c r="DC147" s="538"/>
      <c r="DD147" s="538"/>
      <c r="DE147" s="538"/>
      <c r="DF147" s="538"/>
      <c r="DG147" s="538"/>
      <c r="DH147" s="538"/>
      <c r="DI147" s="538"/>
      <c r="DJ147" s="538"/>
      <c r="DK147" s="538"/>
      <c r="DL147" s="538"/>
      <c r="DM147" s="538"/>
      <c r="DN147" s="538"/>
      <c r="DO147" s="538"/>
      <c r="DP147" s="538"/>
      <c r="DQ147" s="538"/>
      <c r="DR147" s="538"/>
      <c r="DS147" s="538"/>
      <c r="DT147" s="538"/>
      <c r="DU147" s="538"/>
      <c r="DV147" s="538"/>
      <c r="DW147" s="538"/>
      <c r="DX147" s="538"/>
      <c r="DY147" s="538"/>
      <c r="DZ147" s="538"/>
      <c r="EA147" s="538"/>
      <c r="EB147" s="538"/>
      <c r="EC147" s="538"/>
      <c r="ED147" s="538"/>
      <c r="EE147" s="538"/>
      <c r="EF147" s="538"/>
      <c r="EG147" s="538"/>
      <c r="EH147" s="538"/>
      <c r="EI147" s="538"/>
      <c r="EJ147" s="538"/>
      <c r="EK147" s="538"/>
      <c r="EL147" s="538"/>
      <c r="EM147" s="538"/>
      <c r="EN147" s="538"/>
      <c r="EO147" s="538"/>
      <c r="EP147" s="538"/>
      <c r="EQ147" s="538"/>
      <c r="ER147" s="538"/>
      <c r="ES147" s="538"/>
      <c r="ET147" s="538"/>
      <c r="EU147" s="538"/>
      <c r="EV147" s="538"/>
      <c r="EW147" s="538"/>
      <c r="EX147" s="559"/>
      <c r="EY147" s="559"/>
      <c r="EZ147" s="559"/>
      <c r="FA147" s="559"/>
      <c r="FB147" s="559"/>
      <c r="FC147" s="559"/>
      <c r="FD147" s="559"/>
      <c r="FE147" s="559"/>
      <c r="FF147" s="559"/>
      <c r="FG147" s="559"/>
      <c r="FH147" s="559"/>
      <c r="FI147" s="559"/>
      <c r="FJ147" s="559"/>
      <c r="FK147" s="559"/>
      <c r="FL147" s="559"/>
      <c r="FM147" s="559"/>
      <c r="FN147" s="559"/>
      <c r="FO147" s="559"/>
      <c r="FP147" s="559"/>
      <c r="FQ147" s="559"/>
      <c r="FR147" s="559"/>
      <c r="FS147" s="559"/>
      <c r="FT147" s="559"/>
      <c r="FU147" s="559"/>
      <c r="FV147" s="559"/>
      <c r="FW147" s="559"/>
      <c r="FX147" s="559"/>
      <c r="FY147" s="559"/>
      <c r="FZ147" s="559"/>
      <c r="GA147" s="559"/>
      <c r="GB147" s="559"/>
      <c r="GC147" s="559"/>
      <c r="GD147" s="559"/>
      <c r="GE147" s="559"/>
      <c r="GF147" s="559"/>
      <c r="GG147" s="559"/>
      <c r="GH147" s="559"/>
    </row>
    <row r="148">
      <c r="A148" s="538"/>
      <c r="B148" s="156"/>
      <c r="C148" s="444"/>
      <c r="D148" s="614"/>
      <c r="E148" s="68"/>
      <c r="F148" s="644"/>
      <c r="G148" s="644"/>
      <c r="H148" s="627"/>
      <c r="I148" s="622" t="s">
        <v>365</v>
      </c>
      <c r="J148" s="607"/>
      <c r="K148" s="641"/>
      <c r="L148" s="628"/>
      <c r="M148" s="626"/>
      <c r="N148" s="619"/>
      <c r="O148" s="560"/>
      <c r="P148" s="47"/>
      <c r="Q148" s="47"/>
      <c r="S148" s="572"/>
      <c r="U148" s="573"/>
      <c r="V148" s="574"/>
      <c r="W148" s="618"/>
      <c r="X148" s="576">
        <v>0.0</v>
      </c>
      <c r="Y148" s="630">
        <v>0.0</v>
      </c>
      <c r="Z148" s="630" t="s">
        <v>365</v>
      </c>
      <c r="AA148" s="631" t="b">
        <v>0</v>
      </c>
      <c r="AB148" s="631"/>
      <c r="AC148" s="576"/>
      <c r="AD148" s="479">
        <v>0.0</v>
      </c>
      <c r="AE148" s="632"/>
      <c r="AF148" s="582" t="s">
        <v>365</v>
      </c>
      <c r="AG148" s="583"/>
      <c r="AH148" s="584"/>
      <c r="AI148" s="583"/>
      <c r="AJ148" s="585"/>
      <c r="AK148" s="583"/>
      <c r="AL148" s="584"/>
      <c r="AM148" s="583"/>
      <c r="AN148" s="585"/>
      <c r="AO148" s="583"/>
      <c r="AP148" s="584"/>
      <c r="AQ148" s="583"/>
      <c r="AR148" s="585"/>
      <c r="AS148" s="583"/>
      <c r="AT148" s="584"/>
      <c r="AU148" s="583"/>
      <c r="AV148" s="585"/>
      <c r="AW148" s="583"/>
      <c r="AX148" s="584"/>
      <c r="AY148" s="583"/>
      <c r="AZ148" s="585"/>
      <c r="BA148" s="583"/>
      <c r="BB148" s="584"/>
      <c r="BC148" s="583"/>
      <c r="BD148" s="585"/>
      <c r="BE148" s="583"/>
      <c r="BF148" s="584"/>
      <c r="BG148" s="583"/>
      <c r="BH148" s="585"/>
      <c r="BI148" s="583"/>
      <c r="BJ148" s="584"/>
      <c r="BK148" s="583"/>
      <c r="BL148" s="585"/>
      <c r="BM148" s="583"/>
      <c r="BN148" s="584"/>
      <c r="BO148" s="583"/>
      <c r="BP148" s="585"/>
      <c r="BQ148" s="583"/>
      <c r="BR148" s="584"/>
      <c r="BS148" s="583"/>
      <c r="BT148" s="586"/>
      <c r="BU148" s="540"/>
      <c r="BV148" s="540"/>
      <c r="BW148" s="540"/>
      <c r="BX148" s="538"/>
      <c r="BY148" s="538"/>
      <c r="BZ148" s="592"/>
      <c r="CA148" s="633"/>
      <c r="CB148" s="592" t="s">
        <v>365</v>
      </c>
      <c r="CC148" s="592">
        <v>0.0</v>
      </c>
      <c r="CD148" s="592" t="s">
        <v>365</v>
      </c>
      <c r="CE148" s="592">
        <v>0.0</v>
      </c>
      <c r="CF148" s="592"/>
      <c r="CG148" s="592">
        <v>0.0</v>
      </c>
      <c r="CH148" s="592"/>
      <c r="CI148" s="633"/>
      <c r="CJ148" s="592">
        <v>0.0</v>
      </c>
      <c r="CK148" s="479" t="s">
        <v>365</v>
      </c>
      <c r="CL148" s="592"/>
      <c r="CM148" s="593"/>
      <c r="CN148" s="538"/>
      <c r="CO148" s="538"/>
      <c r="CP148" s="538"/>
      <c r="CQ148" s="538"/>
      <c r="CR148" s="538"/>
      <c r="CS148" s="538"/>
      <c r="CT148" s="538"/>
      <c r="CU148" s="538"/>
      <c r="CV148" s="538"/>
      <c r="CW148" s="538"/>
      <c r="CX148" s="538"/>
      <c r="CY148" s="538"/>
      <c r="CZ148" s="538"/>
      <c r="DA148" s="538"/>
      <c r="DB148" s="538"/>
      <c r="DC148" s="538"/>
      <c r="DD148" s="538"/>
      <c r="DE148" s="538"/>
      <c r="DF148" s="538"/>
      <c r="DG148" s="538"/>
      <c r="DH148" s="538"/>
      <c r="DI148" s="538"/>
      <c r="DJ148" s="538"/>
      <c r="DK148" s="538"/>
      <c r="DL148" s="538"/>
      <c r="DM148" s="538"/>
      <c r="DN148" s="538"/>
      <c r="DO148" s="538"/>
      <c r="DP148" s="538"/>
      <c r="DQ148" s="538"/>
      <c r="DR148" s="538"/>
      <c r="DS148" s="538"/>
      <c r="DT148" s="538"/>
      <c r="DU148" s="538"/>
      <c r="DV148" s="538"/>
      <c r="DW148" s="538"/>
      <c r="DX148" s="538"/>
      <c r="DY148" s="538"/>
      <c r="DZ148" s="538"/>
      <c r="EA148" s="538"/>
      <c r="EB148" s="538"/>
      <c r="EC148" s="538"/>
      <c r="ED148" s="538"/>
      <c r="EE148" s="538"/>
      <c r="EF148" s="538"/>
      <c r="EG148" s="538"/>
      <c r="EH148" s="538"/>
      <c r="EI148" s="538"/>
      <c r="EJ148" s="538"/>
      <c r="EK148" s="538"/>
      <c r="EL148" s="538"/>
      <c r="EM148" s="538"/>
      <c r="EN148" s="538"/>
      <c r="EO148" s="538"/>
      <c r="EP148" s="538"/>
      <c r="EQ148" s="538"/>
      <c r="ER148" s="538"/>
      <c r="ES148" s="538"/>
      <c r="ET148" s="538"/>
      <c r="EU148" s="538"/>
      <c r="EV148" s="538"/>
      <c r="EW148" s="538"/>
      <c r="EX148" s="559"/>
      <c r="EY148" s="559"/>
      <c r="EZ148" s="559"/>
      <c r="FA148" s="559"/>
      <c r="FB148" s="559"/>
      <c r="FC148" s="559"/>
      <c r="FD148" s="559"/>
      <c r="FE148" s="559"/>
      <c r="FF148" s="559"/>
      <c r="FG148" s="559"/>
      <c r="FH148" s="559"/>
      <c r="FI148" s="559"/>
      <c r="FJ148" s="559"/>
      <c r="FK148" s="559"/>
      <c r="FL148" s="559"/>
      <c r="FM148" s="559"/>
      <c r="FN148" s="559"/>
      <c r="FO148" s="559"/>
      <c r="FP148" s="559"/>
      <c r="FQ148" s="559"/>
      <c r="FR148" s="559"/>
      <c r="FS148" s="559"/>
      <c r="FT148" s="559"/>
      <c r="FU148" s="559"/>
      <c r="FV148" s="559"/>
      <c r="FW148" s="559"/>
      <c r="FX148" s="559"/>
      <c r="FY148" s="559"/>
      <c r="FZ148" s="559"/>
      <c r="GA148" s="559"/>
      <c r="GB148" s="559"/>
      <c r="GC148" s="559"/>
      <c r="GD148" s="559"/>
      <c r="GE148" s="559"/>
      <c r="GF148" s="559"/>
      <c r="GG148" s="559"/>
      <c r="GH148" s="559"/>
    </row>
    <row r="149">
      <c r="A149" s="538"/>
      <c r="B149" s="156"/>
      <c r="C149" s="444"/>
      <c r="D149" s="614"/>
      <c r="E149" s="66"/>
      <c r="F149" s="642"/>
      <c r="G149" s="642"/>
      <c r="H149" s="615"/>
      <c r="I149" s="616" t="s">
        <v>365</v>
      </c>
      <c r="J149" s="624"/>
      <c r="K149" s="643"/>
      <c r="L149" s="640"/>
      <c r="M149" s="625"/>
      <c r="N149" s="617"/>
      <c r="O149" s="134"/>
      <c r="P149" s="57"/>
      <c r="Q149" s="57"/>
      <c r="S149" s="605"/>
      <c r="U149" s="573"/>
      <c r="V149" s="574"/>
      <c r="W149" s="618"/>
      <c r="X149" s="576">
        <v>0.0</v>
      </c>
      <c r="Y149" s="630">
        <v>0.0</v>
      </c>
      <c r="Z149" s="630" t="s">
        <v>365</v>
      </c>
      <c r="AA149" s="631" t="b">
        <v>0</v>
      </c>
      <c r="AB149" s="631"/>
      <c r="AC149" s="576"/>
      <c r="AD149" s="479">
        <v>0.0</v>
      </c>
      <c r="AE149" s="632"/>
      <c r="AF149" s="582" t="s">
        <v>365</v>
      </c>
      <c r="AG149" s="583"/>
      <c r="AH149" s="584"/>
      <c r="AI149" s="583"/>
      <c r="AJ149" s="585"/>
      <c r="AK149" s="583"/>
      <c r="AL149" s="584"/>
      <c r="AM149" s="583"/>
      <c r="AN149" s="585"/>
      <c r="AO149" s="583"/>
      <c r="AP149" s="584"/>
      <c r="AQ149" s="583"/>
      <c r="AR149" s="585"/>
      <c r="AS149" s="583"/>
      <c r="AT149" s="584"/>
      <c r="AU149" s="583"/>
      <c r="AV149" s="585"/>
      <c r="AW149" s="583"/>
      <c r="AX149" s="584"/>
      <c r="AY149" s="583"/>
      <c r="AZ149" s="585"/>
      <c r="BA149" s="583"/>
      <c r="BB149" s="584"/>
      <c r="BC149" s="583"/>
      <c r="BD149" s="585"/>
      <c r="BE149" s="583"/>
      <c r="BF149" s="584"/>
      <c r="BG149" s="583"/>
      <c r="BH149" s="585"/>
      <c r="BI149" s="583"/>
      <c r="BJ149" s="584"/>
      <c r="BK149" s="583"/>
      <c r="BL149" s="585"/>
      <c r="BM149" s="583"/>
      <c r="BN149" s="584"/>
      <c r="BO149" s="583"/>
      <c r="BP149" s="585"/>
      <c r="BQ149" s="583"/>
      <c r="BR149" s="584"/>
      <c r="BS149" s="583"/>
      <c r="BT149" s="586"/>
      <c r="BU149" s="540"/>
      <c r="BV149" s="540"/>
      <c r="BW149" s="540"/>
      <c r="BX149" s="538"/>
      <c r="BY149" s="538"/>
      <c r="BZ149" s="592"/>
      <c r="CA149" s="633"/>
      <c r="CB149" s="592" t="s">
        <v>365</v>
      </c>
      <c r="CC149" s="592">
        <v>0.0</v>
      </c>
      <c r="CD149" s="592" t="s">
        <v>365</v>
      </c>
      <c r="CE149" s="592">
        <v>0.0</v>
      </c>
      <c r="CF149" s="592"/>
      <c r="CG149" s="592">
        <v>0.0</v>
      </c>
      <c r="CH149" s="592"/>
      <c r="CI149" s="633"/>
      <c r="CJ149" s="592">
        <v>0.0</v>
      </c>
      <c r="CK149" s="479" t="s">
        <v>365</v>
      </c>
      <c r="CL149" s="592"/>
      <c r="CM149" s="593"/>
      <c r="CN149" s="538"/>
      <c r="CO149" s="538"/>
      <c r="CP149" s="538"/>
      <c r="CQ149" s="538"/>
      <c r="CR149" s="538"/>
      <c r="CS149" s="538"/>
      <c r="CT149" s="538"/>
      <c r="CU149" s="538"/>
      <c r="CV149" s="538"/>
      <c r="CW149" s="538"/>
      <c r="CX149" s="538"/>
      <c r="CY149" s="538"/>
      <c r="CZ149" s="538"/>
      <c r="DA149" s="538"/>
      <c r="DB149" s="538"/>
      <c r="DC149" s="538"/>
      <c r="DD149" s="538"/>
      <c r="DE149" s="538"/>
      <c r="DF149" s="538"/>
      <c r="DG149" s="538"/>
      <c r="DH149" s="538"/>
      <c r="DI149" s="538"/>
      <c r="DJ149" s="538"/>
      <c r="DK149" s="538"/>
      <c r="DL149" s="538"/>
      <c r="DM149" s="538"/>
      <c r="DN149" s="538"/>
      <c r="DO149" s="538"/>
      <c r="DP149" s="538"/>
      <c r="DQ149" s="538"/>
      <c r="DR149" s="538"/>
      <c r="DS149" s="538"/>
      <c r="DT149" s="538"/>
      <c r="DU149" s="538"/>
      <c r="DV149" s="538"/>
      <c r="DW149" s="538"/>
      <c r="DX149" s="538"/>
      <c r="DY149" s="538"/>
      <c r="DZ149" s="538"/>
      <c r="EA149" s="538"/>
      <c r="EB149" s="538"/>
      <c r="EC149" s="538"/>
      <c r="ED149" s="538"/>
      <c r="EE149" s="538"/>
      <c r="EF149" s="538"/>
      <c r="EG149" s="538"/>
      <c r="EH149" s="538"/>
      <c r="EI149" s="538"/>
      <c r="EJ149" s="538"/>
      <c r="EK149" s="538"/>
      <c r="EL149" s="538"/>
      <c r="EM149" s="538"/>
      <c r="EN149" s="538"/>
      <c r="EO149" s="538"/>
      <c r="EP149" s="538"/>
      <c r="EQ149" s="538"/>
      <c r="ER149" s="538"/>
      <c r="ES149" s="538"/>
      <c r="ET149" s="538"/>
      <c r="EU149" s="538"/>
      <c r="EV149" s="538"/>
      <c r="EW149" s="538"/>
      <c r="EX149" s="559"/>
      <c r="EY149" s="559"/>
      <c r="EZ149" s="559"/>
      <c r="FA149" s="559"/>
      <c r="FB149" s="559"/>
      <c r="FC149" s="559"/>
      <c r="FD149" s="559"/>
      <c r="FE149" s="559"/>
      <c r="FF149" s="559"/>
      <c r="FG149" s="559"/>
      <c r="FH149" s="559"/>
      <c r="FI149" s="559"/>
      <c r="FJ149" s="559"/>
      <c r="FK149" s="559"/>
      <c r="FL149" s="559"/>
      <c r="FM149" s="559"/>
      <c r="FN149" s="559"/>
      <c r="FO149" s="559"/>
      <c r="FP149" s="559"/>
      <c r="FQ149" s="559"/>
      <c r="FR149" s="559"/>
      <c r="FS149" s="559"/>
      <c r="FT149" s="559"/>
      <c r="FU149" s="559"/>
      <c r="FV149" s="559"/>
      <c r="FW149" s="559"/>
      <c r="FX149" s="559"/>
      <c r="FY149" s="559"/>
      <c r="FZ149" s="559"/>
      <c r="GA149" s="559"/>
      <c r="GB149" s="559"/>
      <c r="GC149" s="559"/>
      <c r="GD149" s="559"/>
      <c r="GE149" s="559"/>
      <c r="GF149" s="559"/>
      <c r="GG149" s="559"/>
      <c r="GH149" s="559"/>
    </row>
    <row r="150">
      <c r="A150" s="538"/>
      <c r="B150" s="156"/>
      <c r="C150" s="444"/>
      <c r="D150" s="614"/>
      <c r="E150" s="68"/>
      <c r="F150" s="644"/>
      <c r="G150" s="644"/>
      <c r="H150" s="627"/>
      <c r="I150" s="622" t="s">
        <v>365</v>
      </c>
      <c r="J150" s="607"/>
      <c r="K150" s="641"/>
      <c r="L150" s="628"/>
      <c r="M150" s="626"/>
      <c r="N150" s="619"/>
      <c r="O150" s="560"/>
      <c r="P150" s="47"/>
      <c r="Q150" s="47"/>
      <c r="S150" s="572"/>
      <c r="U150" s="573"/>
      <c r="V150" s="574"/>
      <c r="W150" s="618"/>
      <c r="X150" s="576">
        <v>0.0</v>
      </c>
      <c r="Y150" s="630">
        <v>0.0</v>
      </c>
      <c r="Z150" s="630" t="s">
        <v>365</v>
      </c>
      <c r="AA150" s="631" t="b">
        <v>0</v>
      </c>
      <c r="AB150" s="631"/>
      <c r="AC150" s="576"/>
      <c r="AD150" s="479">
        <v>0.0</v>
      </c>
      <c r="AE150" s="632"/>
      <c r="AF150" s="582" t="s">
        <v>365</v>
      </c>
      <c r="AG150" s="583"/>
      <c r="AH150" s="584"/>
      <c r="AI150" s="583"/>
      <c r="AJ150" s="585"/>
      <c r="AK150" s="583"/>
      <c r="AL150" s="584"/>
      <c r="AM150" s="583"/>
      <c r="AN150" s="585"/>
      <c r="AO150" s="583"/>
      <c r="AP150" s="584"/>
      <c r="AQ150" s="583"/>
      <c r="AR150" s="585"/>
      <c r="AS150" s="583"/>
      <c r="AT150" s="584"/>
      <c r="AU150" s="583"/>
      <c r="AV150" s="585"/>
      <c r="AW150" s="583"/>
      <c r="AX150" s="584"/>
      <c r="AY150" s="583"/>
      <c r="AZ150" s="585"/>
      <c r="BA150" s="583"/>
      <c r="BB150" s="584"/>
      <c r="BC150" s="583"/>
      <c r="BD150" s="585"/>
      <c r="BE150" s="583"/>
      <c r="BF150" s="584"/>
      <c r="BG150" s="583"/>
      <c r="BH150" s="585"/>
      <c r="BI150" s="583"/>
      <c r="BJ150" s="584"/>
      <c r="BK150" s="583"/>
      <c r="BL150" s="585"/>
      <c r="BM150" s="583"/>
      <c r="BN150" s="584"/>
      <c r="BO150" s="583"/>
      <c r="BP150" s="585"/>
      <c r="BQ150" s="583"/>
      <c r="BR150" s="584"/>
      <c r="BS150" s="583"/>
      <c r="BT150" s="586"/>
      <c r="BU150" s="540"/>
      <c r="BV150" s="540"/>
      <c r="BW150" s="540"/>
      <c r="BX150" s="538"/>
      <c r="BY150" s="538"/>
      <c r="BZ150" s="592"/>
      <c r="CA150" s="633"/>
      <c r="CB150" s="592" t="s">
        <v>365</v>
      </c>
      <c r="CC150" s="592">
        <v>0.0</v>
      </c>
      <c r="CD150" s="592" t="s">
        <v>365</v>
      </c>
      <c r="CE150" s="592">
        <v>0.0</v>
      </c>
      <c r="CF150" s="592"/>
      <c r="CG150" s="592">
        <v>0.0</v>
      </c>
      <c r="CH150" s="592"/>
      <c r="CI150" s="633"/>
      <c r="CJ150" s="592">
        <v>0.0</v>
      </c>
      <c r="CK150" s="479" t="s">
        <v>365</v>
      </c>
      <c r="CL150" s="592"/>
      <c r="CM150" s="593"/>
      <c r="CN150" s="538"/>
      <c r="CO150" s="538"/>
      <c r="CP150" s="538"/>
      <c r="CQ150" s="538"/>
      <c r="CR150" s="538"/>
      <c r="CS150" s="538"/>
      <c r="CT150" s="538"/>
      <c r="CU150" s="538"/>
      <c r="CV150" s="538"/>
      <c r="CW150" s="538"/>
      <c r="CX150" s="538"/>
      <c r="CY150" s="538"/>
      <c r="CZ150" s="538"/>
      <c r="DA150" s="538"/>
      <c r="DB150" s="538"/>
      <c r="DC150" s="538"/>
      <c r="DD150" s="538"/>
      <c r="DE150" s="538"/>
      <c r="DF150" s="538"/>
      <c r="DG150" s="538"/>
      <c r="DH150" s="538"/>
      <c r="DI150" s="538"/>
      <c r="DJ150" s="538"/>
      <c r="DK150" s="538"/>
      <c r="DL150" s="538"/>
      <c r="DM150" s="538"/>
      <c r="DN150" s="538"/>
      <c r="DO150" s="538"/>
      <c r="DP150" s="538"/>
      <c r="DQ150" s="538"/>
      <c r="DR150" s="538"/>
      <c r="DS150" s="538"/>
      <c r="DT150" s="538"/>
      <c r="DU150" s="538"/>
      <c r="DV150" s="538"/>
      <c r="DW150" s="538"/>
      <c r="DX150" s="538"/>
      <c r="DY150" s="538"/>
      <c r="DZ150" s="538"/>
      <c r="EA150" s="538"/>
      <c r="EB150" s="538"/>
      <c r="EC150" s="538"/>
      <c r="ED150" s="538"/>
      <c r="EE150" s="538"/>
      <c r="EF150" s="538"/>
      <c r="EG150" s="538"/>
      <c r="EH150" s="538"/>
      <c r="EI150" s="538"/>
      <c r="EJ150" s="538"/>
      <c r="EK150" s="538"/>
      <c r="EL150" s="538"/>
      <c r="EM150" s="538"/>
      <c r="EN150" s="538"/>
      <c r="EO150" s="538"/>
      <c r="EP150" s="538"/>
      <c r="EQ150" s="538"/>
      <c r="ER150" s="538"/>
      <c r="ES150" s="538"/>
      <c r="ET150" s="538"/>
      <c r="EU150" s="538"/>
      <c r="EV150" s="538"/>
      <c r="EW150" s="538"/>
      <c r="EX150" s="559"/>
      <c r="EY150" s="559"/>
      <c r="EZ150" s="559"/>
      <c r="FA150" s="559"/>
      <c r="FB150" s="559"/>
      <c r="FC150" s="559"/>
      <c r="FD150" s="559"/>
      <c r="FE150" s="559"/>
      <c r="FF150" s="559"/>
      <c r="FG150" s="559"/>
      <c r="FH150" s="559"/>
      <c r="FI150" s="559"/>
      <c r="FJ150" s="559"/>
      <c r="FK150" s="559"/>
      <c r="FL150" s="559"/>
      <c r="FM150" s="559"/>
      <c r="FN150" s="559"/>
      <c r="FO150" s="559"/>
      <c r="FP150" s="559"/>
      <c r="FQ150" s="559"/>
      <c r="FR150" s="559"/>
      <c r="FS150" s="559"/>
      <c r="FT150" s="559"/>
      <c r="FU150" s="559"/>
      <c r="FV150" s="559"/>
      <c r="FW150" s="559"/>
      <c r="FX150" s="559"/>
      <c r="FY150" s="559"/>
      <c r="FZ150" s="559"/>
      <c r="GA150" s="559"/>
      <c r="GB150" s="559"/>
      <c r="GC150" s="559"/>
      <c r="GD150" s="559"/>
      <c r="GE150" s="559"/>
      <c r="GF150" s="559"/>
      <c r="GG150" s="559"/>
      <c r="GH150" s="559"/>
    </row>
    <row r="151">
      <c r="A151" s="538"/>
      <c r="B151" s="156"/>
      <c r="C151" s="444"/>
      <c r="D151" s="614"/>
      <c r="E151" s="66"/>
      <c r="F151" s="642"/>
      <c r="G151" s="642"/>
      <c r="H151" s="615"/>
      <c r="I151" s="616" t="s">
        <v>365</v>
      </c>
      <c r="J151" s="624"/>
      <c r="K151" s="643"/>
      <c r="L151" s="640"/>
      <c r="M151" s="625"/>
      <c r="N151" s="617"/>
      <c r="O151" s="134"/>
      <c r="P151" s="57"/>
      <c r="Q151" s="57"/>
      <c r="S151" s="605"/>
      <c r="U151" s="573"/>
      <c r="V151" s="574"/>
      <c r="W151" s="618"/>
      <c r="X151" s="576">
        <v>0.0</v>
      </c>
      <c r="Y151" s="630">
        <v>0.0</v>
      </c>
      <c r="Z151" s="630" t="s">
        <v>365</v>
      </c>
      <c r="AA151" s="631" t="b">
        <v>0</v>
      </c>
      <c r="AB151" s="631"/>
      <c r="AC151" s="576"/>
      <c r="AD151" s="479">
        <v>0.0</v>
      </c>
      <c r="AE151" s="632"/>
      <c r="AF151" s="582" t="s">
        <v>365</v>
      </c>
      <c r="AG151" s="583"/>
      <c r="AH151" s="584"/>
      <c r="AI151" s="583"/>
      <c r="AJ151" s="585"/>
      <c r="AK151" s="583"/>
      <c r="AL151" s="584"/>
      <c r="AM151" s="583"/>
      <c r="AN151" s="585"/>
      <c r="AO151" s="583"/>
      <c r="AP151" s="584"/>
      <c r="AQ151" s="583"/>
      <c r="AR151" s="585"/>
      <c r="AS151" s="583"/>
      <c r="AT151" s="584"/>
      <c r="AU151" s="583"/>
      <c r="AV151" s="585"/>
      <c r="AW151" s="583"/>
      <c r="AX151" s="584"/>
      <c r="AY151" s="583"/>
      <c r="AZ151" s="585"/>
      <c r="BA151" s="583"/>
      <c r="BB151" s="584"/>
      <c r="BC151" s="583"/>
      <c r="BD151" s="585"/>
      <c r="BE151" s="583"/>
      <c r="BF151" s="584"/>
      <c r="BG151" s="583"/>
      <c r="BH151" s="585"/>
      <c r="BI151" s="583"/>
      <c r="BJ151" s="584"/>
      <c r="BK151" s="583"/>
      <c r="BL151" s="585"/>
      <c r="BM151" s="583"/>
      <c r="BN151" s="584"/>
      <c r="BO151" s="583"/>
      <c r="BP151" s="585"/>
      <c r="BQ151" s="583"/>
      <c r="BR151" s="584"/>
      <c r="BS151" s="583"/>
      <c r="BT151" s="586"/>
      <c r="BU151" s="540"/>
      <c r="BV151" s="540"/>
      <c r="BW151" s="540"/>
      <c r="BX151" s="538"/>
      <c r="BY151" s="538"/>
      <c r="BZ151" s="592"/>
      <c r="CA151" s="633"/>
      <c r="CB151" s="592" t="s">
        <v>365</v>
      </c>
      <c r="CC151" s="592">
        <v>0.0</v>
      </c>
      <c r="CD151" s="592" t="s">
        <v>365</v>
      </c>
      <c r="CE151" s="592">
        <v>0.0</v>
      </c>
      <c r="CF151" s="592"/>
      <c r="CG151" s="592">
        <v>0.0</v>
      </c>
      <c r="CH151" s="592"/>
      <c r="CI151" s="633"/>
      <c r="CJ151" s="592">
        <v>0.0</v>
      </c>
      <c r="CK151" s="479" t="s">
        <v>365</v>
      </c>
      <c r="CL151" s="592"/>
      <c r="CM151" s="593"/>
      <c r="CN151" s="538"/>
      <c r="CO151" s="538"/>
      <c r="CP151" s="538"/>
      <c r="CQ151" s="538"/>
      <c r="CR151" s="538"/>
      <c r="CS151" s="538"/>
      <c r="CT151" s="538"/>
      <c r="CU151" s="538"/>
      <c r="CV151" s="538"/>
      <c r="CW151" s="538"/>
      <c r="CX151" s="538"/>
      <c r="CY151" s="538"/>
      <c r="CZ151" s="538"/>
      <c r="DA151" s="538"/>
      <c r="DB151" s="538"/>
      <c r="DC151" s="538"/>
      <c r="DD151" s="538"/>
      <c r="DE151" s="538"/>
      <c r="DF151" s="538"/>
      <c r="DG151" s="538"/>
      <c r="DH151" s="538"/>
      <c r="DI151" s="538"/>
      <c r="DJ151" s="538"/>
      <c r="DK151" s="538"/>
      <c r="DL151" s="538"/>
      <c r="DM151" s="538"/>
      <c r="DN151" s="538"/>
      <c r="DO151" s="538"/>
      <c r="DP151" s="538"/>
      <c r="DQ151" s="538"/>
      <c r="DR151" s="538"/>
      <c r="DS151" s="538"/>
      <c r="DT151" s="538"/>
      <c r="DU151" s="538"/>
      <c r="DV151" s="538"/>
      <c r="DW151" s="538"/>
      <c r="DX151" s="538"/>
      <c r="DY151" s="538"/>
      <c r="DZ151" s="538"/>
      <c r="EA151" s="538"/>
      <c r="EB151" s="538"/>
      <c r="EC151" s="538"/>
      <c r="ED151" s="538"/>
      <c r="EE151" s="538"/>
      <c r="EF151" s="538"/>
      <c r="EG151" s="538"/>
      <c r="EH151" s="538"/>
      <c r="EI151" s="538"/>
      <c r="EJ151" s="538"/>
      <c r="EK151" s="538"/>
      <c r="EL151" s="538"/>
      <c r="EM151" s="538"/>
      <c r="EN151" s="538"/>
      <c r="EO151" s="538"/>
      <c r="EP151" s="538"/>
      <c r="EQ151" s="538"/>
      <c r="ER151" s="538"/>
      <c r="ES151" s="538"/>
      <c r="ET151" s="538"/>
      <c r="EU151" s="538"/>
      <c r="EV151" s="538"/>
      <c r="EW151" s="538"/>
      <c r="EX151" s="559"/>
      <c r="EY151" s="559"/>
      <c r="EZ151" s="559"/>
      <c r="FA151" s="559"/>
      <c r="FB151" s="559"/>
      <c r="FC151" s="559"/>
      <c r="FD151" s="559"/>
      <c r="FE151" s="559"/>
      <c r="FF151" s="559"/>
      <c r="FG151" s="559"/>
      <c r="FH151" s="559"/>
      <c r="FI151" s="559"/>
      <c r="FJ151" s="559"/>
      <c r="FK151" s="559"/>
      <c r="FL151" s="559"/>
      <c r="FM151" s="559"/>
      <c r="FN151" s="559"/>
      <c r="FO151" s="559"/>
      <c r="FP151" s="559"/>
      <c r="FQ151" s="559"/>
      <c r="FR151" s="559"/>
      <c r="FS151" s="559"/>
      <c r="FT151" s="559"/>
      <c r="FU151" s="559"/>
      <c r="FV151" s="559"/>
      <c r="FW151" s="559"/>
      <c r="FX151" s="559"/>
      <c r="FY151" s="559"/>
      <c r="FZ151" s="559"/>
      <c r="GA151" s="559"/>
      <c r="GB151" s="559"/>
      <c r="GC151" s="559"/>
      <c r="GD151" s="559"/>
      <c r="GE151" s="559"/>
      <c r="GF151" s="559"/>
      <c r="GG151" s="559"/>
      <c r="GH151" s="559"/>
    </row>
    <row r="152">
      <c r="A152" s="538"/>
      <c r="B152" s="156"/>
      <c r="C152" s="444"/>
      <c r="D152" s="614"/>
      <c r="E152" s="68"/>
      <c r="F152" s="644"/>
      <c r="G152" s="644"/>
      <c r="H152" s="627"/>
      <c r="I152" s="622" t="s">
        <v>365</v>
      </c>
      <c r="J152" s="607"/>
      <c r="K152" s="641"/>
      <c r="L152" s="628"/>
      <c r="M152" s="626"/>
      <c r="N152" s="619"/>
      <c r="O152" s="560"/>
      <c r="P152" s="47"/>
      <c r="Q152" s="47"/>
      <c r="S152" s="572"/>
      <c r="U152" s="573"/>
      <c r="V152" s="574"/>
      <c r="W152" s="618"/>
      <c r="X152" s="576">
        <v>0.0</v>
      </c>
      <c r="Y152" s="630">
        <v>0.0</v>
      </c>
      <c r="Z152" s="630" t="s">
        <v>365</v>
      </c>
      <c r="AA152" s="631" t="b">
        <v>0</v>
      </c>
      <c r="AB152" s="631"/>
      <c r="AC152" s="576"/>
      <c r="AD152" s="479">
        <v>0.0</v>
      </c>
      <c r="AE152" s="632"/>
      <c r="AF152" s="582" t="s">
        <v>365</v>
      </c>
      <c r="AG152" s="583"/>
      <c r="AH152" s="584"/>
      <c r="AI152" s="583"/>
      <c r="AJ152" s="585"/>
      <c r="AK152" s="583"/>
      <c r="AL152" s="584"/>
      <c r="AM152" s="583"/>
      <c r="AN152" s="585"/>
      <c r="AO152" s="583"/>
      <c r="AP152" s="584"/>
      <c r="AQ152" s="583"/>
      <c r="AR152" s="585"/>
      <c r="AS152" s="583"/>
      <c r="AT152" s="584"/>
      <c r="AU152" s="583"/>
      <c r="AV152" s="585"/>
      <c r="AW152" s="583"/>
      <c r="AX152" s="584"/>
      <c r="AY152" s="583"/>
      <c r="AZ152" s="585"/>
      <c r="BA152" s="583"/>
      <c r="BB152" s="584"/>
      <c r="BC152" s="583"/>
      <c r="BD152" s="585"/>
      <c r="BE152" s="583"/>
      <c r="BF152" s="584"/>
      <c r="BG152" s="583"/>
      <c r="BH152" s="585"/>
      <c r="BI152" s="583"/>
      <c r="BJ152" s="584"/>
      <c r="BK152" s="583"/>
      <c r="BL152" s="585"/>
      <c r="BM152" s="583"/>
      <c r="BN152" s="584"/>
      <c r="BO152" s="583"/>
      <c r="BP152" s="585"/>
      <c r="BQ152" s="583"/>
      <c r="BR152" s="584"/>
      <c r="BS152" s="583"/>
      <c r="BT152" s="586"/>
      <c r="BU152" s="540"/>
      <c r="BV152" s="540"/>
      <c r="BW152" s="540"/>
      <c r="BX152" s="538"/>
      <c r="BY152" s="538"/>
      <c r="BZ152" s="592"/>
      <c r="CA152" s="633"/>
      <c r="CB152" s="592" t="s">
        <v>365</v>
      </c>
      <c r="CC152" s="592">
        <v>0.0</v>
      </c>
      <c r="CD152" s="592" t="s">
        <v>365</v>
      </c>
      <c r="CE152" s="592">
        <v>0.0</v>
      </c>
      <c r="CF152" s="592"/>
      <c r="CG152" s="592">
        <v>0.0</v>
      </c>
      <c r="CH152" s="592"/>
      <c r="CI152" s="633"/>
      <c r="CJ152" s="592">
        <v>0.0</v>
      </c>
      <c r="CK152" s="479" t="s">
        <v>365</v>
      </c>
      <c r="CL152" s="592"/>
      <c r="CM152" s="593"/>
      <c r="CN152" s="538"/>
      <c r="CO152" s="538"/>
      <c r="CP152" s="538"/>
      <c r="CQ152" s="538"/>
      <c r="CR152" s="538"/>
      <c r="CS152" s="538"/>
      <c r="CT152" s="538"/>
      <c r="CU152" s="538"/>
      <c r="CV152" s="538"/>
      <c r="CW152" s="538"/>
      <c r="CX152" s="538"/>
      <c r="CY152" s="538"/>
      <c r="CZ152" s="538"/>
      <c r="DA152" s="538"/>
      <c r="DB152" s="538"/>
      <c r="DC152" s="538"/>
      <c r="DD152" s="538"/>
      <c r="DE152" s="538"/>
      <c r="DF152" s="538"/>
      <c r="DG152" s="538"/>
      <c r="DH152" s="538"/>
      <c r="DI152" s="538"/>
      <c r="DJ152" s="538"/>
      <c r="DK152" s="538"/>
      <c r="DL152" s="538"/>
      <c r="DM152" s="538"/>
      <c r="DN152" s="538"/>
      <c r="DO152" s="538"/>
      <c r="DP152" s="538"/>
      <c r="DQ152" s="538"/>
      <c r="DR152" s="538"/>
      <c r="DS152" s="538"/>
      <c r="DT152" s="538"/>
      <c r="DU152" s="538"/>
      <c r="DV152" s="538"/>
      <c r="DW152" s="538"/>
      <c r="DX152" s="538"/>
      <c r="DY152" s="538"/>
      <c r="DZ152" s="538"/>
      <c r="EA152" s="538"/>
      <c r="EB152" s="538"/>
      <c r="EC152" s="538"/>
      <c r="ED152" s="538"/>
      <c r="EE152" s="538"/>
      <c r="EF152" s="538"/>
      <c r="EG152" s="538"/>
      <c r="EH152" s="538"/>
      <c r="EI152" s="538"/>
      <c r="EJ152" s="538"/>
      <c r="EK152" s="538"/>
      <c r="EL152" s="538"/>
      <c r="EM152" s="538"/>
      <c r="EN152" s="538"/>
      <c r="EO152" s="538"/>
      <c r="EP152" s="538"/>
      <c r="EQ152" s="538"/>
      <c r="ER152" s="538"/>
      <c r="ES152" s="538"/>
      <c r="ET152" s="538"/>
      <c r="EU152" s="538"/>
      <c r="EV152" s="538"/>
      <c r="EW152" s="538"/>
      <c r="EX152" s="559"/>
      <c r="EY152" s="559"/>
      <c r="EZ152" s="559"/>
      <c r="FA152" s="559"/>
      <c r="FB152" s="559"/>
      <c r="FC152" s="559"/>
      <c r="FD152" s="559"/>
      <c r="FE152" s="559"/>
      <c r="FF152" s="559"/>
      <c r="FG152" s="559"/>
      <c r="FH152" s="559"/>
      <c r="FI152" s="559"/>
      <c r="FJ152" s="559"/>
      <c r="FK152" s="559"/>
      <c r="FL152" s="559"/>
      <c r="FM152" s="559"/>
      <c r="FN152" s="559"/>
      <c r="FO152" s="559"/>
      <c r="FP152" s="559"/>
      <c r="FQ152" s="559"/>
      <c r="FR152" s="559"/>
      <c r="FS152" s="559"/>
      <c r="FT152" s="559"/>
      <c r="FU152" s="559"/>
      <c r="FV152" s="559"/>
      <c r="FW152" s="559"/>
      <c r="FX152" s="559"/>
      <c r="FY152" s="559"/>
      <c r="FZ152" s="559"/>
      <c r="GA152" s="559"/>
      <c r="GB152" s="559"/>
      <c r="GC152" s="559"/>
      <c r="GD152" s="559"/>
      <c r="GE152" s="559"/>
      <c r="GF152" s="559"/>
      <c r="GG152" s="559"/>
      <c r="GH152" s="559"/>
    </row>
    <row r="153">
      <c r="A153" s="538"/>
      <c r="B153" s="156"/>
      <c r="C153" s="444"/>
      <c r="D153" s="614"/>
      <c r="E153" s="66"/>
      <c r="F153" s="642"/>
      <c r="G153" s="642"/>
      <c r="H153" s="615"/>
      <c r="I153" s="616" t="s">
        <v>365</v>
      </c>
      <c r="J153" s="624"/>
      <c r="K153" s="643"/>
      <c r="L153" s="640"/>
      <c r="M153" s="625"/>
      <c r="N153" s="617"/>
      <c r="O153" s="134"/>
      <c r="P153" s="57"/>
      <c r="Q153" s="57"/>
      <c r="S153" s="605"/>
      <c r="U153" s="573"/>
      <c r="V153" s="574"/>
      <c r="W153" s="618"/>
      <c r="X153" s="576">
        <v>0.0</v>
      </c>
      <c r="Y153" s="630">
        <v>0.0</v>
      </c>
      <c r="Z153" s="630" t="s">
        <v>365</v>
      </c>
      <c r="AA153" s="631" t="b">
        <v>0</v>
      </c>
      <c r="AB153" s="631"/>
      <c r="AC153" s="576"/>
      <c r="AD153" s="479">
        <v>0.0</v>
      </c>
      <c r="AE153" s="632"/>
      <c r="AF153" s="582" t="s">
        <v>365</v>
      </c>
      <c r="AG153" s="583"/>
      <c r="AH153" s="584"/>
      <c r="AI153" s="583"/>
      <c r="AJ153" s="585"/>
      <c r="AK153" s="583"/>
      <c r="AL153" s="584"/>
      <c r="AM153" s="583"/>
      <c r="AN153" s="585"/>
      <c r="AO153" s="583"/>
      <c r="AP153" s="584"/>
      <c r="AQ153" s="583"/>
      <c r="AR153" s="585"/>
      <c r="AS153" s="583"/>
      <c r="AT153" s="584"/>
      <c r="AU153" s="583"/>
      <c r="AV153" s="585"/>
      <c r="AW153" s="583"/>
      <c r="AX153" s="584"/>
      <c r="AY153" s="583"/>
      <c r="AZ153" s="585"/>
      <c r="BA153" s="583"/>
      <c r="BB153" s="584"/>
      <c r="BC153" s="583"/>
      <c r="BD153" s="585"/>
      <c r="BE153" s="583"/>
      <c r="BF153" s="584"/>
      <c r="BG153" s="583"/>
      <c r="BH153" s="585"/>
      <c r="BI153" s="583"/>
      <c r="BJ153" s="584"/>
      <c r="BK153" s="583"/>
      <c r="BL153" s="585"/>
      <c r="BM153" s="583"/>
      <c r="BN153" s="584"/>
      <c r="BO153" s="583"/>
      <c r="BP153" s="585"/>
      <c r="BQ153" s="583"/>
      <c r="BR153" s="584"/>
      <c r="BS153" s="583"/>
      <c r="BT153" s="586"/>
      <c r="BU153" s="540"/>
      <c r="BV153" s="540"/>
      <c r="BW153" s="540"/>
      <c r="BX153" s="538"/>
      <c r="BY153" s="538"/>
      <c r="BZ153" s="592"/>
      <c r="CA153" s="633"/>
      <c r="CB153" s="592" t="s">
        <v>365</v>
      </c>
      <c r="CC153" s="592">
        <v>0.0</v>
      </c>
      <c r="CD153" s="592" t="s">
        <v>365</v>
      </c>
      <c r="CE153" s="592">
        <v>0.0</v>
      </c>
      <c r="CF153" s="592"/>
      <c r="CG153" s="592">
        <v>0.0</v>
      </c>
      <c r="CH153" s="592"/>
      <c r="CI153" s="633"/>
      <c r="CJ153" s="592">
        <v>0.0</v>
      </c>
      <c r="CK153" s="479" t="s">
        <v>365</v>
      </c>
      <c r="CL153" s="592"/>
      <c r="CM153" s="593"/>
      <c r="CN153" s="538"/>
      <c r="CO153" s="538"/>
      <c r="CP153" s="538"/>
      <c r="CQ153" s="538"/>
      <c r="CR153" s="538"/>
      <c r="CS153" s="538"/>
      <c r="CT153" s="538"/>
      <c r="CU153" s="538"/>
      <c r="CV153" s="538"/>
      <c r="CW153" s="538"/>
      <c r="CX153" s="538"/>
      <c r="CY153" s="538"/>
      <c r="CZ153" s="538"/>
      <c r="DA153" s="538"/>
      <c r="DB153" s="538"/>
      <c r="DC153" s="538"/>
      <c r="DD153" s="538"/>
      <c r="DE153" s="538"/>
      <c r="DF153" s="538"/>
      <c r="DG153" s="538"/>
      <c r="DH153" s="538"/>
      <c r="DI153" s="538"/>
      <c r="DJ153" s="538"/>
      <c r="DK153" s="538"/>
      <c r="DL153" s="538"/>
      <c r="DM153" s="538"/>
      <c r="DN153" s="538"/>
      <c r="DO153" s="538"/>
      <c r="DP153" s="538"/>
      <c r="DQ153" s="538"/>
      <c r="DR153" s="538"/>
      <c r="DS153" s="538"/>
      <c r="DT153" s="538"/>
      <c r="DU153" s="538"/>
      <c r="DV153" s="538"/>
      <c r="DW153" s="538"/>
      <c r="DX153" s="538"/>
      <c r="DY153" s="538"/>
      <c r="DZ153" s="538"/>
      <c r="EA153" s="538"/>
      <c r="EB153" s="538"/>
      <c r="EC153" s="538"/>
      <c r="ED153" s="538"/>
      <c r="EE153" s="538"/>
      <c r="EF153" s="538"/>
      <c r="EG153" s="538"/>
      <c r="EH153" s="538"/>
      <c r="EI153" s="538"/>
      <c r="EJ153" s="538"/>
      <c r="EK153" s="538"/>
      <c r="EL153" s="538"/>
      <c r="EM153" s="538"/>
      <c r="EN153" s="538"/>
      <c r="EO153" s="538"/>
      <c r="EP153" s="538"/>
      <c r="EQ153" s="538"/>
      <c r="ER153" s="538"/>
      <c r="ES153" s="538"/>
      <c r="ET153" s="538"/>
      <c r="EU153" s="538"/>
      <c r="EV153" s="538"/>
      <c r="EW153" s="538"/>
      <c r="EX153" s="559"/>
      <c r="EY153" s="559"/>
      <c r="EZ153" s="559"/>
      <c r="FA153" s="559"/>
      <c r="FB153" s="559"/>
      <c r="FC153" s="559"/>
      <c r="FD153" s="559"/>
      <c r="FE153" s="559"/>
      <c r="FF153" s="559"/>
      <c r="FG153" s="559"/>
      <c r="FH153" s="559"/>
      <c r="FI153" s="559"/>
      <c r="FJ153" s="559"/>
      <c r="FK153" s="559"/>
      <c r="FL153" s="559"/>
      <c r="FM153" s="559"/>
      <c r="FN153" s="559"/>
      <c r="FO153" s="559"/>
      <c r="FP153" s="559"/>
      <c r="FQ153" s="559"/>
      <c r="FR153" s="559"/>
      <c r="FS153" s="559"/>
      <c r="FT153" s="559"/>
      <c r="FU153" s="559"/>
      <c r="FV153" s="559"/>
      <c r="FW153" s="559"/>
      <c r="FX153" s="559"/>
      <c r="FY153" s="559"/>
      <c r="FZ153" s="559"/>
      <c r="GA153" s="559"/>
      <c r="GB153" s="559"/>
      <c r="GC153" s="559"/>
      <c r="GD153" s="559"/>
      <c r="GE153" s="559"/>
      <c r="GF153" s="559"/>
      <c r="GG153" s="559"/>
      <c r="GH153" s="559"/>
    </row>
    <row r="154">
      <c r="A154" s="538"/>
      <c r="B154" s="156"/>
      <c r="C154" s="444"/>
      <c r="D154" s="614"/>
      <c r="E154" s="68"/>
      <c r="F154" s="644"/>
      <c r="G154" s="644"/>
      <c r="H154" s="627"/>
      <c r="I154" s="622" t="s">
        <v>365</v>
      </c>
      <c r="J154" s="607"/>
      <c r="K154" s="641"/>
      <c r="L154" s="628"/>
      <c r="M154" s="626"/>
      <c r="N154" s="619"/>
      <c r="O154" s="560"/>
      <c r="P154" s="47"/>
      <c r="Q154" s="47"/>
      <c r="S154" s="572"/>
      <c r="U154" s="573"/>
      <c r="V154" s="574"/>
      <c r="W154" s="618"/>
      <c r="X154" s="576">
        <v>0.0</v>
      </c>
      <c r="Y154" s="630">
        <v>0.0</v>
      </c>
      <c r="Z154" s="630" t="s">
        <v>365</v>
      </c>
      <c r="AA154" s="631" t="b">
        <v>0</v>
      </c>
      <c r="AB154" s="631"/>
      <c r="AC154" s="576"/>
      <c r="AD154" s="479">
        <v>0.0</v>
      </c>
      <c r="AE154" s="632"/>
      <c r="AF154" s="582" t="s">
        <v>365</v>
      </c>
      <c r="AG154" s="583"/>
      <c r="AH154" s="584"/>
      <c r="AI154" s="583"/>
      <c r="AJ154" s="585"/>
      <c r="AK154" s="583"/>
      <c r="AL154" s="584"/>
      <c r="AM154" s="583"/>
      <c r="AN154" s="585"/>
      <c r="AO154" s="583"/>
      <c r="AP154" s="584"/>
      <c r="AQ154" s="583"/>
      <c r="AR154" s="585"/>
      <c r="AS154" s="583"/>
      <c r="AT154" s="584"/>
      <c r="AU154" s="583"/>
      <c r="AV154" s="585"/>
      <c r="AW154" s="583"/>
      <c r="AX154" s="584"/>
      <c r="AY154" s="583"/>
      <c r="AZ154" s="585"/>
      <c r="BA154" s="583"/>
      <c r="BB154" s="584"/>
      <c r="BC154" s="583"/>
      <c r="BD154" s="585"/>
      <c r="BE154" s="583"/>
      <c r="BF154" s="584"/>
      <c r="BG154" s="583"/>
      <c r="BH154" s="585"/>
      <c r="BI154" s="583"/>
      <c r="BJ154" s="584"/>
      <c r="BK154" s="583"/>
      <c r="BL154" s="585"/>
      <c r="BM154" s="583"/>
      <c r="BN154" s="584"/>
      <c r="BO154" s="583"/>
      <c r="BP154" s="585"/>
      <c r="BQ154" s="583"/>
      <c r="BR154" s="584"/>
      <c r="BS154" s="583"/>
      <c r="BT154" s="586"/>
      <c r="BU154" s="540"/>
      <c r="BV154" s="540"/>
      <c r="BW154" s="540"/>
      <c r="BX154" s="538"/>
      <c r="BY154" s="538"/>
      <c r="BZ154" s="592"/>
      <c r="CA154" s="633"/>
      <c r="CB154" s="592" t="s">
        <v>365</v>
      </c>
      <c r="CC154" s="592">
        <v>0.0</v>
      </c>
      <c r="CD154" s="592" t="s">
        <v>365</v>
      </c>
      <c r="CE154" s="592">
        <v>0.0</v>
      </c>
      <c r="CF154" s="592"/>
      <c r="CG154" s="592">
        <v>0.0</v>
      </c>
      <c r="CH154" s="592"/>
      <c r="CI154" s="633"/>
      <c r="CJ154" s="592">
        <v>0.0</v>
      </c>
      <c r="CK154" s="479" t="s">
        <v>365</v>
      </c>
      <c r="CL154" s="592"/>
      <c r="CM154" s="593"/>
      <c r="CN154" s="538"/>
      <c r="CO154" s="538"/>
      <c r="CP154" s="538"/>
      <c r="CQ154" s="538"/>
      <c r="CR154" s="538"/>
      <c r="CS154" s="538"/>
      <c r="CT154" s="538"/>
      <c r="CU154" s="538"/>
      <c r="CV154" s="538"/>
      <c r="CW154" s="538"/>
      <c r="CX154" s="538"/>
      <c r="CY154" s="538"/>
      <c r="CZ154" s="538"/>
      <c r="DA154" s="538"/>
      <c r="DB154" s="538"/>
      <c r="DC154" s="538"/>
      <c r="DD154" s="538"/>
      <c r="DE154" s="538"/>
      <c r="DF154" s="538"/>
      <c r="DG154" s="538"/>
      <c r="DH154" s="538"/>
      <c r="DI154" s="538"/>
      <c r="DJ154" s="538"/>
      <c r="DK154" s="538"/>
      <c r="DL154" s="538"/>
      <c r="DM154" s="538"/>
      <c r="DN154" s="538"/>
      <c r="DO154" s="538"/>
      <c r="DP154" s="538"/>
      <c r="DQ154" s="538"/>
      <c r="DR154" s="538"/>
      <c r="DS154" s="538"/>
      <c r="DT154" s="538"/>
      <c r="DU154" s="538"/>
      <c r="DV154" s="538"/>
      <c r="DW154" s="538"/>
      <c r="DX154" s="538"/>
      <c r="DY154" s="538"/>
      <c r="DZ154" s="538"/>
      <c r="EA154" s="538"/>
      <c r="EB154" s="538"/>
      <c r="EC154" s="538"/>
      <c r="ED154" s="538"/>
      <c r="EE154" s="538"/>
      <c r="EF154" s="538"/>
      <c r="EG154" s="538"/>
      <c r="EH154" s="538"/>
      <c r="EI154" s="538"/>
      <c r="EJ154" s="538"/>
      <c r="EK154" s="538"/>
      <c r="EL154" s="538"/>
      <c r="EM154" s="538"/>
      <c r="EN154" s="538"/>
      <c r="EO154" s="538"/>
      <c r="EP154" s="538"/>
      <c r="EQ154" s="538"/>
      <c r="ER154" s="538"/>
      <c r="ES154" s="538"/>
      <c r="ET154" s="538"/>
      <c r="EU154" s="538"/>
      <c r="EV154" s="538"/>
      <c r="EW154" s="538"/>
      <c r="EX154" s="559"/>
      <c r="EY154" s="559"/>
      <c r="EZ154" s="559"/>
      <c r="FA154" s="559"/>
      <c r="FB154" s="559"/>
      <c r="FC154" s="559"/>
      <c r="FD154" s="559"/>
      <c r="FE154" s="559"/>
      <c r="FF154" s="559"/>
      <c r="FG154" s="559"/>
      <c r="FH154" s="559"/>
      <c r="FI154" s="559"/>
      <c r="FJ154" s="559"/>
      <c r="FK154" s="559"/>
      <c r="FL154" s="559"/>
      <c r="FM154" s="559"/>
      <c r="FN154" s="559"/>
      <c r="FO154" s="559"/>
      <c r="FP154" s="559"/>
      <c r="FQ154" s="559"/>
      <c r="FR154" s="559"/>
      <c r="FS154" s="559"/>
      <c r="FT154" s="559"/>
      <c r="FU154" s="559"/>
      <c r="FV154" s="559"/>
      <c r="FW154" s="559"/>
      <c r="FX154" s="559"/>
      <c r="FY154" s="559"/>
      <c r="FZ154" s="559"/>
      <c r="GA154" s="559"/>
      <c r="GB154" s="559"/>
      <c r="GC154" s="559"/>
      <c r="GD154" s="559"/>
      <c r="GE154" s="559"/>
      <c r="GF154" s="559"/>
      <c r="GG154" s="559"/>
      <c r="GH154" s="559"/>
    </row>
    <row r="155">
      <c r="A155" s="538"/>
      <c r="B155" s="156"/>
      <c r="C155" s="444"/>
      <c r="D155" s="614"/>
      <c r="E155" s="66"/>
      <c r="F155" s="642"/>
      <c r="G155" s="642"/>
      <c r="H155" s="615"/>
      <c r="I155" s="616" t="s">
        <v>365</v>
      </c>
      <c r="J155" s="624"/>
      <c r="K155" s="643"/>
      <c r="L155" s="640"/>
      <c r="M155" s="625"/>
      <c r="N155" s="617"/>
      <c r="O155" s="134"/>
      <c r="P155" s="57"/>
      <c r="Q155" s="57"/>
      <c r="S155" s="605"/>
      <c r="U155" s="573"/>
      <c r="V155" s="574"/>
      <c r="W155" s="618"/>
      <c r="X155" s="576">
        <v>0.0</v>
      </c>
      <c r="Y155" s="630">
        <v>0.0</v>
      </c>
      <c r="Z155" s="630" t="s">
        <v>365</v>
      </c>
      <c r="AA155" s="631" t="b">
        <v>0</v>
      </c>
      <c r="AB155" s="631"/>
      <c r="AC155" s="576"/>
      <c r="AD155" s="479">
        <v>0.0</v>
      </c>
      <c r="AE155" s="632"/>
      <c r="AF155" s="582" t="s">
        <v>365</v>
      </c>
      <c r="AG155" s="583"/>
      <c r="AH155" s="584"/>
      <c r="AI155" s="583"/>
      <c r="AJ155" s="585"/>
      <c r="AK155" s="583"/>
      <c r="AL155" s="584"/>
      <c r="AM155" s="583"/>
      <c r="AN155" s="585"/>
      <c r="AO155" s="583"/>
      <c r="AP155" s="584"/>
      <c r="AQ155" s="583"/>
      <c r="AR155" s="585"/>
      <c r="AS155" s="583"/>
      <c r="AT155" s="584"/>
      <c r="AU155" s="583"/>
      <c r="AV155" s="585"/>
      <c r="AW155" s="583"/>
      <c r="AX155" s="584"/>
      <c r="AY155" s="583"/>
      <c r="AZ155" s="585"/>
      <c r="BA155" s="583"/>
      <c r="BB155" s="584"/>
      <c r="BC155" s="583"/>
      <c r="BD155" s="585"/>
      <c r="BE155" s="583"/>
      <c r="BF155" s="584"/>
      <c r="BG155" s="583"/>
      <c r="BH155" s="585"/>
      <c r="BI155" s="583"/>
      <c r="BJ155" s="584"/>
      <c r="BK155" s="583"/>
      <c r="BL155" s="585"/>
      <c r="BM155" s="583"/>
      <c r="BN155" s="584"/>
      <c r="BO155" s="583"/>
      <c r="BP155" s="585"/>
      <c r="BQ155" s="583"/>
      <c r="BR155" s="584"/>
      <c r="BS155" s="583"/>
      <c r="BT155" s="586"/>
      <c r="BU155" s="540"/>
      <c r="BV155" s="540"/>
      <c r="BW155" s="540"/>
      <c r="BX155" s="538"/>
      <c r="BY155" s="538"/>
      <c r="BZ155" s="592"/>
      <c r="CA155" s="633"/>
      <c r="CB155" s="592" t="s">
        <v>365</v>
      </c>
      <c r="CC155" s="592">
        <v>0.0</v>
      </c>
      <c r="CD155" s="592" t="s">
        <v>365</v>
      </c>
      <c r="CE155" s="592">
        <v>0.0</v>
      </c>
      <c r="CF155" s="592"/>
      <c r="CG155" s="592">
        <v>0.0</v>
      </c>
      <c r="CH155" s="592"/>
      <c r="CI155" s="633"/>
      <c r="CJ155" s="592">
        <v>0.0</v>
      </c>
      <c r="CK155" s="479" t="s">
        <v>365</v>
      </c>
      <c r="CL155" s="592"/>
      <c r="CM155" s="593"/>
      <c r="CN155" s="538"/>
      <c r="CO155" s="538"/>
      <c r="CP155" s="538"/>
      <c r="CQ155" s="538"/>
      <c r="CR155" s="538"/>
      <c r="CS155" s="538"/>
      <c r="CT155" s="538"/>
      <c r="CU155" s="538"/>
      <c r="CV155" s="538"/>
      <c r="CW155" s="538"/>
      <c r="CX155" s="538"/>
      <c r="CY155" s="538"/>
      <c r="CZ155" s="538"/>
      <c r="DA155" s="538"/>
      <c r="DB155" s="538"/>
      <c r="DC155" s="538"/>
      <c r="DD155" s="538"/>
      <c r="DE155" s="538"/>
      <c r="DF155" s="538"/>
      <c r="DG155" s="538"/>
      <c r="DH155" s="538"/>
      <c r="DI155" s="538"/>
      <c r="DJ155" s="538"/>
      <c r="DK155" s="538"/>
      <c r="DL155" s="538"/>
      <c r="DM155" s="538"/>
      <c r="DN155" s="538"/>
      <c r="DO155" s="538"/>
      <c r="DP155" s="538"/>
      <c r="DQ155" s="538"/>
      <c r="DR155" s="538"/>
      <c r="DS155" s="538"/>
      <c r="DT155" s="538"/>
      <c r="DU155" s="538"/>
      <c r="DV155" s="538"/>
      <c r="DW155" s="538"/>
      <c r="DX155" s="538"/>
      <c r="DY155" s="538"/>
      <c r="DZ155" s="538"/>
      <c r="EA155" s="538"/>
      <c r="EB155" s="538"/>
      <c r="EC155" s="538"/>
      <c r="ED155" s="538"/>
      <c r="EE155" s="538"/>
      <c r="EF155" s="538"/>
      <c r="EG155" s="538"/>
      <c r="EH155" s="538"/>
      <c r="EI155" s="538"/>
      <c r="EJ155" s="538"/>
      <c r="EK155" s="538"/>
      <c r="EL155" s="538"/>
      <c r="EM155" s="538"/>
      <c r="EN155" s="538"/>
      <c r="EO155" s="538"/>
      <c r="EP155" s="538"/>
      <c r="EQ155" s="538"/>
      <c r="ER155" s="538"/>
      <c r="ES155" s="538"/>
      <c r="ET155" s="538"/>
      <c r="EU155" s="538"/>
      <c r="EV155" s="538"/>
      <c r="EW155" s="538"/>
      <c r="EX155" s="559"/>
      <c r="EY155" s="559"/>
      <c r="EZ155" s="559"/>
      <c r="FA155" s="559"/>
      <c r="FB155" s="559"/>
      <c r="FC155" s="559"/>
      <c r="FD155" s="559"/>
      <c r="FE155" s="559"/>
      <c r="FF155" s="559"/>
      <c r="FG155" s="559"/>
      <c r="FH155" s="559"/>
      <c r="FI155" s="559"/>
      <c r="FJ155" s="559"/>
      <c r="FK155" s="559"/>
      <c r="FL155" s="559"/>
      <c r="FM155" s="559"/>
      <c r="FN155" s="559"/>
      <c r="FO155" s="559"/>
      <c r="FP155" s="559"/>
      <c r="FQ155" s="559"/>
      <c r="FR155" s="559"/>
      <c r="FS155" s="559"/>
      <c r="FT155" s="559"/>
      <c r="FU155" s="559"/>
      <c r="FV155" s="559"/>
      <c r="FW155" s="559"/>
      <c r="FX155" s="559"/>
      <c r="FY155" s="559"/>
      <c r="FZ155" s="559"/>
      <c r="GA155" s="559"/>
      <c r="GB155" s="559"/>
      <c r="GC155" s="559"/>
      <c r="GD155" s="559"/>
      <c r="GE155" s="559"/>
      <c r="GF155" s="559"/>
      <c r="GG155" s="559"/>
      <c r="GH155" s="559"/>
    </row>
    <row r="156">
      <c r="A156" s="538"/>
      <c r="B156" s="156"/>
      <c r="C156" s="444"/>
      <c r="D156" s="614"/>
      <c r="E156" s="68"/>
      <c r="F156" s="644"/>
      <c r="G156" s="644"/>
      <c r="H156" s="627"/>
      <c r="I156" s="622" t="s">
        <v>365</v>
      </c>
      <c r="J156" s="607"/>
      <c r="K156" s="641"/>
      <c r="L156" s="628"/>
      <c r="M156" s="626"/>
      <c r="N156" s="619"/>
      <c r="O156" s="560"/>
      <c r="P156" s="47"/>
      <c r="Q156" s="47"/>
      <c r="S156" s="572"/>
      <c r="U156" s="573"/>
      <c r="V156" s="574"/>
      <c r="W156" s="618"/>
      <c r="X156" s="576">
        <v>0.0</v>
      </c>
      <c r="Y156" s="630">
        <v>0.0</v>
      </c>
      <c r="Z156" s="630" t="s">
        <v>365</v>
      </c>
      <c r="AA156" s="631" t="b">
        <v>0</v>
      </c>
      <c r="AB156" s="631"/>
      <c r="AC156" s="576"/>
      <c r="AD156" s="479">
        <v>0.0</v>
      </c>
      <c r="AE156" s="632"/>
      <c r="AF156" s="582" t="s">
        <v>365</v>
      </c>
      <c r="AG156" s="583"/>
      <c r="AH156" s="584"/>
      <c r="AI156" s="583"/>
      <c r="AJ156" s="585"/>
      <c r="AK156" s="583"/>
      <c r="AL156" s="584"/>
      <c r="AM156" s="583"/>
      <c r="AN156" s="585"/>
      <c r="AO156" s="583"/>
      <c r="AP156" s="584"/>
      <c r="AQ156" s="583"/>
      <c r="AR156" s="585"/>
      <c r="AS156" s="583"/>
      <c r="AT156" s="584"/>
      <c r="AU156" s="583"/>
      <c r="AV156" s="585"/>
      <c r="AW156" s="583"/>
      <c r="AX156" s="584"/>
      <c r="AY156" s="583"/>
      <c r="AZ156" s="585"/>
      <c r="BA156" s="583"/>
      <c r="BB156" s="584"/>
      <c r="BC156" s="583"/>
      <c r="BD156" s="585"/>
      <c r="BE156" s="583"/>
      <c r="BF156" s="584"/>
      <c r="BG156" s="583"/>
      <c r="BH156" s="585"/>
      <c r="BI156" s="583"/>
      <c r="BJ156" s="584"/>
      <c r="BK156" s="583"/>
      <c r="BL156" s="585"/>
      <c r="BM156" s="583"/>
      <c r="BN156" s="584"/>
      <c r="BO156" s="583"/>
      <c r="BP156" s="585"/>
      <c r="BQ156" s="583"/>
      <c r="BR156" s="584"/>
      <c r="BS156" s="583"/>
      <c r="BT156" s="586"/>
      <c r="BU156" s="540"/>
      <c r="BV156" s="540"/>
      <c r="BW156" s="540"/>
      <c r="BX156" s="538"/>
      <c r="BY156" s="538"/>
      <c r="BZ156" s="592"/>
      <c r="CA156" s="633"/>
      <c r="CB156" s="592" t="s">
        <v>365</v>
      </c>
      <c r="CC156" s="592">
        <v>0.0</v>
      </c>
      <c r="CD156" s="592" t="s">
        <v>365</v>
      </c>
      <c r="CE156" s="592">
        <v>0.0</v>
      </c>
      <c r="CF156" s="592"/>
      <c r="CG156" s="592">
        <v>0.0</v>
      </c>
      <c r="CH156" s="592"/>
      <c r="CI156" s="633"/>
      <c r="CJ156" s="592">
        <v>0.0</v>
      </c>
      <c r="CK156" s="479" t="s">
        <v>365</v>
      </c>
      <c r="CL156" s="592"/>
      <c r="CM156" s="593"/>
      <c r="CN156" s="538"/>
      <c r="CO156" s="538"/>
      <c r="CP156" s="538"/>
      <c r="CQ156" s="538"/>
      <c r="CR156" s="538"/>
      <c r="CS156" s="538"/>
      <c r="CT156" s="538"/>
      <c r="CU156" s="538"/>
      <c r="CV156" s="538"/>
      <c r="CW156" s="538"/>
      <c r="CX156" s="538"/>
      <c r="CY156" s="538"/>
      <c r="CZ156" s="538"/>
      <c r="DA156" s="538"/>
      <c r="DB156" s="538"/>
      <c r="DC156" s="538"/>
      <c r="DD156" s="538"/>
      <c r="DE156" s="538"/>
      <c r="DF156" s="538"/>
      <c r="DG156" s="538"/>
      <c r="DH156" s="538"/>
      <c r="DI156" s="538"/>
      <c r="DJ156" s="538"/>
      <c r="DK156" s="538"/>
      <c r="DL156" s="538"/>
      <c r="DM156" s="538"/>
      <c r="DN156" s="538"/>
      <c r="DO156" s="538"/>
      <c r="DP156" s="538"/>
      <c r="DQ156" s="538"/>
      <c r="DR156" s="538"/>
      <c r="DS156" s="538"/>
      <c r="DT156" s="538"/>
      <c r="DU156" s="538"/>
      <c r="DV156" s="538"/>
      <c r="DW156" s="538"/>
      <c r="DX156" s="538"/>
      <c r="DY156" s="538"/>
      <c r="DZ156" s="538"/>
      <c r="EA156" s="538"/>
      <c r="EB156" s="538"/>
      <c r="EC156" s="538"/>
      <c r="ED156" s="538"/>
      <c r="EE156" s="538"/>
      <c r="EF156" s="538"/>
      <c r="EG156" s="538"/>
      <c r="EH156" s="538"/>
      <c r="EI156" s="538"/>
      <c r="EJ156" s="538"/>
      <c r="EK156" s="538"/>
      <c r="EL156" s="538"/>
      <c r="EM156" s="538"/>
      <c r="EN156" s="538"/>
      <c r="EO156" s="538"/>
      <c r="EP156" s="538"/>
      <c r="EQ156" s="538"/>
      <c r="ER156" s="538"/>
      <c r="ES156" s="538"/>
      <c r="ET156" s="538"/>
      <c r="EU156" s="538"/>
      <c r="EV156" s="538"/>
      <c r="EW156" s="538"/>
      <c r="EX156" s="559"/>
      <c r="EY156" s="559"/>
      <c r="EZ156" s="559"/>
      <c r="FA156" s="559"/>
      <c r="FB156" s="559"/>
      <c r="FC156" s="559"/>
      <c r="FD156" s="559"/>
      <c r="FE156" s="559"/>
      <c r="FF156" s="559"/>
      <c r="FG156" s="559"/>
      <c r="FH156" s="559"/>
      <c r="FI156" s="559"/>
      <c r="FJ156" s="559"/>
      <c r="FK156" s="559"/>
      <c r="FL156" s="559"/>
      <c r="FM156" s="559"/>
      <c r="FN156" s="559"/>
      <c r="FO156" s="559"/>
      <c r="FP156" s="559"/>
      <c r="FQ156" s="559"/>
      <c r="FR156" s="559"/>
      <c r="FS156" s="559"/>
      <c r="FT156" s="559"/>
      <c r="FU156" s="559"/>
      <c r="FV156" s="559"/>
      <c r="FW156" s="559"/>
      <c r="FX156" s="559"/>
      <c r="FY156" s="559"/>
      <c r="FZ156" s="559"/>
      <c r="GA156" s="559"/>
      <c r="GB156" s="559"/>
      <c r="GC156" s="559"/>
      <c r="GD156" s="559"/>
      <c r="GE156" s="559"/>
      <c r="GF156" s="559"/>
      <c r="GG156" s="559"/>
      <c r="GH156" s="559"/>
    </row>
    <row r="157">
      <c r="A157" s="538"/>
      <c r="B157" s="156"/>
      <c r="C157" s="444"/>
      <c r="D157" s="614"/>
      <c r="E157" s="66"/>
      <c r="F157" s="642"/>
      <c r="G157" s="642"/>
      <c r="H157" s="615"/>
      <c r="I157" s="616" t="s">
        <v>365</v>
      </c>
      <c r="J157" s="624"/>
      <c r="K157" s="643"/>
      <c r="L157" s="640"/>
      <c r="M157" s="625"/>
      <c r="N157" s="617"/>
      <c r="O157" s="134"/>
      <c r="P157" s="57"/>
      <c r="Q157" s="57"/>
      <c r="S157" s="605"/>
      <c r="U157" s="573"/>
      <c r="V157" s="574"/>
      <c r="W157" s="618"/>
      <c r="X157" s="576">
        <v>0.0</v>
      </c>
      <c r="Y157" s="630">
        <v>0.0</v>
      </c>
      <c r="Z157" s="630" t="s">
        <v>365</v>
      </c>
      <c r="AA157" s="631" t="b">
        <v>0</v>
      </c>
      <c r="AB157" s="631"/>
      <c r="AC157" s="576"/>
      <c r="AD157" s="479">
        <v>0.0</v>
      </c>
      <c r="AE157" s="632"/>
      <c r="AF157" s="582" t="s">
        <v>365</v>
      </c>
      <c r="AG157" s="583"/>
      <c r="AH157" s="584"/>
      <c r="AI157" s="583"/>
      <c r="AJ157" s="585"/>
      <c r="AK157" s="583"/>
      <c r="AL157" s="584"/>
      <c r="AM157" s="583"/>
      <c r="AN157" s="585"/>
      <c r="AO157" s="583"/>
      <c r="AP157" s="584"/>
      <c r="AQ157" s="583"/>
      <c r="AR157" s="585"/>
      <c r="AS157" s="583"/>
      <c r="AT157" s="584"/>
      <c r="AU157" s="583"/>
      <c r="AV157" s="585"/>
      <c r="AW157" s="583"/>
      <c r="AX157" s="584"/>
      <c r="AY157" s="583"/>
      <c r="AZ157" s="585"/>
      <c r="BA157" s="583"/>
      <c r="BB157" s="584"/>
      <c r="BC157" s="583"/>
      <c r="BD157" s="585"/>
      <c r="BE157" s="583"/>
      <c r="BF157" s="584"/>
      <c r="BG157" s="583"/>
      <c r="BH157" s="585"/>
      <c r="BI157" s="583"/>
      <c r="BJ157" s="584"/>
      <c r="BK157" s="583"/>
      <c r="BL157" s="585"/>
      <c r="BM157" s="583"/>
      <c r="BN157" s="584"/>
      <c r="BO157" s="583"/>
      <c r="BP157" s="585"/>
      <c r="BQ157" s="583"/>
      <c r="BR157" s="584"/>
      <c r="BS157" s="583"/>
      <c r="BT157" s="586"/>
      <c r="BU157" s="540"/>
      <c r="BV157" s="540"/>
      <c r="BW157" s="540"/>
      <c r="BX157" s="538"/>
      <c r="BY157" s="538"/>
      <c r="BZ157" s="592"/>
      <c r="CA157" s="633"/>
      <c r="CB157" s="592" t="s">
        <v>365</v>
      </c>
      <c r="CC157" s="592">
        <v>0.0</v>
      </c>
      <c r="CD157" s="592" t="s">
        <v>365</v>
      </c>
      <c r="CE157" s="592">
        <v>0.0</v>
      </c>
      <c r="CF157" s="592"/>
      <c r="CG157" s="592">
        <v>0.0</v>
      </c>
      <c r="CH157" s="592"/>
      <c r="CI157" s="633"/>
      <c r="CJ157" s="592">
        <v>0.0</v>
      </c>
      <c r="CK157" s="479" t="s">
        <v>365</v>
      </c>
      <c r="CL157" s="592"/>
      <c r="CM157" s="593"/>
      <c r="CN157" s="538"/>
      <c r="CO157" s="538"/>
      <c r="CP157" s="538"/>
      <c r="CQ157" s="538"/>
      <c r="CR157" s="538"/>
      <c r="CS157" s="538"/>
      <c r="CT157" s="538"/>
      <c r="CU157" s="538"/>
      <c r="CV157" s="538"/>
      <c r="CW157" s="538"/>
      <c r="CX157" s="538"/>
      <c r="CY157" s="538"/>
      <c r="CZ157" s="538"/>
      <c r="DA157" s="538"/>
      <c r="DB157" s="538"/>
      <c r="DC157" s="538"/>
      <c r="DD157" s="538"/>
      <c r="DE157" s="538"/>
      <c r="DF157" s="538"/>
      <c r="DG157" s="538"/>
      <c r="DH157" s="538"/>
      <c r="DI157" s="538"/>
      <c r="DJ157" s="538"/>
      <c r="DK157" s="538"/>
      <c r="DL157" s="538"/>
      <c r="DM157" s="538"/>
      <c r="DN157" s="538"/>
      <c r="DO157" s="538"/>
      <c r="DP157" s="538"/>
      <c r="DQ157" s="538"/>
      <c r="DR157" s="538"/>
      <c r="DS157" s="538"/>
      <c r="DT157" s="538"/>
      <c r="DU157" s="538"/>
      <c r="DV157" s="538"/>
      <c r="DW157" s="538"/>
      <c r="DX157" s="538"/>
      <c r="DY157" s="538"/>
      <c r="DZ157" s="538"/>
      <c r="EA157" s="538"/>
      <c r="EB157" s="538"/>
      <c r="EC157" s="538"/>
      <c r="ED157" s="538"/>
      <c r="EE157" s="538"/>
      <c r="EF157" s="538"/>
      <c r="EG157" s="538"/>
      <c r="EH157" s="538"/>
      <c r="EI157" s="538"/>
      <c r="EJ157" s="538"/>
      <c r="EK157" s="538"/>
      <c r="EL157" s="538"/>
      <c r="EM157" s="538"/>
      <c r="EN157" s="538"/>
      <c r="EO157" s="538"/>
      <c r="EP157" s="538"/>
      <c r="EQ157" s="538"/>
      <c r="ER157" s="538"/>
      <c r="ES157" s="538"/>
      <c r="ET157" s="538"/>
      <c r="EU157" s="538"/>
      <c r="EV157" s="538"/>
      <c r="EW157" s="538"/>
      <c r="EX157" s="559"/>
      <c r="EY157" s="559"/>
      <c r="EZ157" s="559"/>
      <c r="FA157" s="559"/>
      <c r="FB157" s="559"/>
      <c r="FC157" s="559"/>
      <c r="FD157" s="559"/>
      <c r="FE157" s="559"/>
      <c r="FF157" s="559"/>
      <c r="FG157" s="559"/>
      <c r="FH157" s="559"/>
      <c r="FI157" s="559"/>
      <c r="FJ157" s="559"/>
      <c r="FK157" s="559"/>
      <c r="FL157" s="559"/>
      <c r="FM157" s="559"/>
      <c r="FN157" s="559"/>
      <c r="FO157" s="559"/>
      <c r="FP157" s="559"/>
      <c r="FQ157" s="559"/>
      <c r="FR157" s="559"/>
      <c r="FS157" s="559"/>
      <c r="FT157" s="559"/>
      <c r="FU157" s="559"/>
      <c r="FV157" s="559"/>
      <c r="FW157" s="559"/>
      <c r="FX157" s="559"/>
      <c r="FY157" s="559"/>
      <c r="FZ157" s="559"/>
      <c r="GA157" s="559"/>
      <c r="GB157" s="559"/>
      <c r="GC157" s="559"/>
      <c r="GD157" s="559"/>
      <c r="GE157" s="559"/>
      <c r="GF157" s="559"/>
      <c r="GG157" s="559"/>
      <c r="GH157" s="559"/>
    </row>
    <row r="158">
      <c r="A158" s="538"/>
      <c r="B158" s="156"/>
      <c r="C158" s="444"/>
      <c r="D158" s="614"/>
      <c r="E158" s="68"/>
      <c r="F158" s="644"/>
      <c r="G158" s="644"/>
      <c r="H158" s="627"/>
      <c r="I158" s="622" t="s">
        <v>365</v>
      </c>
      <c r="J158" s="607"/>
      <c r="K158" s="641"/>
      <c r="L158" s="628"/>
      <c r="M158" s="626"/>
      <c r="N158" s="619"/>
      <c r="O158" s="560"/>
      <c r="P158" s="47"/>
      <c r="Q158" s="47"/>
      <c r="S158" s="572"/>
      <c r="U158" s="573"/>
      <c r="V158" s="574"/>
      <c r="W158" s="618"/>
      <c r="X158" s="576">
        <v>0.0</v>
      </c>
      <c r="Y158" s="630">
        <v>0.0</v>
      </c>
      <c r="Z158" s="630" t="s">
        <v>365</v>
      </c>
      <c r="AA158" s="631" t="b">
        <v>0</v>
      </c>
      <c r="AB158" s="631"/>
      <c r="AC158" s="576"/>
      <c r="AD158" s="479">
        <v>0.0</v>
      </c>
      <c r="AE158" s="632"/>
      <c r="AF158" s="582" t="s">
        <v>365</v>
      </c>
      <c r="AG158" s="583"/>
      <c r="AH158" s="584"/>
      <c r="AI158" s="583"/>
      <c r="AJ158" s="585"/>
      <c r="AK158" s="583"/>
      <c r="AL158" s="584"/>
      <c r="AM158" s="583"/>
      <c r="AN158" s="585"/>
      <c r="AO158" s="583"/>
      <c r="AP158" s="584"/>
      <c r="AQ158" s="583"/>
      <c r="AR158" s="585"/>
      <c r="AS158" s="583"/>
      <c r="AT158" s="584"/>
      <c r="AU158" s="583"/>
      <c r="AV158" s="585"/>
      <c r="AW158" s="583"/>
      <c r="AX158" s="584"/>
      <c r="AY158" s="583"/>
      <c r="AZ158" s="585"/>
      <c r="BA158" s="583"/>
      <c r="BB158" s="584"/>
      <c r="BC158" s="583"/>
      <c r="BD158" s="585"/>
      <c r="BE158" s="583"/>
      <c r="BF158" s="584"/>
      <c r="BG158" s="583"/>
      <c r="BH158" s="585"/>
      <c r="BI158" s="583"/>
      <c r="BJ158" s="584"/>
      <c r="BK158" s="583"/>
      <c r="BL158" s="585"/>
      <c r="BM158" s="583"/>
      <c r="BN158" s="584"/>
      <c r="BO158" s="583"/>
      <c r="BP158" s="585"/>
      <c r="BQ158" s="583"/>
      <c r="BR158" s="584"/>
      <c r="BS158" s="583"/>
      <c r="BT158" s="586"/>
      <c r="BU158" s="540"/>
      <c r="BV158" s="540"/>
      <c r="BW158" s="540"/>
      <c r="BX158" s="538"/>
      <c r="BY158" s="538"/>
      <c r="BZ158" s="592"/>
      <c r="CA158" s="633"/>
      <c r="CB158" s="592" t="s">
        <v>365</v>
      </c>
      <c r="CC158" s="592">
        <v>0.0</v>
      </c>
      <c r="CD158" s="592" t="s">
        <v>365</v>
      </c>
      <c r="CE158" s="592">
        <v>0.0</v>
      </c>
      <c r="CF158" s="592"/>
      <c r="CG158" s="592">
        <v>0.0</v>
      </c>
      <c r="CH158" s="592"/>
      <c r="CI158" s="633"/>
      <c r="CJ158" s="592">
        <v>0.0</v>
      </c>
      <c r="CK158" s="479" t="s">
        <v>365</v>
      </c>
      <c r="CL158" s="592"/>
      <c r="CM158" s="593"/>
      <c r="CN158" s="538"/>
      <c r="CO158" s="538"/>
      <c r="CP158" s="538"/>
      <c r="CQ158" s="538"/>
      <c r="CR158" s="538"/>
      <c r="CS158" s="538"/>
      <c r="CT158" s="538"/>
      <c r="CU158" s="538"/>
      <c r="CV158" s="538"/>
      <c r="CW158" s="538"/>
      <c r="CX158" s="538"/>
      <c r="CY158" s="538"/>
      <c r="CZ158" s="538"/>
      <c r="DA158" s="538"/>
      <c r="DB158" s="538"/>
      <c r="DC158" s="538"/>
      <c r="DD158" s="538"/>
      <c r="DE158" s="538"/>
      <c r="DF158" s="538"/>
      <c r="DG158" s="538"/>
      <c r="DH158" s="538"/>
      <c r="DI158" s="538"/>
      <c r="DJ158" s="538"/>
      <c r="DK158" s="538"/>
      <c r="DL158" s="538"/>
      <c r="DM158" s="538"/>
      <c r="DN158" s="538"/>
      <c r="DO158" s="538"/>
      <c r="DP158" s="538"/>
      <c r="DQ158" s="538"/>
      <c r="DR158" s="538"/>
      <c r="DS158" s="538"/>
      <c r="DT158" s="538"/>
      <c r="DU158" s="538"/>
      <c r="DV158" s="538"/>
      <c r="DW158" s="538"/>
      <c r="DX158" s="538"/>
      <c r="DY158" s="538"/>
      <c r="DZ158" s="538"/>
      <c r="EA158" s="538"/>
      <c r="EB158" s="538"/>
      <c r="EC158" s="538"/>
      <c r="ED158" s="538"/>
      <c r="EE158" s="538"/>
      <c r="EF158" s="538"/>
      <c r="EG158" s="538"/>
      <c r="EH158" s="538"/>
      <c r="EI158" s="538"/>
      <c r="EJ158" s="538"/>
      <c r="EK158" s="538"/>
      <c r="EL158" s="538"/>
      <c r="EM158" s="538"/>
      <c r="EN158" s="538"/>
      <c r="EO158" s="538"/>
      <c r="EP158" s="538"/>
      <c r="EQ158" s="538"/>
      <c r="ER158" s="538"/>
      <c r="ES158" s="538"/>
      <c r="ET158" s="538"/>
      <c r="EU158" s="538"/>
      <c r="EV158" s="538"/>
      <c r="EW158" s="538"/>
      <c r="EX158" s="559"/>
      <c r="EY158" s="559"/>
      <c r="EZ158" s="559"/>
      <c r="FA158" s="559"/>
      <c r="FB158" s="559"/>
      <c r="FC158" s="559"/>
      <c r="FD158" s="559"/>
      <c r="FE158" s="559"/>
      <c r="FF158" s="559"/>
      <c r="FG158" s="559"/>
      <c r="FH158" s="559"/>
      <c r="FI158" s="559"/>
      <c r="FJ158" s="559"/>
      <c r="FK158" s="559"/>
      <c r="FL158" s="559"/>
      <c r="FM158" s="559"/>
      <c r="FN158" s="559"/>
      <c r="FO158" s="559"/>
      <c r="FP158" s="559"/>
      <c r="FQ158" s="559"/>
      <c r="FR158" s="559"/>
      <c r="FS158" s="559"/>
      <c r="FT158" s="559"/>
      <c r="FU158" s="559"/>
      <c r="FV158" s="559"/>
      <c r="FW158" s="559"/>
      <c r="FX158" s="559"/>
      <c r="FY158" s="559"/>
      <c r="FZ158" s="559"/>
      <c r="GA158" s="559"/>
      <c r="GB158" s="559"/>
      <c r="GC158" s="559"/>
      <c r="GD158" s="559"/>
      <c r="GE158" s="559"/>
      <c r="GF158" s="559"/>
      <c r="GG158" s="559"/>
      <c r="GH158" s="559"/>
    </row>
    <row r="159">
      <c r="A159" s="538"/>
      <c r="B159" s="156"/>
      <c r="C159" s="444"/>
      <c r="D159" s="614"/>
      <c r="E159" s="66"/>
      <c r="F159" s="642"/>
      <c r="G159" s="642"/>
      <c r="H159" s="615"/>
      <c r="I159" s="616" t="s">
        <v>365</v>
      </c>
      <c r="J159" s="624"/>
      <c r="K159" s="643"/>
      <c r="L159" s="640"/>
      <c r="M159" s="625"/>
      <c r="N159" s="617"/>
      <c r="O159" s="134"/>
      <c r="P159" s="57"/>
      <c r="Q159" s="57"/>
      <c r="S159" s="605"/>
      <c r="U159" s="573"/>
      <c r="V159" s="574"/>
      <c r="W159" s="618"/>
      <c r="X159" s="576">
        <v>0.0</v>
      </c>
      <c r="Y159" s="630">
        <v>0.0</v>
      </c>
      <c r="Z159" s="630" t="s">
        <v>365</v>
      </c>
      <c r="AA159" s="631" t="b">
        <v>0</v>
      </c>
      <c r="AB159" s="631"/>
      <c r="AC159" s="576"/>
      <c r="AD159" s="479">
        <v>0.0</v>
      </c>
      <c r="AE159" s="632"/>
      <c r="AF159" s="582" t="s">
        <v>365</v>
      </c>
      <c r="AG159" s="583"/>
      <c r="AH159" s="584"/>
      <c r="AI159" s="583"/>
      <c r="AJ159" s="585"/>
      <c r="AK159" s="583"/>
      <c r="AL159" s="584"/>
      <c r="AM159" s="583"/>
      <c r="AN159" s="585"/>
      <c r="AO159" s="583"/>
      <c r="AP159" s="584"/>
      <c r="AQ159" s="583"/>
      <c r="AR159" s="585"/>
      <c r="AS159" s="583"/>
      <c r="AT159" s="584"/>
      <c r="AU159" s="583"/>
      <c r="AV159" s="585"/>
      <c r="AW159" s="583"/>
      <c r="AX159" s="584"/>
      <c r="AY159" s="583"/>
      <c r="AZ159" s="585"/>
      <c r="BA159" s="583"/>
      <c r="BB159" s="584"/>
      <c r="BC159" s="583"/>
      <c r="BD159" s="585"/>
      <c r="BE159" s="583"/>
      <c r="BF159" s="584"/>
      <c r="BG159" s="583"/>
      <c r="BH159" s="585"/>
      <c r="BI159" s="583"/>
      <c r="BJ159" s="584"/>
      <c r="BK159" s="583"/>
      <c r="BL159" s="585"/>
      <c r="BM159" s="583"/>
      <c r="BN159" s="584"/>
      <c r="BO159" s="583"/>
      <c r="BP159" s="585"/>
      <c r="BQ159" s="583"/>
      <c r="BR159" s="584"/>
      <c r="BS159" s="583"/>
      <c r="BT159" s="586"/>
      <c r="BU159" s="540"/>
      <c r="BV159" s="540"/>
      <c r="BW159" s="540"/>
      <c r="BX159" s="538"/>
      <c r="BY159" s="538"/>
      <c r="BZ159" s="592"/>
      <c r="CA159" s="633"/>
      <c r="CB159" s="592" t="s">
        <v>365</v>
      </c>
      <c r="CC159" s="592">
        <v>0.0</v>
      </c>
      <c r="CD159" s="592" t="s">
        <v>365</v>
      </c>
      <c r="CE159" s="592">
        <v>0.0</v>
      </c>
      <c r="CF159" s="592"/>
      <c r="CG159" s="592">
        <v>0.0</v>
      </c>
      <c r="CH159" s="592"/>
      <c r="CI159" s="633"/>
      <c r="CJ159" s="592">
        <v>0.0</v>
      </c>
      <c r="CK159" s="479" t="s">
        <v>365</v>
      </c>
      <c r="CL159" s="592"/>
      <c r="CM159" s="593"/>
      <c r="CN159" s="538"/>
      <c r="CO159" s="538"/>
      <c r="CP159" s="538"/>
      <c r="CQ159" s="538"/>
      <c r="CR159" s="538"/>
      <c r="CS159" s="538"/>
      <c r="CT159" s="538"/>
      <c r="CU159" s="538"/>
      <c r="CV159" s="538"/>
      <c r="CW159" s="538"/>
      <c r="CX159" s="538"/>
      <c r="CY159" s="538"/>
      <c r="CZ159" s="538"/>
      <c r="DA159" s="538"/>
      <c r="DB159" s="538"/>
      <c r="DC159" s="538"/>
      <c r="DD159" s="538"/>
      <c r="DE159" s="538"/>
      <c r="DF159" s="538"/>
      <c r="DG159" s="538"/>
      <c r="DH159" s="538"/>
      <c r="DI159" s="538"/>
      <c r="DJ159" s="538"/>
      <c r="DK159" s="538"/>
      <c r="DL159" s="538"/>
      <c r="DM159" s="538"/>
      <c r="DN159" s="538"/>
      <c r="DO159" s="538"/>
      <c r="DP159" s="538"/>
      <c r="DQ159" s="538"/>
      <c r="DR159" s="538"/>
      <c r="DS159" s="538"/>
      <c r="DT159" s="538"/>
      <c r="DU159" s="538"/>
      <c r="DV159" s="538"/>
      <c r="DW159" s="538"/>
      <c r="DX159" s="538"/>
      <c r="DY159" s="538"/>
      <c r="DZ159" s="538"/>
      <c r="EA159" s="538"/>
      <c r="EB159" s="538"/>
      <c r="EC159" s="538"/>
      <c r="ED159" s="538"/>
      <c r="EE159" s="538"/>
      <c r="EF159" s="538"/>
      <c r="EG159" s="538"/>
      <c r="EH159" s="538"/>
      <c r="EI159" s="538"/>
      <c r="EJ159" s="538"/>
      <c r="EK159" s="538"/>
      <c r="EL159" s="538"/>
      <c r="EM159" s="538"/>
      <c r="EN159" s="538"/>
      <c r="EO159" s="538"/>
      <c r="EP159" s="538"/>
      <c r="EQ159" s="538"/>
      <c r="ER159" s="538"/>
      <c r="ES159" s="538"/>
      <c r="ET159" s="538"/>
      <c r="EU159" s="538"/>
      <c r="EV159" s="538"/>
      <c r="EW159" s="538"/>
      <c r="EX159" s="559"/>
      <c r="EY159" s="559"/>
      <c r="EZ159" s="559"/>
      <c r="FA159" s="559"/>
      <c r="FB159" s="559"/>
      <c r="FC159" s="559"/>
      <c r="FD159" s="559"/>
      <c r="FE159" s="559"/>
      <c r="FF159" s="559"/>
      <c r="FG159" s="559"/>
      <c r="FH159" s="559"/>
      <c r="FI159" s="559"/>
      <c r="FJ159" s="559"/>
      <c r="FK159" s="559"/>
      <c r="FL159" s="559"/>
      <c r="FM159" s="559"/>
      <c r="FN159" s="559"/>
      <c r="FO159" s="559"/>
      <c r="FP159" s="559"/>
      <c r="FQ159" s="559"/>
      <c r="FR159" s="559"/>
      <c r="FS159" s="559"/>
      <c r="FT159" s="559"/>
      <c r="FU159" s="559"/>
      <c r="FV159" s="559"/>
      <c r="FW159" s="559"/>
      <c r="FX159" s="559"/>
      <c r="FY159" s="559"/>
      <c r="FZ159" s="559"/>
      <c r="GA159" s="559"/>
      <c r="GB159" s="559"/>
      <c r="GC159" s="559"/>
      <c r="GD159" s="559"/>
      <c r="GE159" s="559"/>
      <c r="GF159" s="559"/>
      <c r="GG159" s="559"/>
      <c r="GH159" s="559"/>
    </row>
    <row r="160">
      <c r="A160" s="538"/>
      <c r="B160" s="156"/>
      <c r="C160" s="444"/>
      <c r="D160" s="614"/>
      <c r="E160" s="68"/>
      <c r="F160" s="644"/>
      <c r="G160" s="644"/>
      <c r="H160" s="627"/>
      <c r="I160" s="622" t="s">
        <v>365</v>
      </c>
      <c r="J160" s="607"/>
      <c r="K160" s="641"/>
      <c r="L160" s="628"/>
      <c r="M160" s="626"/>
      <c r="N160" s="619"/>
      <c r="O160" s="560"/>
      <c r="P160" s="47"/>
      <c r="Q160" s="47"/>
      <c r="S160" s="572"/>
      <c r="U160" s="573"/>
      <c r="V160" s="574"/>
      <c r="W160" s="618"/>
      <c r="X160" s="576">
        <v>0.0</v>
      </c>
      <c r="Y160" s="630">
        <v>0.0</v>
      </c>
      <c r="Z160" s="630" t="s">
        <v>365</v>
      </c>
      <c r="AA160" s="631" t="b">
        <v>0</v>
      </c>
      <c r="AB160" s="631"/>
      <c r="AC160" s="576"/>
      <c r="AD160" s="479">
        <v>0.0</v>
      </c>
      <c r="AE160" s="632"/>
      <c r="AF160" s="582" t="s">
        <v>365</v>
      </c>
      <c r="AG160" s="583"/>
      <c r="AH160" s="584"/>
      <c r="AI160" s="583"/>
      <c r="AJ160" s="585"/>
      <c r="AK160" s="583"/>
      <c r="AL160" s="584"/>
      <c r="AM160" s="583"/>
      <c r="AN160" s="585"/>
      <c r="AO160" s="583"/>
      <c r="AP160" s="584"/>
      <c r="AQ160" s="583"/>
      <c r="AR160" s="585"/>
      <c r="AS160" s="583"/>
      <c r="AT160" s="584"/>
      <c r="AU160" s="583"/>
      <c r="AV160" s="585"/>
      <c r="AW160" s="583"/>
      <c r="AX160" s="584"/>
      <c r="AY160" s="583"/>
      <c r="AZ160" s="585"/>
      <c r="BA160" s="583"/>
      <c r="BB160" s="584"/>
      <c r="BC160" s="583"/>
      <c r="BD160" s="585"/>
      <c r="BE160" s="583"/>
      <c r="BF160" s="584"/>
      <c r="BG160" s="583"/>
      <c r="BH160" s="585"/>
      <c r="BI160" s="583"/>
      <c r="BJ160" s="584"/>
      <c r="BK160" s="583"/>
      <c r="BL160" s="585"/>
      <c r="BM160" s="583"/>
      <c r="BN160" s="584"/>
      <c r="BO160" s="583"/>
      <c r="BP160" s="585"/>
      <c r="BQ160" s="583"/>
      <c r="BR160" s="584"/>
      <c r="BS160" s="583"/>
      <c r="BT160" s="586"/>
      <c r="BU160" s="540"/>
      <c r="BV160" s="540"/>
      <c r="BW160" s="540"/>
      <c r="BX160" s="538"/>
      <c r="BY160" s="538"/>
      <c r="BZ160" s="592"/>
      <c r="CA160" s="633"/>
      <c r="CB160" s="592" t="s">
        <v>365</v>
      </c>
      <c r="CC160" s="592">
        <v>0.0</v>
      </c>
      <c r="CD160" s="592" t="s">
        <v>365</v>
      </c>
      <c r="CE160" s="592">
        <v>0.0</v>
      </c>
      <c r="CF160" s="592"/>
      <c r="CG160" s="592">
        <v>0.0</v>
      </c>
      <c r="CH160" s="592"/>
      <c r="CI160" s="633"/>
      <c r="CJ160" s="592">
        <v>0.0</v>
      </c>
      <c r="CK160" s="479" t="s">
        <v>365</v>
      </c>
      <c r="CL160" s="592"/>
      <c r="CM160" s="593"/>
      <c r="CN160" s="538"/>
      <c r="CO160" s="538"/>
      <c r="CP160" s="538"/>
      <c r="CQ160" s="538"/>
      <c r="CR160" s="538"/>
      <c r="CS160" s="538"/>
      <c r="CT160" s="538"/>
      <c r="CU160" s="538"/>
      <c r="CV160" s="538"/>
      <c r="CW160" s="538"/>
      <c r="CX160" s="538"/>
      <c r="CY160" s="538"/>
      <c r="CZ160" s="538"/>
      <c r="DA160" s="538"/>
      <c r="DB160" s="538"/>
      <c r="DC160" s="538"/>
      <c r="DD160" s="538"/>
      <c r="DE160" s="538"/>
      <c r="DF160" s="538"/>
      <c r="DG160" s="538"/>
      <c r="DH160" s="538"/>
      <c r="DI160" s="538"/>
      <c r="DJ160" s="538"/>
      <c r="DK160" s="538"/>
      <c r="DL160" s="538"/>
      <c r="DM160" s="538"/>
      <c r="DN160" s="538"/>
      <c r="DO160" s="538"/>
      <c r="DP160" s="538"/>
      <c r="DQ160" s="538"/>
      <c r="DR160" s="538"/>
      <c r="DS160" s="538"/>
      <c r="DT160" s="538"/>
      <c r="DU160" s="538"/>
      <c r="DV160" s="538"/>
      <c r="DW160" s="538"/>
      <c r="DX160" s="538"/>
      <c r="DY160" s="538"/>
      <c r="DZ160" s="538"/>
      <c r="EA160" s="538"/>
      <c r="EB160" s="538"/>
      <c r="EC160" s="538"/>
      <c r="ED160" s="538"/>
      <c r="EE160" s="538"/>
      <c r="EF160" s="538"/>
      <c r="EG160" s="538"/>
      <c r="EH160" s="538"/>
      <c r="EI160" s="538"/>
      <c r="EJ160" s="538"/>
      <c r="EK160" s="538"/>
      <c r="EL160" s="538"/>
      <c r="EM160" s="538"/>
      <c r="EN160" s="538"/>
      <c r="EO160" s="538"/>
      <c r="EP160" s="538"/>
      <c r="EQ160" s="538"/>
      <c r="ER160" s="538"/>
      <c r="ES160" s="538"/>
      <c r="ET160" s="538"/>
      <c r="EU160" s="538"/>
      <c r="EV160" s="538"/>
      <c r="EW160" s="538"/>
      <c r="EX160" s="559"/>
      <c r="EY160" s="559"/>
      <c r="EZ160" s="559"/>
      <c r="FA160" s="559"/>
      <c r="FB160" s="559"/>
      <c r="FC160" s="559"/>
      <c r="FD160" s="559"/>
      <c r="FE160" s="559"/>
      <c r="FF160" s="559"/>
      <c r="FG160" s="559"/>
      <c r="FH160" s="559"/>
      <c r="FI160" s="559"/>
      <c r="FJ160" s="559"/>
      <c r="FK160" s="559"/>
      <c r="FL160" s="559"/>
      <c r="FM160" s="559"/>
      <c r="FN160" s="559"/>
      <c r="FO160" s="559"/>
      <c r="FP160" s="559"/>
      <c r="FQ160" s="559"/>
      <c r="FR160" s="559"/>
      <c r="FS160" s="559"/>
      <c r="FT160" s="559"/>
      <c r="FU160" s="559"/>
      <c r="FV160" s="559"/>
      <c r="FW160" s="559"/>
      <c r="FX160" s="559"/>
      <c r="FY160" s="559"/>
      <c r="FZ160" s="559"/>
      <c r="GA160" s="559"/>
      <c r="GB160" s="559"/>
      <c r="GC160" s="559"/>
      <c r="GD160" s="559"/>
      <c r="GE160" s="559"/>
      <c r="GF160" s="559"/>
      <c r="GG160" s="559"/>
      <c r="GH160" s="559"/>
    </row>
    <row r="161">
      <c r="A161" s="538"/>
      <c r="B161" s="156"/>
      <c r="C161" s="444"/>
      <c r="D161" s="614"/>
      <c r="E161" s="66"/>
      <c r="F161" s="642"/>
      <c r="G161" s="642"/>
      <c r="H161" s="615"/>
      <c r="I161" s="616" t="s">
        <v>365</v>
      </c>
      <c r="J161" s="624"/>
      <c r="K161" s="643"/>
      <c r="L161" s="640"/>
      <c r="M161" s="625"/>
      <c r="N161" s="617"/>
      <c r="O161" s="134"/>
      <c r="P161" s="57"/>
      <c r="Q161" s="57"/>
      <c r="S161" s="605"/>
      <c r="U161" s="573"/>
      <c r="V161" s="574"/>
      <c r="W161" s="618"/>
      <c r="X161" s="576">
        <v>0.0</v>
      </c>
      <c r="Y161" s="630">
        <v>0.0</v>
      </c>
      <c r="Z161" s="630" t="s">
        <v>365</v>
      </c>
      <c r="AA161" s="631" t="b">
        <v>0</v>
      </c>
      <c r="AB161" s="631"/>
      <c r="AC161" s="576"/>
      <c r="AD161" s="479">
        <v>0.0</v>
      </c>
      <c r="AE161" s="632"/>
      <c r="AF161" s="582" t="s">
        <v>365</v>
      </c>
      <c r="AG161" s="583"/>
      <c r="AH161" s="584"/>
      <c r="AI161" s="583"/>
      <c r="AJ161" s="585"/>
      <c r="AK161" s="583"/>
      <c r="AL161" s="584"/>
      <c r="AM161" s="583"/>
      <c r="AN161" s="585"/>
      <c r="AO161" s="583"/>
      <c r="AP161" s="584"/>
      <c r="AQ161" s="583"/>
      <c r="AR161" s="585"/>
      <c r="AS161" s="583"/>
      <c r="AT161" s="584"/>
      <c r="AU161" s="583"/>
      <c r="AV161" s="585"/>
      <c r="AW161" s="583"/>
      <c r="AX161" s="584"/>
      <c r="AY161" s="583"/>
      <c r="AZ161" s="585"/>
      <c r="BA161" s="583"/>
      <c r="BB161" s="584"/>
      <c r="BC161" s="583"/>
      <c r="BD161" s="585"/>
      <c r="BE161" s="583"/>
      <c r="BF161" s="584"/>
      <c r="BG161" s="583"/>
      <c r="BH161" s="585"/>
      <c r="BI161" s="583"/>
      <c r="BJ161" s="584"/>
      <c r="BK161" s="583"/>
      <c r="BL161" s="585"/>
      <c r="BM161" s="583"/>
      <c r="BN161" s="584"/>
      <c r="BO161" s="583"/>
      <c r="BP161" s="585"/>
      <c r="BQ161" s="583"/>
      <c r="BR161" s="584"/>
      <c r="BS161" s="583"/>
      <c r="BT161" s="586"/>
      <c r="BU161" s="540"/>
      <c r="BV161" s="540"/>
      <c r="BW161" s="540"/>
      <c r="BX161" s="538"/>
      <c r="BY161" s="538"/>
      <c r="BZ161" s="592"/>
      <c r="CA161" s="633"/>
      <c r="CB161" s="592" t="s">
        <v>365</v>
      </c>
      <c r="CC161" s="592">
        <v>0.0</v>
      </c>
      <c r="CD161" s="592" t="s">
        <v>365</v>
      </c>
      <c r="CE161" s="592">
        <v>0.0</v>
      </c>
      <c r="CF161" s="592"/>
      <c r="CG161" s="592">
        <v>0.0</v>
      </c>
      <c r="CH161" s="592"/>
      <c r="CI161" s="633"/>
      <c r="CJ161" s="592">
        <v>0.0</v>
      </c>
      <c r="CK161" s="479" t="s">
        <v>365</v>
      </c>
      <c r="CL161" s="592"/>
      <c r="CM161" s="593"/>
      <c r="CN161" s="538"/>
      <c r="CO161" s="538"/>
      <c r="CP161" s="538"/>
      <c r="CQ161" s="538"/>
      <c r="CR161" s="538"/>
      <c r="CS161" s="538"/>
      <c r="CT161" s="538"/>
      <c r="CU161" s="538"/>
      <c r="CV161" s="538"/>
      <c r="CW161" s="538"/>
      <c r="CX161" s="538"/>
      <c r="CY161" s="538"/>
      <c r="CZ161" s="538"/>
      <c r="DA161" s="538"/>
      <c r="DB161" s="538"/>
      <c r="DC161" s="538"/>
      <c r="DD161" s="538"/>
      <c r="DE161" s="538"/>
      <c r="DF161" s="538"/>
      <c r="DG161" s="538"/>
      <c r="DH161" s="538"/>
      <c r="DI161" s="538"/>
      <c r="DJ161" s="538"/>
      <c r="DK161" s="538"/>
      <c r="DL161" s="538"/>
      <c r="DM161" s="538"/>
      <c r="DN161" s="538"/>
      <c r="DO161" s="538"/>
      <c r="DP161" s="538"/>
      <c r="DQ161" s="538"/>
      <c r="DR161" s="538"/>
      <c r="DS161" s="538"/>
      <c r="DT161" s="538"/>
      <c r="DU161" s="538"/>
      <c r="DV161" s="538"/>
      <c r="DW161" s="538"/>
      <c r="DX161" s="538"/>
      <c r="DY161" s="538"/>
      <c r="DZ161" s="538"/>
      <c r="EA161" s="538"/>
      <c r="EB161" s="538"/>
      <c r="EC161" s="538"/>
      <c r="ED161" s="538"/>
      <c r="EE161" s="538"/>
      <c r="EF161" s="538"/>
      <c r="EG161" s="538"/>
      <c r="EH161" s="538"/>
      <c r="EI161" s="538"/>
      <c r="EJ161" s="538"/>
      <c r="EK161" s="538"/>
      <c r="EL161" s="538"/>
      <c r="EM161" s="538"/>
      <c r="EN161" s="538"/>
      <c r="EO161" s="538"/>
      <c r="EP161" s="538"/>
      <c r="EQ161" s="538"/>
      <c r="ER161" s="538"/>
      <c r="ES161" s="538"/>
      <c r="ET161" s="538"/>
      <c r="EU161" s="538"/>
      <c r="EV161" s="538"/>
      <c r="EW161" s="538"/>
      <c r="EX161" s="559"/>
      <c r="EY161" s="559"/>
      <c r="EZ161" s="559"/>
      <c r="FA161" s="559"/>
      <c r="FB161" s="559"/>
      <c r="FC161" s="559"/>
      <c r="FD161" s="559"/>
      <c r="FE161" s="559"/>
      <c r="FF161" s="559"/>
      <c r="FG161" s="559"/>
      <c r="FH161" s="559"/>
      <c r="FI161" s="559"/>
      <c r="FJ161" s="559"/>
      <c r="FK161" s="559"/>
      <c r="FL161" s="559"/>
      <c r="FM161" s="559"/>
      <c r="FN161" s="559"/>
      <c r="FO161" s="559"/>
      <c r="FP161" s="559"/>
      <c r="FQ161" s="559"/>
      <c r="FR161" s="559"/>
      <c r="FS161" s="559"/>
      <c r="FT161" s="559"/>
      <c r="FU161" s="559"/>
      <c r="FV161" s="559"/>
      <c r="FW161" s="559"/>
      <c r="FX161" s="559"/>
      <c r="FY161" s="559"/>
      <c r="FZ161" s="559"/>
      <c r="GA161" s="559"/>
      <c r="GB161" s="559"/>
      <c r="GC161" s="559"/>
      <c r="GD161" s="559"/>
      <c r="GE161" s="559"/>
      <c r="GF161" s="559"/>
      <c r="GG161" s="559"/>
      <c r="GH161" s="559"/>
    </row>
    <row r="162">
      <c r="A162" s="538"/>
      <c r="B162" s="156"/>
      <c r="C162" s="444"/>
      <c r="D162" s="614"/>
      <c r="E162" s="68"/>
      <c r="F162" s="644"/>
      <c r="G162" s="644"/>
      <c r="H162" s="627"/>
      <c r="I162" s="622" t="s">
        <v>365</v>
      </c>
      <c r="J162" s="607"/>
      <c r="K162" s="641"/>
      <c r="L162" s="628"/>
      <c r="M162" s="626"/>
      <c r="N162" s="619"/>
      <c r="O162" s="560"/>
      <c r="P162" s="47"/>
      <c r="Q162" s="47"/>
      <c r="S162" s="572"/>
      <c r="U162" s="573"/>
      <c r="V162" s="574"/>
      <c r="W162" s="618"/>
      <c r="X162" s="576">
        <v>0.0</v>
      </c>
      <c r="Y162" s="630">
        <v>0.0</v>
      </c>
      <c r="Z162" s="630" t="s">
        <v>365</v>
      </c>
      <c r="AA162" s="631" t="b">
        <v>0</v>
      </c>
      <c r="AB162" s="631"/>
      <c r="AC162" s="576"/>
      <c r="AD162" s="479">
        <v>0.0</v>
      </c>
      <c r="AE162" s="632"/>
      <c r="AF162" s="582" t="s">
        <v>365</v>
      </c>
      <c r="AG162" s="583"/>
      <c r="AH162" s="584"/>
      <c r="AI162" s="583"/>
      <c r="AJ162" s="585"/>
      <c r="AK162" s="583"/>
      <c r="AL162" s="584"/>
      <c r="AM162" s="583"/>
      <c r="AN162" s="585"/>
      <c r="AO162" s="583"/>
      <c r="AP162" s="584"/>
      <c r="AQ162" s="583"/>
      <c r="AR162" s="585"/>
      <c r="AS162" s="583"/>
      <c r="AT162" s="584"/>
      <c r="AU162" s="583"/>
      <c r="AV162" s="585"/>
      <c r="AW162" s="583"/>
      <c r="AX162" s="584"/>
      <c r="AY162" s="583"/>
      <c r="AZ162" s="585"/>
      <c r="BA162" s="583"/>
      <c r="BB162" s="584"/>
      <c r="BC162" s="583"/>
      <c r="BD162" s="585"/>
      <c r="BE162" s="583"/>
      <c r="BF162" s="584"/>
      <c r="BG162" s="583"/>
      <c r="BH162" s="585"/>
      <c r="BI162" s="583"/>
      <c r="BJ162" s="584"/>
      <c r="BK162" s="583"/>
      <c r="BL162" s="585"/>
      <c r="BM162" s="583"/>
      <c r="BN162" s="584"/>
      <c r="BO162" s="583"/>
      <c r="BP162" s="585"/>
      <c r="BQ162" s="583"/>
      <c r="BR162" s="584"/>
      <c r="BS162" s="583"/>
      <c r="BT162" s="586"/>
      <c r="BU162" s="540"/>
      <c r="BV162" s="540"/>
      <c r="BW162" s="540"/>
      <c r="BX162" s="538"/>
      <c r="BY162" s="538"/>
      <c r="BZ162" s="592"/>
      <c r="CA162" s="633"/>
      <c r="CB162" s="592" t="s">
        <v>365</v>
      </c>
      <c r="CC162" s="592">
        <v>0.0</v>
      </c>
      <c r="CD162" s="592" t="s">
        <v>365</v>
      </c>
      <c r="CE162" s="592">
        <v>0.0</v>
      </c>
      <c r="CF162" s="592"/>
      <c r="CG162" s="592">
        <v>0.0</v>
      </c>
      <c r="CH162" s="592"/>
      <c r="CI162" s="633"/>
      <c r="CJ162" s="592">
        <v>0.0</v>
      </c>
      <c r="CK162" s="479" t="s">
        <v>365</v>
      </c>
      <c r="CL162" s="592"/>
      <c r="CM162" s="593"/>
      <c r="CN162" s="538"/>
      <c r="CO162" s="538"/>
      <c r="CP162" s="538"/>
      <c r="CQ162" s="538"/>
      <c r="CR162" s="538"/>
      <c r="CS162" s="538"/>
      <c r="CT162" s="538"/>
      <c r="CU162" s="538"/>
      <c r="CV162" s="538"/>
      <c r="CW162" s="538"/>
      <c r="CX162" s="538"/>
      <c r="CY162" s="538"/>
      <c r="CZ162" s="538"/>
      <c r="DA162" s="538"/>
      <c r="DB162" s="538"/>
      <c r="DC162" s="538"/>
      <c r="DD162" s="538"/>
      <c r="DE162" s="538"/>
      <c r="DF162" s="538"/>
      <c r="DG162" s="538"/>
      <c r="DH162" s="538"/>
      <c r="DI162" s="538"/>
      <c r="DJ162" s="538"/>
      <c r="DK162" s="538"/>
      <c r="DL162" s="538"/>
      <c r="DM162" s="538"/>
      <c r="DN162" s="538"/>
      <c r="DO162" s="538"/>
      <c r="DP162" s="538"/>
      <c r="DQ162" s="538"/>
      <c r="DR162" s="538"/>
      <c r="DS162" s="538"/>
      <c r="DT162" s="538"/>
      <c r="DU162" s="538"/>
      <c r="DV162" s="538"/>
      <c r="DW162" s="538"/>
      <c r="DX162" s="538"/>
      <c r="DY162" s="538"/>
      <c r="DZ162" s="538"/>
      <c r="EA162" s="538"/>
      <c r="EB162" s="538"/>
      <c r="EC162" s="538"/>
      <c r="ED162" s="538"/>
      <c r="EE162" s="538"/>
      <c r="EF162" s="538"/>
      <c r="EG162" s="538"/>
      <c r="EH162" s="538"/>
      <c r="EI162" s="538"/>
      <c r="EJ162" s="538"/>
      <c r="EK162" s="538"/>
      <c r="EL162" s="538"/>
      <c r="EM162" s="538"/>
      <c r="EN162" s="538"/>
      <c r="EO162" s="538"/>
      <c r="EP162" s="538"/>
      <c r="EQ162" s="538"/>
      <c r="ER162" s="538"/>
      <c r="ES162" s="538"/>
      <c r="ET162" s="538"/>
      <c r="EU162" s="538"/>
      <c r="EV162" s="538"/>
      <c r="EW162" s="538"/>
      <c r="EX162" s="559"/>
      <c r="EY162" s="559"/>
      <c r="EZ162" s="559"/>
      <c r="FA162" s="559"/>
      <c r="FB162" s="559"/>
      <c r="FC162" s="559"/>
      <c r="FD162" s="559"/>
      <c r="FE162" s="559"/>
      <c r="FF162" s="559"/>
      <c r="FG162" s="559"/>
      <c r="FH162" s="559"/>
      <c r="FI162" s="559"/>
      <c r="FJ162" s="559"/>
      <c r="FK162" s="559"/>
      <c r="FL162" s="559"/>
      <c r="FM162" s="559"/>
      <c r="FN162" s="559"/>
      <c r="FO162" s="559"/>
      <c r="FP162" s="559"/>
      <c r="FQ162" s="559"/>
      <c r="FR162" s="559"/>
      <c r="FS162" s="559"/>
      <c r="FT162" s="559"/>
      <c r="FU162" s="559"/>
      <c r="FV162" s="559"/>
      <c r="FW162" s="559"/>
      <c r="FX162" s="559"/>
      <c r="FY162" s="559"/>
      <c r="FZ162" s="559"/>
      <c r="GA162" s="559"/>
      <c r="GB162" s="559"/>
      <c r="GC162" s="559"/>
      <c r="GD162" s="559"/>
      <c r="GE162" s="559"/>
      <c r="GF162" s="559"/>
      <c r="GG162" s="559"/>
      <c r="GH162" s="559"/>
    </row>
    <row r="163">
      <c r="A163" s="538"/>
      <c r="B163" s="156"/>
      <c r="C163" s="444"/>
      <c r="D163" s="614"/>
      <c r="E163" s="66"/>
      <c r="F163" s="642"/>
      <c r="G163" s="642"/>
      <c r="H163" s="615"/>
      <c r="I163" s="616" t="s">
        <v>365</v>
      </c>
      <c r="J163" s="624"/>
      <c r="K163" s="643"/>
      <c r="L163" s="640"/>
      <c r="M163" s="625"/>
      <c r="N163" s="617"/>
      <c r="O163" s="134"/>
      <c r="P163" s="57"/>
      <c r="Q163" s="57"/>
      <c r="S163" s="605"/>
      <c r="U163" s="573"/>
      <c r="V163" s="574"/>
      <c r="W163" s="618"/>
      <c r="X163" s="576">
        <v>0.0</v>
      </c>
      <c r="Y163" s="630">
        <v>0.0</v>
      </c>
      <c r="Z163" s="630" t="s">
        <v>365</v>
      </c>
      <c r="AA163" s="631" t="b">
        <v>0</v>
      </c>
      <c r="AB163" s="631"/>
      <c r="AC163" s="576"/>
      <c r="AD163" s="479">
        <v>0.0</v>
      </c>
      <c r="AE163" s="632"/>
      <c r="AF163" s="582" t="s">
        <v>365</v>
      </c>
      <c r="AG163" s="583"/>
      <c r="AH163" s="584"/>
      <c r="AI163" s="583"/>
      <c r="AJ163" s="585"/>
      <c r="AK163" s="583"/>
      <c r="AL163" s="584"/>
      <c r="AM163" s="583"/>
      <c r="AN163" s="585"/>
      <c r="AO163" s="583"/>
      <c r="AP163" s="584"/>
      <c r="AQ163" s="583"/>
      <c r="AR163" s="585"/>
      <c r="AS163" s="583"/>
      <c r="AT163" s="584"/>
      <c r="AU163" s="583"/>
      <c r="AV163" s="585"/>
      <c r="AW163" s="583"/>
      <c r="AX163" s="584"/>
      <c r="AY163" s="583"/>
      <c r="AZ163" s="585"/>
      <c r="BA163" s="583"/>
      <c r="BB163" s="584"/>
      <c r="BC163" s="583"/>
      <c r="BD163" s="585"/>
      <c r="BE163" s="583"/>
      <c r="BF163" s="584"/>
      <c r="BG163" s="583"/>
      <c r="BH163" s="585"/>
      <c r="BI163" s="583"/>
      <c r="BJ163" s="584"/>
      <c r="BK163" s="583"/>
      <c r="BL163" s="585"/>
      <c r="BM163" s="583"/>
      <c r="BN163" s="584"/>
      <c r="BO163" s="583"/>
      <c r="BP163" s="585"/>
      <c r="BQ163" s="583"/>
      <c r="BR163" s="584"/>
      <c r="BS163" s="583"/>
      <c r="BT163" s="586"/>
      <c r="BU163" s="540"/>
      <c r="BV163" s="540"/>
      <c r="BW163" s="540"/>
      <c r="BX163" s="538"/>
      <c r="BY163" s="538"/>
      <c r="BZ163" s="592"/>
      <c r="CA163" s="633"/>
      <c r="CB163" s="592" t="s">
        <v>365</v>
      </c>
      <c r="CC163" s="592">
        <v>0.0</v>
      </c>
      <c r="CD163" s="592" t="s">
        <v>365</v>
      </c>
      <c r="CE163" s="592">
        <v>0.0</v>
      </c>
      <c r="CF163" s="592"/>
      <c r="CG163" s="592">
        <v>0.0</v>
      </c>
      <c r="CH163" s="592"/>
      <c r="CI163" s="633"/>
      <c r="CJ163" s="592">
        <v>0.0</v>
      </c>
      <c r="CK163" s="479" t="s">
        <v>365</v>
      </c>
      <c r="CL163" s="592"/>
      <c r="CM163" s="593"/>
      <c r="CN163" s="538"/>
      <c r="CO163" s="538"/>
      <c r="CP163" s="538"/>
      <c r="CQ163" s="538"/>
      <c r="CR163" s="538"/>
      <c r="CS163" s="538"/>
      <c r="CT163" s="538"/>
      <c r="CU163" s="538"/>
      <c r="CV163" s="538"/>
      <c r="CW163" s="538"/>
      <c r="CX163" s="538"/>
      <c r="CY163" s="538"/>
      <c r="CZ163" s="538"/>
      <c r="DA163" s="538"/>
      <c r="DB163" s="538"/>
      <c r="DC163" s="538"/>
      <c r="DD163" s="538"/>
      <c r="DE163" s="538"/>
      <c r="DF163" s="538"/>
      <c r="DG163" s="538"/>
      <c r="DH163" s="538"/>
      <c r="DI163" s="538"/>
      <c r="DJ163" s="538"/>
      <c r="DK163" s="538"/>
      <c r="DL163" s="538"/>
      <c r="DM163" s="538"/>
      <c r="DN163" s="538"/>
      <c r="DO163" s="538"/>
      <c r="DP163" s="538"/>
      <c r="DQ163" s="538"/>
      <c r="DR163" s="538"/>
      <c r="DS163" s="538"/>
      <c r="DT163" s="538"/>
      <c r="DU163" s="538"/>
      <c r="DV163" s="538"/>
      <c r="DW163" s="538"/>
      <c r="DX163" s="538"/>
      <c r="DY163" s="538"/>
      <c r="DZ163" s="538"/>
      <c r="EA163" s="538"/>
      <c r="EB163" s="538"/>
      <c r="EC163" s="538"/>
      <c r="ED163" s="538"/>
      <c r="EE163" s="538"/>
      <c r="EF163" s="538"/>
      <c r="EG163" s="538"/>
      <c r="EH163" s="538"/>
      <c r="EI163" s="538"/>
      <c r="EJ163" s="538"/>
      <c r="EK163" s="538"/>
      <c r="EL163" s="538"/>
      <c r="EM163" s="538"/>
      <c r="EN163" s="538"/>
      <c r="EO163" s="538"/>
      <c r="EP163" s="538"/>
      <c r="EQ163" s="538"/>
      <c r="ER163" s="538"/>
      <c r="ES163" s="538"/>
      <c r="ET163" s="538"/>
      <c r="EU163" s="538"/>
      <c r="EV163" s="538"/>
      <c r="EW163" s="538"/>
      <c r="EX163" s="559"/>
      <c r="EY163" s="559"/>
      <c r="EZ163" s="559"/>
      <c r="FA163" s="559"/>
      <c r="FB163" s="559"/>
      <c r="FC163" s="559"/>
      <c r="FD163" s="559"/>
      <c r="FE163" s="559"/>
      <c r="FF163" s="559"/>
      <c r="FG163" s="559"/>
      <c r="FH163" s="559"/>
      <c r="FI163" s="559"/>
      <c r="FJ163" s="559"/>
      <c r="FK163" s="559"/>
      <c r="FL163" s="559"/>
      <c r="FM163" s="559"/>
      <c r="FN163" s="559"/>
      <c r="FO163" s="559"/>
      <c r="FP163" s="559"/>
      <c r="FQ163" s="559"/>
      <c r="FR163" s="559"/>
      <c r="FS163" s="559"/>
      <c r="FT163" s="559"/>
      <c r="FU163" s="559"/>
      <c r="FV163" s="559"/>
      <c r="FW163" s="559"/>
      <c r="FX163" s="559"/>
      <c r="FY163" s="559"/>
      <c r="FZ163" s="559"/>
      <c r="GA163" s="559"/>
      <c r="GB163" s="559"/>
      <c r="GC163" s="559"/>
      <c r="GD163" s="559"/>
      <c r="GE163" s="559"/>
      <c r="GF163" s="559"/>
      <c r="GG163" s="559"/>
      <c r="GH163" s="559"/>
    </row>
    <row r="164">
      <c r="A164" s="538"/>
      <c r="B164" s="156"/>
      <c r="C164" s="444"/>
      <c r="D164" s="614"/>
      <c r="E164" s="68"/>
      <c r="F164" s="644"/>
      <c r="G164" s="644"/>
      <c r="H164" s="627"/>
      <c r="I164" s="622" t="s">
        <v>365</v>
      </c>
      <c r="J164" s="607"/>
      <c r="K164" s="641"/>
      <c r="L164" s="628"/>
      <c r="M164" s="626"/>
      <c r="N164" s="619"/>
      <c r="O164" s="560"/>
      <c r="P164" s="47"/>
      <c r="Q164" s="47"/>
      <c r="S164" s="572"/>
      <c r="U164" s="573"/>
      <c r="V164" s="574"/>
      <c r="W164" s="618"/>
      <c r="X164" s="576">
        <v>0.0</v>
      </c>
      <c r="Y164" s="630">
        <v>0.0</v>
      </c>
      <c r="Z164" s="630" t="s">
        <v>365</v>
      </c>
      <c r="AA164" s="631" t="b">
        <v>0</v>
      </c>
      <c r="AB164" s="631"/>
      <c r="AC164" s="576"/>
      <c r="AD164" s="479">
        <v>0.0</v>
      </c>
      <c r="AE164" s="632"/>
      <c r="AF164" s="582" t="s">
        <v>365</v>
      </c>
      <c r="AG164" s="583"/>
      <c r="AH164" s="584"/>
      <c r="AI164" s="583"/>
      <c r="AJ164" s="585"/>
      <c r="AK164" s="583"/>
      <c r="AL164" s="584"/>
      <c r="AM164" s="583"/>
      <c r="AN164" s="585"/>
      <c r="AO164" s="583"/>
      <c r="AP164" s="584"/>
      <c r="AQ164" s="583"/>
      <c r="AR164" s="585"/>
      <c r="AS164" s="583"/>
      <c r="AT164" s="584"/>
      <c r="AU164" s="583"/>
      <c r="AV164" s="585"/>
      <c r="AW164" s="583"/>
      <c r="AX164" s="584"/>
      <c r="AY164" s="583"/>
      <c r="AZ164" s="585"/>
      <c r="BA164" s="583"/>
      <c r="BB164" s="584"/>
      <c r="BC164" s="583"/>
      <c r="BD164" s="585"/>
      <c r="BE164" s="583"/>
      <c r="BF164" s="584"/>
      <c r="BG164" s="583"/>
      <c r="BH164" s="585"/>
      <c r="BI164" s="583"/>
      <c r="BJ164" s="584"/>
      <c r="BK164" s="583"/>
      <c r="BL164" s="585"/>
      <c r="BM164" s="583"/>
      <c r="BN164" s="584"/>
      <c r="BO164" s="583"/>
      <c r="BP164" s="585"/>
      <c r="BQ164" s="583"/>
      <c r="BR164" s="584"/>
      <c r="BS164" s="583"/>
      <c r="BT164" s="586"/>
      <c r="BU164" s="540"/>
      <c r="BV164" s="540"/>
      <c r="BW164" s="540"/>
      <c r="BX164" s="538"/>
      <c r="BY164" s="538"/>
      <c r="BZ164" s="592"/>
      <c r="CA164" s="633"/>
      <c r="CB164" s="592" t="s">
        <v>365</v>
      </c>
      <c r="CC164" s="592">
        <v>0.0</v>
      </c>
      <c r="CD164" s="592" t="s">
        <v>365</v>
      </c>
      <c r="CE164" s="592">
        <v>0.0</v>
      </c>
      <c r="CF164" s="592"/>
      <c r="CG164" s="592">
        <v>0.0</v>
      </c>
      <c r="CH164" s="592"/>
      <c r="CI164" s="633"/>
      <c r="CJ164" s="592">
        <v>0.0</v>
      </c>
      <c r="CK164" s="479" t="s">
        <v>365</v>
      </c>
      <c r="CL164" s="592"/>
      <c r="CM164" s="593"/>
      <c r="CN164" s="538"/>
      <c r="CO164" s="538"/>
      <c r="CP164" s="538"/>
      <c r="CQ164" s="538"/>
      <c r="CR164" s="538"/>
      <c r="CS164" s="538"/>
      <c r="CT164" s="538"/>
      <c r="CU164" s="538"/>
      <c r="CV164" s="538"/>
      <c r="CW164" s="538"/>
      <c r="CX164" s="538"/>
      <c r="CY164" s="538"/>
      <c r="CZ164" s="538"/>
      <c r="DA164" s="538"/>
      <c r="DB164" s="538"/>
      <c r="DC164" s="538"/>
      <c r="DD164" s="538"/>
      <c r="DE164" s="538"/>
      <c r="DF164" s="538"/>
      <c r="DG164" s="538"/>
      <c r="DH164" s="538"/>
      <c r="DI164" s="538"/>
      <c r="DJ164" s="538"/>
      <c r="DK164" s="538"/>
      <c r="DL164" s="538"/>
      <c r="DM164" s="538"/>
      <c r="DN164" s="538"/>
      <c r="DO164" s="538"/>
      <c r="DP164" s="538"/>
      <c r="DQ164" s="538"/>
      <c r="DR164" s="538"/>
      <c r="DS164" s="538"/>
      <c r="DT164" s="538"/>
      <c r="DU164" s="538"/>
      <c r="DV164" s="538"/>
      <c r="DW164" s="538"/>
      <c r="DX164" s="538"/>
      <c r="DY164" s="538"/>
      <c r="DZ164" s="538"/>
      <c r="EA164" s="538"/>
      <c r="EB164" s="538"/>
      <c r="EC164" s="538"/>
      <c r="ED164" s="538"/>
      <c r="EE164" s="538"/>
      <c r="EF164" s="538"/>
      <c r="EG164" s="538"/>
      <c r="EH164" s="538"/>
      <c r="EI164" s="538"/>
      <c r="EJ164" s="538"/>
      <c r="EK164" s="538"/>
      <c r="EL164" s="538"/>
      <c r="EM164" s="538"/>
      <c r="EN164" s="538"/>
      <c r="EO164" s="538"/>
      <c r="EP164" s="538"/>
      <c r="EQ164" s="538"/>
      <c r="ER164" s="538"/>
      <c r="ES164" s="538"/>
      <c r="ET164" s="538"/>
      <c r="EU164" s="538"/>
      <c r="EV164" s="538"/>
      <c r="EW164" s="538"/>
      <c r="EX164" s="559"/>
      <c r="EY164" s="559"/>
      <c r="EZ164" s="559"/>
      <c r="FA164" s="559"/>
      <c r="FB164" s="559"/>
      <c r="FC164" s="559"/>
      <c r="FD164" s="559"/>
      <c r="FE164" s="559"/>
      <c r="FF164" s="559"/>
      <c r="FG164" s="559"/>
      <c r="FH164" s="559"/>
      <c r="FI164" s="559"/>
      <c r="FJ164" s="559"/>
      <c r="FK164" s="559"/>
      <c r="FL164" s="559"/>
      <c r="FM164" s="559"/>
      <c r="FN164" s="559"/>
      <c r="FO164" s="559"/>
      <c r="FP164" s="559"/>
      <c r="FQ164" s="559"/>
      <c r="FR164" s="559"/>
      <c r="FS164" s="559"/>
      <c r="FT164" s="559"/>
      <c r="FU164" s="559"/>
      <c r="FV164" s="559"/>
      <c r="FW164" s="559"/>
      <c r="FX164" s="559"/>
      <c r="FY164" s="559"/>
      <c r="FZ164" s="559"/>
      <c r="GA164" s="559"/>
      <c r="GB164" s="559"/>
      <c r="GC164" s="559"/>
      <c r="GD164" s="559"/>
      <c r="GE164" s="559"/>
      <c r="GF164" s="559"/>
      <c r="GG164" s="559"/>
      <c r="GH164" s="559"/>
    </row>
    <row r="165">
      <c r="A165" s="538"/>
      <c r="B165" s="156"/>
      <c r="C165" s="444"/>
      <c r="D165" s="614"/>
      <c r="E165" s="66"/>
      <c r="F165" s="642"/>
      <c r="G165" s="642"/>
      <c r="H165" s="615"/>
      <c r="I165" s="616" t="s">
        <v>365</v>
      </c>
      <c r="J165" s="624"/>
      <c r="K165" s="643"/>
      <c r="L165" s="640"/>
      <c r="M165" s="625"/>
      <c r="N165" s="617"/>
      <c r="O165" s="134"/>
      <c r="P165" s="57"/>
      <c r="Q165" s="57"/>
      <c r="S165" s="605"/>
      <c r="U165" s="573"/>
      <c r="V165" s="574"/>
      <c r="W165" s="618"/>
      <c r="X165" s="576">
        <v>0.0</v>
      </c>
      <c r="Y165" s="630">
        <v>0.0</v>
      </c>
      <c r="Z165" s="630" t="s">
        <v>365</v>
      </c>
      <c r="AA165" s="631" t="b">
        <v>0</v>
      </c>
      <c r="AB165" s="631"/>
      <c r="AC165" s="576"/>
      <c r="AD165" s="479">
        <v>0.0</v>
      </c>
      <c r="AE165" s="632"/>
      <c r="AF165" s="582" t="s">
        <v>365</v>
      </c>
      <c r="AG165" s="583"/>
      <c r="AH165" s="584"/>
      <c r="AI165" s="583"/>
      <c r="AJ165" s="585"/>
      <c r="AK165" s="583"/>
      <c r="AL165" s="584"/>
      <c r="AM165" s="583"/>
      <c r="AN165" s="585"/>
      <c r="AO165" s="583"/>
      <c r="AP165" s="584"/>
      <c r="AQ165" s="583"/>
      <c r="AR165" s="585"/>
      <c r="AS165" s="583"/>
      <c r="AT165" s="584"/>
      <c r="AU165" s="583"/>
      <c r="AV165" s="585"/>
      <c r="AW165" s="583"/>
      <c r="AX165" s="584"/>
      <c r="AY165" s="583"/>
      <c r="AZ165" s="585"/>
      <c r="BA165" s="583"/>
      <c r="BB165" s="584"/>
      <c r="BC165" s="583"/>
      <c r="BD165" s="585"/>
      <c r="BE165" s="583"/>
      <c r="BF165" s="584"/>
      <c r="BG165" s="583"/>
      <c r="BH165" s="585"/>
      <c r="BI165" s="583"/>
      <c r="BJ165" s="584"/>
      <c r="BK165" s="583"/>
      <c r="BL165" s="585"/>
      <c r="BM165" s="583"/>
      <c r="BN165" s="584"/>
      <c r="BO165" s="583"/>
      <c r="BP165" s="585"/>
      <c r="BQ165" s="583"/>
      <c r="BR165" s="584"/>
      <c r="BS165" s="583"/>
      <c r="BT165" s="586"/>
      <c r="BU165" s="540"/>
      <c r="BV165" s="540"/>
      <c r="BW165" s="540"/>
      <c r="BX165" s="538"/>
      <c r="BY165" s="538"/>
      <c r="BZ165" s="592"/>
      <c r="CA165" s="633"/>
      <c r="CB165" s="592" t="s">
        <v>365</v>
      </c>
      <c r="CC165" s="592">
        <v>0.0</v>
      </c>
      <c r="CD165" s="592" t="s">
        <v>365</v>
      </c>
      <c r="CE165" s="592">
        <v>0.0</v>
      </c>
      <c r="CF165" s="592"/>
      <c r="CG165" s="592">
        <v>0.0</v>
      </c>
      <c r="CH165" s="592"/>
      <c r="CI165" s="633"/>
      <c r="CJ165" s="592">
        <v>0.0</v>
      </c>
      <c r="CK165" s="479" t="s">
        <v>365</v>
      </c>
      <c r="CL165" s="592"/>
      <c r="CM165" s="593"/>
      <c r="CN165" s="538"/>
      <c r="CO165" s="538"/>
      <c r="CP165" s="538"/>
      <c r="CQ165" s="538"/>
      <c r="CR165" s="538"/>
      <c r="CS165" s="538"/>
      <c r="CT165" s="538"/>
      <c r="CU165" s="538"/>
      <c r="CV165" s="538"/>
      <c r="CW165" s="538"/>
      <c r="CX165" s="538"/>
      <c r="CY165" s="538"/>
      <c r="CZ165" s="538"/>
      <c r="DA165" s="538"/>
      <c r="DB165" s="538"/>
      <c r="DC165" s="538"/>
      <c r="DD165" s="538"/>
      <c r="DE165" s="538"/>
      <c r="DF165" s="538"/>
      <c r="DG165" s="538"/>
      <c r="DH165" s="538"/>
      <c r="DI165" s="538"/>
      <c r="DJ165" s="538"/>
      <c r="DK165" s="538"/>
      <c r="DL165" s="538"/>
      <c r="DM165" s="538"/>
      <c r="DN165" s="538"/>
      <c r="DO165" s="538"/>
      <c r="DP165" s="538"/>
      <c r="DQ165" s="538"/>
      <c r="DR165" s="538"/>
      <c r="DS165" s="538"/>
      <c r="DT165" s="538"/>
      <c r="DU165" s="538"/>
      <c r="DV165" s="538"/>
      <c r="DW165" s="538"/>
      <c r="DX165" s="538"/>
      <c r="DY165" s="538"/>
      <c r="DZ165" s="538"/>
      <c r="EA165" s="538"/>
      <c r="EB165" s="538"/>
      <c r="EC165" s="538"/>
      <c r="ED165" s="538"/>
      <c r="EE165" s="538"/>
      <c r="EF165" s="538"/>
      <c r="EG165" s="538"/>
      <c r="EH165" s="538"/>
      <c r="EI165" s="538"/>
      <c r="EJ165" s="538"/>
      <c r="EK165" s="538"/>
      <c r="EL165" s="538"/>
      <c r="EM165" s="538"/>
      <c r="EN165" s="538"/>
      <c r="EO165" s="538"/>
      <c r="EP165" s="538"/>
      <c r="EQ165" s="538"/>
      <c r="ER165" s="538"/>
      <c r="ES165" s="538"/>
      <c r="ET165" s="538"/>
      <c r="EU165" s="538"/>
      <c r="EV165" s="538"/>
      <c r="EW165" s="538"/>
      <c r="EX165" s="559"/>
      <c r="EY165" s="559"/>
      <c r="EZ165" s="559"/>
      <c r="FA165" s="559"/>
      <c r="FB165" s="559"/>
      <c r="FC165" s="559"/>
      <c r="FD165" s="559"/>
      <c r="FE165" s="559"/>
      <c r="FF165" s="559"/>
      <c r="FG165" s="559"/>
      <c r="FH165" s="559"/>
      <c r="FI165" s="559"/>
      <c r="FJ165" s="559"/>
      <c r="FK165" s="559"/>
      <c r="FL165" s="559"/>
      <c r="FM165" s="559"/>
      <c r="FN165" s="559"/>
      <c r="FO165" s="559"/>
      <c r="FP165" s="559"/>
      <c r="FQ165" s="559"/>
      <c r="FR165" s="559"/>
      <c r="FS165" s="559"/>
      <c r="FT165" s="559"/>
      <c r="FU165" s="559"/>
      <c r="FV165" s="559"/>
      <c r="FW165" s="559"/>
      <c r="FX165" s="559"/>
      <c r="FY165" s="559"/>
      <c r="FZ165" s="559"/>
      <c r="GA165" s="559"/>
      <c r="GB165" s="559"/>
      <c r="GC165" s="559"/>
      <c r="GD165" s="559"/>
      <c r="GE165" s="559"/>
      <c r="GF165" s="559"/>
      <c r="GG165" s="559"/>
      <c r="GH165" s="559"/>
    </row>
    <row r="166">
      <c r="A166" s="538"/>
      <c r="B166" s="156"/>
      <c r="C166" s="444"/>
      <c r="D166" s="614"/>
      <c r="E166" s="68"/>
      <c r="F166" s="644"/>
      <c r="G166" s="644"/>
      <c r="H166" s="627"/>
      <c r="I166" s="622" t="s">
        <v>365</v>
      </c>
      <c r="J166" s="607"/>
      <c r="K166" s="641"/>
      <c r="L166" s="628"/>
      <c r="M166" s="626"/>
      <c r="N166" s="619"/>
      <c r="O166" s="560"/>
      <c r="P166" s="47"/>
      <c r="Q166" s="47"/>
      <c r="S166" s="572"/>
      <c r="U166" s="573"/>
      <c r="V166" s="574"/>
      <c r="W166" s="618"/>
      <c r="X166" s="576">
        <v>0.0</v>
      </c>
      <c r="Y166" s="630">
        <v>0.0</v>
      </c>
      <c r="Z166" s="630" t="s">
        <v>365</v>
      </c>
      <c r="AA166" s="631" t="b">
        <v>0</v>
      </c>
      <c r="AB166" s="631"/>
      <c r="AC166" s="576"/>
      <c r="AD166" s="479">
        <v>0.0</v>
      </c>
      <c r="AE166" s="632"/>
      <c r="AF166" s="582" t="s">
        <v>365</v>
      </c>
      <c r="AG166" s="583"/>
      <c r="AH166" s="584"/>
      <c r="AI166" s="583"/>
      <c r="AJ166" s="585"/>
      <c r="AK166" s="583"/>
      <c r="AL166" s="584"/>
      <c r="AM166" s="583"/>
      <c r="AN166" s="585"/>
      <c r="AO166" s="583"/>
      <c r="AP166" s="584"/>
      <c r="AQ166" s="583"/>
      <c r="AR166" s="585"/>
      <c r="AS166" s="583"/>
      <c r="AT166" s="584"/>
      <c r="AU166" s="583"/>
      <c r="AV166" s="585"/>
      <c r="AW166" s="583"/>
      <c r="AX166" s="584"/>
      <c r="AY166" s="583"/>
      <c r="AZ166" s="585"/>
      <c r="BA166" s="583"/>
      <c r="BB166" s="584"/>
      <c r="BC166" s="583"/>
      <c r="BD166" s="585"/>
      <c r="BE166" s="583"/>
      <c r="BF166" s="584"/>
      <c r="BG166" s="583"/>
      <c r="BH166" s="585"/>
      <c r="BI166" s="583"/>
      <c r="BJ166" s="584"/>
      <c r="BK166" s="583"/>
      <c r="BL166" s="585"/>
      <c r="BM166" s="583"/>
      <c r="BN166" s="584"/>
      <c r="BO166" s="583"/>
      <c r="BP166" s="585"/>
      <c r="BQ166" s="583"/>
      <c r="BR166" s="584"/>
      <c r="BS166" s="583"/>
      <c r="BT166" s="586"/>
      <c r="BU166" s="540"/>
      <c r="BV166" s="540"/>
      <c r="BW166" s="540"/>
      <c r="BX166" s="538"/>
      <c r="BY166" s="538"/>
      <c r="BZ166" s="592"/>
      <c r="CA166" s="633"/>
      <c r="CB166" s="592" t="s">
        <v>365</v>
      </c>
      <c r="CC166" s="592">
        <v>0.0</v>
      </c>
      <c r="CD166" s="592" t="s">
        <v>365</v>
      </c>
      <c r="CE166" s="592">
        <v>0.0</v>
      </c>
      <c r="CF166" s="592"/>
      <c r="CG166" s="592">
        <v>0.0</v>
      </c>
      <c r="CH166" s="592"/>
      <c r="CI166" s="633"/>
      <c r="CJ166" s="592">
        <v>0.0</v>
      </c>
      <c r="CK166" s="479" t="s">
        <v>365</v>
      </c>
      <c r="CL166" s="592"/>
      <c r="CM166" s="593"/>
      <c r="CN166" s="538"/>
      <c r="CO166" s="538"/>
      <c r="CP166" s="538"/>
      <c r="CQ166" s="538"/>
      <c r="CR166" s="538"/>
      <c r="CS166" s="538"/>
      <c r="CT166" s="538"/>
      <c r="CU166" s="538"/>
      <c r="CV166" s="538"/>
      <c r="CW166" s="538"/>
      <c r="CX166" s="538"/>
      <c r="CY166" s="538"/>
      <c r="CZ166" s="538"/>
      <c r="DA166" s="538"/>
      <c r="DB166" s="538"/>
      <c r="DC166" s="538"/>
      <c r="DD166" s="538"/>
      <c r="DE166" s="538"/>
      <c r="DF166" s="538"/>
      <c r="DG166" s="538"/>
      <c r="DH166" s="538"/>
      <c r="DI166" s="538"/>
      <c r="DJ166" s="538"/>
      <c r="DK166" s="538"/>
      <c r="DL166" s="538"/>
      <c r="DM166" s="538"/>
      <c r="DN166" s="538"/>
      <c r="DO166" s="538"/>
      <c r="DP166" s="538"/>
      <c r="DQ166" s="538"/>
      <c r="DR166" s="538"/>
      <c r="DS166" s="538"/>
      <c r="DT166" s="538"/>
      <c r="DU166" s="538"/>
      <c r="DV166" s="538"/>
      <c r="DW166" s="538"/>
      <c r="DX166" s="538"/>
      <c r="DY166" s="538"/>
      <c r="DZ166" s="538"/>
      <c r="EA166" s="538"/>
      <c r="EB166" s="538"/>
      <c r="EC166" s="538"/>
      <c r="ED166" s="538"/>
      <c r="EE166" s="538"/>
      <c r="EF166" s="538"/>
      <c r="EG166" s="538"/>
      <c r="EH166" s="538"/>
      <c r="EI166" s="538"/>
      <c r="EJ166" s="538"/>
      <c r="EK166" s="538"/>
      <c r="EL166" s="538"/>
      <c r="EM166" s="538"/>
      <c r="EN166" s="538"/>
      <c r="EO166" s="538"/>
      <c r="EP166" s="538"/>
      <c r="EQ166" s="538"/>
      <c r="ER166" s="538"/>
      <c r="ES166" s="538"/>
      <c r="ET166" s="538"/>
      <c r="EU166" s="538"/>
      <c r="EV166" s="538"/>
      <c r="EW166" s="538"/>
      <c r="EX166" s="559"/>
      <c r="EY166" s="559"/>
      <c r="EZ166" s="559"/>
      <c r="FA166" s="559"/>
      <c r="FB166" s="559"/>
      <c r="FC166" s="559"/>
      <c r="FD166" s="559"/>
      <c r="FE166" s="559"/>
      <c r="FF166" s="559"/>
      <c r="FG166" s="559"/>
      <c r="FH166" s="559"/>
      <c r="FI166" s="559"/>
      <c r="FJ166" s="559"/>
      <c r="FK166" s="559"/>
      <c r="FL166" s="559"/>
      <c r="FM166" s="559"/>
      <c r="FN166" s="559"/>
      <c r="FO166" s="559"/>
      <c r="FP166" s="559"/>
      <c r="FQ166" s="559"/>
      <c r="FR166" s="559"/>
      <c r="FS166" s="559"/>
      <c r="FT166" s="559"/>
      <c r="FU166" s="559"/>
      <c r="FV166" s="559"/>
      <c r="FW166" s="559"/>
      <c r="FX166" s="559"/>
      <c r="FY166" s="559"/>
      <c r="FZ166" s="559"/>
      <c r="GA166" s="559"/>
      <c r="GB166" s="559"/>
      <c r="GC166" s="559"/>
      <c r="GD166" s="559"/>
      <c r="GE166" s="559"/>
      <c r="GF166" s="559"/>
      <c r="GG166" s="559"/>
      <c r="GH166" s="559"/>
    </row>
    <row r="167">
      <c r="A167" s="538"/>
      <c r="B167" s="156"/>
      <c r="C167" s="444"/>
      <c r="D167" s="614"/>
      <c r="E167" s="66"/>
      <c r="F167" s="642"/>
      <c r="G167" s="642"/>
      <c r="H167" s="615"/>
      <c r="I167" s="616" t="s">
        <v>365</v>
      </c>
      <c r="J167" s="624"/>
      <c r="K167" s="643"/>
      <c r="L167" s="640"/>
      <c r="M167" s="625"/>
      <c r="N167" s="617"/>
      <c r="O167" s="134"/>
      <c r="P167" s="57"/>
      <c r="Q167" s="57"/>
      <c r="S167" s="605"/>
      <c r="U167" s="573"/>
      <c r="V167" s="574"/>
      <c r="W167" s="618"/>
      <c r="X167" s="576">
        <v>0.0</v>
      </c>
      <c r="Y167" s="630">
        <v>0.0</v>
      </c>
      <c r="Z167" s="630" t="s">
        <v>365</v>
      </c>
      <c r="AA167" s="631" t="b">
        <v>0</v>
      </c>
      <c r="AB167" s="631"/>
      <c r="AC167" s="576"/>
      <c r="AD167" s="479">
        <v>0.0</v>
      </c>
      <c r="AE167" s="632"/>
      <c r="AF167" s="582" t="s">
        <v>365</v>
      </c>
      <c r="AG167" s="583"/>
      <c r="AH167" s="584"/>
      <c r="AI167" s="583"/>
      <c r="AJ167" s="585"/>
      <c r="AK167" s="583"/>
      <c r="AL167" s="584"/>
      <c r="AM167" s="583"/>
      <c r="AN167" s="585"/>
      <c r="AO167" s="583"/>
      <c r="AP167" s="584"/>
      <c r="AQ167" s="583"/>
      <c r="AR167" s="585"/>
      <c r="AS167" s="583"/>
      <c r="AT167" s="584"/>
      <c r="AU167" s="583"/>
      <c r="AV167" s="585"/>
      <c r="AW167" s="583"/>
      <c r="AX167" s="584"/>
      <c r="AY167" s="583"/>
      <c r="AZ167" s="585"/>
      <c r="BA167" s="583"/>
      <c r="BB167" s="584"/>
      <c r="BC167" s="583"/>
      <c r="BD167" s="585"/>
      <c r="BE167" s="583"/>
      <c r="BF167" s="584"/>
      <c r="BG167" s="583"/>
      <c r="BH167" s="585"/>
      <c r="BI167" s="583"/>
      <c r="BJ167" s="584"/>
      <c r="BK167" s="583"/>
      <c r="BL167" s="585"/>
      <c r="BM167" s="583"/>
      <c r="BN167" s="584"/>
      <c r="BO167" s="583"/>
      <c r="BP167" s="585"/>
      <c r="BQ167" s="583"/>
      <c r="BR167" s="584"/>
      <c r="BS167" s="583"/>
      <c r="BT167" s="586"/>
      <c r="BU167" s="540"/>
      <c r="BV167" s="540"/>
      <c r="BW167" s="540"/>
      <c r="BX167" s="538"/>
      <c r="BY167" s="538"/>
      <c r="BZ167" s="592"/>
      <c r="CA167" s="633"/>
      <c r="CB167" s="592" t="s">
        <v>365</v>
      </c>
      <c r="CC167" s="592">
        <v>0.0</v>
      </c>
      <c r="CD167" s="592" t="s">
        <v>365</v>
      </c>
      <c r="CE167" s="592">
        <v>0.0</v>
      </c>
      <c r="CF167" s="592"/>
      <c r="CG167" s="592">
        <v>0.0</v>
      </c>
      <c r="CH167" s="592"/>
      <c r="CI167" s="633"/>
      <c r="CJ167" s="592">
        <v>0.0</v>
      </c>
      <c r="CK167" s="479" t="s">
        <v>365</v>
      </c>
      <c r="CL167" s="592"/>
      <c r="CM167" s="593"/>
      <c r="CN167" s="538"/>
      <c r="CO167" s="538"/>
      <c r="CP167" s="538"/>
      <c r="CQ167" s="538"/>
      <c r="CR167" s="538"/>
      <c r="CS167" s="538"/>
      <c r="CT167" s="538"/>
      <c r="CU167" s="538"/>
      <c r="CV167" s="538"/>
      <c r="CW167" s="538"/>
      <c r="CX167" s="538"/>
      <c r="CY167" s="538"/>
      <c r="CZ167" s="538"/>
      <c r="DA167" s="538"/>
      <c r="DB167" s="538"/>
      <c r="DC167" s="538"/>
      <c r="DD167" s="538"/>
      <c r="DE167" s="538"/>
      <c r="DF167" s="538"/>
      <c r="DG167" s="538"/>
      <c r="DH167" s="538"/>
      <c r="DI167" s="538"/>
      <c r="DJ167" s="538"/>
      <c r="DK167" s="538"/>
      <c r="DL167" s="538"/>
      <c r="DM167" s="538"/>
      <c r="DN167" s="538"/>
      <c r="DO167" s="538"/>
      <c r="DP167" s="538"/>
      <c r="DQ167" s="538"/>
      <c r="DR167" s="538"/>
      <c r="DS167" s="538"/>
      <c r="DT167" s="538"/>
      <c r="DU167" s="538"/>
      <c r="DV167" s="538"/>
      <c r="DW167" s="538"/>
      <c r="DX167" s="538"/>
      <c r="DY167" s="538"/>
      <c r="DZ167" s="538"/>
      <c r="EA167" s="538"/>
      <c r="EB167" s="538"/>
      <c r="EC167" s="538"/>
      <c r="ED167" s="538"/>
      <c r="EE167" s="538"/>
      <c r="EF167" s="538"/>
      <c r="EG167" s="538"/>
      <c r="EH167" s="538"/>
      <c r="EI167" s="538"/>
      <c r="EJ167" s="538"/>
      <c r="EK167" s="538"/>
      <c r="EL167" s="538"/>
      <c r="EM167" s="538"/>
      <c r="EN167" s="538"/>
      <c r="EO167" s="538"/>
      <c r="EP167" s="538"/>
      <c r="EQ167" s="538"/>
      <c r="ER167" s="538"/>
      <c r="ES167" s="538"/>
      <c r="ET167" s="538"/>
      <c r="EU167" s="538"/>
      <c r="EV167" s="538"/>
      <c r="EW167" s="538"/>
      <c r="EX167" s="559"/>
      <c r="EY167" s="559"/>
      <c r="EZ167" s="559"/>
      <c r="FA167" s="559"/>
      <c r="FB167" s="559"/>
      <c r="FC167" s="559"/>
      <c r="FD167" s="559"/>
      <c r="FE167" s="559"/>
      <c r="FF167" s="559"/>
      <c r="FG167" s="559"/>
      <c r="FH167" s="559"/>
      <c r="FI167" s="559"/>
      <c r="FJ167" s="559"/>
      <c r="FK167" s="559"/>
      <c r="FL167" s="559"/>
      <c r="FM167" s="559"/>
      <c r="FN167" s="559"/>
      <c r="FO167" s="559"/>
      <c r="FP167" s="559"/>
      <c r="FQ167" s="559"/>
      <c r="FR167" s="559"/>
      <c r="FS167" s="559"/>
      <c r="FT167" s="559"/>
      <c r="FU167" s="559"/>
      <c r="FV167" s="559"/>
      <c r="FW167" s="559"/>
      <c r="FX167" s="559"/>
      <c r="FY167" s="559"/>
      <c r="FZ167" s="559"/>
      <c r="GA167" s="559"/>
      <c r="GB167" s="559"/>
      <c r="GC167" s="559"/>
      <c r="GD167" s="559"/>
      <c r="GE167" s="559"/>
      <c r="GF167" s="559"/>
      <c r="GG167" s="559"/>
      <c r="GH167" s="559"/>
    </row>
    <row r="168">
      <c r="A168" s="538"/>
      <c r="B168" s="156"/>
      <c r="C168" s="444"/>
      <c r="D168" s="614"/>
      <c r="E168" s="68"/>
      <c r="F168" s="644"/>
      <c r="G168" s="644"/>
      <c r="H168" s="627"/>
      <c r="I168" s="622" t="s">
        <v>365</v>
      </c>
      <c r="J168" s="607"/>
      <c r="K168" s="641"/>
      <c r="L168" s="628"/>
      <c r="M168" s="626"/>
      <c r="N168" s="619"/>
      <c r="O168" s="560"/>
      <c r="P168" s="47"/>
      <c r="Q168" s="47"/>
      <c r="S168" s="572"/>
      <c r="U168" s="573"/>
      <c r="V168" s="574"/>
      <c r="W168" s="618"/>
      <c r="X168" s="576">
        <v>0.0</v>
      </c>
      <c r="Y168" s="630">
        <v>0.0</v>
      </c>
      <c r="Z168" s="630" t="s">
        <v>365</v>
      </c>
      <c r="AA168" s="631" t="b">
        <v>0</v>
      </c>
      <c r="AB168" s="631"/>
      <c r="AC168" s="576"/>
      <c r="AD168" s="479">
        <v>0.0</v>
      </c>
      <c r="AE168" s="632"/>
      <c r="AF168" s="582" t="s">
        <v>365</v>
      </c>
      <c r="AG168" s="583"/>
      <c r="AH168" s="584"/>
      <c r="AI168" s="583"/>
      <c r="AJ168" s="585"/>
      <c r="AK168" s="583"/>
      <c r="AL168" s="584"/>
      <c r="AM168" s="583"/>
      <c r="AN168" s="585"/>
      <c r="AO168" s="583"/>
      <c r="AP168" s="584"/>
      <c r="AQ168" s="583"/>
      <c r="AR168" s="585"/>
      <c r="AS168" s="583"/>
      <c r="AT168" s="584"/>
      <c r="AU168" s="583"/>
      <c r="AV168" s="585"/>
      <c r="AW168" s="583"/>
      <c r="AX168" s="584"/>
      <c r="AY168" s="583"/>
      <c r="AZ168" s="585"/>
      <c r="BA168" s="583"/>
      <c r="BB168" s="584"/>
      <c r="BC168" s="583"/>
      <c r="BD168" s="585"/>
      <c r="BE168" s="583"/>
      <c r="BF168" s="584"/>
      <c r="BG168" s="583"/>
      <c r="BH168" s="585"/>
      <c r="BI168" s="583"/>
      <c r="BJ168" s="584"/>
      <c r="BK168" s="583"/>
      <c r="BL168" s="585"/>
      <c r="BM168" s="583"/>
      <c r="BN168" s="584"/>
      <c r="BO168" s="583"/>
      <c r="BP168" s="585"/>
      <c r="BQ168" s="583"/>
      <c r="BR168" s="584"/>
      <c r="BS168" s="583"/>
      <c r="BT168" s="586"/>
      <c r="BU168" s="540"/>
      <c r="BV168" s="540"/>
      <c r="BW168" s="540"/>
      <c r="BX168" s="538"/>
      <c r="BY168" s="538"/>
      <c r="BZ168" s="592"/>
      <c r="CA168" s="633"/>
      <c r="CB168" s="592" t="s">
        <v>365</v>
      </c>
      <c r="CC168" s="592">
        <v>0.0</v>
      </c>
      <c r="CD168" s="592" t="s">
        <v>365</v>
      </c>
      <c r="CE168" s="592">
        <v>0.0</v>
      </c>
      <c r="CF168" s="592"/>
      <c r="CG168" s="592">
        <v>0.0</v>
      </c>
      <c r="CH168" s="592"/>
      <c r="CI168" s="633"/>
      <c r="CJ168" s="592">
        <v>0.0</v>
      </c>
      <c r="CK168" s="479" t="s">
        <v>365</v>
      </c>
      <c r="CL168" s="592"/>
      <c r="CM168" s="593"/>
      <c r="CN168" s="538"/>
      <c r="CO168" s="538"/>
      <c r="CP168" s="538"/>
      <c r="CQ168" s="538"/>
      <c r="CR168" s="538"/>
      <c r="CS168" s="538"/>
      <c r="CT168" s="538"/>
      <c r="CU168" s="538"/>
      <c r="CV168" s="538"/>
      <c r="CW168" s="538"/>
      <c r="CX168" s="538"/>
      <c r="CY168" s="538"/>
      <c r="CZ168" s="538"/>
      <c r="DA168" s="538"/>
      <c r="DB168" s="538"/>
      <c r="DC168" s="538"/>
      <c r="DD168" s="538"/>
      <c r="DE168" s="538"/>
      <c r="DF168" s="538"/>
      <c r="DG168" s="538"/>
      <c r="DH168" s="538"/>
      <c r="DI168" s="538"/>
      <c r="DJ168" s="538"/>
      <c r="DK168" s="538"/>
      <c r="DL168" s="538"/>
      <c r="DM168" s="538"/>
      <c r="DN168" s="538"/>
      <c r="DO168" s="538"/>
      <c r="DP168" s="538"/>
      <c r="DQ168" s="538"/>
      <c r="DR168" s="538"/>
      <c r="DS168" s="538"/>
      <c r="DT168" s="538"/>
      <c r="DU168" s="538"/>
      <c r="DV168" s="538"/>
      <c r="DW168" s="538"/>
      <c r="DX168" s="538"/>
      <c r="DY168" s="538"/>
      <c r="DZ168" s="538"/>
      <c r="EA168" s="538"/>
      <c r="EB168" s="538"/>
      <c r="EC168" s="538"/>
      <c r="ED168" s="538"/>
      <c r="EE168" s="538"/>
      <c r="EF168" s="538"/>
      <c r="EG168" s="538"/>
      <c r="EH168" s="538"/>
      <c r="EI168" s="538"/>
      <c r="EJ168" s="538"/>
      <c r="EK168" s="538"/>
      <c r="EL168" s="538"/>
      <c r="EM168" s="538"/>
      <c r="EN168" s="538"/>
      <c r="EO168" s="538"/>
      <c r="EP168" s="538"/>
      <c r="EQ168" s="538"/>
      <c r="ER168" s="538"/>
      <c r="ES168" s="538"/>
      <c r="ET168" s="538"/>
      <c r="EU168" s="538"/>
      <c r="EV168" s="538"/>
      <c r="EW168" s="538"/>
      <c r="EX168" s="559"/>
      <c r="EY168" s="559"/>
      <c r="EZ168" s="559"/>
      <c r="FA168" s="559"/>
      <c r="FB168" s="559"/>
      <c r="FC168" s="559"/>
      <c r="FD168" s="559"/>
      <c r="FE168" s="559"/>
      <c r="FF168" s="559"/>
      <c r="FG168" s="559"/>
      <c r="FH168" s="559"/>
      <c r="FI168" s="559"/>
      <c r="FJ168" s="559"/>
      <c r="FK168" s="559"/>
      <c r="FL168" s="559"/>
      <c r="FM168" s="559"/>
      <c r="FN168" s="559"/>
      <c r="FO168" s="559"/>
      <c r="FP168" s="559"/>
      <c r="FQ168" s="559"/>
      <c r="FR168" s="559"/>
      <c r="FS168" s="559"/>
      <c r="FT168" s="559"/>
      <c r="FU168" s="559"/>
      <c r="FV168" s="559"/>
      <c r="FW168" s="559"/>
      <c r="FX168" s="559"/>
      <c r="FY168" s="559"/>
      <c r="FZ168" s="559"/>
      <c r="GA168" s="559"/>
      <c r="GB168" s="559"/>
      <c r="GC168" s="559"/>
      <c r="GD168" s="559"/>
      <c r="GE168" s="559"/>
      <c r="GF168" s="559"/>
      <c r="GG168" s="559"/>
      <c r="GH168" s="559"/>
    </row>
    <row r="169">
      <c r="A169" s="538"/>
      <c r="B169" s="156"/>
      <c r="C169" s="444"/>
      <c r="D169" s="614"/>
      <c r="E169" s="66"/>
      <c r="F169" s="642"/>
      <c r="G169" s="642"/>
      <c r="H169" s="615"/>
      <c r="I169" s="616" t="s">
        <v>365</v>
      </c>
      <c r="J169" s="624"/>
      <c r="K169" s="643"/>
      <c r="L169" s="640"/>
      <c r="M169" s="625"/>
      <c r="N169" s="617"/>
      <c r="O169" s="134"/>
      <c r="P169" s="57"/>
      <c r="Q169" s="57"/>
      <c r="S169" s="605"/>
      <c r="U169" s="573"/>
      <c r="V169" s="574"/>
      <c r="W169" s="618"/>
      <c r="X169" s="576">
        <v>0.0</v>
      </c>
      <c r="Y169" s="630">
        <v>0.0</v>
      </c>
      <c r="Z169" s="630" t="s">
        <v>365</v>
      </c>
      <c r="AA169" s="631" t="b">
        <v>0</v>
      </c>
      <c r="AB169" s="631"/>
      <c r="AC169" s="576"/>
      <c r="AD169" s="479">
        <v>0.0</v>
      </c>
      <c r="AE169" s="632"/>
      <c r="AF169" s="582" t="s">
        <v>365</v>
      </c>
      <c r="AG169" s="583"/>
      <c r="AH169" s="584"/>
      <c r="AI169" s="583"/>
      <c r="AJ169" s="585"/>
      <c r="AK169" s="583"/>
      <c r="AL169" s="584"/>
      <c r="AM169" s="583"/>
      <c r="AN169" s="585"/>
      <c r="AO169" s="583"/>
      <c r="AP169" s="584"/>
      <c r="AQ169" s="583"/>
      <c r="AR169" s="585"/>
      <c r="AS169" s="583"/>
      <c r="AT169" s="584"/>
      <c r="AU169" s="583"/>
      <c r="AV169" s="585"/>
      <c r="AW169" s="583"/>
      <c r="AX169" s="584"/>
      <c r="AY169" s="583"/>
      <c r="AZ169" s="585"/>
      <c r="BA169" s="583"/>
      <c r="BB169" s="584"/>
      <c r="BC169" s="583"/>
      <c r="BD169" s="585"/>
      <c r="BE169" s="583"/>
      <c r="BF169" s="584"/>
      <c r="BG169" s="583"/>
      <c r="BH169" s="585"/>
      <c r="BI169" s="583"/>
      <c r="BJ169" s="584"/>
      <c r="BK169" s="583"/>
      <c r="BL169" s="585"/>
      <c r="BM169" s="583"/>
      <c r="BN169" s="584"/>
      <c r="BO169" s="583"/>
      <c r="BP169" s="585"/>
      <c r="BQ169" s="583"/>
      <c r="BR169" s="584"/>
      <c r="BS169" s="583"/>
      <c r="BT169" s="586"/>
      <c r="BU169" s="540"/>
      <c r="BV169" s="540"/>
      <c r="BW169" s="540"/>
      <c r="BX169" s="538"/>
      <c r="BY169" s="538"/>
      <c r="BZ169" s="592"/>
      <c r="CA169" s="633"/>
      <c r="CB169" s="592" t="s">
        <v>365</v>
      </c>
      <c r="CC169" s="592">
        <v>0.0</v>
      </c>
      <c r="CD169" s="592" t="s">
        <v>365</v>
      </c>
      <c r="CE169" s="592">
        <v>0.0</v>
      </c>
      <c r="CF169" s="592"/>
      <c r="CG169" s="592">
        <v>0.0</v>
      </c>
      <c r="CH169" s="592"/>
      <c r="CI169" s="633"/>
      <c r="CJ169" s="592">
        <v>0.0</v>
      </c>
      <c r="CK169" s="479" t="s">
        <v>365</v>
      </c>
      <c r="CL169" s="592"/>
      <c r="CM169" s="593"/>
      <c r="CN169" s="538"/>
      <c r="CO169" s="538"/>
      <c r="CP169" s="538"/>
      <c r="CQ169" s="538"/>
      <c r="CR169" s="538"/>
      <c r="CS169" s="538"/>
      <c r="CT169" s="538"/>
      <c r="CU169" s="538"/>
      <c r="CV169" s="538"/>
      <c r="CW169" s="538"/>
      <c r="CX169" s="538"/>
      <c r="CY169" s="538"/>
      <c r="CZ169" s="538"/>
      <c r="DA169" s="538"/>
      <c r="DB169" s="538"/>
      <c r="DC169" s="538"/>
      <c r="DD169" s="538"/>
      <c r="DE169" s="538"/>
      <c r="DF169" s="538"/>
      <c r="DG169" s="538"/>
      <c r="DH169" s="538"/>
      <c r="DI169" s="538"/>
      <c r="DJ169" s="538"/>
      <c r="DK169" s="538"/>
      <c r="DL169" s="538"/>
      <c r="DM169" s="538"/>
      <c r="DN169" s="538"/>
      <c r="DO169" s="538"/>
      <c r="DP169" s="538"/>
      <c r="DQ169" s="538"/>
      <c r="DR169" s="538"/>
      <c r="DS169" s="538"/>
      <c r="DT169" s="538"/>
      <c r="DU169" s="538"/>
      <c r="DV169" s="538"/>
      <c r="DW169" s="538"/>
      <c r="DX169" s="538"/>
      <c r="DY169" s="538"/>
      <c r="DZ169" s="538"/>
      <c r="EA169" s="538"/>
      <c r="EB169" s="538"/>
      <c r="EC169" s="538"/>
      <c r="ED169" s="538"/>
      <c r="EE169" s="538"/>
      <c r="EF169" s="538"/>
      <c r="EG169" s="538"/>
      <c r="EH169" s="538"/>
      <c r="EI169" s="538"/>
      <c r="EJ169" s="538"/>
      <c r="EK169" s="538"/>
      <c r="EL169" s="538"/>
      <c r="EM169" s="538"/>
      <c r="EN169" s="538"/>
      <c r="EO169" s="538"/>
      <c r="EP169" s="538"/>
      <c r="EQ169" s="538"/>
      <c r="ER169" s="538"/>
      <c r="ES169" s="538"/>
      <c r="ET169" s="538"/>
      <c r="EU169" s="538"/>
      <c r="EV169" s="538"/>
      <c r="EW169" s="538"/>
      <c r="EX169" s="559"/>
      <c r="EY169" s="559"/>
      <c r="EZ169" s="559"/>
      <c r="FA169" s="559"/>
      <c r="FB169" s="559"/>
      <c r="FC169" s="559"/>
      <c r="FD169" s="559"/>
      <c r="FE169" s="559"/>
      <c r="FF169" s="559"/>
      <c r="FG169" s="559"/>
      <c r="FH169" s="559"/>
      <c r="FI169" s="559"/>
      <c r="FJ169" s="559"/>
      <c r="FK169" s="559"/>
      <c r="FL169" s="559"/>
      <c r="FM169" s="559"/>
      <c r="FN169" s="559"/>
      <c r="FO169" s="559"/>
      <c r="FP169" s="559"/>
      <c r="FQ169" s="559"/>
      <c r="FR169" s="559"/>
      <c r="FS169" s="559"/>
      <c r="FT169" s="559"/>
      <c r="FU169" s="559"/>
      <c r="FV169" s="559"/>
      <c r="FW169" s="559"/>
      <c r="FX169" s="559"/>
      <c r="FY169" s="559"/>
      <c r="FZ169" s="559"/>
      <c r="GA169" s="559"/>
      <c r="GB169" s="559"/>
      <c r="GC169" s="559"/>
      <c r="GD169" s="559"/>
      <c r="GE169" s="559"/>
      <c r="GF169" s="559"/>
      <c r="GG169" s="559"/>
      <c r="GH169" s="559"/>
    </row>
    <row r="170">
      <c r="A170" s="538"/>
      <c r="B170" s="156"/>
      <c r="C170" s="444"/>
      <c r="D170" s="614"/>
      <c r="E170" s="68"/>
      <c r="F170" s="644"/>
      <c r="G170" s="644"/>
      <c r="H170" s="627"/>
      <c r="I170" s="622" t="s">
        <v>365</v>
      </c>
      <c r="J170" s="607"/>
      <c r="K170" s="641"/>
      <c r="L170" s="628"/>
      <c r="M170" s="626"/>
      <c r="N170" s="619"/>
      <c r="O170" s="560"/>
      <c r="P170" s="47"/>
      <c r="Q170" s="47"/>
      <c r="S170" s="572"/>
      <c r="U170" s="573"/>
      <c r="V170" s="574"/>
      <c r="W170" s="618"/>
      <c r="X170" s="576">
        <v>0.0</v>
      </c>
      <c r="Y170" s="630">
        <v>0.0</v>
      </c>
      <c r="Z170" s="630" t="s">
        <v>365</v>
      </c>
      <c r="AA170" s="631" t="b">
        <v>0</v>
      </c>
      <c r="AB170" s="631"/>
      <c r="AC170" s="576"/>
      <c r="AD170" s="479">
        <v>0.0</v>
      </c>
      <c r="AE170" s="632"/>
      <c r="AF170" s="582" t="s">
        <v>365</v>
      </c>
      <c r="AG170" s="583"/>
      <c r="AH170" s="584"/>
      <c r="AI170" s="583"/>
      <c r="AJ170" s="585"/>
      <c r="AK170" s="583"/>
      <c r="AL170" s="584"/>
      <c r="AM170" s="583"/>
      <c r="AN170" s="585"/>
      <c r="AO170" s="583"/>
      <c r="AP170" s="584"/>
      <c r="AQ170" s="583"/>
      <c r="AR170" s="585"/>
      <c r="AS170" s="583"/>
      <c r="AT170" s="584"/>
      <c r="AU170" s="583"/>
      <c r="AV170" s="585"/>
      <c r="AW170" s="583"/>
      <c r="AX170" s="584"/>
      <c r="AY170" s="583"/>
      <c r="AZ170" s="585"/>
      <c r="BA170" s="583"/>
      <c r="BB170" s="584"/>
      <c r="BC170" s="583"/>
      <c r="BD170" s="585"/>
      <c r="BE170" s="583"/>
      <c r="BF170" s="584"/>
      <c r="BG170" s="583"/>
      <c r="BH170" s="585"/>
      <c r="BI170" s="583"/>
      <c r="BJ170" s="584"/>
      <c r="BK170" s="583"/>
      <c r="BL170" s="585"/>
      <c r="BM170" s="583"/>
      <c r="BN170" s="584"/>
      <c r="BO170" s="583"/>
      <c r="BP170" s="585"/>
      <c r="BQ170" s="583"/>
      <c r="BR170" s="584"/>
      <c r="BS170" s="583"/>
      <c r="BT170" s="586"/>
      <c r="BU170" s="540"/>
      <c r="BV170" s="540"/>
      <c r="BW170" s="540"/>
      <c r="BX170" s="538"/>
      <c r="BY170" s="538"/>
      <c r="BZ170" s="592"/>
      <c r="CA170" s="633"/>
      <c r="CB170" s="592" t="s">
        <v>365</v>
      </c>
      <c r="CC170" s="592">
        <v>0.0</v>
      </c>
      <c r="CD170" s="592" t="s">
        <v>365</v>
      </c>
      <c r="CE170" s="592">
        <v>0.0</v>
      </c>
      <c r="CF170" s="592"/>
      <c r="CG170" s="592">
        <v>0.0</v>
      </c>
      <c r="CH170" s="592"/>
      <c r="CI170" s="633"/>
      <c r="CJ170" s="592">
        <v>0.0</v>
      </c>
      <c r="CK170" s="479" t="s">
        <v>365</v>
      </c>
      <c r="CL170" s="592"/>
      <c r="CM170" s="593"/>
      <c r="CN170" s="538"/>
      <c r="CO170" s="538"/>
      <c r="CP170" s="538"/>
      <c r="CQ170" s="538"/>
      <c r="CR170" s="538"/>
      <c r="CS170" s="538"/>
      <c r="CT170" s="538"/>
      <c r="CU170" s="538"/>
      <c r="CV170" s="538"/>
      <c r="CW170" s="538"/>
      <c r="CX170" s="538"/>
      <c r="CY170" s="538"/>
      <c r="CZ170" s="538"/>
      <c r="DA170" s="538"/>
      <c r="DB170" s="538"/>
      <c r="DC170" s="538"/>
      <c r="DD170" s="538"/>
      <c r="DE170" s="538"/>
      <c r="DF170" s="538"/>
      <c r="DG170" s="538"/>
      <c r="DH170" s="538"/>
      <c r="DI170" s="538"/>
      <c r="DJ170" s="538"/>
      <c r="DK170" s="538"/>
      <c r="DL170" s="538"/>
      <c r="DM170" s="538"/>
      <c r="DN170" s="538"/>
      <c r="DO170" s="538"/>
      <c r="DP170" s="538"/>
      <c r="DQ170" s="538"/>
      <c r="DR170" s="538"/>
      <c r="DS170" s="538"/>
      <c r="DT170" s="538"/>
      <c r="DU170" s="538"/>
      <c r="DV170" s="538"/>
      <c r="DW170" s="538"/>
      <c r="DX170" s="538"/>
      <c r="DY170" s="538"/>
      <c r="DZ170" s="538"/>
      <c r="EA170" s="538"/>
      <c r="EB170" s="538"/>
      <c r="EC170" s="538"/>
      <c r="ED170" s="538"/>
      <c r="EE170" s="538"/>
      <c r="EF170" s="538"/>
      <c r="EG170" s="538"/>
      <c r="EH170" s="538"/>
      <c r="EI170" s="538"/>
      <c r="EJ170" s="538"/>
      <c r="EK170" s="538"/>
      <c r="EL170" s="538"/>
      <c r="EM170" s="538"/>
      <c r="EN170" s="538"/>
      <c r="EO170" s="538"/>
      <c r="EP170" s="538"/>
      <c r="EQ170" s="538"/>
      <c r="ER170" s="538"/>
      <c r="ES170" s="538"/>
      <c r="ET170" s="538"/>
      <c r="EU170" s="538"/>
      <c r="EV170" s="538"/>
      <c r="EW170" s="538"/>
      <c r="EX170" s="559"/>
      <c r="EY170" s="559"/>
      <c r="EZ170" s="559"/>
      <c r="FA170" s="559"/>
      <c r="FB170" s="559"/>
      <c r="FC170" s="559"/>
      <c r="FD170" s="559"/>
      <c r="FE170" s="559"/>
      <c r="FF170" s="559"/>
      <c r="FG170" s="559"/>
      <c r="FH170" s="559"/>
      <c r="FI170" s="559"/>
      <c r="FJ170" s="559"/>
      <c r="FK170" s="559"/>
      <c r="FL170" s="559"/>
      <c r="FM170" s="559"/>
      <c r="FN170" s="559"/>
      <c r="FO170" s="559"/>
      <c r="FP170" s="559"/>
      <c r="FQ170" s="559"/>
      <c r="FR170" s="559"/>
      <c r="FS170" s="559"/>
      <c r="FT170" s="559"/>
      <c r="FU170" s="559"/>
      <c r="FV170" s="559"/>
      <c r="FW170" s="559"/>
      <c r="FX170" s="559"/>
      <c r="FY170" s="559"/>
      <c r="FZ170" s="559"/>
      <c r="GA170" s="559"/>
      <c r="GB170" s="559"/>
      <c r="GC170" s="559"/>
      <c r="GD170" s="559"/>
      <c r="GE170" s="559"/>
      <c r="GF170" s="559"/>
      <c r="GG170" s="559"/>
      <c r="GH170" s="559"/>
    </row>
    <row r="171">
      <c r="A171" s="538"/>
      <c r="B171" s="156"/>
      <c r="C171" s="444"/>
      <c r="D171" s="614"/>
      <c r="E171" s="66"/>
      <c r="F171" s="642"/>
      <c r="G171" s="642"/>
      <c r="H171" s="615"/>
      <c r="I171" s="616" t="s">
        <v>365</v>
      </c>
      <c r="J171" s="624"/>
      <c r="K171" s="643"/>
      <c r="L171" s="640"/>
      <c r="M171" s="625"/>
      <c r="N171" s="617"/>
      <c r="O171" s="134"/>
      <c r="P171" s="57"/>
      <c r="Q171" s="57"/>
      <c r="S171" s="605"/>
      <c r="U171" s="573"/>
      <c r="V171" s="574"/>
      <c r="W171" s="618"/>
      <c r="X171" s="576">
        <v>0.0</v>
      </c>
      <c r="Y171" s="630">
        <v>0.0</v>
      </c>
      <c r="Z171" s="630" t="s">
        <v>365</v>
      </c>
      <c r="AA171" s="631" t="b">
        <v>0</v>
      </c>
      <c r="AB171" s="631"/>
      <c r="AC171" s="576"/>
      <c r="AD171" s="479">
        <v>0.0</v>
      </c>
      <c r="AE171" s="632"/>
      <c r="AF171" s="582" t="s">
        <v>365</v>
      </c>
      <c r="AG171" s="583"/>
      <c r="AH171" s="584"/>
      <c r="AI171" s="583"/>
      <c r="AJ171" s="585"/>
      <c r="AK171" s="583"/>
      <c r="AL171" s="584"/>
      <c r="AM171" s="583"/>
      <c r="AN171" s="585"/>
      <c r="AO171" s="583"/>
      <c r="AP171" s="584"/>
      <c r="AQ171" s="583"/>
      <c r="AR171" s="585"/>
      <c r="AS171" s="583"/>
      <c r="AT171" s="584"/>
      <c r="AU171" s="583"/>
      <c r="AV171" s="585"/>
      <c r="AW171" s="583"/>
      <c r="AX171" s="584"/>
      <c r="AY171" s="583"/>
      <c r="AZ171" s="585"/>
      <c r="BA171" s="583"/>
      <c r="BB171" s="584"/>
      <c r="BC171" s="583"/>
      <c r="BD171" s="585"/>
      <c r="BE171" s="583"/>
      <c r="BF171" s="584"/>
      <c r="BG171" s="583"/>
      <c r="BH171" s="585"/>
      <c r="BI171" s="583"/>
      <c r="BJ171" s="584"/>
      <c r="BK171" s="583"/>
      <c r="BL171" s="585"/>
      <c r="BM171" s="583"/>
      <c r="BN171" s="584"/>
      <c r="BO171" s="583"/>
      <c r="BP171" s="585"/>
      <c r="BQ171" s="583"/>
      <c r="BR171" s="584"/>
      <c r="BS171" s="583"/>
      <c r="BT171" s="586"/>
      <c r="BU171" s="540"/>
      <c r="BV171" s="540"/>
      <c r="BW171" s="540"/>
      <c r="BX171" s="538"/>
      <c r="BY171" s="538"/>
      <c r="BZ171" s="592"/>
      <c r="CA171" s="633"/>
      <c r="CB171" s="592" t="s">
        <v>365</v>
      </c>
      <c r="CC171" s="592">
        <v>0.0</v>
      </c>
      <c r="CD171" s="592" t="s">
        <v>365</v>
      </c>
      <c r="CE171" s="592">
        <v>0.0</v>
      </c>
      <c r="CF171" s="592"/>
      <c r="CG171" s="592">
        <v>0.0</v>
      </c>
      <c r="CH171" s="592"/>
      <c r="CI171" s="633"/>
      <c r="CJ171" s="592">
        <v>0.0</v>
      </c>
      <c r="CK171" s="479" t="s">
        <v>365</v>
      </c>
      <c r="CL171" s="592"/>
      <c r="CM171" s="593"/>
      <c r="CN171" s="538"/>
      <c r="CO171" s="538"/>
      <c r="CP171" s="538"/>
      <c r="CQ171" s="538"/>
      <c r="CR171" s="538"/>
      <c r="CS171" s="538"/>
      <c r="CT171" s="538"/>
      <c r="CU171" s="538"/>
      <c r="CV171" s="538"/>
      <c r="CW171" s="538"/>
      <c r="CX171" s="538"/>
      <c r="CY171" s="538"/>
      <c r="CZ171" s="538"/>
      <c r="DA171" s="538"/>
      <c r="DB171" s="538"/>
      <c r="DC171" s="538"/>
      <c r="DD171" s="538"/>
      <c r="DE171" s="538"/>
      <c r="DF171" s="538"/>
      <c r="DG171" s="538"/>
      <c r="DH171" s="538"/>
      <c r="DI171" s="538"/>
      <c r="DJ171" s="538"/>
      <c r="DK171" s="538"/>
      <c r="DL171" s="538"/>
      <c r="DM171" s="538"/>
      <c r="DN171" s="538"/>
      <c r="DO171" s="538"/>
      <c r="DP171" s="538"/>
      <c r="DQ171" s="538"/>
      <c r="DR171" s="538"/>
      <c r="DS171" s="538"/>
      <c r="DT171" s="538"/>
      <c r="DU171" s="538"/>
      <c r="DV171" s="538"/>
      <c r="DW171" s="538"/>
      <c r="DX171" s="538"/>
      <c r="DY171" s="538"/>
      <c r="DZ171" s="538"/>
      <c r="EA171" s="538"/>
      <c r="EB171" s="538"/>
      <c r="EC171" s="538"/>
      <c r="ED171" s="538"/>
      <c r="EE171" s="538"/>
      <c r="EF171" s="538"/>
      <c r="EG171" s="538"/>
      <c r="EH171" s="538"/>
      <c r="EI171" s="538"/>
      <c r="EJ171" s="538"/>
      <c r="EK171" s="538"/>
      <c r="EL171" s="538"/>
      <c r="EM171" s="538"/>
      <c r="EN171" s="538"/>
      <c r="EO171" s="538"/>
      <c r="EP171" s="538"/>
      <c r="EQ171" s="538"/>
      <c r="ER171" s="538"/>
      <c r="ES171" s="538"/>
      <c r="ET171" s="538"/>
      <c r="EU171" s="538"/>
      <c r="EV171" s="538"/>
      <c r="EW171" s="538"/>
      <c r="EX171" s="559"/>
      <c r="EY171" s="559"/>
      <c r="EZ171" s="559"/>
      <c r="FA171" s="559"/>
      <c r="FB171" s="559"/>
      <c r="FC171" s="559"/>
      <c r="FD171" s="559"/>
      <c r="FE171" s="559"/>
      <c r="FF171" s="559"/>
      <c r="FG171" s="559"/>
      <c r="FH171" s="559"/>
      <c r="FI171" s="559"/>
      <c r="FJ171" s="559"/>
      <c r="FK171" s="559"/>
      <c r="FL171" s="559"/>
      <c r="FM171" s="559"/>
      <c r="FN171" s="559"/>
      <c r="FO171" s="559"/>
      <c r="FP171" s="559"/>
      <c r="FQ171" s="559"/>
      <c r="FR171" s="559"/>
      <c r="FS171" s="559"/>
      <c r="FT171" s="559"/>
      <c r="FU171" s="559"/>
      <c r="FV171" s="559"/>
      <c r="FW171" s="559"/>
      <c r="FX171" s="559"/>
      <c r="FY171" s="559"/>
      <c r="FZ171" s="559"/>
      <c r="GA171" s="559"/>
      <c r="GB171" s="559"/>
      <c r="GC171" s="559"/>
      <c r="GD171" s="559"/>
      <c r="GE171" s="559"/>
      <c r="GF171" s="559"/>
      <c r="GG171" s="559"/>
      <c r="GH171" s="559"/>
    </row>
    <row r="172">
      <c r="A172" s="538"/>
      <c r="B172" s="156"/>
      <c r="C172" s="444"/>
      <c r="D172" s="614"/>
      <c r="E172" s="68"/>
      <c r="F172" s="644"/>
      <c r="G172" s="644"/>
      <c r="H172" s="627"/>
      <c r="I172" s="622" t="s">
        <v>365</v>
      </c>
      <c r="J172" s="607"/>
      <c r="K172" s="641"/>
      <c r="L172" s="628"/>
      <c r="M172" s="626"/>
      <c r="N172" s="619"/>
      <c r="O172" s="560"/>
      <c r="P172" s="47"/>
      <c r="Q172" s="47"/>
      <c r="S172" s="572"/>
      <c r="U172" s="573"/>
      <c r="V172" s="574"/>
      <c r="W172" s="618"/>
      <c r="X172" s="576">
        <v>0.0</v>
      </c>
      <c r="Y172" s="630">
        <v>0.0</v>
      </c>
      <c r="Z172" s="630" t="s">
        <v>365</v>
      </c>
      <c r="AA172" s="631" t="b">
        <v>0</v>
      </c>
      <c r="AB172" s="631"/>
      <c r="AC172" s="576"/>
      <c r="AD172" s="479">
        <v>0.0</v>
      </c>
      <c r="AE172" s="632"/>
      <c r="AF172" s="582" t="s">
        <v>365</v>
      </c>
      <c r="AG172" s="583"/>
      <c r="AH172" s="584"/>
      <c r="AI172" s="583"/>
      <c r="AJ172" s="585"/>
      <c r="AK172" s="583"/>
      <c r="AL172" s="584"/>
      <c r="AM172" s="583"/>
      <c r="AN172" s="585"/>
      <c r="AO172" s="583"/>
      <c r="AP172" s="584"/>
      <c r="AQ172" s="583"/>
      <c r="AR172" s="585"/>
      <c r="AS172" s="583"/>
      <c r="AT172" s="584"/>
      <c r="AU172" s="583"/>
      <c r="AV172" s="585"/>
      <c r="AW172" s="583"/>
      <c r="AX172" s="584"/>
      <c r="AY172" s="583"/>
      <c r="AZ172" s="585"/>
      <c r="BA172" s="583"/>
      <c r="BB172" s="584"/>
      <c r="BC172" s="583"/>
      <c r="BD172" s="585"/>
      <c r="BE172" s="583"/>
      <c r="BF172" s="584"/>
      <c r="BG172" s="583"/>
      <c r="BH172" s="585"/>
      <c r="BI172" s="583"/>
      <c r="BJ172" s="584"/>
      <c r="BK172" s="583"/>
      <c r="BL172" s="585"/>
      <c r="BM172" s="583"/>
      <c r="BN172" s="584"/>
      <c r="BO172" s="583"/>
      <c r="BP172" s="585"/>
      <c r="BQ172" s="583"/>
      <c r="BR172" s="584"/>
      <c r="BS172" s="583"/>
      <c r="BT172" s="586"/>
      <c r="BU172" s="540"/>
      <c r="BV172" s="540"/>
      <c r="BW172" s="540"/>
      <c r="BX172" s="538"/>
      <c r="BY172" s="538"/>
      <c r="BZ172" s="592"/>
      <c r="CA172" s="633"/>
      <c r="CB172" s="592" t="s">
        <v>365</v>
      </c>
      <c r="CC172" s="592">
        <v>0.0</v>
      </c>
      <c r="CD172" s="592" t="s">
        <v>365</v>
      </c>
      <c r="CE172" s="592">
        <v>0.0</v>
      </c>
      <c r="CF172" s="592"/>
      <c r="CG172" s="592">
        <v>0.0</v>
      </c>
      <c r="CH172" s="592"/>
      <c r="CI172" s="633"/>
      <c r="CJ172" s="592">
        <v>0.0</v>
      </c>
      <c r="CK172" s="479" t="s">
        <v>365</v>
      </c>
      <c r="CL172" s="592"/>
      <c r="CM172" s="593"/>
      <c r="CN172" s="538"/>
      <c r="CO172" s="538"/>
      <c r="CP172" s="538"/>
      <c r="CQ172" s="538"/>
      <c r="CR172" s="538"/>
      <c r="CS172" s="538"/>
      <c r="CT172" s="538"/>
      <c r="CU172" s="538"/>
      <c r="CV172" s="538"/>
      <c r="CW172" s="538"/>
      <c r="CX172" s="538"/>
      <c r="CY172" s="538"/>
      <c r="CZ172" s="538"/>
      <c r="DA172" s="538"/>
      <c r="DB172" s="538"/>
      <c r="DC172" s="538"/>
      <c r="DD172" s="538"/>
      <c r="DE172" s="538"/>
      <c r="DF172" s="538"/>
      <c r="DG172" s="538"/>
      <c r="DH172" s="538"/>
      <c r="DI172" s="538"/>
      <c r="DJ172" s="538"/>
      <c r="DK172" s="538"/>
      <c r="DL172" s="538"/>
      <c r="DM172" s="538"/>
      <c r="DN172" s="538"/>
      <c r="DO172" s="538"/>
      <c r="DP172" s="538"/>
      <c r="DQ172" s="538"/>
      <c r="DR172" s="538"/>
      <c r="DS172" s="538"/>
      <c r="DT172" s="538"/>
      <c r="DU172" s="538"/>
      <c r="DV172" s="538"/>
      <c r="DW172" s="538"/>
      <c r="DX172" s="538"/>
      <c r="DY172" s="538"/>
      <c r="DZ172" s="538"/>
      <c r="EA172" s="538"/>
      <c r="EB172" s="538"/>
      <c r="EC172" s="538"/>
      <c r="ED172" s="538"/>
      <c r="EE172" s="538"/>
      <c r="EF172" s="538"/>
      <c r="EG172" s="538"/>
      <c r="EH172" s="538"/>
      <c r="EI172" s="538"/>
      <c r="EJ172" s="538"/>
      <c r="EK172" s="538"/>
      <c r="EL172" s="538"/>
      <c r="EM172" s="538"/>
      <c r="EN172" s="538"/>
      <c r="EO172" s="538"/>
      <c r="EP172" s="538"/>
      <c r="EQ172" s="538"/>
      <c r="ER172" s="538"/>
      <c r="ES172" s="538"/>
      <c r="ET172" s="538"/>
      <c r="EU172" s="538"/>
      <c r="EV172" s="538"/>
      <c r="EW172" s="538"/>
      <c r="EX172" s="559"/>
      <c r="EY172" s="559"/>
      <c r="EZ172" s="559"/>
      <c r="FA172" s="559"/>
      <c r="FB172" s="559"/>
      <c r="FC172" s="559"/>
      <c r="FD172" s="559"/>
      <c r="FE172" s="559"/>
      <c r="FF172" s="559"/>
      <c r="FG172" s="559"/>
      <c r="FH172" s="559"/>
      <c r="FI172" s="559"/>
      <c r="FJ172" s="559"/>
      <c r="FK172" s="559"/>
      <c r="FL172" s="559"/>
      <c r="FM172" s="559"/>
      <c r="FN172" s="559"/>
      <c r="FO172" s="559"/>
      <c r="FP172" s="559"/>
      <c r="FQ172" s="559"/>
      <c r="FR172" s="559"/>
      <c r="FS172" s="559"/>
      <c r="FT172" s="559"/>
      <c r="FU172" s="559"/>
      <c r="FV172" s="559"/>
      <c r="FW172" s="559"/>
      <c r="FX172" s="559"/>
      <c r="FY172" s="559"/>
      <c r="FZ172" s="559"/>
      <c r="GA172" s="559"/>
      <c r="GB172" s="559"/>
      <c r="GC172" s="559"/>
      <c r="GD172" s="559"/>
      <c r="GE172" s="559"/>
      <c r="GF172" s="559"/>
      <c r="GG172" s="559"/>
      <c r="GH172" s="559"/>
    </row>
    <row r="173">
      <c r="A173" s="538"/>
      <c r="B173" s="156"/>
      <c r="C173" s="444"/>
      <c r="D173" s="614"/>
      <c r="E173" s="66"/>
      <c r="F173" s="642"/>
      <c r="G173" s="642"/>
      <c r="H173" s="615"/>
      <c r="I173" s="616" t="s">
        <v>365</v>
      </c>
      <c r="J173" s="624"/>
      <c r="K173" s="643"/>
      <c r="L173" s="640"/>
      <c r="M173" s="625"/>
      <c r="N173" s="617"/>
      <c r="O173" s="134"/>
      <c r="P173" s="57"/>
      <c r="Q173" s="57"/>
      <c r="S173" s="605"/>
      <c r="U173" s="573"/>
      <c r="V173" s="574"/>
      <c r="W173" s="618"/>
      <c r="X173" s="576">
        <v>0.0</v>
      </c>
      <c r="Y173" s="630">
        <v>0.0</v>
      </c>
      <c r="Z173" s="630" t="s">
        <v>365</v>
      </c>
      <c r="AA173" s="631" t="b">
        <v>0</v>
      </c>
      <c r="AB173" s="631"/>
      <c r="AC173" s="576"/>
      <c r="AD173" s="479">
        <v>0.0</v>
      </c>
      <c r="AE173" s="632"/>
      <c r="AF173" s="582" t="s">
        <v>365</v>
      </c>
      <c r="AG173" s="583"/>
      <c r="AH173" s="584"/>
      <c r="AI173" s="583"/>
      <c r="AJ173" s="585"/>
      <c r="AK173" s="583"/>
      <c r="AL173" s="584"/>
      <c r="AM173" s="583"/>
      <c r="AN173" s="585"/>
      <c r="AO173" s="583"/>
      <c r="AP173" s="584"/>
      <c r="AQ173" s="583"/>
      <c r="AR173" s="585"/>
      <c r="AS173" s="583"/>
      <c r="AT173" s="584"/>
      <c r="AU173" s="583"/>
      <c r="AV173" s="585"/>
      <c r="AW173" s="583"/>
      <c r="AX173" s="584"/>
      <c r="AY173" s="583"/>
      <c r="AZ173" s="585"/>
      <c r="BA173" s="583"/>
      <c r="BB173" s="584"/>
      <c r="BC173" s="583"/>
      <c r="BD173" s="585"/>
      <c r="BE173" s="583"/>
      <c r="BF173" s="584"/>
      <c r="BG173" s="583"/>
      <c r="BH173" s="585"/>
      <c r="BI173" s="583"/>
      <c r="BJ173" s="584"/>
      <c r="BK173" s="583"/>
      <c r="BL173" s="585"/>
      <c r="BM173" s="583"/>
      <c r="BN173" s="584"/>
      <c r="BO173" s="583"/>
      <c r="BP173" s="585"/>
      <c r="BQ173" s="583"/>
      <c r="BR173" s="584"/>
      <c r="BS173" s="583"/>
      <c r="BT173" s="586"/>
      <c r="BU173" s="540"/>
      <c r="BV173" s="540"/>
      <c r="BW173" s="540"/>
      <c r="BX173" s="538"/>
      <c r="BY173" s="538"/>
      <c r="BZ173" s="592"/>
      <c r="CA173" s="633"/>
      <c r="CB173" s="592" t="s">
        <v>365</v>
      </c>
      <c r="CC173" s="592">
        <v>0.0</v>
      </c>
      <c r="CD173" s="592" t="s">
        <v>365</v>
      </c>
      <c r="CE173" s="592">
        <v>0.0</v>
      </c>
      <c r="CF173" s="592"/>
      <c r="CG173" s="592">
        <v>0.0</v>
      </c>
      <c r="CH173" s="592"/>
      <c r="CI173" s="633"/>
      <c r="CJ173" s="592">
        <v>0.0</v>
      </c>
      <c r="CK173" s="479" t="s">
        <v>365</v>
      </c>
      <c r="CL173" s="592"/>
      <c r="CM173" s="593"/>
      <c r="CN173" s="538"/>
      <c r="CO173" s="538"/>
      <c r="CP173" s="538"/>
      <c r="CQ173" s="538"/>
      <c r="CR173" s="538"/>
      <c r="CS173" s="538"/>
      <c r="CT173" s="538"/>
      <c r="CU173" s="538"/>
      <c r="CV173" s="538"/>
      <c r="CW173" s="538"/>
      <c r="CX173" s="538"/>
      <c r="CY173" s="538"/>
      <c r="CZ173" s="538"/>
      <c r="DA173" s="538"/>
      <c r="DB173" s="538"/>
      <c r="DC173" s="538"/>
      <c r="DD173" s="538"/>
      <c r="DE173" s="538"/>
      <c r="DF173" s="538"/>
      <c r="DG173" s="538"/>
      <c r="DH173" s="538"/>
      <c r="DI173" s="538"/>
      <c r="DJ173" s="538"/>
      <c r="DK173" s="538"/>
      <c r="DL173" s="538"/>
      <c r="DM173" s="538"/>
      <c r="DN173" s="538"/>
      <c r="DO173" s="538"/>
      <c r="DP173" s="538"/>
      <c r="DQ173" s="538"/>
      <c r="DR173" s="538"/>
      <c r="DS173" s="538"/>
      <c r="DT173" s="538"/>
      <c r="DU173" s="538"/>
      <c r="DV173" s="538"/>
      <c r="DW173" s="538"/>
      <c r="DX173" s="538"/>
      <c r="DY173" s="538"/>
      <c r="DZ173" s="538"/>
      <c r="EA173" s="538"/>
      <c r="EB173" s="538"/>
      <c r="EC173" s="538"/>
      <c r="ED173" s="538"/>
      <c r="EE173" s="538"/>
      <c r="EF173" s="538"/>
      <c r="EG173" s="538"/>
      <c r="EH173" s="538"/>
      <c r="EI173" s="538"/>
      <c r="EJ173" s="538"/>
      <c r="EK173" s="538"/>
      <c r="EL173" s="538"/>
      <c r="EM173" s="538"/>
      <c r="EN173" s="538"/>
      <c r="EO173" s="538"/>
      <c r="EP173" s="538"/>
      <c r="EQ173" s="538"/>
      <c r="ER173" s="538"/>
      <c r="ES173" s="538"/>
      <c r="ET173" s="538"/>
      <c r="EU173" s="538"/>
      <c r="EV173" s="538"/>
      <c r="EW173" s="538"/>
      <c r="EX173" s="559"/>
      <c r="EY173" s="559"/>
      <c r="EZ173" s="559"/>
      <c r="FA173" s="559"/>
      <c r="FB173" s="559"/>
      <c r="FC173" s="559"/>
      <c r="FD173" s="559"/>
      <c r="FE173" s="559"/>
      <c r="FF173" s="559"/>
      <c r="FG173" s="559"/>
      <c r="FH173" s="559"/>
      <c r="FI173" s="559"/>
      <c r="FJ173" s="559"/>
      <c r="FK173" s="559"/>
      <c r="FL173" s="559"/>
      <c r="FM173" s="559"/>
      <c r="FN173" s="559"/>
      <c r="FO173" s="559"/>
      <c r="FP173" s="559"/>
      <c r="FQ173" s="559"/>
      <c r="FR173" s="559"/>
      <c r="FS173" s="559"/>
      <c r="FT173" s="559"/>
      <c r="FU173" s="559"/>
      <c r="FV173" s="559"/>
      <c r="FW173" s="559"/>
      <c r="FX173" s="559"/>
      <c r="FY173" s="559"/>
      <c r="FZ173" s="559"/>
      <c r="GA173" s="559"/>
      <c r="GB173" s="559"/>
      <c r="GC173" s="559"/>
      <c r="GD173" s="559"/>
      <c r="GE173" s="559"/>
      <c r="GF173" s="559"/>
      <c r="GG173" s="559"/>
      <c r="GH173" s="559"/>
    </row>
    <row r="174">
      <c r="A174" s="538"/>
      <c r="B174" s="156"/>
      <c r="C174" s="444"/>
      <c r="D174" s="614"/>
      <c r="E174" s="68"/>
      <c r="F174" s="644"/>
      <c r="G174" s="644"/>
      <c r="H174" s="627"/>
      <c r="I174" s="622" t="s">
        <v>365</v>
      </c>
      <c r="J174" s="607"/>
      <c r="K174" s="641"/>
      <c r="L174" s="628"/>
      <c r="M174" s="626"/>
      <c r="N174" s="619"/>
      <c r="O174" s="560"/>
      <c r="P174" s="47"/>
      <c r="Q174" s="47"/>
      <c r="S174" s="572"/>
      <c r="U174" s="573"/>
      <c r="V174" s="574"/>
      <c r="W174" s="618"/>
      <c r="X174" s="576">
        <v>0.0</v>
      </c>
      <c r="Y174" s="630">
        <v>0.0</v>
      </c>
      <c r="Z174" s="630" t="s">
        <v>365</v>
      </c>
      <c r="AA174" s="631" t="b">
        <v>0</v>
      </c>
      <c r="AB174" s="631"/>
      <c r="AC174" s="576"/>
      <c r="AD174" s="479">
        <v>0.0</v>
      </c>
      <c r="AE174" s="632"/>
      <c r="AF174" s="582" t="s">
        <v>365</v>
      </c>
      <c r="AG174" s="583"/>
      <c r="AH174" s="584"/>
      <c r="AI174" s="583"/>
      <c r="AJ174" s="585"/>
      <c r="AK174" s="583"/>
      <c r="AL174" s="584"/>
      <c r="AM174" s="583"/>
      <c r="AN174" s="585"/>
      <c r="AO174" s="583"/>
      <c r="AP174" s="584"/>
      <c r="AQ174" s="583"/>
      <c r="AR174" s="585"/>
      <c r="AS174" s="583"/>
      <c r="AT174" s="584"/>
      <c r="AU174" s="583"/>
      <c r="AV174" s="585"/>
      <c r="AW174" s="583"/>
      <c r="AX174" s="584"/>
      <c r="AY174" s="583"/>
      <c r="AZ174" s="585"/>
      <c r="BA174" s="583"/>
      <c r="BB174" s="584"/>
      <c r="BC174" s="583"/>
      <c r="BD174" s="585"/>
      <c r="BE174" s="583"/>
      <c r="BF174" s="584"/>
      <c r="BG174" s="583"/>
      <c r="BH174" s="585"/>
      <c r="BI174" s="583"/>
      <c r="BJ174" s="584"/>
      <c r="BK174" s="583"/>
      <c r="BL174" s="585"/>
      <c r="BM174" s="583"/>
      <c r="BN174" s="584"/>
      <c r="BO174" s="583"/>
      <c r="BP174" s="585"/>
      <c r="BQ174" s="583"/>
      <c r="BR174" s="584"/>
      <c r="BS174" s="583"/>
      <c r="BT174" s="586"/>
      <c r="BU174" s="540"/>
      <c r="BV174" s="540"/>
      <c r="BW174" s="540"/>
      <c r="BX174" s="538"/>
      <c r="BY174" s="538"/>
      <c r="BZ174" s="592"/>
      <c r="CA174" s="633"/>
      <c r="CB174" s="592" t="s">
        <v>365</v>
      </c>
      <c r="CC174" s="592">
        <v>0.0</v>
      </c>
      <c r="CD174" s="592" t="s">
        <v>365</v>
      </c>
      <c r="CE174" s="592">
        <v>0.0</v>
      </c>
      <c r="CF174" s="592"/>
      <c r="CG174" s="592">
        <v>0.0</v>
      </c>
      <c r="CH174" s="592"/>
      <c r="CI174" s="633"/>
      <c r="CJ174" s="592">
        <v>0.0</v>
      </c>
      <c r="CK174" s="479" t="s">
        <v>365</v>
      </c>
      <c r="CL174" s="592"/>
      <c r="CM174" s="593"/>
      <c r="CN174" s="538"/>
      <c r="CO174" s="538"/>
      <c r="CP174" s="538"/>
      <c r="CQ174" s="538"/>
      <c r="CR174" s="538"/>
      <c r="CS174" s="538"/>
      <c r="CT174" s="538"/>
      <c r="CU174" s="538"/>
      <c r="CV174" s="538"/>
      <c r="CW174" s="538"/>
      <c r="CX174" s="538"/>
      <c r="CY174" s="538"/>
      <c r="CZ174" s="538"/>
      <c r="DA174" s="538"/>
      <c r="DB174" s="538"/>
      <c r="DC174" s="538"/>
      <c r="DD174" s="538"/>
      <c r="DE174" s="538"/>
      <c r="DF174" s="538"/>
      <c r="DG174" s="538"/>
      <c r="DH174" s="538"/>
      <c r="DI174" s="538"/>
      <c r="DJ174" s="538"/>
      <c r="DK174" s="538"/>
      <c r="DL174" s="538"/>
      <c r="DM174" s="538"/>
      <c r="DN174" s="538"/>
      <c r="DO174" s="538"/>
      <c r="DP174" s="538"/>
      <c r="DQ174" s="538"/>
      <c r="DR174" s="538"/>
      <c r="DS174" s="538"/>
      <c r="DT174" s="538"/>
      <c r="DU174" s="538"/>
      <c r="DV174" s="538"/>
      <c r="DW174" s="538"/>
      <c r="DX174" s="538"/>
      <c r="DY174" s="538"/>
      <c r="DZ174" s="538"/>
      <c r="EA174" s="538"/>
      <c r="EB174" s="538"/>
      <c r="EC174" s="538"/>
      <c r="ED174" s="538"/>
      <c r="EE174" s="538"/>
      <c r="EF174" s="538"/>
      <c r="EG174" s="538"/>
      <c r="EH174" s="538"/>
      <c r="EI174" s="538"/>
      <c r="EJ174" s="538"/>
      <c r="EK174" s="538"/>
      <c r="EL174" s="538"/>
      <c r="EM174" s="538"/>
      <c r="EN174" s="538"/>
      <c r="EO174" s="538"/>
      <c r="EP174" s="538"/>
      <c r="EQ174" s="538"/>
      <c r="ER174" s="538"/>
      <c r="ES174" s="538"/>
      <c r="ET174" s="538"/>
      <c r="EU174" s="538"/>
      <c r="EV174" s="538"/>
      <c r="EW174" s="538"/>
      <c r="EX174" s="559"/>
      <c r="EY174" s="559"/>
      <c r="EZ174" s="559"/>
      <c r="FA174" s="559"/>
      <c r="FB174" s="559"/>
      <c r="FC174" s="559"/>
      <c r="FD174" s="559"/>
      <c r="FE174" s="559"/>
      <c r="FF174" s="559"/>
      <c r="FG174" s="559"/>
      <c r="FH174" s="559"/>
      <c r="FI174" s="559"/>
      <c r="FJ174" s="559"/>
      <c r="FK174" s="559"/>
      <c r="FL174" s="559"/>
      <c r="FM174" s="559"/>
      <c r="FN174" s="559"/>
      <c r="FO174" s="559"/>
      <c r="FP174" s="559"/>
      <c r="FQ174" s="559"/>
      <c r="FR174" s="559"/>
      <c r="FS174" s="559"/>
      <c r="FT174" s="559"/>
      <c r="FU174" s="559"/>
      <c r="FV174" s="559"/>
      <c r="FW174" s="559"/>
      <c r="FX174" s="559"/>
      <c r="FY174" s="559"/>
      <c r="FZ174" s="559"/>
      <c r="GA174" s="559"/>
      <c r="GB174" s="559"/>
      <c r="GC174" s="559"/>
      <c r="GD174" s="559"/>
      <c r="GE174" s="559"/>
      <c r="GF174" s="559"/>
      <c r="GG174" s="559"/>
      <c r="GH174" s="559"/>
    </row>
    <row r="175">
      <c r="A175" s="538"/>
      <c r="B175" s="156"/>
      <c r="C175" s="444"/>
      <c r="D175" s="614"/>
      <c r="E175" s="66"/>
      <c r="F175" s="642"/>
      <c r="G175" s="642"/>
      <c r="H175" s="615"/>
      <c r="I175" s="616" t="s">
        <v>365</v>
      </c>
      <c r="J175" s="624"/>
      <c r="K175" s="643"/>
      <c r="L175" s="640"/>
      <c r="M175" s="625"/>
      <c r="N175" s="617"/>
      <c r="O175" s="134"/>
      <c r="P175" s="57"/>
      <c r="Q175" s="57"/>
      <c r="S175" s="605"/>
      <c r="U175" s="573"/>
      <c r="V175" s="574"/>
      <c r="W175" s="618"/>
      <c r="X175" s="576">
        <v>0.0</v>
      </c>
      <c r="Y175" s="630">
        <v>0.0</v>
      </c>
      <c r="Z175" s="630" t="s">
        <v>365</v>
      </c>
      <c r="AA175" s="631" t="b">
        <v>0</v>
      </c>
      <c r="AB175" s="631"/>
      <c r="AC175" s="576"/>
      <c r="AD175" s="479">
        <v>0.0</v>
      </c>
      <c r="AE175" s="632"/>
      <c r="AF175" s="582" t="s">
        <v>365</v>
      </c>
      <c r="AG175" s="583"/>
      <c r="AH175" s="584"/>
      <c r="AI175" s="583"/>
      <c r="AJ175" s="585"/>
      <c r="AK175" s="583"/>
      <c r="AL175" s="584"/>
      <c r="AM175" s="583"/>
      <c r="AN175" s="585"/>
      <c r="AO175" s="583"/>
      <c r="AP175" s="584"/>
      <c r="AQ175" s="583"/>
      <c r="AR175" s="585"/>
      <c r="AS175" s="583"/>
      <c r="AT175" s="584"/>
      <c r="AU175" s="583"/>
      <c r="AV175" s="585"/>
      <c r="AW175" s="583"/>
      <c r="AX175" s="584"/>
      <c r="AY175" s="583"/>
      <c r="AZ175" s="585"/>
      <c r="BA175" s="583"/>
      <c r="BB175" s="584"/>
      <c r="BC175" s="583"/>
      <c r="BD175" s="585"/>
      <c r="BE175" s="583"/>
      <c r="BF175" s="584"/>
      <c r="BG175" s="583"/>
      <c r="BH175" s="585"/>
      <c r="BI175" s="583"/>
      <c r="BJ175" s="584"/>
      <c r="BK175" s="583"/>
      <c r="BL175" s="585"/>
      <c r="BM175" s="583"/>
      <c r="BN175" s="584"/>
      <c r="BO175" s="583"/>
      <c r="BP175" s="585"/>
      <c r="BQ175" s="583"/>
      <c r="BR175" s="584"/>
      <c r="BS175" s="583"/>
      <c r="BT175" s="586"/>
      <c r="BU175" s="540"/>
      <c r="BV175" s="540"/>
      <c r="BW175" s="540"/>
      <c r="BX175" s="538"/>
      <c r="BY175" s="538"/>
      <c r="BZ175" s="592"/>
      <c r="CA175" s="633"/>
      <c r="CB175" s="592" t="s">
        <v>365</v>
      </c>
      <c r="CC175" s="592">
        <v>0.0</v>
      </c>
      <c r="CD175" s="592" t="s">
        <v>365</v>
      </c>
      <c r="CE175" s="592">
        <v>0.0</v>
      </c>
      <c r="CF175" s="592"/>
      <c r="CG175" s="592">
        <v>0.0</v>
      </c>
      <c r="CH175" s="592"/>
      <c r="CI175" s="633"/>
      <c r="CJ175" s="592">
        <v>0.0</v>
      </c>
      <c r="CK175" s="479" t="s">
        <v>365</v>
      </c>
      <c r="CL175" s="592"/>
      <c r="CM175" s="593"/>
      <c r="CN175" s="538"/>
      <c r="CO175" s="538"/>
      <c r="CP175" s="538"/>
      <c r="CQ175" s="538"/>
      <c r="CR175" s="538"/>
      <c r="CS175" s="538"/>
      <c r="CT175" s="538"/>
      <c r="CU175" s="538"/>
      <c r="CV175" s="538"/>
      <c r="CW175" s="538"/>
      <c r="CX175" s="538"/>
      <c r="CY175" s="538"/>
      <c r="CZ175" s="538"/>
      <c r="DA175" s="538"/>
      <c r="DB175" s="538"/>
      <c r="DC175" s="538"/>
      <c r="DD175" s="538"/>
      <c r="DE175" s="538"/>
      <c r="DF175" s="538"/>
      <c r="DG175" s="538"/>
      <c r="DH175" s="538"/>
      <c r="DI175" s="538"/>
      <c r="DJ175" s="538"/>
      <c r="DK175" s="538"/>
      <c r="DL175" s="538"/>
      <c r="DM175" s="538"/>
      <c r="DN175" s="538"/>
      <c r="DO175" s="538"/>
      <c r="DP175" s="538"/>
      <c r="DQ175" s="538"/>
      <c r="DR175" s="538"/>
      <c r="DS175" s="538"/>
      <c r="DT175" s="538"/>
      <c r="DU175" s="538"/>
      <c r="DV175" s="538"/>
      <c r="DW175" s="538"/>
      <c r="DX175" s="538"/>
      <c r="DY175" s="538"/>
      <c r="DZ175" s="538"/>
      <c r="EA175" s="538"/>
      <c r="EB175" s="538"/>
      <c r="EC175" s="538"/>
      <c r="ED175" s="538"/>
      <c r="EE175" s="538"/>
      <c r="EF175" s="538"/>
      <c r="EG175" s="538"/>
      <c r="EH175" s="538"/>
      <c r="EI175" s="538"/>
      <c r="EJ175" s="538"/>
      <c r="EK175" s="538"/>
      <c r="EL175" s="538"/>
      <c r="EM175" s="538"/>
      <c r="EN175" s="538"/>
      <c r="EO175" s="538"/>
      <c r="EP175" s="538"/>
      <c r="EQ175" s="538"/>
      <c r="ER175" s="538"/>
      <c r="ES175" s="538"/>
      <c r="ET175" s="538"/>
      <c r="EU175" s="538"/>
      <c r="EV175" s="538"/>
      <c r="EW175" s="538"/>
      <c r="EX175" s="559"/>
      <c r="EY175" s="559"/>
      <c r="EZ175" s="559"/>
      <c r="FA175" s="559"/>
      <c r="FB175" s="559"/>
      <c r="FC175" s="559"/>
      <c r="FD175" s="559"/>
      <c r="FE175" s="559"/>
      <c r="FF175" s="559"/>
      <c r="FG175" s="559"/>
      <c r="FH175" s="559"/>
      <c r="FI175" s="559"/>
      <c r="FJ175" s="559"/>
      <c r="FK175" s="559"/>
      <c r="FL175" s="559"/>
      <c r="FM175" s="559"/>
      <c r="FN175" s="559"/>
      <c r="FO175" s="559"/>
      <c r="FP175" s="559"/>
      <c r="FQ175" s="559"/>
      <c r="FR175" s="559"/>
      <c r="FS175" s="559"/>
      <c r="FT175" s="559"/>
      <c r="FU175" s="559"/>
      <c r="FV175" s="559"/>
      <c r="FW175" s="559"/>
      <c r="FX175" s="559"/>
      <c r="FY175" s="559"/>
      <c r="FZ175" s="559"/>
      <c r="GA175" s="559"/>
      <c r="GB175" s="559"/>
      <c r="GC175" s="559"/>
      <c r="GD175" s="559"/>
      <c r="GE175" s="559"/>
      <c r="GF175" s="559"/>
      <c r="GG175" s="559"/>
      <c r="GH175" s="559"/>
    </row>
    <row r="176">
      <c r="A176" s="538"/>
      <c r="B176" s="156"/>
      <c r="C176" s="444"/>
      <c r="D176" s="614"/>
      <c r="E176" s="68"/>
      <c r="F176" s="644"/>
      <c r="G176" s="644"/>
      <c r="H176" s="627"/>
      <c r="I176" s="622" t="s">
        <v>365</v>
      </c>
      <c r="J176" s="607"/>
      <c r="K176" s="641"/>
      <c r="L176" s="628"/>
      <c r="M176" s="626"/>
      <c r="N176" s="619"/>
      <c r="O176" s="560"/>
      <c r="P176" s="47"/>
      <c r="Q176" s="47"/>
      <c r="S176" s="572"/>
      <c r="U176" s="573"/>
      <c r="V176" s="574"/>
      <c r="W176" s="618"/>
      <c r="X176" s="576">
        <v>0.0</v>
      </c>
      <c r="Y176" s="630">
        <v>0.0</v>
      </c>
      <c r="Z176" s="630" t="s">
        <v>365</v>
      </c>
      <c r="AA176" s="631" t="b">
        <v>0</v>
      </c>
      <c r="AB176" s="631"/>
      <c r="AC176" s="576"/>
      <c r="AD176" s="479">
        <v>0.0</v>
      </c>
      <c r="AE176" s="632"/>
      <c r="AF176" s="582" t="s">
        <v>365</v>
      </c>
      <c r="AG176" s="583"/>
      <c r="AH176" s="584"/>
      <c r="AI176" s="583"/>
      <c r="AJ176" s="585"/>
      <c r="AK176" s="583"/>
      <c r="AL176" s="584"/>
      <c r="AM176" s="583"/>
      <c r="AN176" s="585"/>
      <c r="AO176" s="583"/>
      <c r="AP176" s="584"/>
      <c r="AQ176" s="583"/>
      <c r="AR176" s="585"/>
      <c r="AS176" s="583"/>
      <c r="AT176" s="584"/>
      <c r="AU176" s="583"/>
      <c r="AV176" s="585"/>
      <c r="AW176" s="583"/>
      <c r="AX176" s="584"/>
      <c r="AY176" s="583"/>
      <c r="AZ176" s="585"/>
      <c r="BA176" s="583"/>
      <c r="BB176" s="584"/>
      <c r="BC176" s="583"/>
      <c r="BD176" s="585"/>
      <c r="BE176" s="583"/>
      <c r="BF176" s="584"/>
      <c r="BG176" s="583"/>
      <c r="BH176" s="585"/>
      <c r="BI176" s="583"/>
      <c r="BJ176" s="584"/>
      <c r="BK176" s="583"/>
      <c r="BL176" s="585"/>
      <c r="BM176" s="583"/>
      <c r="BN176" s="584"/>
      <c r="BO176" s="583"/>
      <c r="BP176" s="585"/>
      <c r="BQ176" s="583"/>
      <c r="BR176" s="584"/>
      <c r="BS176" s="583"/>
      <c r="BT176" s="586"/>
      <c r="BU176" s="540"/>
      <c r="BV176" s="540"/>
      <c r="BW176" s="540"/>
      <c r="BX176" s="538"/>
      <c r="BY176" s="538"/>
      <c r="BZ176" s="592"/>
      <c r="CA176" s="633"/>
      <c r="CB176" s="592" t="s">
        <v>365</v>
      </c>
      <c r="CC176" s="592">
        <v>0.0</v>
      </c>
      <c r="CD176" s="592" t="s">
        <v>365</v>
      </c>
      <c r="CE176" s="592">
        <v>0.0</v>
      </c>
      <c r="CF176" s="592"/>
      <c r="CG176" s="592">
        <v>0.0</v>
      </c>
      <c r="CH176" s="592"/>
      <c r="CI176" s="633"/>
      <c r="CJ176" s="592">
        <v>0.0</v>
      </c>
      <c r="CK176" s="479" t="s">
        <v>365</v>
      </c>
      <c r="CL176" s="592"/>
      <c r="CM176" s="593"/>
      <c r="CN176" s="538"/>
      <c r="CO176" s="538"/>
      <c r="CP176" s="538"/>
      <c r="CQ176" s="538"/>
      <c r="CR176" s="538"/>
      <c r="CS176" s="538"/>
      <c r="CT176" s="538"/>
      <c r="CU176" s="538"/>
      <c r="CV176" s="538"/>
      <c r="CW176" s="538"/>
      <c r="CX176" s="538"/>
      <c r="CY176" s="538"/>
      <c r="CZ176" s="538"/>
      <c r="DA176" s="538"/>
      <c r="DB176" s="538"/>
      <c r="DC176" s="538"/>
      <c r="DD176" s="538"/>
      <c r="DE176" s="538"/>
      <c r="DF176" s="538"/>
      <c r="DG176" s="538"/>
      <c r="DH176" s="538"/>
      <c r="DI176" s="538"/>
      <c r="DJ176" s="538"/>
      <c r="DK176" s="538"/>
      <c r="DL176" s="538"/>
      <c r="DM176" s="538"/>
      <c r="DN176" s="538"/>
      <c r="DO176" s="538"/>
      <c r="DP176" s="538"/>
      <c r="DQ176" s="538"/>
      <c r="DR176" s="538"/>
      <c r="DS176" s="538"/>
      <c r="DT176" s="538"/>
      <c r="DU176" s="538"/>
      <c r="DV176" s="538"/>
      <c r="DW176" s="538"/>
      <c r="DX176" s="538"/>
      <c r="DY176" s="538"/>
      <c r="DZ176" s="538"/>
      <c r="EA176" s="538"/>
      <c r="EB176" s="538"/>
      <c r="EC176" s="538"/>
      <c r="ED176" s="538"/>
      <c r="EE176" s="538"/>
      <c r="EF176" s="538"/>
      <c r="EG176" s="538"/>
      <c r="EH176" s="538"/>
      <c r="EI176" s="538"/>
      <c r="EJ176" s="538"/>
      <c r="EK176" s="538"/>
      <c r="EL176" s="538"/>
      <c r="EM176" s="538"/>
      <c r="EN176" s="538"/>
      <c r="EO176" s="538"/>
      <c r="EP176" s="538"/>
      <c r="EQ176" s="538"/>
      <c r="ER176" s="538"/>
      <c r="ES176" s="538"/>
      <c r="ET176" s="538"/>
      <c r="EU176" s="538"/>
      <c r="EV176" s="538"/>
      <c r="EW176" s="538"/>
      <c r="EX176" s="559"/>
      <c r="EY176" s="559"/>
      <c r="EZ176" s="559"/>
      <c r="FA176" s="559"/>
      <c r="FB176" s="559"/>
      <c r="FC176" s="559"/>
      <c r="FD176" s="559"/>
      <c r="FE176" s="559"/>
      <c r="FF176" s="559"/>
      <c r="FG176" s="559"/>
      <c r="FH176" s="559"/>
      <c r="FI176" s="559"/>
      <c r="FJ176" s="559"/>
      <c r="FK176" s="559"/>
      <c r="FL176" s="559"/>
      <c r="FM176" s="559"/>
      <c r="FN176" s="559"/>
      <c r="FO176" s="559"/>
      <c r="FP176" s="559"/>
      <c r="FQ176" s="559"/>
      <c r="FR176" s="559"/>
      <c r="FS176" s="559"/>
      <c r="FT176" s="559"/>
      <c r="FU176" s="559"/>
      <c r="FV176" s="559"/>
      <c r="FW176" s="559"/>
      <c r="FX176" s="559"/>
      <c r="FY176" s="559"/>
      <c r="FZ176" s="559"/>
      <c r="GA176" s="559"/>
      <c r="GB176" s="559"/>
      <c r="GC176" s="559"/>
      <c r="GD176" s="559"/>
      <c r="GE176" s="559"/>
      <c r="GF176" s="559"/>
      <c r="GG176" s="559"/>
      <c r="GH176" s="559"/>
    </row>
    <row r="177">
      <c r="A177" s="538"/>
      <c r="B177" s="156"/>
      <c r="C177" s="444"/>
      <c r="D177" s="614"/>
      <c r="E177" s="66"/>
      <c r="F177" s="642"/>
      <c r="G177" s="642"/>
      <c r="H177" s="615"/>
      <c r="I177" s="616" t="s">
        <v>365</v>
      </c>
      <c r="J177" s="624"/>
      <c r="K177" s="643"/>
      <c r="L177" s="640"/>
      <c r="M177" s="625"/>
      <c r="N177" s="617"/>
      <c r="O177" s="134"/>
      <c r="P177" s="57"/>
      <c r="Q177" s="57"/>
      <c r="S177" s="605"/>
      <c r="U177" s="573"/>
      <c r="V177" s="574"/>
      <c r="W177" s="618"/>
      <c r="X177" s="576">
        <v>0.0</v>
      </c>
      <c r="Y177" s="630">
        <v>0.0</v>
      </c>
      <c r="Z177" s="630" t="s">
        <v>365</v>
      </c>
      <c r="AA177" s="631" t="b">
        <v>0</v>
      </c>
      <c r="AB177" s="631"/>
      <c r="AC177" s="576"/>
      <c r="AD177" s="479">
        <v>0.0</v>
      </c>
      <c r="AE177" s="632"/>
      <c r="AF177" s="582" t="s">
        <v>365</v>
      </c>
      <c r="AG177" s="583"/>
      <c r="AH177" s="584"/>
      <c r="AI177" s="583"/>
      <c r="AJ177" s="585"/>
      <c r="AK177" s="583"/>
      <c r="AL177" s="584"/>
      <c r="AM177" s="583"/>
      <c r="AN177" s="585"/>
      <c r="AO177" s="583"/>
      <c r="AP177" s="584"/>
      <c r="AQ177" s="583"/>
      <c r="AR177" s="585"/>
      <c r="AS177" s="583"/>
      <c r="AT177" s="584"/>
      <c r="AU177" s="583"/>
      <c r="AV177" s="585"/>
      <c r="AW177" s="583"/>
      <c r="AX177" s="584"/>
      <c r="AY177" s="583"/>
      <c r="AZ177" s="585"/>
      <c r="BA177" s="583"/>
      <c r="BB177" s="584"/>
      <c r="BC177" s="583"/>
      <c r="BD177" s="585"/>
      <c r="BE177" s="583"/>
      <c r="BF177" s="584"/>
      <c r="BG177" s="583"/>
      <c r="BH177" s="585"/>
      <c r="BI177" s="583"/>
      <c r="BJ177" s="584"/>
      <c r="BK177" s="583"/>
      <c r="BL177" s="585"/>
      <c r="BM177" s="583"/>
      <c r="BN177" s="584"/>
      <c r="BO177" s="583"/>
      <c r="BP177" s="585"/>
      <c r="BQ177" s="583"/>
      <c r="BR177" s="584"/>
      <c r="BS177" s="583"/>
      <c r="BT177" s="586"/>
      <c r="BU177" s="540"/>
      <c r="BV177" s="540"/>
      <c r="BW177" s="540"/>
      <c r="BX177" s="538"/>
      <c r="BY177" s="538"/>
      <c r="BZ177" s="592"/>
      <c r="CA177" s="633"/>
      <c r="CB177" s="592" t="s">
        <v>365</v>
      </c>
      <c r="CC177" s="592">
        <v>0.0</v>
      </c>
      <c r="CD177" s="592" t="s">
        <v>365</v>
      </c>
      <c r="CE177" s="592">
        <v>0.0</v>
      </c>
      <c r="CF177" s="592"/>
      <c r="CG177" s="592">
        <v>0.0</v>
      </c>
      <c r="CH177" s="592"/>
      <c r="CI177" s="633"/>
      <c r="CJ177" s="592">
        <v>0.0</v>
      </c>
      <c r="CK177" s="479" t="s">
        <v>365</v>
      </c>
      <c r="CL177" s="592"/>
      <c r="CM177" s="593"/>
      <c r="CN177" s="538"/>
      <c r="CO177" s="538"/>
      <c r="CP177" s="538"/>
      <c r="CQ177" s="538"/>
      <c r="CR177" s="538"/>
      <c r="CS177" s="538"/>
      <c r="CT177" s="538"/>
      <c r="CU177" s="538"/>
      <c r="CV177" s="538"/>
      <c r="CW177" s="538"/>
      <c r="CX177" s="538"/>
      <c r="CY177" s="538"/>
      <c r="CZ177" s="538"/>
      <c r="DA177" s="538"/>
      <c r="DB177" s="538"/>
      <c r="DC177" s="538"/>
      <c r="DD177" s="538"/>
      <c r="DE177" s="538"/>
      <c r="DF177" s="538"/>
      <c r="DG177" s="538"/>
      <c r="DH177" s="538"/>
      <c r="DI177" s="538"/>
      <c r="DJ177" s="538"/>
      <c r="DK177" s="538"/>
      <c r="DL177" s="538"/>
      <c r="DM177" s="538"/>
      <c r="DN177" s="538"/>
      <c r="DO177" s="538"/>
      <c r="DP177" s="538"/>
      <c r="DQ177" s="538"/>
      <c r="DR177" s="538"/>
      <c r="DS177" s="538"/>
      <c r="DT177" s="538"/>
      <c r="DU177" s="538"/>
      <c r="DV177" s="538"/>
      <c r="DW177" s="538"/>
      <c r="DX177" s="538"/>
      <c r="DY177" s="538"/>
      <c r="DZ177" s="538"/>
      <c r="EA177" s="538"/>
      <c r="EB177" s="538"/>
      <c r="EC177" s="538"/>
      <c r="ED177" s="538"/>
      <c r="EE177" s="538"/>
      <c r="EF177" s="538"/>
      <c r="EG177" s="538"/>
      <c r="EH177" s="538"/>
      <c r="EI177" s="538"/>
      <c r="EJ177" s="538"/>
      <c r="EK177" s="538"/>
      <c r="EL177" s="538"/>
      <c r="EM177" s="538"/>
      <c r="EN177" s="538"/>
      <c r="EO177" s="538"/>
      <c r="EP177" s="538"/>
      <c r="EQ177" s="538"/>
      <c r="ER177" s="538"/>
      <c r="ES177" s="538"/>
      <c r="ET177" s="538"/>
      <c r="EU177" s="538"/>
      <c r="EV177" s="538"/>
      <c r="EW177" s="538"/>
      <c r="EX177" s="559"/>
      <c r="EY177" s="559"/>
      <c r="EZ177" s="559"/>
      <c r="FA177" s="559"/>
      <c r="FB177" s="559"/>
      <c r="FC177" s="559"/>
      <c r="FD177" s="559"/>
      <c r="FE177" s="559"/>
      <c r="FF177" s="559"/>
      <c r="FG177" s="559"/>
      <c r="FH177" s="559"/>
      <c r="FI177" s="559"/>
      <c r="FJ177" s="559"/>
      <c r="FK177" s="559"/>
      <c r="FL177" s="559"/>
      <c r="FM177" s="559"/>
      <c r="FN177" s="559"/>
      <c r="FO177" s="559"/>
      <c r="FP177" s="559"/>
      <c r="FQ177" s="559"/>
      <c r="FR177" s="559"/>
      <c r="FS177" s="559"/>
      <c r="FT177" s="559"/>
      <c r="FU177" s="559"/>
      <c r="FV177" s="559"/>
      <c r="FW177" s="559"/>
      <c r="FX177" s="559"/>
      <c r="FY177" s="559"/>
      <c r="FZ177" s="559"/>
      <c r="GA177" s="559"/>
      <c r="GB177" s="559"/>
      <c r="GC177" s="559"/>
      <c r="GD177" s="559"/>
      <c r="GE177" s="559"/>
      <c r="GF177" s="559"/>
      <c r="GG177" s="559"/>
      <c r="GH177" s="559"/>
    </row>
    <row r="178">
      <c r="A178" s="538"/>
      <c r="B178" s="156"/>
      <c r="C178" s="444"/>
      <c r="D178" s="614"/>
      <c r="E178" s="68"/>
      <c r="F178" s="644"/>
      <c r="G178" s="644"/>
      <c r="H178" s="627"/>
      <c r="I178" s="622" t="s">
        <v>365</v>
      </c>
      <c r="J178" s="607"/>
      <c r="K178" s="641"/>
      <c r="L178" s="628"/>
      <c r="M178" s="626"/>
      <c r="N178" s="619"/>
      <c r="O178" s="560"/>
      <c r="P178" s="47"/>
      <c r="Q178" s="47"/>
      <c r="S178" s="572"/>
      <c r="U178" s="573"/>
      <c r="V178" s="574"/>
      <c r="W178" s="618"/>
      <c r="X178" s="576">
        <v>0.0</v>
      </c>
      <c r="Y178" s="630">
        <v>0.0</v>
      </c>
      <c r="Z178" s="630" t="s">
        <v>365</v>
      </c>
      <c r="AA178" s="631" t="b">
        <v>0</v>
      </c>
      <c r="AB178" s="631"/>
      <c r="AC178" s="576"/>
      <c r="AD178" s="479">
        <v>0.0</v>
      </c>
      <c r="AE178" s="632"/>
      <c r="AF178" s="582" t="s">
        <v>365</v>
      </c>
      <c r="AG178" s="583"/>
      <c r="AH178" s="584"/>
      <c r="AI178" s="583"/>
      <c r="AJ178" s="585"/>
      <c r="AK178" s="583"/>
      <c r="AL178" s="584"/>
      <c r="AM178" s="583"/>
      <c r="AN178" s="585"/>
      <c r="AO178" s="583"/>
      <c r="AP178" s="584"/>
      <c r="AQ178" s="583"/>
      <c r="AR178" s="585"/>
      <c r="AS178" s="583"/>
      <c r="AT178" s="584"/>
      <c r="AU178" s="583"/>
      <c r="AV178" s="585"/>
      <c r="AW178" s="583"/>
      <c r="AX178" s="584"/>
      <c r="AY178" s="583"/>
      <c r="AZ178" s="585"/>
      <c r="BA178" s="583"/>
      <c r="BB178" s="584"/>
      <c r="BC178" s="583"/>
      <c r="BD178" s="585"/>
      <c r="BE178" s="583"/>
      <c r="BF178" s="584"/>
      <c r="BG178" s="583"/>
      <c r="BH178" s="585"/>
      <c r="BI178" s="583"/>
      <c r="BJ178" s="584"/>
      <c r="BK178" s="583"/>
      <c r="BL178" s="585"/>
      <c r="BM178" s="583"/>
      <c r="BN178" s="584"/>
      <c r="BO178" s="583"/>
      <c r="BP178" s="585"/>
      <c r="BQ178" s="583"/>
      <c r="BR178" s="584"/>
      <c r="BS178" s="583"/>
      <c r="BT178" s="586"/>
      <c r="BU178" s="540"/>
      <c r="BV178" s="540"/>
      <c r="BW178" s="540"/>
      <c r="BX178" s="538"/>
      <c r="BY178" s="538"/>
      <c r="BZ178" s="592"/>
      <c r="CA178" s="633"/>
      <c r="CB178" s="592" t="s">
        <v>365</v>
      </c>
      <c r="CC178" s="592">
        <v>0.0</v>
      </c>
      <c r="CD178" s="592" t="s">
        <v>365</v>
      </c>
      <c r="CE178" s="592">
        <v>0.0</v>
      </c>
      <c r="CF178" s="592"/>
      <c r="CG178" s="592">
        <v>0.0</v>
      </c>
      <c r="CH178" s="592"/>
      <c r="CI178" s="633"/>
      <c r="CJ178" s="592">
        <v>0.0</v>
      </c>
      <c r="CK178" s="479" t="s">
        <v>365</v>
      </c>
      <c r="CL178" s="592"/>
      <c r="CM178" s="593"/>
      <c r="CN178" s="538"/>
      <c r="CO178" s="538"/>
      <c r="CP178" s="538"/>
      <c r="CQ178" s="538"/>
      <c r="CR178" s="538"/>
      <c r="CS178" s="538"/>
      <c r="CT178" s="538"/>
      <c r="CU178" s="538"/>
      <c r="CV178" s="538"/>
      <c r="CW178" s="538"/>
      <c r="CX178" s="538"/>
      <c r="CY178" s="538"/>
      <c r="CZ178" s="538"/>
      <c r="DA178" s="538"/>
      <c r="DB178" s="538"/>
      <c r="DC178" s="538"/>
      <c r="DD178" s="538"/>
      <c r="DE178" s="538"/>
      <c r="DF178" s="538"/>
      <c r="DG178" s="538"/>
      <c r="DH178" s="538"/>
      <c r="DI178" s="538"/>
      <c r="DJ178" s="538"/>
      <c r="DK178" s="538"/>
      <c r="DL178" s="538"/>
      <c r="DM178" s="538"/>
      <c r="DN178" s="538"/>
      <c r="DO178" s="538"/>
      <c r="DP178" s="538"/>
      <c r="DQ178" s="538"/>
      <c r="DR178" s="538"/>
      <c r="DS178" s="538"/>
      <c r="DT178" s="538"/>
      <c r="DU178" s="538"/>
      <c r="DV178" s="538"/>
      <c r="DW178" s="538"/>
      <c r="DX178" s="538"/>
      <c r="DY178" s="538"/>
      <c r="DZ178" s="538"/>
      <c r="EA178" s="538"/>
      <c r="EB178" s="538"/>
      <c r="EC178" s="538"/>
      <c r="ED178" s="538"/>
      <c r="EE178" s="538"/>
      <c r="EF178" s="538"/>
      <c r="EG178" s="538"/>
      <c r="EH178" s="538"/>
      <c r="EI178" s="538"/>
      <c r="EJ178" s="538"/>
      <c r="EK178" s="538"/>
      <c r="EL178" s="538"/>
      <c r="EM178" s="538"/>
      <c r="EN178" s="538"/>
      <c r="EO178" s="538"/>
      <c r="EP178" s="538"/>
      <c r="EQ178" s="538"/>
      <c r="ER178" s="538"/>
      <c r="ES178" s="538"/>
      <c r="ET178" s="538"/>
      <c r="EU178" s="538"/>
      <c r="EV178" s="538"/>
      <c r="EW178" s="538"/>
      <c r="EX178" s="559"/>
      <c r="EY178" s="559"/>
      <c r="EZ178" s="559"/>
      <c r="FA178" s="559"/>
      <c r="FB178" s="559"/>
      <c r="FC178" s="559"/>
      <c r="FD178" s="559"/>
      <c r="FE178" s="559"/>
      <c r="FF178" s="559"/>
      <c r="FG178" s="559"/>
      <c r="FH178" s="559"/>
      <c r="FI178" s="559"/>
      <c r="FJ178" s="559"/>
      <c r="FK178" s="559"/>
      <c r="FL178" s="559"/>
      <c r="FM178" s="559"/>
      <c r="FN178" s="559"/>
      <c r="FO178" s="559"/>
      <c r="FP178" s="559"/>
      <c r="FQ178" s="559"/>
      <c r="FR178" s="559"/>
      <c r="FS178" s="559"/>
      <c r="FT178" s="559"/>
      <c r="FU178" s="559"/>
      <c r="FV178" s="559"/>
      <c r="FW178" s="559"/>
      <c r="FX178" s="559"/>
      <c r="FY178" s="559"/>
      <c r="FZ178" s="559"/>
      <c r="GA178" s="559"/>
      <c r="GB178" s="559"/>
      <c r="GC178" s="559"/>
      <c r="GD178" s="559"/>
      <c r="GE178" s="559"/>
      <c r="GF178" s="559"/>
      <c r="GG178" s="559"/>
      <c r="GH178" s="559"/>
    </row>
    <row r="179">
      <c r="A179" s="538"/>
      <c r="B179" s="156"/>
      <c r="C179" s="444"/>
      <c r="D179" s="614"/>
      <c r="E179" s="66"/>
      <c r="F179" s="642"/>
      <c r="G179" s="642"/>
      <c r="H179" s="615"/>
      <c r="I179" s="616" t="s">
        <v>365</v>
      </c>
      <c r="J179" s="624"/>
      <c r="K179" s="643"/>
      <c r="L179" s="640"/>
      <c r="M179" s="625"/>
      <c r="N179" s="617"/>
      <c r="O179" s="134"/>
      <c r="P179" s="57"/>
      <c r="Q179" s="57"/>
      <c r="S179" s="605"/>
      <c r="U179" s="573"/>
      <c r="V179" s="574"/>
      <c r="W179" s="618"/>
      <c r="X179" s="576">
        <v>0.0</v>
      </c>
      <c r="Y179" s="630">
        <v>0.0</v>
      </c>
      <c r="Z179" s="630" t="s">
        <v>365</v>
      </c>
      <c r="AA179" s="631" t="b">
        <v>0</v>
      </c>
      <c r="AB179" s="631"/>
      <c r="AC179" s="576"/>
      <c r="AD179" s="479">
        <v>0.0</v>
      </c>
      <c r="AE179" s="632"/>
      <c r="AF179" s="582" t="s">
        <v>365</v>
      </c>
      <c r="AG179" s="583"/>
      <c r="AH179" s="584"/>
      <c r="AI179" s="583"/>
      <c r="AJ179" s="585"/>
      <c r="AK179" s="583"/>
      <c r="AL179" s="584"/>
      <c r="AM179" s="583"/>
      <c r="AN179" s="585"/>
      <c r="AO179" s="583"/>
      <c r="AP179" s="584"/>
      <c r="AQ179" s="583"/>
      <c r="AR179" s="585"/>
      <c r="AS179" s="583"/>
      <c r="AT179" s="584"/>
      <c r="AU179" s="583"/>
      <c r="AV179" s="585"/>
      <c r="AW179" s="583"/>
      <c r="AX179" s="584"/>
      <c r="AY179" s="583"/>
      <c r="AZ179" s="585"/>
      <c r="BA179" s="583"/>
      <c r="BB179" s="584"/>
      <c r="BC179" s="583"/>
      <c r="BD179" s="585"/>
      <c r="BE179" s="583"/>
      <c r="BF179" s="584"/>
      <c r="BG179" s="583"/>
      <c r="BH179" s="585"/>
      <c r="BI179" s="583"/>
      <c r="BJ179" s="584"/>
      <c r="BK179" s="583"/>
      <c r="BL179" s="585"/>
      <c r="BM179" s="583"/>
      <c r="BN179" s="584"/>
      <c r="BO179" s="583"/>
      <c r="BP179" s="585"/>
      <c r="BQ179" s="583"/>
      <c r="BR179" s="584"/>
      <c r="BS179" s="583"/>
      <c r="BT179" s="586"/>
      <c r="BU179" s="540"/>
      <c r="BV179" s="540"/>
      <c r="BW179" s="540"/>
      <c r="BX179" s="538"/>
      <c r="BY179" s="538"/>
      <c r="BZ179" s="592"/>
      <c r="CA179" s="633"/>
      <c r="CB179" s="592" t="s">
        <v>365</v>
      </c>
      <c r="CC179" s="592">
        <v>0.0</v>
      </c>
      <c r="CD179" s="592" t="s">
        <v>365</v>
      </c>
      <c r="CE179" s="592">
        <v>0.0</v>
      </c>
      <c r="CF179" s="592"/>
      <c r="CG179" s="592">
        <v>0.0</v>
      </c>
      <c r="CH179" s="592"/>
      <c r="CI179" s="633"/>
      <c r="CJ179" s="592">
        <v>0.0</v>
      </c>
      <c r="CK179" s="479" t="s">
        <v>365</v>
      </c>
      <c r="CL179" s="592"/>
      <c r="CM179" s="593"/>
      <c r="CN179" s="538"/>
      <c r="CO179" s="538"/>
      <c r="CP179" s="538"/>
      <c r="CQ179" s="538"/>
      <c r="CR179" s="538"/>
      <c r="CS179" s="538"/>
      <c r="CT179" s="538"/>
      <c r="CU179" s="538"/>
      <c r="CV179" s="538"/>
      <c r="CW179" s="538"/>
      <c r="CX179" s="538"/>
      <c r="CY179" s="538"/>
      <c r="CZ179" s="538"/>
      <c r="DA179" s="538"/>
      <c r="DB179" s="538"/>
      <c r="DC179" s="538"/>
      <c r="DD179" s="538"/>
      <c r="DE179" s="538"/>
      <c r="DF179" s="538"/>
      <c r="DG179" s="538"/>
      <c r="DH179" s="538"/>
      <c r="DI179" s="538"/>
      <c r="DJ179" s="538"/>
      <c r="DK179" s="538"/>
      <c r="DL179" s="538"/>
      <c r="DM179" s="538"/>
      <c r="DN179" s="538"/>
      <c r="DO179" s="538"/>
      <c r="DP179" s="538"/>
      <c r="DQ179" s="538"/>
      <c r="DR179" s="538"/>
      <c r="DS179" s="538"/>
      <c r="DT179" s="538"/>
      <c r="DU179" s="538"/>
      <c r="DV179" s="538"/>
      <c r="DW179" s="538"/>
      <c r="DX179" s="538"/>
      <c r="DY179" s="538"/>
      <c r="DZ179" s="538"/>
      <c r="EA179" s="538"/>
      <c r="EB179" s="538"/>
      <c r="EC179" s="538"/>
      <c r="ED179" s="538"/>
      <c r="EE179" s="538"/>
      <c r="EF179" s="538"/>
      <c r="EG179" s="538"/>
      <c r="EH179" s="538"/>
      <c r="EI179" s="538"/>
      <c r="EJ179" s="538"/>
      <c r="EK179" s="538"/>
      <c r="EL179" s="538"/>
      <c r="EM179" s="538"/>
      <c r="EN179" s="538"/>
      <c r="EO179" s="538"/>
      <c r="EP179" s="538"/>
      <c r="EQ179" s="538"/>
      <c r="ER179" s="538"/>
      <c r="ES179" s="538"/>
      <c r="ET179" s="538"/>
      <c r="EU179" s="538"/>
      <c r="EV179" s="538"/>
      <c r="EW179" s="538"/>
      <c r="EX179" s="559"/>
      <c r="EY179" s="559"/>
      <c r="EZ179" s="559"/>
      <c r="FA179" s="559"/>
      <c r="FB179" s="559"/>
      <c r="FC179" s="559"/>
      <c r="FD179" s="559"/>
      <c r="FE179" s="559"/>
      <c r="FF179" s="559"/>
      <c r="FG179" s="559"/>
      <c r="FH179" s="559"/>
      <c r="FI179" s="559"/>
      <c r="FJ179" s="559"/>
      <c r="FK179" s="559"/>
      <c r="FL179" s="559"/>
      <c r="FM179" s="559"/>
      <c r="FN179" s="559"/>
      <c r="FO179" s="559"/>
      <c r="FP179" s="559"/>
      <c r="FQ179" s="559"/>
      <c r="FR179" s="559"/>
      <c r="FS179" s="559"/>
      <c r="FT179" s="559"/>
      <c r="FU179" s="559"/>
      <c r="FV179" s="559"/>
      <c r="FW179" s="559"/>
      <c r="FX179" s="559"/>
      <c r="FY179" s="559"/>
      <c r="FZ179" s="559"/>
      <c r="GA179" s="559"/>
      <c r="GB179" s="559"/>
      <c r="GC179" s="559"/>
      <c r="GD179" s="559"/>
      <c r="GE179" s="559"/>
      <c r="GF179" s="559"/>
      <c r="GG179" s="559"/>
      <c r="GH179" s="559"/>
    </row>
    <row r="180">
      <c r="A180" s="538"/>
      <c r="B180" s="156"/>
      <c r="C180" s="444"/>
      <c r="D180" s="614"/>
      <c r="E180" s="68"/>
      <c r="F180" s="644"/>
      <c r="G180" s="644"/>
      <c r="H180" s="627"/>
      <c r="I180" s="622" t="s">
        <v>365</v>
      </c>
      <c r="J180" s="607"/>
      <c r="K180" s="641"/>
      <c r="L180" s="628"/>
      <c r="M180" s="626"/>
      <c r="N180" s="619"/>
      <c r="O180" s="560"/>
      <c r="P180" s="47"/>
      <c r="Q180" s="47"/>
      <c r="S180" s="572"/>
      <c r="U180" s="573"/>
      <c r="V180" s="574"/>
      <c r="W180" s="618"/>
      <c r="X180" s="576">
        <v>0.0</v>
      </c>
      <c r="Y180" s="630">
        <v>0.0</v>
      </c>
      <c r="Z180" s="630" t="s">
        <v>365</v>
      </c>
      <c r="AA180" s="631" t="b">
        <v>0</v>
      </c>
      <c r="AB180" s="631"/>
      <c r="AC180" s="576"/>
      <c r="AD180" s="479">
        <v>0.0</v>
      </c>
      <c r="AE180" s="632"/>
      <c r="AF180" s="582" t="s">
        <v>365</v>
      </c>
      <c r="AG180" s="583"/>
      <c r="AH180" s="584"/>
      <c r="AI180" s="583"/>
      <c r="AJ180" s="585"/>
      <c r="AK180" s="583"/>
      <c r="AL180" s="584"/>
      <c r="AM180" s="583"/>
      <c r="AN180" s="585"/>
      <c r="AO180" s="583"/>
      <c r="AP180" s="584"/>
      <c r="AQ180" s="583"/>
      <c r="AR180" s="585"/>
      <c r="AS180" s="583"/>
      <c r="AT180" s="584"/>
      <c r="AU180" s="583"/>
      <c r="AV180" s="585"/>
      <c r="AW180" s="583"/>
      <c r="AX180" s="584"/>
      <c r="AY180" s="583"/>
      <c r="AZ180" s="585"/>
      <c r="BA180" s="583"/>
      <c r="BB180" s="584"/>
      <c r="BC180" s="583"/>
      <c r="BD180" s="585"/>
      <c r="BE180" s="583"/>
      <c r="BF180" s="584"/>
      <c r="BG180" s="583"/>
      <c r="BH180" s="585"/>
      <c r="BI180" s="583"/>
      <c r="BJ180" s="584"/>
      <c r="BK180" s="583"/>
      <c r="BL180" s="585"/>
      <c r="BM180" s="583"/>
      <c r="BN180" s="584"/>
      <c r="BO180" s="583"/>
      <c r="BP180" s="585"/>
      <c r="BQ180" s="583"/>
      <c r="BR180" s="584"/>
      <c r="BS180" s="583"/>
      <c r="BT180" s="586"/>
      <c r="BU180" s="540"/>
      <c r="BV180" s="540"/>
      <c r="BW180" s="540"/>
      <c r="BX180" s="538"/>
      <c r="BY180" s="538"/>
      <c r="BZ180" s="592"/>
      <c r="CA180" s="633"/>
      <c r="CB180" s="592" t="s">
        <v>365</v>
      </c>
      <c r="CC180" s="592">
        <v>0.0</v>
      </c>
      <c r="CD180" s="592" t="s">
        <v>365</v>
      </c>
      <c r="CE180" s="592">
        <v>0.0</v>
      </c>
      <c r="CF180" s="592"/>
      <c r="CG180" s="592">
        <v>0.0</v>
      </c>
      <c r="CH180" s="592"/>
      <c r="CI180" s="633"/>
      <c r="CJ180" s="592">
        <v>0.0</v>
      </c>
      <c r="CK180" s="479" t="s">
        <v>365</v>
      </c>
      <c r="CL180" s="592"/>
      <c r="CM180" s="593"/>
      <c r="CN180" s="538"/>
      <c r="CO180" s="538"/>
      <c r="CP180" s="538"/>
      <c r="CQ180" s="538"/>
      <c r="CR180" s="538"/>
      <c r="CS180" s="538"/>
      <c r="CT180" s="538"/>
      <c r="CU180" s="538"/>
      <c r="CV180" s="538"/>
      <c r="CW180" s="538"/>
      <c r="CX180" s="538"/>
      <c r="CY180" s="538"/>
      <c r="CZ180" s="538"/>
      <c r="DA180" s="538"/>
      <c r="DB180" s="538"/>
      <c r="DC180" s="538"/>
      <c r="DD180" s="538"/>
      <c r="DE180" s="538"/>
      <c r="DF180" s="538"/>
      <c r="DG180" s="538"/>
      <c r="DH180" s="538"/>
      <c r="DI180" s="538"/>
      <c r="DJ180" s="538"/>
      <c r="DK180" s="538"/>
      <c r="DL180" s="538"/>
      <c r="DM180" s="538"/>
      <c r="DN180" s="538"/>
      <c r="DO180" s="538"/>
      <c r="DP180" s="538"/>
      <c r="DQ180" s="538"/>
      <c r="DR180" s="538"/>
      <c r="DS180" s="538"/>
      <c r="DT180" s="538"/>
      <c r="DU180" s="538"/>
      <c r="DV180" s="538"/>
      <c r="DW180" s="538"/>
      <c r="DX180" s="538"/>
      <c r="DY180" s="538"/>
      <c r="DZ180" s="538"/>
      <c r="EA180" s="538"/>
      <c r="EB180" s="538"/>
      <c r="EC180" s="538"/>
      <c r="ED180" s="538"/>
      <c r="EE180" s="538"/>
      <c r="EF180" s="538"/>
      <c r="EG180" s="538"/>
      <c r="EH180" s="538"/>
      <c r="EI180" s="538"/>
      <c r="EJ180" s="538"/>
      <c r="EK180" s="538"/>
      <c r="EL180" s="538"/>
      <c r="EM180" s="538"/>
      <c r="EN180" s="538"/>
      <c r="EO180" s="538"/>
      <c r="EP180" s="538"/>
      <c r="EQ180" s="538"/>
      <c r="ER180" s="538"/>
      <c r="ES180" s="538"/>
      <c r="ET180" s="538"/>
      <c r="EU180" s="538"/>
      <c r="EV180" s="538"/>
      <c r="EW180" s="538"/>
      <c r="EX180" s="559"/>
      <c r="EY180" s="559"/>
      <c r="EZ180" s="559"/>
      <c r="FA180" s="559"/>
      <c r="FB180" s="559"/>
      <c r="FC180" s="559"/>
      <c r="FD180" s="559"/>
      <c r="FE180" s="559"/>
      <c r="FF180" s="559"/>
      <c r="FG180" s="559"/>
      <c r="FH180" s="559"/>
      <c r="FI180" s="559"/>
      <c r="FJ180" s="559"/>
      <c r="FK180" s="559"/>
      <c r="FL180" s="559"/>
      <c r="FM180" s="559"/>
      <c r="FN180" s="559"/>
      <c r="FO180" s="559"/>
      <c r="FP180" s="559"/>
      <c r="FQ180" s="559"/>
      <c r="FR180" s="559"/>
      <c r="FS180" s="559"/>
      <c r="FT180" s="559"/>
      <c r="FU180" s="559"/>
      <c r="FV180" s="559"/>
      <c r="FW180" s="559"/>
      <c r="FX180" s="559"/>
      <c r="FY180" s="559"/>
      <c r="FZ180" s="559"/>
      <c r="GA180" s="559"/>
      <c r="GB180" s="559"/>
      <c r="GC180" s="559"/>
      <c r="GD180" s="559"/>
      <c r="GE180" s="559"/>
      <c r="GF180" s="559"/>
      <c r="GG180" s="559"/>
      <c r="GH180" s="559"/>
    </row>
    <row r="181">
      <c r="A181" s="538"/>
      <c r="B181" s="156"/>
      <c r="C181" s="444"/>
      <c r="D181" s="614"/>
      <c r="E181" s="66"/>
      <c r="F181" s="642"/>
      <c r="G181" s="642"/>
      <c r="H181" s="615"/>
      <c r="I181" s="616" t="s">
        <v>365</v>
      </c>
      <c r="J181" s="624"/>
      <c r="K181" s="643"/>
      <c r="L181" s="640"/>
      <c r="M181" s="625"/>
      <c r="N181" s="617"/>
      <c r="O181" s="134"/>
      <c r="P181" s="57"/>
      <c r="Q181" s="57"/>
      <c r="S181" s="605"/>
      <c r="U181" s="573"/>
      <c r="V181" s="574"/>
      <c r="W181" s="618"/>
      <c r="X181" s="576">
        <v>0.0</v>
      </c>
      <c r="Y181" s="630">
        <v>0.0</v>
      </c>
      <c r="Z181" s="630" t="s">
        <v>365</v>
      </c>
      <c r="AA181" s="631" t="b">
        <v>0</v>
      </c>
      <c r="AB181" s="631"/>
      <c r="AC181" s="576"/>
      <c r="AD181" s="479">
        <v>0.0</v>
      </c>
      <c r="AE181" s="632"/>
      <c r="AF181" s="582" t="s">
        <v>365</v>
      </c>
      <c r="AG181" s="583"/>
      <c r="AH181" s="584"/>
      <c r="AI181" s="583"/>
      <c r="AJ181" s="585"/>
      <c r="AK181" s="583"/>
      <c r="AL181" s="584"/>
      <c r="AM181" s="583"/>
      <c r="AN181" s="585"/>
      <c r="AO181" s="583"/>
      <c r="AP181" s="584"/>
      <c r="AQ181" s="583"/>
      <c r="AR181" s="585"/>
      <c r="AS181" s="583"/>
      <c r="AT181" s="584"/>
      <c r="AU181" s="583"/>
      <c r="AV181" s="585"/>
      <c r="AW181" s="583"/>
      <c r="AX181" s="584"/>
      <c r="AY181" s="583"/>
      <c r="AZ181" s="585"/>
      <c r="BA181" s="583"/>
      <c r="BB181" s="584"/>
      <c r="BC181" s="583"/>
      <c r="BD181" s="585"/>
      <c r="BE181" s="583"/>
      <c r="BF181" s="584"/>
      <c r="BG181" s="583"/>
      <c r="BH181" s="585"/>
      <c r="BI181" s="583"/>
      <c r="BJ181" s="584"/>
      <c r="BK181" s="583"/>
      <c r="BL181" s="585"/>
      <c r="BM181" s="583"/>
      <c r="BN181" s="584"/>
      <c r="BO181" s="583"/>
      <c r="BP181" s="585"/>
      <c r="BQ181" s="583"/>
      <c r="BR181" s="584"/>
      <c r="BS181" s="583"/>
      <c r="BT181" s="586"/>
      <c r="BU181" s="540"/>
      <c r="BV181" s="540"/>
      <c r="BW181" s="540"/>
      <c r="BX181" s="538"/>
      <c r="BY181" s="538"/>
      <c r="BZ181" s="592"/>
      <c r="CA181" s="633"/>
      <c r="CB181" s="592" t="s">
        <v>365</v>
      </c>
      <c r="CC181" s="592">
        <v>0.0</v>
      </c>
      <c r="CD181" s="592" t="s">
        <v>365</v>
      </c>
      <c r="CE181" s="592">
        <v>0.0</v>
      </c>
      <c r="CF181" s="592"/>
      <c r="CG181" s="592">
        <v>0.0</v>
      </c>
      <c r="CH181" s="592"/>
      <c r="CI181" s="633"/>
      <c r="CJ181" s="592">
        <v>0.0</v>
      </c>
      <c r="CK181" s="479" t="s">
        <v>365</v>
      </c>
      <c r="CL181" s="592"/>
      <c r="CM181" s="593"/>
      <c r="CN181" s="538"/>
      <c r="CO181" s="538"/>
      <c r="CP181" s="538"/>
      <c r="CQ181" s="538"/>
      <c r="CR181" s="538"/>
      <c r="CS181" s="538"/>
      <c r="CT181" s="538"/>
      <c r="CU181" s="538"/>
      <c r="CV181" s="538"/>
      <c r="CW181" s="538"/>
      <c r="CX181" s="538"/>
      <c r="CY181" s="538"/>
      <c r="CZ181" s="538"/>
      <c r="DA181" s="538"/>
      <c r="DB181" s="538"/>
      <c r="DC181" s="538"/>
      <c r="DD181" s="538"/>
      <c r="DE181" s="538"/>
      <c r="DF181" s="538"/>
      <c r="DG181" s="538"/>
      <c r="DH181" s="538"/>
      <c r="DI181" s="538"/>
      <c r="DJ181" s="538"/>
      <c r="DK181" s="538"/>
      <c r="DL181" s="538"/>
      <c r="DM181" s="538"/>
      <c r="DN181" s="538"/>
      <c r="DO181" s="538"/>
      <c r="DP181" s="538"/>
      <c r="DQ181" s="538"/>
      <c r="DR181" s="538"/>
      <c r="DS181" s="538"/>
      <c r="DT181" s="538"/>
      <c r="DU181" s="538"/>
      <c r="DV181" s="538"/>
      <c r="DW181" s="538"/>
      <c r="DX181" s="538"/>
      <c r="DY181" s="538"/>
      <c r="DZ181" s="538"/>
      <c r="EA181" s="538"/>
      <c r="EB181" s="538"/>
      <c r="EC181" s="538"/>
      <c r="ED181" s="538"/>
      <c r="EE181" s="538"/>
      <c r="EF181" s="538"/>
      <c r="EG181" s="538"/>
      <c r="EH181" s="538"/>
      <c r="EI181" s="538"/>
      <c r="EJ181" s="538"/>
      <c r="EK181" s="538"/>
      <c r="EL181" s="538"/>
      <c r="EM181" s="538"/>
      <c r="EN181" s="538"/>
      <c r="EO181" s="538"/>
      <c r="EP181" s="538"/>
      <c r="EQ181" s="538"/>
      <c r="ER181" s="538"/>
      <c r="ES181" s="538"/>
      <c r="ET181" s="538"/>
      <c r="EU181" s="538"/>
      <c r="EV181" s="538"/>
      <c r="EW181" s="538"/>
      <c r="EX181" s="559"/>
      <c r="EY181" s="559"/>
      <c r="EZ181" s="559"/>
      <c r="FA181" s="559"/>
      <c r="FB181" s="559"/>
      <c r="FC181" s="559"/>
      <c r="FD181" s="559"/>
      <c r="FE181" s="559"/>
      <c r="FF181" s="559"/>
      <c r="FG181" s="559"/>
      <c r="FH181" s="559"/>
      <c r="FI181" s="559"/>
      <c r="FJ181" s="559"/>
      <c r="FK181" s="559"/>
      <c r="FL181" s="559"/>
      <c r="FM181" s="559"/>
      <c r="FN181" s="559"/>
      <c r="FO181" s="559"/>
      <c r="FP181" s="559"/>
      <c r="FQ181" s="559"/>
      <c r="FR181" s="559"/>
      <c r="FS181" s="559"/>
      <c r="FT181" s="559"/>
      <c r="FU181" s="559"/>
      <c r="FV181" s="559"/>
      <c r="FW181" s="559"/>
      <c r="FX181" s="559"/>
      <c r="FY181" s="559"/>
      <c r="FZ181" s="559"/>
      <c r="GA181" s="559"/>
      <c r="GB181" s="559"/>
      <c r="GC181" s="559"/>
      <c r="GD181" s="559"/>
      <c r="GE181" s="559"/>
      <c r="GF181" s="559"/>
      <c r="GG181" s="559"/>
      <c r="GH181" s="559"/>
    </row>
    <row r="182">
      <c r="A182" s="538"/>
      <c r="B182" s="156"/>
      <c r="C182" s="444"/>
      <c r="D182" s="614"/>
      <c r="E182" s="68"/>
      <c r="F182" s="644"/>
      <c r="G182" s="644"/>
      <c r="H182" s="627"/>
      <c r="I182" s="622" t="s">
        <v>365</v>
      </c>
      <c r="J182" s="607"/>
      <c r="K182" s="641"/>
      <c r="L182" s="628"/>
      <c r="M182" s="626"/>
      <c r="N182" s="619"/>
      <c r="O182" s="560"/>
      <c r="P182" s="47"/>
      <c r="Q182" s="47"/>
      <c r="S182" s="572"/>
      <c r="U182" s="573"/>
      <c r="V182" s="574"/>
      <c r="W182" s="618"/>
      <c r="X182" s="576">
        <v>0.0</v>
      </c>
      <c r="Y182" s="630">
        <v>0.0</v>
      </c>
      <c r="Z182" s="630" t="s">
        <v>365</v>
      </c>
      <c r="AA182" s="631" t="b">
        <v>0</v>
      </c>
      <c r="AB182" s="631"/>
      <c r="AC182" s="576"/>
      <c r="AD182" s="479">
        <v>0.0</v>
      </c>
      <c r="AE182" s="632"/>
      <c r="AF182" s="582" t="s">
        <v>365</v>
      </c>
      <c r="AG182" s="583"/>
      <c r="AH182" s="584"/>
      <c r="AI182" s="583"/>
      <c r="AJ182" s="585"/>
      <c r="AK182" s="583"/>
      <c r="AL182" s="584"/>
      <c r="AM182" s="583"/>
      <c r="AN182" s="585"/>
      <c r="AO182" s="583"/>
      <c r="AP182" s="584"/>
      <c r="AQ182" s="583"/>
      <c r="AR182" s="585"/>
      <c r="AS182" s="583"/>
      <c r="AT182" s="584"/>
      <c r="AU182" s="583"/>
      <c r="AV182" s="585"/>
      <c r="AW182" s="583"/>
      <c r="AX182" s="584"/>
      <c r="AY182" s="583"/>
      <c r="AZ182" s="585"/>
      <c r="BA182" s="583"/>
      <c r="BB182" s="584"/>
      <c r="BC182" s="583"/>
      <c r="BD182" s="585"/>
      <c r="BE182" s="583"/>
      <c r="BF182" s="584"/>
      <c r="BG182" s="583"/>
      <c r="BH182" s="585"/>
      <c r="BI182" s="583"/>
      <c r="BJ182" s="584"/>
      <c r="BK182" s="583"/>
      <c r="BL182" s="585"/>
      <c r="BM182" s="583"/>
      <c r="BN182" s="584"/>
      <c r="BO182" s="583"/>
      <c r="BP182" s="585"/>
      <c r="BQ182" s="583"/>
      <c r="BR182" s="584"/>
      <c r="BS182" s="583"/>
      <c r="BT182" s="586"/>
      <c r="BU182" s="540"/>
      <c r="BV182" s="540"/>
      <c r="BW182" s="540"/>
      <c r="BX182" s="538"/>
      <c r="BY182" s="538"/>
      <c r="BZ182" s="592"/>
      <c r="CA182" s="633"/>
      <c r="CB182" s="592" t="s">
        <v>365</v>
      </c>
      <c r="CC182" s="592">
        <v>0.0</v>
      </c>
      <c r="CD182" s="592" t="s">
        <v>365</v>
      </c>
      <c r="CE182" s="592">
        <v>0.0</v>
      </c>
      <c r="CF182" s="592"/>
      <c r="CG182" s="592">
        <v>0.0</v>
      </c>
      <c r="CH182" s="592"/>
      <c r="CI182" s="633"/>
      <c r="CJ182" s="592">
        <v>0.0</v>
      </c>
      <c r="CK182" s="479" t="s">
        <v>365</v>
      </c>
      <c r="CL182" s="592"/>
      <c r="CM182" s="593"/>
      <c r="CN182" s="538"/>
      <c r="CO182" s="538"/>
      <c r="CP182" s="538"/>
      <c r="CQ182" s="538"/>
      <c r="CR182" s="538"/>
      <c r="CS182" s="538"/>
      <c r="CT182" s="538"/>
      <c r="CU182" s="538"/>
      <c r="CV182" s="538"/>
      <c r="CW182" s="538"/>
      <c r="CX182" s="538"/>
      <c r="CY182" s="538"/>
      <c r="CZ182" s="538"/>
      <c r="DA182" s="538"/>
      <c r="DB182" s="538"/>
      <c r="DC182" s="538"/>
      <c r="DD182" s="538"/>
      <c r="DE182" s="538"/>
      <c r="DF182" s="538"/>
      <c r="DG182" s="538"/>
      <c r="DH182" s="538"/>
      <c r="DI182" s="538"/>
      <c r="DJ182" s="538"/>
      <c r="DK182" s="538"/>
      <c r="DL182" s="538"/>
      <c r="DM182" s="538"/>
      <c r="DN182" s="538"/>
      <c r="DO182" s="538"/>
      <c r="DP182" s="538"/>
      <c r="DQ182" s="538"/>
      <c r="DR182" s="538"/>
      <c r="DS182" s="538"/>
      <c r="DT182" s="538"/>
      <c r="DU182" s="538"/>
      <c r="DV182" s="538"/>
      <c r="DW182" s="538"/>
      <c r="DX182" s="538"/>
      <c r="DY182" s="538"/>
      <c r="DZ182" s="538"/>
      <c r="EA182" s="538"/>
      <c r="EB182" s="538"/>
      <c r="EC182" s="538"/>
      <c r="ED182" s="538"/>
      <c r="EE182" s="538"/>
      <c r="EF182" s="538"/>
      <c r="EG182" s="538"/>
      <c r="EH182" s="538"/>
      <c r="EI182" s="538"/>
      <c r="EJ182" s="538"/>
      <c r="EK182" s="538"/>
      <c r="EL182" s="538"/>
      <c r="EM182" s="538"/>
      <c r="EN182" s="538"/>
      <c r="EO182" s="538"/>
      <c r="EP182" s="538"/>
      <c r="EQ182" s="538"/>
      <c r="ER182" s="538"/>
      <c r="ES182" s="538"/>
      <c r="ET182" s="538"/>
      <c r="EU182" s="538"/>
      <c r="EV182" s="538"/>
      <c r="EW182" s="538"/>
      <c r="EX182" s="559"/>
      <c r="EY182" s="559"/>
      <c r="EZ182" s="559"/>
      <c r="FA182" s="559"/>
      <c r="FB182" s="559"/>
      <c r="FC182" s="559"/>
      <c r="FD182" s="559"/>
      <c r="FE182" s="559"/>
      <c r="FF182" s="559"/>
      <c r="FG182" s="559"/>
      <c r="FH182" s="559"/>
      <c r="FI182" s="559"/>
      <c r="FJ182" s="559"/>
      <c r="FK182" s="559"/>
      <c r="FL182" s="559"/>
      <c r="FM182" s="559"/>
      <c r="FN182" s="559"/>
      <c r="FO182" s="559"/>
      <c r="FP182" s="559"/>
      <c r="FQ182" s="559"/>
      <c r="FR182" s="559"/>
      <c r="FS182" s="559"/>
      <c r="FT182" s="559"/>
      <c r="FU182" s="559"/>
      <c r="FV182" s="559"/>
      <c r="FW182" s="559"/>
      <c r="FX182" s="559"/>
      <c r="FY182" s="559"/>
      <c r="FZ182" s="559"/>
      <c r="GA182" s="559"/>
      <c r="GB182" s="559"/>
      <c r="GC182" s="559"/>
      <c r="GD182" s="559"/>
      <c r="GE182" s="559"/>
      <c r="GF182" s="559"/>
      <c r="GG182" s="559"/>
      <c r="GH182" s="559"/>
    </row>
    <row r="183">
      <c r="A183" s="538"/>
      <c r="B183" s="156"/>
      <c r="C183" s="444"/>
      <c r="D183" s="614"/>
      <c r="E183" s="66"/>
      <c r="F183" s="642"/>
      <c r="G183" s="642"/>
      <c r="H183" s="615"/>
      <c r="I183" s="616" t="s">
        <v>365</v>
      </c>
      <c r="J183" s="624"/>
      <c r="K183" s="643"/>
      <c r="L183" s="640"/>
      <c r="M183" s="625"/>
      <c r="N183" s="617"/>
      <c r="O183" s="134"/>
      <c r="P183" s="57"/>
      <c r="Q183" s="57"/>
      <c r="S183" s="605"/>
      <c r="U183" s="573"/>
      <c r="V183" s="574"/>
      <c r="W183" s="618"/>
      <c r="X183" s="576">
        <v>0.0</v>
      </c>
      <c r="Y183" s="630">
        <v>0.0</v>
      </c>
      <c r="Z183" s="630" t="s">
        <v>365</v>
      </c>
      <c r="AA183" s="631" t="b">
        <v>0</v>
      </c>
      <c r="AB183" s="631"/>
      <c r="AC183" s="576"/>
      <c r="AD183" s="479">
        <v>0.0</v>
      </c>
      <c r="AE183" s="632"/>
      <c r="AF183" s="582" t="s">
        <v>365</v>
      </c>
      <c r="AG183" s="583"/>
      <c r="AH183" s="584"/>
      <c r="AI183" s="583"/>
      <c r="AJ183" s="585"/>
      <c r="AK183" s="583"/>
      <c r="AL183" s="584"/>
      <c r="AM183" s="583"/>
      <c r="AN183" s="585"/>
      <c r="AO183" s="583"/>
      <c r="AP183" s="584"/>
      <c r="AQ183" s="583"/>
      <c r="AR183" s="585"/>
      <c r="AS183" s="583"/>
      <c r="AT183" s="584"/>
      <c r="AU183" s="583"/>
      <c r="AV183" s="585"/>
      <c r="AW183" s="583"/>
      <c r="AX183" s="584"/>
      <c r="AY183" s="583"/>
      <c r="AZ183" s="585"/>
      <c r="BA183" s="583"/>
      <c r="BB183" s="584"/>
      <c r="BC183" s="583"/>
      <c r="BD183" s="585"/>
      <c r="BE183" s="583"/>
      <c r="BF183" s="584"/>
      <c r="BG183" s="583"/>
      <c r="BH183" s="585"/>
      <c r="BI183" s="583"/>
      <c r="BJ183" s="584"/>
      <c r="BK183" s="583"/>
      <c r="BL183" s="585"/>
      <c r="BM183" s="583"/>
      <c r="BN183" s="584"/>
      <c r="BO183" s="583"/>
      <c r="BP183" s="585"/>
      <c r="BQ183" s="583"/>
      <c r="BR183" s="584"/>
      <c r="BS183" s="583"/>
      <c r="BT183" s="586"/>
      <c r="BU183" s="540"/>
      <c r="BV183" s="540"/>
      <c r="BW183" s="540"/>
      <c r="BX183" s="538"/>
      <c r="BY183" s="538"/>
      <c r="BZ183" s="592"/>
      <c r="CA183" s="633"/>
      <c r="CB183" s="592" t="s">
        <v>365</v>
      </c>
      <c r="CC183" s="592">
        <v>0.0</v>
      </c>
      <c r="CD183" s="592" t="s">
        <v>365</v>
      </c>
      <c r="CE183" s="592">
        <v>0.0</v>
      </c>
      <c r="CF183" s="592"/>
      <c r="CG183" s="592">
        <v>0.0</v>
      </c>
      <c r="CH183" s="592"/>
      <c r="CI183" s="633"/>
      <c r="CJ183" s="592">
        <v>0.0</v>
      </c>
      <c r="CK183" s="479" t="s">
        <v>365</v>
      </c>
      <c r="CL183" s="592"/>
      <c r="CM183" s="593"/>
      <c r="CN183" s="538"/>
      <c r="CO183" s="538"/>
      <c r="CP183" s="538"/>
      <c r="CQ183" s="538"/>
      <c r="CR183" s="538"/>
      <c r="CS183" s="538"/>
      <c r="CT183" s="538"/>
      <c r="CU183" s="538"/>
      <c r="CV183" s="538"/>
      <c r="CW183" s="538"/>
      <c r="CX183" s="538"/>
      <c r="CY183" s="538"/>
      <c r="CZ183" s="538"/>
      <c r="DA183" s="538"/>
      <c r="DB183" s="538"/>
      <c r="DC183" s="538"/>
      <c r="DD183" s="538"/>
      <c r="DE183" s="538"/>
      <c r="DF183" s="538"/>
      <c r="DG183" s="538"/>
      <c r="DH183" s="538"/>
      <c r="DI183" s="538"/>
      <c r="DJ183" s="538"/>
      <c r="DK183" s="538"/>
      <c r="DL183" s="538"/>
      <c r="DM183" s="538"/>
      <c r="DN183" s="538"/>
      <c r="DO183" s="538"/>
      <c r="DP183" s="538"/>
      <c r="DQ183" s="538"/>
      <c r="DR183" s="538"/>
      <c r="DS183" s="538"/>
      <c r="DT183" s="538"/>
      <c r="DU183" s="538"/>
      <c r="DV183" s="538"/>
      <c r="DW183" s="538"/>
      <c r="DX183" s="538"/>
      <c r="DY183" s="538"/>
      <c r="DZ183" s="538"/>
      <c r="EA183" s="538"/>
      <c r="EB183" s="538"/>
      <c r="EC183" s="538"/>
      <c r="ED183" s="538"/>
      <c r="EE183" s="538"/>
      <c r="EF183" s="538"/>
      <c r="EG183" s="538"/>
      <c r="EH183" s="538"/>
      <c r="EI183" s="538"/>
      <c r="EJ183" s="538"/>
      <c r="EK183" s="538"/>
      <c r="EL183" s="538"/>
      <c r="EM183" s="538"/>
      <c r="EN183" s="538"/>
      <c r="EO183" s="538"/>
      <c r="EP183" s="538"/>
      <c r="EQ183" s="538"/>
      <c r="ER183" s="538"/>
      <c r="ES183" s="538"/>
      <c r="ET183" s="538"/>
      <c r="EU183" s="538"/>
      <c r="EV183" s="538"/>
      <c r="EW183" s="538"/>
      <c r="EX183" s="559"/>
      <c r="EY183" s="559"/>
      <c r="EZ183" s="559"/>
      <c r="FA183" s="559"/>
      <c r="FB183" s="559"/>
      <c r="FC183" s="559"/>
      <c r="FD183" s="559"/>
      <c r="FE183" s="559"/>
      <c r="FF183" s="559"/>
      <c r="FG183" s="559"/>
      <c r="FH183" s="559"/>
      <c r="FI183" s="559"/>
      <c r="FJ183" s="559"/>
      <c r="FK183" s="559"/>
      <c r="FL183" s="559"/>
      <c r="FM183" s="559"/>
      <c r="FN183" s="559"/>
      <c r="FO183" s="559"/>
      <c r="FP183" s="559"/>
      <c r="FQ183" s="559"/>
      <c r="FR183" s="559"/>
      <c r="FS183" s="559"/>
      <c r="FT183" s="559"/>
      <c r="FU183" s="559"/>
      <c r="FV183" s="559"/>
      <c r="FW183" s="559"/>
      <c r="FX183" s="559"/>
      <c r="FY183" s="559"/>
      <c r="FZ183" s="559"/>
      <c r="GA183" s="559"/>
      <c r="GB183" s="559"/>
      <c r="GC183" s="559"/>
      <c r="GD183" s="559"/>
      <c r="GE183" s="559"/>
      <c r="GF183" s="559"/>
      <c r="GG183" s="559"/>
      <c r="GH183" s="559"/>
    </row>
    <row r="184">
      <c r="A184" s="538"/>
      <c r="B184" s="156"/>
      <c r="C184" s="444"/>
      <c r="D184" s="614"/>
      <c r="E184" s="68"/>
      <c r="F184" s="644"/>
      <c r="G184" s="644"/>
      <c r="H184" s="627"/>
      <c r="I184" s="622" t="s">
        <v>365</v>
      </c>
      <c r="J184" s="607"/>
      <c r="K184" s="641"/>
      <c r="L184" s="628"/>
      <c r="M184" s="626"/>
      <c r="N184" s="619"/>
      <c r="O184" s="560"/>
      <c r="P184" s="47"/>
      <c r="Q184" s="47"/>
      <c r="S184" s="572"/>
      <c r="U184" s="573"/>
      <c r="V184" s="574"/>
      <c r="W184" s="618"/>
      <c r="X184" s="576">
        <v>0.0</v>
      </c>
      <c r="Y184" s="630">
        <v>0.0</v>
      </c>
      <c r="Z184" s="630" t="s">
        <v>365</v>
      </c>
      <c r="AA184" s="631" t="b">
        <v>0</v>
      </c>
      <c r="AB184" s="631"/>
      <c r="AC184" s="576"/>
      <c r="AD184" s="479">
        <v>0.0</v>
      </c>
      <c r="AE184" s="632"/>
      <c r="AF184" s="582" t="s">
        <v>365</v>
      </c>
      <c r="AG184" s="583"/>
      <c r="AH184" s="584"/>
      <c r="AI184" s="583"/>
      <c r="AJ184" s="585"/>
      <c r="AK184" s="583"/>
      <c r="AL184" s="584"/>
      <c r="AM184" s="583"/>
      <c r="AN184" s="585"/>
      <c r="AO184" s="583"/>
      <c r="AP184" s="584"/>
      <c r="AQ184" s="583"/>
      <c r="AR184" s="585"/>
      <c r="AS184" s="583"/>
      <c r="AT184" s="584"/>
      <c r="AU184" s="583"/>
      <c r="AV184" s="585"/>
      <c r="AW184" s="583"/>
      <c r="AX184" s="584"/>
      <c r="AY184" s="583"/>
      <c r="AZ184" s="585"/>
      <c r="BA184" s="583"/>
      <c r="BB184" s="584"/>
      <c r="BC184" s="583"/>
      <c r="BD184" s="585"/>
      <c r="BE184" s="583"/>
      <c r="BF184" s="584"/>
      <c r="BG184" s="583"/>
      <c r="BH184" s="585"/>
      <c r="BI184" s="583"/>
      <c r="BJ184" s="584"/>
      <c r="BK184" s="583"/>
      <c r="BL184" s="585"/>
      <c r="BM184" s="583"/>
      <c r="BN184" s="584"/>
      <c r="BO184" s="583"/>
      <c r="BP184" s="585"/>
      <c r="BQ184" s="583"/>
      <c r="BR184" s="584"/>
      <c r="BS184" s="583"/>
      <c r="BT184" s="586"/>
      <c r="BU184" s="540"/>
      <c r="BV184" s="540"/>
      <c r="BW184" s="540"/>
      <c r="BX184" s="538"/>
      <c r="BY184" s="538"/>
      <c r="BZ184" s="592"/>
      <c r="CA184" s="633"/>
      <c r="CB184" s="592" t="s">
        <v>365</v>
      </c>
      <c r="CC184" s="592">
        <v>0.0</v>
      </c>
      <c r="CD184" s="592" t="s">
        <v>365</v>
      </c>
      <c r="CE184" s="592">
        <v>0.0</v>
      </c>
      <c r="CF184" s="592"/>
      <c r="CG184" s="592">
        <v>0.0</v>
      </c>
      <c r="CH184" s="592"/>
      <c r="CI184" s="633"/>
      <c r="CJ184" s="592">
        <v>0.0</v>
      </c>
      <c r="CK184" s="479" t="s">
        <v>365</v>
      </c>
      <c r="CL184" s="592"/>
      <c r="CM184" s="593"/>
      <c r="CN184" s="538"/>
      <c r="CO184" s="538"/>
      <c r="CP184" s="538"/>
      <c r="CQ184" s="538"/>
      <c r="CR184" s="538"/>
      <c r="CS184" s="538"/>
      <c r="CT184" s="538"/>
      <c r="CU184" s="538"/>
      <c r="CV184" s="538"/>
      <c r="CW184" s="538"/>
      <c r="CX184" s="538"/>
      <c r="CY184" s="538"/>
      <c r="CZ184" s="538"/>
      <c r="DA184" s="538"/>
      <c r="DB184" s="538"/>
      <c r="DC184" s="538"/>
      <c r="DD184" s="538"/>
      <c r="DE184" s="538"/>
      <c r="DF184" s="538"/>
      <c r="DG184" s="538"/>
      <c r="DH184" s="538"/>
      <c r="DI184" s="538"/>
      <c r="DJ184" s="538"/>
      <c r="DK184" s="538"/>
      <c r="DL184" s="538"/>
      <c r="DM184" s="538"/>
      <c r="DN184" s="538"/>
      <c r="DO184" s="538"/>
      <c r="DP184" s="538"/>
      <c r="DQ184" s="538"/>
      <c r="DR184" s="538"/>
      <c r="DS184" s="538"/>
      <c r="DT184" s="538"/>
      <c r="DU184" s="538"/>
      <c r="DV184" s="538"/>
      <c r="DW184" s="538"/>
      <c r="DX184" s="538"/>
      <c r="DY184" s="538"/>
      <c r="DZ184" s="538"/>
      <c r="EA184" s="538"/>
      <c r="EB184" s="538"/>
      <c r="EC184" s="538"/>
      <c r="ED184" s="538"/>
      <c r="EE184" s="538"/>
      <c r="EF184" s="538"/>
      <c r="EG184" s="538"/>
      <c r="EH184" s="538"/>
      <c r="EI184" s="538"/>
      <c r="EJ184" s="538"/>
      <c r="EK184" s="538"/>
      <c r="EL184" s="538"/>
      <c r="EM184" s="538"/>
      <c r="EN184" s="538"/>
      <c r="EO184" s="538"/>
      <c r="EP184" s="538"/>
      <c r="EQ184" s="538"/>
      <c r="ER184" s="538"/>
      <c r="ES184" s="538"/>
      <c r="ET184" s="538"/>
      <c r="EU184" s="538"/>
      <c r="EV184" s="538"/>
      <c r="EW184" s="538"/>
      <c r="EX184" s="559"/>
      <c r="EY184" s="559"/>
      <c r="EZ184" s="559"/>
      <c r="FA184" s="559"/>
      <c r="FB184" s="559"/>
      <c r="FC184" s="559"/>
      <c r="FD184" s="559"/>
      <c r="FE184" s="559"/>
      <c r="FF184" s="559"/>
      <c r="FG184" s="559"/>
      <c r="FH184" s="559"/>
      <c r="FI184" s="559"/>
      <c r="FJ184" s="559"/>
      <c r="FK184" s="559"/>
      <c r="FL184" s="559"/>
      <c r="FM184" s="559"/>
      <c r="FN184" s="559"/>
      <c r="FO184" s="559"/>
      <c r="FP184" s="559"/>
      <c r="FQ184" s="559"/>
      <c r="FR184" s="559"/>
      <c r="FS184" s="559"/>
      <c r="FT184" s="559"/>
      <c r="FU184" s="559"/>
      <c r="FV184" s="559"/>
      <c r="FW184" s="559"/>
      <c r="FX184" s="559"/>
      <c r="FY184" s="559"/>
      <c r="FZ184" s="559"/>
      <c r="GA184" s="559"/>
      <c r="GB184" s="559"/>
      <c r="GC184" s="559"/>
      <c r="GD184" s="559"/>
      <c r="GE184" s="559"/>
      <c r="GF184" s="559"/>
      <c r="GG184" s="559"/>
      <c r="GH184" s="559"/>
    </row>
    <row r="185">
      <c r="A185" s="538"/>
      <c r="B185" s="156"/>
      <c r="C185" s="444"/>
      <c r="D185" s="614"/>
      <c r="E185" s="66"/>
      <c r="F185" s="642"/>
      <c r="G185" s="642"/>
      <c r="H185" s="615"/>
      <c r="I185" s="616" t="s">
        <v>365</v>
      </c>
      <c r="J185" s="624"/>
      <c r="K185" s="643"/>
      <c r="L185" s="640"/>
      <c r="M185" s="625"/>
      <c r="N185" s="617"/>
      <c r="O185" s="134"/>
      <c r="P185" s="57"/>
      <c r="Q185" s="57"/>
      <c r="S185" s="605"/>
      <c r="U185" s="573"/>
      <c r="V185" s="574"/>
      <c r="W185" s="618"/>
      <c r="X185" s="576">
        <v>0.0</v>
      </c>
      <c r="Y185" s="630">
        <v>0.0</v>
      </c>
      <c r="Z185" s="630" t="s">
        <v>365</v>
      </c>
      <c r="AA185" s="631" t="b">
        <v>0</v>
      </c>
      <c r="AB185" s="631"/>
      <c r="AC185" s="576"/>
      <c r="AD185" s="479">
        <v>0.0</v>
      </c>
      <c r="AE185" s="632"/>
      <c r="AF185" s="582" t="s">
        <v>365</v>
      </c>
      <c r="AG185" s="583"/>
      <c r="AH185" s="584"/>
      <c r="AI185" s="583"/>
      <c r="AJ185" s="585"/>
      <c r="AK185" s="583"/>
      <c r="AL185" s="584"/>
      <c r="AM185" s="583"/>
      <c r="AN185" s="585"/>
      <c r="AO185" s="583"/>
      <c r="AP185" s="584"/>
      <c r="AQ185" s="583"/>
      <c r="AR185" s="585"/>
      <c r="AS185" s="583"/>
      <c r="AT185" s="584"/>
      <c r="AU185" s="583"/>
      <c r="AV185" s="585"/>
      <c r="AW185" s="583"/>
      <c r="AX185" s="584"/>
      <c r="AY185" s="583"/>
      <c r="AZ185" s="585"/>
      <c r="BA185" s="583"/>
      <c r="BB185" s="584"/>
      <c r="BC185" s="583"/>
      <c r="BD185" s="585"/>
      <c r="BE185" s="583"/>
      <c r="BF185" s="584"/>
      <c r="BG185" s="583"/>
      <c r="BH185" s="585"/>
      <c r="BI185" s="583"/>
      <c r="BJ185" s="584"/>
      <c r="BK185" s="583"/>
      <c r="BL185" s="585"/>
      <c r="BM185" s="583"/>
      <c r="BN185" s="584"/>
      <c r="BO185" s="583"/>
      <c r="BP185" s="585"/>
      <c r="BQ185" s="583"/>
      <c r="BR185" s="584"/>
      <c r="BS185" s="583"/>
      <c r="BT185" s="586"/>
      <c r="BU185" s="540"/>
      <c r="BV185" s="540"/>
      <c r="BW185" s="540"/>
      <c r="BX185" s="538"/>
      <c r="BY185" s="538"/>
      <c r="BZ185" s="592"/>
      <c r="CA185" s="633"/>
      <c r="CB185" s="592" t="s">
        <v>365</v>
      </c>
      <c r="CC185" s="592">
        <v>0.0</v>
      </c>
      <c r="CD185" s="592" t="s">
        <v>365</v>
      </c>
      <c r="CE185" s="592">
        <v>0.0</v>
      </c>
      <c r="CF185" s="592"/>
      <c r="CG185" s="592">
        <v>0.0</v>
      </c>
      <c r="CH185" s="592"/>
      <c r="CI185" s="633"/>
      <c r="CJ185" s="592">
        <v>0.0</v>
      </c>
      <c r="CK185" s="479" t="s">
        <v>365</v>
      </c>
      <c r="CL185" s="592"/>
      <c r="CM185" s="593"/>
      <c r="CN185" s="538"/>
      <c r="CO185" s="538"/>
      <c r="CP185" s="538"/>
      <c r="CQ185" s="538"/>
      <c r="CR185" s="538"/>
      <c r="CS185" s="538"/>
      <c r="CT185" s="538"/>
      <c r="CU185" s="538"/>
      <c r="CV185" s="538"/>
      <c r="CW185" s="538"/>
      <c r="CX185" s="538"/>
      <c r="CY185" s="538"/>
      <c r="CZ185" s="538"/>
      <c r="DA185" s="538"/>
      <c r="DB185" s="538"/>
      <c r="DC185" s="538"/>
      <c r="DD185" s="538"/>
      <c r="DE185" s="538"/>
      <c r="DF185" s="538"/>
      <c r="DG185" s="538"/>
      <c r="DH185" s="538"/>
      <c r="DI185" s="538"/>
      <c r="DJ185" s="538"/>
      <c r="DK185" s="538"/>
      <c r="DL185" s="538"/>
      <c r="DM185" s="538"/>
      <c r="DN185" s="538"/>
      <c r="DO185" s="538"/>
      <c r="DP185" s="538"/>
      <c r="DQ185" s="538"/>
      <c r="DR185" s="538"/>
      <c r="DS185" s="538"/>
      <c r="DT185" s="538"/>
      <c r="DU185" s="538"/>
      <c r="DV185" s="538"/>
      <c r="DW185" s="538"/>
      <c r="DX185" s="538"/>
      <c r="DY185" s="538"/>
      <c r="DZ185" s="538"/>
      <c r="EA185" s="538"/>
      <c r="EB185" s="538"/>
      <c r="EC185" s="538"/>
      <c r="ED185" s="538"/>
      <c r="EE185" s="538"/>
      <c r="EF185" s="538"/>
      <c r="EG185" s="538"/>
      <c r="EH185" s="538"/>
      <c r="EI185" s="538"/>
      <c r="EJ185" s="538"/>
      <c r="EK185" s="538"/>
      <c r="EL185" s="538"/>
      <c r="EM185" s="538"/>
      <c r="EN185" s="538"/>
      <c r="EO185" s="538"/>
      <c r="EP185" s="538"/>
      <c r="EQ185" s="538"/>
      <c r="ER185" s="538"/>
      <c r="ES185" s="538"/>
      <c r="ET185" s="538"/>
      <c r="EU185" s="538"/>
      <c r="EV185" s="538"/>
      <c r="EW185" s="538"/>
      <c r="EX185" s="559"/>
      <c r="EY185" s="559"/>
      <c r="EZ185" s="559"/>
      <c r="FA185" s="559"/>
      <c r="FB185" s="559"/>
      <c r="FC185" s="559"/>
      <c r="FD185" s="559"/>
      <c r="FE185" s="559"/>
      <c r="FF185" s="559"/>
      <c r="FG185" s="559"/>
      <c r="FH185" s="559"/>
      <c r="FI185" s="559"/>
      <c r="FJ185" s="559"/>
      <c r="FK185" s="559"/>
      <c r="FL185" s="559"/>
      <c r="FM185" s="559"/>
      <c r="FN185" s="559"/>
      <c r="FO185" s="559"/>
      <c r="FP185" s="559"/>
      <c r="FQ185" s="559"/>
      <c r="FR185" s="559"/>
      <c r="FS185" s="559"/>
      <c r="FT185" s="559"/>
      <c r="FU185" s="559"/>
      <c r="FV185" s="559"/>
      <c r="FW185" s="559"/>
      <c r="FX185" s="559"/>
      <c r="FY185" s="559"/>
      <c r="FZ185" s="559"/>
      <c r="GA185" s="559"/>
      <c r="GB185" s="559"/>
      <c r="GC185" s="559"/>
      <c r="GD185" s="559"/>
      <c r="GE185" s="559"/>
      <c r="GF185" s="559"/>
      <c r="GG185" s="559"/>
      <c r="GH185" s="559"/>
    </row>
    <row r="186">
      <c r="A186" s="538"/>
      <c r="B186" s="156"/>
      <c r="C186" s="444"/>
      <c r="D186" s="614"/>
      <c r="E186" s="68"/>
      <c r="F186" s="644"/>
      <c r="G186" s="644"/>
      <c r="H186" s="627"/>
      <c r="I186" s="622" t="s">
        <v>365</v>
      </c>
      <c r="J186" s="607"/>
      <c r="K186" s="641"/>
      <c r="L186" s="628"/>
      <c r="M186" s="626"/>
      <c r="N186" s="619"/>
      <c r="O186" s="560"/>
      <c r="P186" s="47"/>
      <c r="Q186" s="47"/>
      <c r="S186" s="572"/>
      <c r="U186" s="573"/>
      <c r="V186" s="574"/>
      <c r="W186" s="618"/>
      <c r="X186" s="576">
        <v>0.0</v>
      </c>
      <c r="Y186" s="630">
        <v>0.0</v>
      </c>
      <c r="Z186" s="630" t="s">
        <v>365</v>
      </c>
      <c r="AA186" s="631" t="b">
        <v>0</v>
      </c>
      <c r="AB186" s="631"/>
      <c r="AC186" s="576"/>
      <c r="AD186" s="479">
        <v>0.0</v>
      </c>
      <c r="AE186" s="632"/>
      <c r="AF186" s="582" t="s">
        <v>365</v>
      </c>
      <c r="AG186" s="583"/>
      <c r="AH186" s="584"/>
      <c r="AI186" s="583"/>
      <c r="AJ186" s="585"/>
      <c r="AK186" s="583"/>
      <c r="AL186" s="584"/>
      <c r="AM186" s="583"/>
      <c r="AN186" s="585"/>
      <c r="AO186" s="583"/>
      <c r="AP186" s="584"/>
      <c r="AQ186" s="583"/>
      <c r="AR186" s="585"/>
      <c r="AS186" s="583"/>
      <c r="AT186" s="584"/>
      <c r="AU186" s="583"/>
      <c r="AV186" s="585"/>
      <c r="AW186" s="583"/>
      <c r="AX186" s="584"/>
      <c r="AY186" s="583"/>
      <c r="AZ186" s="585"/>
      <c r="BA186" s="583"/>
      <c r="BB186" s="584"/>
      <c r="BC186" s="583"/>
      <c r="BD186" s="585"/>
      <c r="BE186" s="583"/>
      <c r="BF186" s="584"/>
      <c r="BG186" s="583"/>
      <c r="BH186" s="585"/>
      <c r="BI186" s="583"/>
      <c r="BJ186" s="584"/>
      <c r="BK186" s="583"/>
      <c r="BL186" s="585"/>
      <c r="BM186" s="583"/>
      <c r="BN186" s="584"/>
      <c r="BO186" s="583"/>
      <c r="BP186" s="585"/>
      <c r="BQ186" s="583"/>
      <c r="BR186" s="584"/>
      <c r="BS186" s="583"/>
      <c r="BT186" s="586"/>
      <c r="BU186" s="540"/>
      <c r="BV186" s="540"/>
      <c r="BW186" s="540"/>
      <c r="BX186" s="538"/>
      <c r="BY186" s="538"/>
      <c r="BZ186" s="592"/>
      <c r="CA186" s="633"/>
      <c r="CB186" s="592" t="s">
        <v>365</v>
      </c>
      <c r="CC186" s="592">
        <v>0.0</v>
      </c>
      <c r="CD186" s="592" t="s">
        <v>365</v>
      </c>
      <c r="CE186" s="592">
        <v>0.0</v>
      </c>
      <c r="CF186" s="592"/>
      <c r="CG186" s="592">
        <v>0.0</v>
      </c>
      <c r="CH186" s="592"/>
      <c r="CI186" s="633"/>
      <c r="CJ186" s="592">
        <v>0.0</v>
      </c>
      <c r="CK186" s="479" t="s">
        <v>365</v>
      </c>
      <c r="CL186" s="592"/>
      <c r="CM186" s="593"/>
      <c r="CN186" s="538"/>
      <c r="CO186" s="538"/>
      <c r="CP186" s="538"/>
      <c r="CQ186" s="538"/>
      <c r="CR186" s="538"/>
      <c r="CS186" s="538"/>
      <c r="CT186" s="538"/>
      <c r="CU186" s="538"/>
      <c r="CV186" s="538"/>
      <c r="CW186" s="538"/>
      <c r="CX186" s="538"/>
      <c r="CY186" s="538"/>
      <c r="CZ186" s="538"/>
      <c r="DA186" s="538"/>
      <c r="DB186" s="538"/>
      <c r="DC186" s="538"/>
      <c r="DD186" s="538"/>
      <c r="DE186" s="538"/>
      <c r="DF186" s="538"/>
      <c r="DG186" s="538"/>
      <c r="DH186" s="538"/>
      <c r="DI186" s="538"/>
      <c r="DJ186" s="538"/>
      <c r="DK186" s="538"/>
      <c r="DL186" s="538"/>
      <c r="DM186" s="538"/>
      <c r="DN186" s="538"/>
      <c r="DO186" s="538"/>
      <c r="DP186" s="538"/>
      <c r="DQ186" s="538"/>
      <c r="DR186" s="538"/>
      <c r="DS186" s="538"/>
      <c r="DT186" s="538"/>
      <c r="DU186" s="538"/>
      <c r="DV186" s="538"/>
      <c r="DW186" s="538"/>
      <c r="DX186" s="538"/>
      <c r="DY186" s="538"/>
      <c r="DZ186" s="538"/>
      <c r="EA186" s="538"/>
      <c r="EB186" s="538"/>
      <c r="EC186" s="538"/>
      <c r="ED186" s="538"/>
      <c r="EE186" s="538"/>
      <c r="EF186" s="538"/>
      <c r="EG186" s="538"/>
      <c r="EH186" s="538"/>
      <c r="EI186" s="538"/>
      <c r="EJ186" s="538"/>
      <c r="EK186" s="538"/>
      <c r="EL186" s="538"/>
      <c r="EM186" s="538"/>
      <c r="EN186" s="538"/>
      <c r="EO186" s="538"/>
      <c r="EP186" s="538"/>
      <c r="EQ186" s="538"/>
      <c r="ER186" s="538"/>
      <c r="ES186" s="538"/>
      <c r="ET186" s="538"/>
      <c r="EU186" s="538"/>
      <c r="EV186" s="538"/>
      <c r="EW186" s="538"/>
      <c r="EX186" s="559"/>
      <c r="EY186" s="559"/>
      <c r="EZ186" s="559"/>
      <c r="FA186" s="559"/>
      <c r="FB186" s="559"/>
      <c r="FC186" s="559"/>
      <c r="FD186" s="559"/>
      <c r="FE186" s="559"/>
      <c r="FF186" s="559"/>
      <c r="FG186" s="559"/>
      <c r="FH186" s="559"/>
      <c r="FI186" s="559"/>
      <c r="FJ186" s="559"/>
      <c r="FK186" s="559"/>
      <c r="FL186" s="559"/>
      <c r="FM186" s="559"/>
      <c r="FN186" s="559"/>
      <c r="FO186" s="559"/>
      <c r="FP186" s="559"/>
      <c r="FQ186" s="559"/>
      <c r="FR186" s="559"/>
      <c r="FS186" s="559"/>
      <c r="FT186" s="559"/>
      <c r="FU186" s="559"/>
      <c r="FV186" s="559"/>
      <c r="FW186" s="559"/>
      <c r="FX186" s="559"/>
      <c r="FY186" s="559"/>
      <c r="FZ186" s="559"/>
      <c r="GA186" s="559"/>
      <c r="GB186" s="559"/>
      <c r="GC186" s="559"/>
      <c r="GD186" s="559"/>
      <c r="GE186" s="559"/>
      <c r="GF186" s="559"/>
      <c r="GG186" s="559"/>
      <c r="GH186" s="559"/>
    </row>
    <row r="187">
      <c r="A187" s="538"/>
      <c r="B187" s="156"/>
      <c r="C187" s="444"/>
      <c r="D187" s="614"/>
      <c r="E187" s="645"/>
      <c r="F187" s="646"/>
      <c r="G187" s="646"/>
      <c r="H187" s="647"/>
      <c r="I187" s="648" t="s">
        <v>365</v>
      </c>
      <c r="J187" s="649"/>
      <c r="K187" s="650"/>
      <c r="L187" s="651"/>
      <c r="M187" s="652"/>
      <c r="N187" s="653"/>
      <c r="O187" s="654"/>
      <c r="P187" s="655"/>
      <c r="Q187" s="655"/>
      <c r="S187" s="605"/>
      <c r="U187" s="573"/>
      <c r="V187" s="574"/>
      <c r="W187" s="618"/>
      <c r="X187" s="576">
        <v>0.0</v>
      </c>
      <c r="Y187" s="630">
        <v>0.0</v>
      </c>
      <c r="Z187" s="630" t="s">
        <v>365</v>
      </c>
      <c r="AA187" s="631" t="b">
        <v>0</v>
      </c>
      <c r="AB187" s="631"/>
      <c r="AC187" s="576"/>
      <c r="AD187" s="479">
        <v>0.0</v>
      </c>
      <c r="AE187" s="632"/>
      <c r="AF187" s="656" t="s">
        <v>365</v>
      </c>
      <c r="AG187" s="583"/>
      <c r="AH187" s="584"/>
      <c r="AI187" s="583"/>
      <c r="AJ187" s="585"/>
      <c r="AK187" s="583"/>
      <c r="AL187" s="584"/>
      <c r="AM187" s="583"/>
      <c r="AN187" s="585"/>
      <c r="AO187" s="583"/>
      <c r="AP187" s="584"/>
      <c r="AQ187" s="583"/>
      <c r="AR187" s="585"/>
      <c r="AS187" s="583"/>
      <c r="AT187" s="584"/>
      <c r="AU187" s="583"/>
      <c r="AV187" s="585"/>
      <c r="AW187" s="583"/>
      <c r="AX187" s="584"/>
      <c r="AY187" s="583"/>
      <c r="AZ187" s="585"/>
      <c r="BA187" s="583"/>
      <c r="BB187" s="584"/>
      <c r="BC187" s="583"/>
      <c r="BD187" s="585"/>
      <c r="BE187" s="583"/>
      <c r="BF187" s="584"/>
      <c r="BG187" s="583"/>
      <c r="BH187" s="585"/>
      <c r="BI187" s="583"/>
      <c r="BJ187" s="584"/>
      <c r="BK187" s="583"/>
      <c r="BL187" s="585"/>
      <c r="BM187" s="583"/>
      <c r="BN187" s="584"/>
      <c r="BO187" s="583"/>
      <c r="BP187" s="585"/>
      <c r="BQ187" s="583"/>
      <c r="BR187" s="584"/>
      <c r="BS187" s="583"/>
      <c r="BT187" s="586"/>
      <c r="BU187" s="540"/>
      <c r="BV187" s="540"/>
      <c r="BW187" s="540"/>
      <c r="BX187" s="538"/>
      <c r="BY187" s="538"/>
      <c r="BZ187" s="592"/>
      <c r="CA187" s="633"/>
      <c r="CB187" s="592" t="s">
        <v>365</v>
      </c>
      <c r="CC187" s="592">
        <v>0.0</v>
      </c>
      <c r="CD187" s="592" t="s">
        <v>365</v>
      </c>
      <c r="CE187" s="592">
        <v>0.0</v>
      </c>
      <c r="CF187" s="592"/>
      <c r="CG187" s="592">
        <v>0.0</v>
      </c>
      <c r="CH187" s="592"/>
      <c r="CI187" s="633"/>
      <c r="CJ187" s="592">
        <v>0.0</v>
      </c>
      <c r="CK187" s="479" t="s">
        <v>365</v>
      </c>
      <c r="CL187" s="657"/>
      <c r="CM187" s="658"/>
      <c r="CN187" s="538"/>
      <c r="CO187" s="538"/>
      <c r="CP187" s="538"/>
      <c r="CQ187" s="538"/>
      <c r="CR187" s="538"/>
      <c r="CS187" s="538"/>
      <c r="CT187" s="538"/>
      <c r="CU187" s="538"/>
      <c r="CV187" s="538"/>
      <c r="CW187" s="538"/>
      <c r="CX187" s="538"/>
      <c r="CY187" s="538"/>
      <c r="CZ187" s="538"/>
      <c r="DA187" s="538"/>
      <c r="DB187" s="538"/>
      <c r="DC187" s="538"/>
      <c r="DD187" s="538"/>
      <c r="DE187" s="538"/>
      <c r="DF187" s="538"/>
      <c r="DG187" s="538"/>
      <c r="DH187" s="538"/>
      <c r="DI187" s="538"/>
      <c r="DJ187" s="538"/>
      <c r="DK187" s="538"/>
      <c r="DL187" s="538"/>
      <c r="DM187" s="538"/>
      <c r="DN187" s="538"/>
      <c r="DO187" s="538"/>
      <c r="DP187" s="538"/>
      <c r="DQ187" s="538"/>
      <c r="DR187" s="538"/>
      <c r="DS187" s="538"/>
      <c r="DT187" s="538"/>
      <c r="DU187" s="538"/>
      <c r="DV187" s="538"/>
      <c r="DW187" s="538"/>
      <c r="DX187" s="538"/>
      <c r="DY187" s="538"/>
      <c r="DZ187" s="538"/>
      <c r="EA187" s="538"/>
      <c r="EB187" s="538"/>
      <c r="EC187" s="538"/>
      <c r="ED187" s="538"/>
      <c r="EE187" s="538"/>
      <c r="EF187" s="538"/>
      <c r="EG187" s="538"/>
      <c r="EH187" s="538"/>
      <c r="EI187" s="538"/>
      <c r="EJ187" s="538"/>
      <c r="EK187" s="538"/>
      <c r="EL187" s="538"/>
      <c r="EM187" s="538"/>
      <c r="EN187" s="538"/>
      <c r="EO187" s="538"/>
      <c r="EP187" s="538"/>
      <c r="EQ187" s="538"/>
      <c r="ER187" s="538"/>
      <c r="ES187" s="538"/>
      <c r="ET187" s="538"/>
      <c r="EU187" s="538"/>
      <c r="EV187" s="538"/>
      <c r="EW187" s="538"/>
      <c r="EX187" s="559"/>
      <c r="EY187" s="559"/>
      <c r="EZ187" s="559"/>
      <c r="FA187" s="559"/>
      <c r="FB187" s="559"/>
      <c r="FC187" s="559"/>
      <c r="FD187" s="559"/>
      <c r="FE187" s="559"/>
      <c r="FF187" s="559"/>
      <c r="FG187" s="559"/>
      <c r="FH187" s="559"/>
      <c r="FI187" s="559"/>
      <c r="FJ187" s="559"/>
      <c r="FK187" s="559"/>
      <c r="FL187" s="559"/>
      <c r="FM187" s="559"/>
      <c r="FN187" s="559"/>
      <c r="FO187" s="559"/>
      <c r="FP187" s="559"/>
      <c r="FQ187" s="559"/>
      <c r="FR187" s="559"/>
      <c r="FS187" s="559"/>
      <c r="FT187" s="559"/>
      <c r="FU187" s="559"/>
      <c r="FV187" s="559"/>
      <c r="FW187" s="559"/>
      <c r="FX187" s="559"/>
      <c r="FY187" s="559"/>
      <c r="FZ187" s="559"/>
      <c r="GA187" s="559"/>
      <c r="GB187" s="559"/>
      <c r="GC187" s="559"/>
      <c r="GD187" s="559"/>
      <c r="GE187" s="559"/>
      <c r="GF187" s="559"/>
      <c r="GG187" s="559"/>
      <c r="GH187" s="559"/>
    </row>
  </sheetData>
  <mergeCells count="477">
    <mergeCell ref="AW8:AZ8"/>
    <mergeCell ref="BA8:BD8"/>
    <mergeCell ref="BE8:BH8"/>
    <mergeCell ref="BI8:BL8"/>
    <mergeCell ref="BM8:BQ8"/>
    <mergeCell ref="BR8:BT8"/>
    <mergeCell ref="BE9:BH9"/>
    <mergeCell ref="BI9:BL9"/>
    <mergeCell ref="BU8:BV8"/>
    <mergeCell ref="AG9:AJ9"/>
    <mergeCell ref="AK9:AN9"/>
    <mergeCell ref="AO9:AR9"/>
    <mergeCell ref="AS9:AV9"/>
    <mergeCell ref="AW9:AZ9"/>
    <mergeCell ref="BA9:BD9"/>
    <mergeCell ref="BM9:BQ9"/>
    <mergeCell ref="BS9:BT9"/>
    <mergeCell ref="AG10:AJ10"/>
    <mergeCell ref="AK10:AN10"/>
    <mergeCell ref="AO8:AR8"/>
    <mergeCell ref="AS8:AV8"/>
    <mergeCell ref="AO10:AR10"/>
    <mergeCell ref="AS10:AV10"/>
    <mergeCell ref="AW10:AZ10"/>
    <mergeCell ref="BA10:BD10"/>
    <mergeCell ref="BE10:BH10"/>
    <mergeCell ref="AG8:AJ8"/>
    <mergeCell ref="AK8:AN8"/>
    <mergeCell ref="AG11:AJ11"/>
    <mergeCell ref="AK11:AN11"/>
    <mergeCell ref="AO11:AR11"/>
    <mergeCell ref="AS11:AV11"/>
    <mergeCell ref="AW11:AZ11"/>
    <mergeCell ref="AG3:BW4"/>
    <mergeCell ref="AG5:BW5"/>
    <mergeCell ref="BE15:BH15"/>
    <mergeCell ref="BI15:BL15"/>
    <mergeCell ref="BS14:BT14"/>
    <mergeCell ref="AG15:AJ15"/>
    <mergeCell ref="AK15:AN15"/>
    <mergeCell ref="AO15:AR15"/>
    <mergeCell ref="AS15:AV15"/>
    <mergeCell ref="AW15:AZ15"/>
    <mergeCell ref="BA15:BD15"/>
    <mergeCell ref="BM15:BQ15"/>
    <mergeCell ref="BS15:BT15"/>
    <mergeCell ref="X1:AD15"/>
    <mergeCell ref="BZ1:CT5"/>
    <mergeCell ref="FZ1:GB1"/>
    <mergeCell ref="GC1:GE1"/>
    <mergeCell ref="GF1:GH1"/>
    <mergeCell ref="E2:F11"/>
    <mergeCell ref="GF2:GH2"/>
    <mergeCell ref="BI11:BL11"/>
    <mergeCell ref="BM11:BQ11"/>
    <mergeCell ref="BE12:BH12"/>
    <mergeCell ref="BI12:BL12"/>
    <mergeCell ref="BS11:BT11"/>
    <mergeCell ref="AG12:AJ12"/>
    <mergeCell ref="AK12:AN12"/>
    <mergeCell ref="AO12:AR12"/>
    <mergeCell ref="AS12:AV12"/>
    <mergeCell ref="AW12:AZ12"/>
    <mergeCell ref="BA12:BD12"/>
    <mergeCell ref="BM12:BQ12"/>
    <mergeCell ref="BS12:BT12"/>
    <mergeCell ref="AG13:AJ13"/>
    <mergeCell ref="AK13:AN13"/>
    <mergeCell ref="AO13:AR13"/>
    <mergeCell ref="AS13:AV13"/>
    <mergeCell ref="AW13:AZ13"/>
    <mergeCell ref="BA13:BD13"/>
    <mergeCell ref="AG1:BW1"/>
    <mergeCell ref="AG2:BW2"/>
    <mergeCell ref="FZ2:GB2"/>
    <mergeCell ref="GC2:GE2"/>
    <mergeCell ref="AG6:BQ7"/>
    <mergeCell ref="BR6:BW7"/>
    <mergeCell ref="CO6:CT6"/>
    <mergeCell ref="BZ7:CF7"/>
    <mergeCell ref="BI10:BL10"/>
    <mergeCell ref="BM10:BQ10"/>
    <mergeCell ref="BS10:BT10"/>
    <mergeCell ref="BA11:BD11"/>
    <mergeCell ref="BE11:BH11"/>
    <mergeCell ref="BE13:BH13"/>
    <mergeCell ref="BI13:BL13"/>
    <mergeCell ref="BM13:BQ13"/>
    <mergeCell ref="BS13:BT13"/>
    <mergeCell ref="BZ13:CB13"/>
    <mergeCell ref="AW16:AX16"/>
    <mergeCell ref="BA16:BB16"/>
    <mergeCell ref="BE16:BF16"/>
    <mergeCell ref="BI16:BJ16"/>
    <mergeCell ref="BM16:BO16"/>
    <mergeCell ref="J2:T2"/>
    <mergeCell ref="J3:T16"/>
    <mergeCell ref="X16:AC16"/>
    <mergeCell ref="AG16:AI16"/>
    <mergeCell ref="AK16:AL16"/>
    <mergeCell ref="AO16:AP16"/>
    <mergeCell ref="AS16:AT16"/>
    <mergeCell ref="BI14:BL14"/>
    <mergeCell ref="BM14:BQ14"/>
    <mergeCell ref="AG14:AJ14"/>
    <mergeCell ref="AK14:AN14"/>
    <mergeCell ref="AO14:AR14"/>
    <mergeCell ref="AS14:AV14"/>
    <mergeCell ref="AW14:AZ14"/>
    <mergeCell ref="BA14:BD14"/>
    <mergeCell ref="BE14:BH14"/>
    <mergeCell ref="AG17:AI17"/>
    <mergeCell ref="AK17:AL17"/>
    <mergeCell ref="E18:T18"/>
    <mergeCell ref="AG18:BW18"/>
    <mergeCell ref="E19:T20"/>
    <mergeCell ref="AG19:BW19"/>
    <mergeCell ref="BZ19:CF19"/>
    <mergeCell ref="AG20:BW20"/>
    <mergeCell ref="BZ20:CB20"/>
    <mergeCell ref="AM21:AP21"/>
    <mergeCell ref="AQ21:AT21"/>
    <mergeCell ref="AU21:AX21"/>
    <mergeCell ref="AY21:BB21"/>
    <mergeCell ref="BF21:BI21"/>
    <mergeCell ref="BZ21:CB21"/>
    <mergeCell ref="AU22:AX22"/>
    <mergeCell ref="AY22:BB22"/>
    <mergeCell ref="BC22:BE22"/>
    <mergeCell ref="BF22:BI22"/>
    <mergeCell ref="BJ22:BM22"/>
    <mergeCell ref="BN22:BQ22"/>
    <mergeCell ref="BZ22:CB22"/>
    <mergeCell ref="E28:E35"/>
    <mergeCell ref="F28:I35"/>
    <mergeCell ref="J28:M35"/>
    <mergeCell ref="N28:Q35"/>
    <mergeCell ref="R28:R35"/>
    <mergeCell ref="S28:S35"/>
    <mergeCell ref="T28:T35"/>
    <mergeCell ref="AS38:AV38"/>
    <mergeCell ref="AW38:AZ38"/>
    <mergeCell ref="BA38:BD38"/>
    <mergeCell ref="BE38:BH38"/>
    <mergeCell ref="BI38:BL38"/>
    <mergeCell ref="BM38:BP38"/>
    <mergeCell ref="BQ38:BT38"/>
    <mergeCell ref="CJ38:CM38"/>
    <mergeCell ref="E37:V37"/>
    <mergeCell ref="F38:P38"/>
    <mergeCell ref="U38:V38"/>
    <mergeCell ref="X38:AD38"/>
    <mergeCell ref="AG38:AJ38"/>
    <mergeCell ref="AK38:AN38"/>
    <mergeCell ref="AO38:AR38"/>
    <mergeCell ref="S186:T186"/>
    <mergeCell ref="S187:T187"/>
    <mergeCell ref="S179:T179"/>
    <mergeCell ref="S180:T180"/>
    <mergeCell ref="S181:T181"/>
    <mergeCell ref="S182:T182"/>
    <mergeCell ref="S183:T183"/>
    <mergeCell ref="S184:T184"/>
    <mergeCell ref="S185:T185"/>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BZ30:CB30"/>
    <mergeCell ref="BZ31:CB31"/>
    <mergeCell ref="BF27:BT27"/>
    <mergeCell ref="BF28:BT28"/>
    <mergeCell ref="BZ28:CB28"/>
    <mergeCell ref="BF29:BT29"/>
    <mergeCell ref="BZ29:CB29"/>
    <mergeCell ref="BF30:BT30"/>
    <mergeCell ref="BF31:BT31"/>
    <mergeCell ref="AM23:AP23"/>
    <mergeCell ref="AQ23:AT23"/>
    <mergeCell ref="AU23:AX23"/>
    <mergeCell ref="AY23:BB23"/>
    <mergeCell ref="BZ23:CB23"/>
    <mergeCell ref="BJ21:BM21"/>
    <mergeCell ref="BN21:BQ21"/>
    <mergeCell ref="E22:T24"/>
    <mergeCell ref="AG22:AH22"/>
    <mergeCell ref="AJ22:AL22"/>
    <mergeCell ref="AM22:AP22"/>
    <mergeCell ref="AQ22:AT22"/>
    <mergeCell ref="BC24:BE24"/>
    <mergeCell ref="AG24:AH24"/>
    <mergeCell ref="AJ24:AL24"/>
    <mergeCell ref="E25:T25"/>
    <mergeCell ref="E26:T26"/>
    <mergeCell ref="F27:I27"/>
    <mergeCell ref="K27:M27"/>
    <mergeCell ref="N27:Q27"/>
    <mergeCell ref="AU24:AX24"/>
    <mergeCell ref="AY24:BB24"/>
    <mergeCell ref="BZ24:CB24"/>
    <mergeCell ref="BZ25:CB25"/>
    <mergeCell ref="BF26:BT26"/>
    <mergeCell ref="BZ26:CB26"/>
    <mergeCell ref="BZ27:CB27"/>
    <mergeCell ref="AM24:AP24"/>
    <mergeCell ref="AQ24:AT24"/>
    <mergeCell ref="AM26:BB26"/>
    <mergeCell ref="AM27:BB27"/>
    <mergeCell ref="AM28:BB28"/>
    <mergeCell ref="AM29:BB29"/>
    <mergeCell ref="AM30:BB30"/>
    <mergeCell ref="AM31:BB31"/>
    <mergeCell ref="AM32:BT32"/>
    <mergeCell ref="BZ32:CB32"/>
    <mergeCell ref="AM33:BT34"/>
    <mergeCell ref="BZ33:CB33"/>
    <mergeCell ref="AF37:BS37"/>
    <mergeCell ref="BZ37:CM37"/>
    <mergeCell ref="K39:L39"/>
    <mergeCell ref="M39:N39"/>
    <mergeCell ref="Q39:R39"/>
    <mergeCell ref="S39:T39"/>
    <mergeCell ref="Q43:R43"/>
    <mergeCell ref="S43:T43"/>
    <mergeCell ref="S44:T44"/>
    <mergeCell ref="Q44:R44"/>
    <mergeCell ref="Q45:R45"/>
    <mergeCell ref="S45:T45"/>
    <mergeCell ref="Q46:R46"/>
    <mergeCell ref="S46:T46"/>
    <mergeCell ref="Q48:R48"/>
    <mergeCell ref="S48:T48"/>
    <mergeCell ref="Q49:R49"/>
    <mergeCell ref="S49:T49"/>
    <mergeCell ref="Q50:R50"/>
    <mergeCell ref="S50:T50"/>
    <mergeCell ref="Q51:R51"/>
    <mergeCell ref="S51:T51"/>
    <mergeCell ref="S52:T52"/>
    <mergeCell ref="S53:T53"/>
    <mergeCell ref="Q52:R52"/>
    <mergeCell ref="Q53:R53"/>
    <mergeCell ref="Q60:R60"/>
    <mergeCell ref="S60:T60"/>
    <mergeCell ref="Q62:R62"/>
    <mergeCell ref="S62:T62"/>
    <mergeCell ref="S64:T64"/>
    <mergeCell ref="Q64:R64"/>
    <mergeCell ref="Q65:R65"/>
    <mergeCell ref="Q67:R67"/>
    <mergeCell ref="Q69:R69"/>
    <mergeCell ref="Q70:R70"/>
    <mergeCell ref="Q71:R71"/>
    <mergeCell ref="Q72:R72"/>
    <mergeCell ref="S65:T65"/>
    <mergeCell ref="S67:T67"/>
    <mergeCell ref="S69:T69"/>
    <mergeCell ref="S70:T70"/>
    <mergeCell ref="S71:T71"/>
    <mergeCell ref="S72:T72"/>
    <mergeCell ref="S73:T73"/>
    <mergeCell ref="S74:T74"/>
    <mergeCell ref="S75:T75"/>
    <mergeCell ref="S76:T76"/>
    <mergeCell ref="S77:T77"/>
    <mergeCell ref="S78:T78"/>
    <mergeCell ref="S79:T79"/>
    <mergeCell ref="S80:T80"/>
    <mergeCell ref="Q73:R73"/>
    <mergeCell ref="Q74:R74"/>
    <mergeCell ref="Q75:R75"/>
    <mergeCell ref="Q76:R76"/>
    <mergeCell ref="Q77:R77"/>
    <mergeCell ref="Q78:R78"/>
    <mergeCell ref="Q79:R79"/>
    <mergeCell ref="Q80:R80"/>
    <mergeCell ref="Q81:R81"/>
    <mergeCell ref="Q82:R8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Q103:R103"/>
    <mergeCell ref="Q104:R104"/>
    <mergeCell ref="Q105:R105"/>
    <mergeCell ref="Q106:R106"/>
    <mergeCell ref="Q107:R107"/>
    <mergeCell ref="Q108:R108"/>
    <mergeCell ref="Q109:R109"/>
    <mergeCell ref="Q110:R110"/>
    <mergeCell ref="Q111:R111"/>
    <mergeCell ref="Q112:R112"/>
    <mergeCell ref="Q113:R113"/>
    <mergeCell ref="Q114:R114"/>
    <mergeCell ref="Q115:R115"/>
    <mergeCell ref="Q116:R116"/>
    <mergeCell ref="Q117:R117"/>
    <mergeCell ref="Q118:R118"/>
    <mergeCell ref="Q119:R119"/>
    <mergeCell ref="Q120:R120"/>
    <mergeCell ref="Q121:R121"/>
    <mergeCell ref="S81:T81"/>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Q171:R171"/>
    <mergeCell ref="Q172:R172"/>
    <mergeCell ref="Q173:R173"/>
    <mergeCell ref="Q174:R174"/>
    <mergeCell ref="Q175:R175"/>
    <mergeCell ref="Q176:R176"/>
    <mergeCell ref="Q177:R177"/>
    <mergeCell ref="Q185:R185"/>
    <mergeCell ref="Q186:R186"/>
    <mergeCell ref="Q187:R187"/>
    <mergeCell ref="Q178:R178"/>
    <mergeCell ref="Q179:R179"/>
    <mergeCell ref="Q180:R180"/>
    <mergeCell ref="Q181:R181"/>
    <mergeCell ref="Q182:R182"/>
    <mergeCell ref="Q183:R183"/>
    <mergeCell ref="Q184:R184"/>
    <mergeCell ref="Q122:R122"/>
    <mergeCell ref="Q123:R123"/>
    <mergeCell ref="Q124:R124"/>
    <mergeCell ref="Q125:R125"/>
    <mergeCell ref="Q126:R126"/>
    <mergeCell ref="Q127:R127"/>
    <mergeCell ref="Q128:R128"/>
    <mergeCell ref="Q129:R129"/>
    <mergeCell ref="Q130:R130"/>
    <mergeCell ref="Q131:R131"/>
    <mergeCell ref="Q132:R132"/>
    <mergeCell ref="Q133:R133"/>
    <mergeCell ref="Q134:R134"/>
    <mergeCell ref="Q135:R135"/>
    <mergeCell ref="Q136:R136"/>
    <mergeCell ref="Q137:R137"/>
    <mergeCell ref="Q138:R138"/>
    <mergeCell ref="Q139:R139"/>
    <mergeCell ref="Q140:R140"/>
    <mergeCell ref="Q141:R141"/>
    <mergeCell ref="Q142:R142"/>
    <mergeCell ref="Q143:R143"/>
    <mergeCell ref="Q144:R144"/>
    <mergeCell ref="Q145:R145"/>
    <mergeCell ref="Q146:R146"/>
    <mergeCell ref="Q147:R147"/>
    <mergeCell ref="Q148:R148"/>
    <mergeCell ref="Q149:R149"/>
    <mergeCell ref="Q150:R150"/>
    <mergeCell ref="Q151:R151"/>
    <mergeCell ref="Q152:R152"/>
    <mergeCell ref="Q153:R153"/>
    <mergeCell ref="Q154:R154"/>
    <mergeCell ref="Q155:R15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s>
  <conditionalFormatting sqref="BI16:BJ16">
    <cfRule type="colorScale" priority="1">
      <colorScale>
        <cfvo type="formula" val="1"/>
        <cfvo type="formula" val="5"/>
        <cfvo type="formula" val="10"/>
        <color rgb="FFEA4335"/>
        <color rgb="FFFBBC04"/>
        <color rgb="FF34A853"/>
      </colorScale>
    </cfRule>
  </conditionalFormatting>
  <conditionalFormatting sqref="AG9:AG18 AI9:BH18 BI16:BJ18">
    <cfRule type="colorScale" priority="2">
      <colorScale>
        <cfvo type="formula" val="1"/>
        <cfvo type="formula" val="4"/>
        <cfvo type="formula" val="7"/>
        <color rgb="FF34A853"/>
        <color rgb="FFFBBC04"/>
        <color rgb="FFFF0000"/>
      </colorScale>
    </cfRule>
  </conditionalFormatting>
  <conditionalFormatting sqref="AG9:AG18 AI9:BH18 BI16:BJ18">
    <cfRule type="colorScale" priority="3">
      <colorScale>
        <cfvo type="formula" val="1"/>
        <cfvo type="formula" val="4"/>
        <cfvo type="formula" val="7"/>
        <color rgb="FF34A853"/>
        <color rgb="FFFBBC04"/>
        <color rgb="FFEA4335"/>
      </colorScale>
    </cfRule>
  </conditionalFormatting>
  <conditionalFormatting sqref="BM9:BR15 BI16 BK16:BL16 BM17:BR17">
    <cfRule type="colorScale" priority="4">
      <colorScale>
        <cfvo type="formula" val="1"/>
        <cfvo type="formula" val="5"/>
        <cfvo type="formula" val="10"/>
        <color rgb="FFEA4335"/>
        <color rgb="FFFBBC04"/>
        <color rgb="FF34A853"/>
      </colorScale>
    </cfRule>
  </conditionalFormatting>
  <conditionalFormatting sqref="AK16:BE16">
    <cfRule type="colorScale" priority="5">
      <colorScale>
        <cfvo type="formula" val="1"/>
        <cfvo type="formula" val="4"/>
        <cfvo type="formula" val="7"/>
        <color rgb="FF34A853"/>
        <color rgb="FFFBBC04"/>
        <color rgb="FFFF0000"/>
      </colorScale>
    </cfRule>
  </conditionalFormatting>
  <conditionalFormatting sqref="B39:B187">
    <cfRule type="notContainsBlanks" dxfId="9" priority="6">
      <formula>LEN(TRIM(B39))&gt;0</formula>
    </cfRule>
  </conditionalFormatting>
  <conditionalFormatting sqref="AG40:AG187 AK40:AK187 AO40:AO187 AS40:AS187 AW40:AW43 BA40:BA187 BE40:BE187 BI40:BI187 BM40:BM187 BQ40:BQ187 AW45:AW187 AP51 AT51">
    <cfRule type="notContainsBlanks" dxfId="17" priority="7">
      <formula>LEN(TRIM(AG40))&gt;0</formula>
    </cfRule>
  </conditionalFormatting>
  <conditionalFormatting sqref="AH40:AH187 AL40:AL187 AP40:AP187 AT40:AT187 AX40:AX187 BB40:BB187 BF40:BF187 BJ40:BJ187 BN40:BN187 BR40:BR187 AQ51 AU51">
    <cfRule type="notContainsBlanks" dxfId="16" priority="8">
      <formula>LEN(TRIM(AH40))&gt;0</formula>
    </cfRule>
  </conditionalFormatting>
  <conditionalFormatting sqref="I40:I187">
    <cfRule type="cellIs" dxfId="41" priority="9" operator="equal">
      <formula>0</formula>
    </cfRule>
  </conditionalFormatting>
  <conditionalFormatting sqref="B39:B187 C40:V187 AF40:BT187">
    <cfRule type="expression" dxfId="9" priority="10">
      <formula>ArrayFormula(NOT(ISBLANK(B39:$B187)))</formula>
    </cfRule>
  </conditionalFormatting>
  <conditionalFormatting sqref="BZ40:CM187">
    <cfRule type="containsBlanks" dxfId="42" priority="11">
      <formula>LEN(TRIM(BZ40))=0</formula>
    </cfRule>
  </conditionalFormatting>
  <conditionalFormatting sqref="BZ40:CM187">
    <cfRule type="cellIs" dxfId="42" priority="12" operator="equal">
      <formula>0</formula>
    </cfRule>
  </conditionalFormatting>
  <conditionalFormatting sqref="X40:AF187">
    <cfRule type="cellIs" dxfId="42" priority="13" operator="equal">
      <formula>0</formula>
    </cfRule>
  </conditionalFormatting>
  <conditionalFormatting sqref="CC21:CE33 CF21:CG32 CH30:CH32">
    <cfRule type="cellIs" dxfId="19" priority="14" operator="equal">
      <formula>0</formula>
    </cfRule>
  </conditionalFormatting>
  <conditionalFormatting sqref="BI9:BN15">
    <cfRule type="colorScale" priority="15">
      <colorScale>
        <cfvo type="formula" val="1"/>
        <cfvo type="formula" val="5"/>
        <cfvo type="formula" val="10"/>
        <color rgb="FFEA4335"/>
        <color rgb="FFFBBC04"/>
        <color rgb="FF34A853"/>
      </colorScale>
    </cfRule>
  </conditionalFormatting>
  <conditionalFormatting sqref="BM16:BR16">
    <cfRule type="colorScale" priority="16">
      <colorScale>
        <cfvo type="formula" val="0"/>
        <cfvo type="formula" val="5"/>
        <cfvo type="formula" val="10"/>
        <color rgb="FF57BB8A"/>
        <color rgb="FFFBBC04"/>
        <color rgb="FFCC4125"/>
      </colorScale>
    </cfRule>
  </conditionalFormatting>
  <conditionalFormatting sqref="AE38:AF38">
    <cfRule type="notContainsBlanks" dxfId="43" priority="17">
      <formula>LEN(TRIM(AE38))&gt;0</formula>
    </cfRule>
  </conditionalFormatting>
  <conditionalFormatting sqref="X40:AD187">
    <cfRule type="containsBlanks" dxfId="42" priority="18">
      <formula>LEN(TRIM(X40))=0</formula>
    </cfRule>
  </conditionalFormatting>
  <conditionalFormatting sqref="AE1:AF1">
    <cfRule type="notContainsBlanks" dxfId="43" priority="19">
      <formula>LEN(TRIM(AE1))&gt;0</formula>
    </cfRule>
  </conditionalFormatting>
  <conditionalFormatting sqref="AJ39:AJ187 AN39:AN187 AR40:AR187 AV40:AV187 AZ40:AZ187 BD40:BD187 BH40:BH187 BL40:BL187 AS51 AW51">
    <cfRule type="notContainsBlanks" dxfId="44" priority="20">
      <formula>LEN(TRIM(AJ39))&gt;0</formula>
    </cfRule>
  </conditionalFormatting>
  <conditionalFormatting sqref="AI40:AJ187 AM40:AN187 AQ40:AR187 AU40:AV187 AY40:AZ187 BC40:BD187 BG40:BH187 BK40:BL187 BO40:BP187 BS40:BT187 AP44 AS44:AT44 AW44 AS51 AW51">
    <cfRule type="notContainsBlanks" dxfId="15" priority="21">
      <formula>LEN(TRIM(AI40))&gt;0</formula>
    </cfRule>
  </conditionalFormatting>
  <conditionalFormatting sqref="X40:AF187">
    <cfRule type="cellIs" dxfId="42" priority="22" operator="equal">
      <formula>0</formula>
    </cfRule>
  </conditionalFormatting>
  <conditionalFormatting sqref="AA40:AB187">
    <cfRule type="expression" dxfId="45" priority="23" operator="containsText">
      <formula>NOT(ISERROR(SEARCH((FALSE),(AA40))))</formula>
    </cfRule>
  </conditionalFormatting>
  <conditionalFormatting sqref="Y19:AC21 Y24:AD36">
    <cfRule type="cellIs" dxfId="46" priority="24" operator="equal">
      <formula>0</formula>
    </cfRule>
  </conditionalFormatting>
  <dataValidations>
    <dataValidation type="list" allowBlank="1" showErrorMessage="1" sqref="BZ10">
      <formula1>"BP1,BP2,BP3,BP4,BP5"</formula1>
    </dataValidation>
    <dataValidation type="list" allowBlank="1" showInputMessage="1" showErrorMessage="1" prompt="Haz clic e introduce un valor de la lista de elementos" sqref="AK9:AK15 AO9:AO15 AS9:AS15 AW9:AW15 BA9:BA15">
      <formula1>"1 .- Muy, muy bien,2 .- Muy bien,3 .- Bien,4 .- Regular,5 .- Mal,6 .- Muy mal,7 .- Muy, muy mal"</formula1>
    </dataValidation>
    <dataValidation type="list" allowBlank="1" showErrorMessage="1" sqref="BZ9">
      <formula1>"SQ1,SQ2,SQ3,SQ4,SQ5"</formula1>
    </dataValidation>
    <dataValidation type="list" allowBlank="1" showInputMessage="1" showErrorMessage="1" prompt="Haz clic e introduce un valor de la lista de elementos" sqref="B39:B187">
      <formula1>"Día 1,Día 2,Día 3,Día 4,Día 5,Día 6,Día 7,Día 8"</formula1>
    </dataValidation>
    <dataValidation type="list" allowBlank="1" showErrorMessage="1" sqref="AI40:AI187 AM40:AM187 AQ40:AQ187 AU40:AU187 AY40:AY187 BC40:BC187 BG40:BG187 BK40:BK187 BO40:BO187 BS40:BS187">
      <formula1>"0,1,2,3,4,5,6,7,8,9,10"</formula1>
    </dataValidation>
    <dataValidation type="list" allowBlank="1" showErrorMessage="1" sqref="CE8 CE14">
      <formula1>"e1RM Bryzcki,e1RM Steve Denovi F1,e1RM Steve Denovi F2"</formula1>
    </dataValidation>
    <dataValidation type="list" allowBlank="1" showErrorMessage="1" sqref="E25">
      <formula1>"HIPERTROFIA,FUERZA BASE,VOLUMEN,PEAKING,TAPERING,COMPETICIÓN,BLOQUE DE VOLUMEN  (HIPERTROFIA),BLOQUE DE FUERZA  (HIPERTROFIA),BLOQUE DE INTENSIFICACIÓN  (HIPERTROFIA),PIVOT"</formula1>
    </dataValidation>
    <dataValidation type="list" allowBlank="1" showErrorMessage="1" sqref="P40:P187">
      <formula1>"Bajo,Medio,Alta"</formula1>
    </dataValidation>
    <dataValidation type="list" allowBlank="1" showErrorMessage="1" sqref="CH7">
      <formula1>"SQ1 Top Set,SQ2 Top Set,SQ3 Top Set,SQ4 Top Set,SQ5 Top Set,BP1 Top Set,BP2 Top Set,BP3 Top Set,BP4 Top Set,BP5 Top Set,DL1 Top Set,DL2 Top Set,DL3 Top Set,DL4 Top Set,DL5 Top Set"</formula1>
    </dataValidation>
    <dataValidation type="list" allowBlank="1" showErrorMessage="1" sqref="AJ40:AJ187 AN40:AN187 AR40:AR187 AV40:AV187 AZ40:AZ187 BD40:BD187 BH40:BH187 BL40:BL187 BP40:BP187 BT40:BT187">
      <formula1>"1,1,5,2,2,5,3,3,5,4,4,5,5,5,5,6,6,5,7,7,5,8,8,5,9,9,5,10"</formula1>
    </dataValidation>
    <dataValidation type="list" allowBlank="1" sqref="AW40:AW43 AG40:AG187 AK40:AK187 AO40:AO187 AS40:AS187 AW45:AW187 BA40:BA187 BE40:BE187 BI40:BI187 BM40:BM187 BQ40:BQ187">
      <formula1>"1,2,3,4,5,6,7,8,9,10,11,12,13,14,15,16,17,18,19,20,21,22,23,24,25,26,27,28,29,30,31,32,33,34,35,36,37,38,39,40,41,42,43,44,45,46,47,48,49,50"</formula1>
    </dataValidation>
    <dataValidation type="list" allowBlank="1" showInputMessage="1" showErrorMessage="1" prompt="Selecciona una opción." sqref="AM22 AQ22 AU22 AY22 BF22 BJ22 BN22 AM24 AQ24 AU24 AY24">
      <formula1>"1.- Nada de agujetas/tensión,2.- Pocas agujetas casi imperceptibles.,3.- Algo de agujetas/tensión.,4.- Agujetas/tensión muscular no incapacitantes,5.- Aumento del dolor muscular por agujetas molesto.,6.- Bastante dolor/agujetas y me incapacitan un poco mi"&amp;" día a día,7.- Zona muy dolorida por agujetas"</formula1>
    </dataValidation>
    <dataValidation type="list" allowBlank="1" showErrorMessage="1" sqref="CQ8">
      <formula1>"1RM PROYECTADA MEJOR A REPS,1RM PROYECTADA MEJOR A 1 REP"</formula1>
    </dataValidation>
    <dataValidation type="list" allowBlank="1" showErrorMessage="1" sqref="BM9:BM15">
      <formula1>"0 .- Descanso,1 .- Sesión muy fácil,2 .- Sesión fácil,3 .- Sesión moderada,4 .- Algo dificil,5 .- Sesión complicada,6 .- Sesión dificil,7 .- Sesión muy dificil,8 .- Sesión muy, muy dificil,9 .- Sesión extremadamente dificil,10 .- Sesión de máxima dificult"&amp;"ad"</formula1>
    </dataValidation>
    <dataValidation type="list" allowBlank="1" showErrorMessage="1" sqref="BZ11">
      <formula1>"DL1,DL2,DL3,DL4,DL5"</formula1>
    </dataValidation>
    <dataValidation type="list" allowBlank="1" showErrorMessage="1" sqref="BI9:BI15">
      <formula1>"1 .- Muy, muy poco recuperado,2 .- Muy poco recuperado,3 .- Poco recuperado,4 .- Algo recuperado,5 .- Recuperado moderadamente,6 .- Bien recuperado,7 .- Bastante recuperado,8 .- Muy bien recuperado,9 .- Muy, muy bien recuperado,10 .- Excepcionalmente recu"&amp;"perado"</formula1>
    </dataValidation>
    <dataValidation type="list" allowBlank="1" showErrorMessage="1" sqref="D40:D51 D54:D73 D186:D187">
      <formula1>"SQ1,SQ2,SQ3,SQ4,SQ5,BP1,BP2,BP3,BP4,BP5,DL1,DL2,DL3,DL4,DL5,Dominante de Rodilla,Bisagra de Cadera,Empuje Horizontal,Empuje Vertical,Tracción Horizontal,Tracción Vertical,Bíceps,Tríceps,Deltoides Lateral,Gémelo/Sóleo,Trasladar/Trineo,CORE,Aductor de cader"&amp;"a,SQ1 Top Set,SQ2 Top Set,SQ3 Top Set,SQ4 Top Set,SQ5 Top Set,BP1 Top Set,BP2 Top Set,BP3 Top Set,BP4 Top Set,BP5 Top Set,DL1 Top Set,DL2 Top Set,DL3 Top Set,DL4 Top Set,DL5 Top Set"</formula1>
    </dataValidation>
  </dataValidations>
  <drawing r:id="rId2"/>
  <legacyDrawing r:id="rId3"/>
  <tableParts count="3">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2" max="2" width="15.5"/>
    <col customWidth="1" min="4" max="4" width="3.75"/>
    <col customWidth="1" min="8" max="8" width="15.13"/>
  </cols>
  <sheetData>
    <row r="1">
      <c r="A1" s="212"/>
    </row>
    <row r="3">
      <c r="E3" s="659" t="s">
        <v>612</v>
      </c>
      <c r="F3" s="403"/>
      <c r="G3" s="403"/>
      <c r="H3" s="403"/>
    </row>
    <row r="4">
      <c r="E4" s="660" t="s">
        <v>613</v>
      </c>
    </row>
    <row r="8" ht="120.0" customHeight="1"/>
    <row r="9">
      <c r="A9" s="212"/>
      <c r="B9" s="212"/>
      <c r="C9" s="212"/>
      <c r="G9" s="408"/>
      <c r="H9" s="408"/>
    </row>
    <row r="10">
      <c r="E10" s="661" t="s">
        <v>614</v>
      </c>
      <c r="G10" s="662"/>
      <c r="H10" s="662"/>
      <c r="I10" s="662"/>
    </row>
    <row r="11">
      <c r="E11" s="663" t="b">
        <v>1</v>
      </c>
      <c r="F11" s="664" t="str">
        <f>IF(E11=TRUE,"Bloque: Volumen/Hipertrofía/Técnica","Bloque: Peaking")</f>
        <v>Bloque: Volumen/Hipertrofía/Técnica</v>
      </c>
      <c r="G11" s="391"/>
      <c r="H11" s="391"/>
    </row>
    <row r="12">
      <c r="E12" s="207"/>
      <c r="F12" s="665"/>
      <c r="G12" s="662"/>
    </row>
    <row r="13">
      <c r="E13" s="661" t="s">
        <v>615</v>
      </c>
    </row>
    <row r="14">
      <c r="E14" s="430" t="b">
        <v>1</v>
      </c>
      <c r="F14" s="666" t="str">
        <f>IF(E14=TRUE,"Hombre","Mujer")</f>
        <v>Hombre</v>
      </c>
      <c r="G14" s="391"/>
      <c r="H14" s="391"/>
    </row>
    <row r="16">
      <c r="B16" s="667" t="s">
        <v>616</v>
      </c>
      <c r="C16" s="403"/>
    </row>
    <row r="17">
      <c r="B17" s="668" t="s">
        <v>617</v>
      </c>
      <c r="C17" s="669">
        <v>240.0</v>
      </c>
      <c r="E17" s="670" t="s">
        <v>617</v>
      </c>
      <c r="F17" s="403"/>
      <c r="G17" s="403"/>
      <c r="H17" s="403"/>
    </row>
    <row r="18">
      <c r="B18" s="671" t="s">
        <v>618</v>
      </c>
      <c r="C18" s="672">
        <v>103.0</v>
      </c>
      <c r="E18" s="673" t="s">
        <v>619</v>
      </c>
      <c r="F18" s="673" t="s">
        <v>620</v>
      </c>
      <c r="G18" s="673" t="s">
        <v>621</v>
      </c>
      <c r="H18" s="673" t="s">
        <v>622</v>
      </c>
    </row>
    <row r="19">
      <c r="B19" s="674" t="s">
        <v>623</v>
      </c>
      <c r="C19" s="675">
        <v>215.0</v>
      </c>
      <c r="E19" s="676">
        <v>1.0</v>
      </c>
      <c r="F19" s="676">
        <f>IFERROR(IF($E$11=TRUE,IF($E$14=TRUE,10,10),IF($E$14=TRUE,8,8)),"")</f>
        <v>10</v>
      </c>
      <c r="G19" s="676" t="s">
        <v>624</v>
      </c>
      <c r="H19" s="676" t="s">
        <v>625</v>
      </c>
    </row>
    <row r="20">
      <c r="E20" s="676">
        <v>2.0</v>
      </c>
      <c r="F20" s="676">
        <f>IFERROR(IF($E$11=TRUE,IF($E$14=TRUE,8,8),IF($E$14=TRUE,8,5)),"")</f>
        <v>8</v>
      </c>
      <c r="G20" s="677">
        <f>IFERROR(IF($E$11=TRUE,IF($E$14=TRUE,30%,30%),IF($E$14=TRUE,25%,42%)),"")</f>
        <v>0.3</v>
      </c>
      <c r="H20" s="678" t="str">
        <f t="shared" ref="H20:H28" si="1">IF(G20="","",MROUND(G20*$C$17,2.5)&amp;" kg")</f>
        <v>72,5 kg</v>
      </c>
    </row>
    <row r="21">
      <c r="E21" s="676">
        <v>3.0</v>
      </c>
      <c r="F21" s="676">
        <f>IFERROR(IF($E$11=TRUE,IF($E$14=TRUE,6,6),IF($E$14=TRUE,5,5)),"")</f>
        <v>6</v>
      </c>
      <c r="G21" s="677">
        <f>IFERROR(IF($E$11=TRUE,IF($E$14=TRUE,54%,54%),IF($E$14=TRUE,42%,60%)),"")</f>
        <v>0.54</v>
      </c>
      <c r="H21" s="678" t="str">
        <f t="shared" si="1"/>
        <v>130 kg</v>
      </c>
    </row>
    <row r="22">
      <c r="E22" s="676">
        <v>4.0</v>
      </c>
      <c r="F22" s="676">
        <f>IFERROR(IF($E$11=TRUE,IF($E$14=TRUE,5,6),IF($E$14=TRUE,5,3)),"")</f>
        <v>5</v>
      </c>
      <c r="G22" s="677">
        <f>IFERROR(IF($E$11=TRUE,IF($E$14=TRUE,80%,80%),IF($E$14=TRUE,60%,71%)),"")</f>
        <v>0.8</v>
      </c>
      <c r="H22" s="678" t="str">
        <f t="shared" si="1"/>
        <v>192,5 kg</v>
      </c>
    </row>
    <row r="23">
      <c r="E23" s="676">
        <v>5.0</v>
      </c>
      <c r="F23" s="676">
        <f>IFERROR(IF($E$11=TRUE,IF($E$14=TRUE,4,4),IF($E$14=TRUE,3,2)),"")</f>
        <v>4</v>
      </c>
      <c r="G23" s="677">
        <f>IFERROR(IF($E$11=TRUE,IF($E$14=TRUE,90%,92%),IF($E$14=TRUE,71%,82%)),"")</f>
        <v>0.9</v>
      </c>
      <c r="H23" s="678" t="str">
        <f t="shared" si="1"/>
        <v>215 kg</v>
      </c>
    </row>
    <row r="24">
      <c r="E24" s="676">
        <f>IFERROR(IF($E$11=TRUE,IF($E$14=TRUE,6,"6*"),IF($E$14=TRUE,6,6)),"")</f>
        <v>6</v>
      </c>
      <c r="F24" s="676" t="str">
        <f>IFERROR(IF($E$11=TRUE,IF($E$14=TRUE,"",1),IF($E$14=TRUE,2,1)),"")</f>
        <v/>
      </c>
      <c r="G24" s="677" t="str">
        <f>IFERROR(IF($E$11=TRUE,IF($E$14=TRUE,"",100%),IF($E$14=TRUE,82%,89%)),"")</f>
        <v/>
      </c>
      <c r="H24" s="678" t="str">
        <f t="shared" si="1"/>
        <v/>
      </c>
    </row>
    <row r="25">
      <c r="E25" s="676" t="str">
        <f>IFERROR(IF($E$11=TRUE,IF($E$14=TRUE,"7*",7),IF($E$14=TRUE,7,7)),"")</f>
        <v>7*</v>
      </c>
      <c r="F25" s="676">
        <f>IFERROR(IF($E$11=TRUE,IF($E$14=TRUE,1,""),IF($E$14=TRUE,1,1)),"")</f>
        <v>1</v>
      </c>
      <c r="G25" s="677">
        <f>IFERROR(IF($E$11=TRUE,IF($E$14=TRUE,100%,""),IF($E$14=TRUE,89%,94%)),"")</f>
        <v>1</v>
      </c>
      <c r="H25" s="678" t="str">
        <f t="shared" si="1"/>
        <v>240 kg</v>
      </c>
    </row>
    <row r="26">
      <c r="E26" s="676">
        <v>8.0</v>
      </c>
      <c r="F26" s="676" t="str">
        <f>IFERROR(IF($E$11=TRUE,IF($E$14=TRUE,"",""),IF($E$14=TRUE,1,"")),"")</f>
        <v/>
      </c>
      <c r="G26" s="677" t="str">
        <f>IFERROR(IF($E$11=TRUE,IF($E$14=TRUE,"",""),IF($E$14=TRUE,94%,"")),"")</f>
        <v/>
      </c>
      <c r="H26" s="678" t="str">
        <f t="shared" si="1"/>
        <v/>
      </c>
    </row>
    <row r="27">
      <c r="E27" s="676">
        <v>9.0</v>
      </c>
      <c r="F27" s="676"/>
      <c r="G27" s="677"/>
      <c r="H27" s="678" t="str">
        <f t="shared" si="1"/>
        <v/>
      </c>
    </row>
    <row r="28">
      <c r="E28" s="679">
        <v>10.0</v>
      </c>
      <c r="F28" s="679"/>
      <c r="G28" s="680"/>
      <c r="H28" s="681" t="str">
        <f t="shared" si="1"/>
        <v/>
      </c>
    </row>
    <row r="31">
      <c r="E31" s="670" t="s">
        <v>618</v>
      </c>
      <c r="F31" s="403"/>
      <c r="G31" s="403"/>
      <c r="H31" s="403"/>
    </row>
    <row r="32">
      <c r="E32" s="673" t="s">
        <v>619</v>
      </c>
      <c r="F32" s="673" t="s">
        <v>620</v>
      </c>
      <c r="G32" s="673" t="s">
        <v>621</v>
      </c>
      <c r="H32" s="673" t="s">
        <v>622</v>
      </c>
    </row>
    <row r="33">
      <c r="E33" s="676">
        <v>1.0</v>
      </c>
      <c r="F33" s="676">
        <f>IFERROR(IF($E$11=TRUE,IF($E$14=TRUE,12,12),IF($E$14=TRUE,10,10)),"")</f>
        <v>12</v>
      </c>
      <c r="G33" s="676" t="s">
        <v>624</v>
      </c>
      <c r="H33" s="676" t="s">
        <v>625</v>
      </c>
    </row>
    <row r="34">
      <c r="E34" s="676">
        <v>2.0</v>
      </c>
      <c r="F34" s="676">
        <f>IFERROR(IF($E$11=TRUE,IF($E$14=TRUE,6,10),IF($E$14=TRUE,6,8)),"")</f>
        <v>6</v>
      </c>
      <c r="G34" s="677">
        <f>IFERROR(IF($E$11=TRUE,IF($E$14=TRUE,47%,47%),IF($E$14=TRUE,25%,45%)),"")</f>
        <v>0.47</v>
      </c>
      <c r="H34" s="678" t="str">
        <f t="shared" ref="H34:H42" si="2">IF(G34="","",MROUND(G34*$C$18,2.5)&amp;" kg")</f>
        <v>47,5 kg</v>
      </c>
    </row>
    <row r="35">
      <c r="E35" s="676">
        <v>3.0</v>
      </c>
      <c r="F35" s="676">
        <f>IFERROR(IF($E$11=TRUE,IF($E$14=TRUE,6,8),IF($E$14=TRUE,6,6)),"")</f>
        <v>6</v>
      </c>
      <c r="G35" s="677">
        <f>IFERROR(IF($E$11=TRUE,IF($E$14=TRUE,67%,67%),IF($E$14=TRUE,45%,58%)),"")</f>
        <v>0.67</v>
      </c>
      <c r="H35" s="678" t="str">
        <f t="shared" si="2"/>
        <v>70 kg</v>
      </c>
    </row>
    <row r="36">
      <c r="E36" s="676">
        <v>4.0</v>
      </c>
      <c r="F36" s="676">
        <f>IFERROR(IF($E$11=TRUE,IF($E$14=TRUE,5,6),IF($E$14=TRUE,4,4)),"")</f>
        <v>5</v>
      </c>
      <c r="G36" s="677">
        <f>IFERROR(IF($E$11=TRUE,IF($E$14=TRUE,80%,80%),IF($E$14=TRUE,58%,70%)),"")</f>
        <v>0.8</v>
      </c>
      <c r="H36" s="678" t="str">
        <f t="shared" si="2"/>
        <v>82,5 kg</v>
      </c>
    </row>
    <row r="37">
      <c r="E37" s="676">
        <v>5.0</v>
      </c>
      <c r="F37" s="676">
        <f>IFERROR(IF($E$11=TRUE,IF($E$14=TRUE,4,4),IF($E$14=TRUE,2,2)),"")</f>
        <v>4</v>
      </c>
      <c r="G37" s="677">
        <f>IFERROR(IF($E$11=TRUE,IF($E$14=TRUE,86%,90%),IF($E$14=TRUE,70%,82%)),"")</f>
        <v>0.86</v>
      </c>
      <c r="H37" s="678" t="str">
        <f t="shared" si="2"/>
        <v>87,5 kg</v>
      </c>
    </row>
    <row r="38">
      <c r="E38" s="676">
        <f>IFERROR(IF($E$11=TRUE,IF($E$14=TRUE,6,"6*"),IF($E$14=TRUE,6,6)),"")</f>
        <v>6</v>
      </c>
      <c r="F38" s="676">
        <f>IFERROR(IF($E$11=TRUE,IF($E$14=TRUE,4,1),IF($E$14=TRUE,2,1)),"")</f>
        <v>4</v>
      </c>
      <c r="G38" s="677">
        <f>IFERROR(IF($E$11=TRUE,IF($E$14=TRUE,93%,100%),IF($E$14=TRUE,82%,89%)),"")</f>
        <v>0.93</v>
      </c>
      <c r="H38" s="678" t="str">
        <f t="shared" si="2"/>
        <v>95 kg</v>
      </c>
    </row>
    <row r="39">
      <c r="E39" s="676" t="str">
        <f>IFERROR(IF($E$11=TRUE,IF($E$14=TRUE,"7*",7),IF($E$14=TRUE,7,7)),"")</f>
        <v>7*</v>
      </c>
      <c r="F39" s="676">
        <f>IFERROR(IF($E$11=TRUE,IF($E$14=TRUE,1,""),IF($E$14=TRUE,1,1)),"")</f>
        <v>1</v>
      </c>
      <c r="G39" s="677">
        <f>IFERROR(IF($E$11=TRUE,IF($E$14=TRUE,100%,""),IF($E$14=TRUE,89%,95%)),"")</f>
        <v>1</v>
      </c>
      <c r="H39" s="678" t="str">
        <f t="shared" si="2"/>
        <v>102,5 kg</v>
      </c>
    </row>
    <row r="40">
      <c r="E40" s="676">
        <v>8.0</v>
      </c>
      <c r="F40" s="676" t="str">
        <f>IFERROR(IF($E$11=TRUE,IF($E$14=TRUE,"",""),IF($E$14=TRUE,1,"")),"")</f>
        <v/>
      </c>
      <c r="G40" s="677" t="str">
        <f>IFERROR(IF($E$11=TRUE,IF($E$14=TRUE,"",""),IF($E$14=TRUE,95%,"")),"")</f>
        <v/>
      </c>
      <c r="H40" s="678" t="str">
        <f t="shared" si="2"/>
        <v/>
      </c>
    </row>
    <row r="41">
      <c r="E41" s="676">
        <v>9.0</v>
      </c>
      <c r="F41" s="676"/>
      <c r="G41" s="677"/>
      <c r="H41" s="678" t="str">
        <f t="shared" si="2"/>
        <v/>
      </c>
    </row>
    <row r="42">
      <c r="E42" s="679">
        <v>10.0</v>
      </c>
      <c r="F42" s="679"/>
      <c r="G42" s="680"/>
      <c r="H42" s="681" t="str">
        <f t="shared" si="2"/>
        <v/>
      </c>
    </row>
    <row r="45">
      <c r="E45" s="670" t="s">
        <v>623</v>
      </c>
      <c r="F45" s="403"/>
      <c r="G45" s="403"/>
      <c r="H45" s="403"/>
    </row>
    <row r="46">
      <c r="E46" s="673" t="s">
        <v>619</v>
      </c>
      <c r="F46" s="673" t="s">
        <v>620</v>
      </c>
      <c r="G46" s="673" t="s">
        <v>621</v>
      </c>
      <c r="H46" s="673" t="s">
        <v>622</v>
      </c>
    </row>
    <row r="47">
      <c r="E47" s="676">
        <v>1.0</v>
      </c>
      <c r="F47" s="676">
        <f>IFERROR(IF($E$11=TRUE,IF($E$14=TRUE,6,8),IF($E$14=TRUE,8,8)),"")</f>
        <v>6</v>
      </c>
      <c r="G47" s="677">
        <f>IFERROR(IF($E$11=TRUE,IF($E$14=TRUE,25%,25%),IF($E$14=TRUE,22%,22%)),"")</f>
        <v>0.25</v>
      </c>
      <c r="H47" s="678" t="str">
        <f t="shared" ref="H47:H56" si="3">IF(G47="","",MROUND(G47*$C$19,2.5)&amp;" kg")</f>
        <v>55 kg</v>
      </c>
    </row>
    <row r="48">
      <c r="E48" s="676">
        <v>2.0</v>
      </c>
      <c r="F48" s="676">
        <f>IFERROR(IF($E$11=TRUE,IF($E$14=TRUE,6,6),IF($E$14=TRUE,5,5)),"")</f>
        <v>6</v>
      </c>
      <c r="G48" s="677">
        <f>IFERROR(IF($E$11=TRUE,IF($E$14=TRUE,44%,44%),IF($E$14=TRUE,38%,40%)),"")</f>
        <v>0.44</v>
      </c>
      <c r="H48" s="678" t="str">
        <f t="shared" si="3"/>
        <v>95 kg</v>
      </c>
    </row>
    <row r="49">
      <c r="E49" s="676">
        <v>3.0</v>
      </c>
      <c r="F49" s="676">
        <f>IFERROR(IF($E$11=TRUE,IF($E$14=TRUE,5,6),IF($E$14=TRUE,3,3)),"")</f>
        <v>5</v>
      </c>
      <c r="G49" s="677">
        <f>IFERROR(IF($E$11=TRUE,IF($E$14=TRUE,62%,62%),IF($E$14=TRUE,54%,54%)),"")</f>
        <v>0.62</v>
      </c>
      <c r="H49" s="678" t="str">
        <f t="shared" si="3"/>
        <v>132,5 kg</v>
      </c>
    </row>
    <row r="50">
      <c r="E50" s="676">
        <v>4.0</v>
      </c>
      <c r="F50" s="676">
        <f>IFERROR(IF($E$11=TRUE,IF($E$14=TRUE,4,3),IF($E$14=TRUE,1,1)),"")</f>
        <v>4</v>
      </c>
      <c r="G50" s="677">
        <f>IFERROR(IF($E$11=TRUE,IF($E$14=TRUE,78%,78%),IF($E$14=TRUE,71%,71%)),"")</f>
        <v>0.78</v>
      </c>
      <c r="H50" s="678" t="str">
        <f t="shared" si="3"/>
        <v>167,5 kg</v>
      </c>
    </row>
    <row r="51">
      <c r="E51" s="676">
        <v>5.0</v>
      </c>
      <c r="F51" s="676">
        <f>IFERROR(IF($E$11=TRUE,IF($E$14=TRUE,3,3),IF($E$14=TRUE,1,1)),"")</f>
        <v>3</v>
      </c>
      <c r="G51" s="677">
        <f>IFERROR(IF($E$11=TRUE,IF($E$14=TRUE,90%,88%),IF($E$14=TRUE,85%,85%)),"")</f>
        <v>0.9</v>
      </c>
      <c r="H51" s="678" t="str">
        <f t="shared" si="3"/>
        <v>192,5 kg</v>
      </c>
    </row>
    <row r="52">
      <c r="E52" s="676">
        <v>6.0</v>
      </c>
      <c r="F52" s="676" t="str">
        <f>IFERROR(IF($E$11=TRUE,IF($E$14=TRUE,"",""),IF($E$14=TRUE,1,1)),"")</f>
        <v/>
      </c>
      <c r="G52" s="677" t="str">
        <f>IFERROR(IF($E$11=TRUE,IF($E$14=TRUE,"",""),IF($E$14=TRUE,93%,93%)),"")</f>
        <v/>
      </c>
      <c r="H52" s="678" t="str">
        <f t="shared" si="3"/>
        <v/>
      </c>
    </row>
    <row r="53">
      <c r="E53" s="676">
        <v>7.0</v>
      </c>
      <c r="F53" s="676" t="str">
        <f t="shared" ref="F53:G53" si="4">IFERROR(IF($E$11=TRUE,IF($E$14=TRUE,"",""),IF($E$14=TRUE,"","")),"")</f>
        <v/>
      </c>
      <c r="G53" s="677" t="str">
        <f t="shared" si="4"/>
        <v/>
      </c>
      <c r="H53" s="678" t="str">
        <f t="shared" si="3"/>
        <v/>
      </c>
    </row>
    <row r="54">
      <c r="E54" s="676">
        <v>8.0</v>
      </c>
      <c r="F54" s="676" t="str">
        <f t="shared" ref="F54:G54" si="5">IFERROR(IF($E$11=TRUE,IF($E$14=TRUE,"",""),IF($E$14=TRUE,"","")),"")</f>
        <v/>
      </c>
      <c r="G54" s="677" t="str">
        <f t="shared" si="5"/>
        <v/>
      </c>
      <c r="H54" s="678" t="str">
        <f t="shared" si="3"/>
        <v/>
      </c>
    </row>
    <row r="55">
      <c r="E55" s="676">
        <v>9.0</v>
      </c>
      <c r="F55" s="676"/>
      <c r="G55" s="677"/>
      <c r="H55" s="678" t="str">
        <f t="shared" si="3"/>
        <v/>
      </c>
    </row>
    <row r="56">
      <c r="E56" s="679">
        <v>10.0</v>
      </c>
      <c r="F56" s="679"/>
      <c r="G56" s="680"/>
      <c r="H56" s="681" t="str">
        <f t="shared" si="3"/>
        <v/>
      </c>
    </row>
  </sheetData>
  <mergeCells count="7">
    <mergeCell ref="A1:D8"/>
    <mergeCell ref="E3:H3"/>
    <mergeCell ref="E4:H8"/>
    <mergeCell ref="B16:C16"/>
    <mergeCell ref="E17:H17"/>
    <mergeCell ref="E31:H31"/>
    <mergeCell ref="E45:H4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2" max="2" width="22.75"/>
    <col customWidth="1" min="3" max="3" width="8.5"/>
    <col customWidth="1" min="4" max="4" width="18.0"/>
    <col customWidth="1" min="5" max="5" width="21.38"/>
    <col customWidth="1" min="6" max="9" width="13.25"/>
    <col customWidth="1" min="10" max="10" width="71.13"/>
  </cols>
  <sheetData>
    <row r="1">
      <c r="A1" s="4"/>
      <c r="B1" s="76"/>
      <c r="C1" s="76"/>
      <c r="D1" s="4"/>
      <c r="E1" s="4"/>
      <c r="F1" s="4"/>
      <c r="G1" s="4"/>
      <c r="H1" s="4"/>
      <c r="I1" s="4"/>
      <c r="J1" s="4"/>
      <c r="K1" s="4"/>
      <c r="L1" s="4"/>
      <c r="M1" s="4"/>
      <c r="N1" s="4"/>
      <c r="O1" s="4"/>
      <c r="P1" s="4"/>
      <c r="Q1" s="4"/>
      <c r="R1" s="4"/>
      <c r="S1" s="4"/>
      <c r="T1" s="4"/>
      <c r="U1" s="4"/>
      <c r="V1" s="4"/>
      <c r="W1" s="4"/>
      <c r="X1" s="4"/>
      <c r="Y1" s="4"/>
      <c r="Z1" s="4"/>
    </row>
    <row r="2">
      <c r="B2" s="76"/>
      <c r="F2" s="4"/>
      <c r="G2" s="4"/>
      <c r="H2" s="4"/>
      <c r="I2" s="4"/>
      <c r="J2" s="4"/>
    </row>
    <row r="3">
      <c r="F3" s="682" t="s">
        <v>626</v>
      </c>
    </row>
    <row r="8" ht="57.0" customHeight="1"/>
    <row r="9">
      <c r="B9" s="683" t="s">
        <v>627</v>
      </c>
      <c r="J9" s="482"/>
    </row>
    <row r="10">
      <c r="B10" s="684"/>
      <c r="C10" s="684"/>
      <c r="D10" s="684"/>
      <c r="E10" s="685"/>
      <c r="F10" s="686"/>
      <c r="G10" s="686"/>
      <c r="H10" s="686"/>
      <c r="I10" s="686"/>
      <c r="J10" s="686"/>
      <c r="K10" s="687"/>
    </row>
    <row r="11">
      <c r="B11" s="688" t="s">
        <v>628</v>
      </c>
      <c r="E11" s="689" t="str">
        <f>'Introducción'!B19&amp;" "&amp;'Introducción'!B20</f>
        <v>#REF!</v>
      </c>
      <c r="F11" s="690"/>
      <c r="G11" s="383"/>
      <c r="H11" s="383"/>
      <c r="I11" s="383"/>
      <c r="J11" s="384"/>
      <c r="K11" s="687"/>
    </row>
    <row r="12">
      <c r="B12" s="688" t="s">
        <v>629</v>
      </c>
      <c r="E12" s="691">
        <v>45313.0</v>
      </c>
      <c r="F12" s="692"/>
      <c r="J12" s="34"/>
    </row>
    <row r="13">
      <c r="B13" s="688" t="s">
        <v>630</v>
      </c>
      <c r="E13" s="693" t="str">
        <f>TEXT(E12,"mmmm")</f>
        <v>enero</v>
      </c>
      <c r="F13" s="694"/>
      <c r="G13" s="403"/>
      <c r="H13" s="403"/>
      <c r="I13" s="403"/>
      <c r="J13" s="404"/>
    </row>
    <row r="14">
      <c r="B14" s="695" t="s">
        <v>631</v>
      </c>
      <c r="C14" s="684" t="s">
        <v>632</v>
      </c>
      <c r="D14" s="684" t="s">
        <v>633</v>
      </c>
      <c r="E14" s="684" t="s">
        <v>634</v>
      </c>
      <c r="F14" s="684" t="s">
        <v>635</v>
      </c>
      <c r="G14" s="684" t="s">
        <v>636</v>
      </c>
      <c r="H14" s="684" t="s">
        <v>637</v>
      </c>
      <c r="I14" s="684" t="s">
        <v>638</v>
      </c>
      <c r="J14" s="696" t="s">
        <v>639</v>
      </c>
      <c r="K14" s="697"/>
    </row>
    <row r="15">
      <c r="B15" s="698" t="s">
        <v>148</v>
      </c>
      <c r="C15" s="699">
        <v>1.0</v>
      </c>
      <c r="D15" s="700" t="str">
        <f t="shared" ref="D15:D118" si="1">TEXT(E15,"dddd")</f>
        <v>lunes</v>
      </c>
      <c r="E15" s="701">
        <f>DATE(YEAR(E12),MONTH(E12),DAY(E12))</f>
        <v>45313</v>
      </c>
      <c r="F15" s="702">
        <v>92.0</v>
      </c>
      <c r="G15" s="702">
        <f>IFERROR( AVERAGE(F15,F16),"")</f>
        <v>92</v>
      </c>
      <c r="H15" s="703">
        <v>0.0</v>
      </c>
      <c r="I15" s="704">
        <v>0.0</v>
      </c>
      <c r="J15" s="705"/>
    </row>
    <row r="16" ht="20.25" customHeight="1">
      <c r="B16" s="706"/>
      <c r="D16" s="700" t="str">
        <f t="shared" si="1"/>
        <v>jueves</v>
      </c>
      <c r="E16" s="701">
        <f>E15+3</f>
        <v>45316</v>
      </c>
      <c r="F16" s="707"/>
      <c r="J16" s="491"/>
    </row>
    <row r="17">
      <c r="B17" s="708"/>
      <c r="C17" s="709">
        <v>2.0</v>
      </c>
      <c r="D17" s="710" t="str">
        <f t="shared" si="1"/>
        <v>lunes</v>
      </c>
      <c r="E17" s="711">
        <f>E16+4</f>
        <v>45320</v>
      </c>
      <c r="F17" s="712">
        <v>92.0</v>
      </c>
      <c r="G17" s="713">
        <f>IFERROR( AVERAGE(F17,F18),"")</f>
        <v>92</v>
      </c>
      <c r="H17" s="714">
        <f>IF(ISBLANK(G17),"",G17-G15)</f>
        <v>0</v>
      </c>
      <c r="I17" s="715">
        <f>IFERROR(IF(ISBLANK(G17),"",(G17/G15)-1),)</f>
        <v>0</v>
      </c>
      <c r="J17" s="716"/>
    </row>
    <row r="18" ht="21.0" customHeight="1">
      <c r="B18" s="706"/>
      <c r="D18" s="710" t="str">
        <f t="shared" si="1"/>
        <v>jueves</v>
      </c>
      <c r="E18" s="711">
        <f>E17+3</f>
        <v>45323</v>
      </c>
      <c r="F18" s="712"/>
      <c r="J18" s="491"/>
    </row>
    <row r="19">
      <c r="B19" s="698"/>
      <c r="C19" s="699">
        <v>3.0</v>
      </c>
      <c r="D19" s="700" t="str">
        <f t="shared" si="1"/>
        <v>lunes</v>
      </c>
      <c r="E19" s="701">
        <f>E18+4</f>
        <v>45327</v>
      </c>
      <c r="F19" s="707">
        <v>90.5</v>
      </c>
      <c r="G19" s="702">
        <f>IFERROR( AVERAGE(F19,F20),"")</f>
        <v>90.775</v>
      </c>
      <c r="H19" s="703">
        <f>IF(ISBLANK(G19),"",G19-G17)</f>
        <v>-1.225</v>
      </c>
      <c r="I19" s="704">
        <f>IFERROR(IF(ISBLANK(G19),"",(G19/G17)-1),)</f>
        <v>-0.01331521739</v>
      </c>
      <c r="J19" s="705"/>
    </row>
    <row r="20">
      <c r="B20" s="706"/>
      <c r="D20" s="700" t="str">
        <f t="shared" si="1"/>
        <v>jueves</v>
      </c>
      <c r="E20" s="701">
        <f>E19+3</f>
        <v>45330</v>
      </c>
      <c r="F20" s="707">
        <v>91.05</v>
      </c>
      <c r="J20" s="491"/>
    </row>
    <row r="21">
      <c r="B21" s="717"/>
      <c r="C21" s="709">
        <v>4.0</v>
      </c>
      <c r="D21" s="710" t="str">
        <f t="shared" si="1"/>
        <v>lunes</v>
      </c>
      <c r="E21" s="711">
        <f>E20+4</f>
        <v>45334</v>
      </c>
      <c r="F21" s="712"/>
      <c r="G21" s="713" t="str">
        <f>IFERROR( AVERAGE(F21,F22),"")</f>
        <v/>
      </c>
      <c r="H21" s="714" t="str">
        <f>IF(ISBLANK(G21),"",G21-G19)</f>
        <v/>
      </c>
      <c r="I21" s="715" t="str">
        <f>IFERROR(IF(ISBLANK(G21),"",(G21/G19)-1),)</f>
        <v/>
      </c>
      <c r="J21" s="716"/>
    </row>
    <row r="22">
      <c r="B22" s="706"/>
      <c r="D22" s="710" t="str">
        <f t="shared" si="1"/>
        <v>jueves</v>
      </c>
      <c r="E22" s="711">
        <f>E21+3</f>
        <v>45337</v>
      </c>
      <c r="F22" s="712"/>
      <c r="J22" s="491"/>
    </row>
    <row r="23">
      <c r="B23" s="718"/>
      <c r="C23" s="699">
        <v>5.0</v>
      </c>
      <c r="D23" s="700" t="str">
        <f t="shared" si="1"/>
        <v>lunes</v>
      </c>
      <c r="E23" s="701">
        <f>E22+4</f>
        <v>45341</v>
      </c>
      <c r="F23" s="707"/>
      <c r="G23" s="702" t="str">
        <f>IFERROR( AVERAGE(F23,F24),"")</f>
        <v/>
      </c>
      <c r="H23" s="703" t="str">
        <f>IF(ISBLANK(G23),"",G23-G21)</f>
        <v/>
      </c>
      <c r="I23" s="704" t="str">
        <f>IFERROR(IF(ISBLANK(G23),"",(G23/G21)-1),)</f>
        <v/>
      </c>
      <c r="J23" s="705"/>
    </row>
    <row r="24">
      <c r="B24" s="706"/>
      <c r="D24" s="700" t="str">
        <f t="shared" si="1"/>
        <v>jueves</v>
      </c>
      <c r="E24" s="701">
        <f>E23+3</f>
        <v>45344</v>
      </c>
      <c r="F24" s="707"/>
      <c r="J24" s="491"/>
    </row>
    <row r="25">
      <c r="B25" s="717"/>
      <c r="C25" s="709">
        <v>6.0</v>
      </c>
      <c r="D25" s="710" t="str">
        <f t="shared" si="1"/>
        <v>lunes</v>
      </c>
      <c r="E25" s="711">
        <f>E24+4</f>
        <v>45348</v>
      </c>
      <c r="F25" s="709"/>
      <c r="G25" s="713">
        <f>IFERROR( AVERAGE(F25,F26),"")</f>
        <v>90.2</v>
      </c>
      <c r="H25" s="719">
        <f>IF(ISBLANK(G25),"",G25-G23)</f>
        <v>90.2</v>
      </c>
      <c r="I25" s="720" t="str">
        <f>IFERROR(IF(ISBLANK(G25),"",(G25/G23)-1),)</f>
        <v/>
      </c>
      <c r="J25" s="716"/>
    </row>
    <row r="26">
      <c r="B26" s="706"/>
      <c r="D26" s="710" t="str">
        <f t="shared" si="1"/>
        <v>jueves</v>
      </c>
      <c r="E26" s="711">
        <f>E25+3</f>
        <v>45351</v>
      </c>
      <c r="F26" s="709">
        <v>90.2</v>
      </c>
      <c r="J26" s="491"/>
    </row>
    <row r="27">
      <c r="B27" s="718"/>
      <c r="C27" s="699">
        <v>7.0</v>
      </c>
      <c r="D27" s="700" t="str">
        <f t="shared" si="1"/>
        <v>lunes</v>
      </c>
      <c r="E27" s="701">
        <f>E26+4</f>
        <v>45355</v>
      </c>
      <c r="F27" s="699"/>
      <c r="G27" s="702" t="str">
        <f>IFERROR( AVERAGE(F27,F28),"")</f>
        <v/>
      </c>
      <c r="H27" s="703" t="str">
        <f>IF(ISBLANK(G27),"",G27-G25)</f>
        <v/>
      </c>
      <c r="I27" s="704" t="str">
        <f>IFERROR(IF(ISBLANK(G27),"",(G27/G25)-1),)</f>
        <v/>
      </c>
      <c r="J27" s="705"/>
    </row>
    <row r="28">
      <c r="B28" s="706"/>
      <c r="D28" s="700" t="str">
        <f t="shared" si="1"/>
        <v>jueves</v>
      </c>
      <c r="E28" s="701">
        <f>E27+3</f>
        <v>45358</v>
      </c>
      <c r="F28" s="699"/>
      <c r="J28" s="491"/>
    </row>
    <row r="29">
      <c r="B29" s="717"/>
      <c r="C29" s="709">
        <v>8.0</v>
      </c>
      <c r="D29" s="710" t="str">
        <f t="shared" si="1"/>
        <v>lunes</v>
      </c>
      <c r="E29" s="711">
        <f>E28+4</f>
        <v>45362</v>
      </c>
      <c r="F29" s="709"/>
      <c r="G29" s="713" t="str">
        <f>IFERROR( AVERAGE(F29,F30),"")</f>
        <v/>
      </c>
      <c r="H29" s="719" t="str">
        <f>IF(ISBLANK(G29),"",G29-G27)</f>
        <v/>
      </c>
      <c r="I29" s="720" t="str">
        <f>IFERROR(IF(ISBLANK(G29),"",(G29/G27)-1),)</f>
        <v/>
      </c>
      <c r="J29" s="716"/>
    </row>
    <row r="30">
      <c r="B30" s="706"/>
      <c r="D30" s="710" t="str">
        <f t="shared" si="1"/>
        <v>jueves</v>
      </c>
      <c r="E30" s="711">
        <f>E29+3</f>
        <v>45365</v>
      </c>
      <c r="F30" s="709"/>
      <c r="J30" s="491"/>
    </row>
    <row r="31">
      <c r="B31" s="718"/>
      <c r="C31" s="699">
        <v>9.0</v>
      </c>
      <c r="D31" s="700" t="str">
        <f t="shared" si="1"/>
        <v>lunes</v>
      </c>
      <c r="E31" s="701">
        <f>E30+4</f>
        <v>45369</v>
      </c>
      <c r="F31" s="699"/>
      <c r="G31" s="702" t="str">
        <f>IFERROR( AVERAGE(F31,F32),"")</f>
        <v/>
      </c>
      <c r="H31" s="703" t="str">
        <f>IF(ISBLANK(G31),"",G31-G29)</f>
        <v/>
      </c>
      <c r="I31" s="704" t="str">
        <f>IFERROR(IF(ISBLANK(G31),"",(G31/G29)-1),)</f>
        <v/>
      </c>
      <c r="J31" s="705"/>
    </row>
    <row r="32">
      <c r="B32" s="706"/>
      <c r="D32" s="700" t="str">
        <f t="shared" si="1"/>
        <v>jueves</v>
      </c>
      <c r="E32" s="701">
        <f>E31+3</f>
        <v>45372</v>
      </c>
      <c r="F32" s="699"/>
      <c r="J32" s="491"/>
    </row>
    <row r="33">
      <c r="B33" s="717"/>
      <c r="C33" s="709">
        <v>10.0</v>
      </c>
      <c r="D33" s="710" t="str">
        <f t="shared" si="1"/>
        <v>lunes</v>
      </c>
      <c r="E33" s="711">
        <f>E32+4</f>
        <v>45376</v>
      </c>
      <c r="F33" s="709"/>
      <c r="G33" s="713" t="str">
        <f>IFERROR( AVERAGE(F33,F34),"")</f>
        <v/>
      </c>
      <c r="H33" s="719" t="str">
        <f>IF(ISBLANK(G33),"",G33-G31)</f>
        <v/>
      </c>
      <c r="I33" s="720" t="str">
        <f>IFERROR(IF(ISBLANK(G33),"",(G33/G31)-1),)</f>
        <v/>
      </c>
      <c r="J33" s="716"/>
    </row>
    <row r="34">
      <c r="B34" s="706"/>
      <c r="D34" s="710" t="str">
        <f t="shared" si="1"/>
        <v>jueves</v>
      </c>
      <c r="E34" s="711">
        <f>E33+3</f>
        <v>45379</v>
      </c>
      <c r="F34" s="709"/>
      <c r="J34" s="491"/>
    </row>
    <row r="35">
      <c r="B35" s="718"/>
      <c r="C35" s="699">
        <v>11.0</v>
      </c>
      <c r="D35" s="700" t="str">
        <f t="shared" si="1"/>
        <v>lunes</v>
      </c>
      <c r="E35" s="701">
        <f>E34+4</f>
        <v>45383</v>
      </c>
      <c r="F35" s="699"/>
      <c r="G35" s="702" t="str">
        <f>IFERROR( AVERAGE(F35,F36),"")</f>
        <v/>
      </c>
      <c r="H35" s="703" t="str">
        <f>IF(ISBLANK(G35),"",G35-G33)</f>
        <v/>
      </c>
      <c r="I35" s="704" t="str">
        <f>IFERROR(IF(ISBLANK(G35),"",(G35/G33)-1),)</f>
        <v/>
      </c>
      <c r="J35" s="705"/>
    </row>
    <row r="36">
      <c r="B36" s="706"/>
      <c r="D36" s="700" t="str">
        <f t="shared" si="1"/>
        <v>jueves</v>
      </c>
      <c r="E36" s="701">
        <f>E35+3</f>
        <v>45386</v>
      </c>
      <c r="F36" s="699"/>
      <c r="J36" s="491"/>
    </row>
    <row r="37">
      <c r="B37" s="717"/>
      <c r="C37" s="709">
        <v>12.0</v>
      </c>
      <c r="D37" s="710" t="str">
        <f t="shared" si="1"/>
        <v>lunes</v>
      </c>
      <c r="E37" s="711">
        <f>E36+4</f>
        <v>45390</v>
      </c>
      <c r="F37" s="709"/>
      <c r="G37" s="713" t="str">
        <f>IFERROR( AVERAGE(F37,F38),"")</f>
        <v/>
      </c>
      <c r="H37" s="719" t="str">
        <f>IF(ISBLANK(G37),"",G37-G35)</f>
        <v/>
      </c>
      <c r="I37" s="720" t="str">
        <f>IFERROR(IF(ISBLANK(G37),"",(G37/G35)-1),)</f>
        <v/>
      </c>
      <c r="J37" s="716"/>
    </row>
    <row r="38">
      <c r="B38" s="706"/>
      <c r="D38" s="710" t="str">
        <f t="shared" si="1"/>
        <v>jueves</v>
      </c>
      <c r="E38" s="711">
        <f>E37+3</f>
        <v>45393</v>
      </c>
      <c r="F38" s="709"/>
      <c r="J38" s="491"/>
    </row>
    <row r="39">
      <c r="B39" s="718"/>
      <c r="C39" s="699">
        <v>13.0</v>
      </c>
      <c r="D39" s="700" t="str">
        <f t="shared" si="1"/>
        <v>lunes</v>
      </c>
      <c r="E39" s="701">
        <f>E38+4</f>
        <v>45397</v>
      </c>
      <c r="F39" s="699"/>
      <c r="G39" s="702" t="str">
        <f>IFERROR( AVERAGE(F39,F40),"")</f>
        <v/>
      </c>
      <c r="H39" s="703" t="str">
        <f>IF(ISBLANK(G39),"",G39-G37)</f>
        <v/>
      </c>
      <c r="I39" s="704" t="str">
        <f>IFERROR(IF(ISBLANK(G39),"",(G39/G37)-1),)</f>
        <v/>
      </c>
      <c r="J39" s="705"/>
    </row>
    <row r="40">
      <c r="B40" s="706"/>
      <c r="D40" s="700" t="str">
        <f t="shared" si="1"/>
        <v>jueves</v>
      </c>
      <c r="E40" s="701">
        <f>E39+3</f>
        <v>45400</v>
      </c>
      <c r="F40" s="699"/>
      <c r="J40" s="491"/>
    </row>
    <row r="41">
      <c r="B41" s="717"/>
      <c r="C41" s="709">
        <v>14.0</v>
      </c>
      <c r="D41" s="710" t="str">
        <f t="shared" si="1"/>
        <v>lunes</v>
      </c>
      <c r="E41" s="711">
        <f>E40+4</f>
        <v>45404</v>
      </c>
      <c r="F41" s="709"/>
      <c r="G41" s="713" t="str">
        <f>IFERROR( AVERAGE(F41,F42),"")</f>
        <v/>
      </c>
      <c r="H41" s="719" t="str">
        <f>IF(ISBLANK(G41),"",G41-G39)</f>
        <v/>
      </c>
      <c r="I41" s="720" t="str">
        <f>IFERROR(IF(ISBLANK(G41),"",(G41/G39)-1),)</f>
        <v/>
      </c>
      <c r="J41" s="716"/>
    </row>
    <row r="42">
      <c r="B42" s="706"/>
      <c r="D42" s="710" t="str">
        <f t="shared" si="1"/>
        <v>jueves</v>
      </c>
      <c r="E42" s="711">
        <f>E41+3</f>
        <v>45407</v>
      </c>
      <c r="F42" s="709"/>
      <c r="J42" s="491"/>
    </row>
    <row r="43">
      <c r="B43" s="718"/>
      <c r="C43" s="699">
        <v>15.0</v>
      </c>
      <c r="D43" s="700" t="str">
        <f t="shared" si="1"/>
        <v>lunes</v>
      </c>
      <c r="E43" s="701">
        <f>E42+4</f>
        <v>45411</v>
      </c>
      <c r="F43" s="699"/>
      <c r="G43" s="702" t="str">
        <f>IFERROR( AVERAGE(F43,F44),"")</f>
        <v/>
      </c>
      <c r="H43" s="703" t="str">
        <f>IF(ISBLANK(G43),"",G43-G41)</f>
        <v/>
      </c>
      <c r="I43" s="704" t="str">
        <f>IFERROR(IF(ISBLANK(G43),"",(G43/G41)-1),)</f>
        <v/>
      </c>
      <c r="J43" s="705"/>
    </row>
    <row r="44">
      <c r="B44" s="706"/>
      <c r="D44" s="700" t="str">
        <f t="shared" si="1"/>
        <v>jueves</v>
      </c>
      <c r="E44" s="701">
        <f>E43+3</f>
        <v>45414</v>
      </c>
      <c r="F44" s="699"/>
      <c r="J44" s="491"/>
    </row>
    <row r="45">
      <c r="B45" s="717"/>
      <c r="C45" s="709">
        <v>16.0</v>
      </c>
      <c r="D45" s="710" t="str">
        <f t="shared" si="1"/>
        <v>lunes</v>
      </c>
      <c r="E45" s="711">
        <f>E44+4</f>
        <v>45418</v>
      </c>
      <c r="F45" s="709"/>
      <c r="G45" s="721" t="str">
        <f>IFERROR( AVERAGE(F45,F46),"")</f>
        <v/>
      </c>
      <c r="H45" s="719" t="str">
        <f>IF(ISBLANK(G45),"",G45-G43)</f>
        <v/>
      </c>
      <c r="I45" s="720" t="str">
        <f>IFERROR(IF(ISBLANK(G45),"",(G45/G43)-1),)</f>
        <v/>
      </c>
      <c r="J45" s="716"/>
    </row>
    <row r="46">
      <c r="B46" s="706"/>
      <c r="D46" s="710" t="str">
        <f t="shared" si="1"/>
        <v>jueves</v>
      </c>
      <c r="E46" s="711">
        <f>E45+3</f>
        <v>45421</v>
      </c>
      <c r="F46" s="722"/>
      <c r="J46" s="491"/>
    </row>
    <row r="47">
      <c r="B47" s="718"/>
      <c r="C47" s="699">
        <v>17.0</v>
      </c>
      <c r="D47" s="700" t="str">
        <f t="shared" si="1"/>
        <v>lunes</v>
      </c>
      <c r="E47" s="701">
        <f>E46+4</f>
        <v>45425</v>
      </c>
      <c r="F47" s="391"/>
      <c r="G47" s="702" t="str">
        <f>IFERROR( AVERAGE(F47,F48),"")</f>
        <v/>
      </c>
      <c r="H47" s="703" t="str">
        <f>IF(ISBLANK(G47),"",G47-G45)</f>
        <v/>
      </c>
      <c r="I47" s="704" t="str">
        <f>IFERROR(IF(ISBLANK(G47),"",(G47/G45)-1),)</f>
        <v/>
      </c>
      <c r="J47" s="705"/>
    </row>
    <row r="48">
      <c r="B48" s="706"/>
      <c r="D48" s="700" t="str">
        <f t="shared" si="1"/>
        <v>jueves</v>
      </c>
      <c r="E48" s="701">
        <f>E47+3</f>
        <v>45428</v>
      </c>
      <c r="F48" s="391"/>
      <c r="J48" s="491"/>
    </row>
    <row r="49">
      <c r="B49" s="717"/>
      <c r="C49" s="709">
        <v>18.0</v>
      </c>
      <c r="D49" s="710" t="str">
        <f t="shared" si="1"/>
        <v>lunes</v>
      </c>
      <c r="E49" s="711">
        <f>E48+4</f>
        <v>45432</v>
      </c>
      <c r="F49" s="27">
        <v>88.0</v>
      </c>
      <c r="G49" s="721">
        <f>IFERROR( AVERAGE(F49,F50),"")</f>
        <v>88</v>
      </c>
      <c r="H49" s="719">
        <f>IF(ISBLANK(G49),"",G49-G47)</f>
        <v>88</v>
      </c>
      <c r="I49" s="720" t="str">
        <f>IFERROR(IF(ISBLANK(G49),"",(G49/G47)-1),)</f>
        <v/>
      </c>
      <c r="J49" s="716"/>
    </row>
    <row r="50">
      <c r="B50" s="706"/>
      <c r="D50" s="710" t="str">
        <f t="shared" si="1"/>
        <v>jueves</v>
      </c>
      <c r="E50" s="711">
        <f>E49+3</f>
        <v>45435</v>
      </c>
      <c r="F50" s="4"/>
      <c r="J50" s="491"/>
    </row>
    <row r="51">
      <c r="B51" s="718"/>
      <c r="C51" s="699">
        <v>19.0</v>
      </c>
      <c r="D51" s="700" t="str">
        <f t="shared" si="1"/>
        <v>lunes</v>
      </c>
      <c r="E51" s="701">
        <f>E50+4</f>
        <v>45439</v>
      </c>
      <c r="F51" s="391"/>
      <c r="G51" s="702" t="str">
        <f>IFERROR( AVERAGE(F51,F52),"")</f>
        <v/>
      </c>
      <c r="H51" s="703" t="str">
        <f>IF(ISBLANK(G51),"",G51-G49)</f>
        <v/>
      </c>
      <c r="I51" s="704" t="str">
        <f>IFERROR(IF(ISBLANK(G51),"",(G51/G49)-1),)</f>
        <v/>
      </c>
      <c r="J51" s="705"/>
    </row>
    <row r="52">
      <c r="B52" s="706"/>
      <c r="D52" s="700" t="str">
        <f t="shared" si="1"/>
        <v>jueves</v>
      </c>
      <c r="E52" s="701">
        <f>E51+3</f>
        <v>45442</v>
      </c>
      <c r="F52" s="391"/>
      <c r="J52" s="491"/>
    </row>
    <row r="53">
      <c r="B53" s="717"/>
      <c r="C53" s="709">
        <v>20.0</v>
      </c>
      <c r="D53" s="710" t="str">
        <f t="shared" si="1"/>
        <v>lunes</v>
      </c>
      <c r="E53" s="711">
        <f>E52+4</f>
        <v>45446</v>
      </c>
      <c r="F53" s="4"/>
      <c r="G53" s="721" t="str">
        <f>IFERROR( AVERAGE(F53,F54),"")</f>
        <v/>
      </c>
      <c r="H53" s="719" t="str">
        <f>IF(ISBLANK(G53),"",G53-G51)</f>
        <v/>
      </c>
      <c r="I53" s="720" t="str">
        <f>IFERROR(IF(ISBLANK(G53),"",(G53/G51)-1),)</f>
        <v/>
      </c>
      <c r="J53" s="716"/>
    </row>
    <row r="54">
      <c r="B54" s="706"/>
      <c r="D54" s="710" t="str">
        <f t="shared" si="1"/>
        <v>jueves</v>
      </c>
      <c r="E54" s="711">
        <f>E53+3</f>
        <v>45449</v>
      </c>
      <c r="F54" s="4"/>
      <c r="J54" s="491"/>
    </row>
    <row r="55">
      <c r="B55" s="718"/>
      <c r="C55" s="699">
        <v>21.0</v>
      </c>
      <c r="D55" s="700" t="str">
        <f t="shared" si="1"/>
        <v>lunes</v>
      </c>
      <c r="E55" s="701">
        <f>E54+4</f>
        <v>45453</v>
      </c>
      <c r="F55" s="391"/>
      <c r="G55" s="702">
        <f>IFERROR( AVERAGE(F55,F56),"")</f>
        <v>87</v>
      </c>
      <c r="H55" s="703">
        <f>IF(ISBLANK(G55),"",G55-G53)</f>
        <v>87</v>
      </c>
      <c r="I55" s="704" t="str">
        <f>IFERROR(IF(ISBLANK(G55),"",(G55/G53)-1),)</f>
        <v/>
      </c>
      <c r="J55" s="705">
        <v>87.0</v>
      </c>
    </row>
    <row r="56">
      <c r="B56" s="706"/>
      <c r="D56" s="700" t="str">
        <f t="shared" si="1"/>
        <v>jueves</v>
      </c>
      <c r="E56" s="701">
        <f>E55+3</f>
        <v>45456</v>
      </c>
      <c r="F56" s="430">
        <v>87.0</v>
      </c>
      <c r="J56" s="491"/>
    </row>
    <row r="57">
      <c r="B57" s="717"/>
      <c r="C57" s="709">
        <v>22.0</v>
      </c>
      <c r="D57" s="710" t="str">
        <f t="shared" si="1"/>
        <v>lunes</v>
      </c>
      <c r="E57" s="711">
        <f>E56+4</f>
        <v>45460</v>
      </c>
      <c r="F57" s="4"/>
      <c r="G57" s="721">
        <f>IFERROR( AVERAGE(F57,F58),"")</f>
        <v>86.7</v>
      </c>
      <c r="H57" s="719">
        <f>IF(ISBLANK(G57),"",G57-G55)</f>
        <v>-0.3</v>
      </c>
      <c r="I57" s="720">
        <f>IFERROR(IF(ISBLANK(G57),"",(G57/G55)-1),)</f>
        <v>-0.003448275862</v>
      </c>
      <c r="J57" s="716"/>
    </row>
    <row r="58">
      <c r="B58" s="706"/>
      <c r="D58" s="710" t="str">
        <f t="shared" si="1"/>
        <v>jueves</v>
      </c>
      <c r="E58" s="711">
        <f>E57+3</f>
        <v>45463</v>
      </c>
      <c r="F58" s="27">
        <v>86.7</v>
      </c>
      <c r="J58" s="491"/>
    </row>
    <row r="59">
      <c r="B59" s="718"/>
      <c r="C59" s="699">
        <v>23.0</v>
      </c>
      <c r="D59" s="700" t="str">
        <f t="shared" si="1"/>
        <v>lunes</v>
      </c>
      <c r="E59" s="701">
        <f>E58+4</f>
        <v>45467</v>
      </c>
      <c r="F59" s="391"/>
      <c r="G59" s="702" t="str">
        <f>IFERROR( AVERAGE(F59,F60),"")</f>
        <v/>
      </c>
      <c r="H59" s="703" t="str">
        <f>IF(ISBLANK(G59),"",G59-G57)</f>
        <v/>
      </c>
      <c r="I59" s="704" t="str">
        <f>IFERROR(IF(ISBLANK(G59),"",(G59/G57)-1),)</f>
        <v/>
      </c>
      <c r="J59" s="705"/>
    </row>
    <row r="60">
      <c r="B60" s="706"/>
      <c r="D60" s="700" t="str">
        <f t="shared" si="1"/>
        <v>jueves</v>
      </c>
      <c r="E60" s="701">
        <f>E59+3</f>
        <v>45470</v>
      </c>
      <c r="F60" s="391"/>
      <c r="J60" s="491"/>
    </row>
    <row r="61">
      <c r="B61" s="717"/>
      <c r="C61" s="709">
        <v>24.0</v>
      </c>
      <c r="D61" s="710" t="str">
        <f t="shared" si="1"/>
        <v>lunes</v>
      </c>
      <c r="E61" s="711">
        <f>E60+4</f>
        <v>45474</v>
      </c>
      <c r="F61" s="4"/>
      <c r="G61" s="721" t="str">
        <f>IFERROR( AVERAGE(F61,F62),"")</f>
        <v/>
      </c>
      <c r="H61" s="719" t="str">
        <f>IF(ISBLANK(G61),"",G61-G59)</f>
        <v/>
      </c>
      <c r="I61" s="720" t="str">
        <f>IFERROR(IF(ISBLANK(G61),"",(G61/G59)-1),)</f>
        <v/>
      </c>
      <c r="J61" s="716"/>
    </row>
    <row r="62">
      <c r="B62" s="706"/>
      <c r="D62" s="710" t="str">
        <f t="shared" si="1"/>
        <v>jueves</v>
      </c>
      <c r="E62" s="711">
        <f>E61+3</f>
        <v>45477</v>
      </c>
      <c r="F62" s="4"/>
      <c r="J62" s="491"/>
    </row>
    <row r="63">
      <c r="B63" s="718"/>
      <c r="C63" s="699">
        <v>25.0</v>
      </c>
      <c r="D63" s="700" t="str">
        <f t="shared" si="1"/>
        <v>lunes</v>
      </c>
      <c r="E63" s="701">
        <f>E62+4</f>
        <v>45481</v>
      </c>
      <c r="F63" s="391"/>
      <c r="G63" s="702">
        <f>IFERROR( AVERAGE(F63,F64),"")</f>
        <v>86</v>
      </c>
      <c r="H63" s="703">
        <f>IF(ISBLANK(G63),"",G63-G61)</f>
        <v>86</v>
      </c>
      <c r="I63" s="704" t="str">
        <f>IFERROR(IF(ISBLANK(G63),"",(G63/G61)-1),)</f>
        <v/>
      </c>
      <c r="J63" s="705"/>
    </row>
    <row r="64">
      <c r="B64" s="706"/>
      <c r="D64" s="700" t="str">
        <f t="shared" si="1"/>
        <v>jueves</v>
      </c>
      <c r="E64" s="701">
        <f>E63+3</f>
        <v>45484</v>
      </c>
      <c r="F64" s="430">
        <v>86.0</v>
      </c>
      <c r="J64" s="491"/>
    </row>
    <row r="65">
      <c r="B65" s="717"/>
      <c r="C65" s="709">
        <v>26.0</v>
      </c>
      <c r="D65" s="710" t="str">
        <f t="shared" si="1"/>
        <v>lunes</v>
      </c>
      <c r="E65" s="711">
        <f>E64+4</f>
        <v>45488</v>
      </c>
      <c r="F65" s="4"/>
      <c r="G65" s="721" t="str">
        <f>IFERROR( AVERAGE(F65,F66),"")</f>
        <v/>
      </c>
      <c r="H65" s="719" t="str">
        <f>IF(ISBLANK(G65),"",G65-G63)</f>
        <v/>
      </c>
      <c r="I65" s="720" t="str">
        <f>IFERROR(IF(ISBLANK(G65),"",(G65/G63)-1),)</f>
        <v/>
      </c>
      <c r="J65" s="716"/>
    </row>
    <row r="66">
      <c r="B66" s="706"/>
      <c r="D66" s="710" t="str">
        <f t="shared" si="1"/>
        <v>jueves</v>
      </c>
      <c r="E66" s="711">
        <f>E65+3</f>
        <v>45491</v>
      </c>
      <c r="F66" s="4"/>
      <c r="J66" s="491"/>
    </row>
    <row r="67">
      <c r="B67" s="718"/>
      <c r="C67" s="699">
        <v>27.0</v>
      </c>
      <c r="D67" s="700" t="str">
        <f t="shared" si="1"/>
        <v>lunes</v>
      </c>
      <c r="E67" s="701">
        <f>E66+4</f>
        <v>45495</v>
      </c>
      <c r="F67" s="391"/>
      <c r="G67" s="702" t="str">
        <f>IFERROR( AVERAGE(F67,F68),"")</f>
        <v/>
      </c>
      <c r="H67" s="703" t="str">
        <f>IF(ISBLANK(G67),"",G67-G65)</f>
        <v/>
      </c>
      <c r="I67" s="704" t="str">
        <f>IFERROR(IF(ISBLANK(G67),"",(G67/G65)-1),)</f>
        <v/>
      </c>
      <c r="J67" s="705"/>
    </row>
    <row r="68">
      <c r="B68" s="706"/>
      <c r="D68" s="700" t="str">
        <f t="shared" si="1"/>
        <v>jueves</v>
      </c>
      <c r="E68" s="701">
        <f>E67+3</f>
        <v>45498</v>
      </c>
      <c r="F68" s="391"/>
      <c r="J68" s="491"/>
    </row>
    <row r="69">
      <c r="B69" s="717"/>
      <c r="C69" s="709">
        <v>28.0</v>
      </c>
      <c r="D69" s="710" t="str">
        <f t="shared" si="1"/>
        <v>lunes</v>
      </c>
      <c r="E69" s="711">
        <f>E68+4</f>
        <v>45502</v>
      </c>
      <c r="F69" s="4"/>
      <c r="G69" s="721" t="str">
        <f>IFERROR( AVERAGE(F69,F70),"")</f>
        <v/>
      </c>
      <c r="H69" s="719" t="str">
        <f>IF(ISBLANK(G69),"",G69-G67)</f>
        <v/>
      </c>
      <c r="I69" s="720" t="str">
        <f>IFERROR(IF(ISBLANK(G69),"",(G69/G67)-1),)</f>
        <v/>
      </c>
      <c r="J69" s="716"/>
    </row>
    <row r="70">
      <c r="B70" s="706"/>
      <c r="D70" s="710" t="str">
        <f t="shared" si="1"/>
        <v>jueves</v>
      </c>
      <c r="E70" s="711">
        <f>E69+3</f>
        <v>45505</v>
      </c>
      <c r="F70" s="4"/>
      <c r="J70" s="491"/>
    </row>
    <row r="71">
      <c r="B71" s="718"/>
      <c r="C71" s="699">
        <v>29.0</v>
      </c>
      <c r="D71" s="700" t="str">
        <f t="shared" si="1"/>
        <v>lunes</v>
      </c>
      <c r="E71" s="701">
        <f>E70+4</f>
        <v>45509</v>
      </c>
      <c r="F71" s="391"/>
      <c r="G71" s="702" t="str">
        <f>IFERROR( AVERAGE(F71,F72),"")</f>
        <v/>
      </c>
      <c r="H71" s="703" t="str">
        <f>IF(ISBLANK(G71),"",G71-G69)</f>
        <v/>
      </c>
      <c r="I71" s="704" t="str">
        <f>IFERROR(IF(ISBLANK(G71),"",(G71/G69)-1),)</f>
        <v/>
      </c>
      <c r="J71" s="705"/>
    </row>
    <row r="72">
      <c r="B72" s="706"/>
      <c r="D72" s="700" t="str">
        <f t="shared" si="1"/>
        <v>jueves</v>
      </c>
      <c r="E72" s="701">
        <f>E71+3</f>
        <v>45512</v>
      </c>
      <c r="F72" s="391"/>
      <c r="J72" s="491"/>
    </row>
    <row r="73">
      <c r="B73" s="717"/>
      <c r="C73" s="709">
        <v>30.0</v>
      </c>
      <c r="D73" s="710" t="str">
        <f t="shared" si="1"/>
        <v>lunes</v>
      </c>
      <c r="E73" s="711">
        <f>E72+4</f>
        <v>45516</v>
      </c>
      <c r="G73" s="721" t="str">
        <f>IFERROR( AVERAGE(F73,F74),"")</f>
        <v/>
      </c>
      <c r="H73" s="719" t="str">
        <f>IF(ISBLANK(G73),"",G73-G71)</f>
        <v/>
      </c>
      <c r="I73" s="720" t="str">
        <f>IFERROR(IF(ISBLANK(G73),"",(G73/G71)-1),)</f>
        <v/>
      </c>
      <c r="J73" s="716"/>
    </row>
    <row r="74">
      <c r="B74" s="706"/>
      <c r="D74" s="710" t="str">
        <f t="shared" si="1"/>
        <v>jueves</v>
      </c>
      <c r="E74" s="711">
        <f>E73+3</f>
        <v>45519</v>
      </c>
      <c r="J74" s="491"/>
    </row>
    <row r="75">
      <c r="B75" s="718"/>
      <c r="C75" s="699">
        <v>31.0</v>
      </c>
      <c r="D75" s="700" t="str">
        <f t="shared" si="1"/>
        <v>lunes</v>
      </c>
      <c r="E75" s="701">
        <f>E74+4</f>
        <v>45523</v>
      </c>
      <c r="F75" s="430">
        <v>85.69</v>
      </c>
      <c r="G75" s="702">
        <f>IFERROR( AVERAGE(F75,F76),"")</f>
        <v>85.69</v>
      </c>
      <c r="H75" s="703">
        <f>IF(ISBLANK(G75),"",G75-G73)</f>
        <v>85.69</v>
      </c>
      <c r="I75" s="704" t="str">
        <f>IFERROR(IF(ISBLANK(G75),"",(G75/G73)-1),)</f>
        <v/>
      </c>
      <c r="J75" s="705"/>
    </row>
    <row r="76">
      <c r="B76" s="706"/>
      <c r="D76" s="700" t="str">
        <f t="shared" si="1"/>
        <v>jueves</v>
      </c>
      <c r="E76" s="701">
        <f>E75+3</f>
        <v>45526</v>
      </c>
      <c r="F76" s="391"/>
      <c r="J76" s="491"/>
    </row>
    <row r="77">
      <c r="B77" s="717"/>
      <c r="C77" s="709">
        <v>32.0</v>
      </c>
      <c r="D77" s="710" t="str">
        <f t="shared" si="1"/>
        <v>lunes</v>
      </c>
      <c r="E77" s="711">
        <f>E76+4</f>
        <v>45530</v>
      </c>
      <c r="F77" s="4"/>
      <c r="G77" s="721" t="str">
        <f>IFERROR( AVERAGE(F77,F78),"")</f>
        <v/>
      </c>
      <c r="H77" s="719" t="str">
        <f>IF(ISBLANK(G77),"",G77-G75)</f>
        <v/>
      </c>
      <c r="I77" s="720" t="str">
        <f>IFERROR(IF(ISBLANK(G77),"",(G77/G75)-1),)</f>
        <v/>
      </c>
      <c r="J77" s="716"/>
    </row>
    <row r="78">
      <c r="B78" s="706"/>
      <c r="D78" s="710" t="str">
        <f t="shared" si="1"/>
        <v>jueves</v>
      </c>
      <c r="E78" s="711">
        <f>E77+3</f>
        <v>45533</v>
      </c>
      <c r="F78" s="4"/>
      <c r="J78" s="491"/>
    </row>
    <row r="79">
      <c r="B79" s="718"/>
      <c r="C79" s="699">
        <v>33.0</v>
      </c>
      <c r="D79" s="700" t="str">
        <f t="shared" si="1"/>
        <v>lunes</v>
      </c>
      <c r="E79" s="701">
        <f>E78+4</f>
        <v>45537</v>
      </c>
      <c r="F79" s="391"/>
      <c r="G79" s="702" t="str">
        <f>IFERROR( AVERAGE(F79,F80),"")</f>
        <v/>
      </c>
      <c r="H79" s="703" t="str">
        <f>IF(ISBLANK(G79),"",G79-G77)</f>
        <v/>
      </c>
      <c r="I79" s="704" t="str">
        <f>IFERROR(IF(ISBLANK(G79),"",(G79/G77)-1),)</f>
        <v/>
      </c>
      <c r="J79" s="705"/>
    </row>
    <row r="80">
      <c r="B80" s="706"/>
      <c r="D80" s="700" t="str">
        <f t="shared" si="1"/>
        <v>jueves</v>
      </c>
      <c r="E80" s="701">
        <f>E79+3</f>
        <v>45540</v>
      </c>
      <c r="F80" s="391"/>
      <c r="J80" s="491"/>
    </row>
    <row r="81">
      <c r="B81" s="717"/>
      <c r="C81" s="709">
        <v>34.0</v>
      </c>
      <c r="D81" s="710" t="str">
        <f t="shared" si="1"/>
        <v>lunes</v>
      </c>
      <c r="E81" s="711">
        <f>E80+4</f>
        <v>45544</v>
      </c>
      <c r="F81" s="4"/>
      <c r="G81" s="721" t="str">
        <f>IFERROR( AVERAGE(F81,F82),"")</f>
        <v/>
      </c>
      <c r="H81" s="719" t="str">
        <f>IF(ISBLANK(G81),"",G81-G79)</f>
        <v/>
      </c>
      <c r="I81" s="720" t="str">
        <f>IFERROR(IF(ISBLANK(G81),"",(G81/G79)-1),)</f>
        <v/>
      </c>
      <c r="J81" s="716"/>
    </row>
    <row r="82">
      <c r="B82" s="706"/>
      <c r="D82" s="710" t="str">
        <f t="shared" si="1"/>
        <v>jueves</v>
      </c>
      <c r="E82" s="711">
        <f>E81+3</f>
        <v>45547</v>
      </c>
      <c r="F82" s="4"/>
      <c r="J82" s="491"/>
    </row>
    <row r="83">
      <c r="B83" s="718"/>
      <c r="C83" s="699">
        <v>35.0</v>
      </c>
      <c r="D83" s="700" t="str">
        <f t="shared" si="1"/>
        <v>lunes</v>
      </c>
      <c r="E83" s="701">
        <f>E82+4</f>
        <v>45551</v>
      </c>
      <c r="F83" s="391"/>
      <c r="G83" s="702" t="str">
        <f>IFERROR( AVERAGE(F83,F84),"")</f>
        <v/>
      </c>
      <c r="H83" s="703" t="str">
        <f>IF(ISBLANK(G83),"",G83-G81)</f>
        <v/>
      </c>
      <c r="I83" s="704" t="str">
        <f>IFERROR(IF(ISBLANK(G83),"",(G83/G81)-1),)</f>
        <v/>
      </c>
      <c r="J83" s="705"/>
    </row>
    <row r="84">
      <c r="B84" s="706"/>
      <c r="D84" s="700" t="str">
        <f t="shared" si="1"/>
        <v>jueves</v>
      </c>
      <c r="E84" s="701">
        <f>E83+3</f>
        <v>45554</v>
      </c>
      <c r="F84" s="391"/>
      <c r="J84" s="491"/>
    </row>
    <row r="85">
      <c r="B85" s="717"/>
      <c r="C85" s="709">
        <v>36.0</v>
      </c>
      <c r="D85" s="710" t="str">
        <f t="shared" si="1"/>
        <v>lunes</v>
      </c>
      <c r="E85" s="711">
        <f>E84+4</f>
        <v>45558</v>
      </c>
      <c r="F85" s="4"/>
      <c r="G85" s="721" t="str">
        <f>IFERROR( AVERAGE(F85,F86),"")</f>
        <v/>
      </c>
      <c r="H85" s="719" t="str">
        <f>IF(ISBLANK(G85),"",G85-G83)</f>
        <v/>
      </c>
      <c r="I85" s="720" t="str">
        <f>IFERROR(IF(ISBLANK(G85),"",(G85/G83)-1),)</f>
        <v/>
      </c>
      <c r="J85" s="716"/>
    </row>
    <row r="86">
      <c r="B86" s="706"/>
      <c r="D86" s="710" t="str">
        <f t="shared" si="1"/>
        <v>jueves</v>
      </c>
      <c r="E86" s="711">
        <f>E85+3</f>
        <v>45561</v>
      </c>
      <c r="F86" s="4"/>
      <c r="J86" s="491"/>
    </row>
    <row r="87">
      <c r="B87" s="718"/>
      <c r="C87" s="699">
        <v>37.0</v>
      </c>
      <c r="D87" s="700" t="str">
        <f t="shared" si="1"/>
        <v>lunes</v>
      </c>
      <c r="E87" s="701">
        <f>E86+4</f>
        <v>45565</v>
      </c>
      <c r="F87" s="391"/>
      <c r="G87" s="702" t="str">
        <f>IFERROR( AVERAGE(F87,F88),"")</f>
        <v/>
      </c>
      <c r="H87" s="703" t="str">
        <f>IF(ISBLANK(G87),"",G87-G85)</f>
        <v/>
      </c>
      <c r="I87" s="704" t="str">
        <f>IFERROR(IF(ISBLANK(G87),"",(G87/G85)-1),)</f>
        <v/>
      </c>
      <c r="J87" s="705"/>
    </row>
    <row r="88">
      <c r="B88" s="706"/>
      <c r="D88" s="700" t="str">
        <f t="shared" si="1"/>
        <v>jueves</v>
      </c>
      <c r="E88" s="701">
        <f>E87+3</f>
        <v>45568</v>
      </c>
      <c r="F88" s="391"/>
      <c r="J88" s="491"/>
    </row>
    <row r="89">
      <c r="B89" s="717"/>
      <c r="C89" s="709">
        <v>38.0</v>
      </c>
      <c r="D89" s="710" t="str">
        <f t="shared" si="1"/>
        <v>lunes</v>
      </c>
      <c r="E89" s="711">
        <f>E88+4</f>
        <v>45572</v>
      </c>
      <c r="F89" s="27">
        <v>81.5</v>
      </c>
      <c r="G89" s="721">
        <f>IFERROR( AVERAGE(F89,F90),"")</f>
        <v>81.5</v>
      </c>
      <c r="H89" s="719">
        <f>IF(ISBLANK(G89),"",G89-G87)</f>
        <v>81.5</v>
      </c>
      <c r="I89" s="720" t="str">
        <f>IFERROR(IF(ISBLANK(G89),"",(G89/G87)-1),)</f>
        <v/>
      </c>
      <c r="J89" s="716"/>
    </row>
    <row r="90">
      <c r="B90" s="706"/>
      <c r="D90" s="710" t="str">
        <f t="shared" si="1"/>
        <v>jueves</v>
      </c>
      <c r="E90" s="711">
        <f>E89+3</f>
        <v>45575</v>
      </c>
      <c r="F90" s="4"/>
      <c r="J90" s="491"/>
    </row>
    <row r="91">
      <c r="B91" s="718"/>
      <c r="C91" s="699">
        <v>39.0</v>
      </c>
      <c r="D91" s="700" t="str">
        <f t="shared" si="1"/>
        <v>lunes</v>
      </c>
      <c r="E91" s="701">
        <f>E90+4</f>
        <v>45579</v>
      </c>
      <c r="F91" s="391"/>
      <c r="G91" s="702" t="str">
        <f>IFERROR( AVERAGE(F91,F92),"")</f>
        <v/>
      </c>
      <c r="H91" s="703" t="str">
        <f>IF(ISBLANK(G91),"",G91-G89)</f>
        <v/>
      </c>
      <c r="I91" s="704" t="str">
        <f>IFERROR(IF(ISBLANK(G91),"",(G91/G89)-1),)</f>
        <v/>
      </c>
      <c r="J91" s="705"/>
    </row>
    <row r="92">
      <c r="B92" s="706"/>
      <c r="D92" s="700" t="str">
        <f t="shared" si="1"/>
        <v>jueves</v>
      </c>
      <c r="E92" s="701">
        <f>E91+3</f>
        <v>45582</v>
      </c>
      <c r="F92" s="391"/>
      <c r="J92" s="491"/>
    </row>
    <row r="93">
      <c r="B93" s="717"/>
      <c r="C93" s="709">
        <v>40.0</v>
      </c>
      <c r="D93" s="710" t="str">
        <f t="shared" si="1"/>
        <v>lunes</v>
      </c>
      <c r="E93" s="711">
        <f>E92+4</f>
        <v>45586</v>
      </c>
      <c r="F93" s="723">
        <v>82.8</v>
      </c>
      <c r="G93" s="721">
        <f>IFERROR( AVERAGE(F93,F94),"")</f>
        <v>82.8</v>
      </c>
      <c r="H93" s="719">
        <f>IF(ISBLANK(G93),"",G93-G91)</f>
        <v>82.8</v>
      </c>
      <c r="I93" s="720" t="str">
        <f>IFERROR(IF(ISBLANK(G93),"",(G93/G91)-1),)</f>
        <v/>
      </c>
      <c r="J93" s="716"/>
    </row>
    <row r="94">
      <c r="B94" s="706"/>
      <c r="D94" s="710" t="str">
        <f t="shared" si="1"/>
        <v>jueves</v>
      </c>
      <c r="E94" s="711">
        <f>E93+3</f>
        <v>45589</v>
      </c>
      <c r="J94" s="491"/>
    </row>
    <row r="95">
      <c r="B95" s="718"/>
      <c r="C95" s="699">
        <v>41.0</v>
      </c>
      <c r="D95" s="700" t="str">
        <f t="shared" si="1"/>
        <v>lunes</v>
      </c>
      <c r="E95" s="701">
        <f>E94+4</f>
        <v>45593</v>
      </c>
      <c r="F95" s="391"/>
      <c r="G95" s="702" t="str">
        <f>IFERROR( AVERAGE(F95,F96),"")</f>
        <v/>
      </c>
      <c r="H95" s="703" t="str">
        <f>IF(ISBLANK(G95),"",G95-G93)</f>
        <v/>
      </c>
      <c r="I95" s="704" t="str">
        <f>IFERROR(IF(ISBLANK(G95),"",(G95/G93)-1),)</f>
        <v/>
      </c>
      <c r="J95" s="705"/>
    </row>
    <row r="96">
      <c r="B96" s="706"/>
      <c r="D96" s="700" t="str">
        <f t="shared" si="1"/>
        <v>jueves</v>
      </c>
      <c r="E96" s="701">
        <f>E95+3</f>
        <v>45596</v>
      </c>
      <c r="F96" s="391"/>
      <c r="J96" s="491"/>
    </row>
    <row r="97">
      <c r="B97" s="717"/>
      <c r="C97" s="709">
        <v>42.0</v>
      </c>
      <c r="D97" s="710" t="str">
        <f t="shared" si="1"/>
        <v>lunes</v>
      </c>
      <c r="E97" s="711">
        <f>E96+4</f>
        <v>45600</v>
      </c>
      <c r="F97" s="27" t="s">
        <v>640</v>
      </c>
      <c r="G97" s="721">
        <f>IFERROR( AVERAGE(F97,F98),"")</f>
        <v>81.5</v>
      </c>
      <c r="H97" s="719">
        <f>IF(ISBLANK(G97),"",G97-G95)</f>
        <v>81.5</v>
      </c>
      <c r="I97" s="720" t="str">
        <f>IFERROR(IF(ISBLANK(G97),"",(G97/G95)-1),)</f>
        <v/>
      </c>
      <c r="J97" s="716"/>
    </row>
    <row r="98">
      <c r="B98" s="706"/>
      <c r="D98" s="710" t="str">
        <f t="shared" si="1"/>
        <v>jueves</v>
      </c>
      <c r="E98" s="711">
        <f>E97+3</f>
        <v>45603</v>
      </c>
      <c r="F98" s="27">
        <v>81.5</v>
      </c>
      <c r="J98" s="491"/>
    </row>
    <row r="99">
      <c r="B99" s="718"/>
      <c r="C99" s="699">
        <v>43.0</v>
      </c>
      <c r="D99" s="700" t="str">
        <f t="shared" si="1"/>
        <v>lunes</v>
      </c>
      <c r="E99" s="701">
        <f>E98+4</f>
        <v>45607</v>
      </c>
      <c r="F99" s="391"/>
      <c r="G99" s="702" t="str">
        <f>IFERROR( AVERAGE(F99,F100),"")</f>
        <v/>
      </c>
      <c r="H99" s="703" t="str">
        <f>IF(ISBLANK(G99),"",G99-G97)</f>
        <v/>
      </c>
      <c r="I99" s="704" t="str">
        <f>IFERROR(IF(ISBLANK(G99),"",(G99/G97)-1),)</f>
        <v/>
      </c>
      <c r="J99" s="705"/>
    </row>
    <row r="100">
      <c r="B100" s="706"/>
      <c r="D100" s="700" t="str">
        <f t="shared" si="1"/>
        <v>jueves</v>
      </c>
      <c r="E100" s="701">
        <f>E99+3</f>
        <v>45610</v>
      </c>
      <c r="F100" s="391"/>
      <c r="J100" s="491"/>
    </row>
    <row r="101">
      <c r="B101" s="717"/>
      <c r="C101" s="709">
        <v>44.0</v>
      </c>
      <c r="D101" s="710" t="str">
        <f t="shared" si="1"/>
        <v>lunes</v>
      </c>
      <c r="E101" s="711">
        <f>E100+4</f>
        <v>45614</v>
      </c>
      <c r="F101" s="4"/>
      <c r="G101" s="721" t="str">
        <f>IFERROR( AVERAGE(F101,F102),"")</f>
        <v/>
      </c>
      <c r="H101" s="719" t="str">
        <f>IF(ISBLANK(G101),"",G101-G99)</f>
        <v/>
      </c>
      <c r="I101" s="720" t="str">
        <f>IFERROR(IF(ISBLANK(G101),"",(G101/G99)-1),)</f>
        <v/>
      </c>
      <c r="J101" s="716"/>
    </row>
    <row r="102">
      <c r="B102" s="706"/>
      <c r="D102" s="710" t="str">
        <f t="shared" si="1"/>
        <v>jueves</v>
      </c>
      <c r="E102" s="711">
        <f>E101+3</f>
        <v>45617</v>
      </c>
      <c r="F102" s="4"/>
      <c r="J102" s="491"/>
    </row>
    <row r="103">
      <c r="B103" s="718"/>
      <c r="C103" s="699">
        <v>45.0</v>
      </c>
      <c r="D103" s="700" t="str">
        <f t="shared" si="1"/>
        <v>lunes</v>
      </c>
      <c r="E103" s="701">
        <f>E102+4</f>
        <v>45621</v>
      </c>
      <c r="F103" s="391"/>
      <c r="G103" s="702" t="str">
        <f>IFERROR( AVERAGE(F103,F104),"")</f>
        <v/>
      </c>
      <c r="H103" s="703" t="str">
        <f>IF(ISBLANK(G103),"",G103-G101)</f>
        <v/>
      </c>
      <c r="I103" s="704" t="str">
        <f>IFERROR(IF(ISBLANK(G103),"",(G103/G101)-1),)</f>
        <v/>
      </c>
      <c r="J103" s="705"/>
    </row>
    <row r="104">
      <c r="B104" s="706"/>
      <c r="D104" s="700" t="str">
        <f t="shared" si="1"/>
        <v>jueves</v>
      </c>
      <c r="E104" s="701">
        <f>E103+3</f>
        <v>45624</v>
      </c>
      <c r="F104" s="391"/>
      <c r="J104" s="491"/>
    </row>
    <row r="105">
      <c r="B105" s="717"/>
      <c r="C105" s="709">
        <v>46.0</v>
      </c>
      <c r="D105" s="710" t="str">
        <f t="shared" si="1"/>
        <v>lunes</v>
      </c>
      <c r="E105" s="711">
        <f>E104+4</f>
        <v>45628</v>
      </c>
      <c r="G105" s="721" t="str">
        <f>IFERROR( AVERAGE(F105,F106),"")</f>
        <v/>
      </c>
      <c r="H105" s="719" t="str">
        <f>IF(ISBLANK(G105),"",G105-G103)</f>
        <v/>
      </c>
      <c r="I105" s="720" t="str">
        <f>IFERROR(IF(ISBLANK(G105),"",(G105/G103)-1),)</f>
        <v/>
      </c>
      <c r="J105" s="716"/>
    </row>
    <row r="106">
      <c r="B106" s="706"/>
      <c r="D106" s="710" t="str">
        <f t="shared" si="1"/>
        <v>jueves</v>
      </c>
      <c r="E106" s="711">
        <f>E105+3</f>
        <v>45631</v>
      </c>
      <c r="J106" s="491"/>
    </row>
    <row r="107">
      <c r="B107" s="718"/>
      <c r="C107" s="699">
        <v>47.0</v>
      </c>
      <c r="D107" s="700" t="str">
        <f t="shared" si="1"/>
        <v>lunes</v>
      </c>
      <c r="E107" s="701">
        <f>E106+4</f>
        <v>45635</v>
      </c>
      <c r="F107" s="391"/>
      <c r="G107" s="702" t="str">
        <f>IFERROR( AVERAGE(F107,F108),"")</f>
        <v/>
      </c>
      <c r="H107" s="703" t="str">
        <f>IF(ISBLANK(G107),"",G107-G105)</f>
        <v/>
      </c>
      <c r="I107" s="704" t="str">
        <f>IFERROR(IF(ISBLANK(G107),"",(G107/G105)-1),)</f>
        <v/>
      </c>
      <c r="J107" s="705"/>
    </row>
    <row r="108">
      <c r="B108" s="706"/>
      <c r="D108" s="700" t="str">
        <f t="shared" si="1"/>
        <v>jueves</v>
      </c>
      <c r="E108" s="701">
        <f>E107+3</f>
        <v>45638</v>
      </c>
      <c r="F108" s="391"/>
      <c r="J108" s="491"/>
    </row>
    <row r="109">
      <c r="B109" s="717"/>
      <c r="C109" s="709">
        <v>48.0</v>
      </c>
      <c r="D109" s="710" t="str">
        <f t="shared" si="1"/>
        <v>lunes</v>
      </c>
      <c r="E109" s="711">
        <f>E108+4</f>
        <v>45642</v>
      </c>
      <c r="G109" s="721" t="str">
        <f>IFERROR( AVERAGE(F109,F110),"")</f>
        <v/>
      </c>
      <c r="H109" s="719" t="str">
        <f>IF(ISBLANK(G109),"",G109-G107)</f>
        <v/>
      </c>
      <c r="I109" s="720" t="str">
        <f>IFERROR(IF(ISBLANK(G109),"",(G109/G107)-1),)</f>
        <v/>
      </c>
      <c r="J109" s="716"/>
    </row>
    <row r="110">
      <c r="B110" s="706"/>
      <c r="D110" s="710" t="str">
        <f t="shared" si="1"/>
        <v>jueves</v>
      </c>
      <c r="E110" s="711">
        <f>E109+3</f>
        <v>45645</v>
      </c>
      <c r="J110" s="491"/>
    </row>
    <row r="111">
      <c r="B111" s="718"/>
      <c r="C111" s="699">
        <v>49.0</v>
      </c>
      <c r="D111" s="700" t="str">
        <f t="shared" si="1"/>
        <v>lunes</v>
      </c>
      <c r="E111" s="701">
        <f>E110+4</f>
        <v>45649</v>
      </c>
      <c r="F111" s="391"/>
      <c r="G111" s="702" t="str">
        <f>IFERROR( AVERAGE(F111,F112),"")</f>
        <v/>
      </c>
      <c r="H111" s="703" t="str">
        <f>IF(ISBLANK(G111),"",G111-G109)</f>
        <v/>
      </c>
      <c r="I111" s="704" t="str">
        <f>IFERROR(IF(ISBLANK(G111),"",(G111/G109)-1),)</f>
        <v/>
      </c>
      <c r="J111" s="705"/>
    </row>
    <row r="112">
      <c r="B112" s="706"/>
      <c r="D112" s="700" t="str">
        <f t="shared" si="1"/>
        <v>jueves</v>
      </c>
      <c r="E112" s="701">
        <f>E111+3</f>
        <v>45652</v>
      </c>
      <c r="F112" s="391"/>
      <c r="J112" s="491"/>
    </row>
    <row r="113">
      <c r="B113" s="717"/>
      <c r="C113" s="709">
        <v>50.0</v>
      </c>
      <c r="D113" s="710" t="str">
        <f t="shared" si="1"/>
        <v>lunes</v>
      </c>
      <c r="E113" s="724">
        <f>E112+4</f>
        <v>45656</v>
      </c>
      <c r="G113" s="721" t="str">
        <f>IFERROR( AVERAGE(F113,F114),"")</f>
        <v/>
      </c>
      <c r="H113" s="719" t="str">
        <f>IF(ISBLANK(G113),"",G113-G111)</f>
        <v/>
      </c>
      <c r="I113" s="720" t="str">
        <f>IFERROR(IF(ISBLANK(G113),"",(G113/G111)-1),)</f>
        <v/>
      </c>
      <c r="J113" s="716"/>
    </row>
    <row r="114">
      <c r="B114" s="706"/>
      <c r="D114" s="710" t="str">
        <f t="shared" si="1"/>
        <v>jueves</v>
      </c>
      <c r="E114" s="724">
        <f>E113+3</f>
        <v>45659</v>
      </c>
      <c r="J114" s="491"/>
    </row>
    <row r="115">
      <c r="B115" s="718"/>
      <c r="C115" s="699">
        <v>51.0</v>
      </c>
      <c r="D115" s="700" t="str">
        <f t="shared" si="1"/>
        <v>lunes</v>
      </c>
      <c r="E115" s="701">
        <f>E114+4</f>
        <v>45663</v>
      </c>
      <c r="F115" s="391"/>
      <c r="G115" s="702" t="str">
        <f>IFERROR( AVERAGE(F115,F116),"")</f>
        <v/>
      </c>
      <c r="H115" s="703" t="str">
        <f>IF(ISBLANK(G115),"",G115-G113)</f>
        <v/>
      </c>
      <c r="I115" s="704" t="str">
        <f>IFERROR(IF(ISBLANK(G115),"",(G115/G113)-1),)</f>
        <v/>
      </c>
      <c r="J115" s="705"/>
    </row>
    <row r="116">
      <c r="B116" s="706"/>
      <c r="D116" s="700" t="str">
        <f t="shared" si="1"/>
        <v>jueves</v>
      </c>
      <c r="E116" s="701">
        <f>E115+3</f>
        <v>45666</v>
      </c>
      <c r="F116" s="391"/>
      <c r="J116" s="491"/>
    </row>
    <row r="117">
      <c r="B117" s="717"/>
      <c r="C117" s="709">
        <v>52.0</v>
      </c>
      <c r="D117" s="710" t="str">
        <f t="shared" si="1"/>
        <v>lunes</v>
      </c>
      <c r="E117" s="724">
        <f>E116+4</f>
        <v>45670</v>
      </c>
      <c r="G117" s="721" t="str">
        <f>IFERROR( AVERAGE(F117,F118),"")</f>
        <v/>
      </c>
      <c r="H117" s="719" t="str">
        <f>IF(ISBLANK(G117),"",G117-G115)</f>
        <v/>
      </c>
      <c r="I117" s="720" t="str">
        <f>IFERROR(IF(ISBLANK(G117),"",(G117/G115)-1),)</f>
        <v/>
      </c>
      <c r="J117" s="716"/>
    </row>
    <row r="118">
      <c r="B118" s="725"/>
      <c r="C118" s="509"/>
      <c r="D118" s="726" t="str">
        <f t="shared" si="1"/>
        <v>jueves</v>
      </c>
      <c r="E118" s="727">
        <f>E117+3</f>
        <v>45673</v>
      </c>
      <c r="F118" s="728"/>
      <c r="G118" s="509"/>
      <c r="H118" s="509"/>
      <c r="I118" s="509"/>
      <c r="J118" s="729"/>
    </row>
  </sheetData>
  <mergeCells count="319">
    <mergeCell ref="C75:C76"/>
    <mergeCell ref="C77:C78"/>
    <mergeCell ref="C61:C62"/>
    <mergeCell ref="C63:C64"/>
    <mergeCell ref="C65:C66"/>
    <mergeCell ref="C67:C68"/>
    <mergeCell ref="C69:C70"/>
    <mergeCell ref="C71:C72"/>
    <mergeCell ref="C73:C74"/>
    <mergeCell ref="B83:B84"/>
    <mergeCell ref="C83:C84"/>
    <mergeCell ref="B85:B86"/>
    <mergeCell ref="C85:C86"/>
    <mergeCell ref="B87:B88"/>
    <mergeCell ref="C87:C88"/>
    <mergeCell ref="C89:C90"/>
    <mergeCell ref="B103:B104"/>
    <mergeCell ref="B105:B106"/>
    <mergeCell ref="B107:B108"/>
    <mergeCell ref="B109:B110"/>
    <mergeCell ref="B111:B112"/>
    <mergeCell ref="B113:B114"/>
    <mergeCell ref="B115:B116"/>
    <mergeCell ref="B117:B118"/>
    <mergeCell ref="B89:B90"/>
    <mergeCell ref="B91:B92"/>
    <mergeCell ref="B93:B94"/>
    <mergeCell ref="B95:B96"/>
    <mergeCell ref="B97:B98"/>
    <mergeCell ref="B99:B100"/>
    <mergeCell ref="B101:B102"/>
    <mergeCell ref="C105:C106"/>
    <mergeCell ref="C107:C108"/>
    <mergeCell ref="C109:C110"/>
    <mergeCell ref="C111:C112"/>
    <mergeCell ref="C113:C114"/>
    <mergeCell ref="C115:C116"/>
    <mergeCell ref="C117:C118"/>
    <mergeCell ref="C91:C92"/>
    <mergeCell ref="C93:C94"/>
    <mergeCell ref="C95:C96"/>
    <mergeCell ref="C97:C98"/>
    <mergeCell ref="C99:C100"/>
    <mergeCell ref="C101:C102"/>
    <mergeCell ref="C103:C104"/>
    <mergeCell ref="B25:B26"/>
    <mergeCell ref="C25:C26"/>
    <mergeCell ref="B27:B28"/>
    <mergeCell ref="C27:C28"/>
    <mergeCell ref="B29:B30"/>
    <mergeCell ref="C29:C30"/>
    <mergeCell ref="C31:C32"/>
    <mergeCell ref="B31:B32"/>
    <mergeCell ref="B33:B34"/>
    <mergeCell ref="B35:B36"/>
    <mergeCell ref="B37:B38"/>
    <mergeCell ref="B39:B40"/>
    <mergeCell ref="B41:B42"/>
    <mergeCell ref="B43:B44"/>
    <mergeCell ref="C33:C34"/>
    <mergeCell ref="C35:C36"/>
    <mergeCell ref="C37:C38"/>
    <mergeCell ref="C39:C40"/>
    <mergeCell ref="C41:C42"/>
    <mergeCell ref="C43:C44"/>
    <mergeCell ref="C45:C46"/>
    <mergeCell ref="B45:B46"/>
    <mergeCell ref="B47:B48"/>
    <mergeCell ref="B49:B50"/>
    <mergeCell ref="B51:B52"/>
    <mergeCell ref="B53:B54"/>
    <mergeCell ref="B55:B56"/>
    <mergeCell ref="B57:B58"/>
    <mergeCell ref="C47:C48"/>
    <mergeCell ref="C49:C50"/>
    <mergeCell ref="C51:C52"/>
    <mergeCell ref="C53:C54"/>
    <mergeCell ref="C55:C56"/>
    <mergeCell ref="C57:C58"/>
    <mergeCell ref="C59:C60"/>
    <mergeCell ref="B59:B60"/>
    <mergeCell ref="B61:B62"/>
    <mergeCell ref="B63:B64"/>
    <mergeCell ref="B65:B66"/>
    <mergeCell ref="B67:B68"/>
    <mergeCell ref="B69:B70"/>
    <mergeCell ref="B71:B72"/>
    <mergeCell ref="B73:B74"/>
    <mergeCell ref="B75:B76"/>
    <mergeCell ref="B77:B78"/>
    <mergeCell ref="B79:B80"/>
    <mergeCell ref="C79:C80"/>
    <mergeCell ref="B81:B82"/>
    <mergeCell ref="C81:C82"/>
    <mergeCell ref="I85:I86"/>
    <mergeCell ref="J85:J86"/>
    <mergeCell ref="H81:H82"/>
    <mergeCell ref="I81:I82"/>
    <mergeCell ref="J81:J82"/>
    <mergeCell ref="H83:H84"/>
    <mergeCell ref="I83:I84"/>
    <mergeCell ref="J83:J84"/>
    <mergeCell ref="H85:H86"/>
    <mergeCell ref="I37:I38"/>
    <mergeCell ref="J37:J38"/>
    <mergeCell ref="H33:H34"/>
    <mergeCell ref="I33:I34"/>
    <mergeCell ref="J33:J34"/>
    <mergeCell ref="H35:H36"/>
    <mergeCell ref="I35:I36"/>
    <mergeCell ref="J35:J36"/>
    <mergeCell ref="H37:H38"/>
    <mergeCell ref="I43:I44"/>
    <mergeCell ref="J43:J44"/>
    <mergeCell ref="H39:H40"/>
    <mergeCell ref="I39:I40"/>
    <mergeCell ref="J39:J40"/>
    <mergeCell ref="H41:H42"/>
    <mergeCell ref="I41:I42"/>
    <mergeCell ref="J41:J42"/>
    <mergeCell ref="H43:H44"/>
    <mergeCell ref="I49:I50"/>
    <mergeCell ref="J49:J50"/>
    <mergeCell ref="H45:H46"/>
    <mergeCell ref="I45:I46"/>
    <mergeCell ref="J45:J46"/>
    <mergeCell ref="H47:H48"/>
    <mergeCell ref="I47:I48"/>
    <mergeCell ref="J47:J48"/>
    <mergeCell ref="H49:H50"/>
    <mergeCell ref="H87:H88"/>
    <mergeCell ref="I87:I88"/>
    <mergeCell ref="J87:J88"/>
    <mergeCell ref="I111:I112"/>
    <mergeCell ref="J111:J112"/>
    <mergeCell ref="H107:H108"/>
    <mergeCell ref="I107:I108"/>
    <mergeCell ref="J107:J108"/>
    <mergeCell ref="H109:H110"/>
    <mergeCell ref="I109:I110"/>
    <mergeCell ref="J109:J110"/>
    <mergeCell ref="H111:H112"/>
    <mergeCell ref="I79:I80"/>
    <mergeCell ref="J79:J80"/>
    <mergeCell ref="H75:H76"/>
    <mergeCell ref="I75:I76"/>
    <mergeCell ref="J75:J76"/>
    <mergeCell ref="H77:H78"/>
    <mergeCell ref="I77:I78"/>
    <mergeCell ref="J77:J78"/>
    <mergeCell ref="H79:H80"/>
    <mergeCell ref="I93:I94"/>
    <mergeCell ref="J93:J94"/>
    <mergeCell ref="H89:H90"/>
    <mergeCell ref="I89:I90"/>
    <mergeCell ref="J89:J90"/>
    <mergeCell ref="H91:H92"/>
    <mergeCell ref="I91:I92"/>
    <mergeCell ref="J91:J92"/>
    <mergeCell ref="H93:H94"/>
    <mergeCell ref="I99:I100"/>
    <mergeCell ref="J99:J100"/>
    <mergeCell ref="H95:H96"/>
    <mergeCell ref="I95:I96"/>
    <mergeCell ref="J95:J96"/>
    <mergeCell ref="H97:H98"/>
    <mergeCell ref="I97:I98"/>
    <mergeCell ref="J97:J98"/>
    <mergeCell ref="H99:H100"/>
    <mergeCell ref="H113:H114"/>
    <mergeCell ref="I113:I114"/>
    <mergeCell ref="J113:J1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113:G114"/>
    <mergeCell ref="G115:G116"/>
    <mergeCell ref="G117:G118"/>
    <mergeCell ref="G99:G100"/>
    <mergeCell ref="G101:G102"/>
    <mergeCell ref="G103:G104"/>
    <mergeCell ref="G105:G106"/>
    <mergeCell ref="G107:G108"/>
    <mergeCell ref="G109:G110"/>
    <mergeCell ref="G111:G112"/>
    <mergeCell ref="B2:E8"/>
    <mergeCell ref="F3:J8"/>
    <mergeCell ref="B9:J9"/>
    <mergeCell ref="B11:D11"/>
    <mergeCell ref="F11:J13"/>
    <mergeCell ref="B12:D12"/>
    <mergeCell ref="B13:D13"/>
    <mergeCell ref="B15:B16"/>
    <mergeCell ref="C15:C16"/>
    <mergeCell ref="H15:H16"/>
    <mergeCell ref="I15:I16"/>
    <mergeCell ref="J15:J16"/>
    <mergeCell ref="C17:C18"/>
    <mergeCell ref="J17:J18"/>
    <mergeCell ref="H17:H18"/>
    <mergeCell ref="I17:I18"/>
    <mergeCell ref="H19:H20"/>
    <mergeCell ref="I19:I20"/>
    <mergeCell ref="J19:J20"/>
    <mergeCell ref="I21:I22"/>
    <mergeCell ref="J21:J22"/>
    <mergeCell ref="B17:B18"/>
    <mergeCell ref="B19:B20"/>
    <mergeCell ref="C19:C20"/>
    <mergeCell ref="B21:B22"/>
    <mergeCell ref="C21:C22"/>
    <mergeCell ref="B23:B24"/>
    <mergeCell ref="C23:C24"/>
    <mergeCell ref="H21:H22"/>
    <mergeCell ref="H23:H24"/>
    <mergeCell ref="I23:I24"/>
    <mergeCell ref="J23:J24"/>
    <mergeCell ref="H25:H26"/>
    <mergeCell ref="I25:I26"/>
    <mergeCell ref="J25:J26"/>
    <mergeCell ref="I31:I32"/>
    <mergeCell ref="J31:J32"/>
    <mergeCell ref="H27:H28"/>
    <mergeCell ref="I27:I28"/>
    <mergeCell ref="J27:J28"/>
    <mergeCell ref="H29:H30"/>
    <mergeCell ref="I29:I30"/>
    <mergeCell ref="J29:J30"/>
    <mergeCell ref="H31:H32"/>
    <mergeCell ref="I55:I56"/>
    <mergeCell ref="J55:J56"/>
    <mergeCell ref="H51:H52"/>
    <mergeCell ref="I51:I52"/>
    <mergeCell ref="J51:J52"/>
    <mergeCell ref="H53:H54"/>
    <mergeCell ref="I53:I54"/>
    <mergeCell ref="J53:J54"/>
    <mergeCell ref="H55:H56"/>
    <mergeCell ref="I61:I62"/>
    <mergeCell ref="J61:J62"/>
    <mergeCell ref="H57:H58"/>
    <mergeCell ref="I57:I58"/>
    <mergeCell ref="J57:J58"/>
    <mergeCell ref="H59:H60"/>
    <mergeCell ref="I59:I60"/>
    <mergeCell ref="J59:J60"/>
    <mergeCell ref="H61:H62"/>
    <mergeCell ref="I67:I68"/>
    <mergeCell ref="J67:J68"/>
    <mergeCell ref="H63:H64"/>
    <mergeCell ref="I63:I64"/>
    <mergeCell ref="J63:J64"/>
    <mergeCell ref="H65:H66"/>
    <mergeCell ref="I65:I66"/>
    <mergeCell ref="J65:J66"/>
    <mergeCell ref="H67:H68"/>
    <mergeCell ref="I73:I74"/>
    <mergeCell ref="J73:J74"/>
    <mergeCell ref="H69:H70"/>
    <mergeCell ref="I69:I70"/>
    <mergeCell ref="J69:J70"/>
    <mergeCell ref="H71:H72"/>
    <mergeCell ref="I71:I72"/>
    <mergeCell ref="J71:J72"/>
    <mergeCell ref="H73:H74"/>
    <mergeCell ref="I105:I106"/>
    <mergeCell ref="J105:J106"/>
    <mergeCell ref="H115:H116"/>
    <mergeCell ref="I115:I116"/>
    <mergeCell ref="J115:J116"/>
    <mergeCell ref="H117:H118"/>
    <mergeCell ref="I117:I118"/>
    <mergeCell ref="J117:J118"/>
    <mergeCell ref="H101:H102"/>
    <mergeCell ref="I101:I102"/>
    <mergeCell ref="J101:J102"/>
    <mergeCell ref="H103:H104"/>
    <mergeCell ref="I103:I104"/>
    <mergeCell ref="J103:J104"/>
    <mergeCell ref="H105:H106"/>
  </mergeCells>
  <conditionalFormatting sqref="H15:I118">
    <cfRule type="cellIs" dxfId="15" priority="1" operator="greaterThan">
      <formula>0</formula>
    </cfRule>
  </conditionalFormatting>
  <conditionalFormatting sqref="H15:I118">
    <cfRule type="cellIs" dxfId="17" priority="2" operator="lessThan">
      <formula>0</formula>
    </cfRule>
  </conditionalFormatting>
  <conditionalFormatting sqref="H15:I118">
    <cfRule type="cellIs" dxfId="16" priority="3" operator="equal">
      <formula>0</formula>
    </cfRule>
  </conditionalFormatting>
  <dataValidations>
    <dataValidation type="list" allowBlank="1" showErrorMessage="1" sqref="B15 B17 B19 B21 B23 B25 B27 B29 B31 B33 B35 B37 B39 B41 B43 B45 B47 B49 B51 B53 B55 B57 B59 B61 B63 B65 B67 B69 B71 B73 B75 B77 B79 B81 B83 B85 B87 B89 B91 B93 B95 B97 B99 B101 B103 B105 B107 B109 B111 B113 B115 B117">
      <formula1>"HIPERTROFIA,FUERZA BASE,VOLUMEN,PEAKING,TAPERING,COMPETICIÓN,BLOQUE DE VOLUMEN (HIPERTROFIA),BLOQUE DE FUERZA  (HIPERTROFIA),BLOQUE DE INTENSIFICACIÓN  (HIPERTROFIA)"</formula1>
    </dataValidation>
  </dataValidations>
  <drawing r:id="rId2"/>
  <legacyDrawing r:id="rId3"/>
</worksheet>
</file>