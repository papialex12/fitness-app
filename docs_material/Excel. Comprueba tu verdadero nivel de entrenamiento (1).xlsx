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vel entrenamiento" sheetId="1" r:id="rId5"/>
  </sheets>
  <definedNames/>
  <calcPr/>
</workbook>
</file>

<file path=xl/sharedStrings.xml><?xml version="1.0" encoding="utf-8"?>
<sst xmlns="http://schemas.openxmlformats.org/spreadsheetml/2006/main" count="151" uniqueCount="95">
  <si>
    <t>COMPRUEBA TU VERDADERO NIVEL DE ENTRENAMIENTO</t>
  </si>
  <si>
    <t>Tradicionalmente se asocia un determinado nivel de entrenamiento (principiante, novato, intermedio, avanzado, experto...) única y exclusivamente a los años de experiencia entrenando. Sin embargo, hay que tener otros muchos factores en cuenta como la calidad de esos años de entrenamiento, la formación sobre el área de entrenamiento de fuerza, la técnica de los ejercicios, etc. En esta hoja de cálculo vas a poder evaluar tu VERDADERO nivel de entrenamiento en base a los puntos más importantes para hacerlo de forma precisa e individualizada.</t>
  </si>
  <si>
    <t>Los resultados que obtengas en esta hoja de cálculo te van a servir para:</t>
  </si>
  <si>
    <t>1.</t>
  </si>
  <si>
    <t>Elegir y seleccionar rutinas según tu nivel de entrenamiento.</t>
  </si>
  <si>
    <t>2.</t>
  </si>
  <si>
    <t>Evaluar tus progresos y marcas.</t>
  </si>
  <si>
    <t>3.</t>
  </si>
  <si>
    <t>Interpretar estudios científicos que incluyan diferentes grupos según su nivel de entrenamiento.</t>
  </si>
  <si>
    <t>Introduce tus datos a continuación:</t>
  </si>
  <si>
    <t>¿Eres hombre (H) o mujer (M)?</t>
  </si>
  <si>
    <t>Sexo</t>
  </si>
  <si>
    <t>Hombre</t>
  </si>
  <si>
    <t>Mujer</t>
  </si>
  <si>
    <t>¿Cuánto pesas (kg o lbs)?</t>
  </si>
  <si>
    <t>¿Cuántos años llevas entrenando?</t>
  </si>
  <si>
    <t>Selecciona</t>
  </si>
  <si>
    <t>≤ 1 año</t>
  </si>
  <si>
    <t>Entre 1 y 3 años</t>
  </si>
  <si>
    <t>Entre 3 y 8 años</t>
  </si>
  <si>
    <t>≥ 8 años</t>
  </si>
  <si>
    <t>Total aquí --&gt;</t>
  </si>
  <si>
    <t>Escribe tus mejores marcas (1RM en kg o en lbs) en los siguientes ejercicios:</t>
  </si>
  <si>
    <t>Press de banca</t>
  </si>
  <si>
    <t>Tu fuerza relativa en este ejercicio es de</t>
  </si>
  <si>
    <t>veces tu peso corporal.</t>
  </si>
  <si>
    <t>Dominadas (contando el peso del lastre y tu peso corporal)</t>
  </si>
  <si>
    <t>Sentadilla</t>
  </si>
  <si>
    <t>Peso muerto</t>
  </si>
  <si>
    <r>
      <rPr>
        <rFont val="Montserrat"/>
        <color theme="1"/>
        <sz val="12.0"/>
      </rPr>
      <t xml:space="preserve">Teniendo en cuenta los resultados en estos ejercicios, </t>
    </r>
    <r>
      <rPr>
        <rFont val="Montserrat Regular"/>
        <color theme="1"/>
        <sz val="12.0"/>
        <u/>
      </rPr>
      <t>selecciona tu nivel</t>
    </r>
    <r>
      <rPr>
        <rFont val="Montserrat Regular"/>
        <color theme="1"/>
        <sz val="12.0"/>
      </rPr>
      <t xml:space="preserve"> atendiendo a tu sexo (hombre o mujer) y fuerza relativa de la siguiente tabla:</t>
    </r>
  </si>
  <si>
    <t>Principiante</t>
  </si>
  <si>
    <t>Intermedio</t>
  </si>
  <si>
    <t>Avanzado</t>
  </si>
  <si>
    <t>Experto</t>
  </si>
  <si>
    <t>Fuerza relativa en...</t>
  </si>
  <si>
    <t>H</t>
  </si>
  <si>
    <t>M</t>
  </si>
  <si>
    <r>
      <rPr>
        <rFont val="Montserrat"/>
        <color theme="1"/>
        <sz val="12.0"/>
      </rPr>
      <t>≤</t>
    </r>
    <r>
      <rPr>
        <rFont val="Montserrat Regular"/>
        <color theme="1"/>
        <sz val="10.0"/>
      </rPr>
      <t xml:space="preserve"> </t>
    </r>
    <r>
      <rPr>
        <rFont val="Montserrat Regular"/>
        <color theme="1"/>
        <sz val="12.0"/>
      </rPr>
      <t>1,2</t>
    </r>
  </si>
  <si>
    <r>
      <rPr>
        <rFont val="Montserrat"/>
        <color theme="1"/>
        <sz val="12.0"/>
      </rPr>
      <t>≤</t>
    </r>
    <r>
      <rPr>
        <rFont val="Montserrat Regular"/>
        <color theme="1"/>
        <sz val="10.0"/>
      </rPr>
      <t xml:space="preserve"> </t>
    </r>
    <r>
      <rPr>
        <rFont val="Montserrat Regular"/>
        <color theme="1"/>
        <sz val="12.0"/>
      </rPr>
      <t>0,5</t>
    </r>
  </si>
  <si>
    <t>1,2 a 1,5</t>
  </si>
  <si>
    <t>0,5 a 1,0</t>
  </si>
  <si>
    <t>1,5  a 1,8</t>
  </si>
  <si>
    <t>1,0 a 1,3</t>
  </si>
  <si>
    <t>≥ 1,8</t>
  </si>
  <si>
    <t>≥ 1,3</t>
  </si>
  <si>
    <t>→</t>
  </si>
  <si>
    <t>Soy</t>
  </si>
  <si>
    <t>Dominadas</t>
  </si>
  <si>
    <r>
      <rPr>
        <rFont val="Montserrat"/>
        <color theme="1"/>
        <sz val="12.0"/>
      </rPr>
      <t>≤</t>
    </r>
    <r>
      <rPr>
        <rFont val="Montserrat Regular"/>
        <color theme="1"/>
        <sz val="10.0"/>
      </rPr>
      <t xml:space="preserve"> </t>
    </r>
    <r>
      <rPr>
        <rFont val="Montserrat Regular"/>
        <color theme="1"/>
        <sz val="12.0"/>
      </rPr>
      <t>1,1</t>
    </r>
  </si>
  <si>
    <r>
      <rPr>
        <rFont val="Montserrat"/>
        <color theme="1"/>
        <sz val="12.0"/>
      </rPr>
      <t>≤</t>
    </r>
    <r>
      <rPr>
        <rFont val="Montserrat Regular"/>
        <color theme="1"/>
        <sz val="10.0"/>
      </rPr>
      <t xml:space="preserve"> </t>
    </r>
    <r>
      <rPr>
        <rFont val="Montserrat Regular"/>
        <color theme="1"/>
        <sz val="12.0"/>
      </rPr>
      <t>0,6</t>
    </r>
  </si>
  <si>
    <t>1,1 a 1,3</t>
  </si>
  <si>
    <t>0,6 a 1,0</t>
  </si>
  <si>
    <t>1,3 a 1,5</t>
  </si>
  <si>
    <t>1,0 a 1,2</t>
  </si>
  <si>
    <t>≥ 1,5</t>
  </si>
  <si>
    <t>≥ 1,2</t>
  </si>
  <si>
    <r>
      <rPr>
        <rFont val="Montserrat"/>
        <color theme="1"/>
        <sz val="12.0"/>
      </rPr>
      <t>≤</t>
    </r>
    <r>
      <rPr>
        <rFont val="Montserrat Regular"/>
        <color theme="1"/>
        <sz val="10.0"/>
      </rPr>
      <t xml:space="preserve"> </t>
    </r>
    <r>
      <rPr>
        <rFont val="Montserrat Regular"/>
        <color theme="1"/>
        <sz val="12.0"/>
      </rPr>
      <t>1,5</t>
    </r>
  </si>
  <si>
    <r>
      <rPr>
        <rFont val="Montserrat"/>
        <color theme="1"/>
        <sz val="12.0"/>
      </rPr>
      <t>≤</t>
    </r>
    <r>
      <rPr>
        <rFont val="Montserrat Regular"/>
        <color theme="1"/>
        <sz val="10.0"/>
      </rPr>
      <t xml:space="preserve"> </t>
    </r>
    <r>
      <rPr>
        <rFont val="Montserrat Regular"/>
        <color theme="1"/>
        <sz val="12.0"/>
      </rPr>
      <t>0,8</t>
    </r>
  </si>
  <si>
    <t>1,5 a 2,0</t>
  </si>
  <si>
    <t>0,8 a 1,3</t>
  </si>
  <si>
    <t>2,0 a 2,4</t>
  </si>
  <si>
    <t>1,3 a 1,7</t>
  </si>
  <si>
    <t>≥ 2,4</t>
  </si>
  <si>
    <t>≥ 1,7</t>
  </si>
  <si>
    <r>
      <rPr>
        <rFont val="Montserrat"/>
        <color theme="1"/>
        <sz val="12.0"/>
      </rPr>
      <t>≤</t>
    </r>
    <r>
      <rPr>
        <rFont val="Montserrat Regular"/>
        <color theme="1"/>
        <sz val="10.0"/>
      </rPr>
      <t xml:space="preserve"> </t>
    </r>
    <r>
      <rPr>
        <rFont val="Montserrat Regular"/>
        <color theme="1"/>
        <sz val="12.0"/>
      </rPr>
      <t>1,5</t>
    </r>
  </si>
  <si>
    <r>
      <rPr>
        <rFont val="Montserrat"/>
        <color theme="1"/>
        <sz val="12.0"/>
      </rPr>
      <t>≤</t>
    </r>
    <r>
      <rPr>
        <rFont val="Montserrat Regular"/>
        <color theme="1"/>
        <sz val="10.0"/>
      </rPr>
      <t xml:space="preserve"> 1</t>
    </r>
    <r>
      <rPr>
        <rFont val="Montserrat Regular"/>
        <color theme="1"/>
        <sz val="12.0"/>
      </rPr>
      <t>,0</t>
    </r>
  </si>
  <si>
    <t>1,5 a 2,2</t>
  </si>
  <si>
    <t>1,0 a 1,5</t>
  </si>
  <si>
    <t>2,2 a 2,8</t>
  </si>
  <si>
    <t>≥ 2,8</t>
  </si>
  <si>
    <t>≥ 2,2</t>
  </si>
  <si>
    <t>TOTAL GLOBAL--&gt;</t>
  </si>
  <si>
    <t>4.</t>
  </si>
  <si>
    <t>¿Cómo dirías que es tu técnica en la mayoría de ejercicios?</t>
  </si>
  <si>
    <t>Pobre</t>
  </si>
  <si>
    <t>Moderada o buena</t>
  </si>
  <si>
    <t>Muy buena</t>
  </si>
  <si>
    <t>Excelente</t>
  </si>
  <si>
    <t>5.</t>
  </si>
  <si>
    <t>¿Cada cuanto progresas en tus objetivos en torno a un 2 - 5%?</t>
  </si>
  <si>
    <t>Cada semana</t>
  </si>
  <si>
    <t>Cada 2 - 4  semanas</t>
  </si>
  <si>
    <t>Cada 4 - 8 semanas</t>
  </si>
  <si>
    <t>Cada 8 - 12 semanas</t>
  </si>
  <si>
    <t>6.</t>
  </si>
  <si>
    <t>¿Te interesa el mundo del entrenamiento hasta el punto de formarte en este campo?</t>
  </si>
  <si>
    <t>SÍ</t>
  </si>
  <si>
    <t>NO</t>
  </si>
  <si>
    <t>¿Qué nivel de formación tienes en entrenamiento?</t>
  </si>
  <si>
    <t>Ninguno o muy poca</t>
  </si>
  <si>
    <t>Alguna. Me interesa este mundo</t>
  </si>
  <si>
    <t>Bastante. Me formo continuamente.</t>
  </si>
  <si>
    <t>Estudios superiores (Universidad)</t>
  </si>
  <si>
    <t>MEGATOTAL AQUÍ --&gt;</t>
  </si>
  <si>
    <t>TENIENDO EN CUENTA TODAS TUS RESPUESTAS, TU NIVEL 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</si>
</sst>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b/>
      <sz val="14.0"/>
      <color theme="0"/>
      <name val="Montserrat"/>
    </font>
    <font/>
    <font>
      <sz val="12.0"/>
      <color theme="1"/>
      <name val="Montserrat"/>
    </font>
    <font>
      <sz val="12.0"/>
      <color theme="0"/>
      <name val="Montserrat"/>
    </font>
    <font>
      <b/>
      <sz val="12.0"/>
      <color theme="0"/>
      <name val="Montserrat"/>
    </font>
    <font>
      <i/>
      <sz val="12.0"/>
      <color theme="1"/>
      <name val="Montserrat"/>
    </font>
    <font>
      <sz val="11.0"/>
      <color theme="1"/>
      <name val="Montserrat"/>
    </font>
    <font>
      <sz val="14.0"/>
      <color theme="1"/>
      <name val="Montserrat"/>
    </font>
    <font>
      <sz val="24.0"/>
      <color theme="8"/>
      <name val="Montserrat"/>
    </font>
    <font>
      <sz val="9.0"/>
      <color theme="1"/>
      <name val="Montserrat"/>
    </font>
  </fonts>
  <fills count="6">
    <fill>
      <patternFill patternType="none"/>
    </fill>
    <fill>
      <patternFill patternType="lightGray"/>
    </fill>
    <fill>
      <patternFill patternType="solid">
        <fgColor rgb="FFC00000"/>
        <bgColor rgb="FFC00000"/>
      </patternFill>
    </fill>
    <fill>
      <patternFill patternType="solid">
        <fgColor theme="0"/>
        <bgColor theme="0"/>
      </patternFill>
    </fill>
    <fill>
      <patternFill patternType="solid">
        <fgColor rgb="FFFFE598"/>
        <bgColor rgb="FFFFE598"/>
      </patternFill>
    </fill>
    <fill>
      <patternFill patternType="solid">
        <fgColor rgb="FFFFACA9"/>
        <bgColor rgb="FFFFACA9"/>
      </patternFill>
    </fill>
  </fills>
  <borders count="28">
    <border/>
    <border>
      <left/>
      <top/>
      <bottom/>
    </border>
    <border>
      <top/>
      <bottom/>
    </border>
    <border>
      <right/>
      <top/>
      <bottom/>
    </border>
    <border>
      <left/>
      <right/>
      <top/>
      <bottom/>
    </border>
    <border>
      <left/>
      <top/>
    </border>
    <border>
      <top/>
    </border>
    <border>
      <right/>
      <top/>
    </border>
    <border>
      <left/>
    </border>
    <border>
      <right/>
    </border>
    <border>
      <left/>
      <bottom/>
    </border>
    <border>
      <bottom/>
    </border>
    <border>
      <right/>
      <bottom/>
    </border>
    <border>
      <left style="thin">
        <color theme="8"/>
      </left>
      <right style="thin">
        <color theme="8"/>
      </right>
      <top style="thin">
        <color theme="8"/>
      </top>
      <bottom style="thin">
        <color theme="8"/>
      </bottom>
    </border>
    <border>
      <left style="thin">
        <color rgb="FF3F3F3F"/>
      </left>
      <top style="thin">
        <color rgb="FF3F3F3F"/>
      </top>
      <bottom style="thin">
        <color rgb="FF3F3F3F"/>
      </bottom>
    </border>
    <border>
      <right style="thin">
        <color rgb="FF3F3F3F"/>
      </right>
      <top style="thin">
        <color rgb="FF3F3F3F"/>
      </top>
      <bottom style="thin">
        <color rgb="FF3F3F3F"/>
      </bottom>
    </border>
    <border>
      <left style="thin">
        <color rgb="FF3F3F3F"/>
      </left>
      <right style="thin">
        <color rgb="FF3F3F3F"/>
      </right>
      <top style="thin">
        <color rgb="FF3F3F3F"/>
      </top>
      <bottom style="thin">
        <color rgb="FF3F3F3F"/>
      </bottom>
    </border>
    <border>
      <left/>
      <right/>
      <top/>
      <bottom style="thin">
        <color rgb="FFC00000"/>
      </bottom>
    </border>
    <border>
      <left/>
      <right style="thin">
        <color rgb="FFC00000"/>
      </right>
      <top/>
      <bottom/>
    </border>
    <border>
      <left style="thin">
        <color rgb="FFC00000"/>
      </left>
      <right/>
      <top/>
      <bottom/>
    </border>
    <border>
      <left style="thin">
        <color rgb="FFC00000"/>
      </left>
      <top style="thin">
        <color rgb="FFC00000"/>
      </top>
    </border>
    <border>
      <top style="thin">
        <color rgb="FFC00000"/>
      </top>
    </border>
    <border>
      <right style="thin">
        <color rgb="FFC00000"/>
      </right>
      <top style="thin">
        <color rgb="FFC00000"/>
      </top>
    </border>
    <border>
      <left style="thin">
        <color rgb="FFC00000"/>
      </left>
    </border>
    <border>
      <right style="thin">
        <color rgb="FFC00000"/>
      </right>
    </border>
    <border>
      <left style="thin">
        <color rgb="FFC00000"/>
      </left>
      <bottom style="thin">
        <color rgb="FFC00000"/>
      </bottom>
    </border>
    <border>
      <bottom style="thin">
        <color rgb="FFC00000"/>
      </bottom>
    </border>
    <border>
      <right style="thin">
        <color rgb="FFC00000"/>
      </right>
      <bottom style="thin">
        <color rgb="FFC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Border="1" applyFill="1" applyFont="1"/>
    <xf borderId="4" fillId="3" fontId="3" numFmtId="0" xfId="0" applyAlignment="1" applyBorder="1" applyFont="1">
      <alignment vertical="center"/>
    </xf>
    <xf borderId="5" fillId="3" fontId="3" numFmtId="0" xfId="0" applyAlignment="1" applyBorder="1" applyFont="1">
      <alignment horizontal="left" vertical="top"/>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4" fontId="3" numFmtId="0" xfId="0" applyAlignment="1" applyBorder="1" applyFill="1" applyFont="1">
      <alignment vertical="center"/>
    </xf>
    <xf borderId="4" fillId="4" fontId="3" numFmtId="0" xfId="0" applyAlignment="1" applyBorder="1" applyFont="1">
      <alignment horizontal="left" vertical="center"/>
    </xf>
    <xf borderId="1" fillId="4" fontId="3" numFmtId="0" xfId="0" applyAlignment="1" applyBorder="1" applyFont="1">
      <alignment horizontal="left" vertical="center"/>
    </xf>
    <xf borderId="4" fillId="3" fontId="3" numFmtId="0" xfId="0" applyAlignment="1" applyBorder="1" applyFont="1">
      <alignment horizontal="left" vertical="center"/>
    </xf>
    <xf borderId="5" fillId="3" fontId="3" numFmtId="0" xfId="0" applyAlignment="1" applyBorder="1" applyFont="1">
      <alignment horizontal="center" shrinkToFit="0" vertical="center" wrapText="1"/>
    </xf>
    <xf borderId="13" fillId="5" fontId="3" numFmtId="0" xfId="0" applyAlignment="1" applyBorder="1" applyFill="1" applyFont="1">
      <alignment horizontal="center" vertical="center"/>
    </xf>
    <xf borderId="4" fillId="3" fontId="4" numFmtId="0" xfId="0" applyBorder="1" applyFont="1"/>
    <xf borderId="13" fillId="5" fontId="3" numFmtId="164" xfId="0" applyAlignment="1" applyBorder="1" applyFont="1" applyNumberFormat="1">
      <alignment horizontal="center" vertical="center"/>
    </xf>
    <xf borderId="1" fillId="3" fontId="3" numFmtId="0" xfId="0" applyAlignment="1" applyBorder="1" applyFont="1">
      <alignment horizontal="left" vertical="center"/>
    </xf>
    <xf borderId="4" fillId="3" fontId="3" numFmtId="0" xfId="0" applyAlignment="1" applyBorder="1" applyFont="1">
      <alignment horizontal="left"/>
    </xf>
    <xf borderId="5" fillId="3" fontId="3" numFmtId="0" xfId="0" applyAlignment="1" applyBorder="1" applyFont="1">
      <alignment horizontal="left" shrinkToFit="0" vertical="top" wrapText="1"/>
    </xf>
    <xf borderId="4" fillId="3" fontId="4" numFmtId="0" xfId="0" applyAlignment="1" applyBorder="1" applyFont="1">
      <alignment vertical="center"/>
    </xf>
    <xf borderId="13" fillId="5" fontId="3" numFmtId="0" xfId="0" applyAlignment="1" applyBorder="1" applyFont="1">
      <alignment vertical="center"/>
    </xf>
    <xf borderId="13" fillId="5" fontId="3" numFmtId="0" xfId="0" applyBorder="1" applyFont="1"/>
    <xf borderId="14" fillId="2" fontId="5" numFmtId="0" xfId="0" applyAlignment="1" applyBorder="1" applyFont="1">
      <alignment horizontal="center" vertical="center"/>
    </xf>
    <xf borderId="15" fillId="0" fontId="2" numFmtId="0" xfId="0" applyBorder="1" applyFont="1"/>
    <xf borderId="14" fillId="2" fontId="5" numFmtId="0" xfId="0" applyAlignment="1" applyBorder="1" applyFont="1">
      <alignment horizontal="center"/>
    </xf>
    <xf borderId="4" fillId="3" fontId="6" numFmtId="0" xfId="0" applyBorder="1" applyFont="1"/>
    <xf borderId="16" fillId="5" fontId="3" numFmtId="0" xfId="0" applyAlignment="1" applyBorder="1" applyFont="1">
      <alignment horizontal="center" vertical="center"/>
    </xf>
    <xf borderId="16" fillId="5" fontId="3" numFmtId="0" xfId="0" applyBorder="1" applyFont="1"/>
    <xf borderId="16" fillId="3" fontId="3" numFmtId="0" xfId="0" applyAlignment="1" applyBorder="1" applyFont="1">
      <alignment horizontal="center" vertical="center"/>
    </xf>
    <xf borderId="4" fillId="3" fontId="3" numFmtId="0" xfId="0" applyAlignment="1" applyBorder="1" applyFont="1">
      <alignment horizontal="center" vertical="center"/>
    </xf>
    <xf borderId="4" fillId="3" fontId="4" numFmtId="0" xfId="0" applyAlignment="1" applyBorder="1" applyFont="1">
      <alignment horizontal="center" vertical="center"/>
    </xf>
    <xf borderId="17" fillId="3" fontId="4" numFmtId="0" xfId="0" applyAlignment="1" applyBorder="1" applyFont="1">
      <alignment vertical="center"/>
    </xf>
    <xf borderId="17" fillId="3" fontId="3" numFmtId="0" xfId="0" applyBorder="1" applyFont="1"/>
    <xf borderId="0" fillId="0" fontId="7" numFmtId="0" xfId="0" applyFont="1"/>
    <xf borderId="18" fillId="3" fontId="3" numFmtId="0" xfId="0" applyBorder="1" applyFont="1"/>
    <xf borderId="1" fillId="3" fontId="8" numFmtId="0" xfId="0" applyAlignment="1" applyBorder="1" applyFont="1">
      <alignment horizontal="center" vertical="center"/>
    </xf>
    <xf borderId="19" fillId="3" fontId="3" numFmtId="0" xfId="0" applyBorder="1" applyFont="1"/>
    <xf borderId="20" fillId="3" fontId="9" numFmtId="0" xfId="0" applyAlignment="1" applyBorder="1" applyFont="1">
      <alignment horizontal="center" vertical="center"/>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4" fillId="3" fontId="10" numFmtId="0" xfId="0" applyBorder="1" applyFont="1"/>
    <xf borderId="25" fillId="0" fontId="2" numFmtId="0" xfId="0" applyBorder="1" applyFont="1"/>
    <xf borderId="26" fillId="0" fontId="2" numFmtId="0" xfId="0" applyBorder="1" applyFont="1"/>
    <xf borderId="27"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0</xdr:row>
      <xdr:rowOff>152400</xdr:rowOff>
    </xdr:from>
    <xdr:ext cx="1000125" cy="619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9"/>
    <col customWidth="1" min="2" max="2" width="3.14"/>
    <col customWidth="1" min="3" max="3" width="3.71"/>
    <col customWidth="1" min="4" max="4" width="9.14"/>
    <col customWidth="1" min="5" max="5" width="11.71"/>
    <col customWidth="1" min="6" max="7" width="14.0"/>
    <col customWidth="1" min="8" max="8" width="15.0"/>
    <col customWidth="1" min="9" max="9" width="14.0"/>
    <col customWidth="1" min="10" max="10" width="15.0"/>
    <col customWidth="1" min="11" max="13" width="14.0"/>
    <col customWidth="1" min="14" max="14" width="12.43"/>
    <col customWidth="1" min="15" max="15" width="9.14"/>
    <col customWidth="1" min="16" max="16" width="12.14"/>
    <col customWidth="1" min="17" max="20" width="9.14"/>
    <col customWidth="1" min="21" max="21" width="2.0"/>
    <col customWidth="1" hidden="1" min="22" max="22" width="9.14"/>
    <col customWidth="1" hidden="1" min="23" max="23" width="9.71"/>
    <col customWidth="1" min="24" max="26" width="10.71"/>
  </cols>
  <sheetData>
    <row r="1" ht="69.75" customHeight="1">
      <c r="A1" s="1" t="s">
        <v>0</v>
      </c>
      <c r="B1" s="2"/>
      <c r="C1" s="2"/>
      <c r="D1" s="2"/>
      <c r="E1" s="2"/>
      <c r="F1" s="2"/>
      <c r="G1" s="2"/>
      <c r="H1" s="2"/>
      <c r="I1" s="2"/>
      <c r="J1" s="2"/>
      <c r="K1" s="2"/>
      <c r="L1" s="2"/>
      <c r="M1" s="2"/>
      <c r="N1" s="2"/>
      <c r="O1" s="2"/>
      <c r="P1" s="2"/>
      <c r="Q1" s="2"/>
      <c r="R1" s="2"/>
      <c r="S1" s="2"/>
      <c r="T1" s="2"/>
      <c r="U1" s="3"/>
      <c r="V1" s="4"/>
      <c r="W1" s="4"/>
      <c r="X1" s="4"/>
      <c r="Y1" s="4"/>
      <c r="Z1" s="4"/>
    </row>
    <row r="2" ht="15.75" customHeight="1">
      <c r="A2" s="4"/>
      <c r="B2" s="4"/>
      <c r="C2" s="4"/>
      <c r="D2" s="4"/>
      <c r="E2" s="4"/>
      <c r="F2" s="5"/>
      <c r="G2" s="5"/>
      <c r="H2" s="4"/>
      <c r="I2" s="4"/>
      <c r="J2" s="4"/>
      <c r="K2" s="4"/>
      <c r="L2" s="4"/>
      <c r="M2" s="4"/>
      <c r="N2" s="4"/>
      <c r="O2" s="4"/>
      <c r="P2" s="4"/>
      <c r="Q2" s="4"/>
      <c r="R2" s="4"/>
      <c r="S2" s="4"/>
      <c r="T2" s="4"/>
      <c r="U2" s="4"/>
      <c r="V2" s="4"/>
      <c r="W2" s="4"/>
      <c r="X2" s="4"/>
      <c r="Y2" s="4"/>
      <c r="Z2" s="4"/>
    </row>
    <row r="3" ht="14.25" customHeight="1">
      <c r="A3" s="4"/>
      <c r="B3" s="6" t="s">
        <v>1</v>
      </c>
      <c r="C3" s="7"/>
      <c r="D3" s="7"/>
      <c r="E3" s="7"/>
      <c r="F3" s="7"/>
      <c r="G3" s="7"/>
      <c r="H3" s="7"/>
      <c r="I3" s="7"/>
      <c r="J3" s="7"/>
      <c r="K3" s="7"/>
      <c r="L3" s="7"/>
      <c r="M3" s="7"/>
      <c r="N3" s="7"/>
      <c r="O3" s="7"/>
      <c r="P3" s="7"/>
      <c r="Q3" s="7"/>
      <c r="R3" s="7"/>
      <c r="S3" s="7"/>
      <c r="T3" s="8"/>
      <c r="U3" s="4"/>
      <c r="V3" s="4"/>
      <c r="W3" s="4"/>
      <c r="X3" s="4"/>
      <c r="Y3" s="4"/>
      <c r="Z3" s="4"/>
    </row>
    <row r="4" ht="15.75" customHeight="1">
      <c r="A4" s="4"/>
      <c r="B4" s="9"/>
      <c r="T4" s="10"/>
      <c r="U4" s="4"/>
      <c r="V4" s="4"/>
      <c r="W4" s="4"/>
      <c r="X4" s="4"/>
      <c r="Y4" s="4"/>
      <c r="Z4" s="4"/>
    </row>
    <row r="5" ht="15.75" customHeight="1">
      <c r="A5" s="4"/>
      <c r="B5" s="9"/>
      <c r="T5" s="10"/>
      <c r="U5" s="4"/>
      <c r="V5" s="4"/>
      <c r="W5" s="4"/>
      <c r="X5" s="4"/>
      <c r="Y5" s="4"/>
      <c r="Z5" s="4"/>
    </row>
    <row r="6" ht="13.5" customHeight="1">
      <c r="A6" s="4"/>
      <c r="B6" s="11"/>
      <c r="C6" s="12"/>
      <c r="D6" s="12"/>
      <c r="E6" s="12"/>
      <c r="F6" s="12"/>
      <c r="G6" s="12"/>
      <c r="H6" s="12"/>
      <c r="I6" s="12"/>
      <c r="J6" s="12"/>
      <c r="K6" s="12"/>
      <c r="L6" s="12"/>
      <c r="M6" s="12"/>
      <c r="N6" s="12"/>
      <c r="O6" s="12"/>
      <c r="P6" s="12"/>
      <c r="Q6" s="12"/>
      <c r="R6" s="12"/>
      <c r="S6" s="12"/>
      <c r="T6" s="13"/>
      <c r="U6" s="4"/>
      <c r="V6" s="4"/>
      <c r="W6" s="4"/>
      <c r="X6" s="4"/>
      <c r="Y6" s="4"/>
      <c r="Z6" s="4"/>
    </row>
    <row r="7" ht="15.75" customHeight="1">
      <c r="A7" s="4"/>
      <c r="B7" s="14" t="s">
        <v>2</v>
      </c>
      <c r="C7" s="14"/>
      <c r="D7" s="14"/>
      <c r="E7" s="14"/>
      <c r="F7" s="14"/>
      <c r="G7" s="14"/>
      <c r="H7" s="14"/>
      <c r="I7" s="14"/>
      <c r="J7" s="14"/>
      <c r="K7" s="14"/>
      <c r="L7" s="5"/>
      <c r="M7" s="5"/>
      <c r="N7" s="5"/>
      <c r="O7" s="5"/>
      <c r="P7" s="5"/>
      <c r="Q7" s="5"/>
      <c r="R7" s="5"/>
      <c r="S7" s="5"/>
      <c r="T7" s="5"/>
      <c r="U7" s="4"/>
      <c r="V7" s="4"/>
      <c r="W7" s="4"/>
      <c r="X7" s="4"/>
      <c r="Y7" s="4"/>
      <c r="Z7" s="4"/>
    </row>
    <row r="8" ht="14.25" customHeight="1">
      <c r="A8" s="4"/>
      <c r="B8" s="15" t="s">
        <v>3</v>
      </c>
      <c r="C8" s="16" t="s">
        <v>4</v>
      </c>
      <c r="D8" s="2"/>
      <c r="E8" s="2"/>
      <c r="F8" s="2"/>
      <c r="G8" s="2"/>
      <c r="H8" s="3"/>
      <c r="I8" s="15"/>
      <c r="J8" s="15"/>
      <c r="K8" s="15"/>
      <c r="L8" s="17"/>
      <c r="M8" s="17"/>
      <c r="N8" s="17"/>
      <c r="O8" s="17"/>
      <c r="P8" s="17"/>
      <c r="Q8" s="17"/>
      <c r="R8" s="17"/>
      <c r="S8" s="17"/>
      <c r="T8" s="17"/>
      <c r="U8" s="4"/>
      <c r="V8" s="4"/>
      <c r="W8" s="4"/>
      <c r="X8" s="4"/>
      <c r="Y8" s="4"/>
      <c r="Z8" s="4"/>
    </row>
    <row r="9" ht="14.25" customHeight="1">
      <c r="A9" s="4"/>
      <c r="B9" s="15" t="s">
        <v>5</v>
      </c>
      <c r="C9" s="16" t="s">
        <v>6</v>
      </c>
      <c r="D9" s="2"/>
      <c r="E9" s="2"/>
      <c r="F9" s="2"/>
      <c r="G9" s="2"/>
      <c r="H9" s="3"/>
      <c r="I9" s="15"/>
      <c r="J9" s="15"/>
      <c r="K9" s="15"/>
      <c r="L9" s="17"/>
      <c r="M9" s="17"/>
      <c r="N9" s="17"/>
      <c r="O9" s="17"/>
      <c r="P9" s="17"/>
      <c r="Q9" s="17"/>
      <c r="R9" s="17"/>
      <c r="S9" s="17"/>
      <c r="T9" s="17"/>
      <c r="U9" s="4"/>
      <c r="V9" s="4"/>
      <c r="W9" s="4"/>
      <c r="X9" s="4"/>
      <c r="Y9" s="4"/>
      <c r="Z9" s="4"/>
    </row>
    <row r="10" ht="14.25" customHeight="1">
      <c r="A10" s="4"/>
      <c r="B10" s="15" t="s">
        <v>7</v>
      </c>
      <c r="C10" s="16" t="s">
        <v>8</v>
      </c>
      <c r="D10" s="2"/>
      <c r="E10" s="2"/>
      <c r="F10" s="2"/>
      <c r="G10" s="2"/>
      <c r="H10" s="2"/>
      <c r="I10" s="2"/>
      <c r="J10" s="2"/>
      <c r="K10" s="3"/>
      <c r="L10" s="17"/>
      <c r="M10" s="17"/>
      <c r="N10" s="17"/>
      <c r="O10" s="17"/>
      <c r="P10" s="17"/>
      <c r="Q10" s="17"/>
      <c r="R10" s="17"/>
      <c r="S10" s="17"/>
      <c r="T10" s="17"/>
      <c r="U10" s="4"/>
      <c r="V10" s="4"/>
      <c r="W10" s="4"/>
      <c r="X10" s="4"/>
      <c r="Y10" s="4"/>
      <c r="Z10" s="4"/>
    </row>
    <row r="11" ht="9.75" customHeight="1">
      <c r="A11" s="4"/>
      <c r="B11" s="17"/>
      <c r="C11" s="17"/>
      <c r="D11" s="17"/>
      <c r="E11" s="17"/>
      <c r="F11" s="17"/>
      <c r="G11" s="17"/>
      <c r="H11" s="17"/>
      <c r="I11" s="17"/>
      <c r="J11" s="17"/>
      <c r="K11" s="17"/>
      <c r="L11" s="17"/>
      <c r="M11" s="17"/>
      <c r="N11" s="17"/>
      <c r="O11" s="17"/>
      <c r="P11" s="17"/>
      <c r="Q11" s="17"/>
      <c r="R11" s="17"/>
      <c r="S11" s="17"/>
      <c r="T11" s="17"/>
      <c r="U11" s="4"/>
      <c r="V11" s="4"/>
      <c r="W11" s="4"/>
      <c r="X11" s="4"/>
      <c r="Y11" s="4"/>
      <c r="Z11" s="4"/>
    </row>
    <row r="12" ht="17.25" customHeight="1">
      <c r="A12" s="4"/>
      <c r="B12" s="4"/>
      <c r="C12" s="4" t="s">
        <v>3</v>
      </c>
      <c r="D12" s="4" t="s">
        <v>9</v>
      </c>
      <c r="E12" s="4"/>
      <c r="F12" s="5"/>
      <c r="G12" s="5"/>
      <c r="H12" s="4"/>
      <c r="I12" s="4"/>
      <c r="J12" s="4"/>
      <c r="K12" s="4"/>
      <c r="L12" s="4"/>
      <c r="M12" s="4"/>
      <c r="N12" s="18"/>
      <c r="O12" s="7"/>
      <c r="P12" s="7"/>
      <c r="Q12" s="7"/>
      <c r="R12" s="7"/>
      <c r="S12" s="7"/>
      <c r="T12" s="8"/>
      <c r="U12" s="4"/>
      <c r="V12" s="4"/>
      <c r="W12" s="4"/>
      <c r="X12" s="4"/>
      <c r="Y12" s="4"/>
      <c r="Z12" s="4"/>
    </row>
    <row r="13" ht="15.75" customHeight="1">
      <c r="A13" s="4"/>
      <c r="B13" s="4"/>
      <c r="C13" s="4"/>
      <c r="D13" s="4" t="s">
        <v>10</v>
      </c>
      <c r="E13" s="4"/>
      <c r="F13" s="5"/>
      <c r="G13" s="19" t="s">
        <v>11</v>
      </c>
      <c r="H13" s="20" t="s">
        <v>12</v>
      </c>
      <c r="I13" s="20" t="s">
        <v>13</v>
      </c>
      <c r="J13" s="4"/>
      <c r="K13" s="4"/>
      <c r="L13" s="4"/>
      <c r="M13" s="4"/>
      <c r="N13" s="11"/>
      <c r="O13" s="12"/>
      <c r="P13" s="12"/>
      <c r="Q13" s="12"/>
      <c r="R13" s="12"/>
      <c r="S13" s="12"/>
      <c r="T13" s="13"/>
      <c r="U13" s="4"/>
      <c r="V13" s="4"/>
      <c r="W13" s="4"/>
      <c r="X13" s="4"/>
      <c r="Y13" s="4"/>
      <c r="Z13" s="4"/>
    </row>
    <row r="14" ht="15.75" customHeight="1">
      <c r="A14" s="4"/>
      <c r="B14" s="4"/>
      <c r="C14" s="4"/>
      <c r="D14" s="4" t="s">
        <v>14</v>
      </c>
      <c r="E14" s="4"/>
      <c r="F14" s="5"/>
      <c r="G14" s="21"/>
      <c r="H14" s="4"/>
      <c r="I14" s="4"/>
      <c r="J14" s="4"/>
      <c r="K14" s="4"/>
      <c r="L14" s="4"/>
      <c r="M14" s="4"/>
      <c r="N14" s="22"/>
      <c r="O14" s="2"/>
      <c r="P14" s="2"/>
      <c r="Q14" s="2"/>
      <c r="R14" s="2"/>
      <c r="S14" s="3"/>
      <c r="T14" s="23"/>
      <c r="U14" s="4"/>
      <c r="V14" s="4"/>
      <c r="W14" s="4"/>
      <c r="X14" s="4"/>
      <c r="Y14" s="4"/>
      <c r="Z14" s="4"/>
    </row>
    <row r="15" ht="15.75" customHeight="1">
      <c r="A15" s="4"/>
      <c r="B15" s="4"/>
      <c r="C15" s="4"/>
      <c r="D15" s="4"/>
      <c r="E15" s="4"/>
      <c r="F15" s="5"/>
      <c r="G15" s="5"/>
      <c r="H15" s="4"/>
      <c r="I15" s="4"/>
      <c r="J15" s="4"/>
      <c r="K15" s="4"/>
      <c r="L15" s="4"/>
      <c r="M15" s="4"/>
      <c r="N15" s="22"/>
      <c r="O15" s="2"/>
      <c r="P15" s="2"/>
      <c r="Q15" s="2"/>
      <c r="R15" s="2"/>
      <c r="S15" s="3"/>
      <c r="T15" s="4"/>
      <c r="U15" s="4"/>
      <c r="V15" s="4"/>
      <c r="W15" s="4"/>
      <c r="X15" s="4"/>
      <c r="Y15" s="4"/>
      <c r="Z15" s="4"/>
    </row>
    <row r="16" ht="17.25" customHeight="1">
      <c r="A16" s="4"/>
      <c r="B16" s="4"/>
      <c r="C16" s="4" t="s">
        <v>5</v>
      </c>
      <c r="D16" s="4" t="s">
        <v>15</v>
      </c>
      <c r="E16" s="4"/>
      <c r="F16" s="5"/>
      <c r="G16" s="5"/>
      <c r="H16" s="19" t="s">
        <v>16</v>
      </c>
      <c r="I16" s="20" t="s">
        <v>17</v>
      </c>
      <c r="J16" s="20" t="s">
        <v>18</v>
      </c>
      <c r="K16" s="20" t="s">
        <v>19</v>
      </c>
      <c r="L16" s="20" t="s">
        <v>20</v>
      </c>
      <c r="M16" s="4"/>
      <c r="N16" s="24"/>
      <c r="O16" s="7"/>
      <c r="P16" s="7"/>
      <c r="Q16" s="7"/>
      <c r="R16" s="7"/>
      <c r="S16" s="7"/>
      <c r="T16" s="8"/>
      <c r="U16" s="4"/>
      <c r="V16" s="4"/>
      <c r="W16" s="4"/>
      <c r="X16" s="4"/>
      <c r="Y16" s="4"/>
      <c r="Z16" s="4"/>
    </row>
    <row r="17" ht="15.75" customHeight="1">
      <c r="A17" s="4"/>
      <c r="B17" s="4"/>
      <c r="C17" s="4"/>
      <c r="D17" s="4"/>
      <c r="E17" s="4"/>
      <c r="F17" s="5"/>
      <c r="G17" s="25" t="s">
        <v>21</v>
      </c>
      <c r="H17" s="20" t="str">
        <f> IF(H16&lt;&gt;"",IF(H16=I16,1,IF(H16=J16,2,IF(H16=K16,3,IF(H16=L16,4,"")))),"")</f>
        <v/>
      </c>
      <c r="I17" s="4"/>
      <c r="J17" s="4"/>
      <c r="K17" s="4"/>
      <c r="L17" s="4"/>
      <c r="M17" s="4"/>
      <c r="N17" s="11"/>
      <c r="O17" s="12"/>
      <c r="P17" s="12"/>
      <c r="Q17" s="12"/>
      <c r="R17" s="12"/>
      <c r="S17" s="12"/>
      <c r="T17" s="13"/>
      <c r="U17" s="4"/>
      <c r="V17" s="4"/>
      <c r="W17" s="4"/>
      <c r="X17" s="4"/>
      <c r="Y17" s="4"/>
      <c r="Z17" s="4"/>
    </row>
    <row r="18" ht="15.75" customHeight="1">
      <c r="A18" s="4"/>
      <c r="B18" s="4"/>
      <c r="C18" s="4" t="s">
        <v>7</v>
      </c>
      <c r="D18" s="4" t="s">
        <v>22</v>
      </c>
      <c r="E18" s="4"/>
      <c r="F18" s="5"/>
      <c r="G18" s="5"/>
      <c r="H18" s="4"/>
      <c r="I18" s="4"/>
      <c r="J18" s="4"/>
      <c r="K18" s="4"/>
      <c r="L18" s="4"/>
      <c r="M18" s="4"/>
      <c r="N18" s="4"/>
      <c r="O18" s="4"/>
      <c r="P18" s="4"/>
      <c r="Q18" s="4"/>
      <c r="R18" s="4"/>
      <c r="S18" s="4"/>
      <c r="T18" s="4"/>
      <c r="U18" s="4"/>
      <c r="V18" s="4"/>
      <c r="W18" s="4"/>
      <c r="X18" s="4"/>
      <c r="Y18" s="4"/>
      <c r="Z18" s="4"/>
    </row>
    <row r="19" ht="15.75" customHeight="1">
      <c r="A19" s="4"/>
      <c r="B19" s="4"/>
      <c r="C19" s="4"/>
      <c r="D19" s="4" t="s">
        <v>23</v>
      </c>
      <c r="E19" s="4"/>
      <c r="F19" s="26"/>
      <c r="G19" s="17" t="s">
        <v>24</v>
      </c>
      <c r="H19" s="4"/>
      <c r="I19" s="4"/>
      <c r="J19" s="4" t="str">
        <f>IF(AND(F19&lt;&gt;"",G14&lt;&gt;""),F19/G14,"")</f>
        <v/>
      </c>
      <c r="K19" s="4" t="s">
        <v>25</v>
      </c>
      <c r="L19" s="4"/>
      <c r="M19" s="4"/>
      <c r="N19" s="4"/>
      <c r="O19" s="4"/>
      <c r="P19" s="4"/>
      <c r="Q19" s="20"/>
      <c r="R19" s="4"/>
      <c r="S19" s="4"/>
      <c r="T19" s="4"/>
      <c r="U19" s="4"/>
      <c r="V19" s="4"/>
      <c r="W19" s="4"/>
      <c r="X19" s="4"/>
      <c r="Y19" s="4"/>
      <c r="Z19" s="4"/>
    </row>
    <row r="20" ht="3.0" customHeight="1">
      <c r="A20" s="4"/>
      <c r="B20" s="4"/>
      <c r="C20" s="4"/>
      <c r="D20" s="4"/>
      <c r="E20" s="4"/>
      <c r="F20" s="5"/>
      <c r="G20" s="17"/>
      <c r="H20" s="4"/>
      <c r="I20" s="4"/>
      <c r="J20" s="4"/>
      <c r="K20" s="4"/>
      <c r="L20" s="4"/>
      <c r="M20" s="4"/>
      <c r="N20" s="4"/>
      <c r="O20" s="4"/>
      <c r="P20" s="4"/>
      <c r="Q20" s="4"/>
      <c r="R20" s="4"/>
      <c r="S20" s="4"/>
      <c r="T20" s="4"/>
      <c r="U20" s="4"/>
      <c r="V20" s="4"/>
      <c r="W20" s="4"/>
      <c r="X20" s="4"/>
      <c r="Y20" s="4"/>
      <c r="Z20" s="4"/>
    </row>
    <row r="21" ht="15.75" customHeight="1">
      <c r="A21" s="4"/>
      <c r="B21" s="4"/>
      <c r="C21" s="4"/>
      <c r="D21" s="4" t="s">
        <v>26</v>
      </c>
      <c r="E21" s="4"/>
      <c r="F21" s="5"/>
      <c r="G21" s="5"/>
      <c r="H21" s="4"/>
      <c r="I21" s="27"/>
      <c r="J21" s="23" t="s">
        <v>24</v>
      </c>
      <c r="K21" s="4"/>
      <c r="L21" s="4"/>
      <c r="M21" s="4" t="str">
        <f>IF(AND(I21&lt;&gt;"",G14&lt;&gt;""),I21/G14,"")</f>
        <v/>
      </c>
      <c r="N21" s="4" t="s">
        <v>25</v>
      </c>
      <c r="O21" s="4"/>
      <c r="P21" s="4"/>
      <c r="Q21" s="4"/>
      <c r="R21" s="4"/>
      <c r="S21" s="4"/>
      <c r="T21" s="4"/>
      <c r="U21" s="4"/>
      <c r="V21" s="4"/>
      <c r="W21" s="4"/>
      <c r="X21" s="4"/>
      <c r="Y21" s="4"/>
      <c r="Z21" s="4"/>
    </row>
    <row r="22" ht="3.0" customHeight="1">
      <c r="A22" s="4"/>
      <c r="B22" s="4"/>
      <c r="C22" s="4"/>
      <c r="D22" s="4"/>
      <c r="E22" s="4"/>
      <c r="F22" s="5"/>
      <c r="G22" s="5"/>
      <c r="H22" s="4"/>
      <c r="I22" s="4"/>
      <c r="J22" s="4"/>
      <c r="K22" s="4"/>
      <c r="L22" s="23"/>
      <c r="M22" s="4"/>
      <c r="N22" s="4"/>
      <c r="O22" s="4"/>
      <c r="P22" s="4"/>
      <c r="Q22" s="4"/>
      <c r="R22" s="4"/>
      <c r="S22" s="4"/>
      <c r="T22" s="4"/>
      <c r="U22" s="4"/>
      <c r="V22" s="4"/>
      <c r="W22" s="4"/>
      <c r="X22" s="4"/>
      <c r="Y22" s="4"/>
      <c r="Z22" s="4"/>
    </row>
    <row r="23" ht="15.75" customHeight="1">
      <c r="A23" s="4"/>
      <c r="B23" s="4"/>
      <c r="C23" s="4"/>
      <c r="D23" s="4" t="s">
        <v>27</v>
      </c>
      <c r="E23" s="4"/>
      <c r="F23" s="26"/>
      <c r="G23" s="17" t="s">
        <v>24</v>
      </c>
      <c r="H23" s="4"/>
      <c r="I23" s="4"/>
      <c r="J23" s="4" t="str">
        <f>IF(AND(F23&lt;&gt;"",G14&lt;&gt;""),F23/G14,"")</f>
        <v/>
      </c>
      <c r="K23" s="4" t="s">
        <v>25</v>
      </c>
      <c r="L23" s="4"/>
      <c r="M23" s="4"/>
      <c r="N23" s="4"/>
      <c r="O23" s="4"/>
      <c r="P23" s="4"/>
      <c r="Q23" s="4"/>
      <c r="R23" s="4"/>
      <c r="S23" s="4"/>
      <c r="T23" s="4"/>
      <c r="U23" s="4"/>
      <c r="V23" s="4"/>
      <c r="W23" s="4"/>
      <c r="X23" s="4"/>
      <c r="Y23" s="4"/>
      <c r="Z23" s="4"/>
    </row>
    <row r="24" ht="3.0" customHeight="1">
      <c r="A24" s="4"/>
      <c r="B24" s="4"/>
      <c r="C24" s="4"/>
      <c r="D24" s="4"/>
      <c r="E24" s="4"/>
      <c r="F24" s="5"/>
      <c r="G24" s="17"/>
      <c r="H24" s="4"/>
      <c r="I24" s="4"/>
      <c r="J24" s="4"/>
      <c r="K24" s="4"/>
      <c r="L24" s="4"/>
      <c r="M24" s="4"/>
      <c r="N24" s="4"/>
      <c r="O24" s="4"/>
      <c r="P24" s="4"/>
      <c r="Q24" s="4"/>
      <c r="R24" s="4"/>
      <c r="S24" s="4"/>
      <c r="T24" s="4"/>
      <c r="U24" s="4"/>
      <c r="V24" s="4"/>
      <c r="W24" s="4"/>
      <c r="X24" s="4"/>
      <c r="Y24" s="4"/>
      <c r="Z24" s="4"/>
    </row>
    <row r="25" ht="15.75" customHeight="1">
      <c r="A25" s="4"/>
      <c r="B25" s="4"/>
      <c r="C25" s="4"/>
      <c r="D25" s="4" t="s">
        <v>28</v>
      </c>
      <c r="E25" s="4"/>
      <c r="F25" s="26"/>
      <c r="G25" s="17" t="s">
        <v>24</v>
      </c>
      <c r="H25" s="4"/>
      <c r="I25" s="4"/>
      <c r="J25" s="4" t="str">
        <f>IF(AND(F25&lt;&gt;"",G14&lt;&gt;""),F25/G14,"")</f>
        <v/>
      </c>
      <c r="K25" s="4" t="s">
        <v>25</v>
      </c>
      <c r="L25" s="4"/>
      <c r="M25" s="4"/>
      <c r="N25" s="4"/>
      <c r="O25" s="4"/>
      <c r="P25" s="4"/>
      <c r="Q25" s="4"/>
      <c r="R25" s="4"/>
      <c r="S25" s="4"/>
      <c r="T25" s="4"/>
      <c r="U25" s="4"/>
      <c r="V25" s="4"/>
      <c r="W25" s="4"/>
      <c r="X25" s="4"/>
      <c r="Y25" s="4"/>
      <c r="Z25" s="4"/>
    </row>
    <row r="26" ht="15.75" customHeight="1">
      <c r="A26" s="4"/>
      <c r="B26" s="4"/>
      <c r="C26" s="4"/>
      <c r="D26" s="4"/>
      <c r="E26" s="4"/>
      <c r="F26" s="5"/>
      <c r="G26" s="5"/>
      <c r="H26" s="4"/>
      <c r="I26" s="4"/>
      <c r="J26" s="4"/>
      <c r="K26" s="4"/>
      <c r="L26" s="4"/>
      <c r="M26" s="4"/>
      <c r="N26" s="4"/>
      <c r="O26" s="4"/>
      <c r="P26" s="4"/>
      <c r="Q26" s="4"/>
      <c r="R26" s="4"/>
      <c r="S26" s="4"/>
      <c r="T26" s="4"/>
      <c r="U26" s="4"/>
      <c r="V26" s="4"/>
      <c r="W26" s="4"/>
      <c r="X26" s="4"/>
      <c r="Y26" s="4"/>
      <c r="Z26" s="4"/>
    </row>
    <row r="27" ht="15.75" customHeight="1">
      <c r="A27" s="4"/>
      <c r="B27" s="4"/>
      <c r="C27" s="4"/>
      <c r="D27" s="4" t="s">
        <v>29</v>
      </c>
      <c r="E27" s="4"/>
      <c r="F27" s="5"/>
      <c r="G27" s="5"/>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5"/>
      <c r="G28" s="5"/>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28" t="s">
        <v>30</v>
      </c>
      <c r="G29" s="29"/>
      <c r="H29" s="30" t="s">
        <v>31</v>
      </c>
      <c r="I29" s="29"/>
      <c r="J29" s="30" t="s">
        <v>32</v>
      </c>
      <c r="K29" s="29"/>
      <c r="L29" s="30" t="s">
        <v>33</v>
      </c>
      <c r="M29" s="29"/>
      <c r="N29" s="4"/>
      <c r="O29" s="4"/>
      <c r="P29" s="4"/>
      <c r="Q29" s="4"/>
      <c r="R29" s="4"/>
      <c r="S29" s="4"/>
      <c r="T29" s="4"/>
      <c r="U29" s="4"/>
      <c r="V29" s="4"/>
      <c r="W29" s="4"/>
      <c r="X29" s="4"/>
      <c r="Y29" s="4"/>
      <c r="Z29" s="4"/>
    </row>
    <row r="30" ht="15.75" customHeight="1">
      <c r="A30" s="4"/>
      <c r="B30" s="4"/>
      <c r="C30" s="4"/>
      <c r="D30" s="31" t="s">
        <v>34</v>
      </c>
      <c r="E30" s="4"/>
      <c r="F30" s="32" t="s">
        <v>35</v>
      </c>
      <c r="G30" s="32" t="s">
        <v>36</v>
      </c>
      <c r="H30" s="32" t="s">
        <v>35</v>
      </c>
      <c r="I30" s="32" t="s">
        <v>36</v>
      </c>
      <c r="J30" s="32" t="s">
        <v>35</v>
      </c>
      <c r="K30" s="32" t="s">
        <v>36</v>
      </c>
      <c r="L30" s="32" t="s">
        <v>35</v>
      </c>
      <c r="M30" s="32" t="s">
        <v>36</v>
      </c>
      <c r="N30" s="4"/>
      <c r="O30" s="4"/>
      <c r="P30" s="4"/>
      <c r="Q30" s="4"/>
      <c r="R30" s="4"/>
      <c r="S30" s="4"/>
      <c r="T30" s="4"/>
      <c r="U30" s="4"/>
      <c r="V30" s="4"/>
      <c r="W30" s="4"/>
      <c r="X30" s="4"/>
      <c r="Y30" s="4"/>
      <c r="Z30" s="4"/>
    </row>
    <row r="31" ht="15.75" customHeight="1">
      <c r="A31" s="4"/>
      <c r="B31" s="4"/>
      <c r="C31" s="4"/>
      <c r="D31" s="33" t="s">
        <v>23</v>
      </c>
      <c r="E31" s="33"/>
      <c r="F31" s="34" t="s">
        <v>37</v>
      </c>
      <c r="G31" s="34" t="s">
        <v>38</v>
      </c>
      <c r="H31" s="34" t="s">
        <v>39</v>
      </c>
      <c r="I31" s="34" t="s">
        <v>40</v>
      </c>
      <c r="J31" s="34" t="s">
        <v>41</v>
      </c>
      <c r="K31" s="34" t="s">
        <v>42</v>
      </c>
      <c r="L31" s="34" t="s">
        <v>43</v>
      </c>
      <c r="M31" s="34" t="s">
        <v>44</v>
      </c>
      <c r="N31" s="35" t="s">
        <v>45</v>
      </c>
      <c r="O31" s="4" t="s">
        <v>46</v>
      </c>
      <c r="P31" s="19" t="s">
        <v>16</v>
      </c>
      <c r="Q31" s="20" t="s">
        <v>30</v>
      </c>
      <c r="R31" s="20" t="s">
        <v>31</v>
      </c>
      <c r="S31" s="20" t="s">
        <v>32</v>
      </c>
      <c r="T31" s="20" t="s">
        <v>33</v>
      </c>
      <c r="U31" s="25" t="s">
        <v>21</v>
      </c>
      <c r="V31" s="25"/>
      <c r="W31" s="25" t="str">
        <f t="shared" ref="W31:W34" si="1"> IF(P31&lt;&gt;"",IF(P31=Q31,1,IF(P31=R31,2,IF(P31=S31,3,IF(P31=T31,4,"")))),"")</f>
        <v/>
      </c>
      <c r="X31" s="4"/>
      <c r="Y31" s="4"/>
      <c r="Z31" s="4"/>
    </row>
    <row r="32" ht="15.75" customHeight="1">
      <c r="A32" s="4"/>
      <c r="B32" s="4"/>
      <c r="C32" s="4"/>
      <c r="D32" s="33" t="s">
        <v>47</v>
      </c>
      <c r="E32" s="33"/>
      <c r="F32" s="34" t="s">
        <v>48</v>
      </c>
      <c r="G32" s="34" t="s">
        <v>49</v>
      </c>
      <c r="H32" s="34" t="s">
        <v>50</v>
      </c>
      <c r="I32" s="34" t="s">
        <v>51</v>
      </c>
      <c r="J32" s="34" t="s">
        <v>52</v>
      </c>
      <c r="K32" s="34" t="s">
        <v>53</v>
      </c>
      <c r="L32" s="34" t="s">
        <v>54</v>
      </c>
      <c r="M32" s="34" t="s">
        <v>55</v>
      </c>
      <c r="N32" s="35" t="s">
        <v>45</v>
      </c>
      <c r="O32" s="4" t="s">
        <v>46</v>
      </c>
      <c r="P32" s="19" t="s">
        <v>16</v>
      </c>
      <c r="Q32" s="20" t="s">
        <v>30</v>
      </c>
      <c r="R32" s="20" t="s">
        <v>31</v>
      </c>
      <c r="S32" s="20" t="s">
        <v>32</v>
      </c>
      <c r="T32" s="20" t="s">
        <v>33</v>
      </c>
      <c r="U32" s="25" t="s">
        <v>21</v>
      </c>
      <c r="V32" s="25"/>
      <c r="W32" s="25" t="str">
        <f t="shared" si="1"/>
        <v/>
      </c>
      <c r="X32" s="4"/>
      <c r="Y32" s="4"/>
      <c r="Z32" s="4"/>
    </row>
    <row r="33" ht="15.75" customHeight="1">
      <c r="A33" s="4"/>
      <c r="B33" s="4"/>
      <c r="C33" s="4"/>
      <c r="D33" s="33" t="s">
        <v>27</v>
      </c>
      <c r="E33" s="33"/>
      <c r="F33" s="34" t="s">
        <v>56</v>
      </c>
      <c r="G33" s="34" t="s">
        <v>57</v>
      </c>
      <c r="H33" s="34" t="s">
        <v>58</v>
      </c>
      <c r="I33" s="34" t="s">
        <v>59</v>
      </c>
      <c r="J33" s="34" t="s">
        <v>60</v>
      </c>
      <c r="K33" s="34" t="s">
        <v>61</v>
      </c>
      <c r="L33" s="34" t="s">
        <v>62</v>
      </c>
      <c r="M33" s="34" t="s">
        <v>63</v>
      </c>
      <c r="N33" s="35" t="s">
        <v>45</v>
      </c>
      <c r="O33" s="4" t="s">
        <v>46</v>
      </c>
      <c r="P33" s="19" t="s">
        <v>16</v>
      </c>
      <c r="Q33" s="20" t="s">
        <v>30</v>
      </c>
      <c r="R33" s="20" t="s">
        <v>31</v>
      </c>
      <c r="S33" s="20" t="s">
        <v>32</v>
      </c>
      <c r="T33" s="20" t="s">
        <v>33</v>
      </c>
      <c r="U33" s="25" t="s">
        <v>21</v>
      </c>
      <c r="V33" s="25"/>
      <c r="W33" s="25" t="str">
        <f t="shared" si="1"/>
        <v/>
      </c>
      <c r="X33" s="4"/>
      <c r="Y33" s="4"/>
      <c r="Z33" s="4"/>
    </row>
    <row r="34" ht="15.75" customHeight="1">
      <c r="A34" s="4"/>
      <c r="B34" s="4"/>
      <c r="C34" s="4"/>
      <c r="D34" s="33" t="s">
        <v>28</v>
      </c>
      <c r="E34" s="33"/>
      <c r="F34" s="34" t="s">
        <v>64</v>
      </c>
      <c r="G34" s="34" t="s">
        <v>65</v>
      </c>
      <c r="H34" s="34" t="s">
        <v>66</v>
      </c>
      <c r="I34" s="34" t="s">
        <v>67</v>
      </c>
      <c r="J34" s="34" t="s">
        <v>68</v>
      </c>
      <c r="K34" s="34" t="s">
        <v>66</v>
      </c>
      <c r="L34" s="34" t="s">
        <v>69</v>
      </c>
      <c r="M34" s="34" t="s">
        <v>70</v>
      </c>
      <c r="N34" s="35" t="s">
        <v>45</v>
      </c>
      <c r="O34" s="4" t="s">
        <v>46</v>
      </c>
      <c r="P34" s="19" t="s">
        <v>16</v>
      </c>
      <c r="Q34" s="20" t="s">
        <v>30</v>
      </c>
      <c r="R34" s="20" t="s">
        <v>31</v>
      </c>
      <c r="S34" s="20" t="s">
        <v>32</v>
      </c>
      <c r="T34" s="20" t="s">
        <v>33</v>
      </c>
      <c r="U34" s="25" t="s">
        <v>21</v>
      </c>
      <c r="V34" s="25"/>
      <c r="W34" s="25" t="str">
        <f t="shared" si="1"/>
        <v/>
      </c>
      <c r="X34" s="4"/>
      <c r="Y34" s="4"/>
      <c r="Z34" s="4"/>
    </row>
    <row r="35" ht="15.75" customHeight="1">
      <c r="A35" s="4"/>
      <c r="B35" s="4"/>
      <c r="C35" s="4"/>
      <c r="D35" s="4"/>
      <c r="E35" s="4"/>
      <c r="F35" s="5"/>
      <c r="G35" s="5"/>
      <c r="H35" s="4"/>
      <c r="I35" s="4"/>
      <c r="J35" s="4"/>
      <c r="K35" s="4"/>
      <c r="L35" s="4"/>
      <c r="M35" s="4"/>
      <c r="N35" s="4"/>
      <c r="O35" s="4"/>
      <c r="P35" s="4"/>
      <c r="Q35" s="4"/>
      <c r="R35" s="4"/>
      <c r="S35" s="4"/>
      <c r="T35" s="4"/>
      <c r="U35" s="25" t="s">
        <v>71</v>
      </c>
      <c r="V35" s="25"/>
      <c r="W35" s="25" t="str">
        <f>IF(AND(W31&lt;&gt;"",W32&lt;&gt;"",W33&lt;&gt;"",W34&lt;&gt;""),ROUND(SUM(W31,W32,W33,W34)/4,0),"")</f>
        <v/>
      </c>
      <c r="X35" s="4"/>
      <c r="Y35" s="4"/>
      <c r="Z35" s="4"/>
    </row>
    <row r="36" ht="15.75" customHeight="1">
      <c r="A36" s="4"/>
      <c r="B36" s="4"/>
      <c r="C36" s="4"/>
      <c r="D36" s="4"/>
      <c r="E36" s="4"/>
      <c r="F36" s="5"/>
      <c r="G36" s="5"/>
      <c r="H36" s="4"/>
      <c r="I36" s="4"/>
      <c r="J36" s="4"/>
      <c r="K36" s="4"/>
      <c r="L36" s="4"/>
      <c r="M36" s="4"/>
      <c r="N36" s="4"/>
      <c r="O36" s="4"/>
      <c r="P36" s="4"/>
      <c r="Q36" s="4"/>
      <c r="R36" s="4"/>
      <c r="S36" s="4"/>
      <c r="T36" s="4"/>
      <c r="U36" s="4"/>
      <c r="V36" s="4"/>
      <c r="W36" s="4"/>
      <c r="X36" s="4"/>
      <c r="Y36" s="4"/>
      <c r="Z36" s="4"/>
    </row>
    <row r="37" ht="15.75" customHeight="1">
      <c r="A37" s="4"/>
      <c r="B37" s="4"/>
      <c r="C37" s="4" t="s">
        <v>72</v>
      </c>
      <c r="D37" s="4" t="s">
        <v>73</v>
      </c>
      <c r="E37" s="4"/>
      <c r="F37" s="5"/>
      <c r="G37" s="5"/>
      <c r="H37" s="4"/>
      <c r="I37" s="19" t="s">
        <v>16</v>
      </c>
      <c r="J37" s="20" t="s">
        <v>74</v>
      </c>
      <c r="K37" s="20" t="s">
        <v>75</v>
      </c>
      <c r="L37" s="20" t="s">
        <v>76</v>
      </c>
      <c r="M37" s="20" t="s">
        <v>77</v>
      </c>
      <c r="N37" s="4"/>
      <c r="O37" s="4"/>
      <c r="P37" s="4"/>
      <c r="Q37" s="4"/>
      <c r="R37" s="4"/>
      <c r="S37" s="4"/>
      <c r="T37" s="4"/>
      <c r="U37" s="4"/>
      <c r="V37" s="4"/>
      <c r="W37" s="4"/>
      <c r="X37" s="4"/>
      <c r="Y37" s="4"/>
      <c r="Z37" s="4"/>
    </row>
    <row r="38" ht="15.75" customHeight="1">
      <c r="A38" s="4"/>
      <c r="B38" s="4"/>
      <c r="C38" s="4"/>
      <c r="D38" s="4"/>
      <c r="E38" s="4"/>
      <c r="F38" s="5"/>
      <c r="G38" s="5"/>
      <c r="H38" s="25" t="s">
        <v>21</v>
      </c>
      <c r="I38" s="25" t="str">
        <f> IF(I37&lt;&gt;"",IF(I37=J37,1,IF(I37=K37,2,IF(I37=L37,3,IF(I37=M37,4,"")))),"")</f>
        <v/>
      </c>
      <c r="J38" s="4"/>
      <c r="K38" s="4"/>
      <c r="L38" s="4"/>
      <c r="M38" s="4"/>
      <c r="N38" s="4"/>
      <c r="O38" s="4"/>
      <c r="P38" s="4"/>
      <c r="Q38" s="4"/>
      <c r="R38" s="4"/>
      <c r="S38" s="4"/>
      <c r="T38" s="4"/>
      <c r="U38" s="4"/>
      <c r="V38" s="4"/>
      <c r="W38" s="4"/>
      <c r="X38" s="4"/>
      <c r="Y38" s="4"/>
      <c r="Z38" s="4"/>
    </row>
    <row r="39" ht="15.75" customHeight="1">
      <c r="A39" s="4"/>
      <c r="B39" s="4"/>
      <c r="C39" s="4" t="s">
        <v>78</v>
      </c>
      <c r="D39" s="4" t="s">
        <v>79</v>
      </c>
      <c r="E39" s="4"/>
      <c r="F39" s="5"/>
      <c r="G39" s="5"/>
      <c r="H39" s="4"/>
      <c r="I39" s="4"/>
      <c r="J39" s="19" t="s">
        <v>16</v>
      </c>
      <c r="K39" s="20" t="s">
        <v>80</v>
      </c>
      <c r="L39" s="20" t="s">
        <v>81</v>
      </c>
      <c r="M39" s="20" t="s">
        <v>82</v>
      </c>
      <c r="N39" s="20" t="s">
        <v>83</v>
      </c>
      <c r="O39" s="20"/>
      <c r="P39" s="4"/>
      <c r="Q39" s="4"/>
      <c r="R39" s="4"/>
      <c r="S39" s="4"/>
      <c r="T39" s="4"/>
      <c r="U39" s="4"/>
      <c r="V39" s="4"/>
      <c r="W39" s="4"/>
      <c r="X39" s="4"/>
      <c r="Y39" s="4"/>
      <c r="Z39" s="4"/>
    </row>
    <row r="40" ht="15.75" customHeight="1">
      <c r="A40" s="4"/>
      <c r="B40" s="4"/>
      <c r="C40" s="4"/>
      <c r="D40" s="4"/>
      <c r="E40" s="4"/>
      <c r="F40" s="5"/>
      <c r="G40" s="5"/>
      <c r="H40" s="4"/>
      <c r="I40" s="25" t="s">
        <v>21</v>
      </c>
      <c r="J40" s="25" t="str">
        <f> IF(J39&lt;&gt;"",IF(J39=K39,1,IF(J39=L39,2,IF(J39=M39,3,IF(J39=N39,4,"")))),"")</f>
        <v/>
      </c>
      <c r="K40" s="4"/>
      <c r="L40" s="4"/>
      <c r="M40" s="4"/>
      <c r="N40" s="4"/>
      <c r="O40" s="4"/>
      <c r="P40" s="4"/>
      <c r="Q40" s="4"/>
      <c r="R40" s="4"/>
      <c r="S40" s="4"/>
      <c r="T40" s="4"/>
      <c r="U40" s="4"/>
      <c r="V40" s="4"/>
      <c r="W40" s="4"/>
      <c r="X40" s="4"/>
      <c r="Y40" s="4"/>
      <c r="Z40" s="4"/>
    </row>
    <row r="41" ht="15.75" customHeight="1">
      <c r="A41" s="4"/>
      <c r="B41" s="4"/>
      <c r="C41" s="4" t="s">
        <v>84</v>
      </c>
      <c r="D41" s="4" t="s">
        <v>85</v>
      </c>
      <c r="E41" s="4"/>
      <c r="F41" s="5"/>
      <c r="G41" s="5"/>
      <c r="H41" s="4"/>
      <c r="I41" s="4"/>
      <c r="J41" s="4"/>
      <c r="K41" s="19" t="s">
        <v>16</v>
      </c>
      <c r="L41" s="36" t="s">
        <v>86</v>
      </c>
      <c r="M41" s="36" t="s">
        <v>87</v>
      </c>
      <c r="N41" s="35"/>
      <c r="O41" s="35"/>
      <c r="P41" s="35"/>
      <c r="Q41" s="4"/>
      <c r="R41" s="4"/>
      <c r="S41" s="4"/>
      <c r="T41" s="4"/>
      <c r="U41" s="4"/>
      <c r="V41" s="4"/>
      <c r="W41" s="4"/>
      <c r="X41" s="4"/>
      <c r="Y41" s="4"/>
      <c r="Z41" s="4"/>
    </row>
    <row r="42" ht="15.75" customHeight="1">
      <c r="A42" s="4"/>
      <c r="B42" s="4"/>
      <c r="C42" s="4"/>
      <c r="D42" s="4" t="s">
        <v>88</v>
      </c>
      <c r="E42" s="4"/>
      <c r="F42" s="5"/>
      <c r="G42" s="5"/>
      <c r="H42" s="4"/>
      <c r="I42" s="19" t="s">
        <v>16</v>
      </c>
      <c r="J42" s="20" t="s">
        <v>89</v>
      </c>
      <c r="K42" s="36" t="s">
        <v>90</v>
      </c>
      <c r="L42" s="20" t="s">
        <v>91</v>
      </c>
      <c r="M42" s="36" t="s">
        <v>92</v>
      </c>
      <c r="N42" s="35"/>
      <c r="O42" s="35"/>
      <c r="P42" s="35"/>
      <c r="Q42" s="4"/>
      <c r="R42" s="4"/>
      <c r="S42" s="4"/>
      <c r="T42" s="4"/>
      <c r="U42" s="4"/>
      <c r="V42" s="4"/>
      <c r="W42" s="4"/>
      <c r="X42" s="4"/>
      <c r="Y42" s="4"/>
      <c r="Z42" s="4"/>
    </row>
    <row r="43" ht="15.75" customHeight="1">
      <c r="A43" s="4"/>
      <c r="B43" s="4"/>
      <c r="C43" s="4"/>
      <c r="D43" s="4"/>
      <c r="E43" s="4"/>
      <c r="F43" s="5"/>
      <c r="G43" s="5"/>
      <c r="H43" s="25" t="s">
        <v>21</v>
      </c>
      <c r="I43" s="25" t="str">
        <f> IF(I42&lt;&gt;"",IF(I42=J42,1,IF(I42=K42,2,IF(I42=L42,3,IF(I42=M42,4,"")))),"")</f>
        <v/>
      </c>
      <c r="J43" s="4"/>
      <c r="K43" s="4"/>
      <c r="L43" s="4"/>
      <c r="M43" s="4"/>
      <c r="N43" s="4"/>
      <c r="O43" s="4"/>
      <c r="P43" s="4"/>
      <c r="Q43" s="4"/>
      <c r="R43" s="4"/>
      <c r="S43" s="4"/>
      <c r="T43" s="4"/>
      <c r="U43" s="4"/>
      <c r="V43" s="4"/>
      <c r="W43" s="4"/>
      <c r="X43" s="4"/>
      <c r="Y43" s="4"/>
      <c r="Z43" s="4"/>
    </row>
    <row r="44" ht="15.75" customHeight="1">
      <c r="A44" s="4"/>
      <c r="B44" s="4"/>
      <c r="C44" s="4"/>
      <c r="D44" s="4"/>
      <c r="E44" s="4"/>
      <c r="F44" s="5"/>
      <c r="G44" s="5"/>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5"/>
      <c r="G45" s="5"/>
      <c r="H45" s="4"/>
      <c r="I45" s="4"/>
      <c r="J45" s="4"/>
      <c r="K45" s="37" t="s">
        <v>93</v>
      </c>
      <c r="L45" s="37"/>
      <c r="M45" s="37" t="str">
        <f>IF(AND(H17&lt;&gt;"",W35&lt;&gt;"",I38&lt;&gt;"",J40&lt;&gt;"",I43&lt;&gt;""),ROUND(SUM(H17,W35,I38,J40,I43)/5,0),"")</f>
        <v/>
      </c>
      <c r="N45" s="38"/>
      <c r="O45" s="38"/>
      <c r="P45" s="38"/>
      <c r="Q45" s="38"/>
      <c r="R45" s="4"/>
      <c r="S45" s="4"/>
      <c r="T45" s="4"/>
      <c r="U45" s="4"/>
      <c r="V45" s="4"/>
      <c r="W45" s="4"/>
      <c r="X45" s="4"/>
      <c r="Y45" s="4"/>
      <c r="Z45" s="4"/>
    </row>
    <row r="46" ht="15.75" customHeight="1">
      <c r="A46" s="4"/>
      <c r="B46" s="4"/>
      <c r="C46" s="4"/>
      <c r="D46" s="4"/>
      <c r="E46" s="4"/>
      <c r="F46" s="5"/>
      <c r="G46" s="5"/>
      <c r="H46" s="39"/>
      <c r="I46" s="4"/>
      <c r="J46" s="40"/>
      <c r="K46" s="41" t="s">
        <v>94</v>
      </c>
      <c r="L46" s="2"/>
      <c r="M46" s="2"/>
      <c r="N46" s="2"/>
      <c r="O46" s="2"/>
      <c r="P46" s="2"/>
      <c r="Q46" s="3"/>
      <c r="R46" s="42"/>
      <c r="S46" s="4"/>
      <c r="T46" s="4"/>
      <c r="U46" s="4"/>
      <c r="V46" s="4"/>
      <c r="W46" s="4"/>
      <c r="X46" s="4"/>
      <c r="Y46" s="4"/>
      <c r="Z46" s="4"/>
    </row>
    <row r="47" ht="25.5" customHeight="1">
      <c r="A47" s="4"/>
      <c r="B47" s="4"/>
      <c r="C47" s="4"/>
      <c r="D47" s="4"/>
      <c r="E47" s="4"/>
      <c r="F47" s="5"/>
      <c r="G47" s="5"/>
      <c r="H47" s="4"/>
      <c r="I47" s="4"/>
      <c r="J47" s="40"/>
      <c r="K47" s="43" t="str">
        <f>IF(M45&lt;&gt;"",IF(M45=1,"PRINCIPIANTE",IF(M45=2,"INTERMEDIO",IF(M45=3,"AVANZADO",IF(M45=4,"EXPERTO","")))),"")</f>
        <v/>
      </c>
      <c r="L47" s="44"/>
      <c r="M47" s="44"/>
      <c r="N47" s="44"/>
      <c r="O47" s="44"/>
      <c r="P47" s="44"/>
      <c r="Q47" s="45"/>
      <c r="R47" s="42"/>
      <c r="S47" s="4"/>
      <c r="T47" s="4"/>
      <c r="U47" s="4"/>
      <c r="V47" s="4"/>
      <c r="W47" s="4"/>
      <c r="X47" s="4"/>
      <c r="Y47" s="4"/>
      <c r="Z47" s="4"/>
    </row>
    <row r="48" ht="25.5" customHeight="1">
      <c r="A48" s="4"/>
      <c r="B48" s="4"/>
      <c r="C48" s="4"/>
      <c r="D48" s="4"/>
      <c r="E48" s="4"/>
      <c r="F48" s="5"/>
      <c r="G48" s="5"/>
      <c r="H48" s="4"/>
      <c r="I48" s="4"/>
      <c r="J48" s="40"/>
      <c r="K48" s="46"/>
      <c r="Q48" s="47"/>
      <c r="R48" s="4"/>
      <c r="S48" s="4"/>
      <c r="T48" s="4"/>
      <c r="U48" s="4"/>
      <c r="V48" s="4"/>
      <c r="W48" s="4"/>
      <c r="X48" s="4"/>
      <c r="Y48" s="4"/>
      <c r="Z48" s="4"/>
    </row>
    <row r="49" ht="25.5" customHeight="1">
      <c r="A49" s="4"/>
      <c r="B49" s="4"/>
      <c r="C49" s="4"/>
      <c r="D49" s="4"/>
      <c r="E49" s="4"/>
      <c r="F49" s="5"/>
      <c r="G49" s="5"/>
      <c r="H49" s="4"/>
      <c r="I49" s="4"/>
      <c r="J49" s="40"/>
      <c r="K49" s="46"/>
      <c r="Q49" s="47"/>
      <c r="R49" s="4"/>
      <c r="S49" s="4"/>
      <c r="T49" s="4"/>
      <c r="U49" s="4"/>
      <c r="V49" s="4"/>
      <c r="W49" s="4"/>
      <c r="X49" s="4"/>
      <c r="Y49" s="4"/>
      <c r="Z49" s="4"/>
    </row>
    <row r="50" ht="25.5" customHeight="1">
      <c r="A50" s="4"/>
      <c r="B50" s="4"/>
      <c r="C50" s="4"/>
      <c r="D50" s="48"/>
      <c r="E50" s="4"/>
      <c r="F50" s="5"/>
      <c r="G50" s="5"/>
      <c r="H50" s="4"/>
      <c r="I50" s="4"/>
      <c r="J50" s="40"/>
      <c r="K50" s="49"/>
      <c r="L50" s="50"/>
      <c r="M50" s="50"/>
      <c r="N50" s="50"/>
      <c r="O50" s="50"/>
      <c r="P50" s="50"/>
      <c r="Q50" s="51"/>
      <c r="R50" s="4"/>
      <c r="S50" s="4"/>
      <c r="T50" s="4"/>
      <c r="U50" s="4"/>
      <c r="V50" s="4"/>
      <c r="W50" s="4"/>
      <c r="X50" s="4"/>
      <c r="Y50" s="4"/>
      <c r="Z50" s="4"/>
    </row>
    <row r="51" ht="15.75" customHeight="1">
      <c r="A51" s="4"/>
      <c r="B51" s="4"/>
      <c r="C51" s="4"/>
      <c r="D51" s="4"/>
      <c r="E51" s="4"/>
      <c r="F51" s="5"/>
      <c r="G51" s="5"/>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5"/>
      <c r="G52" s="5"/>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5"/>
      <c r="G53" s="5"/>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5"/>
      <c r="G54" s="5"/>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5"/>
      <c r="G55" s="5"/>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5"/>
      <c r="G56" s="5"/>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5"/>
      <c r="G57" s="5"/>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5"/>
      <c r="G58" s="5"/>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5"/>
      <c r="G59" s="5"/>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5"/>
      <c r="G60" s="5"/>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5"/>
      <c r="G61" s="5"/>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5"/>
      <c r="G62" s="5"/>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5"/>
      <c r="G63" s="5"/>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5"/>
      <c r="G64" s="5"/>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5"/>
      <c r="G65" s="5"/>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5"/>
      <c r="G66" s="5"/>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5"/>
      <c r="G67" s="5"/>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5"/>
      <c r="G68" s="5"/>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5"/>
      <c r="G69" s="5"/>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5"/>
      <c r="G70" s="5"/>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5"/>
      <c r="G71" s="5"/>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5"/>
      <c r="G72" s="5"/>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5"/>
      <c r="G73" s="5"/>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5"/>
      <c r="G74" s="5"/>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5"/>
      <c r="G75" s="5"/>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5"/>
      <c r="G76" s="5"/>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5"/>
      <c r="G77" s="5"/>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5"/>
      <c r="G78" s="5"/>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5"/>
      <c r="G79" s="5"/>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5"/>
      <c r="G80" s="5"/>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5"/>
      <c r="G81" s="5"/>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5"/>
      <c r="G82" s="5"/>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5"/>
      <c r="G83" s="5"/>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5"/>
      <c r="G84" s="5"/>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5"/>
      <c r="G85" s="5"/>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5"/>
      <c r="G86" s="5"/>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5"/>
      <c r="G87" s="5"/>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5"/>
      <c r="G88" s="5"/>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5"/>
      <c r="G89" s="5"/>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5"/>
      <c r="G90" s="5"/>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5"/>
      <c r="G91" s="5"/>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5"/>
      <c r="G92" s="5"/>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5"/>
      <c r="G93" s="5"/>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5"/>
      <c r="G94" s="5"/>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5"/>
      <c r="G95" s="5"/>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5"/>
      <c r="G96" s="5"/>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5"/>
      <c r="G97" s="5"/>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5"/>
      <c r="G98" s="5"/>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5"/>
      <c r="G99" s="5"/>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5"/>
      <c r="G100" s="5"/>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5"/>
      <c r="G101" s="5"/>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5"/>
      <c r="G102" s="5"/>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5"/>
      <c r="G103" s="5"/>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5"/>
      <c r="G104" s="5"/>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5"/>
      <c r="G105" s="5"/>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5"/>
      <c r="G106" s="5"/>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5"/>
      <c r="G107" s="5"/>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5"/>
      <c r="G108" s="5"/>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5"/>
      <c r="G109" s="5"/>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5"/>
      <c r="G110" s="5"/>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5"/>
      <c r="G111" s="5"/>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5"/>
      <c r="G112" s="5"/>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5"/>
      <c r="G113" s="5"/>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5"/>
      <c r="G114" s="5"/>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5"/>
      <c r="G115" s="5"/>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5"/>
      <c r="G116" s="5"/>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5"/>
      <c r="G117" s="5"/>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5"/>
      <c r="G118" s="5"/>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5"/>
      <c r="G119" s="5"/>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5"/>
      <c r="G120" s="5"/>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5"/>
      <c r="G121" s="5"/>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5"/>
      <c r="G122" s="5"/>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5"/>
      <c r="G123" s="5"/>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5"/>
      <c r="G124" s="5"/>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5"/>
      <c r="G125" s="5"/>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5"/>
      <c r="G126" s="5"/>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5"/>
      <c r="G127" s="5"/>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5"/>
      <c r="G128" s="5"/>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5"/>
      <c r="G129" s="5"/>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5"/>
      <c r="G130" s="5"/>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5"/>
      <c r="G131" s="5"/>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5"/>
      <c r="G132" s="5"/>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5"/>
      <c r="G133" s="5"/>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5"/>
      <c r="G134" s="5"/>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5"/>
      <c r="G135" s="5"/>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5"/>
      <c r="G136" s="5"/>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5"/>
      <c r="G137" s="5"/>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5"/>
      <c r="G138" s="5"/>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5"/>
      <c r="G139" s="5"/>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5"/>
      <c r="G140" s="5"/>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5"/>
      <c r="G141" s="5"/>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5"/>
      <c r="G142" s="5"/>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5"/>
      <c r="G143" s="5"/>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5"/>
      <c r="G144" s="5"/>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5"/>
      <c r="G145" s="5"/>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5"/>
      <c r="G146" s="5"/>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5"/>
      <c r="G147" s="5"/>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5"/>
      <c r="G148" s="5"/>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5"/>
      <c r="G149" s="5"/>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5"/>
      <c r="G150" s="5"/>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5"/>
      <c r="G151" s="5"/>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5"/>
      <c r="G152" s="5"/>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5"/>
      <c r="G153" s="5"/>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5"/>
      <c r="G154" s="5"/>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5"/>
      <c r="G155" s="5"/>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5"/>
      <c r="G156" s="5"/>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5"/>
      <c r="G157" s="5"/>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5"/>
      <c r="G158" s="5"/>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5"/>
      <c r="G159" s="5"/>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5"/>
      <c r="G160" s="5"/>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5"/>
      <c r="G161" s="5"/>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5"/>
      <c r="G162" s="5"/>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5"/>
      <c r="G163" s="5"/>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5"/>
      <c r="G164" s="5"/>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5"/>
      <c r="G165" s="5"/>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5"/>
      <c r="G166" s="5"/>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5"/>
      <c r="G167" s="5"/>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5"/>
      <c r="G168" s="5"/>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5"/>
      <c r="G169" s="5"/>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5"/>
      <c r="G170" s="5"/>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5"/>
      <c r="G171" s="5"/>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5"/>
      <c r="G172" s="5"/>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5"/>
      <c r="G173" s="5"/>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5"/>
      <c r="G174" s="5"/>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5"/>
      <c r="G175" s="5"/>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5"/>
      <c r="G176" s="5"/>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5"/>
      <c r="G177" s="5"/>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5"/>
      <c r="G178" s="5"/>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5"/>
      <c r="G179" s="5"/>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5"/>
      <c r="G180" s="5"/>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5"/>
      <c r="G181" s="5"/>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5"/>
      <c r="G182" s="5"/>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5"/>
      <c r="G183" s="5"/>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5"/>
      <c r="G184" s="5"/>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5"/>
      <c r="G185" s="5"/>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5"/>
      <c r="G186" s="5"/>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5"/>
      <c r="G187" s="5"/>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5"/>
      <c r="G188" s="5"/>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5"/>
      <c r="G189" s="5"/>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5"/>
      <c r="G190" s="5"/>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5"/>
      <c r="G191" s="5"/>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5"/>
      <c r="G192" s="5"/>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5"/>
      <c r="G193" s="5"/>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5"/>
      <c r="G194" s="5"/>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5"/>
      <c r="G195" s="5"/>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5"/>
      <c r="G196" s="5"/>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5"/>
      <c r="G197" s="5"/>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5"/>
      <c r="G198" s="5"/>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5"/>
      <c r="G199" s="5"/>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5"/>
      <c r="G200" s="5"/>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5"/>
      <c r="G201" s="5"/>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5"/>
      <c r="G202" s="5"/>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5"/>
      <c r="G203" s="5"/>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5"/>
      <c r="G204" s="5"/>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5"/>
      <c r="G205" s="5"/>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5"/>
      <c r="G206" s="5"/>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5"/>
      <c r="G207" s="5"/>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5"/>
      <c r="G208" s="5"/>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5"/>
      <c r="G209" s="5"/>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5"/>
      <c r="G210" s="5"/>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5"/>
      <c r="G211" s="5"/>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5"/>
      <c r="G212" s="5"/>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5"/>
      <c r="G213" s="5"/>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5"/>
      <c r="G214" s="5"/>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5"/>
      <c r="G215" s="5"/>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5"/>
      <c r="G216" s="5"/>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5"/>
      <c r="G217" s="5"/>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5"/>
      <c r="G218" s="5"/>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5"/>
      <c r="G219" s="5"/>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5"/>
      <c r="G220" s="5"/>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5"/>
      <c r="G221" s="5"/>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5"/>
      <c r="G222" s="5"/>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5"/>
      <c r="G223" s="5"/>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5"/>
      <c r="G224" s="5"/>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5"/>
      <c r="G225" s="5"/>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5"/>
      <c r="G226" s="5"/>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5"/>
      <c r="G227" s="5"/>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5"/>
      <c r="G228" s="5"/>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5"/>
      <c r="G229" s="5"/>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5"/>
      <c r="G230" s="5"/>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5"/>
      <c r="G231" s="5"/>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5"/>
      <c r="G232" s="5"/>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5"/>
      <c r="G233" s="5"/>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5"/>
      <c r="G234" s="5"/>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5"/>
      <c r="G235" s="5"/>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5"/>
      <c r="G236" s="5"/>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5"/>
      <c r="G237" s="5"/>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5"/>
      <c r="G238" s="5"/>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5"/>
      <c r="G239" s="5"/>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5"/>
      <c r="G240" s="5"/>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5"/>
      <c r="G241" s="5"/>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5"/>
      <c r="G242" s="5"/>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5"/>
      <c r="G243" s="5"/>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5"/>
      <c r="G244" s="5"/>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5"/>
      <c r="G245" s="5"/>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5"/>
      <c r="G246" s="5"/>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5"/>
      <c r="G247" s="5"/>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5"/>
      <c r="G248" s="5"/>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5"/>
      <c r="G249" s="5"/>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5"/>
      <c r="G250" s="5"/>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5"/>
      <c r="G251" s="5"/>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5"/>
      <c r="G252" s="5"/>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5"/>
      <c r="G253" s="5"/>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5"/>
      <c r="G254" s="5"/>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5"/>
      <c r="G255" s="5"/>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5"/>
      <c r="G256" s="5"/>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5"/>
      <c r="G257" s="5"/>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5"/>
      <c r="G258" s="5"/>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5"/>
      <c r="G259" s="5"/>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5"/>
      <c r="G260" s="5"/>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5"/>
      <c r="G261" s="5"/>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5"/>
      <c r="G262" s="5"/>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5"/>
      <c r="G263" s="5"/>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5"/>
      <c r="G264" s="5"/>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5"/>
      <c r="G265" s="5"/>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5"/>
      <c r="G266" s="5"/>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5"/>
      <c r="G267" s="5"/>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5"/>
      <c r="G268" s="5"/>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5"/>
      <c r="G269" s="5"/>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5"/>
      <c r="G270" s="5"/>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5"/>
      <c r="G271" s="5"/>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5"/>
      <c r="G272" s="5"/>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5"/>
      <c r="G273" s="5"/>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5"/>
      <c r="G274" s="5"/>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5"/>
      <c r="G275" s="5"/>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5"/>
      <c r="G276" s="5"/>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5"/>
      <c r="G277" s="5"/>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5"/>
      <c r="G278" s="5"/>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5"/>
      <c r="G279" s="5"/>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5"/>
      <c r="G280" s="5"/>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5"/>
      <c r="G281" s="5"/>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5"/>
      <c r="G282" s="5"/>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5"/>
      <c r="G283" s="5"/>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5"/>
      <c r="G284" s="5"/>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5"/>
      <c r="G285" s="5"/>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5"/>
      <c r="G286" s="5"/>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5"/>
      <c r="G287" s="5"/>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5"/>
      <c r="G288" s="5"/>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5"/>
      <c r="G289" s="5"/>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5"/>
      <c r="G290" s="5"/>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5"/>
      <c r="G291" s="5"/>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5"/>
      <c r="G292" s="5"/>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5"/>
      <c r="G293" s="5"/>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5"/>
      <c r="G294" s="5"/>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5"/>
      <c r="G295" s="5"/>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5"/>
      <c r="G296" s="5"/>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5"/>
      <c r="G297" s="5"/>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5"/>
      <c r="G298" s="5"/>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5"/>
      <c r="G299" s="5"/>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5"/>
      <c r="G300" s="5"/>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5"/>
      <c r="G301" s="5"/>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5"/>
      <c r="G302" s="5"/>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5"/>
      <c r="G303" s="5"/>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5"/>
      <c r="G304" s="5"/>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5"/>
      <c r="G305" s="5"/>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5"/>
      <c r="G306" s="5"/>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5"/>
      <c r="G307" s="5"/>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5"/>
      <c r="G308" s="5"/>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5"/>
      <c r="G309" s="5"/>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5"/>
      <c r="G310" s="5"/>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5"/>
      <c r="G311" s="5"/>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5"/>
      <c r="G312" s="5"/>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5"/>
      <c r="G313" s="5"/>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5"/>
      <c r="G314" s="5"/>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5"/>
      <c r="G315" s="5"/>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5"/>
      <c r="G316" s="5"/>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5"/>
      <c r="G317" s="5"/>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5"/>
      <c r="G318" s="5"/>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5"/>
      <c r="G319" s="5"/>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5"/>
      <c r="G320" s="5"/>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5"/>
      <c r="G321" s="5"/>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5"/>
      <c r="G322" s="5"/>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5"/>
      <c r="G323" s="5"/>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5"/>
      <c r="G324" s="5"/>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5"/>
      <c r="G325" s="5"/>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5"/>
      <c r="G326" s="5"/>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5"/>
      <c r="G327" s="5"/>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5"/>
      <c r="G328" s="5"/>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5"/>
      <c r="G329" s="5"/>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5"/>
      <c r="G330" s="5"/>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5"/>
      <c r="G331" s="5"/>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5"/>
      <c r="G332" s="5"/>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5"/>
      <c r="G333" s="5"/>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5"/>
      <c r="G334" s="5"/>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5"/>
      <c r="G335" s="5"/>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5"/>
      <c r="G336" s="5"/>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5"/>
      <c r="G337" s="5"/>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5"/>
      <c r="G338" s="5"/>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5"/>
      <c r="G339" s="5"/>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5"/>
      <c r="G340" s="5"/>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5"/>
      <c r="G341" s="5"/>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5"/>
      <c r="G342" s="5"/>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5"/>
      <c r="G343" s="5"/>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5"/>
      <c r="G344" s="5"/>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5"/>
      <c r="G345" s="5"/>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5"/>
      <c r="G346" s="5"/>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5"/>
      <c r="G347" s="5"/>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5"/>
      <c r="G348" s="5"/>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5"/>
      <c r="G349" s="5"/>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5"/>
      <c r="G350" s="5"/>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5"/>
      <c r="G351" s="5"/>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5"/>
      <c r="G352" s="5"/>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5"/>
      <c r="G353" s="5"/>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5"/>
      <c r="G354" s="5"/>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5"/>
      <c r="G355" s="5"/>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5"/>
      <c r="G356" s="5"/>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5"/>
      <c r="G357" s="5"/>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5"/>
      <c r="G358" s="5"/>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5"/>
      <c r="G359" s="5"/>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5"/>
      <c r="G360" s="5"/>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5"/>
      <c r="G361" s="5"/>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5"/>
      <c r="G362" s="5"/>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5"/>
      <c r="G363" s="5"/>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5"/>
      <c r="G364" s="5"/>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5"/>
      <c r="G365" s="5"/>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5"/>
      <c r="G366" s="5"/>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5"/>
      <c r="G367" s="5"/>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5"/>
      <c r="G368" s="5"/>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5"/>
      <c r="G369" s="5"/>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5"/>
      <c r="G370" s="5"/>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5"/>
      <c r="G371" s="5"/>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5"/>
      <c r="G372" s="5"/>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5"/>
      <c r="G373" s="5"/>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5"/>
      <c r="G374" s="5"/>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5"/>
      <c r="G375" s="5"/>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5"/>
      <c r="G376" s="5"/>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5"/>
      <c r="G377" s="5"/>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5"/>
      <c r="G378" s="5"/>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5"/>
      <c r="G379" s="5"/>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5"/>
      <c r="G380" s="5"/>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5"/>
      <c r="G381" s="5"/>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5"/>
      <c r="G382" s="5"/>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5"/>
      <c r="G383" s="5"/>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5"/>
      <c r="G384" s="5"/>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5"/>
      <c r="G385" s="5"/>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5"/>
      <c r="G386" s="5"/>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5"/>
      <c r="G387" s="5"/>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5"/>
      <c r="G388" s="5"/>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5"/>
      <c r="G389" s="5"/>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5"/>
      <c r="G390" s="5"/>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5"/>
      <c r="G391" s="5"/>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5"/>
      <c r="G392" s="5"/>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5"/>
      <c r="G393" s="5"/>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5"/>
      <c r="G394" s="5"/>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5"/>
      <c r="G395" s="5"/>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5"/>
      <c r="G396" s="5"/>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5"/>
      <c r="G397" s="5"/>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5"/>
      <c r="G398" s="5"/>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5"/>
      <c r="G399" s="5"/>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5"/>
      <c r="G400" s="5"/>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5"/>
      <c r="G401" s="5"/>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5"/>
      <c r="G402" s="5"/>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5"/>
      <c r="G403" s="5"/>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5"/>
      <c r="G404" s="5"/>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5"/>
      <c r="G405" s="5"/>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5"/>
      <c r="G406" s="5"/>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5"/>
      <c r="G407" s="5"/>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5"/>
      <c r="G408" s="5"/>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5"/>
      <c r="G409" s="5"/>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5"/>
      <c r="G410" s="5"/>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5"/>
      <c r="G411" s="5"/>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5"/>
      <c r="G412" s="5"/>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5"/>
      <c r="G413" s="5"/>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5"/>
      <c r="G414" s="5"/>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5"/>
      <c r="G415" s="5"/>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5"/>
      <c r="G416" s="5"/>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5"/>
      <c r="G417" s="5"/>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5"/>
      <c r="G418" s="5"/>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5"/>
      <c r="G419" s="5"/>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5"/>
      <c r="G420" s="5"/>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5"/>
      <c r="G421" s="5"/>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5"/>
      <c r="G422" s="5"/>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5"/>
      <c r="G423" s="5"/>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5"/>
      <c r="G424" s="5"/>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5"/>
      <c r="G425" s="5"/>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5"/>
      <c r="G426" s="5"/>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5"/>
      <c r="G427" s="5"/>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5"/>
      <c r="G428" s="5"/>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5"/>
      <c r="G429" s="5"/>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5"/>
      <c r="G430" s="5"/>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5"/>
      <c r="G431" s="5"/>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5"/>
      <c r="G432" s="5"/>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5"/>
      <c r="G433" s="5"/>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5"/>
      <c r="G434" s="5"/>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5"/>
      <c r="G435" s="5"/>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5"/>
      <c r="G436" s="5"/>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5"/>
      <c r="G437" s="5"/>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5"/>
      <c r="G438" s="5"/>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5"/>
      <c r="G439" s="5"/>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5"/>
      <c r="G440" s="5"/>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5"/>
      <c r="G441" s="5"/>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5"/>
      <c r="G442" s="5"/>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5"/>
      <c r="G443" s="5"/>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5"/>
      <c r="G444" s="5"/>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5"/>
      <c r="G445" s="5"/>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5"/>
      <c r="G446" s="5"/>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5"/>
      <c r="G447" s="5"/>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5"/>
      <c r="G448" s="5"/>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5"/>
      <c r="G449" s="5"/>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5"/>
      <c r="G450" s="5"/>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5"/>
      <c r="G451" s="5"/>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5"/>
      <c r="G452" s="5"/>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5"/>
      <c r="G453" s="5"/>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5"/>
      <c r="G454" s="5"/>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5"/>
      <c r="G455" s="5"/>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5"/>
      <c r="G456" s="5"/>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5"/>
      <c r="G457" s="5"/>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5"/>
      <c r="G458" s="5"/>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5"/>
      <c r="G459" s="5"/>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5"/>
      <c r="G460" s="5"/>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5"/>
      <c r="G461" s="5"/>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5"/>
      <c r="G462" s="5"/>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5"/>
      <c r="G463" s="5"/>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5"/>
      <c r="G464" s="5"/>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5"/>
      <c r="G465" s="5"/>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5"/>
      <c r="G466" s="5"/>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5"/>
      <c r="G467" s="5"/>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5"/>
      <c r="G468" s="5"/>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5"/>
      <c r="G469" s="5"/>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5"/>
      <c r="G470" s="5"/>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5"/>
      <c r="G471" s="5"/>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5"/>
      <c r="G472" s="5"/>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5"/>
      <c r="G473" s="5"/>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5"/>
      <c r="G474" s="5"/>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5"/>
      <c r="G475" s="5"/>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5"/>
      <c r="G476" s="5"/>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5"/>
      <c r="G477" s="5"/>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5"/>
      <c r="G478" s="5"/>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5"/>
      <c r="G479" s="5"/>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5"/>
      <c r="G480" s="5"/>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5"/>
      <c r="G481" s="5"/>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5"/>
      <c r="G482" s="5"/>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5"/>
      <c r="G483" s="5"/>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5"/>
      <c r="G484" s="5"/>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5"/>
      <c r="G485" s="5"/>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5"/>
      <c r="G486" s="5"/>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5"/>
      <c r="G487" s="5"/>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5"/>
      <c r="G488" s="5"/>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5"/>
      <c r="G489" s="5"/>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5"/>
      <c r="G490" s="5"/>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5"/>
      <c r="G491" s="5"/>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5"/>
      <c r="G492" s="5"/>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5"/>
      <c r="G493" s="5"/>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5"/>
      <c r="G494" s="5"/>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5"/>
      <c r="G495" s="5"/>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5"/>
      <c r="G496" s="5"/>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5"/>
      <c r="G497" s="5"/>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5"/>
      <c r="G498" s="5"/>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5"/>
      <c r="G499" s="5"/>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5"/>
      <c r="G500" s="5"/>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5"/>
      <c r="G501" s="5"/>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5"/>
      <c r="G502" s="5"/>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5"/>
      <c r="G503" s="5"/>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5"/>
      <c r="G504" s="5"/>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5"/>
      <c r="G505" s="5"/>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5"/>
      <c r="G506" s="5"/>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5"/>
      <c r="G507" s="5"/>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5"/>
      <c r="G508" s="5"/>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5"/>
      <c r="G509" s="5"/>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5"/>
      <c r="G510" s="5"/>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5"/>
      <c r="G511" s="5"/>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5"/>
      <c r="G512" s="5"/>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5"/>
      <c r="G513" s="5"/>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5"/>
      <c r="G514" s="5"/>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5"/>
      <c r="G515" s="5"/>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5"/>
      <c r="G516" s="5"/>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5"/>
      <c r="G517" s="5"/>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5"/>
      <c r="G518" s="5"/>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5"/>
      <c r="G519" s="5"/>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5"/>
      <c r="G520" s="5"/>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5"/>
      <c r="G521" s="5"/>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5"/>
      <c r="G522" s="5"/>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5"/>
      <c r="G523" s="5"/>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5"/>
      <c r="G524" s="5"/>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5"/>
      <c r="G525" s="5"/>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5"/>
      <c r="G526" s="5"/>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5"/>
      <c r="G527" s="5"/>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5"/>
      <c r="G528" s="5"/>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5"/>
      <c r="G529" s="5"/>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5"/>
      <c r="G530" s="5"/>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5"/>
      <c r="G531" s="5"/>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5"/>
      <c r="G532" s="5"/>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5"/>
      <c r="G533" s="5"/>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5"/>
      <c r="G534" s="5"/>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5"/>
      <c r="G535" s="5"/>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5"/>
      <c r="G536" s="5"/>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5"/>
      <c r="G537" s="5"/>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5"/>
      <c r="G538" s="5"/>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5"/>
      <c r="G539" s="5"/>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5"/>
      <c r="G540" s="5"/>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5"/>
      <c r="G541" s="5"/>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5"/>
      <c r="G542" s="5"/>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5"/>
      <c r="G543" s="5"/>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5"/>
      <c r="G544" s="5"/>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5"/>
      <c r="G545" s="5"/>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5"/>
      <c r="G546" s="5"/>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5"/>
      <c r="G547" s="5"/>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5"/>
      <c r="G548" s="5"/>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5"/>
      <c r="G549" s="5"/>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5"/>
      <c r="G550" s="5"/>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5"/>
      <c r="G551" s="5"/>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5"/>
      <c r="G552" s="5"/>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5"/>
      <c r="G553" s="5"/>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5"/>
      <c r="G554" s="5"/>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5"/>
      <c r="G555" s="5"/>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5"/>
      <c r="G556" s="5"/>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5"/>
      <c r="G557" s="5"/>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5"/>
      <c r="G558" s="5"/>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5"/>
      <c r="G559" s="5"/>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5"/>
      <c r="G560" s="5"/>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5"/>
      <c r="G561" s="5"/>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5"/>
      <c r="G562" s="5"/>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5"/>
      <c r="G563" s="5"/>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5"/>
      <c r="G564" s="5"/>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5"/>
      <c r="G565" s="5"/>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5"/>
      <c r="G566" s="5"/>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5"/>
      <c r="G567" s="5"/>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5"/>
      <c r="G568" s="5"/>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5"/>
      <c r="G569" s="5"/>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5"/>
      <c r="G570" s="5"/>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5"/>
      <c r="G571" s="5"/>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5"/>
      <c r="G572" s="5"/>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5"/>
      <c r="G573" s="5"/>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5"/>
      <c r="G574" s="5"/>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5"/>
      <c r="G575" s="5"/>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5"/>
      <c r="G576" s="5"/>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5"/>
      <c r="G577" s="5"/>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5"/>
      <c r="G578" s="5"/>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5"/>
      <c r="G579" s="5"/>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5"/>
      <c r="G580" s="5"/>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5"/>
      <c r="G581" s="5"/>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5"/>
      <c r="G582" s="5"/>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5"/>
      <c r="G583" s="5"/>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5"/>
      <c r="G584" s="5"/>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5"/>
      <c r="G585" s="5"/>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5"/>
      <c r="G586" s="5"/>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5"/>
      <c r="G587" s="5"/>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5"/>
      <c r="G588" s="5"/>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5"/>
      <c r="G589" s="5"/>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5"/>
      <c r="G590" s="5"/>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5"/>
      <c r="G591" s="5"/>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5"/>
      <c r="G592" s="5"/>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5"/>
      <c r="G593" s="5"/>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5"/>
      <c r="G594" s="5"/>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5"/>
      <c r="G595" s="5"/>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5"/>
      <c r="G596" s="5"/>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5"/>
      <c r="G597" s="5"/>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5"/>
      <c r="G598" s="5"/>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5"/>
      <c r="G599" s="5"/>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5"/>
      <c r="G600" s="5"/>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5"/>
      <c r="G601" s="5"/>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5"/>
      <c r="G602" s="5"/>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5"/>
      <c r="G603" s="5"/>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5"/>
      <c r="G604" s="5"/>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5"/>
      <c r="G605" s="5"/>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5"/>
      <c r="G606" s="5"/>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5"/>
      <c r="G607" s="5"/>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5"/>
      <c r="G608" s="5"/>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5"/>
      <c r="G609" s="5"/>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5"/>
      <c r="G610" s="5"/>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5"/>
      <c r="G611" s="5"/>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5"/>
      <c r="G612" s="5"/>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5"/>
      <c r="G613" s="5"/>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5"/>
      <c r="G614" s="5"/>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5"/>
      <c r="G615" s="5"/>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5"/>
      <c r="G616" s="5"/>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5"/>
      <c r="G617" s="5"/>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5"/>
      <c r="G618" s="5"/>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5"/>
      <c r="G619" s="5"/>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5"/>
      <c r="G620" s="5"/>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5"/>
      <c r="G621" s="5"/>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5"/>
      <c r="G622" s="5"/>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5"/>
      <c r="G623" s="5"/>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5"/>
      <c r="G624" s="5"/>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5"/>
      <c r="G625" s="5"/>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5"/>
      <c r="G626" s="5"/>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5"/>
      <c r="G627" s="5"/>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5"/>
      <c r="G628" s="5"/>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5"/>
      <c r="G629" s="5"/>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5"/>
      <c r="G630" s="5"/>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5"/>
      <c r="G631" s="5"/>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5"/>
      <c r="G632" s="5"/>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5"/>
      <c r="G633" s="5"/>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5"/>
      <c r="G634" s="5"/>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5"/>
      <c r="G635" s="5"/>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5"/>
      <c r="G636" s="5"/>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5"/>
      <c r="G637" s="5"/>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5"/>
      <c r="G638" s="5"/>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5"/>
      <c r="G639" s="5"/>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5"/>
      <c r="G640" s="5"/>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5"/>
      <c r="G641" s="5"/>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5"/>
      <c r="G642" s="5"/>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5"/>
      <c r="G643" s="5"/>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5"/>
      <c r="G644" s="5"/>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5"/>
      <c r="G645" s="5"/>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5"/>
      <c r="G646" s="5"/>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5"/>
      <c r="G647" s="5"/>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5"/>
      <c r="G648" s="5"/>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5"/>
      <c r="G649" s="5"/>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5"/>
      <c r="G650" s="5"/>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5"/>
      <c r="G651" s="5"/>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5"/>
      <c r="G652" s="5"/>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5"/>
      <c r="G653" s="5"/>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5"/>
      <c r="G654" s="5"/>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5"/>
      <c r="G655" s="5"/>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5"/>
      <c r="G656" s="5"/>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5"/>
      <c r="G657" s="5"/>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5"/>
      <c r="G658" s="5"/>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5"/>
      <c r="G659" s="5"/>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5"/>
      <c r="G660" s="5"/>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5"/>
      <c r="G661" s="5"/>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5"/>
      <c r="G662" s="5"/>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5"/>
      <c r="G663" s="5"/>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5"/>
      <c r="G664" s="5"/>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5"/>
      <c r="G665" s="5"/>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5"/>
      <c r="G666" s="5"/>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5"/>
      <c r="G667" s="5"/>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5"/>
      <c r="G668" s="5"/>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5"/>
      <c r="G669" s="5"/>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5"/>
      <c r="G670" s="5"/>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5"/>
      <c r="G671" s="5"/>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5"/>
      <c r="G672" s="5"/>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5"/>
      <c r="G673" s="5"/>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5"/>
      <c r="G674" s="5"/>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5"/>
      <c r="G675" s="5"/>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5"/>
      <c r="G676" s="5"/>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5"/>
      <c r="G677" s="5"/>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5"/>
      <c r="G678" s="5"/>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5"/>
      <c r="G679" s="5"/>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5"/>
      <c r="G680" s="5"/>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5"/>
      <c r="G681" s="5"/>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5"/>
      <c r="G682" s="5"/>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5"/>
      <c r="G683" s="5"/>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5"/>
      <c r="G684" s="5"/>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5"/>
      <c r="G685" s="5"/>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5"/>
      <c r="G686" s="5"/>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5"/>
      <c r="G687" s="5"/>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5"/>
      <c r="G688" s="5"/>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5"/>
      <c r="G689" s="5"/>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5"/>
      <c r="G690" s="5"/>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5"/>
      <c r="G691" s="5"/>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5"/>
      <c r="G692" s="5"/>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5"/>
      <c r="G693" s="5"/>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5"/>
      <c r="G694" s="5"/>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5"/>
      <c r="G695" s="5"/>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5"/>
      <c r="G696" s="5"/>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5"/>
      <c r="G697" s="5"/>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5"/>
      <c r="G698" s="5"/>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5"/>
      <c r="G699" s="5"/>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5"/>
      <c r="G700" s="5"/>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5"/>
      <c r="G701" s="5"/>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5"/>
      <c r="G702" s="5"/>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5"/>
      <c r="G703" s="5"/>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5"/>
      <c r="G704" s="5"/>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5"/>
      <c r="G705" s="5"/>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5"/>
      <c r="G706" s="5"/>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5"/>
      <c r="G707" s="5"/>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5"/>
      <c r="G708" s="5"/>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5"/>
      <c r="G709" s="5"/>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5"/>
      <c r="G710" s="5"/>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5"/>
      <c r="G711" s="5"/>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5"/>
      <c r="G712" s="5"/>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5"/>
      <c r="G713" s="5"/>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5"/>
      <c r="G714" s="5"/>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5"/>
      <c r="G715" s="5"/>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5"/>
      <c r="G716" s="5"/>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5"/>
      <c r="G717" s="5"/>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5"/>
      <c r="G718" s="5"/>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5"/>
      <c r="G719" s="5"/>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5"/>
      <c r="G720" s="5"/>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5"/>
      <c r="G721" s="5"/>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5"/>
      <c r="G722" s="5"/>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5"/>
      <c r="G723" s="5"/>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5"/>
      <c r="G724" s="5"/>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5"/>
      <c r="G725" s="5"/>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5"/>
      <c r="G726" s="5"/>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5"/>
      <c r="G727" s="5"/>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5"/>
      <c r="G728" s="5"/>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5"/>
      <c r="G729" s="5"/>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5"/>
      <c r="G730" s="5"/>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5"/>
      <c r="G731" s="5"/>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5"/>
      <c r="G732" s="5"/>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5"/>
      <c r="G733" s="5"/>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5"/>
      <c r="G734" s="5"/>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5"/>
      <c r="G735" s="5"/>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5"/>
      <c r="G736" s="5"/>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5"/>
      <c r="G737" s="5"/>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5"/>
      <c r="G738" s="5"/>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5"/>
      <c r="G739" s="5"/>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5"/>
      <c r="G740" s="5"/>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5"/>
      <c r="G741" s="5"/>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5"/>
      <c r="G742" s="5"/>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5"/>
      <c r="G743" s="5"/>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5"/>
      <c r="G744" s="5"/>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5"/>
      <c r="G745" s="5"/>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5"/>
      <c r="G746" s="5"/>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5"/>
      <c r="G747" s="5"/>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5"/>
      <c r="G748" s="5"/>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5"/>
      <c r="G749" s="5"/>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5"/>
      <c r="G750" s="5"/>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5"/>
      <c r="G751" s="5"/>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5"/>
      <c r="G752" s="5"/>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5"/>
      <c r="G753" s="5"/>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5"/>
      <c r="G754" s="5"/>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5"/>
      <c r="G755" s="5"/>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5"/>
      <c r="G756" s="5"/>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5"/>
      <c r="G757" s="5"/>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5"/>
      <c r="G758" s="5"/>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5"/>
      <c r="G759" s="5"/>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5"/>
      <c r="G760" s="5"/>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5"/>
      <c r="G761" s="5"/>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5"/>
      <c r="G762" s="5"/>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5"/>
      <c r="G763" s="5"/>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5"/>
      <c r="G764" s="5"/>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5"/>
      <c r="G765" s="5"/>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5"/>
      <c r="G766" s="5"/>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5"/>
      <c r="G767" s="5"/>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5"/>
      <c r="G768" s="5"/>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5"/>
      <c r="G769" s="5"/>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5"/>
      <c r="G770" s="5"/>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5"/>
      <c r="G771" s="5"/>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5"/>
      <c r="G772" s="5"/>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5"/>
      <c r="G773" s="5"/>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5"/>
      <c r="G774" s="5"/>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5"/>
      <c r="G775" s="5"/>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5"/>
      <c r="G776" s="5"/>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5"/>
      <c r="G777" s="5"/>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5"/>
      <c r="G778" s="5"/>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5"/>
      <c r="G779" s="5"/>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5"/>
      <c r="G780" s="5"/>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5"/>
      <c r="G781" s="5"/>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5"/>
      <c r="G782" s="5"/>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5"/>
      <c r="G783" s="5"/>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5"/>
      <c r="G784" s="5"/>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5"/>
      <c r="G785" s="5"/>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5"/>
      <c r="G786" s="5"/>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5"/>
      <c r="G787" s="5"/>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5"/>
      <c r="G788" s="5"/>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5"/>
      <c r="G789" s="5"/>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5"/>
      <c r="G790" s="5"/>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5"/>
      <c r="G791" s="5"/>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5"/>
      <c r="G792" s="5"/>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5"/>
      <c r="G793" s="5"/>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5"/>
      <c r="G794" s="5"/>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5"/>
      <c r="G795" s="5"/>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5"/>
      <c r="G796" s="5"/>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5"/>
      <c r="G797" s="5"/>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5"/>
      <c r="G798" s="5"/>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5"/>
      <c r="G799" s="5"/>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5"/>
      <c r="G800" s="5"/>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5"/>
      <c r="G801" s="5"/>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5"/>
      <c r="G802" s="5"/>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5"/>
      <c r="G803" s="5"/>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5"/>
      <c r="G804" s="5"/>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5"/>
      <c r="G805" s="5"/>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5"/>
      <c r="G806" s="5"/>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5"/>
      <c r="G807" s="5"/>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5"/>
      <c r="G808" s="5"/>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5"/>
      <c r="G809" s="5"/>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5"/>
      <c r="G810" s="5"/>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5"/>
      <c r="G811" s="5"/>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5"/>
      <c r="G812" s="5"/>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5"/>
      <c r="G813" s="5"/>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5"/>
      <c r="G814" s="5"/>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5"/>
      <c r="G815" s="5"/>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5"/>
      <c r="G816" s="5"/>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5"/>
      <c r="G817" s="5"/>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5"/>
      <c r="G818" s="5"/>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5"/>
      <c r="G819" s="5"/>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5"/>
      <c r="G820" s="5"/>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5"/>
      <c r="G821" s="5"/>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5"/>
      <c r="G822" s="5"/>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5"/>
      <c r="G823" s="5"/>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5"/>
      <c r="G824" s="5"/>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5"/>
      <c r="G825" s="5"/>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5"/>
      <c r="G826" s="5"/>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5"/>
      <c r="G827" s="5"/>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5"/>
      <c r="G828" s="5"/>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5"/>
      <c r="G829" s="5"/>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5"/>
      <c r="G830" s="5"/>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5"/>
      <c r="G831" s="5"/>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5"/>
      <c r="G832" s="5"/>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5"/>
      <c r="G833" s="5"/>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5"/>
      <c r="G834" s="5"/>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5"/>
      <c r="G835" s="5"/>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5"/>
      <c r="G836" s="5"/>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5"/>
      <c r="G837" s="5"/>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5"/>
      <c r="G838" s="5"/>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5"/>
      <c r="G839" s="5"/>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5"/>
      <c r="G840" s="5"/>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5"/>
      <c r="G841" s="5"/>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5"/>
      <c r="G842" s="5"/>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5"/>
      <c r="G843" s="5"/>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5"/>
      <c r="G844" s="5"/>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5"/>
      <c r="G845" s="5"/>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5"/>
      <c r="G846" s="5"/>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5"/>
      <c r="G847" s="5"/>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5"/>
      <c r="G848" s="5"/>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5"/>
      <c r="G849" s="5"/>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5"/>
      <c r="G850" s="5"/>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5"/>
      <c r="G851" s="5"/>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5"/>
      <c r="G852" s="5"/>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5"/>
      <c r="G853" s="5"/>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5"/>
      <c r="G854" s="5"/>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5"/>
      <c r="G855" s="5"/>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5"/>
      <c r="G856" s="5"/>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5"/>
      <c r="G857" s="5"/>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5"/>
      <c r="G858" s="5"/>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5"/>
      <c r="G859" s="5"/>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5"/>
      <c r="G860" s="5"/>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5"/>
      <c r="G861" s="5"/>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5"/>
      <c r="G862" s="5"/>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5"/>
      <c r="G863" s="5"/>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5"/>
      <c r="G864" s="5"/>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5"/>
      <c r="G865" s="5"/>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5"/>
      <c r="G866" s="5"/>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5"/>
      <c r="G867" s="5"/>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5"/>
      <c r="G868" s="5"/>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5"/>
      <c r="G869" s="5"/>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5"/>
      <c r="G870" s="5"/>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5"/>
      <c r="G871" s="5"/>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5"/>
      <c r="G872" s="5"/>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5"/>
      <c r="G873" s="5"/>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5"/>
      <c r="G874" s="5"/>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5"/>
      <c r="G875" s="5"/>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5"/>
      <c r="G876" s="5"/>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5"/>
      <c r="G877" s="5"/>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5"/>
      <c r="G878" s="5"/>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5"/>
      <c r="G879" s="5"/>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5"/>
      <c r="G880" s="5"/>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5"/>
      <c r="G881" s="5"/>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5"/>
      <c r="G882" s="5"/>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5"/>
      <c r="G883" s="5"/>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5"/>
      <c r="G884" s="5"/>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5"/>
      <c r="G885" s="5"/>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5"/>
      <c r="G886" s="5"/>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5"/>
      <c r="G887" s="5"/>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5"/>
      <c r="G888" s="5"/>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5"/>
      <c r="G889" s="5"/>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5"/>
      <c r="G890" s="5"/>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5"/>
      <c r="G891" s="5"/>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5"/>
      <c r="G892" s="5"/>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5"/>
      <c r="G893" s="5"/>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5"/>
      <c r="G894" s="5"/>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5"/>
      <c r="G895" s="5"/>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5"/>
      <c r="G896" s="5"/>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5"/>
      <c r="G897" s="5"/>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5"/>
      <c r="G898" s="5"/>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5"/>
      <c r="G899" s="5"/>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5"/>
      <c r="G900" s="5"/>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5"/>
      <c r="G901" s="5"/>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5"/>
      <c r="G902" s="5"/>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5"/>
      <c r="G903" s="5"/>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5"/>
      <c r="G904" s="5"/>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5"/>
      <c r="G905" s="5"/>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5"/>
      <c r="G906" s="5"/>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5"/>
      <c r="G907" s="5"/>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5"/>
      <c r="G908" s="5"/>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5"/>
      <c r="G909" s="5"/>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5"/>
      <c r="G910" s="5"/>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5"/>
      <c r="G911" s="5"/>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5"/>
      <c r="G912" s="5"/>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5"/>
      <c r="G913" s="5"/>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5"/>
      <c r="G914" s="5"/>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5"/>
      <c r="G915" s="5"/>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5"/>
      <c r="G916" s="5"/>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5"/>
      <c r="G917" s="5"/>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5"/>
      <c r="G918" s="5"/>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5"/>
      <c r="G919" s="5"/>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5"/>
      <c r="G920" s="5"/>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5"/>
      <c r="G921" s="5"/>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5"/>
      <c r="G922" s="5"/>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5"/>
      <c r="G923" s="5"/>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5"/>
      <c r="G924" s="5"/>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5"/>
      <c r="G925" s="5"/>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5"/>
      <c r="G926" s="5"/>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5"/>
      <c r="G927" s="5"/>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5"/>
      <c r="G928" s="5"/>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5"/>
      <c r="G929" s="5"/>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5"/>
      <c r="G930" s="5"/>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5"/>
      <c r="G931" s="5"/>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5"/>
      <c r="G932" s="5"/>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5"/>
      <c r="G933" s="5"/>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5"/>
      <c r="G934" s="5"/>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5"/>
      <c r="G935" s="5"/>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5"/>
      <c r="G936" s="5"/>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5"/>
      <c r="G937" s="5"/>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5"/>
      <c r="G938" s="5"/>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5"/>
      <c r="G939" s="5"/>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5"/>
      <c r="G940" s="5"/>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5"/>
      <c r="G941" s="5"/>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5"/>
      <c r="G942" s="5"/>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5"/>
      <c r="G943" s="5"/>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5"/>
      <c r="G944" s="5"/>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5"/>
      <c r="G945" s="5"/>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5"/>
      <c r="G946" s="5"/>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5"/>
      <c r="G947" s="5"/>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5"/>
      <c r="G948" s="5"/>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5"/>
      <c r="G949" s="5"/>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5"/>
      <c r="G950" s="5"/>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5"/>
      <c r="G951" s="5"/>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5"/>
      <c r="G952" s="5"/>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5"/>
      <c r="G953" s="5"/>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5"/>
      <c r="G954" s="5"/>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5"/>
      <c r="G955" s="5"/>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5"/>
      <c r="G956" s="5"/>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5"/>
      <c r="G957" s="5"/>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5"/>
      <c r="G958" s="5"/>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5"/>
      <c r="G959" s="5"/>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5"/>
      <c r="G960" s="5"/>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5"/>
      <c r="G961" s="5"/>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5"/>
      <c r="G962" s="5"/>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5"/>
      <c r="G963" s="5"/>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5"/>
      <c r="G964" s="5"/>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5"/>
      <c r="G965" s="5"/>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5"/>
      <c r="G966" s="5"/>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5"/>
      <c r="G967" s="5"/>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5"/>
      <c r="G968" s="5"/>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5"/>
      <c r="G969" s="5"/>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5"/>
      <c r="G970" s="5"/>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5"/>
      <c r="G971" s="5"/>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5"/>
      <c r="G972" s="5"/>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5"/>
      <c r="G973" s="5"/>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5"/>
      <c r="G974" s="5"/>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5"/>
      <c r="G975" s="5"/>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5"/>
      <c r="G976" s="5"/>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5"/>
      <c r="G977" s="5"/>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5"/>
      <c r="G978" s="5"/>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5"/>
      <c r="G979" s="5"/>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5"/>
      <c r="G980" s="5"/>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5"/>
      <c r="G981" s="5"/>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5"/>
      <c r="G982" s="5"/>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5"/>
      <c r="G983" s="5"/>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5"/>
      <c r="G984" s="5"/>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5"/>
      <c r="G985" s="5"/>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5"/>
      <c r="G986" s="5"/>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5"/>
      <c r="G987" s="5"/>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5"/>
      <c r="G988" s="5"/>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5"/>
      <c r="G989" s="5"/>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5"/>
      <c r="G990" s="5"/>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5"/>
      <c r="G991" s="5"/>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5"/>
      <c r="G992" s="5"/>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5"/>
      <c r="G993" s="5"/>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5"/>
      <c r="G994" s="5"/>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5"/>
      <c r="G995" s="5"/>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5"/>
      <c r="G996" s="5"/>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5"/>
      <c r="G997" s="5"/>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5"/>
      <c r="G998" s="5"/>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5"/>
      <c r="G999" s="5"/>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5"/>
      <c r="G1000" s="5"/>
      <c r="H1000" s="4"/>
      <c r="I1000" s="4"/>
      <c r="J1000" s="4"/>
      <c r="K1000" s="4"/>
      <c r="L1000" s="4"/>
      <c r="M1000" s="4"/>
      <c r="N1000" s="4"/>
      <c r="O1000" s="4"/>
      <c r="P1000" s="4"/>
      <c r="Q1000" s="4"/>
      <c r="R1000" s="4"/>
      <c r="S1000" s="4"/>
      <c r="T1000" s="4"/>
      <c r="U1000" s="4"/>
      <c r="V1000" s="4"/>
      <c r="W1000" s="4"/>
      <c r="X1000" s="4"/>
      <c r="Y1000" s="4"/>
      <c r="Z1000" s="4"/>
    </row>
  </sheetData>
  <mergeCells count="15">
    <mergeCell ref="N15:S15"/>
    <mergeCell ref="N16:T17"/>
    <mergeCell ref="F29:G29"/>
    <mergeCell ref="H29:I29"/>
    <mergeCell ref="J29:K29"/>
    <mergeCell ref="L29:M29"/>
    <mergeCell ref="K46:Q46"/>
    <mergeCell ref="K47:Q50"/>
    <mergeCell ref="A1:U1"/>
    <mergeCell ref="B3:T6"/>
    <mergeCell ref="C8:H8"/>
    <mergeCell ref="C9:H9"/>
    <mergeCell ref="C10:K10"/>
    <mergeCell ref="N12:T13"/>
    <mergeCell ref="N14:S14"/>
  </mergeCells>
  <dataValidations>
    <dataValidation type="list" allowBlank="1" showErrorMessage="1" sqref="P31:P34">
      <formula1>$Q$31:$T$31</formula1>
    </dataValidation>
    <dataValidation type="list" allowBlank="1" showErrorMessage="1" sqref="I42">
      <formula1>$J$42:$M$42</formula1>
    </dataValidation>
    <dataValidation type="list" allowBlank="1" showErrorMessage="1" sqref="G13">
      <formula1>$H$13:$I$13</formula1>
    </dataValidation>
    <dataValidation type="list" allowBlank="1" showErrorMessage="1" sqref="I37">
      <formula1>$J$37:$M$37</formula1>
    </dataValidation>
    <dataValidation type="list" allowBlank="1" showErrorMessage="1" sqref="H16">
      <formula1>$I$16:$L$16</formula1>
    </dataValidation>
    <dataValidation type="list" allowBlank="1" showErrorMessage="1" sqref="K41">
      <formula1>$L$41:$M$41</formula1>
    </dataValidation>
    <dataValidation type="list" allowBlank="1" showErrorMessage="1" sqref="J39">
      <formula1>$K$39:$N$39</formula1>
    </dataValidation>
  </dataValidations>
  <printOptions/>
  <pageMargins bottom="0.75" footer="0.0" header="0.0" left="0.7" right="0.7" top="0.75"/>
  <pageSetup paperSize="9" orientation="portrait"/>
  <drawing r:id="rId1"/>
</worksheet>
</file>