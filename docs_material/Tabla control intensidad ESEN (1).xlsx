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3" sheetId="1" r:id="rId5"/>
  </sheets>
  <definedNames/>
  <calcPr/>
</workbook>
</file>

<file path=xl/sharedStrings.xml><?xml version="1.0" encoding="utf-8"?>
<sst xmlns="http://schemas.openxmlformats.org/spreadsheetml/2006/main" count="21" uniqueCount="21">
  <si>
    <t>Edad</t>
  </si>
  <si>
    <t>FC Reposo</t>
  </si>
  <si>
    <t>FC Máx</t>
  </si>
  <si>
    <t>FC Reserva</t>
  </si>
  <si>
    <t>ZONA</t>
  </si>
  <si>
    <t>% INT</t>
  </si>
  <si>
    <t>PPM</t>
  </si>
  <si>
    <t>BORG (6-20)</t>
  </si>
  <si>
    <t>EEP (0-10)</t>
  </si>
  <si>
    <t>PERCEPCIÓN ESFUERZO</t>
  </si>
  <si>
    <t>ZONA 5</t>
  </si>
  <si>
    <t>Muy intenso</t>
  </si>
  <si>
    <t>ZONA 4</t>
  </si>
  <si>
    <t>Intenso</t>
  </si>
  <si>
    <t>ZONA 3</t>
  </si>
  <si>
    <t>Moderado</t>
  </si>
  <si>
    <t>ZONA 2</t>
  </si>
  <si>
    <t>Suave</t>
  </si>
  <si>
    <t>ZONA 1</t>
  </si>
  <si>
    <t>Muy suave</t>
  </si>
  <si>
    <t>INTRODUCE TU EDAD Y TU FRECUENCIA CARDÍACA EN REPOSO PARA CONOCER TUS ZONAS DE ENTRENAMIENTO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</si>
</sst>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2.0"/>
      <color theme="1"/>
      <name val="Calibri"/>
    </font>
    <font>
      <b/>
      <sz val="18.0"/>
      <color theme="0"/>
      <name val="Calibri"/>
    </font>
    <font>
      <sz val="18.0"/>
      <color theme="1"/>
      <name val="Calibri"/>
    </font>
    <font>
      <b/>
      <sz val="16.0"/>
      <color theme="1"/>
      <name val="Calibri"/>
    </font>
    <font>
      <sz val="16.0"/>
      <color theme="0"/>
      <name val="Calibri"/>
    </font>
    <font/>
    <font>
      <sz val="16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8BB44"/>
        <bgColor rgb="FFF8BB44"/>
      </patternFill>
    </fill>
    <fill>
      <patternFill patternType="solid">
        <fgColor rgb="FFEDB341"/>
        <bgColor rgb="FFEDB341"/>
      </patternFill>
    </fill>
    <fill>
      <patternFill patternType="solid">
        <fgColor rgb="FFFEF2CB"/>
        <bgColor rgb="FFFEF2CB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9D0A"/>
        <bgColor rgb="FFFF9D0A"/>
      </patternFill>
    </fill>
    <fill>
      <patternFill patternType="solid">
        <fgColor rgb="FFFBFA03"/>
        <bgColor rgb="FFFBFA03"/>
      </patternFill>
    </fill>
    <fill>
      <patternFill patternType="solid">
        <fgColor rgb="FF99F670"/>
        <bgColor rgb="FF99F670"/>
      </patternFill>
    </fill>
    <fill>
      <patternFill patternType="solid">
        <fgColor rgb="FF69E8F2"/>
        <bgColor rgb="FF69E8F2"/>
      </patternFill>
    </fill>
  </fills>
  <borders count="35">
    <border/>
    <border>
      <left/>
      <right/>
      <top/>
      <bottom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theme="1"/>
      </left>
      <right/>
      <top style="medium">
        <color theme="1"/>
      </top>
      <bottom style="medium">
        <color theme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2" fontId="2" numFmtId="0" xfId="0" applyAlignment="1" applyBorder="1" applyFont="1">
      <alignment horizontal="center"/>
    </xf>
    <xf borderId="2" fillId="5" fontId="2" numFmtId="0" xfId="0" applyAlignment="1" applyBorder="1" applyFill="1" applyFont="1">
      <alignment horizontal="center"/>
    </xf>
    <xf borderId="3" fillId="5" fontId="2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1" fillId="2" fontId="3" numFmtId="0" xfId="0" applyBorder="1" applyFont="1"/>
    <xf borderId="1" fillId="2" fontId="3" numFmtId="0" xfId="0" applyAlignment="1" applyBorder="1" applyFont="1">
      <alignment horizontal="center"/>
    </xf>
    <xf borderId="5" fillId="6" fontId="3" numFmtId="0" xfId="0" applyAlignment="1" applyBorder="1" applyFill="1" applyFont="1">
      <alignment horizontal="center"/>
    </xf>
    <xf borderId="6" fillId="6" fontId="3" numFmtId="0" xfId="0" applyAlignment="1" applyBorder="1" applyFont="1">
      <alignment horizontal="center"/>
    </xf>
    <xf borderId="6" fillId="7" fontId="3" numFmtId="1" xfId="0" applyAlignment="1" applyBorder="1" applyFill="1" applyFont="1" applyNumberFormat="1">
      <alignment horizontal="center"/>
    </xf>
    <xf borderId="7" fillId="7" fontId="4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8" fillId="8" fontId="5" numFmtId="0" xfId="0" applyAlignment="1" applyBorder="1" applyFill="1" applyFont="1">
      <alignment horizontal="center" vertical="center"/>
    </xf>
    <xf borderId="4" fillId="8" fontId="5" numFmtId="9" xfId="0" applyAlignment="1" applyBorder="1" applyFont="1" applyNumberFormat="1">
      <alignment horizontal="center" vertical="center"/>
    </xf>
    <xf borderId="9" fillId="8" fontId="5" numFmtId="1" xfId="0" applyAlignment="1" applyBorder="1" applyFont="1" applyNumberFormat="1">
      <alignment horizontal="center"/>
    </xf>
    <xf borderId="10" fillId="8" fontId="5" numFmtId="0" xfId="0" applyAlignment="1" applyBorder="1" applyFont="1">
      <alignment horizontal="center" vertical="center"/>
    </xf>
    <xf borderId="11" fillId="8" fontId="5" numFmtId="0" xfId="0" applyAlignment="1" applyBorder="1" applyFont="1">
      <alignment horizontal="center" vertical="center"/>
    </xf>
    <xf borderId="12" fillId="8" fontId="5" numFmtId="0" xfId="0" applyAlignment="1" applyBorder="1" applyFont="1">
      <alignment horizontal="center" vertical="center"/>
    </xf>
    <xf borderId="13" fillId="2" fontId="1" numFmtId="0" xfId="0" applyAlignment="1" applyBorder="1" applyFont="1">
      <alignment vertical="top"/>
    </xf>
    <xf borderId="14" fillId="0" fontId="6" numFmtId="0" xfId="0" applyBorder="1" applyFont="1"/>
    <xf borderId="15" fillId="8" fontId="5" numFmtId="9" xfId="0" applyAlignment="1" applyBorder="1" applyFont="1" applyNumberFormat="1">
      <alignment horizontal="center" vertical="center"/>
    </xf>
    <xf borderId="1" fillId="8" fontId="5" numFmtId="1" xfId="0" applyAlignment="1" applyBorder="1" applyFont="1" applyNumberFormat="1">
      <alignment horizontal="center"/>
    </xf>
    <xf borderId="16" fillId="8" fontId="5" numFmtId="0" xfId="0" applyAlignment="1" applyBorder="1" applyFont="1">
      <alignment horizontal="center" vertical="center"/>
    </xf>
    <xf borderId="17" fillId="8" fontId="5" numFmtId="0" xfId="0" applyAlignment="1" applyBorder="1" applyFont="1">
      <alignment horizontal="center" vertical="center"/>
    </xf>
    <xf borderId="18" fillId="0" fontId="6" numFmtId="0" xfId="0" applyBorder="1" applyFont="1"/>
    <xf borderId="19" fillId="0" fontId="6" numFmtId="0" xfId="0" applyBorder="1" applyFont="1"/>
    <xf borderId="20" fillId="8" fontId="5" numFmtId="9" xfId="0" applyAlignment="1" applyBorder="1" applyFont="1" applyNumberFormat="1">
      <alignment horizontal="center" vertical="center"/>
    </xf>
    <xf borderId="21" fillId="8" fontId="5" numFmtId="1" xfId="0" applyAlignment="1" applyBorder="1" applyFont="1" applyNumberFormat="1">
      <alignment horizontal="center"/>
    </xf>
    <xf borderId="22" fillId="8" fontId="5" numFmtId="0" xfId="0" applyAlignment="1" applyBorder="1" applyFont="1">
      <alignment horizontal="center" vertical="center"/>
    </xf>
    <xf borderId="23" fillId="8" fontId="5" numFmtId="0" xfId="0" applyAlignment="1" applyBorder="1" applyFont="1">
      <alignment horizontal="center" vertical="center"/>
    </xf>
    <xf borderId="24" fillId="0" fontId="6" numFmtId="0" xfId="0" applyBorder="1" applyFont="1"/>
    <xf borderId="8" fillId="9" fontId="5" numFmtId="0" xfId="0" applyAlignment="1" applyBorder="1" applyFill="1" applyFont="1">
      <alignment horizontal="center" vertical="center"/>
    </xf>
    <xf borderId="4" fillId="9" fontId="5" numFmtId="9" xfId="0" applyAlignment="1" applyBorder="1" applyFont="1" applyNumberFormat="1">
      <alignment horizontal="center" vertical="center"/>
    </xf>
    <xf borderId="9" fillId="9" fontId="5" numFmtId="1" xfId="0" applyAlignment="1" applyBorder="1" applyFont="1" applyNumberFormat="1">
      <alignment horizontal="center"/>
    </xf>
    <xf borderId="10" fillId="9" fontId="5" numFmtId="0" xfId="0" applyAlignment="1" applyBorder="1" applyFont="1">
      <alignment horizontal="center" vertical="center"/>
    </xf>
    <xf borderId="11" fillId="9" fontId="5" numFmtId="0" xfId="0" applyAlignment="1" applyBorder="1" applyFont="1">
      <alignment horizontal="center" vertical="center"/>
    </xf>
    <xf borderId="12" fillId="9" fontId="5" numFmtId="0" xfId="0" applyAlignment="1" applyBorder="1" applyFont="1">
      <alignment horizontal="center" vertical="center"/>
    </xf>
    <xf borderId="20" fillId="9" fontId="5" numFmtId="9" xfId="0" applyAlignment="1" applyBorder="1" applyFont="1" applyNumberFormat="1">
      <alignment horizontal="center" vertical="center"/>
    </xf>
    <xf borderId="21" fillId="9" fontId="5" numFmtId="1" xfId="0" applyAlignment="1" applyBorder="1" applyFont="1" applyNumberFormat="1">
      <alignment horizontal="center"/>
    </xf>
    <xf borderId="22" fillId="9" fontId="5" numFmtId="0" xfId="0" applyAlignment="1" applyBorder="1" applyFont="1">
      <alignment horizontal="center" vertical="center"/>
    </xf>
    <xf borderId="23" fillId="9" fontId="5" numFmtId="0" xfId="0" applyAlignment="1" applyBorder="1" applyFont="1">
      <alignment horizontal="center" vertical="center"/>
    </xf>
    <xf borderId="8" fillId="10" fontId="7" numFmtId="0" xfId="0" applyAlignment="1" applyBorder="1" applyFill="1" applyFont="1">
      <alignment horizontal="center" vertical="center"/>
    </xf>
    <xf borderId="4" fillId="10" fontId="7" numFmtId="9" xfId="0" applyAlignment="1" applyBorder="1" applyFont="1" applyNumberFormat="1">
      <alignment horizontal="center" vertical="center"/>
    </xf>
    <xf borderId="9" fillId="10" fontId="7" numFmtId="1" xfId="0" applyAlignment="1" applyBorder="1" applyFont="1" applyNumberFormat="1">
      <alignment horizontal="center"/>
    </xf>
    <xf borderId="10" fillId="10" fontId="7" numFmtId="0" xfId="0" applyAlignment="1" applyBorder="1" applyFont="1">
      <alignment horizontal="center" vertical="center"/>
    </xf>
    <xf borderId="11" fillId="10" fontId="7" numFmtId="0" xfId="0" applyAlignment="1" applyBorder="1" applyFont="1">
      <alignment horizontal="center" vertical="center"/>
    </xf>
    <xf borderId="12" fillId="10" fontId="7" numFmtId="0" xfId="0" applyAlignment="1" applyBorder="1" applyFont="1">
      <alignment horizontal="center" vertical="center"/>
    </xf>
    <xf borderId="20" fillId="10" fontId="7" numFmtId="9" xfId="0" applyAlignment="1" applyBorder="1" applyFont="1" applyNumberFormat="1">
      <alignment horizontal="center" vertical="center"/>
    </xf>
    <xf borderId="21" fillId="10" fontId="7" numFmtId="1" xfId="0" applyAlignment="1" applyBorder="1" applyFont="1" applyNumberFormat="1">
      <alignment horizontal="center"/>
    </xf>
    <xf borderId="22" fillId="10" fontId="7" numFmtId="0" xfId="0" applyAlignment="1" applyBorder="1" applyFont="1">
      <alignment horizontal="center" vertical="center"/>
    </xf>
    <xf borderId="23" fillId="10" fontId="7" numFmtId="0" xfId="0" applyAlignment="1" applyBorder="1" applyFont="1">
      <alignment horizontal="center" vertical="center"/>
    </xf>
    <xf borderId="25" fillId="11" fontId="7" numFmtId="0" xfId="0" applyAlignment="1" applyBorder="1" applyFill="1" applyFont="1">
      <alignment horizontal="center" vertical="center"/>
    </xf>
    <xf borderId="15" fillId="11" fontId="7" numFmtId="9" xfId="0" applyAlignment="1" applyBorder="1" applyFont="1" applyNumberFormat="1">
      <alignment horizontal="center" vertical="center"/>
    </xf>
    <xf borderId="1" fillId="11" fontId="7" numFmtId="1" xfId="0" applyAlignment="1" applyBorder="1" applyFont="1" applyNumberFormat="1">
      <alignment horizontal="center"/>
    </xf>
    <xf borderId="10" fillId="11" fontId="7" numFmtId="0" xfId="0" applyAlignment="1" applyBorder="1" applyFont="1">
      <alignment horizontal="center" vertical="center"/>
    </xf>
    <xf borderId="11" fillId="11" fontId="7" numFmtId="0" xfId="0" applyAlignment="1" applyBorder="1" applyFont="1">
      <alignment horizontal="center" vertical="center"/>
    </xf>
    <xf borderId="26" fillId="11" fontId="7" numFmtId="0" xfId="0" applyAlignment="1" applyBorder="1" applyFont="1">
      <alignment horizontal="center" vertical="center"/>
    </xf>
    <xf borderId="16" fillId="11" fontId="7" numFmtId="0" xfId="0" applyAlignment="1" applyBorder="1" applyFont="1">
      <alignment horizontal="center" vertical="center"/>
    </xf>
    <xf borderId="17" fillId="11" fontId="7" numFmtId="0" xfId="0" applyAlignment="1" applyBorder="1" applyFont="1">
      <alignment horizontal="center" vertical="center"/>
    </xf>
    <xf borderId="27" fillId="0" fontId="6" numFmtId="0" xfId="0" applyBorder="1" applyFont="1"/>
    <xf borderId="22" fillId="11" fontId="7" numFmtId="0" xfId="0" applyAlignment="1" applyBorder="1" applyFont="1">
      <alignment horizontal="center" vertical="center"/>
    </xf>
    <xf borderId="23" fillId="11" fontId="7" numFmtId="0" xfId="0" applyAlignment="1" applyBorder="1" applyFont="1">
      <alignment horizontal="center" vertical="center"/>
    </xf>
    <xf borderId="28" fillId="0" fontId="6" numFmtId="0" xfId="0" applyBorder="1" applyFont="1"/>
    <xf borderId="8" fillId="12" fontId="7" numFmtId="0" xfId="0" applyAlignment="1" applyBorder="1" applyFill="1" applyFont="1">
      <alignment horizontal="center" vertical="center"/>
    </xf>
    <xf borderId="4" fillId="12" fontId="7" numFmtId="9" xfId="0" applyAlignment="1" applyBorder="1" applyFont="1" applyNumberFormat="1">
      <alignment horizontal="center" vertical="center"/>
    </xf>
    <xf borderId="9" fillId="12" fontId="7" numFmtId="1" xfId="0" applyAlignment="1" applyBorder="1" applyFont="1" applyNumberFormat="1">
      <alignment horizontal="center"/>
    </xf>
    <xf borderId="10" fillId="12" fontId="7" numFmtId="0" xfId="0" applyAlignment="1" applyBorder="1" applyFont="1">
      <alignment horizontal="center" vertical="center"/>
    </xf>
    <xf borderId="11" fillId="12" fontId="7" numFmtId="0" xfId="0" applyAlignment="1" applyBorder="1" applyFont="1">
      <alignment horizontal="center" vertical="center"/>
    </xf>
    <xf borderId="12" fillId="12" fontId="7" numFmtId="0" xfId="0" applyAlignment="1" applyBorder="1" applyFont="1">
      <alignment horizontal="center" vertical="center"/>
    </xf>
    <xf borderId="15" fillId="12" fontId="7" numFmtId="9" xfId="0" applyAlignment="1" applyBorder="1" applyFont="1" applyNumberFormat="1">
      <alignment horizontal="center" vertical="center"/>
    </xf>
    <xf borderId="1" fillId="12" fontId="7" numFmtId="1" xfId="0" applyAlignment="1" applyBorder="1" applyFont="1" applyNumberFormat="1">
      <alignment horizontal="center"/>
    </xf>
    <xf borderId="16" fillId="12" fontId="7" numFmtId="0" xfId="0" applyAlignment="1" applyBorder="1" applyFont="1">
      <alignment horizontal="center" vertical="center"/>
    </xf>
    <xf borderId="17" fillId="12" fontId="7" numFmtId="0" xfId="0" applyAlignment="1" applyBorder="1" applyFont="1">
      <alignment horizontal="center" vertical="center"/>
    </xf>
    <xf borderId="20" fillId="12" fontId="7" numFmtId="9" xfId="0" applyAlignment="1" applyBorder="1" applyFont="1" applyNumberFormat="1">
      <alignment horizontal="center" vertical="center"/>
    </xf>
    <xf borderId="21" fillId="12" fontId="7" numFmtId="1" xfId="0" applyAlignment="1" applyBorder="1" applyFont="1" applyNumberFormat="1">
      <alignment horizontal="center"/>
    </xf>
    <xf borderId="22" fillId="12" fontId="7" numFmtId="0" xfId="0" applyAlignment="1" applyBorder="1" applyFont="1">
      <alignment horizontal="center" vertical="center"/>
    </xf>
    <xf borderId="23" fillId="12" fontId="7" numFmtId="0" xfId="0" applyAlignment="1" applyBorder="1" applyFont="1">
      <alignment horizontal="center" vertical="center"/>
    </xf>
    <xf borderId="29" fillId="6" fontId="1" numFmtId="0" xfId="0" applyAlignment="1" applyBorder="1" applyFont="1">
      <alignment horizontal="center" shrinkToFit="0" vertical="center" wrapText="1"/>
    </xf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33" fillId="0" fontId="6" numFmtId="0" xfId="0" applyBorder="1" applyFont="1"/>
    <xf borderId="3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4</xdr:row>
      <xdr:rowOff>114300</xdr:rowOff>
    </xdr:from>
    <xdr:ext cx="18002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0"/>
    <col customWidth="1" min="2" max="2" width="4.0"/>
    <col customWidth="1" min="3" max="3" width="11.0"/>
    <col customWidth="1" min="4" max="4" width="11.11"/>
    <col customWidth="1" min="5" max="5" width="14.33"/>
    <col customWidth="1" min="6" max="6" width="14.44"/>
    <col customWidth="1" min="7" max="7" width="14.67"/>
    <col customWidth="1" min="8" max="8" width="28.0"/>
    <col customWidth="1" min="9" max="26" width="11.0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 hidden="1">
      <c r="A2" s="1"/>
      <c r="B2" s="1"/>
      <c r="C2" s="1"/>
      <c r="D2" s="1"/>
      <c r="E2" s="1"/>
      <c r="F2" s="1"/>
      <c r="G2" s="1"/>
      <c r="H2" s="1"/>
      <c r="I2" s="1"/>
    </row>
    <row r="3">
      <c r="A3" s="1"/>
      <c r="B3" s="1"/>
      <c r="C3" s="1"/>
      <c r="D3" s="1"/>
      <c r="E3" s="1"/>
      <c r="F3" s="1"/>
      <c r="G3" s="1"/>
      <c r="H3" s="1"/>
      <c r="I3" s="1"/>
    </row>
    <row r="4" hidden="1">
      <c r="A4" s="2"/>
      <c r="B4" s="2"/>
      <c r="C4" s="3"/>
      <c r="D4" s="3"/>
      <c r="E4" s="3"/>
      <c r="F4" s="3"/>
      <c r="G4" s="3"/>
      <c r="H4" s="1"/>
      <c r="I4" s="1"/>
    </row>
    <row r="5">
      <c r="A5" s="1"/>
      <c r="B5" s="1"/>
      <c r="C5" s="4"/>
      <c r="D5" s="5" t="s">
        <v>0</v>
      </c>
      <c r="E5" s="6" t="s">
        <v>1</v>
      </c>
      <c r="F5" s="7" t="s">
        <v>2</v>
      </c>
      <c r="G5" s="7" t="s">
        <v>3</v>
      </c>
      <c r="H5" s="8"/>
      <c r="I5" s="1"/>
    </row>
    <row r="6">
      <c r="A6" s="1"/>
      <c r="B6" s="1"/>
      <c r="C6" s="9"/>
      <c r="D6" s="10">
        <v>21.0</v>
      </c>
      <c r="E6" s="11">
        <v>64.0</v>
      </c>
      <c r="F6" s="12">
        <f>208-(0.7*D6)</f>
        <v>193.3</v>
      </c>
      <c r="G6" s="12">
        <f>F6-E6</f>
        <v>129.3</v>
      </c>
      <c r="H6" s="8"/>
      <c r="I6" s="1"/>
    </row>
    <row r="7">
      <c r="A7" s="1"/>
      <c r="B7" s="1"/>
      <c r="C7" s="8"/>
      <c r="D7" s="8"/>
      <c r="E7" s="8"/>
      <c r="F7" s="8"/>
      <c r="G7" s="8"/>
      <c r="H7" s="8"/>
      <c r="I7" s="1"/>
    </row>
    <row r="8">
      <c r="A8" s="1"/>
      <c r="B8" s="1"/>
      <c r="C8" s="13" t="s">
        <v>4</v>
      </c>
      <c r="D8" s="14" t="s">
        <v>5</v>
      </c>
      <c r="E8" s="14" t="s">
        <v>6</v>
      </c>
      <c r="F8" s="14" t="s">
        <v>7</v>
      </c>
      <c r="G8" s="14" t="s">
        <v>8</v>
      </c>
      <c r="H8" s="14" t="s">
        <v>9</v>
      </c>
      <c r="I8" s="15"/>
    </row>
    <row r="9">
      <c r="A9" s="1"/>
      <c r="B9" s="1"/>
      <c r="C9" s="16" t="s">
        <v>10</v>
      </c>
      <c r="D9" s="17">
        <v>1.0</v>
      </c>
      <c r="E9" s="18">
        <f>G6*D9+E6</f>
        <v>193.3</v>
      </c>
      <c r="F9" s="19">
        <v>20.0</v>
      </c>
      <c r="G9" s="20">
        <v>10.0</v>
      </c>
      <c r="H9" s="21" t="s">
        <v>11</v>
      </c>
      <c r="I9" s="22"/>
    </row>
    <row r="10">
      <c r="A10" s="1"/>
      <c r="B10" s="1"/>
      <c r="C10" s="23"/>
      <c r="D10" s="24">
        <v>0.95</v>
      </c>
      <c r="E10" s="25">
        <f>G6*D10+E6</f>
        <v>186.835</v>
      </c>
      <c r="F10" s="26"/>
      <c r="G10" s="27"/>
      <c r="H10" s="28"/>
      <c r="I10" s="22"/>
    </row>
    <row r="11">
      <c r="A11" s="1"/>
      <c r="B11" s="1"/>
      <c r="C11" s="29"/>
      <c r="D11" s="30">
        <v>0.9</v>
      </c>
      <c r="E11" s="31">
        <f>G6*D11+E6</f>
        <v>180.37</v>
      </c>
      <c r="F11" s="32"/>
      <c r="G11" s="33"/>
      <c r="H11" s="34"/>
      <c r="I11" s="22"/>
    </row>
    <row r="12">
      <c r="A12" s="1"/>
      <c r="B12" s="1"/>
      <c r="C12" s="35" t="s">
        <v>12</v>
      </c>
      <c r="D12" s="36">
        <v>0.85</v>
      </c>
      <c r="E12" s="37">
        <f>G6*D12+E6</f>
        <v>173.905</v>
      </c>
      <c r="F12" s="38">
        <v>16.0</v>
      </c>
      <c r="G12" s="39">
        <v>7.0</v>
      </c>
      <c r="H12" s="40" t="s">
        <v>13</v>
      </c>
      <c r="I12" s="22"/>
    </row>
    <row r="13">
      <c r="A13" s="1"/>
      <c r="B13" s="1"/>
      <c r="C13" s="29"/>
      <c r="D13" s="41">
        <v>0.8</v>
      </c>
      <c r="E13" s="42">
        <f>G6*D13+E6</f>
        <v>167.44</v>
      </c>
      <c r="F13" s="43"/>
      <c r="G13" s="44"/>
      <c r="H13" s="34"/>
      <c r="I13" s="22"/>
    </row>
    <row r="14">
      <c r="A14" s="1"/>
      <c r="B14" s="1"/>
      <c r="C14" s="45" t="s">
        <v>14</v>
      </c>
      <c r="D14" s="46">
        <v>0.75</v>
      </c>
      <c r="E14" s="47">
        <f>G6*D14+E6</f>
        <v>160.975</v>
      </c>
      <c r="F14" s="48">
        <v>14.0</v>
      </c>
      <c r="G14" s="49">
        <v>5.0</v>
      </c>
      <c r="H14" s="50" t="s">
        <v>15</v>
      </c>
      <c r="I14" s="22"/>
    </row>
    <row r="15">
      <c r="A15" s="1"/>
      <c r="B15" s="1"/>
      <c r="C15" s="29"/>
      <c r="D15" s="51">
        <v>0.7</v>
      </c>
      <c r="E15" s="52">
        <f>G6*D15+E6</f>
        <v>154.51</v>
      </c>
      <c r="F15" s="53"/>
      <c r="G15" s="54"/>
      <c r="H15" s="34"/>
      <c r="I15" s="22"/>
    </row>
    <row r="16">
      <c r="A16" s="1"/>
      <c r="B16" s="1"/>
      <c r="C16" s="55" t="s">
        <v>16</v>
      </c>
      <c r="D16" s="56">
        <v>0.65</v>
      </c>
      <c r="E16" s="57">
        <f>G6*D16+E6</f>
        <v>148.045</v>
      </c>
      <c r="F16" s="58">
        <v>13.0</v>
      </c>
      <c r="G16" s="59"/>
      <c r="H16" s="60" t="s">
        <v>17</v>
      </c>
      <c r="I16" s="22"/>
    </row>
    <row r="17">
      <c r="A17" s="1"/>
      <c r="B17" s="1"/>
      <c r="C17" s="23"/>
      <c r="D17" s="56">
        <v>0.6</v>
      </c>
      <c r="E17" s="57">
        <f>G6*D17+E6</f>
        <v>141.58</v>
      </c>
      <c r="F17" s="61"/>
      <c r="G17" s="62">
        <v>3.0</v>
      </c>
      <c r="H17" s="28"/>
      <c r="I17" s="22"/>
    </row>
    <row r="18">
      <c r="A18" s="1"/>
      <c r="B18" s="1"/>
      <c r="C18" s="63"/>
      <c r="D18" s="56">
        <v>0.55</v>
      </c>
      <c r="E18" s="57">
        <f>G6*D18+E6</f>
        <v>135.115</v>
      </c>
      <c r="F18" s="64"/>
      <c r="G18" s="65"/>
      <c r="H18" s="66"/>
      <c r="I18" s="22"/>
    </row>
    <row r="19">
      <c r="A19" s="1"/>
      <c r="B19" s="1"/>
      <c r="C19" s="67" t="s">
        <v>18</v>
      </c>
      <c r="D19" s="68">
        <v>0.5</v>
      </c>
      <c r="E19" s="69">
        <f>G6*D19+E6</f>
        <v>128.65</v>
      </c>
      <c r="F19" s="70">
        <v>12.0</v>
      </c>
      <c r="G19" s="71">
        <v>2.0</v>
      </c>
      <c r="H19" s="72" t="s">
        <v>19</v>
      </c>
      <c r="I19" s="22"/>
    </row>
    <row r="20">
      <c r="A20" s="1"/>
      <c r="B20" s="1"/>
      <c r="C20" s="23"/>
      <c r="D20" s="73">
        <v>0.45</v>
      </c>
      <c r="E20" s="74">
        <f>G6*D20+E6</f>
        <v>122.185</v>
      </c>
      <c r="F20" s="75"/>
      <c r="G20" s="76"/>
      <c r="H20" s="28"/>
      <c r="I20" s="22"/>
    </row>
    <row r="21">
      <c r="A21" s="1"/>
      <c r="B21" s="1"/>
      <c r="C21" s="29"/>
      <c r="D21" s="77">
        <v>0.399999999999999</v>
      </c>
      <c r="E21" s="78">
        <f>G6*D21+E6</f>
        <v>115.72</v>
      </c>
      <c r="F21" s="79">
        <v>11.0</v>
      </c>
      <c r="G21" s="80"/>
      <c r="H21" s="34"/>
      <c r="I21" s="22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81" t="s">
        <v>20</v>
      </c>
      <c r="D23" s="82"/>
      <c r="E23" s="82"/>
      <c r="F23" s="82"/>
      <c r="G23" s="82"/>
      <c r="H23" s="83"/>
      <c r="I23" s="1"/>
    </row>
    <row r="24">
      <c r="A24" s="1"/>
      <c r="B24" s="1"/>
      <c r="C24" s="84"/>
      <c r="D24" s="85"/>
      <c r="E24" s="85"/>
      <c r="F24" s="85"/>
      <c r="G24" s="85"/>
      <c r="H24" s="86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</sheetData>
  <mergeCells count="11">
    <mergeCell ref="C16:C18"/>
    <mergeCell ref="C19:C21"/>
    <mergeCell ref="H19:H21"/>
    <mergeCell ref="C23:H24"/>
    <mergeCell ref="C9:C11"/>
    <mergeCell ref="H9:H11"/>
    <mergeCell ref="C12:C13"/>
    <mergeCell ref="H12:H13"/>
    <mergeCell ref="C14:C15"/>
    <mergeCell ref="H14:H15"/>
    <mergeCell ref="H16:H18"/>
  </mergeCells>
  <printOptions/>
  <pageMargins bottom="0.75" footer="0.0" header="0.0" left="0.7" right="0.7" top="0.75"/>
  <pageSetup paperSize="9" orientation="landscape"/>
  <drawing r:id="rId1"/>
</worksheet>
</file>