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o estímulo - fatiga" sheetId="1" r:id="rId5"/>
    <sheet state="visible" name="Mes 1" sheetId="2" r:id="rId6"/>
  </sheets>
  <definedNames/>
  <calcPr/>
</workbook>
</file>

<file path=xl/sharedStrings.xml><?xml version="1.0" encoding="utf-8"?>
<sst xmlns="http://schemas.openxmlformats.org/spreadsheetml/2006/main" count="506" uniqueCount="61">
  <si>
    <t>RATIO ESTÍMULO - FATIGA (REF) POR EJERCICIO Y SESIÓN</t>
  </si>
  <si>
    <r>
      <rPr>
        <rFont val="Montserrat Regular"/>
        <b/>
        <color rgb="FFC00000"/>
        <sz val="11.0"/>
      </rPr>
      <t>Ratio estímulo - fatiga:</t>
    </r>
    <r>
      <rPr>
        <rFont val="Montserrat Regular"/>
        <color rgb="FFC00000"/>
        <sz val="11.0"/>
      </rPr>
      <t xml:space="preserve"> </t>
    </r>
    <r>
      <rPr>
        <rFont val="Montserrat Regular"/>
        <color theme="1"/>
        <sz val="11.0"/>
      </rPr>
      <t>REF es una abreviatura de Ratio Estímulo - Fatiga. Es bastante útil para comprender el esfuerzo total de una sesión de entrenamiento en particular o de una semana de entrenamiento y así poder moverse siempre dentro de una relación óptima entre el estímulo de crecimiento muscular y la fatiga generada.</t>
    </r>
  </si>
  <si>
    <r>
      <rPr>
        <rFont val="Montserrat Regular"/>
        <b/>
        <color rgb="FFC00000"/>
        <sz val="11.0"/>
      </rPr>
      <t>Instrucciones</t>
    </r>
    <r>
      <rPr>
        <rFont val="Montserrat Regular"/>
        <color rgb="FFC00000"/>
        <sz val="11.0"/>
      </rPr>
      <t>:</t>
    </r>
    <r>
      <rPr>
        <rFont val="Montserrat Regular"/>
        <color theme="1"/>
        <sz val="11.0"/>
      </rPr>
      <t xml:space="preserve"> Rellena las celdas azules con los datos del ejercicio que quieras evaluar, el 1RM real o estimado y la carga de la sesión de entrenamiento.</t>
    </r>
  </si>
  <si>
    <t>Valores del ratio REF por sesión</t>
  </si>
  <si>
    <t>Valores del ratio REF por semana (suma de sesiones de la semana)</t>
  </si>
  <si>
    <t>REF</t>
  </si>
  <si>
    <t>Significado</t>
  </si>
  <si>
    <t>Nombre del ejercicio:</t>
  </si>
  <si>
    <t>Press de banca</t>
  </si>
  <si>
    <t>1RM actual en el ejercicio (kgs o lbs)</t>
  </si>
  <si>
    <t>&lt; 0,4</t>
  </si>
  <si>
    <t>Poco estímulo</t>
  </si>
  <si>
    <t>&lt; 2,0</t>
  </si>
  <si>
    <t>Buen estímulo para descarga, recuperación, transición</t>
  </si>
  <si>
    <t>0,4 a 1,3</t>
  </si>
  <si>
    <t>Buen estímulo, recuperable</t>
  </si>
  <si>
    <t>2,0 a 3,4</t>
  </si>
  <si>
    <t>Estímulo adecuado para fase de carga y adaptación</t>
  </si>
  <si>
    <t>Datos de la sesión de entrenamiento</t>
  </si>
  <si>
    <t>1,3 a 2,3</t>
  </si>
  <si>
    <t>Bueno en acumulación volumen</t>
  </si>
  <si>
    <t>3,4 a 4,6</t>
  </si>
  <si>
    <t>Bastante demandante. Sólo para etapas cortas</t>
  </si>
  <si>
    <t>Serie</t>
  </si>
  <si>
    <t>Peso utilizado (kgs o lbs)</t>
  </si>
  <si>
    <t>Repeticiones realizadas</t>
  </si>
  <si>
    <t>Ratio estímulo - fatiga</t>
  </si>
  <si>
    <t>&gt; 2,3</t>
  </si>
  <si>
    <t>Muy díficil</t>
  </si>
  <si>
    <t>&gt; 4,6</t>
  </si>
  <si>
    <t>No recomendado más de una semana</t>
  </si>
  <si>
    <t>PROMEDIO</t>
  </si>
  <si>
    <t>ACUMULADO</t>
  </si>
  <si>
    <t>Reps / %1RM</t>
  </si>
  <si>
    <t>Semana 1</t>
  </si>
  <si>
    <t>Semana 2</t>
  </si>
  <si>
    <t>Semana 3</t>
  </si>
  <si>
    <t>Semana 4</t>
  </si>
  <si>
    <t>Jalón al pecho</t>
  </si>
  <si>
    <t>Sentadilla trasera con barra</t>
  </si>
  <si>
    <t>Remo gironda</t>
  </si>
  <si>
    <t>Dominadas</t>
  </si>
  <si>
    <t>ACUMULADO SEMANAL</t>
  </si>
  <si>
    <t>Peso muerto</t>
  </si>
  <si>
    <t>Press de banca inclinado</t>
  </si>
  <si>
    <t>Remo con barra</t>
  </si>
  <si>
    <t>Extensión de cuádriceps en máquina</t>
  </si>
  <si>
    <t>Remo unilateral</t>
  </si>
  <si>
    <t>Press militar en multipower</t>
  </si>
  <si>
    <t>Hip-thrust</t>
  </si>
  <si>
    <t>Cruces en polea alta</t>
  </si>
  <si>
    <t>Prensa de piernas unilateral</t>
  </si>
  <si>
    <t>Curl femoral en maquinas</t>
  </si>
  <si>
    <t>Sentadilla búlgara en multipower</t>
  </si>
  <si>
    <t>Extensión de cuadriceps en máquina</t>
  </si>
  <si>
    <t>Ejercicio</t>
  </si>
  <si>
    <t>KG Promedio</t>
  </si>
  <si>
    <t>Reps promedio</t>
  </si>
  <si>
    <t>Kgs acumulados</t>
  </si>
  <si>
    <t>Reps acumuladas</t>
  </si>
  <si>
    <t>Ratio estímulo-fatiga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</si>
</sst>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%&quot;"/>
    <numFmt numFmtId="165" formatCode="0&quot;+%&quot;"/>
    <numFmt numFmtId="166" formatCode="0.0"/>
  </numFmts>
  <fonts count="12">
    <font>
      <sz val="11.0"/>
      <color theme="1"/>
      <name val="Calibri"/>
      <scheme val="minor"/>
    </font>
    <font>
      <b/>
      <sz val="14.0"/>
      <color theme="0"/>
      <name val="Montserrat"/>
    </font>
    <font/>
    <font>
      <sz val="10.0"/>
      <color theme="1"/>
      <name val="Montserrat"/>
    </font>
    <font>
      <sz val="11.0"/>
      <color theme="1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b/>
      <sz val="11.0"/>
      <color theme="1"/>
      <name val="Montserrat"/>
    </font>
    <font>
      <u/>
      <sz val="10.0"/>
      <color theme="4"/>
      <name val="Montserrat"/>
    </font>
    <font>
      <b/>
      <sz val="11.0"/>
      <color theme="0"/>
      <name val="Montserrat"/>
    </font>
    <font>
      <b/>
      <sz val="16.0"/>
      <color theme="0"/>
      <name val="Montserrat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DBE5F1"/>
        <bgColor rgb="FFDBE5F1"/>
      </patternFill>
    </fill>
  </fills>
  <borders count="4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1" xfId="0" applyBorder="1" applyFill="1" applyFont="1" applyNumberFormat="1"/>
    <xf borderId="7" fillId="3" fontId="3" numFmtId="1" xfId="0" applyAlignment="1" applyBorder="1" applyFont="1" applyNumberFormat="1">
      <alignment vertical="center"/>
    </xf>
    <xf borderId="8" fillId="3" fontId="4" numFmtId="1" xfId="0" applyAlignment="1" applyBorder="1" applyFont="1" applyNumberForma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4" numFmtId="1" xfId="0" applyAlignment="1" applyBorder="1" applyFont="1" applyNumberFormat="1">
      <alignment horizontal="left"/>
    </xf>
    <xf borderId="14" fillId="0" fontId="2" numFmtId="0" xfId="0" applyBorder="1" applyFont="1"/>
    <xf borderId="15" fillId="0" fontId="2" numFmtId="0" xfId="0" applyBorder="1" applyFont="1"/>
    <xf borderId="16" fillId="2" fontId="5" numFmtId="1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3" fontId="3" numFmtId="1" xfId="0" applyBorder="1" applyFont="1" applyNumberFormat="1"/>
    <xf borderId="16" fillId="4" fontId="6" numFmtId="1" xfId="0" applyAlignment="1" applyBorder="1" applyFill="1" applyFont="1" applyNumberFormat="1">
      <alignment horizontal="center"/>
    </xf>
    <xf borderId="16" fillId="5" fontId="6" numFmtId="1" xfId="0" applyAlignment="1" applyBorder="1" applyFill="1" applyFont="1" applyNumberFormat="1">
      <alignment horizontal="center" vertical="center"/>
    </xf>
    <xf borderId="20" fillId="3" fontId="3" numFmtId="1" xfId="0" applyAlignment="1" applyBorder="1" applyFont="1" applyNumberFormat="1">
      <alignment vertical="center"/>
    </xf>
    <xf borderId="13" fillId="3" fontId="7" numFmtId="1" xfId="0" applyAlignment="1" applyBorder="1" applyFont="1" applyNumberFormat="1">
      <alignment horizontal="right"/>
    </xf>
    <xf borderId="16" fillId="2" fontId="5" numFmtId="1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 vertical="center"/>
    </xf>
    <xf borderId="7" fillId="3" fontId="7" numFmtId="1" xfId="0" applyAlignment="1" applyBorder="1" applyFont="1" applyNumberFormat="1">
      <alignment vertical="center"/>
    </xf>
    <xf borderId="13" fillId="3" fontId="6" numFmtId="1" xfId="0" applyAlignment="1" applyBorder="1" applyFont="1" applyNumberFormat="1">
      <alignment horizontal="center" vertical="center"/>
    </xf>
    <xf borderId="21" fillId="0" fontId="2" numFmtId="0" xfId="0" applyBorder="1" applyFont="1"/>
    <xf borderId="16" fillId="2" fontId="9" numFmtId="1" xfId="0" applyAlignment="1" applyBorder="1" applyFont="1" applyNumberFormat="1">
      <alignment horizontal="center"/>
    </xf>
    <xf borderId="16" fillId="3" fontId="3" numFmtId="1" xfId="0" applyAlignment="1" applyBorder="1" applyFont="1" applyNumberFormat="1">
      <alignment horizontal="center"/>
    </xf>
    <xf borderId="16" fillId="3" fontId="3" numFmtId="1" xfId="0" applyAlignment="1" applyBorder="1" applyFont="1" applyNumberFormat="1">
      <alignment horizontal="center" vertical="center"/>
    </xf>
    <xf borderId="16" fillId="6" fontId="7" numFmtId="1" xfId="0" applyAlignment="1" applyBorder="1" applyFill="1" applyFont="1" applyNumberFormat="1">
      <alignment horizontal="center"/>
    </xf>
    <xf borderId="16" fillId="7" fontId="6" numFmtId="1" xfId="0" applyAlignment="1" applyBorder="1" applyFill="1" applyFont="1" applyNumberFormat="1">
      <alignment horizontal="center" vertical="center"/>
    </xf>
    <xf borderId="16" fillId="3" fontId="6" numFmtId="1" xfId="0" applyAlignment="1" applyBorder="1" applyFont="1" applyNumberFormat="1">
      <alignment horizontal="center" vertical="center"/>
    </xf>
    <xf borderId="16" fillId="8" fontId="3" numFmtId="2" xfId="0" applyAlignment="1" applyBorder="1" applyFill="1" applyFont="1" applyNumberFormat="1">
      <alignment horizontal="center" vertical="center"/>
    </xf>
    <xf borderId="22" fillId="8" fontId="3" numFmtId="1" xfId="0" applyAlignment="1" applyBorder="1" applyFont="1" applyNumberFormat="1">
      <alignment vertical="center"/>
    </xf>
    <xf borderId="16" fillId="3" fontId="3" numFmtId="2" xfId="0" applyAlignment="1" applyBorder="1" applyFont="1" applyNumberFormat="1">
      <alignment horizontal="center" vertical="center"/>
    </xf>
    <xf borderId="13" fillId="3" fontId="3" numFmtId="1" xfId="0" applyAlignment="1" applyBorder="1" applyFont="1" applyNumberFormat="1">
      <alignment horizontal="center"/>
    </xf>
    <xf borderId="23" fillId="3" fontId="3" numFmtId="1" xfId="0" applyBorder="1" applyFont="1" applyNumberFormat="1"/>
    <xf borderId="24" fillId="3" fontId="3" numFmtId="1" xfId="0" applyBorder="1" applyFont="1" applyNumberFormat="1"/>
    <xf borderId="24" fillId="3" fontId="3" numFmtId="1" xfId="0" applyAlignment="1" applyBorder="1" applyFont="1" applyNumberFormat="1">
      <alignment vertical="center"/>
    </xf>
    <xf borderId="25" fillId="3" fontId="3" numFmtId="1" xfId="0" applyAlignment="1" applyBorder="1" applyFont="1" applyNumberFormat="1">
      <alignment vertical="center"/>
    </xf>
    <xf borderId="26" fillId="3" fontId="3" numFmtId="1" xfId="0" applyAlignment="1" applyBorder="1" applyFont="1" applyNumberFormat="1">
      <alignment horizontal="center" vertical="center"/>
    </xf>
    <xf borderId="27" fillId="3" fontId="3" numFmtId="164" xfId="0" applyAlignment="1" applyBorder="1" applyFont="1" applyNumberFormat="1">
      <alignment horizontal="center" vertical="center"/>
    </xf>
    <xf borderId="28" fillId="3" fontId="3" numFmtId="164" xfId="0" applyAlignment="1" applyBorder="1" applyFont="1" applyNumberFormat="1">
      <alignment horizontal="center" vertical="center"/>
    </xf>
    <xf borderId="29" fillId="3" fontId="3" numFmtId="165" xfId="0" applyAlignment="1" applyBorder="1" applyFont="1" applyNumberFormat="1">
      <alignment horizontal="center" vertical="center"/>
    </xf>
    <xf borderId="19" fillId="3" fontId="3" numFmtId="1" xfId="0" applyAlignment="1" applyBorder="1" applyFont="1" applyNumberFormat="1">
      <alignment horizontal="center"/>
    </xf>
    <xf borderId="26" fillId="3" fontId="3" numFmtId="2" xfId="0" applyBorder="1" applyFont="1" applyNumberFormat="1"/>
    <xf borderId="27" fillId="3" fontId="3" numFmtId="2" xfId="0" applyBorder="1" applyFont="1" applyNumberFormat="1"/>
    <xf borderId="7" fillId="3" fontId="3" numFmtId="2" xfId="0" applyBorder="1" applyFont="1" applyNumberFormat="1"/>
    <xf borderId="19" fillId="3" fontId="3" numFmtId="2" xfId="0" applyBorder="1" applyFont="1" applyNumberFormat="1"/>
    <xf borderId="25" fillId="3" fontId="3" numFmtId="2" xfId="0" applyBorder="1" applyFont="1" applyNumberFormat="1"/>
    <xf borderId="24" fillId="3" fontId="3" numFmtId="2" xfId="0" applyBorder="1" applyFont="1" applyNumberFormat="1"/>
    <xf borderId="30" fillId="3" fontId="3" numFmtId="2" xfId="0" applyBorder="1" applyFont="1" applyNumberFormat="1"/>
    <xf borderId="20" fillId="3" fontId="3" numFmtId="2" xfId="0" applyBorder="1" applyFont="1" applyNumberFormat="1"/>
    <xf borderId="31" fillId="3" fontId="3" numFmtId="2" xfId="0" applyBorder="1" applyFont="1" applyNumberFormat="1"/>
    <xf borderId="20" fillId="3" fontId="3" numFmtId="166" xfId="0" applyBorder="1" applyFont="1" applyNumberFormat="1"/>
    <xf borderId="7" fillId="3" fontId="3" numFmtId="166" xfId="0" applyBorder="1" applyFont="1" applyNumberFormat="1"/>
    <xf borderId="23" fillId="3" fontId="3" numFmtId="1" xfId="0" applyAlignment="1" applyBorder="1" applyFont="1" applyNumberFormat="1">
      <alignment horizontal="center"/>
    </xf>
    <xf borderId="23" fillId="3" fontId="3" numFmtId="2" xfId="0" applyBorder="1" applyFont="1" applyNumberFormat="1"/>
    <xf borderId="32" fillId="3" fontId="3" numFmtId="2" xfId="0" applyBorder="1" applyFont="1" applyNumberFormat="1"/>
    <xf borderId="24" fillId="3" fontId="3" numFmtId="166" xfId="0" applyBorder="1" applyFont="1" applyNumberFormat="1"/>
    <xf borderId="25" fillId="3" fontId="3" numFmtId="166" xfId="0" applyBorder="1" applyFont="1" applyNumberFormat="1"/>
    <xf borderId="7" fillId="3" fontId="3" numFmtId="1" xfId="0" applyAlignment="1" applyBorder="1" applyFont="1" applyNumberFormat="1">
      <alignment horizontal="center"/>
    </xf>
    <xf borderId="33" fillId="2" fontId="10" numFmtId="1" xfId="0" applyAlignment="1" applyBorder="1" applyFont="1" applyNumberForma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3" fillId="3" fontId="7" numFmtId="1" xfId="0" applyAlignment="1" applyBorder="1" applyFont="1" applyNumberFormat="1">
      <alignment horizontal="center" vertical="center"/>
    </xf>
    <xf borderId="33" fillId="6" fontId="6" numFmtId="1" xfId="0" applyAlignment="1" applyBorder="1" applyFont="1" applyNumberFormat="1">
      <alignment horizontal="center" vertical="center"/>
    </xf>
    <xf borderId="33" fillId="3" fontId="3" numFmtId="1" xfId="0" applyAlignment="1" applyBorder="1" applyFont="1" applyNumberFormat="1">
      <alignment horizontal="center" vertical="center"/>
    </xf>
    <xf borderId="33" fillId="3" fontId="6" numFmtId="1" xfId="0" applyAlignment="1" applyBorder="1" applyFont="1" applyNumberFormat="1">
      <alignment horizontal="center" vertical="center"/>
    </xf>
    <xf borderId="33" fillId="6" fontId="7" numFmtId="1" xfId="0" applyAlignment="1" applyBorder="1" applyFont="1" applyNumberFormat="1">
      <alignment horizontal="center" vertical="center"/>
    </xf>
    <xf borderId="33" fillId="2" fontId="5" numFmtId="1" xfId="0" applyAlignment="1" applyBorder="1" applyFont="1" applyNumberFormat="1">
      <alignment horizontal="center" vertical="center"/>
    </xf>
    <xf borderId="33" fillId="8" fontId="3" numFmtId="2" xfId="0" applyAlignment="1" applyBorder="1" applyFont="1" applyNumberFormat="1">
      <alignment horizontal="center" vertical="center"/>
    </xf>
    <xf borderId="33" fillId="8" fontId="3" numFmtId="1" xfId="0" applyAlignment="1" applyBorder="1" applyFont="1" applyNumberFormat="1">
      <alignment horizontal="center" vertical="center"/>
    </xf>
    <xf borderId="33" fillId="3" fontId="3" numFmtId="2" xfId="0" applyAlignment="1" applyBorder="1" applyFont="1" applyNumberFormat="1">
      <alignment horizontal="center" vertical="center"/>
    </xf>
    <xf borderId="36" fillId="3" fontId="6" numFmtId="1" xfId="0" applyAlignment="1" applyBorder="1" applyFont="1" applyNumberFormat="1">
      <alignment horizontal="center" vertical="center"/>
    </xf>
    <xf borderId="37" fillId="3" fontId="6" numFmtId="1" xfId="0" applyAlignment="1" applyBorder="1" applyFont="1" applyNumberFormat="1">
      <alignment horizontal="center" vertical="center"/>
    </xf>
    <xf borderId="38" fillId="3" fontId="6" numFmtId="1" xfId="0" applyAlignment="1" applyBorder="1" applyFont="1" applyNumberFormat="1">
      <alignment horizontal="center" vertical="center"/>
    </xf>
    <xf borderId="33" fillId="3" fontId="6" numFmtId="1" xfId="0" applyAlignment="1" applyBorder="1" applyFont="1" applyNumberFormat="1">
      <alignment horizontal="center" shrinkToFit="0" vertical="center" wrapText="1"/>
    </xf>
    <xf borderId="33" fillId="3" fontId="6" numFmtId="2" xfId="0" applyAlignment="1" applyBorder="1" applyFont="1" applyNumberFormat="1">
      <alignment horizontal="center" vertical="center"/>
    </xf>
    <xf borderId="39" fillId="3" fontId="6" numFmtId="1" xfId="0" applyAlignment="1" applyBorder="1" applyFont="1" applyNumberForma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39" fillId="3" fontId="3" numFmtId="2" xfId="0" applyAlignment="1" applyBorder="1" applyFont="1" applyNumberFormat="1">
      <alignment horizontal="center" vertical="center"/>
    </xf>
    <xf borderId="39" fillId="3" fontId="3" numFmtId="1" xfId="0" applyAlignment="1" applyBorder="1" applyFont="1" applyNumberFormat="1">
      <alignment horizontal="center" vertical="center"/>
    </xf>
    <xf borderId="39" fillId="3" fontId="6" numFmtId="2" xfId="0" applyAlignment="1" applyBorder="1" applyFont="1" applyNumberFormat="1">
      <alignment horizontal="center" vertical="center"/>
    </xf>
    <xf borderId="0" fillId="0" fontId="4" numFmtId="0" xfId="0" applyFont="1"/>
    <xf borderId="42" fillId="2" fontId="9" numFmtId="0" xfId="0" applyAlignment="1" applyBorder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42" fillId="0" fontId="4" numFmtId="0" xfId="0" applyAlignment="1" applyBorder="1" applyFont="1">
      <alignment horizontal="center" shrinkToFit="0" wrapText="1"/>
    </xf>
    <xf borderId="4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42" fillId="0" fontId="4" numFmtId="1" xfId="0" applyAlignment="1" applyBorder="1" applyFont="1" applyNumberFormat="1">
      <alignment horizontal="center" shrinkToFit="0" vertical="center" wrapText="1"/>
    </xf>
    <xf borderId="42" fillId="0" fontId="4" numFmtId="2" xfId="0" applyAlignment="1" applyBorder="1" applyFont="1" applyNumberFormat="1">
      <alignment horizontal="center" vertical="center"/>
    </xf>
    <xf borderId="42" fillId="0" fontId="4" numFmtId="1" xfId="0" applyAlignment="1" applyBorder="1" applyFont="1" applyNumberFormat="1">
      <alignment horizontal="center" vertical="center"/>
    </xf>
    <xf borderId="42" fillId="0" fontId="7" numFmtId="2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4vySlVNvK42kiVTNaicjMqrnWCme9wb/view?usp=sharing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295275</xdr:colOff>
      <xdr:row>22</xdr:row>
      <xdr:rowOff>66675</xdr:rowOff>
    </xdr:from>
    <xdr:ext cx="3476625" cy="323850"/>
    <xdr:sp>
      <xdr:nvSpPr>
        <xdr:cNvPr id="3" name="Shape 3"/>
        <xdr:cNvSpPr txBox="1"/>
      </xdr:nvSpPr>
      <xdr:spPr>
        <a:xfrm>
          <a:off x="3612450" y="3622838"/>
          <a:ext cx="34671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Valora tus resultados según las tablas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23</xdr:row>
      <xdr:rowOff>0</xdr:rowOff>
    </xdr:from>
    <xdr:ext cx="1266825" cy="161925"/>
    <xdr:sp>
      <xdr:nvSpPr>
        <xdr:cNvPr id="4" name="Shape 4"/>
        <xdr:cNvSpPr/>
      </xdr:nvSpPr>
      <xdr:spPr>
        <a:xfrm>
          <a:off x="4717350" y="3699038"/>
          <a:ext cx="1257300" cy="161925"/>
        </a:xfrm>
        <a:prstGeom prst="rightArrow">
          <a:avLst>
            <a:gd fmla="val 50000" name="adj1"/>
            <a:gd fmla="val 50000" name="adj2"/>
          </a:avLst>
        </a:prstGeom>
        <a:solidFill>
          <a:srgbClr val="B7CC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66675</xdr:colOff>
      <xdr:row>24</xdr:row>
      <xdr:rowOff>76200</xdr:rowOff>
    </xdr:from>
    <xdr:ext cx="171450" cy="485775"/>
    <xdr:sp>
      <xdr:nvSpPr>
        <xdr:cNvPr id="5" name="Shape 5"/>
        <xdr:cNvSpPr/>
      </xdr:nvSpPr>
      <xdr:spPr>
        <a:xfrm rot="5400000">
          <a:off x="5103113" y="3699038"/>
          <a:ext cx="485775" cy="161925"/>
        </a:xfrm>
        <a:prstGeom prst="rightArrow">
          <a:avLst>
            <a:gd fmla="val 50000" name="adj1"/>
            <a:gd fmla="val 50000" name="adj2"/>
          </a:avLst>
        </a:prstGeom>
        <a:solidFill>
          <a:srgbClr val="B7CC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304800</xdr:colOff>
      <xdr:row>13</xdr:row>
      <xdr:rowOff>9525</xdr:rowOff>
    </xdr:from>
    <xdr:ext cx="171450" cy="714375"/>
    <xdr:sp>
      <xdr:nvSpPr>
        <xdr:cNvPr id="6" name="Shape 6"/>
        <xdr:cNvSpPr/>
      </xdr:nvSpPr>
      <xdr:spPr>
        <a:xfrm rot="-5400000">
          <a:off x="4993575" y="3699038"/>
          <a:ext cx="704850" cy="161925"/>
        </a:xfrm>
        <a:prstGeom prst="rightArrow">
          <a:avLst>
            <a:gd fmla="val 50000" name="adj1"/>
            <a:gd fmla="val 50000" name="adj2"/>
          </a:avLst>
        </a:prstGeom>
        <a:solidFill>
          <a:srgbClr val="B7CC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36</xdr:col>
      <xdr:colOff>76200</xdr:colOff>
      <xdr:row>13</xdr:row>
      <xdr:rowOff>9525</xdr:rowOff>
    </xdr:from>
    <xdr:ext cx="171450" cy="714375"/>
    <xdr:sp>
      <xdr:nvSpPr>
        <xdr:cNvPr id="7" name="Shape 7"/>
        <xdr:cNvSpPr/>
      </xdr:nvSpPr>
      <xdr:spPr>
        <a:xfrm rot="-5400000">
          <a:off x="4993575" y="3699038"/>
          <a:ext cx="704850" cy="161925"/>
        </a:xfrm>
        <a:prstGeom prst="rightArrow">
          <a:avLst>
            <a:gd fmla="val 50000" name="adj1"/>
            <a:gd fmla="val 50000" name="adj2"/>
          </a:avLst>
        </a:prstGeom>
        <a:solidFill>
          <a:srgbClr val="B7CC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352425</xdr:colOff>
      <xdr:row>17</xdr:row>
      <xdr:rowOff>0</xdr:rowOff>
    </xdr:from>
    <xdr:ext cx="1619250" cy="76200"/>
    <xdr:grpSp>
      <xdr:nvGrpSpPr>
        <xdr:cNvPr id="2" name="Shape 2"/>
        <xdr:cNvGrpSpPr/>
      </xdr:nvGrpSpPr>
      <xdr:grpSpPr>
        <a:xfrm>
          <a:off x="4536375" y="3780000"/>
          <a:ext cx="1619250" cy="0"/>
          <a:chOff x="4536375" y="3780000"/>
          <a:chExt cx="1619250" cy="0"/>
        </a:xfrm>
      </xdr:grpSpPr>
      <xdr:cxnSp>
        <xdr:nvCxnSpPr>
          <xdr:cNvPr id="8" name="Shape 8"/>
          <xdr:cNvCxnSpPr/>
        </xdr:nvCxnSpPr>
        <xdr:spPr>
          <a:xfrm>
            <a:off x="4536375" y="3780000"/>
            <a:ext cx="1619250" cy="0"/>
          </a:xfrm>
          <a:prstGeom prst="straightConnector1">
            <a:avLst/>
          </a:prstGeom>
          <a:noFill/>
          <a:ln cap="flat" cmpd="sng" w="76200">
            <a:solidFill>
              <a:srgbClr val="B7CCE4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104775</xdr:colOff>
      <xdr:row>17</xdr:row>
      <xdr:rowOff>0</xdr:rowOff>
    </xdr:from>
    <xdr:ext cx="76200" cy="847725"/>
    <xdr:grpSp>
      <xdr:nvGrpSpPr>
        <xdr:cNvPr id="2" name="Shape 2"/>
        <xdr:cNvGrpSpPr/>
      </xdr:nvGrpSpPr>
      <xdr:grpSpPr>
        <a:xfrm>
          <a:off x="4922138" y="3780000"/>
          <a:ext cx="847725" cy="0"/>
          <a:chOff x="4922138" y="3780000"/>
          <a:chExt cx="847725" cy="0"/>
        </a:xfrm>
      </xdr:grpSpPr>
      <xdr:cxnSp>
        <xdr:nvCxnSpPr>
          <xdr:cNvPr id="9" name="Shape 9"/>
          <xdr:cNvCxnSpPr/>
        </xdr:nvCxnSpPr>
        <xdr:spPr>
          <a:xfrm rot="5400000">
            <a:off x="4922138" y="3780000"/>
            <a:ext cx="847725" cy="0"/>
          </a:xfrm>
          <a:prstGeom prst="straightConnector1">
            <a:avLst/>
          </a:prstGeom>
          <a:noFill/>
          <a:ln cap="flat" cmpd="sng" w="76200">
            <a:solidFill>
              <a:srgbClr val="B7CCE4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0</xdr:colOff>
      <xdr:row>23</xdr:row>
      <xdr:rowOff>-9525</xdr:rowOff>
    </xdr:from>
    <xdr:ext cx="3638550" cy="190500"/>
    <xdr:sp>
      <xdr:nvSpPr>
        <xdr:cNvPr id="10" name="Shape 10"/>
        <xdr:cNvSpPr/>
      </xdr:nvSpPr>
      <xdr:spPr>
        <a:xfrm>
          <a:off x="3536250" y="3694275"/>
          <a:ext cx="3619500" cy="17145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314325</xdr:colOff>
      <xdr:row>7</xdr:row>
      <xdr:rowOff>133350</xdr:rowOff>
    </xdr:from>
    <xdr:ext cx="847725" cy="266700"/>
    <xdr:sp>
      <xdr:nvSpPr>
        <xdr:cNvPr id="11" name="Shape 11">
          <a:hlinkClick r:id="rId1"/>
        </xdr:cNvPr>
        <xdr:cNvSpPr/>
      </xdr:nvSpPr>
      <xdr:spPr>
        <a:xfrm>
          <a:off x="4926900" y="3651413"/>
          <a:ext cx="838200" cy="257175"/>
        </a:xfrm>
        <a:prstGeom prst="rect">
          <a:avLst/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Tutorial uso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21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31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41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51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61</xdr:row>
      <xdr:rowOff>-9525</xdr:rowOff>
    </xdr:from>
    <xdr:ext cx="3638550" cy="400050"/>
    <xdr:sp>
      <xdr:nvSpPr>
        <xdr:cNvPr id="13" name="Shape 13"/>
        <xdr:cNvSpPr/>
      </xdr:nvSpPr>
      <xdr:spPr>
        <a:xfrm>
          <a:off x="3536250" y="3589500"/>
          <a:ext cx="361950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71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81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91</xdr:row>
      <xdr:rowOff>-9525</xdr:rowOff>
    </xdr:from>
    <xdr:ext cx="3638550" cy="409575"/>
    <xdr:sp>
      <xdr:nvSpPr>
        <xdr:cNvPr id="17" name="Shape 17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101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111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121</xdr:row>
      <xdr:rowOff>-9525</xdr:rowOff>
    </xdr:from>
    <xdr:ext cx="3638550" cy="400050"/>
    <xdr:sp>
      <xdr:nvSpPr>
        <xdr:cNvPr id="13" name="Shape 13"/>
        <xdr:cNvSpPr/>
      </xdr:nvSpPr>
      <xdr:spPr>
        <a:xfrm>
          <a:off x="3536250" y="3589500"/>
          <a:ext cx="361950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71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81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91</xdr:row>
      <xdr:rowOff>-9525</xdr:rowOff>
    </xdr:from>
    <xdr:ext cx="3638550" cy="409575"/>
    <xdr:sp>
      <xdr:nvSpPr>
        <xdr:cNvPr id="17" name="Shape 17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101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111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121</xdr:row>
      <xdr:rowOff>-9525</xdr:rowOff>
    </xdr:from>
    <xdr:ext cx="3638550" cy="400050"/>
    <xdr:sp>
      <xdr:nvSpPr>
        <xdr:cNvPr id="13" name="Shape 13"/>
        <xdr:cNvSpPr/>
      </xdr:nvSpPr>
      <xdr:spPr>
        <a:xfrm>
          <a:off x="3536250" y="3589500"/>
          <a:ext cx="361950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9525</xdr:colOff>
      <xdr:row>122</xdr:row>
      <xdr:rowOff>-9525</xdr:rowOff>
    </xdr:from>
    <xdr:ext cx="3619500" cy="38100"/>
    <xdr:sp>
      <xdr:nvSpPr>
        <xdr:cNvPr id="18" name="Shape 18"/>
        <xdr:cNvSpPr/>
      </xdr:nvSpPr>
      <xdr:spPr>
        <a:xfrm>
          <a:off x="3536250" y="3775238"/>
          <a:ext cx="361950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9525</xdr:colOff>
      <xdr:row>122</xdr:row>
      <xdr:rowOff>-9525</xdr:rowOff>
    </xdr:from>
    <xdr:ext cx="3619500" cy="38100"/>
    <xdr:sp>
      <xdr:nvSpPr>
        <xdr:cNvPr id="18" name="Shape 18"/>
        <xdr:cNvSpPr/>
      </xdr:nvSpPr>
      <xdr:spPr>
        <a:xfrm>
          <a:off x="3536250" y="3775238"/>
          <a:ext cx="361950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71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81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91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101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0050"/>
    <xdr:sp>
      <xdr:nvSpPr>
        <xdr:cNvPr id="16" name="Shape 16"/>
        <xdr:cNvSpPr/>
      </xdr:nvSpPr>
      <xdr:spPr>
        <a:xfrm>
          <a:off x="3183825" y="3589500"/>
          <a:ext cx="4324350" cy="381000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31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41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51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61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71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81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91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101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111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15</xdr:col>
      <xdr:colOff>0</xdr:colOff>
      <xdr:row>121</xdr:row>
      <xdr:rowOff>-9525</xdr:rowOff>
    </xdr:from>
    <xdr:ext cx="3638550" cy="409575"/>
    <xdr:sp>
      <xdr:nvSpPr>
        <xdr:cNvPr id="12" name="Shape 12"/>
        <xdr:cNvSpPr/>
      </xdr:nvSpPr>
      <xdr:spPr>
        <a:xfrm>
          <a:off x="3536250" y="3584738"/>
          <a:ext cx="361950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39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31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61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71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81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91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101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101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91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81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71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61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31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31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41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51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61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71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81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91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101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111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9575"/>
    <xdr:sp>
      <xdr:nvSpPr>
        <xdr:cNvPr id="14" name="Shape 14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121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0</xdr:colOff>
      <xdr:row>121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9525</xdr:colOff>
      <xdr:row>122</xdr:row>
      <xdr:rowOff>-9525</xdr:rowOff>
    </xdr:from>
    <xdr:ext cx="4324350" cy="38100"/>
    <xdr:sp>
      <xdr:nvSpPr>
        <xdr:cNvPr id="19" name="Shape 19"/>
        <xdr:cNvSpPr/>
      </xdr:nvSpPr>
      <xdr:spPr>
        <a:xfrm>
          <a:off x="3183825" y="3775238"/>
          <a:ext cx="4324350" cy="9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87</xdr:col>
      <xdr:colOff>0</xdr:colOff>
      <xdr:row>121</xdr:row>
      <xdr:rowOff>-9525</xdr:rowOff>
    </xdr:from>
    <xdr:ext cx="4343400" cy="409575"/>
    <xdr:sp>
      <xdr:nvSpPr>
        <xdr:cNvPr id="15" name="Shape 15"/>
        <xdr:cNvSpPr/>
      </xdr:nvSpPr>
      <xdr:spPr>
        <a:xfrm>
          <a:off x="3183825" y="3584738"/>
          <a:ext cx="4324350" cy="390525"/>
        </a:xfrm>
        <a:prstGeom prst="flowChartAlternateProcess">
          <a:avLst/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63</xdr:col>
      <xdr:colOff>228600</xdr:colOff>
      <xdr:row>46</xdr:row>
      <xdr:rowOff>142875</xdr:rowOff>
    </xdr:from>
    <xdr:ext cx="43243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5" width="5.43"/>
    <col customWidth="1" min="6" max="6" width="6.0"/>
    <col customWidth="1" min="7" max="46" width="5.43"/>
    <col customWidth="1" min="47" max="50" width="4.71"/>
    <col customWidth="1" min="51" max="51" width="5.29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 ht="12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  <c r="AY3" s="8"/>
    </row>
    <row r="4" ht="12.75" customHeight="1">
      <c r="A4" s="7"/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7"/>
      <c r="AV4" s="7"/>
      <c r="AW4" s="7"/>
      <c r="AX4" s="8"/>
      <c r="AY4" s="8"/>
    </row>
    <row r="5" ht="16.5" customHeight="1">
      <c r="A5" s="7"/>
      <c r="B5" s="1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13"/>
      <c r="AU5" s="7"/>
      <c r="AV5" s="7"/>
      <c r="AW5" s="7"/>
      <c r="AX5" s="8"/>
      <c r="AY5" s="8"/>
    </row>
    <row r="6" ht="12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  <c r="AY6" s="8"/>
    </row>
    <row r="7" ht="12.75" customHeight="1">
      <c r="A7" s="7"/>
      <c r="B7" s="14" t="s">
        <v>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  <c r="Z7" s="7"/>
      <c r="AA7" s="7"/>
      <c r="AB7" s="17" t="s">
        <v>3</v>
      </c>
      <c r="AC7" s="18"/>
      <c r="AD7" s="18"/>
      <c r="AE7" s="18"/>
      <c r="AF7" s="18"/>
      <c r="AG7" s="18"/>
      <c r="AH7" s="19"/>
      <c r="AI7" s="8"/>
      <c r="AJ7" s="17" t="s">
        <v>4</v>
      </c>
      <c r="AK7" s="18"/>
      <c r="AL7" s="18"/>
      <c r="AM7" s="18"/>
      <c r="AN7" s="18"/>
      <c r="AO7" s="18"/>
      <c r="AP7" s="18"/>
      <c r="AQ7" s="18"/>
      <c r="AR7" s="18"/>
      <c r="AS7" s="18"/>
      <c r="AT7" s="19"/>
      <c r="AU7" s="7"/>
      <c r="AV7" s="7"/>
      <c r="AW7" s="7"/>
      <c r="AX7" s="8"/>
      <c r="AY7" s="8"/>
    </row>
    <row r="8" ht="12.75" customHeight="1">
      <c r="A8" s="20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21" t="s">
        <v>5</v>
      </c>
      <c r="AC8" s="19"/>
      <c r="AD8" s="21" t="s">
        <v>6</v>
      </c>
      <c r="AE8" s="18"/>
      <c r="AF8" s="18"/>
      <c r="AG8" s="18"/>
      <c r="AH8" s="19"/>
      <c r="AI8" s="7"/>
      <c r="AJ8" s="22" t="s">
        <v>5</v>
      </c>
      <c r="AK8" s="18"/>
      <c r="AL8" s="19"/>
      <c r="AM8" s="22" t="s">
        <v>6</v>
      </c>
      <c r="AN8" s="18"/>
      <c r="AO8" s="18"/>
      <c r="AP8" s="18"/>
      <c r="AQ8" s="18"/>
      <c r="AR8" s="18"/>
      <c r="AS8" s="18"/>
      <c r="AT8" s="19"/>
      <c r="AU8" s="7"/>
      <c r="AV8" s="7"/>
      <c r="AW8" s="7"/>
      <c r="AX8" s="8"/>
      <c r="AY8" s="23"/>
    </row>
    <row r="9" ht="12.75" customHeight="1">
      <c r="A9" s="20"/>
      <c r="B9" s="7"/>
      <c r="C9" s="24" t="s">
        <v>7</v>
      </c>
      <c r="D9" s="15"/>
      <c r="E9" s="15"/>
      <c r="F9" s="15"/>
      <c r="G9" s="16"/>
      <c r="H9" s="25" t="s">
        <v>8</v>
      </c>
      <c r="I9" s="18"/>
      <c r="J9" s="18"/>
      <c r="K9" s="18"/>
      <c r="L9" s="19"/>
      <c r="M9" s="7"/>
      <c r="N9" s="26"/>
      <c r="Q9" s="27"/>
      <c r="R9" s="28" t="s">
        <v>9</v>
      </c>
      <c r="S9" s="15"/>
      <c r="T9" s="15"/>
      <c r="U9" s="15"/>
      <c r="V9" s="15"/>
      <c r="W9" s="29"/>
      <c r="X9" s="30">
        <v>140.0</v>
      </c>
      <c r="Y9" s="19"/>
      <c r="Z9" s="7"/>
      <c r="AA9" s="7"/>
      <c r="AB9" s="31" t="s">
        <v>10</v>
      </c>
      <c r="AC9" s="19"/>
      <c r="AD9" s="31" t="s">
        <v>11</v>
      </c>
      <c r="AE9" s="18"/>
      <c r="AF9" s="18"/>
      <c r="AG9" s="18"/>
      <c r="AH9" s="19"/>
      <c r="AI9" s="7"/>
      <c r="AJ9" s="32" t="s">
        <v>12</v>
      </c>
      <c r="AK9" s="18"/>
      <c r="AL9" s="19"/>
      <c r="AM9" s="32" t="s">
        <v>13</v>
      </c>
      <c r="AN9" s="18"/>
      <c r="AO9" s="18"/>
      <c r="AP9" s="18"/>
      <c r="AQ9" s="18"/>
      <c r="AR9" s="18"/>
      <c r="AS9" s="18"/>
      <c r="AT9" s="19"/>
      <c r="AU9" s="7"/>
      <c r="AV9" s="7"/>
      <c r="AW9" s="7"/>
      <c r="AX9" s="8"/>
      <c r="AY9" s="23"/>
    </row>
    <row r="10" ht="12.75" customHeight="1">
      <c r="A10" s="20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1" t="s">
        <v>14</v>
      </c>
      <c r="AC10" s="19"/>
      <c r="AD10" s="31" t="s">
        <v>15</v>
      </c>
      <c r="AE10" s="18"/>
      <c r="AF10" s="18"/>
      <c r="AG10" s="18"/>
      <c r="AH10" s="19"/>
      <c r="AI10" s="7"/>
      <c r="AJ10" s="32" t="s">
        <v>16</v>
      </c>
      <c r="AK10" s="18"/>
      <c r="AL10" s="19"/>
      <c r="AM10" s="32" t="s">
        <v>17</v>
      </c>
      <c r="AN10" s="18"/>
      <c r="AO10" s="18"/>
      <c r="AP10" s="18"/>
      <c r="AQ10" s="18"/>
      <c r="AR10" s="18"/>
      <c r="AS10" s="18"/>
      <c r="AT10" s="19"/>
      <c r="AU10" s="7"/>
      <c r="AV10" s="7"/>
      <c r="AW10" s="7"/>
      <c r="AX10" s="8"/>
      <c r="AY10" s="23"/>
    </row>
    <row r="11" ht="12.75" customHeight="1">
      <c r="A11" s="20"/>
      <c r="B11" s="7"/>
      <c r="C11" s="33" t="s">
        <v>18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9"/>
      <c r="Z11" s="7"/>
      <c r="AA11" s="7"/>
      <c r="AB11" s="31" t="s">
        <v>19</v>
      </c>
      <c r="AC11" s="19"/>
      <c r="AD11" s="31" t="s">
        <v>20</v>
      </c>
      <c r="AE11" s="18"/>
      <c r="AF11" s="18"/>
      <c r="AG11" s="18"/>
      <c r="AH11" s="19"/>
      <c r="AI11" s="7"/>
      <c r="AJ11" s="32" t="s">
        <v>21</v>
      </c>
      <c r="AK11" s="18"/>
      <c r="AL11" s="19"/>
      <c r="AM11" s="32" t="s">
        <v>22</v>
      </c>
      <c r="AN11" s="18"/>
      <c r="AO11" s="18"/>
      <c r="AP11" s="18"/>
      <c r="AQ11" s="18"/>
      <c r="AR11" s="18"/>
      <c r="AS11" s="18"/>
      <c r="AT11" s="19"/>
      <c r="AU11" s="7"/>
      <c r="AV11" s="7"/>
      <c r="AW11" s="7"/>
      <c r="AX11" s="8"/>
      <c r="AY11" s="23"/>
    </row>
    <row r="12" ht="12.75" customHeight="1">
      <c r="A12" s="20"/>
      <c r="B12" s="7"/>
      <c r="C12" s="34" t="s">
        <v>23</v>
      </c>
      <c r="D12" s="18"/>
      <c r="E12" s="19"/>
      <c r="F12" s="34" t="s">
        <v>24</v>
      </c>
      <c r="G12" s="18"/>
      <c r="H12" s="18"/>
      <c r="I12" s="18"/>
      <c r="J12" s="19"/>
      <c r="K12" s="34" t="s">
        <v>25</v>
      </c>
      <c r="L12" s="18"/>
      <c r="M12" s="18"/>
      <c r="N12" s="18"/>
      <c r="O12" s="19"/>
      <c r="P12" s="34" t="s">
        <v>26</v>
      </c>
      <c r="Q12" s="18"/>
      <c r="R12" s="18"/>
      <c r="S12" s="18"/>
      <c r="T12" s="18"/>
      <c r="U12" s="18"/>
      <c r="V12" s="18"/>
      <c r="W12" s="18"/>
      <c r="X12" s="18"/>
      <c r="Y12" s="19"/>
      <c r="Z12" s="7"/>
      <c r="AA12" s="7"/>
      <c r="AB12" s="31" t="s">
        <v>27</v>
      </c>
      <c r="AC12" s="19"/>
      <c r="AD12" s="31" t="s">
        <v>28</v>
      </c>
      <c r="AE12" s="18"/>
      <c r="AF12" s="18"/>
      <c r="AG12" s="18"/>
      <c r="AH12" s="19"/>
      <c r="AI12" s="7"/>
      <c r="AJ12" s="32" t="s">
        <v>29</v>
      </c>
      <c r="AK12" s="18"/>
      <c r="AL12" s="19"/>
      <c r="AM12" s="32" t="s">
        <v>30</v>
      </c>
      <c r="AN12" s="18"/>
      <c r="AO12" s="18"/>
      <c r="AP12" s="18"/>
      <c r="AQ12" s="18"/>
      <c r="AR12" s="18"/>
      <c r="AS12" s="18"/>
      <c r="AT12" s="19"/>
      <c r="AU12" s="7"/>
      <c r="AV12" s="7"/>
      <c r="AW12" s="7"/>
      <c r="AX12" s="8"/>
      <c r="AY12" s="23"/>
    </row>
    <row r="13" ht="12.75" customHeight="1">
      <c r="A13" s="20"/>
      <c r="B13" s="7"/>
      <c r="C13" s="35">
        <v>1.0</v>
      </c>
      <c r="D13" s="18"/>
      <c r="E13" s="19"/>
      <c r="F13" s="36">
        <v>130.0</v>
      </c>
      <c r="G13" s="18"/>
      <c r="H13" s="18"/>
      <c r="I13" s="18"/>
      <c r="J13" s="19"/>
      <c r="K13" s="37">
        <v>3.0</v>
      </c>
      <c r="L13" s="37"/>
      <c r="M13" s="37"/>
      <c r="N13" s="37"/>
      <c r="O13" s="37"/>
      <c r="P13" s="38">
        <f>IF(AND(X9&lt;&gt;"",F13&lt;&gt;"",K13&lt;&gt;""),IFERROR(K13/(100-((F13/X9)*100)),""),"")</f>
        <v>0.42</v>
      </c>
      <c r="Q13" s="18"/>
      <c r="R13" s="18"/>
      <c r="S13" s="18"/>
      <c r="T13" s="18"/>
      <c r="U13" s="18"/>
      <c r="V13" s="18"/>
      <c r="W13" s="18"/>
      <c r="X13" s="18"/>
      <c r="Y13" s="19"/>
      <c r="Z13" s="7"/>
      <c r="AA13" s="7"/>
      <c r="AB13" s="7"/>
      <c r="AC13" s="39"/>
      <c r="AD13" s="16"/>
      <c r="AE13" s="39"/>
      <c r="AF13" s="15"/>
      <c r="AG13" s="1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8"/>
      <c r="AY13" s="23"/>
    </row>
    <row r="14" ht="12.75" customHeight="1">
      <c r="A14" s="20"/>
      <c r="B14" s="7"/>
      <c r="C14" s="35">
        <v>2.0</v>
      </c>
      <c r="D14" s="18"/>
      <c r="E14" s="19"/>
      <c r="F14" s="36">
        <v>130.0</v>
      </c>
      <c r="G14" s="18"/>
      <c r="H14" s="18"/>
      <c r="I14" s="18"/>
      <c r="J14" s="19"/>
      <c r="K14" s="37">
        <v>3.0</v>
      </c>
      <c r="L14" s="37"/>
      <c r="M14" s="37"/>
      <c r="N14" s="37"/>
      <c r="O14" s="37"/>
      <c r="P14" s="38">
        <f>IF(AND(X9&lt;&gt;"",F14&lt;&gt;"",K14&lt;&gt;""),IFERROR(K14/(100-((F14/X9)*100)),""),"")</f>
        <v>0.42</v>
      </c>
      <c r="Q14" s="18"/>
      <c r="R14" s="18"/>
      <c r="S14" s="18"/>
      <c r="T14" s="18"/>
      <c r="U14" s="18"/>
      <c r="V14" s="18"/>
      <c r="W14" s="18"/>
      <c r="X14" s="18"/>
      <c r="Y14" s="19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  <c r="AY14" s="23"/>
    </row>
    <row r="15" ht="12.75" customHeight="1">
      <c r="A15" s="20"/>
      <c r="B15" s="7"/>
      <c r="C15" s="35">
        <v>3.0</v>
      </c>
      <c r="D15" s="18"/>
      <c r="E15" s="19"/>
      <c r="F15" s="36">
        <v>130.0</v>
      </c>
      <c r="G15" s="18"/>
      <c r="H15" s="18"/>
      <c r="I15" s="18"/>
      <c r="J15" s="19"/>
      <c r="K15" s="37">
        <v>3.0</v>
      </c>
      <c r="L15" s="37"/>
      <c r="M15" s="37"/>
      <c r="N15" s="37"/>
      <c r="O15" s="37"/>
      <c r="P15" s="38">
        <f>IF(AND(X9&lt;&gt;"",F15&lt;&gt;"",K15&lt;&gt;""),IFERROR(K15/(100-((F15/X9)*100)),""),"")</f>
        <v>0.42</v>
      </c>
      <c r="Q15" s="18"/>
      <c r="R15" s="18"/>
      <c r="S15" s="18"/>
      <c r="T15" s="18"/>
      <c r="U15" s="18"/>
      <c r="V15" s="18"/>
      <c r="W15" s="18"/>
      <c r="X15" s="18"/>
      <c r="Y15" s="19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  <c r="AY15" s="23"/>
    </row>
    <row r="16" ht="12.75" customHeight="1">
      <c r="A16" s="20"/>
      <c r="B16" s="7"/>
      <c r="C16" s="35">
        <v>4.0</v>
      </c>
      <c r="D16" s="18"/>
      <c r="E16" s="19"/>
      <c r="F16" s="36">
        <v>130.0</v>
      </c>
      <c r="G16" s="18"/>
      <c r="H16" s="18"/>
      <c r="I16" s="18"/>
      <c r="J16" s="19"/>
      <c r="K16" s="37">
        <v>3.0</v>
      </c>
      <c r="L16" s="37"/>
      <c r="M16" s="37"/>
      <c r="N16" s="37"/>
      <c r="O16" s="37"/>
      <c r="P16" s="38">
        <f>IF(AND(X9&lt;&gt;"",F16&lt;&gt;"",K16&lt;&gt;""),IFERROR(K16/(100-((F16/X9)*100)),""),"")</f>
        <v>0.42</v>
      </c>
      <c r="Q16" s="18"/>
      <c r="R16" s="18"/>
      <c r="S16" s="18"/>
      <c r="T16" s="18"/>
      <c r="U16" s="18"/>
      <c r="V16" s="18"/>
      <c r="W16" s="18"/>
      <c r="X16" s="18"/>
      <c r="Y16" s="19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  <c r="AY16" s="23"/>
    </row>
    <row r="17" ht="12.75" customHeight="1">
      <c r="A17" s="20"/>
      <c r="B17" s="7"/>
      <c r="C17" s="35">
        <v>5.0</v>
      </c>
      <c r="D17" s="18"/>
      <c r="E17" s="19"/>
      <c r="F17" s="36"/>
      <c r="G17" s="18"/>
      <c r="H17" s="18"/>
      <c r="I17" s="18"/>
      <c r="J17" s="19"/>
      <c r="K17" s="37"/>
      <c r="L17" s="37"/>
      <c r="M17" s="37"/>
      <c r="N17" s="37"/>
      <c r="O17" s="37"/>
      <c r="P17" s="38" t="str">
        <f>IF(AND(X9&lt;&gt;"",F17&lt;&gt;"",K17&lt;&gt;""),IFERROR(K17/(100-((F17/X9)*100)),""),"")</f>
        <v/>
      </c>
      <c r="Q17" s="18"/>
      <c r="R17" s="18"/>
      <c r="S17" s="18"/>
      <c r="T17" s="18"/>
      <c r="U17" s="18"/>
      <c r="V17" s="18"/>
      <c r="W17" s="18"/>
      <c r="X17" s="18"/>
      <c r="Y17" s="19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  <c r="AY17" s="23"/>
    </row>
    <row r="18" ht="12.75" customHeight="1">
      <c r="A18" s="20"/>
      <c r="B18" s="7"/>
      <c r="C18" s="35">
        <v>6.0</v>
      </c>
      <c r="D18" s="18"/>
      <c r="E18" s="19"/>
      <c r="F18" s="36"/>
      <c r="G18" s="18"/>
      <c r="H18" s="18"/>
      <c r="I18" s="18"/>
      <c r="J18" s="19"/>
      <c r="K18" s="37"/>
      <c r="L18" s="37"/>
      <c r="M18" s="37"/>
      <c r="N18" s="37"/>
      <c r="O18" s="37"/>
      <c r="P18" s="38" t="str">
        <f>IF(AND(X9&lt;&gt;"",F18&lt;&gt;"",K18&lt;&gt;""),IFERROR(K18/(100-((F18/X9)*100)),""),"")</f>
        <v/>
      </c>
      <c r="Q18" s="18"/>
      <c r="R18" s="18"/>
      <c r="S18" s="18"/>
      <c r="T18" s="18"/>
      <c r="U18" s="18"/>
      <c r="V18" s="18"/>
      <c r="W18" s="18"/>
      <c r="X18" s="18"/>
      <c r="Y18" s="19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  <c r="AY18" s="23"/>
    </row>
    <row r="19" ht="12.75" customHeight="1">
      <c r="A19" s="20"/>
      <c r="B19" s="7"/>
      <c r="C19" s="35">
        <v>7.0</v>
      </c>
      <c r="D19" s="18"/>
      <c r="E19" s="19"/>
      <c r="F19" s="36"/>
      <c r="G19" s="18"/>
      <c r="H19" s="18"/>
      <c r="I19" s="18"/>
      <c r="J19" s="19"/>
      <c r="K19" s="37"/>
      <c r="L19" s="37"/>
      <c r="M19" s="37"/>
      <c r="N19" s="37"/>
      <c r="O19" s="37"/>
      <c r="P19" s="38" t="str">
        <f>IF(AND(X9&lt;&gt;"",F19&lt;&gt;"",K19&lt;&gt;""),IFERROR(K19/(100-((F19/X9)*100)),""),"")</f>
        <v/>
      </c>
      <c r="Q19" s="18"/>
      <c r="R19" s="18"/>
      <c r="S19" s="18"/>
      <c r="T19" s="18"/>
      <c r="U19" s="18"/>
      <c r="V19" s="18"/>
      <c r="W19" s="18"/>
      <c r="X19" s="18"/>
      <c r="Y19" s="19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  <c r="AY19" s="23"/>
    </row>
    <row r="20" ht="12.75" customHeight="1">
      <c r="A20" s="20"/>
      <c r="B20" s="7"/>
      <c r="C20" s="35">
        <v>8.0</v>
      </c>
      <c r="D20" s="18"/>
      <c r="E20" s="19"/>
      <c r="F20" s="36"/>
      <c r="G20" s="18"/>
      <c r="H20" s="18"/>
      <c r="I20" s="18"/>
      <c r="J20" s="19"/>
      <c r="K20" s="37"/>
      <c r="L20" s="37"/>
      <c r="M20" s="37"/>
      <c r="N20" s="37"/>
      <c r="O20" s="37"/>
      <c r="P20" s="38" t="str">
        <f>IF(AND(X9&lt;&gt;"",F20&lt;&gt;"",K20&lt;&gt;""),IFERROR(K20/(100-((F20/X9)*100)),""),"")</f>
        <v/>
      </c>
      <c r="Q20" s="18"/>
      <c r="R20" s="18"/>
      <c r="S20" s="18"/>
      <c r="T20" s="18"/>
      <c r="U20" s="18"/>
      <c r="V20" s="18"/>
      <c r="W20" s="18"/>
      <c r="X20" s="18"/>
      <c r="Y20" s="19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  <c r="AY20" s="23"/>
    </row>
    <row r="21" ht="12.75" customHeight="1">
      <c r="A21" s="20"/>
      <c r="B21" s="7"/>
      <c r="C21" s="35">
        <v>9.0</v>
      </c>
      <c r="D21" s="18"/>
      <c r="E21" s="19"/>
      <c r="F21" s="36"/>
      <c r="G21" s="18"/>
      <c r="H21" s="18"/>
      <c r="I21" s="18"/>
      <c r="J21" s="19"/>
      <c r="K21" s="37"/>
      <c r="L21" s="37"/>
      <c r="M21" s="37"/>
      <c r="N21" s="37"/>
      <c r="O21" s="37"/>
      <c r="P21" s="38" t="str">
        <f>IF(AND(X9&lt;&gt;"",F21&lt;&gt;"",K21&lt;&gt;""),IFERROR(K21/(100-((F21/X9)*100)),""),"")</f>
        <v/>
      </c>
      <c r="Q21" s="18"/>
      <c r="R21" s="18"/>
      <c r="S21" s="18"/>
      <c r="T21" s="18"/>
      <c r="U21" s="18"/>
      <c r="V21" s="18"/>
      <c r="W21" s="18"/>
      <c r="X21" s="18"/>
      <c r="Y21" s="19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  <c r="AY21" s="23"/>
    </row>
    <row r="22" ht="12.75" customHeight="1">
      <c r="A22" s="20"/>
      <c r="B22" s="7"/>
      <c r="C22" s="35">
        <v>10.0</v>
      </c>
      <c r="D22" s="18"/>
      <c r="E22" s="19"/>
      <c r="F22" s="36"/>
      <c r="G22" s="18"/>
      <c r="H22" s="18"/>
      <c r="I22" s="18"/>
      <c r="J22" s="19"/>
      <c r="K22" s="37"/>
      <c r="L22" s="37"/>
      <c r="M22" s="37"/>
      <c r="N22" s="37"/>
      <c r="O22" s="37"/>
      <c r="P22" s="38" t="str">
        <f>IF(AND(X9&lt;&gt;"",F22&lt;&gt;"",K22&lt;&gt;""),IFERROR(K22/(100-((F22/X9)*100)),""),"")</f>
        <v/>
      </c>
      <c r="Q22" s="18"/>
      <c r="R22" s="18"/>
      <c r="S22" s="18"/>
      <c r="T22" s="18"/>
      <c r="U22" s="18"/>
      <c r="V22" s="18"/>
      <c r="W22" s="18"/>
      <c r="X22" s="18"/>
      <c r="Y22" s="19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  <c r="AY22" s="23"/>
    </row>
    <row r="23" ht="12.75" customHeight="1">
      <c r="A23" s="20"/>
      <c r="B23" s="7"/>
      <c r="C23" s="35" t="s">
        <v>31</v>
      </c>
      <c r="D23" s="18"/>
      <c r="E23" s="19"/>
      <c r="F23" s="38">
        <f>IFERROR(AVERAGE(F13:J22),"")</f>
        <v>130</v>
      </c>
      <c r="G23" s="18"/>
      <c r="H23" s="18"/>
      <c r="I23" s="18"/>
      <c r="J23" s="19"/>
      <c r="K23" s="32">
        <f>IFERROR(AVERAGE(K13:O22),"")</f>
        <v>3</v>
      </c>
      <c r="L23" s="18"/>
      <c r="M23" s="18"/>
      <c r="N23" s="18"/>
      <c r="O23" s="19"/>
      <c r="P23" s="38">
        <f>IFERROR(AVERAGE(P13:Y22),"")</f>
        <v>0.42</v>
      </c>
      <c r="Q23" s="18"/>
      <c r="R23" s="18"/>
      <c r="S23" s="18"/>
      <c r="T23" s="18"/>
      <c r="U23" s="18"/>
      <c r="V23" s="18"/>
      <c r="W23" s="18"/>
      <c r="X23" s="18"/>
      <c r="Y23" s="19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  <c r="AY23" s="23"/>
    </row>
    <row r="24" ht="12.75" customHeight="1">
      <c r="A24" s="20"/>
      <c r="B24" s="7"/>
      <c r="C24" s="35" t="s">
        <v>32</v>
      </c>
      <c r="D24" s="18"/>
      <c r="E24" s="19"/>
      <c r="F24" s="38">
        <f>IFERROR(SUM(F13:J22),"")</f>
        <v>520</v>
      </c>
      <c r="G24" s="18"/>
      <c r="H24" s="18"/>
      <c r="I24" s="18"/>
      <c r="J24" s="19"/>
      <c r="K24" s="32">
        <f>IFERROR(SUM(K13:O22),"")</f>
        <v>12</v>
      </c>
      <c r="L24" s="18"/>
      <c r="M24" s="18"/>
      <c r="N24" s="18"/>
      <c r="O24" s="19"/>
      <c r="P24" s="38">
        <f>IFERROR(SUM(P13:Y22),"")</f>
        <v>1.68</v>
      </c>
      <c r="Q24" s="18"/>
      <c r="R24" s="18"/>
      <c r="S24" s="18"/>
      <c r="T24" s="18"/>
      <c r="U24" s="18"/>
      <c r="V24" s="18"/>
      <c r="W24" s="18"/>
      <c r="X24" s="18"/>
      <c r="Y24" s="19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  <c r="AY24" s="23"/>
    </row>
    <row r="25" ht="12.75" customHeight="1">
      <c r="A25" s="2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  <c r="AY25" s="23"/>
    </row>
    <row r="26" ht="12.75" customHeight="1">
      <c r="A26" s="2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  <c r="AY26" s="23"/>
    </row>
    <row r="27" ht="12.75" customHeight="1">
      <c r="A27" s="2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  <c r="AY27" s="23"/>
    </row>
    <row r="28" ht="13.5" customHeight="1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2"/>
      <c r="AY28" s="43"/>
    </row>
    <row r="29" ht="12.0" customHeight="1">
      <c r="A29" s="44" t="s">
        <v>33</v>
      </c>
      <c r="B29" s="45">
        <v>50.0</v>
      </c>
      <c r="C29" s="45">
        <f t="shared" ref="C29:AY29" si="1">B29+1</f>
        <v>51</v>
      </c>
      <c r="D29" s="45">
        <f t="shared" si="1"/>
        <v>52</v>
      </c>
      <c r="E29" s="45">
        <f t="shared" si="1"/>
        <v>53</v>
      </c>
      <c r="F29" s="45">
        <f t="shared" si="1"/>
        <v>54</v>
      </c>
      <c r="G29" s="45">
        <f t="shared" si="1"/>
        <v>55</v>
      </c>
      <c r="H29" s="45">
        <f t="shared" si="1"/>
        <v>56</v>
      </c>
      <c r="I29" s="45">
        <f t="shared" si="1"/>
        <v>57</v>
      </c>
      <c r="J29" s="45">
        <f t="shared" si="1"/>
        <v>58</v>
      </c>
      <c r="K29" s="45">
        <f t="shared" si="1"/>
        <v>59</v>
      </c>
      <c r="L29" s="45">
        <f t="shared" si="1"/>
        <v>60</v>
      </c>
      <c r="M29" s="45">
        <f t="shared" si="1"/>
        <v>61</v>
      </c>
      <c r="N29" s="45">
        <f t="shared" si="1"/>
        <v>62</v>
      </c>
      <c r="O29" s="45">
        <f t="shared" si="1"/>
        <v>63</v>
      </c>
      <c r="P29" s="45">
        <f t="shared" si="1"/>
        <v>64</v>
      </c>
      <c r="Q29" s="45">
        <f t="shared" si="1"/>
        <v>65</v>
      </c>
      <c r="R29" s="45">
        <f t="shared" si="1"/>
        <v>66</v>
      </c>
      <c r="S29" s="45">
        <f t="shared" si="1"/>
        <v>67</v>
      </c>
      <c r="T29" s="45">
        <f t="shared" si="1"/>
        <v>68</v>
      </c>
      <c r="U29" s="45">
        <f t="shared" si="1"/>
        <v>69</v>
      </c>
      <c r="V29" s="45">
        <f t="shared" si="1"/>
        <v>70</v>
      </c>
      <c r="W29" s="45">
        <f t="shared" si="1"/>
        <v>71</v>
      </c>
      <c r="X29" s="45">
        <f t="shared" si="1"/>
        <v>72</v>
      </c>
      <c r="Y29" s="45">
        <f t="shared" si="1"/>
        <v>73</v>
      </c>
      <c r="Z29" s="45">
        <f t="shared" si="1"/>
        <v>74</v>
      </c>
      <c r="AA29" s="45">
        <f t="shared" si="1"/>
        <v>75</v>
      </c>
      <c r="AB29" s="45">
        <f t="shared" si="1"/>
        <v>76</v>
      </c>
      <c r="AC29" s="45">
        <f t="shared" si="1"/>
        <v>77</v>
      </c>
      <c r="AD29" s="45">
        <f t="shared" si="1"/>
        <v>78</v>
      </c>
      <c r="AE29" s="45">
        <f t="shared" si="1"/>
        <v>79</v>
      </c>
      <c r="AF29" s="45">
        <f t="shared" si="1"/>
        <v>80</v>
      </c>
      <c r="AG29" s="45">
        <f t="shared" si="1"/>
        <v>81</v>
      </c>
      <c r="AH29" s="45">
        <f t="shared" si="1"/>
        <v>82</v>
      </c>
      <c r="AI29" s="45">
        <f t="shared" si="1"/>
        <v>83</v>
      </c>
      <c r="AJ29" s="45">
        <f t="shared" si="1"/>
        <v>84</v>
      </c>
      <c r="AK29" s="45">
        <f t="shared" si="1"/>
        <v>85</v>
      </c>
      <c r="AL29" s="45">
        <f t="shared" si="1"/>
        <v>86</v>
      </c>
      <c r="AM29" s="45">
        <f t="shared" si="1"/>
        <v>87</v>
      </c>
      <c r="AN29" s="45">
        <f t="shared" si="1"/>
        <v>88</v>
      </c>
      <c r="AO29" s="45">
        <f t="shared" si="1"/>
        <v>89</v>
      </c>
      <c r="AP29" s="45">
        <f t="shared" si="1"/>
        <v>90</v>
      </c>
      <c r="AQ29" s="45">
        <f t="shared" si="1"/>
        <v>91</v>
      </c>
      <c r="AR29" s="45">
        <f t="shared" si="1"/>
        <v>92</v>
      </c>
      <c r="AS29" s="46">
        <f t="shared" si="1"/>
        <v>93</v>
      </c>
      <c r="AT29" s="46">
        <f t="shared" si="1"/>
        <v>94</v>
      </c>
      <c r="AU29" s="46">
        <f t="shared" si="1"/>
        <v>95</v>
      </c>
      <c r="AV29" s="46">
        <f t="shared" si="1"/>
        <v>96</v>
      </c>
      <c r="AW29" s="46">
        <f t="shared" si="1"/>
        <v>97</v>
      </c>
      <c r="AX29" s="46">
        <f t="shared" si="1"/>
        <v>98</v>
      </c>
      <c r="AY29" s="47">
        <f t="shared" si="1"/>
        <v>99</v>
      </c>
    </row>
    <row r="30" ht="12.0" customHeight="1">
      <c r="A30" s="48">
        <v>1.0</v>
      </c>
      <c r="B30" s="49">
        <f t="shared" ref="B30:B79" si="3">A30/(100-$B$29)</f>
        <v>0.02</v>
      </c>
      <c r="C30" s="50">
        <f t="shared" ref="C30:AY30" si="2">$A$30/(100-C29)</f>
        <v>0.02040816327</v>
      </c>
      <c r="D30" s="50">
        <f t="shared" si="2"/>
        <v>0.02083333333</v>
      </c>
      <c r="E30" s="50">
        <f t="shared" si="2"/>
        <v>0.02127659574</v>
      </c>
      <c r="F30" s="50">
        <f t="shared" si="2"/>
        <v>0.02173913043</v>
      </c>
      <c r="G30" s="50">
        <f t="shared" si="2"/>
        <v>0.02222222222</v>
      </c>
      <c r="H30" s="50">
        <f t="shared" si="2"/>
        <v>0.02272727273</v>
      </c>
      <c r="I30" s="50">
        <f t="shared" si="2"/>
        <v>0.02325581395</v>
      </c>
      <c r="J30" s="50">
        <f t="shared" si="2"/>
        <v>0.02380952381</v>
      </c>
      <c r="K30" s="50">
        <f t="shared" si="2"/>
        <v>0.0243902439</v>
      </c>
      <c r="L30" s="50">
        <f t="shared" si="2"/>
        <v>0.025</v>
      </c>
      <c r="M30" s="50">
        <f t="shared" si="2"/>
        <v>0.02564102564</v>
      </c>
      <c r="N30" s="50">
        <f t="shared" si="2"/>
        <v>0.02631578947</v>
      </c>
      <c r="O30" s="50">
        <f t="shared" si="2"/>
        <v>0.02702702703</v>
      </c>
      <c r="P30" s="50">
        <f t="shared" si="2"/>
        <v>0.02777777778</v>
      </c>
      <c r="Q30" s="50">
        <f t="shared" si="2"/>
        <v>0.02857142857</v>
      </c>
      <c r="R30" s="50">
        <f t="shared" si="2"/>
        <v>0.02941176471</v>
      </c>
      <c r="S30" s="50">
        <f t="shared" si="2"/>
        <v>0.0303030303</v>
      </c>
      <c r="T30" s="50">
        <f t="shared" si="2"/>
        <v>0.03125</v>
      </c>
      <c r="U30" s="50">
        <f t="shared" si="2"/>
        <v>0.03225806452</v>
      </c>
      <c r="V30" s="50">
        <f t="shared" si="2"/>
        <v>0.03333333333</v>
      </c>
      <c r="W30" s="50">
        <f t="shared" si="2"/>
        <v>0.03448275862</v>
      </c>
      <c r="X30" s="50">
        <f t="shared" si="2"/>
        <v>0.03571428571</v>
      </c>
      <c r="Y30" s="50">
        <f t="shared" si="2"/>
        <v>0.03703703704</v>
      </c>
      <c r="Z30" s="50">
        <f t="shared" si="2"/>
        <v>0.03846153846</v>
      </c>
      <c r="AA30" s="50">
        <f t="shared" si="2"/>
        <v>0.04</v>
      </c>
      <c r="AB30" s="50">
        <f t="shared" si="2"/>
        <v>0.04166666667</v>
      </c>
      <c r="AC30" s="50">
        <f t="shared" si="2"/>
        <v>0.04347826087</v>
      </c>
      <c r="AD30" s="50">
        <f t="shared" si="2"/>
        <v>0.04545454545</v>
      </c>
      <c r="AE30" s="50">
        <f t="shared" si="2"/>
        <v>0.04761904762</v>
      </c>
      <c r="AF30" s="50">
        <f t="shared" si="2"/>
        <v>0.05</v>
      </c>
      <c r="AG30" s="50">
        <f t="shared" si="2"/>
        <v>0.05263157895</v>
      </c>
      <c r="AH30" s="50">
        <f t="shared" si="2"/>
        <v>0.05555555556</v>
      </c>
      <c r="AI30" s="50">
        <f t="shared" si="2"/>
        <v>0.05882352941</v>
      </c>
      <c r="AJ30" s="50">
        <f t="shared" si="2"/>
        <v>0.0625</v>
      </c>
      <c r="AK30" s="50">
        <f t="shared" si="2"/>
        <v>0.06666666667</v>
      </c>
      <c r="AL30" s="50">
        <f t="shared" si="2"/>
        <v>0.07142857143</v>
      </c>
      <c r="AM30" s="50">
        <f t="shared" si="2"/>
        <v>0.07692307692</v>
      </c>
      <c r="AN30" s="50">
        <f t="shared" si="2"/>
        <v>0.08333333333</v>
      </c>
      <c r="AO30" s="50">
        <f t="shared" si="2"/>
        <v>0.09090909091</v>
      </c>
      <c r="AP30" s="50">
        <f t="shared" si="2"/>
        <v>0.1</v>
      </c>
      <c r="AQ30" s="50">
        <f t="shared" si="2"/>
        <v>0.1111111111</v>
      </c>
      <c r="AR30" s="50">
        <f t="shared" si="2"/>
        <v>0.125</v>
      </c>
      <c r="AS30" s="51">
        <f t="shared" si="2"/>
        <v>0.1428571429</v>
      </c>
      <c r="AT30" s="51">
        <f t="shared" si="2"/>
        <v>0.1666666667</v>
      </c>
      <c r="AU30" s="51">
        <f t="shared" si="2"/>
        <v>0.2</v>
      </c>
      <c r="AV30" s="51">
        <f t="shared" si="2"/>
        <v>0.25</v>
      </c>
      <c r="AW30" s="51">
        <f t="shared" si="2"/>
        <v>0.3333333333</v>
      </c>
      <c r="AX30" s="52">
        <f t="shared" si="2"/>
        <v>0.5</v>
      </c>
      <c r="AY30" s="53">
        <f t="shared" si="2"/>
        <v>1</v>
      </c>
    </row>
    <row r="31" ht="12.0" customHeight="1">
      <c r="A31" s="48">
        <f t="shared" ref="A31:A79" si="5">A30+1</f>
        <v>2</v>
      </c>
      <c r="B31" s="52">
        <f t="shared" si="3"/>
        <v>0.04</v>
      </c>
      <c r="C31" s="51">
        <f t="shared" ref="C31:AY31" si="4">$A$31/(100-C29)</f>
        <v>0.04081632653</v>
      </c>
      <c r="D31" s="51">
        <f t="shared" si="4"/>
        <v>0.04166666667</v>
      </c>
      <c r="E31" s="51">
        <f t="shared" si="4"/>
        <v>0.04255319149</v>
      </c>
      <c r="F31" s="51">
        <f t="shared" si="4"/>
        <v>0.04347826087</v>
      </c>
      <c r="G31" s="51">
        <f t="shared" si="4"/>
        <v>0.04444444444</v>
      </c>
      <c r="H31" s="51">
        <f t="shared" si="4"/>
        <v>0.04545454545</v>
      </c>
      <c r="I31" s="51">
        <f t="shared" si="4"/>
        <v>0.04651162791</v>
      </c>
      <c r="J31" s="51">
        <f t="shared" si="4"/>
        <v>0.04761904762</v>
      </c>
      <c r="K31" s="51">
        <f t="shared" si="4"/>
        <v>0.0487804878</v>
      </c>
      <c r="L31" s="51">
        <f t="shared" si="4"/>
        <v>0.05</v>
      </c>
      <c r="M31" s="51">
        <f t="shared" si="4"/>
        <v>0.05128205128</v>
      </c>
      <c r="N31" s="51">
        <f t="shared" si="4"/>
        <v>0.05263157895</v>
      </c>
      <c r="O31" s="51">
        <f t="shared" si="4"/>
        <v>0.05405405405</v>
      </c>
      <c r="P31" s="51">
        <f t="shared" si="4"/>
        <v>0.05555555556</v>
      </c>
      <c r="Q31" s="51">
        <f t="shared" si="4"/>
        <v>0.05714285714</v>
      </c>
      <c r="R31" s="51">
        <f t="shared" si="4"/>
        <v>0.05882352941</v>
      </c>
      <c r="S31" s="51">
        <f t="shared" si="4"/>
        <v>0.06060606061</v>
      </c>
      <c r="T31" s="51">
        <f t="shared" si="4"/>
        <v>0.0625</v>
      </c>
      <c r="U31" s="51">
        <f t="shared" si="4"/>
        <v>0.06451612903</v>
      </c>
      <c r="V31" s="51">
        <f t="shared" si="4"/>
        <v>0.06666666667</v>
      </c>
      <c r="W31" s="51">
        <f t="shared" si="4"/>
        <v>0.06896551724</v>
      </c>
      <c r="X31" s="51">
        <f t="shared" si="4"/>
        <v>0.07142857143</v>
      </c>
      <c r="Y31" s="51">
        <f t="shared" si="4"/>
        <v>0.07407407407</v>
      </c>
      <c r="Z31" s="51">
        <f t="shared" si="4"/>
        <v>0.07692307692</v>
      </c>
      <c r="AA31" s="51">
        <f t="shared" si="4"/>
        <v>0.08</v>
      </c>
      <c r="AB31" s="51">
        <f t="shared" si="4"/>
        <v>0.08333333333</v>
      </c>
      <c r="AC31" s="51">
        <f t="shared" si="4"/>
        <v>0.08695652174</v>
      </c>
      <c r="AD31" s="51">
        <f t="shared" si="4"/>
        <v>0.09090909091</v>
      </c>
      <c r="AE31" s="51">
        <f t="shared" si="4"/>
        <v>0.09523809524</v>
      </c>
      <c r="AF31" s="51">
        <f t="shared" si="4"/>
        <v>0.1</v>
      </c>
      <c r="AG31" s="51">
        <f t="shared" si="4"/>
        <v>0.1052631579</v>
      </c>
      <c r="AH31" s="51">
        <f t="shared" si="4"/>
        <v>0.1111111111</v>
      </c>
      <c r="AI31" s="51">
        <f t="shared" si="4"/>
        <v>0.1176470588</v>
      </c>
      <c r="AJ31" s="51">
        <f t="shared" si="4"/>
        <v>0.125</v>
      </c>
      <c r="AK31" s="51">
        <f t="shared" si="4"/>
        <v>0.1333333333</v>
      </c>
      <c r="AL31" s="51">
        <f t="shared" si="4"/>
        <v>0.1428571429</v>
      </c>
      <c r="AM31" s="51">
        <f t="shared" si="4"/>
        <v>0.1538461538</v>
      </c>
      <c r="AN31" s="51">
        <f t="shared" si="4"/>
        <v>0.1666666667</v>
      </c>
      <c r="AO31" s="51">
        <f t="shared" si="4"/>
        <v>0.1818181818</v>
      </c>
      <c r="AP31" s="51">
        <f t="shared" si="4"/>
        <v>0.2</v>
      </c>
      <c r="AQ31" s="51">
        <f t="shared" si="4"/>
        <v>0.2222222222</v>
      </c>
      <c r="AR31" s="51">
        <f t="shared" si="4"/>
        <v>0.25</v>
      </c>
      <c r="AS31" s="54">
        <f t="shared" si="4"/>
        <v>0.2857142857</v>
      </c>
      <c r="AT31" s="51">
        <f t="shared" si="4"/>
        <v>0.3333333333</v>
      </c>
      <c r="AU31" s="49">
        <f t="shared" si="4"/>
        <v>0.4</v>
      </c>
      <c r="AV31" s="50">
        <f t="shared" si="4"/>
        <v>0.5</v>
      </c>
      <c r="AW31" s="50">
        <f t="shared" si="4"/>
        <v>0.6666666667</v>
      </c>
      <c r="AX31" s="51">
        <f t="shared" si="4"/>
        <v>1</v>
      </c>
      <c r="AY31" s="55">
        <f t="shared" si="4"/>
        <v>2</v>
      </c>
    </row>
    <row r="32" ht="12.0" customHeight="1">
      <c r="A32" s="48">
        <f t="shared" si="5"/>
        <v>3</v>
      </c>
      <c r="B32" s="52">
        <f t="shared" si="3"/>
        <v>0.06</v>
      </c>
      <c r="C32" s="51">
        <f t="shared" ref="C32:AY32" si="6">$A$32/(100-C29)</f>
        <v>0.0612244898</v>
      </c>
      <c r="D32" s="51">
        <f t="shared" si="6"/>
        <v>0.0625</v>
      </c>
      <c r="E32" s="51">
        <f t="shared" si="6"/>
        <v>0.06382978723</v>
      </c>
      <c r="F32" s="51">
        <f t="shared" si="6"/>
        <v>0.0652173913</v>
      </c>
      <c r="G32" s="51">
        <f t="shared" si="6"/>
        <v>0.06666666667</v>
      </c>
      <c r="H32" s="51">
        <f t="shared" si="6"/>
        <v>0.06818181818</v>
      </c>
      <c r="I32" s="51">
        <f t="shared" si="6"/>
        <v>0.06976744186</v>
      </c>
      <c r="J32" s="51">
        <f t="shared" si="6"/>
        <v>0.07142857143</v>
      </c>
      <c r="K32" s="51">
        <f t="shared" si="6"/>
        <v>0.07317073171</v>
      </c>
      <c r="L32" s="51">
        <f t="shared" si="6"/>
        <v>0.075</v>
      </c>
      <c r="M32" s="51">
        <f t="shared" si="6"/>
        <v>0.07692307692</v>
      </c>
      <c r="N32" s="51">
        <f t="shared" si="6"/>
        <v>0.07894736842</v>
      </c>
      <c r="O32" s="51">
        <f t="shared" si="6"/>
        <v>0.08108108108</v>
      </c>
      <c r="P32" s="51">
        <f t="shared" si="6"/>
        <v>0.08333333333</v>
      </c>
      <c r="Q32" s="51">
        <f t="shared" si="6"/>
        <v>0.08571428571</v>
      </c>
      <c r="R32" s="51">
        <f t="shared" si="6"/>
        <v>0.08823529412</v>
      </c>
      <c r="S32" s="51">
        <f t="shared" si="6"/>
        <v>0.09090909091</v>
      </c>
      <c r="T32" s="51">
        <f t="shared" si="6"/>
        <v>0.09375</v>
      </c>
      <c r="U32" s="51">
        <f t="shared" si="6"/>
        <v>0.09677419355</v>
      </c>
      <c r="V32" s="51">
        <f t="shared" si="6"/>
        <v>0.1</v>
      </c>
      <c r="W32" s="51">
        <f t="shared" si="6"/>
        <v>0.1034482759</v>
      </c>
      <c r="X32" s="51">
        <f t="shared" si="6"/>
        <v>0.1071428571</v>
      </c>
      <c r="Y32" s="51">
        <f t="shared" si="6"/>
        <v>0.1111111111</v>
      </c>
      <c r="Z32" s="51">
        <f t="shared" si="6"/>
        <v>0.1153846154</v>
      </c>
      <c r="AA32" s="51">
        <f t="shared" si="6"/>
        <v>0.12</v>
      </c>
      <c r="AB32" s="51">
        <f t="shared" si="6"/>
        <v>0.125</v>
      </c>
      <c r="AC32" s="51">
        <f t="shared" si="6"/>
        <v>0.1304347826</v>
      </c>
      <c r="AD32" s="51">
        <f t="shared" si="6"/>
        <v>0.1363636364</v>
      </c>
      <c r="AE32" s="51">
        <f t="shared" si="6"/>
        <v>0.1428571429</v>
      </c>
      <c r="AF32" s="51">
        <f t="shared" si="6"/>
        <v>0.15</v>
      </c>
      <c r="AG32" s="51">
        <f t="shared" si="6"/>
        <v>0.1578947368</v>
      </c>
      <c r="AH32" s="51">
        <f t="shared" si="6"/>
        <v>0.1666666667</v>
      </c>
      <c r="AI32" s="51">
        <f t="shared" si="6"/>
        <v>0.1764705882</v>
      </c>
      <c r="AJ32" s="51">
        <f t="shared" si="6"/>
        <v>0.1875</v>
      </c>
      <c r="AK32" s="51">
        <f t="shared" si="6"/>
        <v>0.2</v>
      </c>
      <c r="AL32" s="51">
        <f t="shared" si="6"/>
        <v>0.2142857143</v>
      </c>
      <c r="AM32" s="51">
        <f t="shared" si="6"/>
        <v>0.2307692308</v>
      </c>
      <c r="AN32" s="51">
        <f t="shared" si="6"/>
        <v>0.25</v>
      </c>
      <c r="AO32" s="51">
        <f t="shared" si="6"/>
        <v>0.2727272727</v>
      </c>
      <c r="AP32" s="51">
        <f t="shared" si="6"/>
        <v>0.3</v>
      </c>
      <c r="AQ32" s="51">
        <f t="shared" si="6"/>
        <v>0.3333333333</v>
      </c>
      <c r="AR32" s="56">
        <f t="shared" si="6"/>
        <v>0.375</v>
      </c>
      <c r="AS32" s="50">
        <f t="shared" si="6"/>
        <v>0.4285714286</v>
      </c>
      <c r="AT32" s="50">
        <f t="shared" si="6"/>
        <v>0.5</v>
      </c>
      <c r="AU32" s="51">
        <f t="shared" si="6"/>
        <v>0.6</v>
      </c>
      <c r="AV32" s="51">
        <f t="shared" si="6"/>
        <v>0.75</v>
      </c>
      <c r="AW32" s="51">
        <f t="shared" si="6"/>
        <v>1</v>
      </c>
      <c r="AX32" s="51">
        <f t="shared" si="6"/>
        <v>1.5</v>
      </c>
      <c r="AY32" s="57">
        <f t="shared" si="6"/>
        <v>3</v>
      </c>
    </row>
    <row r="33" ht="12.0" customHeight="1">
      <c r="A33" s="48">
        <f t="shared" si="5"/>
        <v>4</v>
      </c>
      <c r="B33" s="52">
        <f t="shared" si="3"/>
        <v>0.08</v>
      </c>
      <c r="C33" s="51">
        <f t="shared" ref="C33:AY33" si="7">$A$33/(100-C29)</f>
        <v>0.08163265306</v>
      </c>
      <c r="D33" s="51">
        <f t="shared" si="7"/>
        <v>0.08333333333</v>
      </c>
      <c r="E33" s="51">
        <f t="shared" si="7"/>
        <v>0.08510638298</v>
      </c>
      <c r="F33" s="51">
        <f t="shared" si="7"/>
        <v>0.08695652174</v>
      </c>
      <c r="G33" s="51">
        <f t="shared" si="7"/>
        <v>0.08888888889</v>
      </c>
      <c r="H33" s="51">
        <f t="shared" si="7"/>
        <v>0.09090909091</v>
      </c>
      <c r="I33" s="51">
        <f t="shared" si="7"/>
        <v>0.09302325581</v>
      </c>
      <c r="J33" s="51">
        <f t="shared" si="7"/>
        <v>0.09523809524</v>
      </c>
      <c r="K33" s="51">
        <f t="shared" si="7"/>
        <v>0.09756097561</v>
      </c>
      <c r="L33" s="51">
        <f t="shared" si="7"/>
        <v>0.1</v>
      </c>
      <c r="M33" s="51">
        <f t="shared" si="7"/>
        <v>0.1025641026</v>
      </c>
      <c r="N33" s="51">
        <f t="shared" si="7"/>
        <v>0.1052631579</v>
      </c>
      <c r="O33" s="51">
        <f t="shared" si="7"/>
        <v>0.1081081081</v>
      </c>
      <c r="P33" s="51">
        <f t="shared" si="7"/>
        <v>0.1111111111</v>
      </c>
      <c r="Q33" s="51">
        <f t="shared" si="7"/>
        <v>0.1142857143</v>
      </c>
      <c r="R33" s="51">
        <f t="shared" si="7"/>
        <v>0.1176470588</v>
      </c>
      <c r="S33" s="51">
        <f t="shared" si="7"/>
        <v>0.1212121212</v>
      </c>
      <c r="T33" s="51">
        <f t="shared" si="7"/>
        <v>0.125</v>
      </c>
      <c r="U33" s="51">
        <f t="shared" si="7"/>
        <v>0.1290322581</v>
      </c>
      <c r="V33" s="51">
        <f t="shared" si="7"/>
        <v>0.1333333333</v>
      </c>
      <c r="W33" s="51">
        <f t="shared" si="7"/>
        <v>0.1379310345</v>
      </c>
      <c r="X33" s="51">
        <f t="shared" si="7"/>
        <v>0.1428571429</v>
      </c>
      <c r="Y33" s="51">
        <f t="shared" si="7"/>
        <v>0.1481481481</v>
      </c>
      <c r="Z33" s="51">
        <f t="shared" si="7"/>
        <v>0.1538461538</v>
      </c>
      <c r="AA33" s="51">
        <f t="shared" si="7"/>
        <v>0.16</v>
      </c>
      <c r="AB33" s="51">
        <f t="shared" si="7"/>
        <v>0.1666666667</v>
      </c>
      <c r="AC33" s="51">
        <f t="shared" si="7"/>
        <v>0.1739130435</v>
      </c>
      <c r="AD33" s="51">
        <f t="shared" si="7"/>
        <v>0.1818181818</v>
      </c>
      <c r="AE33" s="51">
        <f t="shared" si="7"/>
        <v>0.1904761905</v>
      </c>
      <c r="AF33" s="51">
        <f t="shared" si="7"/>
        <v>0.2</v>
      </c>
      <c r="AG33" s="51">
        <f t="shared" si="7"/>
        <v>0.2105263158</v>
      </c>
      <c r="AH33" s="51">
        <f t="shared" si="7"/>
        <v>0.2222222222</v>
      </c>
      <c r="AI33" s="51">
        <f t="shared" si="7"/>
        <v>0.2352941176</v>
      </c>
      <c r="AJ33" s="51">
        <f t="shared" si="7"/>
        <v>0.25</v>
      </c>
      <c r="AK33" s="51">
        <f t="shared" si="7"/>
        <v>0.2666666667</v>
      </c>
      <c r="AL33" s="51">
        <f t="shared" si="7"/>
        <v>0.2857142857</v>
      </c>
      <c r="AM33" s="51">
        <f t="shared" si="7"/>
        <v>0.3076923077</v>
      </c>
      <c r="AN33" s="51">
        <f t="shared" si="7"/>
        <v>0.3333333333</v>
      </c>
      <c r="AO33" s="51">
        <f t="shared" si="7"/>
        <v>0.3636363636</v>
      </c>
      <c r="AP33" s="49">
        <f t="shared" si="7"/>
        <v>0.4</v>
      </c>
      <c r="AQ33" s="50">
        <f t="shared" si="7"/>
        <v>0.4444444444</v>
      </c>
      <c r="AR33" s="50">
        <f t="shared" si="7"/>
        <v>0.5</v>
      </c>
      <c r="AS33" s="51">
        <f t="shared" si="7"/>
        <v>0.5714285714</v>
      </c>
      <c r="AT33" s="51">
        <f t="shared" si="7"/>
        <v>0.6666666667</v>
      </c>
      <c r="AU33" s="51">
        <f t="shared" si="7"/>
        <v>0.8</v>
      </c>
      <c r="AV33" s="51">
        <f t="shared" si="7"/>
        <v>1</v>
      </c>
      <c r="AW33" s="51">
        <f t="shared" si="7"/>
        <v>1.333333333</v>
      </c>
      <c r="AX33" s="49">
        <f t="shared" si="7"/>
        <v>2</v>
      </c>
      <c r="AY33" s="56">
        <f t="shared" si="7"/>
        <v>4</v>
      </c>
    </row>
    <row r="34" ht="12.0" customHeight="1">
      <c r="A34" s="48">
        <f t="shared" si="5"/>
        <v>5</v>
      </c>
      <c r="B34" s="52">
        <f t="shared" si="3"/>
        <v>0.1</v>
      </c>
      <c r="C34" s="51">
        <f t="shared" ref="C34:AY34" si="8">$A$34/(100-C29)</f>
        <v>0.1020408163</v>
      </c>
      <c r="D34" s="51">
        <f t="shared" si="8"/>
        <v>0.1041666667</v>
      </c>
      <c r="E34" s="51">
        <f t="shared" si="8"/>
        <v>0.1063829787</v>
      </c>
      <c r="F34" s="51">
        <f t="shared" si="8"/>
        <v>0.1086956522</v>
      </c>
      <c r="G34" s="51">
        <f t="shared" si="8"/>
        <v>0.1111111111</v>
      </c>
      <c r="H34" s="51">
        <f t="shared" si="8"/>
        <v>0.1136363636</v>
      </c>
      <c r="I34" s="51">
        <f t="shared" si="8"/>
        <v>0.1162790698</v>
      </c>
      <c r="J34" s="51">
        <f t="shared" si="8"/>
        <v>0.119047619</v>
      </c>
      <c r="K34" s="51">
        <f t="shared" si="8"/>
        <v>0.1219512195</v>
      </c>
      <c r="L34" s="51">
        <f t="shared" si="8"/>
        <v>0.125</v>
      </c>
      <c r="M34" s="51">
        <f t="shared" si="8"/>
        <v>0.1282051282</v>
      </c>
      <c r="N34" s="51">
        <f t="shared" si="8"/>
        <v>0.1315789474</v>
      </c>
      <c r="O34" s="51">
        <f t="shared" si="8"/>
        <v>0.1351351351</v>
      </c>
      <c r="P34" s="51">
        <f t="shared" si="8"/>
        <v>0.1388888889</v>
      </c>
      <c r="Q34" s="51">
        <f t="shared" si="8"/>
        <v>0.1428571429</v>
      </c>
      <c r="R34" s="51">
        <f t="shared" si="8"/>
        <v>0.1470588235</v>
      </c>
      <c r="S34" s="51">
        <f t="shared" si="8"/>
        <v>0.1515151515</v>
      </c>
      <c r="T34" s="51">
        <f t="shared" si="8"/>
        <v>0.15625</v>
      </c>
      <c r="U34" s="51">
        <f t="shared" si="8"/>
        <v>0.1612903226</v>
      </c>
      <c r="V34" s="51">
        <f t="shared" si="8"/>
        <v>0.1666666667</v>
      </c>
      <c r="W34" s="51">
        <f t="shared" si="8"/>
        <v>0.1724137931</v>
      </c>
      <c r="X34" s="51">
        <f t="shared" si="8"/>
        <v>0.1785714286</v>
      </c>
      <c r="Y34" s="51">
        <f t="shared" si="8"/>
        <v>0.1851851852</v>
      </c>
      <c r="Z34" s="51">
        <f t="shared" si="8"/>
        <v>0.1923076923</v>
      </c>
      <c r="AA34" s="51">
        <f t="shared" si="8"/>
        <v>0.2</v>
      </c>
      <c r="AB34" s="51">
        <f t="shared" si="8"/>
        <v>0.2083333333</v>
      </c>
      <c r="AC34" s="51">
        <f t="shared" si="8"/>
        <v>0.2173913043</v>
      </c>
      <c r="AD34" s="51">
        <f t="shared" si="8"/>
        <v>0.2272727273</v>
      </c>
      <c r="AE34" s="51">
        <f t="shared" si="8"/>
        <v>0.2380952381</v>
      </c>
      <c r="AF34" s="51">
        <f t="shared" si="8"/>
        <v>0.25</v>
      </c>
      <c r="AG34" s="51">
        <f t="shared" si="8"/>
        <v>0.2631578947</v>
      </c>
      <c r="AH34" s="51">
        <f t="shared" si="8"/>
        <v>0.2777777778</v>
      </c>
      <c r="AI34" s="51">
        <f t="shared" si="8"/>
        <v>0.2941176471</v>
      </c>
      <c r="AJ34" s="51">
        <f t="shared" si="8"/>
        <v>0.3125</v>
      </c>
      <c r="AK34" s="51">
        <f t="shared" si="8"/>
        <v>0.3333333333</v>
      </c>
      <c r="AL34" s="51">
        <f t="shared" si="8"/>
        <v>0.3571428571</v>
      </c>
      <c r="AM34" s="51">
        <f t="shared" si="8"/>
        <v>0.3846153846</v>
      </c>
      <c r="AN34" s="49">
        <f t="shared" si="8"/>
        <v>0.4166666667</v>
      </c>
      <c r="AO34" s="50">
        <f t="shared" si="8"/>
        <v>0.4545454545</v>
      </c>
      <c r="AP34" s="51">
        <f t="shared" si="8"/>
        <v>0.5</v>
      </c>
      <c r="AQ34" s="51">
        <f t="shared" si="8"/>
        <v>0.5555555556</v>
      </c>
      <c r="AR34" s="51">
        <f t="shared" si="8"/>
        <v>0.625</v>
      </c>
      <c r="AS34" s="51">
        <f t="shared" si="8"/>
        <v>0.7142857143</v>
      </c>
      <c r="AT34" s="51">
        <f t="shared" si="8"/>
        <v>0.8333333333</v>
      </c>
      <c r="AU34" s="51">
        <f t="shared" si="8"/>
        <v>1</v>
      </c>
      <c r="AV34" s="51">
        <f t="shared" si="8"/>
        <v>1.25</v>
      </c>
      <c r="AW34" s="51">
        <f t="shared" si="8"/>
        <v>1.666666667</v>
      </c>
      <c r="AX34" s="52">
        <f t="shared" si="8"/>
        <v>2.5</v>
      </c>
      <c r="AY34" s="56">
        <f t="shared" si="8"/>
        <v>5</v>
      </c>
    </row>
    <row r="35" ht="12.0" customHeight="1">
      <c r="A35" s="48">
        <f t="shared" si="5"/>
        <v>6</v>
      </c>
      <c r="B35" s="52">
        <f t="shared" si="3"/>
        <v>0.12</v>
      </c>
      <c r="C35" s="51">
        <f t="shared" ref="C35:AY35" si="9">$A$35/(100-C29)</f>
        <v>0.1224489796</v>
      </c>
      <c r="D35" s="51">
        <f t="shared" si="9"/>
        <v>0.125</v>
      </c>
      <c r="E35" s="51">
        <f t="shared" si="9"/>
        <v>0.1276595745</v>
      </c>
      <c r="F35" s="51">
        <f t="shared" si="9"/>
        <v>0.1304347826</v>
      </c>
      <c r="G35" s="51">
        <f t="shared" si="9"/>
        <v>0.1333333333</v>
      </c>
      <c r="H35" s="51">
        <f t="shared" si="9"/>
        <v>0.1363636364</v>
      </c>
      <c r="I35" s="51">
        <f t="shared" si="9"/>
        <v>0.1395348837</v>
      </c>
      <c r="J35" s="51">
        <f t="shared" si="9"/>
        <v>0.1428571429</v>
      </c>
      <c r="K35" s="51">
        <f t="shared" si="9"/>
        <v>0.1463414634</v>
      </c>
      <c r="L35" s="51">
        <f t="shared" si="9"/>
        <v>0.15</v>
      </c>
      <c r="M35" s="51">
        <f t="shared" si="9"/>
        <v>0.1538461538</v>
      </c>
      <c r="N35" s="51">
        <f t="shared" si="9"/>
        <v>0.1578947368</v>
      </c>
      <c r="O35" s="51">
        <f t="shared" si="9"/>
        <v>0.1621621622</v>
      </c>
      <c r="P35" s="51">
        <f t="shared" si="9"/>
        <v>0.1666666667</v>
      </c>
      <c r="Q35" s="51">
        <f t="shared" si="9"/>
        <v>0.1714285714</v>
      </c>
      <c r="R35" s="51">
        <f t="shared" si="9"/>
        <v>0.1764705882</v>
      </c>
      <c r="S35" s="51">
        <f t="shared" si="9"/>
        <v>0.1818181818</v>
      </c>
      <c r="T35" s="51">
        <f t="shared" si="9"/>
        <v>0.1875</v>
      </c>
      <c r="U35" s="51">
        <f t="shared" si="9"/>
        <v>0.1935483871</v>
      </c>
      <c r="V35" s="51">
        <f t="shared" si="9"/>
        <v>0.2</v>
      </c>
      <c r="W35" s="51">
        <f t="shared" si="9"/>
        <v>0.2068965517</v>
      </c>
      <c r="X35" s="51">
        <f t="shared" si="9"/>
        <v>0.2142857143</v>
      </c>
      <c r="Y35" s="51">
        <f t="shared" si="9"/>
        <v>0.2222222222</v>
      </c>
      <c r="Z35" s="51">
        <f t="shared" si="9"/>
        <v>0.2307692308</v>
      </c>
      <c r="AA35" s="51">
        <f t="shared" si="9"/>
        <v>0.24</v>
      </c>
      <c r="AB35" s="51">
        <f t="shared" si="9"/>
        <v>0.25</v>
      </c>
      <c r="AC35" s="51">
        <f t="shared" si="9"/>
        <v>0.2608695652</v>
      </c>
      <c r="AD35" s="51">
        <f t="shared" si="9"/>
        <v>0.2727272727</v>
      </c>
      <c r="AE35" s="51">
        <f t="shared" si="9"/>
        <v>0.2857142857</v>
      </c>
      <c r="AF35" s="51">
        <f t="shared" si="9"/>
        <v>0.3</v>
      </c>
      <c r="AG35" s="51">
        <f t="shared" si="9"/>
        <v>0.3157894737</v>
      </c>
      <c r="AH35" s="51">
        <f t="shared" si="9"/>
        <v>0.3333333333</v>
      </c>
      <c r="AI35" s="51">
        <f t="shared" si="9"/>
        <v>0.3529411765</v>
      </c>
      <c r="AJ35" s="51">
        <f t="shared" si="9"/>
        <v>0.375</v>
      </c>
      <c r="AK35" s="49">
        <f t="shared" si="9"/>
        <v>0.4</v>
      </c>
      <c r="AL35" s="50">
        <f t="shared" si="9"/>
        <v>0.4285714286</v>
      </c>
      <c r="AM35" s="50">
        <f t="shared" si="9"/>
        <v>0.4615384615</v>
      </c>
      <c r="AN35" s="51">
        <f t="shared" si="9"/>
        <v>0.5</v>
      </c>
      <c r="AO35" s="51">
        <f t="shared" si="9"/>
        <v>0.5454545455</v>
      </c>
      <c r="AP35" s="51">
        <f t="shared" si="9"/>
        <v>0.6</v>
      </c>
      <c r="AQ35" s="51">
        <f t="shared" si="9"/>
        <v>0.6666666667</v>
      </c>
      <c r="AR35" s="51">
        <f t="shared" si="9"/>
        <v>0.75</v>
      </c>
      <c r="AS35" s="51">
        <f t="shared" si="9"/>
        <v>0.8571428571</v>
      </c>
      <c r="AT35" s="51">
        <f t="shared" si="9"/>
        <v>1</v>
      </c>
      <c r="AU35" s="51">
        <f t="shared" si="9"/>
        <v>1.2</v>
      </c>
      <c r="AV35" s="51">
        <f t="shared" si="9"/>
        <v>1.5</v>
      </c>
      <c r="AW35" s="49">
        <f t="shared" si="9"/>
        <v>2</v>
      </c>
      <c r="AX35" s="51">
        <f t="shared" si="9"/>
        <v>3</v>
      </c>
      <c r="AY35" s="56">
        <f t="shared" si="9"/>
        <v>6</v>
      </c>
    </row>
    <row r="36" ht="12.0" customHeight="1">
      <c r="A36" s="48">
        <f t="shared" si="5"/>
        <v>7</v>
      </c>
      <c r="B36" s="52">
        <f t="shared" si="3"/>
        <v>0.14</v>
      </c>
      <c r="C36" s="51">
        <f t="shared" ref="C36:AY36" si="10">$A$36/(100-C29)</f>
        <v>0.1428571429</v>
      </c>
      <c r="D36" s="51">
        <f t="shared" si="10"/>
        <v>0.1458333333</v>
      </c>
      <c r="E36" s="51">
        <f t="shared" si="10"/>
        <v>0.1489361702</v>
      </c>
      <c r="F36" s="51">
        <f t="shared" si="10"/>
        <v>0.152173913</v>
      </c>
      <c r="G36" s="51">
        <f t="shared" si="10"/>
        <v>0.1555555556</v>
      </c>
      <c r="H36" s="51">
        <f t="shared" si="10"/>
        <v>0.1590909091</v>
      </c>
      <c r="I36" s="51">
        <f t="shared" si="10"/>
        <v>0.1627906977</v>
      </c>
      <c r="J36" s="51">
        <f t="shared" si="10"/>
        <v>0.1666666667</v>
      </c>
      <c r="K36" s="51">
        <f t="shared" si="10"/>
        <v>0.1707317073</v>
      </c>
      <c r="L36" s="51">
        <f t="shared" si="10"/>
        <v>0.175</v>
      </c>
      <c r="M36" s="51">
        <f t="shared" si="10"/>
        <v>0.1794871795</v>
      </c>
      <c r="N36" s="51">
        <f t="shared" si="10"/>
        <v>0.1842105263</v>
      </c>
      <c r="O36" s="51">
        <f t="shared" si="10"/>
        <v>0.1891891892</v>
      </c>
      <c r="P36" s="51">
        <f t="shared" si="10"/>
        <v>0.1944444444</v>
      </c>
      <c r="Q36" s="51">
        <f t="shared" si="10"/>
        <v>0.2</v>
      </c>
      <c r="R36" s="51">
        <f t="shared" si="10"/>
        <v>0.2058823529</v>
      </c>
      <c r="S36" s="51">
        <f t="shared" si="10"/>
        <v>0.2121212121</v>
      </c>
      <c r="T36" s="51">
        <f t="shared" si="10"/>
        <v>0.21875</v>
      </c>
      <c r="U36" s="51">
        <f t="shared" si="10"/>
        <v>0.2258064516</v>
      </c>
      <c r="V36" s="51">
        <f t="shared" si="10"/>
        <v>0.2333333333</v>
      </c>
      <c r="W36" s="51">
        <f t="shared" si="10"/>
        <v>0.2413793103</v>
      </c>
      <c r="X36" s="51">
        <f t="shared" si="10"/>
        <v>0.25</v>
      </c>
      <c r="Y36" s="51">
        <f t="shared" si="10"/>
        <v>0.2592592593</v>
      </c>
      <c r="Z36" s="51">
        <f t="shared" si="10"/>
        <v>0.2692307692</v>
      </c>
      <c r="AA36" s="51">
        <f t="shared" si="10"/>
        <v>0.28</v>
      </c>
      <c r="AB36" s="51">
        <f t="shared" si="10"/>
        <v>0.2916666667</v>
      </c>
      <c r="AC36" s="51">
        <f t="shared" si="10"/>
        <v>0.3043478261</v>
      </c>
      <c r="AD36" s="51">
        <f t="shared" si="10"/>
        <v>0.3181818182</v>
      </c>
      <c r="AE36" s="51">
        <f t="shared" si="10"/>
        <v>0.3333333333</v>
      </c>
      <c r="AF36" s="51">
        <f t="shared" si="10"/>
        <v>0.35</v>
      </c>
      <c r="AG36" s="51">
        <f t="shared" si="10"/>
        <v>0.3684210526</v>
      </c>
      <c r="AH36" s="51">
        <f t="shared" si="10"/>
        <v>0.3888888889</v>
      </c>
      <c r="AI36" s="49">
        <f t="shared" si="10"/>
        <v>0.4117647059</v>
      </c>
      <c r="AJ36" s="50">
        <f t="shared" si="10"/>
        <v>0.4375</v>
      </c>
      <c r="AK36" s="51">
        <f t="shared" si="10"/>
        <v>0.4666666667</v>
      </c>
      <c r="AL36" s="51">
        <f t="shared" si="10"/>
        <v>0.5</v>
      </c>
      <c r="AM36" s="51">
        <f t="shared" si="10"/>
        <v>0.5384615385</v>
      </c>
      <c r="AN36" s="51">
        <f t="shared" si="10"/>
        <v>0.5833333333</v>
      </c>
      <c r="AO36" s="51">
        <f t="shared" si="10"/>
        <v>0.6363636364</v>
      </c>
      <c r="AP36" s="51">
        <f t="shared" si="10"/>
        <v>0.7</v>
      </c>
      <c r="AQ36" s="51">
        <f t="shared" si="10"/>
        <v>0.7777777778</v>
      </c>
      <c r="AR36" s="51">
        <f t="shared" si="10"/>
        <v>0.875</v>
      </c>
      <c r="AS36" s="51">
        <f t="shared" si="10"/>
        <v>1</v>
      </c>
      <c r="AT36" s="51">
        <f t="shared" si="10"/>
        <v>1.166666667</v>
      </c>
      <c r="AU36" s="51">
        <f t="shared" si="10"/>
        <v>1.4</v>
      </c>
      <c r="AV36" s="51">
        <f t="shared" si="10"/>
        <v>1.75</v>
      </c>
      <c r="AW36" s="52">
        <f t="shared" si="10"/>
        <v>2.333333333</v>
      </c>
      <c r="AX36" s="51">
        <f t="shared" si="10"/>
        <v>3.5</v>
      </c>
      <c r="AY36" s="56">
        <f t="shared" si="10"/>
        <v>7</v>
      </c>
    </row>
    <row r="37" ht="12.0" customHeight="1">
      <c r="A37" s="48">
        <f t="shared" si="5"/>
        <v>8</v>
      </c>
      <c r="B37" s="52">
        <f t="shared" si="3"/>
        <v>0.16</v>
      </c>
      <c r="C37" s="51">
        <f t="shared" ref="C37:AY37" si="11">$A$37/(100-C29)</f>
        <v>0.1632653061</v>
      </c>
      <c r="D37" s="51">
        <f t="shared" si="11"/>
        <v>0.1666666667</v>
      </c>
      <c r="E37" s="51">
        <f t="shared" si="11"/>
        <v>0.170212766</v>
      </c>
      <c r="F37" s="51">
        <f t="shared" si="11"/>
        <v>0.1739130435</v>
      </c>
      <c r="G37" s="51">
        <f t="shared" si="11"/>
        <v>0.1777777778</v>
      </c>
      <c r="H37" s="51">
        <f t="shared" si="11"/>
        <v>0.1818181818</v>
      </c>
      <c r="I37" s="51">
        <f t="shared" si="11"/>
        <v>0.1860465116</v>
      </c>
      <c r="J37" s="51">
        <f t="shared" si="11"/>
        <v>0.1904761905</v>
      </c>
      <c r="K37" s="51">
        <f t="shared" si="11"/>
        <v>0.1951219512</v>
      </c>
      <c r="L37" s="51">
        <f t="shared" si="11"/>
        <v>0.2</v>
      </c>
      <c r="M37" s="51">
        <f t="shared" si="11"/>
        <v>0.2051282051</v>
      </c>
      <c r="N37" s="51">
        <f t="shared" si="11"/>
        <v>0.2105263158</v>
      </c>
      <c r="O37" s="51">
        <f t="shared" si="11"/>
        <v>0.2162162162</v>
      </c>
      <c r="P37" s="51">
        <f t="shared" si="11"/>
        <v>0.2222222222</v>
      </c>
      <c r="Q37" s="51">
        <f t="shared" si="11"/>
        <v>0.2285714286</v>
      </c>
      <c r="R37" s="51">
        <f t="shared" si="11"/>
        <v>0.2352941176</v>
      </c>
      <c r="S37" s="51">
        <f t="shared" si="11"/>
        <v>0.2424242424</v>
      </c>
      <c r="T37" s="51">
        <f t="shared" si="11"/>
        <v>0.25</v>
      </c>
      <c r="U37" s="51">
        <f t="shared" si="11"/>
        <v>0.2580645161</v>
      </c>
      <c r="V37" s="51">
        <f t="shared" si="11"/>
        <v>0.2666666667</v>
      </c>
      <c r="W37" s="51">
        <f t="shared" si="11"/>
        <v>0.275862069</v>
      </c>
      <c r="X37" s="51">
        <f t="shared" si="11"/>
        <v>0.2857142857</v>
      </c>
      <c r="Y37" s="51">
        <f t="shared" si="11"/>
        <v>0.2962962963</v>
      </c>
      <c r="Z37" s="51">
        <f t="shared" si="11"/>
        <v>0.3076923077</v>
      </c>
      <c r="AA37" s="51">
        <f t="shared" si="11"/>
        <v>0.32</v>
      </c>
      <c r="AB37" s="51">
        <f t="shared" si="11"/>
        <v>0.3333333333</v>
      </c>
      <c r="AC37" s="51">
        <f t="shared" si="11"/>
        <v>0.347826087</v>
      </c>
      <c r="AD37" s="51">
        <f t="shared" si="11"/>
        <v>0.3636363636</v>
      </c>
      <c r="AE37" s="51">
        <f t="shared" si="11"/>
        <v>0.380952381</v>
      </c>
      <c r="AF37" s="49">
        <f t="shared" si="11"/>
        <v>0.4</v>
      </c>
      <c r="AG37" s="50">
        <f t="shared" si="11"/>
        <v>0.4210526316</v>
      </c>
      <c r="AH37" s="50">
        <f t="shared" si="11"/>
        <v>0.4444444444</v>
      </c>
      <c r="AI37" s="51">
        <f t="shared" si="11"/>
        <v>0.4705882353</v>
      </c>
      <c r="AJ37" s="51">
        <f t="shared" si="11"/>
        <v>0.5</v>
      </c>
      <c r="AK37" s="51">
        <f t="shared" si="11"/>
        <v>0.5333333333</v>
      </c>
      <c r="AL37" s="51">
        <f t="shared" si="11"/>
        <v>0.5714285714</v>
      </c>
      <c r="AM37" s="51">
        <f t="shared" si="11"/>
        <v>0.6153846154</v>
      </c>
      <c r="AN37" s="51">
        <f t="shared" si="11"/>
        <v>0.6666666667</v>
      </c>
      <c r="AO37" s="51">
        <f t="shared" si="11"/>
        <v>0.7272727273</v>
      </c>
      <c r="AP37" s="51">
        <f t="shared" si="11"/>
        <v>0.8</v>
      </c>
      <c r="AQ37" s="51">
        <f t="shared" si="11"/>
        <v>0.8888888889</v>
      </c>
      <c r="AR37" s="51">
        <f t="shared" si="11"/>
        <v>1</v>
      </c>
      <c r="AS37" s="51">
        <f t="shared" si="11"/>
        <v>1.142857143</v>
      </c>
      <c r="AT37" s="51">
        <f t="shared" si="11"/>
        <v>1.333333333</v>
      </c>
      <c r="AU37" s="51">
        <f t="shared" si="11"/>
        <v>1.6</v>
      </c>
      <c r="AV37" s="49">
        <f t="shared" si="11"/>
        <v>2</v>
      </c>
      <c r="AW37" s="51">
        <f t="shared" si="11"/>
        <v>2.666666667</v>
      </c>
      <c r="AX37" s="51">
        <f t="shared" si="11"/>
        <v>4</v>
      </c>
      <c r="AY37" s="56">
        <f t="shared" si="11"/>
        <v>8</v>
      </c>
    </row>
    <row r="38" ht="12.0" customHeight="1">
      <c r="A38" s="48">
        <f t="shared" si="5"/>
        <v>9</v>
      </c>
      <c r="B38" s="52">
        <f t="shared" si="3"/>
        <v>0.18</v>
      </c>
      <c r="C38" s="51">
        <f t="shared" ref="C38:AY38" si="12">$A$38/(100-C29)</f>
        <v>0.1836734694</v>
      </c>
      <c r="D38" s="51">
        <f t="shared" si="12"/>
        <v>0.1875</v>
      </c>
      <c r="E38" s="51">
        <f t="shared" si="12"/>
        <v>0.1914893617</v>
      </c>
      <c r="F38" s="51">
        <f t="shared" si="12"/>
        <v>0.1956521739</v>
      </c>
      <c r="G38" s="51">
        <f t="shared" si="12"/>
        <v>0.2</v>
      </c>
      <c r="H38" s="51">
        <f t="shared" si="12"/>
        <v>0.2045454545</v>
      </c>
      <c r="I38" s="51">
        <f t="shared" si="12"/>
        <v>0.2093023256</v>
      </c>
      <c r="J38" s="51">
        <f t="shared" si="12"/>
        <v>0.2142857143</v>
      </c>
      <c r="K38" s="51">
        <f t="shared" si="12"/>
        <v>0.2195121951</v>
      </c>
      <c r="L38" s="51">
        <f t="shared" si="12"/>
        <v>0.225</v>
      </c>
      <c r="M38" s="51">
        <f t="shared" si="12"/>
        <v>0.2307692308</v>
      </c>
      <c r="N38" s="51">
        <f t="shared" si="12"/>
        <v>0.2368421053</v>
      </c>
      <c r="O38" s="51">
        <f t="shared" si="12"/>
        <v>0.2432432432</v>
      </c>
      <c r="P38" s="51">
        <f t="shared" si="12"/>
        <v>0.25</v>
      </c>
      <c r="Q38" s="51">
        <f t="shared" si="12"/>
        <v>0.2571428571</v>
      </c>
      <c r="R38" s="51">
        <f t="shared" si="12"/>
        <v>0.2647058824</v>
      </c>
      <c r="S38" s="51">
        <f t="shared" si="12"/>
        <v>0.2727272727</v>
      </c>
      <c r="T38" s="51">
        <f t="shared" si="12"/>
        <v>0.28125</v>
      </c>
      <c r="U38" s="51">
        <f t="shared" si="12"/>
        <v>0.2903225806</v>
      </c>
      <c r="V38" s="51">
        <f t="shared" si="12"/>
        <v>0.3</v>
      </c>
      <c r="W38" s="51">
        <f t="shared" si="12"/>
        <v>0.3103448276</v>
      </c>
      <c r="X38" s="51">
        <f t="shared" si="12"/>
        <v>0.3214285714</v>
      </c>
      <c r="Y38" s="51">
        <f t="shared" si="12"/>
        <v>0.3333333333</v>
      </c>
      <c r="Z38" s="51">
        <f t="shared" si="12"/>
        <v>0.3461538462</v>
      </c>
      <c r="AA38" s="51">
        <f t="shared" si="12"/>
        <v>0.36</v>
      </c>
      <c r="AB38" s="51">
        <f t="shared" si="12"/>
        <v>0.375</v>
      </c>
      <c r="AC38" s="51">
        <f t="shared" si="12"/>
        <v>0.3913043478</v>
      </c>
      <c r="AD38" s="49">
        <f t="shared" si="12"/>
        <v>0.4090909091</v>
      </c>
      <c r="AE38" s="50">
        <f t="shared" si="12"/>
        <v>0.4285714286</v>
      </c>
      <c r="AF38" s="51">
        <f t="shared" si="12"/>
        <v>0.45</v>
      </c>
      <c r="AG38" s="51">
        <f t="shared" si="12"/>
        <v>0.4736842105</v>
      </c>
      <c r="AH38" s="51">
        <f t="shared" si="12"/>
        <v>0.5</v>
      </c>
      <c r="AI38" s="51">
        <f t="shared" si="12"/>
        <v>0.5294117647</v>
      </c>
      <c r="AJ38" s="51">
        <f t="shared" si="12"/>
        <v>0.5625</v>
      </c>
      <c r="AK38" s="51">
        <f t="shared" si="12"/>
        <v>0.6</v>
      </c>
      <c r="AL38" s="51">
        <f t="shared" si="12"/>
        <v>0.6428571429</v>
      </c>
      <c r="AM38" s="51">
        <f t="shared" si="12"/>
        <v>0.6923076923</v>
      </c>
      <c r="AN38" s="51">
        <f t="shared" si="12"/>
        <v>0.75</v>
      </c>
      <c r="AO38" s="51">
        <f t="shared" si="12"/>
        <v>0.8181818182</v>
      </c>
      <c r="AP38" s="51">
        <f t="shared" si="12"/>
        <v>0.9</v>
      </c>
      <c r="AQ38" s="51">
        <f t="shared" si="12"/>
        <v>1</v>
      </c>
      <c r="AR38" s="51">
        <f t="shared" si="12"/>
        <v>1.125</v>
      </c>
      <c r="AS38" s="51">
        <f t="shared" si="12"/>
        <v>1.285714286</v>
      </c>
      <c r="AT38" s="51">
        <f t="shared" si="12"/>
        <v>1.5</v>
      </c>
      <c r="AU38" s="51">
        <f t="shared" si="12"/>
        <v>1.8</v>
      </c>
      <c r="AV38" s="52">
        <f t="shared" si="12"/>
        <v>2.25</v>
      </c>
      <c r="AW38" s="51">
        <f t="shared" si="12"/>
        <v>3</v>
      </c>
      <c r="AX38" s="51">
        <f t="shared" si="12"/>
        <v>4.5</v>
      </c>
      <c r="AY38" s="56">
        <f t="shared" si="12"/>
        <v>9</v>
      </c>
    </row>
    <row r="39" ht="12.0" customHeight="1">
      <c r="A39" s="48">
        <f t="shared" si="5"/>
        <v>10</v>
      </c>
      <c r="B39" s="52">
        <f t="shared" si="3"/>
        <v>0.2</v>
      </c>
      <c r="C39" s="51">
        <f t="shared" ref="C39:AY39" si="13">$A$39/(100-C29)</f>
        <v>0.2040816327</v>
      </c>
      <c r="D39" s="51">
        <f t="shared" si="13"/>
        <v>0.2083333333</v>
      </c>
      <c r="E39" s="51">
        <f t="shared" si="13"/>
        <v>0.2127659574</v>
      </c>
      <c r="F39" s="51">
        <f t="shared" si="13"/>
        <v>0.2173913043</v>
      </c>
      <c r="G39" s="51">
        <f t="shared" si="13"/>
        <v>0.2222222222</v>
      </c>
      <c r="H39" s="51">
        <f t="shared" si="13"/>
        <v>0.2272727273</v>
      </c>
      <c r="I39" s="51">
        <f t="shared" si="13"/>
        <v>0.2325581395</v>
      </c>
      <c r="J39" s="51">
        <f t="shared" si="13"/>
        <v>0.2380952381</v>
      </c>
      <c r="K39" s="51">
        <f t="shared" si="13"/>
        <v>0.243902439</v>
      </c>
      <c r="L39" s="51">
        <f t="shared" si="13"/>
        <v>0.25</v>
      </c>
      <c r="M39" s="51">
        <f t="shared" si="13"/>
        <v>0.2564102564</v>
      </c>
      <c r="N39" s="51">
        <f t="shared" si="13"/>
        <v>0.2631578947</v>
      </c>
      <c r="O39" s="51">
        <f t="shared" si="13"/>
        <v>0.2702702703</v>
      </c>
      <c r="P39" s="51">
        <f t="shared" si="13"/>
        <v>0.2777777778</v>
      </c>
      <c r="Q39" s="51">
        <f t="shared" si="13"/>
        <v>0.2857142857</v>
      </c>
      <c r="R39" s="51">
        <f t="shared" si="13"/>
        <v>0.2941176471</v>
      </c>
      <c r="S39" s="51">
        <f t="shared" si="13"/>
        <v>0.303030303</v>
      </c>
      <c r="T39" s="51">
        <f t="shared" si="13"/>
        <v>0.3125</v>
      </c>
      <c r="U39" s="51">
        <f t="shared" si="13"/>
        <v>0.3225806452</v>
      </c>
      <c r="V39" s="51">
        <f t="shared" si="13"/>
        <v>0.3333333333</v>
      </c>
      <c r="W39" s="51">
        <f t="shared" si="13"/>
        <v>0.3448275862</v>
      </c>
      <c r="X39" s="51">
        <f t="shared" si="13"/>
        <v>0.3571428571</v>
      </c>
      <c r="Y39" s="51">
        <f t="shared" si="13"/>
        <v>0.3703703704</v>
      </c>
      <c r="Z39" s="51">
        <f t="shared" si="13"/>
        <v>0.3846153846</v>
      </c>
      <c r="AA39" s="49">
        <f t="shared" si="13"/>
        <v>0.4</v>
      </c>
      <c r="AB39" s="50">
        <f t="shared" si="13"/>
        <v>0.4166666667</v>
      </c>
      <c r="AC39" s="50">
        <f t="shared" si="13"/>
        <v>0.4347826087</v>
      </c>
      <c r="AD39" s="51">
        <f t="shared" si="13"/>
        <v>0.4545454545</v>
      </c>
      <c r="AE39" s="51">
        <f t="shared" si="13"/>
        <v>0.4761904762</v>
      </c>
      <c r="AF39" s="51">
        <f t="shared" si="13"/>
        <v>0.5</v>
      </c>
      <c r="AG39" s="51">
        <f t="shared" si="13"/>
        <v>0.5263157895</v>
      </c>
      <c r="AH39" s="51">
        <f t="shared" si="13"/>
        <v>0.5555555556</v>
      </c>
      <c r="AI39" s="51">
        <f t="shared" si="13"/>
        <v>0.5882352941</v>
      </c>
      <c r="AJ39" s="51">
        <f t="shared" si="13"/>
        <v>0.625</v>
      </c>
      <c r="AK39" s="51">
        <f t="shared" si="13"/>
        <v>0.6666666667</v>
      </c>
      <c r="AL39" s="51">
        <f t="shared" si="13"/>
        <v>0.7142857143</v>
      </c>
      <c r="AM39" s="51">
        <f t="shared" si="13"/>
        <v>0.7692307692</v>
      </c>
      <c r="AN39" s="51">
        <f t="shared" si="13"/>
        <v>0.8333333333</v>
      </c>
      <c r="AO39" s="51">
        <f t="shared" si="13"/>
        <v>0.9090909091</v>
      </c>
      <c r="AP39" s="51">
        <f t="shared" si="13"/>
        <v>1</v>
      </c>
      <c r="AQ39" s="51">
        <f t="shared" si="13"/>
        <v>1.111111111</v>
      </c>
      <c r="AR39" s="51">
        <f t="shared" si="13"/>
        <v>1.25</v>
      </c>
      <c r="AS39" s="51">
        <f t="shared" si="13"/>
        <v>1.428571429</v>
      </c>
      <c r="AT39" s="51">
        <f t="shared" si="13"/>
        <v>1.666666667</v>
      </c>
      <c r="AU39" s="49">
        <f t="shared" si="13"/>
        <v>2</v>
      </c>
      <c r="AV39" s="51">
        <f t="shared" si="13"/>
        <v>2.5</v>
      </c>
      <c r="AW39" s="51">
        <f t="shared" si="13"/>
        <v>3.333333333</v>
      </c>
      <c r="AX39" s="51">
        <f t="shared" si="13"/>
        <v>5</v>
      </c>
      <c r="AY39" s="58">
        <f t="shared" si="13"/>
        <v>10</v>
      </c>
    </row>
    <row r="40" ht="12.0" customHeight="1">
      <c r="A40" s="48">
        <f t="shared" si="5"/>
        <v>11</v>
      </c>
      <c r="B40" s="52">
        <f t="shared" si="3"/>
        <v>0.22</v>
      </c>
      <c r="C40" s="51">
        <f t="shared" ref="C40:AY40" si="14">$A$40/(100-C29)</f>
        <v>0.2244897959</v>
      </c>
      <c r="D40" s="51">
        <f t="shared" si="14"/>
        <v>0.2291666667</v>
      </c>
      <c r="E40" s="51">
        <f t="shared" si="14"/>
        <v>0.2340425532</v>
      </c>
      <c r="F40" s="51">
        <f t="shared" si="14"/>
        <v>0.2391304348</v>
      </c>
      <c r="G40" s="51">
        <f t="shared" si="14"/>
        <v>0.2444444444</v>
      </c>
      <c r="H40" s="51">
        <f t="shared" si="14"/>
        <v>0.25</v>
      </c>
      <c r="I40" s="51">
        <f t="shared" si="14"/>
        <v>0.2558139535</v>
      </c>
      <c r="J40" s="51">
        <f t="shared" si="14"/>
        <v>0.2619047619</v>
      </c>
      <c r="K40" s="51">
        <f t="shared" si="14"/>
        <v>0.2682926829</v>
      </c>
      <c r="L40" s="51">
        <f t="shared" si="14"/>
        <v>0.275</v>
      </c>
      <c r="M40" s="51">
        <f t="shared" si="14"/>
        <v>0.2820512821</v>
      </c>
      <c r="N40" s="51">
        <f t="shared" si="14"/>
        <v>0.2894736842</v>
      </c>
      <c r="O40" s="51">
        <f t="shared" si="14"/>
        <v>0.2972972973</v>
      </c>
      <c r="P40" s="51">
        <f t="shared" si="14"/>
        <v>0.3055555556</v>
      </c>
      <c r="Q40" s="51">
        <f t="shared" si="14"/>
        <v>0.3142857143</v>
      </c>
      <c r="R40" s="51">
        <f t="shared" si="14"/>
        <v>0.3235294118</v>
      </c>
      <c r="S40" s="51">
        <f t="shared" si="14"/>
        <v>0.3333333333</v>
      </c>
      <c r="T40" s="51">
        <f t="shared" si="14"/>
        <v>0.34375</v>
      </c>
      <c r="U40" s="51">
        <f t="shared" si="14"/>
        <v>0.3548387097</v>
      </c>
      <c r="V40" s="51">
        <f t="shared" si="14"/>
        <v>0.3666666667</v>
      </c>
      <c r="W40" s="51">
        <f t="shared" si="14"/>
        <v>0.3793103448</v>
      </c>
      <c r="X40" s="51">
        <f t="shared" si="14"/>
        <v>0.3928571429</v>
      </c>
      <c r="Y40" s="49">
        <f t="shared" si="14"/>
        <v>0.4074074074</v>
      </c>
      <c r="Z40" s="50">
        <f t="shared" si="14"/>
        <v>0.4230769231</v>
      </c>
      <c r="AA40" s="51">
        <f t="shared" si="14"/>
        <v>0.44</v>
      </c>
      <c r="AB40" s="51">
        <f t="shared" si="14"/>
        <v>0.4583333333</v>
      </c>
      <c r="AC40" s="51">
        <f t="shared" si="14"/>
        <v>0.4782608696</v>
      </c>
      <c r="AD40" s="51">
        <f t="shared" si="14"/>
        <v>0.5</v>
      </c>
      <c r="AE40" s="51">
        <f t="shared" si="14"/>
        <v>0.5238095238</v>
      </c>
      <c r="AF40" s="51">
        <f t="shared" si="14"/>
        <v>0.55</v>
      </c>
      <c r="AG40" s="51">
        <f t="shared" si="14"/>
        <v>0.5789473684</v>
      </c>
      <c r="AH40" s="51">
        <f t="shared" si="14"/>
        <v>0.6111111111</v>
      </c>
      <c r="AI40" s="51">
        <f t="shared" si="14"/>
        <v>0.6470588235</v>
      </c>
      <c r="AJ40" s="51">
        <f t="shared" si="14"/>
        <v>0.6875</v>
      </c>
      <c r="AK40" s="51">
        <f t="shared" si="14"/>
        <v>0.7333333333</v>
      </c>
      <c r="AL40" s="51">
        <f t="shared" si="14"/>
        <v>0.7857142857</v>
      </c>
      <c r="AM40" s="51">
        <f t="shared" si="14"/>
        <v>0.8461538462</v>
      </c>
      <c r="AN40" s="51">
        <f t="shared" si="14"/>
        <v>0.9166666667</v>
      </c>
      <c r="AO40" s="51">
        <f t="shared" si="14"/>
        <v>1</v>
      </c>
      <c r="AP40" s="51">
        <f t="shared" si="14"/>
        <v>1.1</v>
      </c>
      <c r="AQ40" s="51">
        <f t="shared" si="14"/>
        <v>1.222222222</v>
      </c>
      <c r="AR40" s="51">
        <f t="shared" si="14"/>
        <v>1.375</v>
      </c>
      <c r="AS40" s="51">
        <f t="shared" si="14"/>
        <v>1.571428571</v>
      </c>
      <c r="AT40" s="51">
        <f t="shared" si="14"/>
        <v>1.833333333</v>
      </c>
      <c r="AU40" s="52">
        <f t="shared" si="14"/>
        <v>2.2</v>
      </c>
      <c r="AV40" s="51">
        <f t="shared" si="14"/>
        <v>2.75</v>
      </c>
      <c r="AW40" s="51">
        <f t="shared" si="14"/>
        <v>3.666666667</v>
      </c>
      <c r="AX40" s="51">
        <f t="shared" si="14"/>
        <v>5.5</v>
      </c>
      <c r="AY40" s="58">
        <f t="shared" si="14"/>
        <v>11</v>
      </c>
    </row>
    <row r="41" ht="12.0" customHeight="1">
      <c r="A41" s="48">
        <f t="shared" si="5"/>
        <v>12</v>
      </c>
      <c r="B41" s="52">
        <f t="shared" si="3"/>
        <v>0.24</v>
      </c>
      <c r="C41" s="51">
        <f t="shared" ref="C41:AY41" si="15">$A$41/(100-C29)</f>
        <v>0.2448979592</v>
      </c>
      <c r="D41" s="51">
        <f t="shared" si="15"/>
        <v>0.25</v>
      </c>
      <c r="E41" s="51">
        <f t="shared" si="15"/>
        <v>0.2553191489</v>
      </c>
      <c r="F41" s="51">
        <f t="shared" si="15"/>
        <v>0.2608695652</v>
      </c>
      <c r="G41" s="51">
        <f t="shared" si="15"/>
        <v>0.2666666667</v>
      </c>
      <c r="H41" s="51">
        <f t="shared" si="15"/>
        <v>0.2727272727</v>
      </c>
      <c r="I41" s="51">
        <f t="shared" si="15"/>
        <v>0.2790697674</v>
      </c>
      <c r="J41" s="51">
        <f t="shared" si="15"/>
        <v>0.2857142857</v>
      </c>
      <c r="K41" s="51">
        <f t="shared" si="15"/>
        <v>0.2926829268</v>
      </c>
      <c r="L41" s="51">
        <f t="shared" si="15"/>
        <v>0.3</v>
      </c>
      <c r="M41" s="51">
        <f t="shared" si="15"/>
        <v>0.3076923077</v>
      </c>
      <c r="N41" s="51">
        <f t="shared" si="15"/>
        <v>0.3157894737</v>
      </c>
      <c r="O41" s="51">
        <f t="shared" si="15"/>
        <v>0.3243243243</v>
      </c>
      <c r="P41" s="51">
        <f t="shared" si="15"/>
        <v>0.3333333333</v>
      </c>
      <c r="Q41" s="51">
        <f t="shared" si="15"/>
        <v>0.3428571429</v>
      </c>
      <c r="R41" s="51">
        <f t="shared" si="15"/>
        <v>0.3529411765</v>
      </c>
      <c r="S41" s="51">
        <f t="shared" si="15"/>
        <v>0.3636363636</v>
      </c>
      <c r="T41" s="51">
        <f t="shared" si="15"/>
        <v>0.375</v>
      </c>
      <c r="U41" s="51">
        <f t="shared" si="15"/>
        <v>0.3870967742</v>
      </c>
      <c r="V41" s="49">
        <f t="shared" si="15"/>
        <v>0.4</v>
      </c>
      <c r="W41" s="50">
        <f t="shared" si="15"/>
        <v>0.4137931034</v>
      </c>
      <c r="X41" s="50">
        <f t="shared" si="15"/>
        <v>0.4285714286</v>
      </c>
      <c r="Y41" s="51">
        <f t="shared" si="15"/>
        <v>0.4444444444</v>
      </c>
      <c r="Z41" s="51">
        <f t="shared" si="15"/>
        <v>0.4615384615</v>
      </c>
      <c r="AA41" s="51">
        <f t="shared" si="15"/>
        <v>0.48</v>
      </c>
      <c r="AB41" s="51">
        <f t="shared" si="15"/>
        <v>0.5</v>
      </c>
      <c r="AC41" s="51">
        <f t="shared" si="15"/>
        <v>0.5217391304</v>
      </c>
      <c r="AD41" s="51">
        <f t="shared" si="15"/>
        <v>0.5454545455</v>
      </c>
      <c r="AE41" s="51">
        <f t="shared" si="15"/>
        <v>0.5714285714</v>
      </c>
      <c r="AF41" s="51">
        <f t="shared" si="15"/>
        <v>0.6</v>
      </c>
      <c r="AG41" s="51">
        <f t="shared" si="15"/>
        <v>0.6315789474</v>
      </c>
      <c r="AH41" s="51">
        <f t="shared" si="15"/>
        <v>0.6666666667</v>
      </c>
      <c r="AI41" s="51">
        <f t="shared" si="15"/>
        <v>0.7058823529</v>
      </c>
      <c r="AJ41" s="51">
        <f t="shared" si="15"/>
        <v>0.75</v>
      </c>
      <c r="AK41" s="51">
        <f t="shared" si="15"/>
        <v>0.8</v>
      </c>
      <c r="AL41" s="51">
        <f t="shared" si="15"/>
        <v>0.8571428571</v>
      </c>
      <c r="AM41" s="51">
        <f t="shared" si="15"/>
        <v>0.9230769231</v>
      </c>
      <c r="AN41" s="51">
        <f t="shared" si="15"/>
        <v>1</v>
      </c>
      <c r="AO41" s="51">
        <f t="shared" si="15"/>
        <v>1.090909091</v>
      </c>
      <c r="AP41" s="51">
        <f t="shared" si="15"/>
        <v>1.2</v>
      </c>
      <c r="AQ41" s="51">
        <f t="shared" si="15"/>
        <v>1.333333333</v>
      </c>
      <c r="AR41" s="51">
        <f t="shared" si="15"/>
        <v>1.5</v>
      </c>
      <c r="AS41" s="51">
        <f t="shared" si="15"/>
        <v>1.714285714</v>
      </c>
      <c r="AT41" s="49">
        <f t="shared" si="15"/>
        <v>2</v>
      </c>
      <c r="AU41" s="51">
        <f t="shared" si="15"/>
        <v>2.4</v>
      </c>
      <c r="AV41" s="51">
        <f t="shared" si="15"/>
        <v>3</v>
      </c>
      <c r="AW41" s="51">
        <f t="shared" si="15"/>
        <v>4</v>
      </c>
      <c r="AX41" s="51">
        <f t="shared" si="15"/>
        <v>6</v>
      </c>
      <c r="AY41" s="58">
        <f t="shared" si="15"/>
        <v>12</v>
      </c>
    </row>
    <row r="42" ht="12.0" customHeight="1">
      <c r="A42" s="48">
        <f t="shared" si="5"/>
        <v>13</v>
      </c>
      <c r="B42" s="52">
        <f t="shared" si="3"/>
        <v>0.26</v>
      </c>
      <c r="C42" s="51">
        <f t="shared" ref="C42:AY42" si="16">$A$42/(100-C29)</f>
        <v>0.2653061224</v>
      </c>
      <c r="D42" s="51">
        <f t="shared" si="16"/>
        <v>0.2708333333</v>
      </c>
      <c r="E42" s="51">
        <f t="shared" si="16"/>
        <v>0.2765957447</v>
      </c>
      <c r="F42" s="51">
        <f t="shared" si="16"/>
        <v>0.2826086957</v>
      </c>
      <c r="G42" s="51">
        <f t="shared" si="16"/>
        <v>0.2888888889</v>
      </c>
      <c r="H42" s="51">
        <f t="shared" si="16"/>
        <v>0.2954545455</v>
      </c>
      <c r="I42" s="51">
        <f t="shared" si="16"/>
        <v>0.3023255814</v>
      </c>
      <c r="J42" s="51">
        <f t="shared" si="16"/>
        <v>0.3095238095</v>
      </c>
      <c r="K42" s="51">
        <f t="shared" si="16"/>
        <v>0.3170731707</v>
      </c>
      <c r="L42" s="51">
        <f t="shared" si="16"/>
        <v>0.325</v>
      </c>
      <c r="M42" s="51">
        <f t="shared" si="16"/>
        <v>0.3333333333</v>
      </c>
      <c r="N42" s="51">
        <f t="shared" si="16"/>
        <v>0.3421052632</v>
      </c>
      <c r="O42" s="51">
        <f t="shared" si="16"/>
        <v>0.3513513514</v>
      </c>
      <c r="P42" s="51">
        <f t="shared" si="16"/>
        <v>0.3611111111</v>
      </c>
      <c r="Q42" s="51">
        <f t="shared" si="16"/>
        <v>0.3714285714</v>
      </c>
      <c r="R42" s="51">
        <f t="shared" si="16"/>
        <v>0.3823529412</v>
      </c>
      <c r="S42" s="51">
        <f t="shared" si="16"/>
        <v>0.3939393939</v>
      </c>
      <c r="T42" s="49">
        <f t="shared" si="16"/>
        <v>0.40625</v>
      </c>
      <c r="U42" s="50">
        <f t="shared" si="16"/>
        <v>0.4193548387</v>
      </c>
      <c r="V42" s="51">
        <f t="shared" si="16"/>
        <v>0.4333333333</v>
      </c>
      <c r="W42" s="51">
        <f t="shared" si="16"/>
        <v>0.4482758621</v>
      </c>
      <c r="X42" s="51">
        <f t="shared" si="16"/>
        <v>0.4642857143</v>
      </c>
      <c r="Y42" s="51">
        <f t="shared" si="16"/>
        <v>0.4814814815</v>
      </c>
      <c r="Z42" s="51">
        <f t="shared" si="16"/>
        <v>0.5</v>
      </c>
      <c r="AA42" s="51">
        <f t="shared" si="16"/>
        <v>0.52</v>
      </c>
      <c r="AB42" s="51">
        <f t="shared" si="16"/>
        <v>0.5416666667</v>
      </c>
      <c r="AC42" s="51">
        <f t="shared" si="16"/>
        <v>0.5652173913</v>
      </c>
      <c r="AD42" s="51">
        <f t="shared" si="16"/>
        <v>0.5909090909</v>
      </c>
      <c r="AE42" s="51">
        <f t="shared" si="16"/>
        <v>0.619047619</v>
      </c>
      <c r="AF42" s="51">
        <f t="shared" si="16"/>
        <v>0.65</v>
      </c>
      <c r="AG42" s="51">
        <f t="shared" si="16"/>
        <v>0.6842105263</v>
      </c>
      <c r="AH42" s="51">
        <f t="shared" si="16"/>
        <v>0.7222222222</v>
      </c>
      <c r="AI42" s="51">
        <f t="shared" si="16"/>
        <v>0.7647058824</v>
      </c>
      <c r="AJ42" s="51">
        <f t="shared" si="16"/>
        <v>0.8125</v>
      </c>
      <c r="AK42" s="51">
        <f t="shared" si="16"/>
        <v>0.8666666667</v>
      </c>
      <c r="AL42" s="51">
        <f t="shared" si="16"/>
        <v>0.9285714286</v>
      </c>
      <c r="AM42" s="51">
        <f t="shared" si="16"/>
        <v>1</v>
      </c>
      <c r="AN42" s="51">
        <f t="shared" si="16"/>
        <v>1.083333333</v>
      </c>
      <c r="AO42" s="51">
        <f t="shared" si="16"/>
        <v>1.181818182</v>
      </c>
      <c r="AP42" s="51">
        <f t="shared" si="16"/>
        <v>1.3</v>
      </c>
      <c r="AQ42" s="51">
        <f t="shared" si="16"/>
        <v>1.444444444</v>
      </c>
      <c r="AR42" s="51">
        <f t="shared" si="16"/>
        <v>1.625</v>
      </c>
      <c r="AS42" s="54">
        <f t="shared" si="16"/>
        <v>1.857142857</v>
      </c>
      <c r="AT42" s="52">
        <f t="shared" si="16"/>
        <v>2.166666667</v>
      </c>
      <c r="AU42" s="51">
        <f t="shared" si="16"/>
        <v>2.6</v>
      </c>
      <c r="AV42" s="51">
        <f t="shared" si="16"/>
        <v>3.25</v>
      </c>
      <c r="AW42" s="51">
        <f t="shared" si="16"/>
        <v>4.333333333</v>
      </c>
      <c r="AX42" s="51">
        <f t="shared" si="16"/>
        <v>6.5</v>
      </c>
      <c r="AY42" s="58">
        <f t="shared" si="16"/>
        <v>13</v>
      </c>
    </row>
    <row r="43" ht="12.0" customHeight="1">
      <c r="A43" s="48">
        <f t="shared" si="5"/>
        <v>14</v>
      </c>
      <c r="B43" s="52">
        <f t="shared" si="3"/>
        <v>0.28</v>
      </c>
      <c r="C43" s="51">
        <f t="shared" ref="C43:AY43" si="17">$A$43/(100-C29)</f>
        <v>0.2857142857</v>
      </c>
      <c r="D43" s="51">
        <f t="shared" si="17"/>
        <v>0.2916666667</v>
      </c>
      <c r="E43" s="51">
        <f t="shared" si="17"/>
        <v>0.2978723404</v>
      </c>
      <c r="F43" s="51">
        <f t="shared" si="17"/>
        <v>0.3043478261</v>
      </c>
      <c r="G43" s="51">
        <f t="shared" si="17"/>
        <v>0.3111111111</v>
      </c>
      <c r="H43" s="51">
        <f t="shared" si="17"/>
        <v>0.3181818182</v>
      </c>
      <c r="I43" s="51">
        <f t="shared" si="17"/>
        <v>0.3255813953</v>
      </c>
      <c r="J43" s="51">
        <f t="shared" si="17"/>
        <v>0.3333333333</v>
      </c>
      <c r="K43" s="51">
        <f t="shared" si="17"/>
        <v>0.3414634146</v>
      </c>
      <c r="L43" s="51">
        <f t="shared" si="17"/>
        <v>0.35</v>
      </c>
      <c r="M43" s="51">
        <f t="shared" si="17"/>
        <v>0.358974359</v>
      </c>
      <c r="N43" s="51">
        <f t="shared" si="17"/>
        <v>0.3684210526</v>
      </c>
      <c r="O43" s="51">
        <f t="shared" si="17"/>
        <v>0.3783783784</v>
      </c>
      <c r="P43" s="51">
        <f t="shared" si="17"/>
        <v>0.3888888889</v>
      </c>
      <c r="Q43" s="49">
        <f t="shared" si="17"/>
        <v>0.4</v>
      </c>
      <c r="R43" s="50">
        <f t="shared" si="17"/>
        <v>0.4117647059</v>
      </c>
      <c r="S43" s="50">
        <f t="shared" si="17"/>
        <v>0.4242424242</v>
      </c>
      <c r="T43" s="51">
        <f t="shared" si="17"/>
        <v>0.4375</v>
      </c>
      <c r="U43" s="51">
        <f t="shared" si="17"/>
        <v>0.4516129032</v>
      </c>
      <c r="V43" s="51">
        <f t="shared" si="17"/>
        <v>0.4666666667</v>
      </c>
      <c r="W43" s="51">
        <f t="shared" si="17"/>
        <v>0.4827586207</v>
      </c>
      <c r="X43" s="51">
        <f t="shared" si="17"/>
        <v>0.5</v>
      </c>
      <c r="Y43" s="51">
        <f t="shared" si="17"/>
        <v>0.5185185185</v>
      </c>
      <c r="Z43" s="51">
        <f t="shared" si="17"/>
        <v>0.5384615385</v>
      </c>
      <c r="AA43" s="51">
        <f t="shared" si="17"/>
        <v>0.56</v>
      </c>
      <c r="AB43" s="51">
        <f t="shared" si="17"/>
        <v>0.5833333333</v>
      </c>
      <c r="AC43" s="51">
        <f t="shared" si="17"/>
        <v>0.6086956522</v>
      </c>
      <c r="AD43" s="51">
        <f t="shared" si="17"/>
        <v>0.6363636364</v>
      </c>
      <c r="AE43" s="51">
        <f t="shared" si="17"/>
        <v>0.6666666667</v>
      </c>
      <c r="AF43" s="51">
        <f t="shared" si="17"/>
        <v>0.7</v>
      </c>
      <c r="AG43" s="51">
        <f t="shared" si="17"/>
        <v>0.7368421053</v>
      </c>
      <c r="AH43" s="51">
        <f t="shared" si="17"/>
        <v>0.7777777778</v>
      </c>
      <c r="AI43" s="51">
        <f t="shared" si="17"/>
        <v>0.8235294118</v>
      </c>
      <c r="AJ43" s="51">
        <f t="shared" si="17"/>
        <v>0.875</v>
      </c>
      <c r="AK43" s="51">
        <f t="shared" si="17"/>
        <v>0.9333333333</v>
      </c>
      <c r="AL43" s="51">
        <f t="shared" si="17"/>
        <v>1</v>
      </c>
      <c r="AM43" s="51">
        <f t="shared" si="17"/>
        <v>1.076923077</v>
      </c>
      <c r="AN43" s="51">
        <f t="shared" si="17"/>
        <v>1.166666667</v>
      </c>
      <c r="AO43" s="51">
        <f t="shared" si="17"/>
        <v>1.272727273</v>
      </c>
      <c r="AP43" s="51">
        <f t="shared" si="17"/>
        <v>1.4</v>
      </c>
      <c r="AQ43" s="51">
        <f t="shared" si="17"/>
        <v>1.555555556</v>
      </c>
      <c r="AR43" s="56">
        <f t="shared" si="17"/>
        <v>1.75</v>
      </c>
      <c r="AS43" s="50">
        <f t="shared" si="17"/>
        <v>2</v>
      </c>
      <c r="AT43" s="51">
        <f t="shared" si="17"/>
        <v>2.333333333</v>
      </c>
      <c r="AU43" s="51">
        <f t="shared" si="17"/>
        <v>2.8</v>
      </c>
      <c r="AV43" s="51">
        <f t="shared" si="17"/>
        <v>3.5</v>
      </c>
      <c r="AW43" s="51">
        <f t="shared" si="17"/>
        <v>4.666666667</v>
      </c>
      <c r="AX43" s="51">
        <f t="shared" si="17"/>
        <v>7</v>
      </c>
      <c r="AY43" s="58">
        <f t="shared" si="17"/>
        <v>14</v>
      </c>
    </row>
    <row r="44" ht="12.0" customHeight="1">
      <c r="A44" s="48">
        <f t="shared" si="5"/>
        <v>15</v>
      </c>
      <c r="B44" s="52">
        <f t="shared" si="3"/>
        <v>0.3</v>
      </c>
      <c r="C44" s="51">
        <f t="shared" ref="C44:AY44" si="18">$A$44/(100-C29)</f>
        <v>0.306122449</v>
      </c>
      <c r="D44" s="51">
        <f t="shared" si="18"/>
        <v>0.3125</v>
      </c>
      <c r="E44" s="51">
        <f t="shared" si="18"/>
        <v>0.3191489362</v>
      </c>
      <c r="F44" s="51">
        <f t="shared" si="18"/>
        <v>0.3260869565</v>
      </c>
      <c r="G44" s="51">
        <f t="shared" si="18"/>
        <v>0.3333333333</v>
      </c>
      <c r="H44" s="51">
        <f t="shared" si="18"/>
        <v>0.3409090909</v>
      </c>
      <c r="I44" s="51">
        <f t="shared" si="18"/>
        <v>0.3488372093</v>
      </c>
      <c r="J44" s="51">
        <f t="shared" si="18"/>
        <v>0.3571428571</v>
      </c>
      <c r="K44" s="51">
        <f t="shared" si="18"/>
        <v>0.3658536585</v>
      </c>
      <c r="L44" s="51">
        <f t="shared" si="18"/>
        <v>0.375</v>
      </c>
      <c r="M44" s="51">
        <f t="shared" si="18"/>
        <v>0.3846153846</v>
      </c>
      <c r="N44" s="51">
        <f t="shared" si="18"/>
        <v>0.3947368421</v>
      </c>
      <c r="O44" s="49">
        <f t="shared" si="18"/>
        <v>0.4054054054</v>
      </c>
      <c r="P44" s="50">
        <f t="shared" si="18"/>
        <v>0.4166666667</v>
      </c>
      <c r="Q44" s="51">
        <f t="shared" si="18"/>
        <v>0.4285714286</v>
      </c>
      <c r="R44" s="51">
        <f t="shared" si="18"/>
        <v>0.4411764706</v>
      </c>
      <c r="S44" s="51">
        <f t="shared" si="18"/>
        <v>0.4545454545</v>
      </c>
      <c r="T44" s="51">
        <f t="shared" si="18"/>
        <v>0.46875</v>
      </c>
      <c r="U44" s="51">
        <f t="shared" si="18"/>
        <v>0.4838709677</v>
      </c>
      <c r="V44" s="51">
        <f t="shared" si="18"/>
        <v>0.5</v>
      </c>
      <c r="W44" s="51">
        <f t="shared" si="18"/>
        <v>0.5172413793</v>
      </c>
      <c r="X44" s="51">
        <f t="shared" si="18"/>
        <v>0.5357142857</v>
      </c>
      <c r="Y44" s="51">
        <f t="shared" si="18"/>
        <v>0.5555555556</v>
      </c>
      <c r="Z44" s="51">
        <f t="shared" si="18"/>
        <v>0.5769230769</v>
      </c>
      <c r="AA44" s="51">
        <f t="shared" si="18"/>
        <v>0.6</v>
      </c>
      <c r="AB44" s="51">
        <f t="shared" si="18"/>
        <v>0.625</v>
      </c>
      <c r="AC44" s="51">
        <f t="shared" si="18"/>
        <v>0.652173913</v>
      </c>
      <c r="AD44" s="51">
        <f t="shared" si="18"/>
        <v>0.6818181818</v>
      </c>
      <c r="AE44" s="51">
        <f t="shared" si="18"/>
        <v>0.7142857143</v>
      </c>
      <c r="AF44" s="51">
        <f t="shared" si="18"/>
        <v>0.75</v>
      </c>
      <c r="AG44" s="51">
        <f t="shared" si="18"/>
        <v>0.7894736842</v>
      </c>
      <c r="AH44" s="51">
        <f t="shared" si="18"/>
        <v>0.8333333333</v>
      </c>
      <c r="AI44" s="51">
        <f t="shared" si="18"/>
        <v>0.8823529412</v>
      </c>
      <c r="AJ44" s="51">
        <f t="shared" si="18"/>
        <v>0.9375</v>
      </c>
      <c r="AK44" s="51">
        <f t="shared" si="18"/>
        <v>1</v>
      </c>
      <c r="AL44" s="51">
        <f t="shared" si="18"/>
        <v>1.071428571</v>
      </c>
      <c r="AM44" s="51">
        <f t="shared" si="18"/>
        <v>1.153846154</v>
      </c>
      <c r="AN44" s="51">
        <f t="shared" si="18"/>
        <v>1.25</v>
      </c>
      <c r="AO44" s="51">
        <f t="shared" si="18"/>
        <v>1.363636364</v>
      </c>
      <c r="AP44" s="51">
        <f t="shared" si="18"/>
        <v>1.5</v>
      </c>
      <c r="AQ44" s="51">
        <f t="shared" si="18"/>
        <v>1.666666667</v>
      </c>
      <c r="AR44" s="56">
        <f t="shared" si="18"/>
        <v>1.875</v>
      </c>
      <c r="AS44" s="51">
        <f t="shared" si="18"/>
        <v>2.142857143</v>
      </c>
      <c r="AT44" s="51">
        <f t="shared" si="18"/>
        <v>2.5</v>
      </c>
      <c r="AU44" s="51">
        <f t="shared" si="18"/>
        <v>3</v>
      </c>
      <c r="AV44" s="51">
        <f t="shared" si="18"/>
        <v>3.75</v>
      </c>
      <c r="AW44" s="51">
        <f t="shared" si="18"/>
        <v>5</v>
      </c>
      <c r="AX44" s="51">
        <f t="shared" si="18"/>
        <v>7.5</v>
      </c>
      <c r="AY44" s="58">
        <f t="shared" si="18"/>
        <v>15</v>
      </c>
    </row>
    <row r="45" ht="12.0" customHeight="1">
      <c r="A45" s="48">
        <f t="shared" si="5"/>
        <v>16</v>
      </c>
      <c r="B45" s="52">
        <f t="shared" si="3"/>
        <v>0.32</v>
      </c>
      <c r="C45" s="51">
        <f t="shared" ref="C45:AY45" si="19">$A$45/(100-C29)</f>
        <v>0.3265306122</v>
      </c>
      <c r="D45" s="51">
        <f t="shared" si="19"/>
        <v>0.3333333333</v>
      </c>
      <c r="E45" s="51">
        <f t="shared" si="19"/>
        <v>0.3404255319</v>
      </c>
      <c r="F45" s="51">
        <f t="shared" si="19"/>
        <v>0.347826087</v>
      </c>
      <c r="G45" s="51">
        <f t="shared" si="19"/>
        <v>0.3555555556</v>
      </c>
      <c r="H45" s="51">
        <f t="shared" si="19"/>
        <v>0.3636363636</v>
      </c>
      <c r="I45" s="51">
        <f t="shared" si="19"/>
        <v>0.3720930233</v>
      </c>
      <c r="J45" s="51">
        <f t="shared" si="19"/>
        <v>0.380952381</v>
      </c>
      <c r="K45" s="51">
        <f t="shared" si="19"/>
        <v>0.3902439024</v>
      </c>
      <c r="L45" s="49">
        <f t="shared" si="19"/>
        <v>0.4</v>
      </c>
      <c r="M45" s="50">
        <f t="shared" si="19"/>
        <v>0.4102564103</v>
      </c>
      <c r="N45" s="50">
        <f t="shared" si="19"/>
        <v>0.4210526316</v>
      </c>
      <c r="O45" s="51">
        <f t="shared" si="19"/>
        <v>0.4324324324</v>
      </c>
      <c r="P45" s="51">
        <f t="shared" si="19"/>
        <v>0.4444444444</v>
      </c>
      <c r="Q45" s="51">
        <f t="shared" si="19"/>
        <v>0.4571428571</v>
      </c>
      <c r="R45" s="51">
        <f t="shared" si="19"/>
        <v>0.4705882353</v>
      </c>
      <c r="S45" s="51">
        <f t="shared" si="19"/>
        <v>0.4848484848</v>
      </c>
      <c r="T45" s="51">
        <f t="shared" si="19"/>
        <v>0.5</v>
      </c>
      <c r="U45" s="51">
        <f t="shared" si="19"/>
        <v>0.5161290323</v>
      </c>
      <c r="V45" s="51">
        <f t="shared" si="19"/>
        <v>0.5333333333</v>
      </c>
      <c r="W45" s="51">
        <f t="shared" si="19"/>
        <v>0.5517241379</v>
      </c>
      <c r="X45" s="51">
        <f t="shared" si="19"/>
        <v>0.5714285714</v>
      </c>
      <c r="Y45" s="51">
        <f t="shared" si="19"/>
        <v>0.5925925926</v>
      </c>
      <c r="Z45" s="51">
        <f t="shared" si="19"/>
        <v>0.6153846154</v>
      </c>
      <c r="AA45" s="51">
        <f t="shared" si="19"/>
        <v>0.64</v>
      </c>
      <c r="AB45" s="51">
        <f t="shared" si="19"/>
        <v>0.6666666667</v>
      </c>
      <c r="AC45" s="51">
        <f t="shared" si="19"/>
        <v>0.6956521739</v>
      </c>
      <c r="AD45" s="51">
        <f t="shared" si="19"/>
        <v>0.7272727273</v>
      </c>
      <c r="AE45" s="51">
        <f t="shared" si="19"/>
        <v>0.7619047619</v>
      </c>
      <c r="AF45" s="51">
        <f t="shared" si="19"/>
        <v>0.8</v>
      </c>
      <c r="AG45" s="51">
        <f t="shared" si="19"/>
        <v>0.8421052632</v>
      </c>
      <c r="AH45" s="51">
        <f t="shared" si="19"/>
        <v>0.8888888889</v>
      </c>
      <c r="AI45" s="51">
        <f t="shared" si="19"/>
        <v>0.9411764706</v>
      </c>
      <c r="AJ45" s="51">
        <f t="shared" si="19"/>
        <v>1</v>
      </c>
      <c r="AK45" s="51">
        <f t="shared" si="19"/>
        <v>1.066666667</v>
      </c>
      <c r="AL45" s="51">
        <f t="shared" si="19"/>
        <v>1.142857143</v>
      </c>
      <c r="AM45" s="51">
        <f t="shared" si="19"/>
        <v>1.230769231</v>
      </c>
      <c r="AN45" s="51">
        <f t="shared" si="19"/>
        <v>1.333333333</v>
      </c>
      <c r="AO45" s="51">
        <f t="shared" si="19"/>
        <v>1.454545455</v>
      </c>
      <c r="AP45" s="51">
        <f t="shared" si="19"/>
        <v>1.6</v>
      </c>
      <c r="AQ45" s="51">
        <f t="shared" si="19"/>
        <v>1.777777778</v>
      </c>
      <c r="AR45" s="49">
        <f t="shared" si="19"/>
        <v>2</v>
      </c>
      <c r="AS45" s="51">
        <f t="shared" si="19"/>
        <v>2.285714286</v>
      </c>
      <c r="AT45" s="51">
        <f t="shared" si="19"/>
        <v>2.666666667</v>
      </c>
      <c r="AU45" s="51">
        <f t="shared" si="19"/>
        <v>3.2</v>
      </c>
      <c r="AV45" s="51">
        <f t="shared" si="19"/>
        <v>4</v>
      </c>
      <c r="AW45" s="51">
        <f t="shared" si="19"/>
        <v>5.333333333</v>
      </c>
      <c r="AX45" s="51">
        <f t="shared" si="19"/>
        <v>8</v>
      </c>
      <c r="AY45" s="58">
        <f t="shared" si="19"/>
        <v>16</v>
      </c>
    </row>
    <row r="46" ht="12.0" customHeight="1">
      <c r="A46" s="48">
        <f t="shared" si="5"/>
        <v>17</v>
      </c>
      <c r="B46" s="52">
        <f t="shared" si="3"/>
        <v>0.34</v>
      </c>
      <c r="C46" s="51">
        <f t="shared" ref="C46:AY46" si="20">$A$46/(100-C29)</f>
        <v>0.3469387755</v>
      </c>
      <c r="D46" s="51">
        <f t="shared" si="20"/>
        <v>0.3541666667</v>
      </c>
      <c r="E46" s="51">
        <f t="shared" si="20"/>
        <v>0.3617021277</v>
      </c>
      <c r="F46" s="51">
        <f t="shared" si="20"/>
        <v>0.3695652174</v>
      </c>
      <c r="G46" s="51">
        <f t="shared" si="20"/>
        <v>0.3777777778</v>
      </c>
      <c r="H46" s="51">
        <f t="shared" si="20"/>
        <v>0.3863636364</v>
      </c>
      <c r="I46" s="49">
        <f t="shared" si="20"/>
        <v>0.3953488372</v>
      </c>
      <c r="J46" s="50">
        <f t="shared" si="20"/>
        <v>0.4047619048</v>
      </c>
      <c r="K46" s="50">
        <f t="shared" si="20"/>
        <v>0.4146341463</v>
      </c>
      <c r="L46" s="51">
        <f t="shared" si="20"/>
        <v>0.425</v>
      </c>
      <c r="M46" s="51">
        <f t="shared" si="20"/>
        <v>0.4358974359</v>
      </c>
      <c r="N46" s="51">
        <f t="shared" si="20"/>
        <v>0.4473684211</v>
      </c>
      <c r="O46" s="51">
        <f t="shared" si="20"/>
        <v>0.4594594595</v>
      </c>
      <c r="P46" s="51">
        <f t="shared" si="20"/>
        <v>0.4722222222</v>
      </c>
      <c r="Q46" s="51">
        <f t="shared" si="20"/>
        <v>0.4857142857</v>
      </c>
      <c r="R46" s="51">
        <f t="shared" si="20"/>
        <v>0.5</v>
      </c>
      <c r="S46" s="51">
        <f t="shared" si="20"/>
        <v>0.5151515152</v>
      </c>
      <c r="T46" s="51">
        <f t="shared" si="20"/>
        <v>0.53125</v>
      </c>
      <c r="U46" s="51">
        <f t="shared" si="20"/>
        <v>0.5483870968</v>
      </c>
      <c r="V46" s="51">
        <f t="shared" si="20"/>
        <v>0.5666666667</v>
      </c>
      <c r="W46" s="51">
        <f t="shared" si="20"/>
        <v>0.5862068966</v>
      </c>
      <c r="X46" s="51">
        <f t="shared" si="20"/>
        <v>0.6071428571</v>
      </c>
      <c r="Y46" s="51">
        <f t="shared" si="20"/>
        <v>0.6296296296</v>
      </c>
      <c r="Z46" s="51">
        <f t="shared" si="20"/>
        <v>0.6538461538</v>
      </c>
      <c r="AA46" s="51">
        <f t="shared" si="20"/>
        <v>0.68</v>
      </c>
      <c r="AB46" s="51">
        <f t="shared" si="20"/>
        <v>0.7083333333</v>
      </c>
      <c r="AC46" s="51">
        <f t="shared" si="20"/>
        <v>0.7391304348</v>
      </c>
      <c r="AD46" s="51">
        <f t="shared" si="20"/>
        <v>0.7727272727</v>
      </c>
      <c r="AE46" s="51">
        <f t="shared" si="20"/>
        <v>0.8095238095</v>
      </c>
      <c r="AF46" s="51">
        <f t="shared" si="20"/>
        <v>0.85</v>
      </c>
      <c r="AG46" s="51">
        <f t="shared" si="20"/>
        <v>0.8947368421</v>
      </c>
      <c r="AH46" s="51">
        <f t="shared" si="20"/>
        <v>0.9444444444</v>
      </c>
      <c r="AI46" s="51">
        <f t="shared" si="20"/>
        <v>1</v>
      </c>
      <c r="AJ46" s="51">
        <f t="shared" si="20"/>
        <v>1.0625</v>
      </c>
      <c r="AK46" s="51">
        <f t="shared" si="20"/>
        <v>1.133333333</v>
      </c>
      <c r="AL46" s="51">
        <f t="shared" si="20"/>
        <v>1.214285714</v>
      </c>
      <c r="AM46" s="51">
        <f t="shared" si="20"/>
        <v>1.307692308</v>
      </c>
      <c r="AN46" s="51">
        <f t="shared" si="20"/>
        <v>1.416666667</v>
      </c>
      <c r="AO46" s="51">
        <f t="shared" si="20"/>
        <v>1.545454545</v>
      </c>
      <c r="AP46" s="51">
        <f t="shared" si="20"/>
        <v>1.7</v>
      </c>
      <c r="AQ46" s="51">
        <f t="shared" si="20"/>
        <v>1.888888889</v>
      </c>
      <c r="AR46" s="52">
        <f t="shared" si="20"/>
        <v>2.125</v>
      </c>
      <c r="AS46" s="51">
        <f t="shared" si="20"/>
        <v>2.428571429</v>
      </c>
      <c r="AT46" s="51">
        <f t="shared" si="20"/>
        <v>2.833333333</v>
      </c>
      <c r="AU46" s="51">
        <f t="shared" si="20"/>
        <v>3.4</v>
      </c>
      <c r="AV46" s="51">
        <f t="shared" si="20"/>
        <v>4.25</v>
      </c>
      <c r="AW46" s="51">
        <f t="shared" si="20"/>
        <v>5.666666667</v>
      </c>
      <c r="AX46" s="51">
        <f t="shared" si="20"/>
        <v>8.5</v>
      </c>
      <c r="AY46" s="58">
        <f t="shared" si="20"/>
        <v>17</v>
      </c>
    </row>
    <row r="47" ht="12.0" customHeight="1">
      <c r="A47" s="48">
        <f t="shared" si="5"/>
        <v>18</v>
      </c>
      <c r="B47" s="52">
        <f t="shared" si="3"/>
        <v>0.36</v>
      </c>
      <c r="C47" s="51">
        <f t="shared" ref="C47:AY47" si="21">$A$47/(100-C29)</f>
        <v>0.3673469388</v>
      </c>
      <c r="D47" s="51">
        <f t="shared" si="21"/>
        <v>0.375</v>
      </c>
      <c r="E47" s="51">
        <f t="shared" si="21"/>
        <v>0.3829787234</v>
      </c>
      <c r="F47" s="51">
        <f t="shared" si="21"/>
        <v>0.3913043478</v>
      </c>
      <c r="G47" s="49">
        <f t="shared" si="21"/>
        <v>0.4</v>
      </c>
      <c r="H47" s="50">
        <f t="shared" si="21"/>
        <v>0.4090909091</v>
      </c>
      <c r="I47" s="51">
        <f t="shared" si="21"/>
        <v>0.4186046512</v>
      </c>
      <c r="J47" s="51">
        <f t="shared" si="21"/>
        <v>0.4285714286</v>
      </c>
      <c r="K47" s="51">
        <f t="shared" si="21"/>
        <v>0.4390243902</v>
      </c>
      <c r="L47" s="51">
        <f t="shared" si="21"/>
        <v>0.45</v>
      </c>
      <c r="M47" s="51">
        <f t="shared" si="21"/>
        <v>0.4615384615</v>
      </c>
      <c r="N47" s="51">
        <f t="shared" si="21"/>
        <v>0.4736842105</v>
      </c>
      <c r="O47" s="51">
        <f t="shared" si="21"/>
        <v>0.4864864865</v>
      </c>
      <c r="P47" s="51">
        <f t="shared" si="21"/>
        <v>0.5</v>
      </c>
      <c r="Q47" s="51">
        <f t="shared" si="21"/>
        <v>0.5142857143</v>
      </c>
      <c r="R47" s="51">
        <f t="shared" si="21"/>
        <v>0.5294117647</v>
      </c>
      <c r="S47" s="51">
        <f t="shared" si="21"/>
        <v>0.5454545455</v>
      </c>
      <c r="T47" s="51">
        <f t="shared" si="21"/>
        <v>0.5625</v>
      </c>
      <c r="U47" s="51">
        <f t="shared" si="21"/>
        <v>0.5806451613</v>
      </c>
      <c r="V47" s="51">
        <f t="shared" si="21"/>
        <v>0.6</v>
      </c>
      <c r="W47" s="51">
        <f t="shared" si="21"/>
        <v>0.6206896552</v>
      </c>
      <c r="X47" s="51">
        <f t="shared" si="21"/>
        <v>0.6428571429</v>
      </c>
      <c r="Y47" s="51">
        <f t="shared" si="21"/>
        <v>0.6666666667</v>
      </c>
      <c r="Z47" s="51">
        <f t="shared" si="21"/>
        <v>0.6923076923</v>
      </c>
      <c r="AA47" s="51">
        <f t="shared" si="21"/>
        <v>0.72</v>
      </c>
      <c r="AB47" s="51">
        <f t="shared" si="21"/>
        <v>0.75</v>
      </c>
      <c r="AC47" s="51">
        <f t="shared" si="21"/>
        <v>0.7826086957</v>
      </c>
      <c r="AD47" s="51">
        <f t="shared" si="21"/>
        <v>0.8181818182</v>
      </c>
      <c r="AE47" s="51">
        <f t="shared" si="21"/>
        <v>0.8571428571</v>
      </c>
      <c r="AF47" s="51">
        <f t="shared" si="21"/>
        <v>0.9</v>
      </c>
      <c r="AG47" s="51">
        <f t="shared" si="21"/>
        <v>0.9473684211</v>
      </c>
      <c r="AH47" s="51">
        <f t="shared" si="21"/>
        <v>1</v>
      </c>
      <c r="AI47" s="51">
        <f t="shared" si="21"/>
        <v>1.058823529</v>
      </c>
      <c r="AJ47" s="51">
        <f t="shared" si="21"/>
        <v>1.125</v>
      </c>
      <c r="AK47" s="51">
        <f t="shared" si="21"/>
        <v>1.2</v>
      </c>
      <c r="AL47" s="51">
        <f t="shared" si="21"/>
        <v>1.285714286</v>
      </c>
      <c r="AM47" s="51">
        <f t="shared" si="21"/>
        <v>1.384615385</v>
      </c>
      <c r="AN47" s="51">
        <f t="shared" si="21"/>
        <v>1.5</v>
      </c>
      <c r="AO47" s="51">
        <f t="shared" si="21"/>
        <v>1.636363636</v>
      </c>
      <c r="AP47" s="51">
        <f t="shared" si="21"/>
        <v>1.8</v>
      </c>
      <c r="AQ47" s="49">
        <f t="shared" si="21"/>
        <v>2</v>
      </c>
      <c r="AR47" s="51">
        <f t="shared" si="21"/>
        <v>2.25</v>
      </c>
      <c r="AS47" s="51">
        <f t="shared" si="21"/>
        <v>2.571428571</v>
      </c>
      <c r="AT47" s="51">
        <f t="shared" si="21"/>
        <v>3</v>
      </c>
      <c r="AU47" s="51">
        <f t="shared" si="21"/>
        <v>3.6</v>
      </c>
      <c r="AV47" s="51">
        <f t="shared" si="21"/>
        <v>4.5</v>
      </c>
      <c r="AW47" s="51">
        <f t="shared" si="21"/>
        <v>6</v>
      </c>
      <c r="AX47" s="51">
        <f t="shared" si="21"/>
        <v>9</v>
      </c>
      <c r="AY47" s="58">
        <f t="shared" si="21"/>
        <v>18</v>
      </c>
    </row>
    <row r="48" ht="12.0" customHeight="1">
      <c r="A48" s="48">
        <f t="shared" si="5"/>
        <v>19</v>
      </c>
      <c r="B48" s="52">
        <f t="shared" si="3"/>
        <v>0.38</v>
      </c>
      <c r="C48" s="51">
        <f t="shared" ref="C48:AY48" si="22">$A$48/(100-C29)</f>
        <v>0.387755102</v>
      </c>
      <c r="D48" s="49">
        <f t="shared" si="22"/>
        <v>0.3958333333</v>
      </c>
      <c r="E48" s="50">
        <f t="shared" si="22"/>
        <v>0.4042553191</v>
      </c>
      <c r="F48" s="50">
        <f t="shared" si="22"/>
        <v>0.4130434783</v>
      </c>
      <c r="G48" s="51">
        <f t="shared" si="22"/>
        <v>0.4222222222</v>
      </c>
      <c r="H48" s="51">
        <f t="shared" si="22"/>
        <v>0.4318181818</v>
      </c>
      <c r="I48" s="51">
        <f t="shared" si="22"/>
        <v>0.4418604651</v>
      </c>
      <c r="J48" s="51">
        <f t="shared" si="22"/>
        <v>0.4523809524</v>
      </c>
      <c r="K48" s="51">
        <f t="shared" si="22"/>
        <v>0.4634146341</v>
      </c>
      <c r="L48" s="51">
        <f t="shared" si="22"/>
        <v>0.475</v>
      </c>
      <c r="M48" s="51">
        <f t="shared" si="22"/>
        <v>0.4871794872</v>
      </c>
      <c r="N48" s="51">
        <f t="shared" si="22"/>
        <v>0.5</v>
      </c>
      <c r="O48" s="51">
        <f t="shared" si="22"/>
        <v>0.5135135135</v>
      </c>
      <c r="P48" s="51">
        <f t="shared" si="22"/>
        <v>0.5277777778</v>
      </c>
      <c r="Q48" s="51">
        <f t="shared" si="22"/>
        <v>0.5428571429</v>
      </c>
      <c r="R48" s="51">
        <f t="shared" si="22"/>
        <v>0.5588235294</v>
      </c>
      <c r="S48" s="51">
        <f t="shared" si="22"/>
        <v>0.5757575758</v>
      </c>
      <c r="T48" s="51">
        <f t="shared" si="22"/>
        <v>0.59375</v>
      </c>
      <c r="U48" s="51">
        <f t="shared" si="22"/>
        <v>0.6129032258</v>
      </c>
      <c r="V48" s="51">
        <f t="shared" si="22"/>
        <v>0.6333333333</v>
      </c>
      <c r="W48" s="51">
        <f t="shared" si="22"/>
        <v>0.6551724138</v>
      </c>
      <c r="X48" s="51">
        <f t="shared" si="22"/>
        <v>0.6785714286</v>
      </c>
      <c r="Y48" s="51">
        <f t="shared" si="22"/>
        <v>0.7037037037</v>
      </c>
      <c r="Z48" s="51">
        <f t="shared" si="22"/>
        <v>0.7307692308</v>
      </c>
      <c r="AA48" s="51">
        <f t="shared" si="22"/>
        <v>0.76</v>
      </c>
      <c r="AB48" s="51">
        <f t="shared" si="22"/>
        <v>0.7916666667</v>
      </c>
      <c r="AC48" s="51">
        <f t="shared" si="22"/>
        <v>0.8260869565</v>
      </c>
      <c r="AD48" s="51">
        <f t="shared" si="22"/>
        <v>0.8636363636</v>
      </c>
      <c r="AE48" s="51">
        <f t="shared" si="22"/>
        <v>0.9047619048</v>
      </c>
      <c r="AF48" s="51">
        <f t="shared" si="22"/>
        <v>0.95</v>
      </c>
      <c r="AG48" s="51">
        <f t="shared" si="22"/>
        <v>1</v>
      </c>
      <c r="AH48" s="51">
        <f t="shared" si="22"/>
        <v>1.055555556</v>
      </c>
      <c r="AI48" s="51">
        <f t="shared" si="22"/>
        <v>1.117647059</v>
      </c>
      <c r="AJ48" s="51">
        <f t="shared" si="22"/>
        <v>1.1875</v>
      </c>
      <c r="AK48" s="51">
        <f t="shared" si="22"/>
        <v>1.266666667</v>
      </c>
      <c r="AL48" s="51">
        <f t="shared" si="22"/>
        <v>1.357142857</v>
      </c>
      <c r="AM48" s="51">
        <f t="shared" si="22"/>
        <v>1.461538462</v>
      </c>
      <c r="AN48" s="51">
        <f t="shared" si="22"/>
        <v>1.583333333</v>
      </c>
      <c r="AO48" s="51">
        <f t="shared" si="22"/>
        <v>1.727272727</v>
      </c>
      <c r="AP48" s="51">
        <f t="shared" si="22"/>
        <v>1.9</v>
      </c>
      <c r="AQ48" s="52">
        <f t="shared" si="22"/>
        <v>2.111111111</v>
      </c>
      <c r="AR48" s="51">
        <f t="shared" si="22"/>
        <v>2.375</v>
      </c>
      <c r="AS48" s="51">
        <f t="shared" si="22"/>
        <v>2.714285714</v>
      </c>
      <c r="AT48" s="51">
        <f t="shared" si="22"/>
        <v>3.166666667</v>
      </c>
      <c r="AU48" s="51">
        <f t="shared" si="22"/>
        <v>3.8</v>
      </c>
      <c r="AV48" s="51">
        <f t="shared" si="22"/>
        <v>4.75</v>
      </c>
      <c r="AW48" s="51">
        <f t="shared" si="22"/>
        <v>6.333333333</v>
      </c>
      <c r="AX48" s="51">
        <f t="shared" si="22"/>
        <v>9.5</v>
      </c>
      <c r="AY48" s="58">
        <f t="shared" si="22"/>
        <v>19</v>
      </c>
    </row>
    <row r="49" ht="12.0" customHeight="1">
      <c r="A49" s="48">
        <f t="shared" si="5"/>
        <v>20</v>
      </c>
      <c r="B49" s="49">
        <f t="shared" si="3"/>
        <v>0.4</v>
      </c>
      <c r="C49" s="50">
        <f t="shared" ref="C49:AY49" si="23">$A$49/(100-C29)</f>
        <v>0.4081632653</v>
      </c>
      <c r="D49" s="51">
        <f t="shared" si="23"/>
        <v>0.4166666667</v>
      </c>
      <c r="E49" s="51">
        <f t="shared" si="23"/>
        <v>0.4255319149</v>
      </c>
      <c r="F49" s="51">
        <f t="shared" si="23"/>
        <v>0.4347826087</v>
      </c>
      <c r="G49" s="51">
        <f t="shared" si="23"/>
        <v>0.4444444444</v>
      </c>
      <c r="H49" s="51">
        <f t="shared" si="23"/>
        <v>0.4545454545</v>
      </c>
      <c r="I49" s="51">
        <f t="shared" si="23"/>
        <v>0.4651162791</v>
      </c>
      <c r="J49" s="51">
        <f t="shared" si="23"/>
        <v>0.4761904762</v>
      </c>
      <c r="K49" s="51">
        <f t="shared" si="23"/>
        <v>0.487804878</v>
      </c>
      <c r="L49" s="51">
        <f t="shared" si="23"/>
        <v>0.5</v>
      </c>
      <c r="M49" s="51">
        <f t="shared" si="23"/>
        <v>0.5128205128</v>
      </c>
      <c r="N49" s="51">
        <f t="shared" si="23"/>
        <v>0.5263157895</v>
      </c>
      <c r="O49" s="51">
        <f t="shared" si="23"/>
        <v>0.5405405405</v>
      </c>
      <c r="P49" s="51">
        <f t="shared" si="23"/>
        <v>0.5555555556</v>
      </c>
      <c r="Q49" s="51">
        <f t="shared" si="23"/>
        <v>0.5714285714</v>
      </c>
      <c r="R49" s="51">
        <f t="shared" si="23"/>
        <v>0.5882352941</v>
      </c>
      <c r="S49" s="51">
        <f t="shared" si="23"/>
        <v>0.6060606061</v>
      </c>
      <c r="T49" s="51">
        <f t="shared" si="23"/>
        <v>0.625</v>
      </c>
      <c r="U49" s="51">
        <f t="shared" si="23"/>
        <v>0.6451612903</v>
      </c>
      <c r="V49" s="51">
        <f t="shared" si="23"/>
        <v>0.6666666667</v>
      </c>
      <c r="W49" s="51">
        <f t="shared" si="23"/>
        <v>0.6896551724</v>
      </c>
      <c r="X49" s="51">
        <f t="shared" si="23"/>
        <v>0.7142857143</v>
      </c>
      <c r="Y49" s="51">
        <f t="shared" si="23"/>
        <v>0.7407407407</v>
      </c>
      <c r="Z49" s="51">
        <f t="shared" si="23"/>
        <v>0.7692307692</v>
      </c>
      <c r="AA49" s="51">
        <f t="shared" si="23"/>
        <v>0.8</v>
      </c>
      <c r="AB49" s="51">
        <f t="shared" si="23"/>
        <v>0.8333333333</v>
      </c>
      <c r="AC49" s="51">
        <f t="shared" si="23"/>
        <v>0.8695652174</v>
      </c>
      <c r="AD49" s="51">
        <f t="shared" si="23"/>
        <v>0.9090909091</v>
      </c>
      <c r="AE49" s="51">
        <f t="shared" si="23"/>
        <v>0.9523809524</v>
      </c>
      <c r="AF49" s="51">
        <f t="shared" si="23"/>
        <v>1</v>
      </c>
      <c r="AG49" s="51">
        <f t="shared" si="23"/>
        <v>1.052631579</v>
      </c>
      <c r="AH49" s="51">
        <f t="shared" si="23"/>
        <v>1.111111111</v>
      </c>
      <c r="AI49" s="51">
        <f t="shared" si="23"/>
        <v>1.176470588</v>
      </c>
      <c r="AJ49" s="51">
        <f t="shared" si="23"/>
        <v>1.25</v>
      </c>
      <c r="AK49" s="51">
        <f t="shared" si="23"/>
        <v>1.333333333</v>
      </c>
      <c r="AL49" s="51">
        <f t="shared" si="23"/>
        <v>1.428571429</v>
      </c>
      <c r="AM49" s="51">
        <f t="shared" si="23"/>
        <v>1.538461538</v>
      </c>
      <c r="AN49" s="51">
        <f t="shared" si="23"/>
        <v>1.666666667</v>
      </c>
      <c r="AO49" s="51">
        <f t="shared" si="23"/>
        <v>1.818181818</v>
      </c>
      <c r="AP49" s="49">
        <f t="shared" si="23"/>
        <v>2</v>
      </c>
      <c r="AQ49" s="51">
        <f t="shared" si="23"/>
        <v>2.222222222</v>
      </c>
      <c r="AR49" s="51">
        <f t="shared" si="23"/>
        <v>2.5</v>
      </c>
      <c r="AS49" s="51">
        <f t="shared" si="23"/>
        <v>2.857142857</v>
      </c>
      <c r="AT49" s="51">
        <f t="shared" si="23"/>
        <v>3.333333333</v>
      </c>
      <c r="AU49" s="51">
        <f t="shared" si="23"/>
        <v>4</v>
      </c>
      <c r="AV49" s="51">
        <f t="shared" si="23"/>
        <v>5</v>
      </c>
      <c r="AW49" s="51">
        <f t="shared" si="23"/>
        <v>6.666666667</v>
      </c>
      <c r="AX49" s="59">
        <f t="shared" si="23"/>
        <v>10</v>
      </c>
      <c r="AY49" s="58">
        <f t="shared" si="23"/>
        <v>20</v>
      </c>
    </row>
    <row r="50" ht="12.0" customHeight="1">
      <c r="A50" s="48">
        <f t="shared" si="5"/>
        <v>21</v>
      </c>
      <c r="B50" s="52">
        <f t="shared" si="3"/>
        <v>0.42</v>
      </c>
      <c r="C50" s="51">
        <f t="shared" ref="C50:AY50" si="24">$A$50/(100-C29)</f>
        <v>0.4285714286</v>
      </c>
      <c r="D50" s="51">
        <f t="shared" si="24"/>
        <v>0.4375</v>
      </c>
      <c r="E50" s="51">
        <f t="shared" si="24"/>
        <v>0.4468085106</v>
      </c>
      <c r="F50" s="51">
        <f t="shared" si="24"/>
        <v>0.4565217391</v>
      </c>
      <c r="G50" s="51">
        <f t="shared" si="24"/>
        <v>0.4666666667</v>
      </c>
      <c r="H50" s="51">
        <f t="shared" si="24"/>
        <v>0.4772727273</v>
      </c>
      <c r="I50" s="51">
        <f t="shared" si="24"/>
        <v>0.488372093</v>
      </c>
      <c r="J50" s="51">
        <f t="shared" si="24"/>
        <v>0.5</v>
      </c>
      <c r="K50" s="51">
        <f t="shared" si="24"/>
        <v>0.512195122</v>
      </c>
      <c r="L50" s="51">
        <f t="shared" si="24"/>
        <v>0.525</v>
      </c>
      <c r="M50" s="51">
        <f t="shared" si="24"/>
        <v>0.5384615385</v>
      </c>
      <c r="N50" s="51">
        <f t="shared" si="24"/>
        <v>0.5526315789</v>
      </c>
      <c r="O50" s="51">
        <f t="shared" si="24"/>
        <v>0.5675675676</v>
      </c>
      <c r="P50" s="51">
        <f t="shared" si="24"/>
        <v>0.5833333333</v>
      </c>
      <c r="Q50" s="51">
        <f t="shared" si="24"/>
        <v>0.6</v>
      </c>
      <c r="R50" s="51">
        <f t="shared" si="24"/>
        <v>0.6176470588</v>
      </c>
      <c r="S50" s="51">
        <f t="shared" si="24"/>
        <v>0.6363636364</v>
      </c>
      <c r="T50" s="51">
        <f t="shared" si="24"/>
        <v>0.65625</v>
      </c>
      <c r="U50" s="51">
        <f t="shared" si="24"/>
        <v>0.6774193548</v>
      </c>
      <c r="V50" s="51">
        <f t="shared" si="24"/>
        <v>0.7</v>
      </c>
      <c r="W50" s="51">
        <f t="shared" si="24"/>
        <v>0.724137931</v>
      </c>
      <c r="X50" s="51">
        <f t="shared" si="24"/>
        <v>0.75</v>
      </c>
      <c r="Y50" s="51">
        <f t="shared" si="24"/>
        <v>0.7777777778</v>
      </c>
      <c r="Z50" s="51">
        <f t="shared" si="24"/>
        <v>0.8076923077</v>
      </c>
      <c r="AA50" s="51">
        <f t="shared" si="24"/>
        <v>0.84</v>
      </c>
      <c r="AB50" s="51">
        <f t="shared" si="24"/>
        <v>0.875</v>
      </c>
      <c r="AC50" s="51">
        <f t="shared" si="24"/>
        <v>0.9130434783</v>
      </c>
      <c r="AD50" s="51">
        <f t="shared" si="24"/>
        <v>0.9545454545</v>
      </c>
      <c r="AE50" s="51">
        <f t="shared" si="24"/>
        <v>1</v>
      </c>
      <c r="AF50" s="51">
        <f t="shared" si="24"/>
        <v>1.05</v>
      </c>
      <c r="AG50" s="51">
        <f t="shared" si="24"/>
        <v>1.105263158</v>
      </c>
      <c r="AH50" s="51">
        <f t="shared" si="24"/>
        <v>1.166666667</v>
      </c>
      <c r="AI50" s="51">
        <f t="shared" si="24"/>
        <v>1.235294118</v>
      </c>
      <c r="AJ50" s="51">
        <f t="shared" si="24"/>
        <v>1.3125</v>
      </c>
      <c r="AK50" s="51">
        <f t="shared" si="24"/>
        <v>1.4</v>
      </c>
      <c r="AL50" s="51">
        <f t="shared" si="24"/>
        <v>1.5</v>
      </c>
      <c r="AM50" s="51">
        <f t="shared" si="24"/>
        <v>1.615384615</v>
      </c>
      <c r="AN50" s="51">
        <f t="shared" si="24"/>
        <v>1.75</v>
      </c>
      <c r="AO50" s="51">
        <f t="shared" si="24"/>
        <v>1.909090909</v>
      </c>
      <c r="AP50" s="52">
        <f t="shared" si="24"/>
        <v>2.1</v>
      </c>
      <c r="AQ50" s="51">
        <f t="shared" si="24"/>
        <v>2.333333333</v>
      </c>
      <c r="AR50" s="51">
        <f t="shared" si="24"/>
        <v>2.625</v>
      </c>
      <c r="AS50" s="51">
        <f t="shared" si="24"/>
        <v>3</v>
      </c>
      <c r="AT50" s="51">
        <f t="shared" si="24"/>
        <v>3.5</v>
      </c>
      <c r="AU50" s="51">
        <f t="shared" si="24"/>
        <v>4.2</v>
      </c>
      <c r="AV50" s="51">
        <f t="shared" si="24"/>
        <v>5.25</v>
      </c>
      <c r="AW50" s="51">
        <f t="shared" si="24"/>
        <v>7</v>
      </c>
      <c r="AX50" s="59">
        <f t="shared" si="24"/>
        <v>10.5</v>
      </c>
      <c r="AY50" s="58">
        <f t="shared" si="24"/>
        <v>21</v>
      </c>
    </row>
    <row r="51" ht="12.0" customHeight="1">
      <c r="A51" s="48">
        <f t="shared" si="5"/>
        <v>22</v>
      </c>
      <c r="B51" s="52">
        <f t="shared" si="3"/>
        <v>0.44</v>
      </c>
      <c r="C51" s="51">
        <f t="shared" ref="C51:AY51" si="25">$A$51/(100-C29)</f>
        <v>0.4489795918</v>
      </c>
      <c r="D51" s="51">
        <f t="shared" si="25"/>
        <v>0.4583333333</v>
      </c>
      <c r="E51" s="51">
        <f t="shared" si="25"/>
        <v>0.4680851064</v>
      </c>
      <c r="F51" s="51">
        <f t="shared" si="25"/>
        <v>0.4782608696</v>
      </c>
      <c r="G51" s="51">
        <f t="shared" si="25"/>
        <v>0.4888888889</v>
      </c>
      <c r="H51" s="51">
        <f t="shared" si="25"/>
        <v>0.5</v>
      </c>
      <c r="I51" s="51">
        <f t="shared" si="25"/>
        <v>0.511627907</v>
      </c>
      <c r="J51" s="51">
        <f t="shared" si="25"/>
        <v>0.5238095238</v>
      </c>
      <c r="K51" s="51">
        <f t="shared" si="25"/>
        <v>0.5365853659</v>
      </c>
      <c r="L51" s="51">
        <f t="shared" si="25"/>
        <v>0.55</v>
      </c>
      <c r="M51" s="51">
        <f t="shared" si="25"/>
        <v>0.5641025641</v>
      </c>
      <c r="N51" s="51">
        <f t="shared" si="25"/>
        <v>0.5789473684</v>
      </c>
      <c r="O51" s="51">
        <f t="shared" si="25"/>
        <v>0.5945945946</v>
      </c>
      <c r="P51" s="51">
        <f t="shared" si="25"/>
        <v>0.6111111111</v>
      </c>
      <c r="Q51" s="51">
        <f t="shared" si="25"/>
        <v>0.6285714286</v>
      </c>
      <c r="R51" s="51">
        <f t="shared" si="25"/>
        <v>0.6470588235</v>
      </c>
      <c r="S51" s="51">
        <f t="shared" si="25"/>
        <v>0.6666666667</v>
      </c>
      <c r="T51" s="51">
        <f t="shared" si="25"/>
        <v>0.6875</v>
      </c>
      <c r="U51" s="51">
        <f t="shared" si="25"/>
        <v>0.7096774194</v>
      </c>
      <c r="V51" s="51">
        <f t="shared" si="25"/>
        <v>0.7333333333</v>
      </c>
      <c r="W51" s="51">
        <f t="shared" si="25"/>
        <v>0.7586206897</v>
      </c>
      <c r="X51" s="51">
        <f t="shared" si="25"/>
        <v>0.7857142857</v>
      </c>
      <c r="Y51" s="51">
        <f t="shared" si="25"/>
        <v>0.8148148148</v>
      </c>
      <c r="Z51" s="51">
        <f t="shared" si="25"/>
        <v>0.8461538462</v>
      </c>
      <c r="AA51" s="51">
        <f t="shared" si="25"/>
        <v>0.88</v>
      </c>
      <c r="AB51" s="51">
        <f t="shared" si="25"/>
        <v>0.9166666667</v>
      </c>
      <c r="AC51" s="51">
        <f t="shared" si="25"/>
        <v>0.9565217391</v>
      </c>
      <c r="AD51" s="51">
        <f t="shared" si="25"/>
        <v>1</v>
      </c>
      <c r="AE51" s="51">
        <f t="shared" si="25"/>
        <v>1.047619048</v>
      </c>
      <c r="AF51" s="51">
        <f t="shared" si="25"/>
        <v>1.1</v>
      </c>
      <c r="AG51" s="51">
        <f t="shared" si="25"/>
        <v>1.157894737</v>
      </c>
      <c r="AH51" s="51">
        <f t="shared" si="25"/>
        <v>1.222222222</v>
      </c>
      <c r="AI51" s="51">
        <f t="shared" si="25"/>
        <v>1.294117647</v>
      </c>
      <c r="AJ51" s="51">
        <f t="shared" si="25"/>
        <v>1.375</v>
      </c>
      <c r="AK51" s="51">
        <f t="shared" si="25"/>
        <v>1.466666667</v>
      </c>
      <c r="AL51" s="51">
        <f t="shared" si="25"/>
        <v>1.571428571</v>
      </c>
      <c r="AM51" s="51">
        <f t="shared" si="25"/>
        <v>1.692307692</v>
      </c>
      <c r="AN51" s="51">
        <f t="shared" si="25"/>
        <v>1.833333333</v>
      </c>
      <c r="AO51" s="49">
        <f t="shared" si="25"/>
        <v>2</v>
      </c>
      <c r="AP51" s="51">
        <f t="shared" si="25"/>
        <v>2.2</v>
      </c>
      <c r="AQ51" s="51">
        <f t="shared" si="25"/>
        <v>2.444444444</v>
      </c>
      <c r="AR51" s="51">
        <f t="shared" si="25"/>
        <v>2.75</v>
      </c>
      <c r="AS51" s="51">
        <f t="shared" si="25"/>
        <v>3.142857143</v>
      </c>
      <c r="AT51" s="51">
        <f t="shared" si="25"/>
        <v>3.666666667</v>
      </c>
      <c r="AU51" s="51">
        <f t="shared" si="25"/>
        <v>4.4</v>
      </c>
      <c r="AV51" s="51">
        <f t="shared" si="25"/>
        <v>5.5</v>
      </c>
      <c r="AW51" s="51">
        <f t="shared" si="25"/>
        <v>7.333333333</v>
      </c>
      <c r="AX51" s="59">
        <f t="shared" si="25"/>
        <v>11</v>
      </c>
      <c r="AY51" s="58">
        <f t="shared" si="25"/>
        <v>22</v>
      </c>
    </row>
    <row r="52" ht="12.0" customHeight="1">
      <c r="A52" s="48">
        <f t="shared" si="5"/>
        <v>23</v>
      </c>
      <c r="B52" s="52">
        <f t="shared" si="3"/>
        <v>0.46</v>
      </c>
      <c r="C52" s="51">
        <f t="shared" ref="C52:AY52" si="26">$A$52/(100-C29)</f>
        <v>0.4693877551</v>
      </c>
      <c r="D52" s="51">
        <f t="shared" si="26"/>
        <v>0.4791666667</v>
      </c>
      <c r="E52" s="51">
        <f t="shared" si="26"/>
        <v>0.4893617021</v>
      </c>
      <c r="F52" s="51">
        <f t="shared" si="26"/>
        <v>0.5</v>
      </c>
      <c r="G52" s="51">
        <f t="shared" si="26"/>
        <v>0.5111111111</v>
      </c>
      <c r="H52" s="51">
        <f t="shared" si="26"/>
        <v>0.5227272727</v>
      </c>
      <c r="I52" s="51">
        <f t="shared" si="26"/>
        <v>0.5348837209</v>
      </c>
      <c r="J52" s="51">
        <f t="shared" si="26"/>
        <v>0.5476190476</v>
      </c>
      <c r="K52" s="51">
        <f t="shared" si="26"/>
        <v>0.5609756098</v>
      </c>
      <c r="L52" s="51">
        <f t="shared" si="26"/>
        <v>0.575</v>
      </c>
      <c r="M52" s="51">
        <f t="shared" si="26"/>
        <v>0.5897435897</v>
      </c>
      <c r="N52" s="51">
        <f t="shared" si="26"/>
        <v>0.6052631579</v>
      </c>
      <c r="O52" s="51">
        <f t="shared" si="26"/>
        <v>0.6216216216</v>
      </c>
      <c r="P52" s="51">
        <f t="shared" si="26"/>
        <v>0.6388888889</v>
      </c>
      <c r="Q52" s="51">
        <f t="shared" si="26"/>
        <v>0.6571428571</v>
      </c>
      <c r="R52" s="51">
        <f t="shared" si="26"/>
        <v>0.6764705882</v>
      </c>
      <c r="S52" s="51">
        <f t="shared" si="26"/>
        <v>0.696969697</v>
      </c>
      <c r="T52" s="51">
        <f t="shared" si="26"/>
        <v>0.71875</v>
      </c>
      <c r="U52" s="51">
        <f t="shared" si="26"/>
        <v>0.7419354839</v>
      </c>
      <c r="V52" s="51">
        <f t="shared" si="26"/>
        <v>0.7666666667</v>
      </c>
      <c r="W52" s="51">
        <f t="shared" si="26"/>
        <v>0.7931034483</v>
      </c>
      <c r="X52" s="51">
        <f t="shared" si="26"/>
        <v>0.8214285714</v>
      </c>
      <c r="Y52" s="51">
        <f t="shared" si="26"/>
        <v>0.8518518519</v>
      </c>
      <c r="Z52" s="51">
        <f t="shared" si="26"/>
        <v>0.8846153846</v>
      </c>
      <c r="AA52" s="51">
        <f t="shared" si="26"/>
        <v>0.92</v>
      </c>
      <c r="AB52" s="51">
        <f t="shared" si="26"/>
        <v>0.9583333333</v>
      </c>
      <c r="AC52" s="51">
        <f t="shared" si="26"/>
        <v>1</v>
      </c>
      <c r="AD52" s="51">
        <f t="shared" si="26"/>
        <v>1.045454545</v>
      </c>
      <c r="AE52" s="51">
        <f t="shared" si="26"/>
        <v>1.095238095</v>
      </c>
      <c r="AF52" s="51">
        <f t="shared" si="26"/>
        <v>1.15</v>
      </c>
      <c r="AG52" s="51">
        <f t="shared" si="26"/>
        <v>1.210526316</v>
      </c>
      <c r="AH52" s="51">
        <f t="shared" si="26"/>
        <v>1.277777778</v>
      </c>
      <c r="AI52" s="51">
        <f t="shared" si="26"/>
        <v>1.352941176</v>
      </c>
      <c r="AJ52" s="51">
        <f t="shared" si="26"/>
        <v>1.4375</v>
      </c>
      <c r="AK52" s="51">
        <f t="shared" si="26"/>
        <v>1.533333333</v>
      </c>
      <c r="AL52" s="51">
        <f t="shared" si="26"/>
        <v>1.642857143</v>
      </c>
      <c r="AM52" s="51">
        <f t="shared" si="26"/>
        <v>1.769230769</v>
      </c>
      <c r="AN52" s="51">
        <f t="shared" si="26"/>
        <v>1.916666667</v>
      </c>
      <c r="AO52" s="52">
        <f t="shared" si="26"/>
        <v>2.090909091</v>
      </c>
      <c r="AP52" s="51">
        <f t="shared" si="26"/>
        <v>2.3</v>
      </c>
      <c r="AQ52" s="51">
        <f t="shared" si="26"/>
        <v>2.555555556</v>
      </c>
      <c r="AR52" s="51">
        <f t="shared" si="26"/>
        <v>2.875</v>
      </c>
      <c r="AS52" s="51">
        <f t="shared" si="26"/>
        <v>3.285714286</v>
      </c>
      <c r="AT52" s="51">
        <f t="shared" si="26"/>
        <v>3.833333333</v>
      </c>
      <c r="AU52" s="51">
        <f t="shared" si="26"/>
        <v>4.6</v>
      </c>
      <c r="AV52" s="51">
        <f t="shared" si="26"/>
        <v>5.75</v>
      </c>
      <c r="AW52" s="51">
        <f t="shared" si="26"/>
        <v>7.666666667</v>
      </c>
      <c r="AX52" s="59">
        <f t="shared" si="26"/>
        <v>11.5</v>
      </c>
      <c r="AY52" s="58">
        <f t="shared" si="26"/>
        <v>23</v>
      </c>
    </row>
    <row r="53" ht="12.0" customHeight="1">
      <c r="A53" s="48">
        <f t="shared" si="5"/>
        <v>24</v>
      </c>
      <c r="B53" s="52">
        <f t="shared" si="3"/>
        <v>0.48</v>
      </c>
      <c r="C53" s="51">
        <f t="shared" ref="C53:AY53" si="27">$A$53/(100-C29)</f>
        <v>0.4897959184</v>
      </c>
      <c r="D53" s="51">
        <f t="shared" si="27"/>
        <v>0.5</v>
      </c>
      <c r="E53" s="51">
        <f t="shared" si="27"/>
        <v>0.5106382979</v>
      </c>
      <c r="F53" s="51">
        <f t="shared" si="27"/>
        <v>0.5217391304</v>
      </c>
      <c r="G53" s="51">
        <f t="shared" si="27"/>
        <v>0.5333333333</v>
      </c>
      <c r="H53" s="51">
        <f t="shared" si="27"/>
        <v>0.5454545455</v>
      </c>
      <c r="I53" s="51">
        <f t="shared" si="27"/>
        <v>0.5581395349</v>
      </c>
      <c r="J53" s="51">
        <f t="shared" si="27"/>
        <v>0.5714285714</v>
      </c>
      <c r="K53" s="51">
        <f t="shared" si="27"/>
        <v>0.5853658537</v>
      </c>
      <c r="L53" s="51">
        <f t="shared" si="27"/>
        <v>0.6</v>
      </c>
      <c r="M53" s="51">
        <f t="shared" si="27"/>
        <v>0.6153846154</v>
      </c>
      <c r="N53" s="51">
        <f t="shared" si="27"/>
        <v>0.6315789474</v>
      </c>
      <c r="O53" s="51">
        <f t="shared" si="27"/>
        <v>0.6486486486</v>
      </c>
      <c r="P53" s="51">
        <f t="shared" si="27"/>
        <v>0.6666666667</v>
      </c>
      <c r="Q53" s="51">
        <f t="shared" si="27"/>
        <v>0.6857142857</v>
      </c>
      <c r="R53" s="51">
        <f t="shared" si="27"/>
        <v>0.7058823529</v>
      </c>
      <c r="S53" s="51">
        <f t="shared" si="27"/>
        <v>0.7272727273</v>
      </c>
      <c r="T53" s="51">
        <f t="shared" si="27"/>
        <v>0.75</v>
      </c>
      <c r="U53" s="51">
        <f t="shared" si="27"/>
        <v>0.7741935484</v>
      </c>
      <c r="V53" s="51">
        <f t="shared" si="27"/>
        <v>0.8</v>
      </c>
      <c r="W53" s="51">
        <f t="shared" si="27"/>
        <v>0.8275862069</v>
      </c>
      <c r="X53" s="51">
        <f t="shared" si="27"/>
        <v>0.8571428571</v>
      </c>
      <c r="Y53" s="51">
        <f t="shared" si="27"/>
        <v>0.8888888889</v>
      </c>
      <c r="Z53" s="51">
        <f t="shared" si="27"/>
        <v>0.9230769231</v>
      </c>
      <c r="AA53" s="51">
        <f t="shared" si="27"/>
        <v>0.96</v>
      </c>
      <c r="AB53" s="51">
        <f t="shared" si="27"/>
        <v>1</v>
      </c>
      <c r="AC53" s="51">
        <f t="shared" si="27"/>
        <v>1.043478261</v>
      </c>
      <c r="AD53" s="51">
        <f t="shared" si="27"/>
        <v>1.090909091</v>
      </c>
      <c r="AE53" s="51">
        <f t="shared" si="27"/>
        <v>1.142857143</v>
      </c>
      <c r="AF53" s="51">
        <f t="shared" si="27"/>
        <v>1.2</v>
      </c>
      <c r="AG53" s="51">
        <f t="shared" si="27"/>
        <v>1.263157895</v>
      </c>
      <c r="AH53" s="51">
        <f t="shared" si="27"/>
        <v>1.333333333</v>
      </c>
      <c r="AI53" s="51">
        <f t="shared" si="27"/>
        <v>1.411764706</v>
      </c>
      <c r="AJ53" s="51">
        <f t="shared" si="27"/>
        <v>1.5</v>
      </c>
      <c r="AK53" s="51">
        <f t="shared" si="27"/>
        <v>1.6</v>
      </c>
      <c r="AL53" s="51">
        <f t="shared" si="27"/>
        <v>1.714285714</v>
      </c>
      <c r="AM53" s="51">
        <f t="shared" si="27"/>
        <v>1.846153846</v>
      </c>
      <c r="AN53" s="49">
        <f t="shared" si="27"/>
        <v>2</v>
      </c>
      <c r="AO53" s="51">
        <f t="shared" si="27"/>
        <v>2.181818182</v>
      </c>
      <c r="AP53" s="51">
        <f t="shared" si="27"/>
        <v>2.4</v>
      </c>
      <c r="AQ53" s="51">
        <f t="shared" si="27"/>
        <v>2.666666667</v>
      </c>
      <c r="AR53" s="51">
        <f t="shared" si="27"/>
        <v>3</v>
      </c>
      <c r="AS53" s="51">
        <f t="shared" si="27"/>
        <v>3.428571429</v>
      </c>
      <c r="AT53" s="51">
        <f t="shared" si="27"/>
        <v>4</v>
      </c>
      <c r="AU53" s="51">
        <f t="shared" si="27"/>
        <v>4.8</v>
      </c>
      <c r="AV53" s="51">
        <f t="shared" si="27"/>
        <v>6</v>
      </c>
      <c r="AW53" s="51">
        <f t="shared" si="27"/>
        <v>8</v>
      </c>
      <c r="AX53" s="59">
        <f t="shared" si="27"/>
        <v>12</v>
      </c>
      <c r="AY53" s="58">
        <f t="shared" si="27"/>
        <v>24</v>
      </c>
    </row>
    <row r="54" ht="12.0" customHeight="1">
      <c r="A54" s="48">
        <f t="shared" si="5"/>
        <v>25</v>
      </c>
      <c r="B54" s="52">
        <f t="shared" si="3"/>
        <v>0.5</v>
      </c>
      <c r="C54" s="51">
        <f t="shared" ref="C54:AY54" si="28">$A$54/(100-C29)</f>
        <v>0.5102040816</v>
      </c>
      <c r="D54" s="51">
        <f t="shared" si="28"/>
        <v>0.5208333333</v>
      </c>
      <c r="E54" s="51">
        <f t="shared" si="28"/>
        <v>0.5319148936</v>
      </c>
      <c r="F54" s="51">
        <f t="shared" si="28"/>
        <v>0.5434782609</v>
      </c>
      <c r="G54" s="51">
        <f t="shared" si="28"/>
        <v>0.5555555556</v>
      </c>
      <c r="H54" s="51">
        <f t="shared" si="28"/>
        <v>0.5681818182</v>
      </c>
      <c r="I54" s="51">
        <f t="shared" si="28"/>
        <v>0.5813953488</v>
      </c>
      <c r="J54" s="51">
        <f t="shared" si="28"/>
        <v>0.5952380952</v>
      </c>
      <c r="K54" s="51">
        <f t="shared" si="28"/>
        <v>0.6097560976</v>
      </c>
      <c r="L54" s="51">
        <f t="shared" si="28"/>
        <v>0.625</v>
      </c>
      <c r="M54" s="51">
        <f t="shared" si="28"/>
        <v>0.641025641</v>
      </c>
      <c r="N54" s="51">
        <f t="shared" si="28"/>
        <v>0.6578947368</v>
      </c>
      <c r="O54" s="51">
        <f t="shared" si="28"/>
        <v>0.6756756757</v>
      </c>
      <c r="P54" s="51">
        <f t="shared" si="28"/>
        <v>0.6944444444</v>
      </c>
      <c r="Q54" s="51">
        <f t="shared" si="28"/>
        <v>0.7142857143</v>
      </c>
      <c r="R54" s="51">
        <f t="shared" si="28"/>
        <v>0.7352941176</v>
      </c>
      <c r="S54" s="51">
        <f t="shared" si="28"/>
        <v>0.7575757576</v>
      </c>
      <c r="T54" s="51">
        <f t="shared" si="28"/>
        <v>0.78125</v>
      </c>
      <c r="U54" s="51">
        <f t="shared" si="28"/>
        <v>0.8064516129</v>
      </c>
      <c r="V54" s="51">
        <f t="shared" si="28"/>
        <v>0.8333333333</v>
      </c>
      <c r="W54" s="51">
        <f t="shared" si="28"/>
        <v>0.8620689655</v>
      </c>
      <c r="X54" s="51">
        <f t="shared" si="28"/>
        <v>0.8928571429</v>
      </c>
      <c r="Y54" s="51">
        <f t="shared" si="28"/>
        <v>0.9259259259</v>
      </c>
      <c r="Z54" s="51">
        <f t="shared" si="28"/>
        <v>0.9615384615</v>
      </c>
      <c r="AA54" s="51">
        <f t="shared" si="28"/>
        <v>1</v>
      </c>
      <c r="AB54" s="51">
        <f t="shared" si="28"/>
        <v>1.041666667</v>
      </c>
      <c r="AC54" s="51">
        <f t="shared" si="28"/>
        <v>1.086956522</v>
      </c>
      <c r="AD54" s="51">
        <f t="shared" si="28"/>
        <v>1.136363636</v>
      </c>
      <c r="AE54" s="51">
        <f t="shared" si="28"/>
        <v>1.19047619</v>
      </c>
      <c r="AF54" s="51">
        <f t="shared" si="28"/>
        <v>1.25</v>
      </c>
      <c r="AG54" s="51">
        <f t="shared" si="28"/>
        <v>1.315789474</v>
      </c>
      <c r="AH54" s="51">
        <f t="shared" si="28"/>
        <v>1.388888889</v>
      </c>
      <c r="AI54" s="51">
        <f t="shared" si="28"/>
        <v>1.470588235</v>
      </c>
      <c r="AJ54" s="51">
        <f t="shared" si="28"/>
        <v>1.5625</v>
      </c>
      <c r="AK54" s="51">
        <f t="shared" si="28"/>
        <v>1.666666667</v>
      </c>
      <c r="AL54" s="51">
        <f t="shared" si="28"/>
        <v>1.785714286</v>
      </c>
      <c r="AM54" s="51">
        <f t="shared" si="28"/>
        <v>1.923076923</v>
      </c>
      <c r="AN54" s="52">
        <f t="shared" si="28"/>
        <v>2.083333333</v>
      </c>
      <c r="AO54" s="51">
        <f t="shared" si="28"/>
        <v>2.272727273</v>
      </c>
      <c r="AP54" s="51">
        <f t="shared" si="28"/>
        <v>2.5</v>
      </c>
      <c r="AQ54" s="51">
        <f t="shared" si="28"/>
        <v>2.777777778</v>
      </c>
      <c r="AR54" s="51">
        <f t="shared" si="28"/>
        <v>3.125</v>
      </c>
      <c r="AS54" s="51">
        <f t="shared" si="28"/>
        <v>3.571428571</v>
      </c>
      <c r="AT54" s="51">
        <f t="shared" si="28"/>
        <v>4.166666667</v>
      </c>
      <c r="AU54" s="51">
        <f t="shared" si="28"/>
        <v>5</v>
      </c>
      <c r="AV54" s="51">
        <f t="shared" si="28"/>
        <v>6.25</v>
      </c>
      <c r="AW54" s="51">
        <f t="shared" si="28"/>
        <v>8.333333333</v>
      </c>
      <c r="AX54" s="59">
        <f t="shared" si="28"/>
        <v>12.5</v>
      </c>
      <c r="AY54" s="58">
        <f t="shared" si="28"/>
        <v>25</v>
      </c>
    </row>
    <row r="55" ht="12.0" customHeight="1">
      <c r="A55" s="48">
        <f t="shared" si="5"/>
        <v>26</v>
      </c>
      <c r="B55" s="52">
        <f t="shared" si="3"/>
        <v>0.52</v>
      </c>
      <c r="C55" s="51">
        <f t="shared" ref="C55:AY55" si="29">$A$55/(100-C29)</f>
        <v>0.5306122449</v>
      </c>
      <c r="D55" s="51">
        <f t="shared" si="29"/>
        <v>0.5416666667</v>
      </c>
      <c r="E55" s="51">
        <f t="shared" si="29"/>
        <v>0.5531914894</v>
      </c>
      <c r="F55" s="51">
        <f t="shared" si="29"/>
        <v>0.5652173913</v>
      </c>
      <c r="G55" s="51">
        <f t="shared" si="29"/>
        <v>0.5777777778</v>
      </c>
      <c r="H55" s="51">
        <f t="shared" si="29"/>
        <v>0.5909090909</v>
      </c>
      <c r="I55" s="51">
        <f t="shared" si="29"/>
        <v>0.6046511628</v>
      </c>
      <c r="J55" s="51">
        <f t="shared" si="29"/>
        <v>0.619047619</v>
      </c>
      <c r="K55" s="51">
        <f t="shared" si="29"/>
        <v>0.6341463415</v>
      </c>
      <c r="L55" s="51">
        <f t="shared" si="29"/>
        <v>0.65</v>
      </c>
      <c r="M55" s="51">
        <f t="shared" si="29"/>
        <v>0.6666666667</v>
      </c>
      <c r="N55" s="51">
        <f t="shared" si="29"/>
        <v>0.6842105263</v>
      </c>
      <c r="O55" s="51">
        <f t="shared" si="29"/>
        <v>0.7027027027</v>
      </c>
      <c r="P55" s="51">
        <f t="shared" si="29"/>
        <v>0.7222222222</v>
      </c>
      <c r="Q55" s="51">
        <f t="shared" si="29"/>
        <v>0.7428571429</v>
      </c>
      <c r="R55" s="51">
        <f t="shared" si="29"/>
        <v>0.7647058824</v>
      </c>
      <c r="S55" s="51">
        <f t="shared" si="29"/>
        <v>0.7878787879</v>
      </c>
      <c r="T55" s="51">
        <f t="shared" si="29"/>
        <v>0.8125</v>
      </c>
      <c r="U55" s="51">
        <f t="shared" si="29"/>
        <v>0.8387096774</v>
      </c>
      <c r="V55" s="51">
        <f t="shared" si="29"/>
        <v>0.8666666667</v>
      </c>
      <c r="W55" s="51">
        <f t="shared" si="29"/>
        <v>0.8965517241</v>
      </c>
      <c r="X55" s="51">
        <f t="shared" si="29"/>
        <v>0.9285714286</v>
      </c>
      <c r="Y55" s="51">
        <f t="shared" si="29"/>
        <v>0.962962963</v>
      </c>
      <c r="Z55" s="51">
        <f t="shared" si="29"/>
        <v>1</v>
      </c>
      <c r="AA55" s="51">
        <f t="shared" si="29"/>
        <v>1.04</v>
      </c>
      <c r="AB55" s="51">
        <f t="shared" si="29"/>
        <v>1.083333333</v>
      </c>
      <c r="AC55" s="51">
        <f t="shared" si="29"/>
        <v>1.130434783</v>
      </c>
      <c r="AD55" s="51">
        <f t="shared" si="29"/>
        <v>1.181818182</v>
      </c>
      <c r="AE55" s="51">
        <f t="shared" si="29"/>
        <v>1.238095238</v>
      </c>
      <c r="AF55" s="51">
        <f t="shared" si="29"/>
        <v>1.3</v>
      </c>
      <c r="AG55" s="51">
        <f t="shared" si="29"/>
        <v>1.368421053</v>
      </c>
      <c r="AH55" s="51">
        <f t="shared" si="29"/>
        <v>1.444444444</v>
      </c>
      <c r="AI55" s="51">
        <f t="shared" si="29"/>
        <v>1.529411765</v>
      </c>
      <c r="AJ55" s="51">
        <f t="shared" si="29"/>
        <v>1.625</v>
      </c>
      <c r="AK55" s="51">
        <f t="shared" si="29"/>
        <v>1.733333333</v>
      </c>
      <c r="AL55" s="51">
        <f t="shared" si="29"/>
        <v>1.857142857</v>
      </c>
      <c r="AM55" s="49">
        <f t="shared" si="29"/>
        <v>2</v>
      </c>
      <c r="AN55" s="51">
        <f t="shared" si="29"/>
        <v>2.166666667</v>
      </c>
      <c r="AO55" s="51">
        <f t="shared" si="29"/>
        <v>2.363636364</v>
      </c>
      <c r="AP55" s="51">
        <f t="shared" si="29"/>
        <v>2.6</v>
      </c>
      <c r="AQ55" s="51">
        <f t="shared" si="29"/>
        <v>2.888888889</v>
      </c>
      <c r="AR55" s="51">
        <f t="shared" si="29"/>
        <v>3.25</v>
      </c>
      <c r="AS55" s="51">
        <f t="shared" si="29"/>
        <v>3.714285714</v>
      </c>
      <c r="AT55" s="51">
        <f t="shared" si="29"/>
        <v>4.333333333</v>
      </c>
      <c r="AU55" s="51">
        <f t="shared" si="29"/>
        <v>5.2</v>
      </c>
      <c r="AV55" s="51">
        <f t="shared" si="29"/>
        <v>6.5</v>
      </c>
      <c r="AW55" s="51">
        <f t="shared" si="29"/>
        <v>8.666666667</v>
      </c>
      <c r="AX55" s="59">
        <f t="shared" si="29"/>
        <v>13</v>
      </c>
      <c r="AY55" s="58">
        <f t="shared" si="29"/>
        <v>26</v>
      </c>
    </row>
    <row r="56" ht="12.0" customHeight="1">
      <c r="A56" s="48">
        <f t="shared" si="5"/>
        <v>27</v>
      </c>
      <c r="B56" s="52">
        <f t="shared" si="3"/>
        <v>0.54</v>
      </c>
      <c r="C56" s="51">
        <f t="shared" ref="C56:AY56" si="30">$A$56/(100-C29)</f>
        <v>0.5510204082</v>
      </c>
      <c r="D56" s="51">
        <f t="shared" si="30"/>
        <v>0.5625</v>
      </c>
      <c r="E56" s="51">
        <f t="shared" si="30"/>
        <v>0.5744680851</v>
      </c>
      <c r="F56" s="51">
        <f t="shared" si="30"/>
        <v>0.5869565217</v>
      </c>
      <c r="G56" s="51">
        <f t="shared" si="30"/>
        <v>0.6</v>
      </c>
      <c r="H56" s="51">
        <f t="shared" si="30"/>
        <v>0.6136363636</v>
      </c>
      <c r="I56" s="51">
        <f t="shared" si="30"/>
        <v>0.6279069767</v>
      </c>
      <c r="J56" s="51">
        <f t="shared" si="30"/>
        <v>0.6428571429</v>
      </c>
      <c r="K56" s="51">
        <f t="shared" si="30"/>
        <v>0.6585365854</v>
      </c>
      <c r="L56" s="51">
        <f t="shared" si="30"/>
        <v>0.675</v>
      </c>
      <c r="M56" s="51">
        <f t="shared" si="30"/>
        <v>0.6923076923</v>
      </c>
      <c r="N56" s="51">
        <f t="shared" si="30"/>
        <v>0.7105263158</v>
      </c>
      <c r="O56" s="51">
        <f t="shared" si="30"/>
        <v>0.7297297297</v>
      </c>
      <c r="P56" s="51">
        <f t="shared" si="30"/>
        <v>0.75</v>
      </c>
      <c r="Q56" s="51">
        <f t="shared" si="30"/>
        <v>0.7714285714</v>
      </c>
      <c r="R56" s="51">
        <f t="shared" si="30"/>
        <v>0.7941176471</v>
      </c>
      <c r="S56" s="51">
        <f t="shared" si="30"/>
        <v>0.8181818182</v>
      </c>
      <c r="T56" s="51">
        <f t="shared" si="30"/>
        <v>0.84375</v>
      </c>
      <c r="U56" s="51">
        <f t="shared" si="30"/>
        <v>0.8709677419</v>
      </c>
      <c r="V56" s="51">
        <f t="shared" si="30"/>
        <v>0.9</v>
      </c>
      <c r="W56" s="51">
        <f t="shared" si="30"/>
        <v>0.9310344828</v>
      </c>
      <c r="X56" s="51">
        <f t="shared" si="30"/>
        <v>0.9642857143</v>
      </c>
      <c r="Y56" s="51">
        <f t="shared" si="30"/>
        <v>1</v>
      </c>
      <c r="Z56" s="51">
        <f t="shared" si="30"/>
        <v>1.038461538</v>
      </c>
      <c r="AA56" s="51">
        <f t="shared" si="30"/>
        <v>1.08</v>
      </c>
      <c r="AB56" s="51">
        <f t="shared" si="30"/>
        <v>1.125</v>
      </c>
      <c r="AC56" s="51">
        <f t="shared" si="30"/>
        <v>1.173913043</v>
      </c>
      <c r="AD56" s="51">
        <f t="shared" si="30"/>
        <v>1.227272727</v>
      </c>
      <c r="AE56" s="51">
        <f t="shared" si="30"/>
        <v>1.285714286</v>
      </c>
      <c r="AF56" s="51">
        <f t="shared" si="30"/>
        <v>1.35</v>
      </c>
      <c r="AG56" s="51">
        <f t="shared" si="30"/>
        <v>1.421052632</v>
      </c>
      <c r="AH56" s="51">
        <f t="shared" si="30"/>
        <v>1.5</v>
      </c>
      <c r="AI56" s="51">
        <f t="shared" si="30"/>
        <v>1.588235294</v>
      </c>
      <c r="AJ56" s="51">
        <f t="shared" si="30"/>
        <v>1.6875</v>
      </c>
      <c r="AK56" s="51">
        <f t="shared" si="30"/>
        <v>1.8</v>
      </c>
      <c r="AL56" s="51">
        <f t="shared" si="30"/>
        <v>1.928571429</v>
      </c>
      <c r="AM56" s="51">
        <f t="shared" si="30"/>
        <v>2.076923077</v>
      </c>
      <c r="AN56" s="51">
        <f t="shared" si="30"/>
        <v>2.25</v>
      </c>
      <c r="AO56" s="51">
        <f t="shared" si="30"/>
        <v>2.454545455</v>
      </c>
      <c r="AP56" s="51">
        <f t="shared" si="30"/>
        <v>2.7</v>
      </c>
      <c r="AQ56" s="51">
        <f t="shared" si="30"/>
        <v>3</v>
      </c>
      <c r="AR56" s="51">
        <f t="shared" si="30"/>
        <v>3.375</v>
      </c>
      <c r="AS56" s="51">
        <f t="shared" si="30"/>
        <v>3.857142857</v>
      </c>
      <c r="AT56" s="51">
        <f t="shared" si="30"/>
        <v>4.5</v>
      </c>
      <c r="AU56" s="51">
        <f t="shared" si="30"/>
        <v>5.4</v>
      </c>
      <c r="AV56" s="51">
        <f t="shared" si="30"/>
        <v>6.75</v>
      </c>
      <c r="AW56" s="51">
        <f t="shared" si="30"/>
        <v>9</v>
      </c>
      <c r="AX56" s="59">
        <f t="shared" si="30"/>
        <v>13.5</v>
      </c>
      <c r="AY56" s="58">
        <f t="shared" si="30"/>
        <v>27</v>
      </c>
    </row>
    <row r="57" ht="12.0" customHeight="1">
      <c r="A57" s="48">
        <f t="shared" si="5"/>
        <v>28</v>
      </c>
      <c r="B57" s="52">
        <f t="shared" si="3"/>
        <v>0.56</v>
      </c>
      <c r="C57" s="51">
        <f t="shared" ref="C57:AY57" si="31">$A$57/(100-C29)</f>
        <v>0.5714285714</v>
      </c>
      <c r="D57" s="51">
        <f t="shared" si="31"/>
        <v>0.5833333333</v>
      </c>
      <c r="E57" s="51">
        <f t="shared" si="31"/>
        <v>0.5957446809</v>
      </c>
      <c r="F57" s="51">
        <f t="shared" si="31"/>
        <v>0.6086956522</v>
      </c>
      <c r="G57" s="51">
        <f t="shared" si="31"/>
        <v>0.6222222222</v>
      </c>
      <c r="H57" s="51">
        <f t="shared" si="31"/>
        <v>0.6363636364</v>
      </c>
      <c r="I57" s="51">
        <f t="shared" si="31"/>
        <v>0.6511627907</v>
      </c>
      <c r="J57" s="51">
        <f t="shared" si="31"/>
        <v>0.6666666667</v>
      </c>
      <c r="K57" s="51">
        <f t="shared" si="31"/>
        <v>0.6829268293</v>
      </c>
      <c r="L57" s="51">
        <f t="shared" si="31"/>
        <v>0.7</v>
      </c>
      <c r="M57" s="51">
        <f t="shared" si="31"/>
        <v>0.7179487179</v>
      </c>
      <c r="N57" s="51">
        <f t="shared" si="31"/>
        <v>0.7368421053</v>
      </c>
      <c r="O57" s="51">
        <f t="shared" si="31"/>
        <v>0.7567567568</v>
      </c>
      <c r="P57" s="51">
        <f t="shared" si="31"/>
        <v>0.7777777778</v>
      </c>
      <c r="Q57" s="51">
        <f t="shared" si="31"/>
        <v>0.8</v>
      </c>
      <c r="R57" s="51">
        <f t="shared" si="31"/>
        <v>0.8235294118</v>
      </c>
      <c r="S57" s="51">
        <f t="shared" si="31"/>
        <v>0.8484848485</v>
      </c>
      <c r="T57" s="51">
        <f t="shared" si="31"/>
        <v>0.875</v>
      </c>
      <c r="U57" s="51">
        <f t="shared" si="31"/>
        <v>0.9032258065</v>
      </c>
      <c r="V57" s="51">
        <f t="shared" si="31"/>
        <v>0.9333333333</v>
      </c>
      <c r="W57" s="51">
        <f t="shared" si="31"/>
        <v>0.9655172414</v>
      </c>
      <c r="X57" s="51">
        <f t="shared" si="31"/>
        <v>1</v>
      </c>
      <c r="Y57" s="51">
        <f t="shared" si="31"/>
        <v>1.037037037</v>
      </c>
      <c r="Z57" s="51">
        <f t="shared" si="31"/>
        <v>1.076923077</v>
      </c>
      <c r="AA57" s="51">
        <f t="shared" si="31"/>
        <v>1.12</v>
      </c>
      <c r="AB57" s="51">
        <f t="shared" si="31"/>
        <v>1.166666667</v>
      </c>
      <c r="AC57" s="51">
        <f t="shared" si="31"/>
        <v>1.217391304</v>
      </c>
      <c r="AD57" s="51">
        <f t="shared" si="31"/>
        <v>1.272727273</v>
      </c>
      <c r="AE57" s="51">
        <f t="shared" si="31"/>
        <v>1.333333333</v>
      </c>
      <c r="AF57" s="51">
        <f t="shared" si="31"/>
        <v>1.4</v>
      </c>
      <c r="AG57" s="51">
        <f t="shared" si="31"/>
        <v>1.473684211</v>
      </c>
      <c r="AH57" s="51">
        <f t="shared" si="31"/>
        <v>1.555555556</v>
      </c>
      <c r="AI57" s="51">
        <f t="shared" si="31"/>
        <v>1.647058824</v>
      </c>
      <c r="AJ57" s="51">
        <f t="shared" si="31"/>
        <v>1.75</v>
      </c>
      <c r="AK57" s="51">
        <f t="shared" si="31"/>
        <v>1.866666667</v>
      </c>
      <c r="AL57" s="49">
        <f t="shared" si="31"/>
        <v>2</v>
      </c>
      <c r="AM57" s="51">
        <f t="shared" si="31"/>
        <v>2.153846154</v>
      </c>
      <c r="AN57" s="51">
        <f t="shared" si="31"/>
        <v>2.333333333</v>
      </c>
      <c r="AO57" s="51">
        <f t="shared" si="31"/>
        <v>2.545454545</v>
      </c>
      <c r="AP57" s="51">
        <f t="shared" si="31"/>
        <v>2.8</v>
      </c>
      <c r="AQ57" s="51">
        <f t="shared" si="31"/>
        <v>3.111111111</v>
      </c>
      <c r="AR57" s="51">
        <f t="shared" si="31"/>
        <v>3.5</v>
      </c>
      <c r="AS57" s="51">
        <f t="shared" si="31"/>
        <v>4</v>
      </c>
      <c r="AT57" s="51">
        <f t="shared" si="31"/>
        <v>4.666666667</v>
      </c>
      <c r="AU57" s="51">
        <f t="shared" si="31"/>
        <v>5.6</v>
      </c>
      <c r="AV57" s="51">
        <f t="shared" si="31"/>
        <v>7</v>
      </c>
      <c r="AW57" s="51">
        <f t="shared" si="31"/>
        <v>9.333333333</v>
      </c>
      <c r="AX57" s="59">
        <f t="shared" si="31"/>
        <v>14</v>
      </c>
      <c r="AY57" s="58">
        <f t="shared" si="31"/>
        <v>28</v>
      </c>
    </row>
    <row r="58" ht="12.0" customHeight="1">
      <c r="A58" s="48">
        <f t="shared" si="5"/>
        <v>29</v>
      </c>
      <c r="B58" s="52">
        <f t="shared" si="3"/>
        <v>0.58</v>
      </c>
      <c r="C58" s="51">
        <f t="shared" ref="C58:AY58" si="32">$A$58/(100-C29)</f>
        <v>0.5918367347</v>
      </c>
      <c r="D58" s="51">
        <f t="shared" si="32"/>
        <v>0.6041666667</v>
      </c>
      <c r="E58" s="51">
        <f t="shared" si="32"/>
        <v>0.6170212766</v>
      </c>
      <c r="F58" s="51">
        <f t="shared" si="32"/>
        <v>0.6304347826</v>
      </c>
      <c r="G58" s="51">
        <f t="shared" si="32"/>
        <v>0.6444444444</v>
      </c>
      <c r="H58" s="51">
        <f t="shared" si="32"/>
        <v>0.6590909091</v>
      </c>
      <c r="I58" s="51">
        <f t="shared" si="32"/>
        <v>0.6744186047</v>
      </c>
      <c r="J58" s="51">
        <f t="shared" si="32"/>
        <v>0.6904761905</v>
      </c>
      <c r="K58" s="51">
        <f t="shared" si="32"/>
        <v>0.7073170732</v>
      </c>
      <c r="L58" s="51">
        <f t="shared" si="32"/>
        <v>0.725</v>
      </c>
      <c r="M58" s="51">
        <f t="shared" si="32"/>
        <v>0.7435897436</v>
      </c>
      <c r="N58" s="51">
        <f t="shared" si="32"/>
        <v>0.7631578947</v>
      </c>
      <c r="O58" s="51">
        <f t="shared" si="32"/>
        <v>0.7837837838</v>
      </c>
      <c r="P58" s="51">
        <f t="shared" si="32"/>
        <v>0.8055555556</v>
      </c>
      <c r="Q58" s="51">
        <f t="shared" si="32"/>
        <v>0.8285714286</v>
      </c>
      <c r="R58" s="51">
        <f t="shared" si="32"/>
        <v>0.8529411765</v>
      </c>
      <c r="S58" s="51">
        <f t="shared" si="32"/>
        <v>0.8787878788</v>
      </c>
      <c r="T58" s="51">
        <f t="shared" si="32"/>
        <v>0.90625</v>
      </c>
      <c r="U58" s="51">
        <f t="shared" si="32"/>
        <v>0.935483871</v>
      </c>
      <c r="V58" s="51">
        <f t="shared" si="32"/>
        <v>0.9666666667</v>
      </c>
      <c r="W58" s="51">
        <f t="shared" si="32"/>
        <v>1</v>
      </c>
      <c r="X58" s="51">
        <f t="shared" si="32"/>
        <v>1.035714286</v>
      </c>
      <c r="Y58" s="51">
        <f t="shared" si="32"/>
        <v>1.074074074</v>
      </c>
      <c r="Z58" s="51">
        <f t="shared" si="32"/>
        <v>1.115384615</v>
      </c>
      <c r="AA58" s="51">
        <f t="shared" si="32"/>
        <v>1.16</v>
      </c>
      <c r="AB58" s="51">
        <f t="shared" si="32"/>
        <v>1.208333333</v>
      </c>
      <c r="AC58" s="51">
        <f t="shared" si="32"/>
        <v>1.260869565</v>
      </c>
      <c r="AD58" s="51">
        <f t="shared" si="32"/>
        <v>1.318181818</v>
      </c>
      <c r="AE58" s="51">
        <f t="shared" si="32"/>
        <v>1.380952381</v>
      </c>
      <c r="AF58" s="51">
        <f t="shared" si="32"/>
        <v>1.45</v>
      </c>
      <c r="AG58" s="51">
        <f t="shared" si="32"/>
        <v>1.526315789</v>
      </c>
      <c r="AH58" s="51">
        <f t="shared" si="32"/>
        <v>1.611111111</v>
      </c>
      <c r="AI58" s="51">
        <f t="shared" si="32"/>
        <v>1.705882353</v>
      </c>
      <c r="AJ58" s="51">
        <f t="shared" si="32"/>
        <v>1.8125</v>
      </c>
      <c r="AK58" s="51">
        <f t="shared" si="32"/>
        <v>1.933333333</v>
      </c>
      <c r="AL58" s="52">
        <f t="shared" si="32"/>
        <v>2.071428571</v>
      </c>
      <c r="AM58" s="51">
        <f t="shared" si="32"/>
        <v>2.230769231</v>
      </c>
      <c r="AN58" s="51">
        <f t="shared" si="32"/>
        <v>2.416666667</v>
      </c>
      <c r="AO58" s="51">
        <f t="shared" si="32"/>
        <v>2.636363636</v>
      </c>
      <c r="AP58" s="51">
        <f t="shared" si="32"/>
        <v>2.9</v>
      </c>
      <c r="AQ58" s="51">
        <f t="shared" si="32"/>
        <v>3.222222222</v>
      </c>
      <c r="AR58" s="51">
        <f t="shared" si="32"/>
        <v>3.625</v>
      </c>
      <c r="AS58" s="51">
        <f t="shared" si="32"/>
        <v>4.142857143</v>
      </c>
      <c r="AT58" s="51">
        <f t="shared" si="32"/>
        <v>4.833333333</v>
      </c>
      <c r="AU58" s="51">
        <f t="shared" si="32"/>
        <v>5.8</v>
      </c>
      <c r="AV58" s="51">
        <f t="shared" si="32"/>
        <v>7.25</v>
      </c>
      <c r="AW58" s="51">
        <f t="shared" si="32"/>
        <v>9.666666667</v>
      </c>
      <c r="AX58" s="59">
        <f t="shared" si="32"/>
        <v>14.5</v>
      </c>
      <c r="AY58" s="58">
        <f t="shared" si="32"/>
        <v>29</v>
      </c>
    </row>
    <row r="59" ht="12.0" customHeight="1">
      <c r="A59" s="48">
        <f t="shared" si="5"/>
        <v>30</v>
      </c>
      <c r="B59" s="52">
        <f t="shared" si="3"/>
        <v>0.6</v>
      </c>
      <c r="C59" s="51">
        <f t="shared" ref="C59:AY59" si="33">$A$59/(100-C29)</f>
        <v>0.612244898</v>
      </c>
      <c r="D59" s="51">
        <f t="shared" si="33"/>
        <v>0.625</v>
      </c>
      <c r="E59" s="51">
        <f t="shared" si="33"/>
        <v>0.6382978723</v>
      </c>
      <c r="F59" s="51">
        <f t="shared" si="33"/>
        <v>0.652173913</v>
      </c>
      <c r="G59" s="51">
        <f t="shared" si="33"/>
        <v>0.6666666667</v>
      </c>
      <c r="H59" s="51">
        <f t="shared" si="33"/>
        <v>0.6818181818</v>
      </c>
      <c r="I59" s="51">
        <f t="shared" si="33"/>
        <v>0.6976744186</v>
      </c>
      <c r="J59" s="51">
        <f t="shared" si="33"/>
        <v>0.7142857143</v>
      </c>
      <c r="K59" s="51">
        <f t="shared" si="33"/>
        <v>0.7317073171</v>
      </c>
      <c r="L59" s="51">
        <f t="shared" si="33"/>
        <v>0.75</v>
      </c>
      <c r="M59" s="51">
        <f t="shared" si="33"/>
        <v>0.7692307692</v>
      </c>
      <c r="N59" s="51">
        <f t="shared" si="33"/>
        <v>0.7894736842</v>
      </c>
      <c r="O59" s="51">
        <f t="shared" si="33"/>
        <v>0.8108108108</v>
      </c>
      <c r="P59" s="51">
        <f t="shared" si="33"/>
        <v>0.8333333333</v>
      </c>
      <c r="Q59" s="51">
        <f t="shared" si="33"/>
        <v>0.8571428571</v>
      </c>
      <c r="R59" s="51">
        <f t="shared" si="33"/>
        <v>0.8823529412</v>
      </c>
      <c r="S59" s="51">
        <f t="shared" si="33"/>
        <v>0.9090909091</v>
      </c>
      <c r="T59" s="51">
        <f t="shared" si="33"/>
        <v>0.9375</v>
      </c>
      <c r="U59" s="51">
        <f t="shared" si="33"/>
        <v>0.9677419355</v>
      </c>
      <c r="V59" s="51">
        <f t="shared" si="33"/>
        <v>1</v>
      </c>
      <c r="W59" s="51">
        <f t="shared" si="33"/>
        <v>1.034482759</v>
      </c>
      <c r="X59" s="51">
        <f t="shared" si="33"/>
        <v>1.071428571</v>
      </c>
      <c r="Y59" s="51">
        <f t="shared" si="33"/>
        <v>1.111111111</v>
      </c>
      <c r="Z59" s="51">
        <f t="shared" si="33"/>
        <v>1.153846154</v>
      </c>
      <c r="AA59" s="51">
        <f t="shared" si="33"/>
        <v>1.2</v>
      </c>
      <c r="AB59" s="51">
        <f t="shared" si="33"/>
        <v>1.25</v>
      </c>
      <c r="AC59" s="51">
        <f t="shared" si="33"/>
        <v>1.304347826</v>
      </c>
      <c r="AD59" s="51">
        <f t="shared" si="33"/>
        <v>1.363636364</v>
      </c>
      <c r="AE59" s="51">
        <f t="shared" si="33"/>
        <v>1.428571429</v>
      </c>
      <c r="AF59" s="51">
        <f t="shared" si="33"/>
        <v>1.5</v>
      </c>
      <c r="AG59" s="51">
        <f t="shared" si="33"/>
        <v>1.578947368</v>
      </c>
      <c r="AH59" s="51">
        <f t="shared" si="33"/>
        <v>1.666666667</v>
      </c>
      <c r="AI59" s="51">
        <f t="shared" si="33"/>
        <v>1.764705882</v>
      </c>
      <c r="AJ59" s="51">
        <f t="shared" si="33"/>
        <v>1.875</v>
      </c>
      <c r="AK59" s="49">
        <f t="shared" si="33"/>
        <v>2</v>
      </c>
      <c r="AL59" s="51">
        <f t="shared" si="33"/>
        <v>2.142857143</v>
      </c>
      <c r="AM59" s="51">
        <f t="shared" si="33"/>
        <v>2.307692308</v>
      </c>
      <c r="AN59" s="51">
        <f t="shared" si="33"/>
        <v>2.5</v>
      </c>
      <c r="AO59" s="51">
        <f t="shared" si="33"/>
        <v>2.727272727</v>
      </c>
      <c r="AP59" s="51">
        <f t="shared" si="33"/>
        <v>3</v>
      </c>
      <c r="AQ59" s="51">
        <f t="shared" si="33"/>
        <v>3.333333333</v>
      </c>
      <c r="AR59" s="51">
        <f t="shared" si="33"/>
        <v>3.75</v>
      </c>
      <c r="AS59" s="51">
        <f t="shared" si="33"/>
        <v>4.285714286</v>
      </c>
      <c r="AT59" s="51">
        <f t="shared" si="33"/>
        <v>5</v>
      </c>
      <c r="AU59" s="51">
        <f t="shared" si="33"/>
        <v>6</v>
      </c>
      <c r="AV59" s="51">
        <f t="shared" si="33"/>
        <v>7.5</v>
      </c>
      <c r="AW59" s="59">
        <f t="shared" si="33"/>
        <v>10</v>
      </c>
      <c r="AX59" s="59">
        <f t="shared" si="33"/>
        <v>15</v>
      </c>
      <c r="AY59" s="58">
        <f t="shared" si="33"/>
        <v>30</v>
      </c>
    </row>
    <row r="60" ht="12.0" customHeight="1">
      <c r="A60" s="48">
        <f t="shared" si="5"/>
        <v>31</v>
      </c>
      <c r="B60" s="52">
        <f t="shared" si="3"/>
        <v>0.62</v>
      </c>
      <c r="C60" s="51">
        <f t="shared" ref="C60:AY60" si="34">$A$60/(100-C29)</f>
        <v>0.6326530612</v>
      </c>
      <c r="D60" s="51">
        <f t="shared" si="34"/>
        <v>0.6458333333</v>
      </c>
      <c r="E60" s="51">
        <f t="shared" si="34"/>
        <v>0.6595744681</v>
      </c>
      <c r="F60" s="51">
        <f t="shared" si="34"/>
        <v>0.6739130435</v>
      </c>
      <c r="G60" s="51">
        <f t="shared" si="34"/>
        <v>0.6888888889</v>
      </c>
      <c r="H60" s="51">
        <f t="shared" si="34"/>
        <v>0.7045454545</v>
      </c>
      <c r="I60" s="51">
        <f t="shared" si="34"/>
        <v>0.7209302326</v>
      </c>
      <c r="J60" s="51">
        <f t="shared" si="34"/>
        <v>0.7380952381</v>
      </c>
      <c r="K60" s="51">
        <f t="shared" si="34"/>
        <v>0.756097561</v>
      </c>
      <c r="L60" s="51">
        <f t="shared" si="34"/>
        <v>0.775</v>
      </c>
      <c r="M60" s="51">
        <f t="shared" si="34"/>
        <v>0.7948717949</v>
      </c>
      <c r="N60" s="51">
        <f t="shared" si="34"/>
        <v>0.8157894737</v>
      </c>
      <c r="O60" s="51">
        <f t="shared" si="34"/>
        <v>0.8378378378</v>
      </c>
      <c r="P60" s="51">
        <f t="shared" si="34"/>
        <v>0.8611111111</v>
      </c>
      <c r="Q60" s="51">
        <f t="shared" si="34"/>
        <v>0.8857142857</v>
      </c>
      <c r="R60" s="51">
        <f t="shared" si="34"/>
        <v>0.9117647059</v>
      </c>
      <c r="S60" s="51">
        <f t="shared" si="34"/>
        <v>0.9393939394</v>
      </c>
      <c r="T60" s="51">
        <f t="shared" si="34"/>
        <v>0.96875</v>
      </c>
      <c r="U60" s="51">
        <f t="shared" si="34"/>
        <v>1</v>
      </c>
      <c r="V60" s="51">
        <f t="shared" si="34"/>
        <v>1.033333333</v>
      </c>
      <c r="W60" s="51">
        <f t="shared" si="34"/>
        <v>1.068965517</v>
      </c>
      <c r="X60" s="51">
        <f t="shared" si="34"/>
        <v>1.107142857</v>
      </c>
      <c r="Y60" s="51">
        <f t="shared" si="34"/>
        <v>1.148148148</v>
      </c>
      <c r="Z60" s="51">
        <f t="shared" si="34"/>
        <v>1.192307692</v>
      </c>
      <c r="AA60" s="51">
        <f t="shared" si="34"/>
        <v>1.24</v>
      </c>
      <c r="AB60" s="51">
        <f t="shared" si="34"/>
        <v>1.291666667</v>
      </c>
      <c r="AC60" s="51">
        <f t="shared" si="34"/>
        <v>1.347826087</v>
      </c>
      <c r="AD60" s="51">
        <f t="shared" si="34"/>
        <v>1.409090909</v>
      </c>
      <c r="AE60" s="51">
        <f t="shared" si="34"/>
        <v>1.476190476</v>
      </c>
      <c r="AF60" s="51">
        <f t="shared" si="34"/>
        <v>1.55</v>
      </c>
      <c r="AG60" s="51">
        <f t="shared" si="34"/>
        <v>1.631578947</v>
      </c>
      <c r="AH60" s="51">
        <f t="shared" si="34"/>
        <v>1.722222222</v>
      </c>
      <c r="AI60" s="51">
        <f t="shared" si="34"/>
        <v>1.823529412</v>
      </c>
      <c r="AJ60" s="51">
        <f t="shared" si="34"/>
        <v>1.9375</v>
      </c>
      <c r="AK60" s="52">
        <f t="shared" si="34"/>
        <v>2.066666667</v>
      </c>
      <c r="AL60" s="51">
        <f t="shared" si="34"/>
        <v>2.214285714</v>
      </c>
      <c r="AM60" s="51">
        <f t="shared" si="34"/>
        <v>2.384615385</v>
      </c>
      <c r="AN60" s="51">
        <f t="shared" si="34"/>
        <v>2.583333333</v>
      </c>
      <c r="AO60" s="51">
        <f t="shared" si="34"/>
        <v>2.818181818</v>
      </c>
      <c r="AP60" s="51">
        <f t="shared" si="34"/>
        <v>3.1</v>
      </c>
      <c r="AQ60" s="51">
        <f t="shared" si="34"/>
        <v>3.444444444</v>
      </c>
      <c r="AR60" s="51">
        <f t="shared" si="34"/>
        <v>3.875</v>
      </c>
      <c r="AS60" s="51">
        <f t="shared" si="34"/>
        <v>4.428571429</v>
      </c>
      <c r="AT60" s="51">
        <f t="shared" si="34"/>
        <v>5.166666667</v>
      </c>
      <c r="AU60" s="51">
        <f t="shared" si="34"/>
        <v>6.2</v>
      </c>
      <c r="AV60" s="51">
        <f t="shared" si="34"/>
        <v>7.75</v>
      </c>
      <c r="AW60" s="59">
        <f t="shared" si="34"/>
        <v>10.33333333</v>
      </c>
      <c r="AX60" s="59">
        <f t="shared" si="34"/>
        <v>15.5</v>
      </c>
      <c r="AY60" s="58">
        <f t="shared" si="34"/>
        <v>31</v>
      </c>
    </row>
    <row r="61" ht="12.0" customHeight="1">
      <c r="A61" s="48">
        <f t="shared" si="5"/>
        <v>32</v>
      </c>
      <c r="B61" s="52">
        <f t="shared" si="3"/>
        <v>0.64</v>
      </c>
      <c r="C61" s="51">
        <f t="shared" ref="C61:AY61" si="35">$A$61/(100-C29)</f>
        <v>0.6530612245</v>
      </c>
      <c r="D61" s="51">
        <f t="shared" si="35"/>
        <v>0.6666666667</v>
      </c>
      <c r="E61" s="51">
        <f t="shared" si="35"/>
        <v>0.6808510638</v>
      </c>
      <c r="F61" s="51">
        <f t="shared" si="35"/>
        <v>0.6956521739</v>
      </c>
      <c r="G61" s="51">
        <f t="shared" si="35"/>
        <v>0.7111111111</v>
      </c>
      <c r="H61" s="51">
        <f t="shared" si="35"/>
        <v>0.7272727273</v>
      </c>
      <c r="I61" s="51">
        <f t="shared" si="35"/>
        <v>0.7441860465</v>
      </c>
      <c r="J61" s="51">
        <f t="shared" si="35"/>
        <v>0.7619047619</v>
      </c>
      <c r="K61" s="51">
        <f t="shared" si="35"/>
        <v>0.7804878049</v>
      </c>
      <c r="L61" s="51">
        <f t="shared" si="35"/>
        <v>0.8</v>
      </c>
      <c r="M61" s="51">
        <f t="shared" si="35"/>
        <v>0.8205128205</v>
      </c>
      <c r="N61" s="51">
        <f t="shared" si="35"/>
        <v>0.8421052632</v>
      </c>
      <c r="O61" s="51">
        <f t="shared" si="35"/>
        <v>0.8648648649</v>
      </c>
      <c r="P61" s="51">
        <f t="shared" si="35"/>
        <v>0.8888888889</v>
      </c>
      <c r="Q61" s="51">
        <f t="shared" si="35"/>
        <v>0.9142857143</v>
      </c>
      <c r="R61" s="51">
        <f t="shared" si="35"/>
        <v>0.9411764706</v>
      </c>
      <c r="S61" s="51">
        <f t="shared" si="35"/>
        <v>0.9696969697</v>
      </c>
      <c r="T61" s="51">
        <f t="shared" si="35"/>
        <v>1</v>
      </c>
      <c r="U61" s="51">
        <f t="shared" si="35"/>
        <v>1.032258065</v>
      </c>
      <c r="V61" s="51">
        <f t="shared" si="35"/>
        <v>1.066666667</v>
      </c>
      <c r="W61" s="51">
        <f t="shared" si="35"/>
        <v>1.103448276</v>
      </c>
      <c r="X61" s="51">
        <f t="shared" si="35"/>
        <v>1.142857143</v>
      </c>
      <c r="Y61" s="51">
        <f t="shared" si="35"/>
        <v>1.185185185</v>
      </c>
      <c r="Z61" s="51">
        <f t="shared" si="35"/>
        <v>1.230769231</v>
      </c>
      <c r="AA61" s="51">
        <f t="shared" si="35"/>
        <v>1.28</v>
      </c>
      <c r="AB61" s="51">
        <f t="shared" si="35"/>
        <v>1.333333333</v>
      </c>
      <c r="AC61" s="51">
        <f t="shared" si="35"/>
        <v>1.391304348</v>
      </c>
      <c r="AD61" s="51">
        <f t="shared" si="35"/>
        <v>1.454545455</v>
      </c>
      <c r="AE61" s="51">
        <f t="shared" si="35"/>
        <v>1.523809524</v>
      </c>
      <c r="AF61" s="51">
        <f t="shared" si="35"/>
        <v>1.6</v>
      </c>
      <c r="AG61" s="51">
        <f t="shared" si="35"/>
        <v>1.684210526</v>
      </c>
      <c r="AH61" s="51">
        <f t="shared" si="35"/>
        <v>1.777777778</v>
      </c>
      <c r="AI61" s="51">
        <f t="shared" si="35"/>
        <v>1.882352941</v>
      </c>
      <c r="AJ61" s="49">
        <f t="shared" si="35"/>
        <v>2</v>
      </c>
      <c r="AK61" s="51">
        <f t="shared" si="35"/>
        <v>2.133333333</v>
      </c>
      <c r="AL61" s="51">
        <f t="shared" si="35"/>
        <v>2.285714286</v>
      </c>
      <c r="AM61" s="51">
        <f t="shared" si="35"/>
        <v>2.461538462</v>
      </c>
      <c r="AN61" s="51">
        <f t="shared" si="35"/>
        <v>2.666666667</v>
      </c>
      <c r="AO61" s="51">
        <f t="shared" si="35"/>
        <v>2.909090909</v>
      </c>
      <c r="AP61" s="51">
        <f t="shared" si="35"/>
        <v>3.2</v>
      </c>
      <c r="AQ61" s="51">
        <f t="shared" si="35"/>
        <v>3.555555556</v>
      </c>
      <c r="AR61" s="51">
        <f t="shared" si="35"/>
        <v>4</v>
      </c>
      <c r="AS61" s="51">
        <f t="shared" si="35"/>
        <v>4.571428571</v>
      </c>
      <c r="AT61" s="51">
        <f t="shared" si="35"/>
        <v>5.333333333</v>
      </c>
      <c r="AU61" s="51">
        <f t="shared" si="35"/>
        <v>6.4</v>
      </c>
      <c r="AV61" s="51">
        <f t="shared" si="35"/>
        <v>8</v>
      </c>
      <c r="AW61" s="59">
        <f t="shared" si="35"/>
        <v>10.66666667</v>
      </c>
      <c r="AX61" s="59">
        <f t="shared" si="35"/>
        <v>16</v>
      </c>
      <c r="AY61" s="58">
        <f t="shared" si="35"/>
        <v>32</v>
      </c>
    </row>
    <row r="62" ht="12.0" customHeight="1">
      <c r="A62" s="48">
        <f t="shared" si="5"/>
        <v>33</v>
      </c>
      <c r="B62" s="52">
        <f t="shared" si="3"/>
        <v>0.66</v>
      </c>
      <c r="C62" s="51">
        <f t="shared" ref="C62:AY62" si="36">$A$62/(100-C29)</f>
        <v>0.6734693878</v>
      </c>
      <c r="D62" s="51">
        <f t="shared" si="36"/>
        <v>0.6875</v>
      </c>
      <c r="E62" s="51">
        <f t="shared" si="36"/>
        <v>0.7021276596</v>
      </c>
      <c r="F62" s="51">
        <f t="shared" si="36"/>
        <v>0.7173913043</v>
      </c>
      <c r="G62" s="51">
        <f t="shared" si="36"/>
        <v>0.7333333333</v>
      </c>
      <c r="H62" s="51">
        <f t="shared" si="36"/>
        <v>0.75</v>
      </c>
      <c r="I62" s="51">
        <f t="shared" si="36"/>
        <v>0.7674418605</v>
      </c>
      <c r="J62" s="51">
        <f t="shared" si="36"/>
        <v>0.7857142857</v>
      </c>
      <c r="K62" s="51">
        <f t="shared" si="36"/>
        <v>0.8048780488</v>
      </c>
      <c r="L62" s="51">
        <f t="shared" si="36"/>
        <v>0.825</v>
      </c>
      <c r="M62" s="51">
        <f t="shared" si="36"/>
        <v>0.8461538462</v>
      </c>
      <c r="N62" s="51">
        <f t="shared" si="36"/>
        <v>0.8684210526</v>
      </c>
      <c r="O62" s="51">
        <f t="shared" si="36"/>
        <v>0.8918918919</v>
      </c>
      <c r="P62" s="51">
        <f t="shared" si="36"/>
        <v>0.9166666667</v>
      </c>
      <c r="Q62" s="51">
        <f t="shared" si="36"/>
        <v>0.9428571429</v>
      </c>
      <c r="R62" s="51">
        <f t="shared" si="36"/>
        <v>0.9705882353</v>
      </c>
      <c r="S62" s="51">
        <f t="shared" si="36"/>
        <v>1</v>
      </c>
      <c r="T62" s="51">
        <f t="shared" si="36"/>
        <v>1.03125</v>
      </c>
      <c r="U62" s="51">
        <f t="shared" si="36"/>
        <v>1.064516129</v>
      </c>
      <c r="V62" s="51">
        <f t="shared" si="36"/>
        <v>1.1</v>
      </c>
      <c r="W62" s="51">
        <f t="shared" si="36"/>
        <v>1.137931034</v>
      </c>
      <c r="X62" s="51">
        <f t="shared" si="36"/>
        <v>1.178571429</v>
      </c>
      <c r="Y62" s="51">
        <f t="shared" si="36"/>
        <v>1.222222222</v>
      </c>
      <c r="Z62" s="51">
        <f t="shared" si="36"/>
        <v>1.269230769</v>
      </c>
      <c r="AA62" s="51">
        <f t="shared" si="36"/>
        <v>1.32</v>
      </c>
      <c r="AB62" s="51">
        <f t="shared" si="36"/>
        <v>1.375</v>
      </c>
      <c r="AC62" s="51">
        <f t="shared" si="36"/>
        <v>1.434782609</v>
      </c>
      <c r="AD62" s="51">
        <f t="shared" si="36"/>
        <v>1.5</v>
      </c>
      <c r="AE62" s="51">
        <f t="shared" si="36"/>
        <v>1.571428571</v>
      </c>
      <c r="AF62" s="51">
        <f t="shared" si="36"/>
        <v>1.65</v>
      </c>
      <c r="AG62" s="51">
        <f t="shared" si="36"/>
        <v>1.736842105</v>
      </c>
      <c r="AH62" s="51">
        <f t="shared" si="36"/>
        <v>1.833333333</v>
      </c>
      <c r="AI62" s="51">
        <f t="shared" si="36"/>
        <v>1.941176471</v>
      </c>
      <c r="AJ62" s="52">
        <f t="shared" si="36"/>
        <v>2.0625</v>
      </c>
      <c r="AK62" s="51">
        <f t="shared" si="36"/>
        <v>2.2</v>
      </c>
      <c r="AL62" s="51">
        <f t="shared" si="36"/>
        <v>2.357142857</v>
      </c>
      <c r="AM62" s="51">
        <f t="shared" si="36"/>
        <v>2.538461538</v>
      </c>
      <c r="AN62" s="51">
        <f t="shared" si="36"/>
        <v>2.75</v>
      </c>
      <c r="AO62" s="51">
        <f t="shared" si="36"/>
        <v>3</v>
      </c>
      <c r="AP62" s="51">
        <f t="shared" si="36"/>
        <v>3.3</v>
      </c>
      <c r="AQ62" s="51">
        <f t="shared" si="36"/>
        <v>3.666666667</v>
      </c>
      <c r="AR62" s="51">
        <f t="shared" si="36"/>
        <v>4.125</v>
      </c>
      <c r="AS62" s="51">
        <f t="shared" si="36"/>
        <v>4.714285714</v>
      </c>
      <c r="AT62" s="51">
        <f t="shared" si="36"/>
        <v>5.5</v>
      </c>
      <c r="AU62" s="51">
        <f t="shared" si="36"/>
        <v>6.6</v>
      </c>
      <c r="AV62" s="51">
        <f t="shared" si="36"/>
        <v>8.25</v>
      </c>
      <c r="AW62" s="59">
        <f t="shared" si="36"/>
        <v>11</v>
      </c>
      <c r="AX62" s="59">
        <f t="shared" si="36"/>
        <v>16.5</v>
      </c>
      <c r="AY62" s="58">
        <f t="shared" si="36"/>
        <v>33</v>
      </c>
    </row>
    <row r="63" ht="12.0" customHeight="1">
      <c r="A63" s="48">
        <f t="shared" si="5"/>
        <v>34</v>
      </c>
      <c r="B63" s="52">
        <f t="shared" si="3"/>
        <v>0.68</v>
      </c>
      <c r="C63" s="51">
        <f t="shared" ref="C63:AY63" si="37">$A$63/(100-C29)</f>
        <v>0.693877551</v>
      </c>
      <c r="D63" s="51">
        <f t="shared" si="37"/>
        <v>0.7083333333</v>
      </c>
      <c r="E63" s="51">
        <f t="shared" si="37"/>
        <v>0.7234042553</v>
      </c>
      <c r="F63" s="51">
        <f t="shared" si="37"/>
        <v>0.7391304348</v>
      </c>
      <c r="G63" s="51">
        <f t="shared" si="37"/>
        <v>0.7555555556</v>
      </c>
      <c r="H63" s="51">
        <f t="shared" si="37"/>
        <v>0.7727272727</v>
      </c>
      <c r="I63" s="51">
        <f t="shared" si="37"/>
        <v>0.7906976744</v>
      </c>
      <c r="J63" s="51">
        <f t="shared" si="37"/>
        <v>0.8095238095</v>
      </c>
      <c r="K63" s="51">
        <f t="shared" si="37"/>
        <v>0.8292682927</v>
      </c>
      <c r="L63" s="51">
        <f t="shared" si="37"/>
        <v>0.85</v>
      </c>
      <c r="M63" s="51">
        <f t="shared" si="37"/>
        <v>0.8717948718</v>
      </c>
      <c r="N63" s="51">
        <f t="shared" si="37"/>
        <v>0.8947368421</v>
      </c>
      <c r="O63" s="51">
        <f t="shared" si="37"/>
        <v>0.9189189189</v>
      </c>
      <c r="P63" s="51">
        <f t="shared" si="37"/>
        <v>0.9444444444</v>
      </c>
      <c r="Q63" s="51">
        <f t="shared" si="37"/>
        <v>0.9714285714</v>
      </c>
      <c r="R63" s="51">
        <f t="shared" si="37"/>
        <v>1</v>
      </c>
      <c r="S63" s="51">
        <f t="shared" si="37"/>
        <v>1.03030303</v>
      </c>
      <c r="T63" s="51">
        <f t="shared" si="37"/>
        <v>1.0625</v>
      </c>
      <c r="U63" s="51">
        <f t="shared" si="37"/>
        <v>1.096774194</v>
      </c>
      <c r="V63" s="51">
        <f t="shared" si="37"/>
        <v>1.133333333</v>
      </c>
      <c r="W63" s="51">
        <f t="shared" si="37"/>
        <v>1.172413793</v>
      </c>
      <c r="X63" s="51">
        <f t="shared" si="37"/>
        <v>1.214285714</v>
      </c>
      <c r="Y63" s="51">
        <f t="shared" si="37"/>
        <v>1.259259259</v>
      </c>
      <c r="Z63" s="51">
        <f t="shared" si="37"/>
        <v>1.307692308</v>
      </c>
      <c r="AA63" s="51">
        <f t="shared" si="37"/>
        <v>1.36</v>
      </c>
      <c r="AB63" s="51">
        <f t="shared" si="37"/>
        <v>1.416666667</v>
      </c>
      <c r="AC63" s="51">
        <f t="shared" si="37"/>
        <v>1.47826087</v>
      </c>
      <c r="AD63" s="51">
        <f t="shared" si="37"/>
        <v>1.545454545</v>
      </c>
      <c r="AE63" s="51">
        <f t="shared" si="37"/>
        <v>1.619047619</v>
      </c>
      <c r="AF63" s="51">
        <f t="shared" si="37"/>
        <v>1.7</v>
      </c>
      <c r="AG63" s="51">
        <f t="shared" si="37"/>
        <v>1.789473684</v>
      </c>
      <c r="AH63" s="51">
        <f t="shared" si="37"/>
        <v>1.888888889</v>
      </c>
      <c r="AI63" s="49">
        <f t="shared" si="37"/>
        <v>2</v>
      </c>
      <c r="AJ63" s="51">
        <f t="shared" si="37"/>
        <v>2.125</v>
      </c>
      <c r="AK63" s="51">
        <f t="shared" si="37"/>
        <v>2.266666667</v>
      </c>
      <c r="AL63" s="51">
        <f t="shared" si="37"/>
        <v>2.428571429</v>
      </c>
      <c r="AM63" s="51">
        <f t="shared" si="37"/>
        <v>2.615384615</v>
      </c>
      <c r="AN63" s="51">
        <f t="shared" si="37"/>
        <v>2.833333333</v>
      </c>
      <c r="AO63" s="51">
        <f t="shared" si="37"/>
        <v>3.090909091</v>
      </c>
      <c r="AP63" s="51">
        <f t="shared" si="37"/>
        <v>3.4</v>
      </c>
      <c r="AQ63" s="51">
        <f t="shared" si="37"/>
        <v>3.777777778</v>
      </c>
      <c r="AR63" s="51">
        <f t="shared" si="37"/>
        <v>4.25</v>
      </c>
      <c r="AS63" s="51">
        <f t="shared" si="37"/>
        <v>4.857142857</v>
      </c>
      <c r="AT63" s="51">
        <f t="shared" si="37"/>
        <v>5.666666667</v>
      </c>
      <c r="AU63" s="51">
        <f t="shared" si="37"/>
        <v>6.8</v>
      </c>
      <c r="AV63" s="51">
        <f t="shared" si="37"/>
        <v>8.5</v>
      </c>
      <c r="AW63" s="59">
        <f t="shared" si="37"/>
        <v>11.33333333</v>
      </c>
      <c r="AX63" s="59">
        <f t="shared" si="37"/>
        <v>17</v>
      </c>
      <c r="AY63" s="58">
        <f t="shared" si="37"/>
        <v>34</v>
      </c>
    </row>
    <row r="64" ht="12.0" customHeight="1">
      <c r="A64" s="48">
        <f t="shared" si="5"/>
        <v>35</v>
      </c>
      <c r="B64" s="52">
        <f t="shared" si="3"/>
        <v>0.7</v>
      </c>
      <c r="C64" s="51">
        <f t="shared" ref="C64:AY64" si="38">$A$64/(100-C29)</f>
        <v>0.7142857143</v>
      </c>
      <c r="D64" s="51">
        <f t="shared" si="38"/>
        <v>0.7291666667</v>
      </c>
      <c r="E64" s="51">
        <f t="shared" si="38"/>
        <v>0.7446808511</v>
      </c>
      <c r="F64" s="51">
        <f t="shared" si="38"/>
        <v>0.7608695652</v>
      </c>
      <c r="G64" s="51">
        <f t="shared" si="38"/>
        <v>0.7777777778</v>
      </c>
      <c r="H64" s="51">
        <f t="shared" si="38"/>
        <v>0.7954545455</v>
      </c>
      <c r="I64" s="51">
        <f t="shared" si="38"/>
        <v>0.8139534884</v>
      </c>
      <c r="J64" s="51">
        <f t="shared" si="38"/>
        <v>0.8333333333</v>
      </c>
      <c r="K64" s="51">
        <f t="shared" si="38"/>
        <v>0.8536585366</v>
      </c>
      <c r="L64" s="51">
        <f t="shared" si="38"/>
        <v>0.875</v>
      </c>
      <c r="M64" s="51">
        <f t="shared" si="38"/>
        <v>0.8974358974</v>
      </c>
      <c r="N64" s="51">
        <f t="shared" si="38"/>
        <v>0.9210526316</v>
      </c>
      <c r="O64" s="51">
        <f t="shared" si="38"/>
        <v>0.9459459459</v>
      </c>
      <c r="P64" s="51">
        <f t="shared" si="38"/>
        <v>0.9722222222</v>
      </c>
      <c r="Q64" s="51">
        <f t="shared" si="38"/>
        <v>1</v>
      </c>
      <c r="R64" s="51">
        <f t="shared" si="38"/>
        <v>1.029411765</v>
      </c>
      <c r="S64" s="51">
        <f t="shared" si="38"/>
        <v>1.060606061</v>
      </c>
      <c r="T64" s="51">
        <f t="shared" si="38"/>
        <v>1.09375</v>
      </c>
      <c r="U64" s="51">
        <f t="shared" si="38"/>
        <v>1.129032258</v>
      </c>
      <c r="V64" s="51">
        <f t="shared" si="38"/>
        <v>1.166666667</v>
      </c>
      <c r="W64" s="51">
        <f t="shared" si="38"/>
        <v>1.206896552</v>
      </c>
      <c r="X64" s="51">
        <f t="shared" si="38"/>
        <v>1.25</v>
      </c>
      <c r="Y64" s="51">
        <f t="shared" si="38"/>
        <v>1.296296296</v>
      </c>
      <c r="Z64" s="51">
        <f t="shared" si="38"/>
        <v>1.346153846</v>
      </c>
      <c r="AA64" s="51">
        <f t="shared" si="38"/>
        <v>1.4</v>
      </c>
      <c r="AB64" s="51">
        <f t="shared" si="38"/>
        <v>1.458333333</v>
      </c>
      <c r="AC64" s="51">
        <f t="shared" si="38"/>
        <v>1.52173913</v>
      </c>
      <c r="AD64" s="51">
        <f t="shared" si="38"/>
        <v>1.590909091</v>
      </c>
      <c r="AE64" s="51">
        <f t="shared" si="38"/>
        <v>1.666666667</v>
      </c>
      <c r="AF64" s="51">
        <f t="shared" si="38"/>
        <v>1.75</v>
      </c>
      <c r="AG64" s="51">
        <f t="shared" si="38"/>
        <v>1.842105263</v>
      </c>
      <c r="AH64" s="51">
        <f t="shared" si="38"/>
        <v>1.944444444</v>
      </c>
      <c r="AI64" s="52">
        <f t="shared" si="38"/>
        <v>2.058823529</v>
      </c>
      <c r="AJ64" s="51">
        <f t="shared" si="38"/>
        <v>2.1875</v>
      </c>
      <c r="AK64" s="51">
        <f t="shared" si="38"/>
        <v>2.333333333</v>
      </c>
      <c r="AL64" s="51">
        <f t="shared" si="38"/>
        <v>2.5</v>
      </c>
      <c r="AM64" s="51">
        <f t="shared" si="38"/>
        <v>2.692307692</v>
      </c>
      <c r="AN64" s="51">
        <f t="shared" si="38"/>
        <v>2.916666667</v>
      </c>
      <c r="AO64" s="51">
        <f t="shared" si="38"/>
        <v>3.181818182</v>
      </c>
      <c r="AP64" s="51">
        <f t="shared" si="38"/>
        <v>3.5</v>
      </c>
      <c r="AQ64" s="51">
        <f t="shared" si="38"/>
        <v>3.888888889</v>
      </c>
      <c r="AR64" s="51">
        <f t="shared" si="38"/>
        <v>4.375</v>
      </c>
      <c r="AS64" s="51">
        <f t="shared" si="38"/>
        <v>5</v>
      </c>
      <c r="AT64" s="51">
        <f t="shared" si="38"/>
        <v>5.833333333</v>
      </c>
      <c r="AU64" s="51">
        <f t="shared" si="38"/>
        <v>7</v>
      </c>
      <c r="AV64" s="51">
        <f t="shared" si="38"/>
        <v>8.75</v>
      </c>
      <c r="AW64" s="59">
        <f t="shared" si="38"/>
        <v>11.66666667</v>
      </c>
      <c r="AX64" s="59">
        <f t="shared" si="38"/>
        <v>17.5</v>
      </c>
      <c r="AY64" s="58">
        <f t="shared" si="38"/>
        <v>35</v>
      </c>
    </row>
    <row r="65" ht="12.0" customHeight="1">
      <c r="A65" s="48">
        <f t="shared" si="5"/>
        <v>36</v>
      </c>
      <c r="B65" s="52">
        <f t="shared" si="3"/>
        <v>0.72</v>
      </c>
      <c r="C65" s="51">
        <f t="shared" ref="C65:AY65" si="39">$A$65/(100-C29)</f>
        <v>0.7346938776</v>
      </c>
      <c r="D65" s="51">
        <f t="shared" si="39"/>
        <v>0.75</v>
      </c>
      <c r="E65" s="51">
        <f t="shared" si="39"/>
        <v>0.7659574468</v>
      </c>
      <c r="F65" s="51">
        <f t="shared" si="39"/>
        <v>0.7826086957</v>
      </c>
      <c r="G65" s="51">
        <f t="shared" si="39"/>
        <v>0.8</v>
      </c>
      <c r="H65" s="51">
        <f t="shared" si="39"/>
        <v>0.8181818182</v>
      </c>
      <c r="I65" s="51">
        <f t="shared" si="39"/>
        <v>0.8372093023</v>
      </c>
      <c r="J65" s="51">
        <f t="shared" si="39"/>
        <v>0.8571428571</v>
      </c>
      <c r="K65" s="51">
        <f t="shared" si="39"/>
        <v>0.8780487805</v>
      </c>
      <c r="L65" s="51">
        <f t="shared" si="39"/>
        <v>0.9</v>
      </c>
      <c r="M65" s="51">
        <f t="shared" si="39"/>
        <v>0.9230769231</v>
      </c>
      <c r="N65" s="51">
        <f t="shared" si="39"/>
        <v>0.9473684211</v>
      </c>
      <c r="O65" s="51">
        <f t="shared" si="39"/>
        <v>0.972972973</v>
      </c>
      <c r="P65" s="51">
        <f t="shared" si="39"/>
        <v>1</v>
      </c>
      <c r="Q65" s="51">
        <f t="shared" si="39"/>
        <v>1.028571429</v>
      </c>
      <c r="R65" s="51">
        <f t="shared" si="39"/>
        <v>1.058823529</v>
      </c>
      <c r="S65" s="51">
        <f t="shared" si="39"/>
        <v>1.090909091</v>
      </c>
      <c r="T65" s="51">
        <f t="shared" si="39"/>
        <v>1.125</v>
      </c>
      <c r="U65" s="51">
        <f t="shared" si="39"/>
        <v>1.161290323</v>
      </c>
      <c r="V65" s="51">
        <f t="shared" si="39"/>
        <v>1.2</v>
      </c>
      <c r="W65" s="51">
        <f t="shared" si="39"/>
        <v>1.24137931</v>
      </c>
      <c r="X65" s="51">
        <f t="shared" si="39"/>
        <v>1.285714286</v>
      </c>
      <c r="Y65" s="51">
        <f t="shared" si="39"/>
        <v>1.333333333</v>
      </c>
      <c r="Z65" s="51">
        <f t="shared" si="39"/>
        <v>1.384615385</v>
      </c>
      <c r="AA65" s="51">
        <f t="shared" si="39"/>
        <v>1.44</v>
      </c>
      <c r="AB65" s="51">
        <f t="shared" si="39"/>
        <v>1.5</v>
      </c>
      <c r="AC65" s="51">
        <f t="shared" si="39"/>
        <v>1.565217391</v>
      </c>
      <c r="AD65" s="51">
        <f t="shared" si="39"/>
        <v>1.636363636</v>
      </c>
      <c r="AE65" s="51">
        <f t="shared" si="39"/>
        <v>1.714285714</v>
      </c>
      <c r="AF65" s="51">
        <f t="shared" si="39"/>
        <v>1.8</v>
      </c>
      <c r="AG65" s="51">
        <f t="shared" si="39"/>
        <v>1.894736842</v>
      </c>
      <c r="AH65" s="49">
        <f t="shared" si="39"/>
        <v>2</v>
      </c>
      <c r="AI65" s="51">
        <f t="shared" si="39"/>
        <v>2.117647059</v>
      </c>
      <c r="AJ65" s="51">
        <f t="shared" si="39"/>
        <v>2.25</v>
      </c>
      <c r="AK65" s="51">
        <f t="shared" si="39"/>
        <v>2.4</v>
      </c>
      <c r="AL65" s="51">
        <f t="shared" si="39"/>
        <v>2.571428571</v>
      </c>
      <c r="AM65" s="51">
        <f t="shared" si="39"/>
        <v>2.769230769</v>
      </c>
      <c r="AN65" s="51">
        <f t="shared" si="39"/>
        <v>3</v>
      </c>
      <c r="AO65" s="51">
        <f t="shared" si="39"/>
        <v>3.272727273</v>
      </c>
      <c r="AP65" s="51">
        <f t="shared" si="39"/>
        <v>3.6</v>
      </c>
      <c r="AQ65" s="51">
        <f t="shared" si="39"/>
        <v>4</v>
      </c>
      <c r="AR65" s="51">
        <f t="shared" si="39"/>
        <v>4.5</v>
      </c>
      <c r="AS65" s="51">
        <f t="shared" si="39"/>
        <v>5.142857143</v>
      </c>
      <c r="AT65" s="51">
        <f t="shared" si="39"/>
        <v>6</v>
      </c>
      <c r="AU65" s="51">
        <f t="shared" si="39"/>
        <v>7.2</v>
      </c>
      <c r="AV65" s="51">
        <f t="shared" si="39"/>
        <v>9</v>
      </c>
      <c r="AW65" s="59">
        <f t="shared" si="39"/>
        <v>12</v>
      </c>
      <c r="AX65" s="59">
        <f t="shared" si="39"/>
        <v>18</v>
      </c>
      <c r="AY65" s="58">
        <f t="shared" si="39"/>
        <v>36</v>
      </c>
    </row>
    <row r="66" ht="12.0" customHeight="1">
      <c r="A66" s="48">
        <f t="shared" si="5"/>
        <v>37</v>
      </c>
      <c r="B66" s="52">
        <f t="shared" si="3"/>
        <v>0.74</v>
      </c>
      <c r="C66" s="51">
        <f t="shared" ref="C66:AY66" si="40">$A$66/(100-C29)</f>
        <v>0.7551020408</v>
      </c>
      <c r="D66" s="51">
        <f t="shared" si="40"/>
        <v>0.7708333333</v>
      </c>
      <c r="E66" s="51">
        <f t="shared" si="40"/>
        <v>0.7872340426</v>
      </c>
      <c r="F66" s="51">
        <f t="shared" si="40"/>
        <v>0.8043478261</v>
      </c>
      <c r="G66" s="51">
        <f t="shared" si="40"/>
        <v>0.8222222222</v>
      </c>
      <c r="H66" s="51">
        <f t="shared" si="40"/>
        <v>0.8409090909</v>
      </c>
      <c r="I66" s="51">
        <f t="shared" si="40"/>
        <v>0.8604651163</v>
      </c>
      <c r="J66" s="51">
        <f t="shared" si="40"/>
        <v>0.880952381</v>
      </c>
      <c r="K66" s="51">
        <f t="shared" si="40"/>
        <v>0.9024390244</v>
      </c>
      <c r="L66" s="51">
        <f t="shared" si="40"/>
        <v>0.925</v>
      </c>
      <c r="M66" s="51">
        <f t="shared" si="40"/>
        <v>0.9487179487</v>
      </c>
      <c r="N66" s="51">
        <f t="shared" si="40"/>
        <v>0.9736842105</v>
      </c>
      <c r="O66" s="51">
        <f t="shared" si="40"/>
        <v>1</v>
      </c>
      <c r="P66" s="51">
        <f t="shared" si="40"/>
        <v>1.027777778</v>
      </c>
      <c r="Q66" s="51">
        <f t="shared" si="40"/>
        <v>1.057142857</v>
      </c>
      <c r="R66" s="51">
        <f t="shared" si="40"/>
        <v>1.088235294</v>
      </c>
      <c r="S66" s="51">
        <f t="shared" si="40"/>
        <v>1.121212121</v>
      </c>
      <c r="T66" s="51">
        <f t="shared" si="40"/>
        <v>1.15625</v>
      </c>
      <c r="U66" s="51">
        <f t="shared" si="40"/>
        <v>1.193548387</v>
      </c>
      <c r="V66" s="51">
        <f t="shared" si="40"/>
        <v>1.233333333</v>
      </c>
      <c r="W66" s="51">
        <f t="shared" si="40"/>
        <v>1.275862069</v>
      </c>
      <c r="X66" s="51">
        <f t="shared" si="40"/>
        <v>1.321428571</v>
      </c>
      <c r="Y66" s="51">
        <f t="shared" si="40"/>
        <v>1.37037037</v>
      </c>
      <c r="Z66" s="51">
        <f t="shared" si="40"/>
        <v>1.423076923</v>
      </c>
      <c r="AA66" s="51">
        <f t="shared" si="40"/>
        <v>1.48</v>
      </c>
      <c r="AB66" s="51">
        <f t="shared" si="40"/>
        <v>1.541666667</v>
      </c>
      <c r="AC66" s="51">
        <f t="shared" si="40"/>
        <v>1.608695652</v>
      </c>
      <c r="AD66" s="51">
        <f t="shared" si="40"/>
        <v>1.681818182</v>
      </c>
      <c r="AE66" s="51">
        <f t="shared" si="40"/>
        <v>1.761904762</v>
      </c>
      <c r="AF66" s="51">
        <f t="shared" si="40"/>
        <v>1.85</v>
      </c>
      <c r="AG66" s="51">
        <f t="shared" si="40"/>
        <v>1.947368421</v>
      </c>
      <c r="AH66" s="52">
        <f t="shared" si="40"/>
        <v>2.055555556</v>
      </c>
      <c r="AI66" s="51">
        <f t="shared" si="40"/>
        <v>2.176470588</v>
      </c>
      <c r="AJ66" s="51">
        <f t="shared" si="40"/>
        <v>2.3125</v>
      </c>
      <c r="AK66" s="51">
        <f t="shared" si="40"/>
        <v>2.466666667</v>
      </c>
      <c r="AL66" s="51">
        <f t="shared" si="40"/>
        <v>2.642857143</v>
      </c>
      <c r="AM66" s="51">
        <f t="shared" si="40"/>
        <v>2.846153846</v>
      </c>
      <c r="AN66" s="51">
        <f t="shared" si="40"/>
        <v>3.083333333</v>
      </c>
      <c r="AO66" s="51">
        <f t="shared" si="40"/>
        <v>3.363636364</v>
      </c>
      <c r="AP66" s="51">
        <f t="shared" si="40"/>
        <v>3.7</v>
      </c>
      <c r="AQ66" s="51">
        <f t="shared" si="40"/>
        <v>4.111111111</v>
      </c>
      <c r="AR66" s="51">
        <f t="shared" si="40"/>
        <v>4.625</v>
      </c>
      <c r="AS66" s="51">
        <f t="shared" si="40"/>
        <v>5.285714286</v>
      </c>
      <c r="AT66" s="51">
        <f t="shared" si="40"/>
        <v>6.166666667</v>
      </c>
      <c r="AU66" s="51">
        <f t="shared" si="40"/>
        <v>7.4</v>
      </c>
      <c r="AV66" s="51">
        <f t="shared" si="40"/>
        <v>9.25</v>
      </c>
      <c r="AW66" s="59">
        <f t="shared" si="40"/>
        <v>12.33333333</v>
      </c>
      <c r="AX66" s="59">
        <f t="shared" si="40"/>
        <v>18.5</v>
      </c>
      <c r="AY66" s="58">
        <f t="shared" si="40"/>
        <v>37</v>
      </c>
    </row>
    <row r="67" ht="12.0" customHeight="1">
      <c r="A67" s="48">
        <f t="shared" si="5"/>
        <v>38</v>
      </c>
      <c r="B67" s="52">
        <f t="shared" si="3"/>
        <v>0.76</v>
      </c>
      <c r="C67" s="51">
        <f t="shared" ref="C67:AY67" si="41">$A$67/(100-C29)</f>
        <v>0.7755102041</v>
      </c>
      <c r="D67" s="51">
        <f t="shared" si="41"/>
        <v>0.7916666667</v>
      </c>
      <c r="E67" s="51">
        <f t="shared" si="41"/>
        <v>0.8085106383</v>
      </c>
      <c r="F67" s="51">
        <f t="shared" si="41"/>
        <v>0.8260869565</v>
      </c>
      <c r="G67" s="51">
        <f t="shared" si="41"/>
        <v>0.8444444444</v>
      </c>
      <c r="H67" s="51">
        <f t="shared" si="41"/>
        <v>0.8636363636</v>
      </c>
      <c r="I67" s="51">
        <f t="shared" si="41"/>
        <v>0.8837209302</v>
      </c>
      <c r="J67" s="51">
        <f t="shared" si="41"/>
        <v>0.9047619048</v>
      </c>
      <c r="K67" s="51">
        <f t="shared" si="41"/>
        <v>0.9268292683</v>
      </c>
      <c r="L67" s="51">
        <f t="shared" si="41"/>
        <v>0.95</v>
      </c>
      <c r="M67" s="51">
        <f t="shared" si="41"/>
        <v>0.9743589744</v>
      </c>
      <c r="N67" s="51">
        <f t="shared" si="41"/>
        <v>1</v>
      </c>
      <c r="O67" s="51">
        <f t="shared" si="41"/>
        <v>1.027027027</v>
      </c>
      <c r="P67" s="51">
        <f t="shared" si="41"/>
        <v>1.055555556</v>
      </c>
      <c r="Q67" s="51">
        <f t="shared" si="41"/>
        <v>1.085714286</v>
      </c>
      <c r="R67" s="51">
        <f t="shared" si="41"/>
        <v>1.117647059</v>
      </c>
      <c r="S67" s="51">
        <f t="shared" si="41"/>
        <v>1.151515152</v>
      </c>
      <c r="T67" s="51">
        <f t="shared" si="41"/>
        <v>1.1875</v>
      </c>
      <c r="U67" s="51">
        <f t="shared" si="41"/>
        <v>1.225806452</v>
      </c>
      <c r="V67" s="51">
        <f t="shared" si="41"/>
        <v>1.266666667</v>
      </c>
      <c r="W67" s="51">
        <f t="shared" si="41"/>
        <v>1.310344828</v>
      </c>
      <c r="X67" s="51">
        <f t="shared" si="41"/>
        <v>1.357142857</v>
      </c>
      <c r="Y67" s="51">
        <f t="shared" si="41"/>
        <v>1.407407407</v>
      </c>
      <c r="Z67" s="51">
        <f t="shared" si="41"/>
        <v>1.461538462</v>
      </c>
      <c r="AA67" s="51">
        <f t="shared" si="41"/>
        <v>1.52</v>
      </c>
      <c r="AB67" s="51">
        <f t="shared" si="41"/>
        <v>1.583333333</v>
      </c>
      <c r="AC67" s="51">
        <f t="shared" si="41"/>
        <v>1.652173913</v>
      </c>
      <c r="AD67" s="51">
        <f t="shared" si="41"/>
        <v>1.727272727</v>
      </c>
      <c r="AE67" s="51">
        <f t="shared" si="41"/>
        <v>1.80952381</v>
      </c>
      <c r="AF67" s="51">
        <f t="shared" si="41"/>
        <v>1.9</v>
      </c>
      <c r="AG67" s="49">
        <f t="shared" si="41"/>
        <v>2</v>
      </c>
      <c r="AH67" s="51">
        <f t="shared" si="41"/>
        <v>2.111111111</v>
      </c>
      <c r="AI67" s="51">
        <f t="shared" si="41"/>
        <v>2.235294118</v>
      </c>
      <c r="AJ67" s="51">
        <f t="shared" si="41"/>
        <v>2.375</v>
      </c>
      <c r="AK67" s="51">
        <f t="shared" si="41"/>
        <v>2.533333333</v>
      </c>
      <c r="AL67" s="51">
        <f t="shared" si="41"/>
        <v>2.714285714</v>
      </c>
      <c r="AM67" s="51">
        <f t="shared" si="41"/>
        <v>2.923076923</v>
      </c>
      <c r="AN67" s="51">
        <f t="shared" si="41"/>
        <v>3.166666667</v>
      </c>
      <c r="AO67" s="51">
        <f t="shared" si="41"/>
        <v>3.454545455</v>
      </c>
      <c r="AP67" s="51">
        <f t="shared" si="41"/>
        <v>3.8</v>
      </c>
      <c r="AQ67" s="51">
        <f t="shared" si="41"/>
        <v>4.222222222</v>
      </c>
      <c r="AR67" s="51">
        <f t="shared" si="41"/>
        <v>4.75</v>
      </c>
      <c r="AS67" s="51">
        <f t="shared" si="41"/>
        <v>5.428571429</v>
      </c>
      <c r="AT67" s="51">
        <f t="shared" si="41"/>
        <v>6.333333333</v>
      </c>
      <c r="AU67" s="51">
        <f t="shared" si="41"/>
        <v>7.6</v>
      </c>
      <c r="AV67" s="51">
        <f t="shared" si="41"/>
        <v>9.5</v>
      </c>
      <c r="AW67" s="59">
        <f t="shared" si="41"/>
        <v>12.66666667</v>
      </c>
      <c r="AX67" s="59">
        <f t="shared" si="41"/>
        <v>19</v>
      </c>
      <c r="AY67" s="58">
        <f t="shared" si="41"/>
        <v>38</v>
      </c>
    </row>
    <row r="68" ht="12.0" customHeight="1">
      <c r="A68" s="48">
        <f t="shared" si="5"/>
        <v>39</v>
      </c>
      <c r="B68" s="52">
        <f t="shared" si="3"/>
        <v>0.78</v>
      </c>
      <c r="C68" s="51">
        <f t="shared" ref="C68:AY68" si="42">$A$68/(100-C29)</f>
        <v>0.7959183673</v>
      </c>
      <c r="D68" s="51">
        <f t="shared" si="42"/>
        <v>0.8125</v>
      </c>
      <c r="E68" s="51">
        <f t="shared" si="42"/>
        <v>0.829787234</v>
      </c>
      <c r="F68" s="51">
        <f t="shared" si="42"/>
        <v>0.847826087</v>
      </c>
      <c r="G68" s="51">
        <f t="shared" si="42"/>
        <v>0.8666666667</v>
      </c>
      <c r="H68" s="51">
        <f t="shared" si="42"/>
        <v>0.8863636364</v>
      </c>
      <c r="I68" s="51">
        <f t="shared" si="42"/>
        <v>0.9069767442</v>
      </c>
      <c r="J68" s="51">
        <f t="shared" si="42"/>
        <v>0.9285714286</v>
      </c>
      <c r="K68" s="51">
        <f t="shared" si="42"/>
        <v>0.9512195122</v>
      </c>
      <c r="L68" s="51">
        <f t="shared" si="42"/>
        <v>0.975</v>
      </c>
      <c r="M68" s="51">
        <f t="shared" si="42"/>
        <v>1</v>
      </c>
      <c r="N68" s="51">
        <f t="shared" si="42"/>
        <v>1.026315789</v>
      </c>
      <c r="O68" s="51">
        <f t="shared" si="42"/>
        <v>1.054054054</v>
      </c>
      <c r="P68" s="51">
        <f t="shared" si="42"/>
        <v>1.083333333</v>
      </c>
      <c r="Q68" s="51">
        <f t="shared" si="42"/>
        <v>1.114285714</v>
      </c>
      <c r="R68" s="51">
        <f t="shared" si="42"/>
        <v>1.147058824</v>
      </c>
      <c r="S68" s="51">
        <f t="shared" si="42"/>
        <v>1.181818182</v>
      </c>
      <c r="T68" s="51">
        <f t="shared" si="42"/>
        <v>1.21875</v>
      </c>
      <c r="U68" s="51">
        <f t="shared" si="42"/>
        <v>1.258064516</v>
      </c>
      <c r="V68" s="51">
        <f t="shared" si="42"/>
        <v>1.3</v>
      </c>
      <c r="W68" s="51">
        <f t="shared" si="42"/>
        <v>1.344827586</v>
      </c>
      <c r="X68" s="51">
        <f t="shared" si="42"/>
        <v>1.392857143</v>
      </c>
      <c r="Y68" s="51">
        <f t="shared" si="42"/>
        <v>1.444444444</v>
      </c>
      <c r="Z68" s="51">
        <f t="shared" si="42"/>
        <v>1.5</v>
      </c>
      <c r="AA68" s="51">
        <f t="shared" si="42"/>
        <v>1.56</v>
      </c>
      <c r="AB68" s="51">
        <f t="shared" si="42"/>
        <v>1.625</v>
      </c>
      <c r="AC68" s="51">
        <f t="shared" si="42"/>
        <v>1.695652174</v>
      </c>
      <c r="AD68" s="51">
        <f t="shared" si="42"/>
        <v>1.772727273</v>
      </c>
      <c r="AE68" s="51">
        <f t="shared" si="42"/>
        <v>1.857142857</v>
      </c>
      <c r="AF68" s="51">
        <f t="shared" si="42"/>
        <v>1.95</v>
      </c>
      <c r="AG68" s="52">
        <f t="shared" si="42"/>
        <v>2.052631579</v>
      </c>
      <c r="AH68" s="51">
        <f t="shared" si="42"/>
        <v>2.166666667</v>
      </c>
      <c r="AI68" s="51">
        <f t="shared" si="42"/>
        <v>2.294117647</v>
      </c>
      <c r="AJ68" s="51">
        <f t="shared" si="42"/>
        <v>2.4375</v>
      </c>
      <c r="AK68" s="51">
        <f t="shared" si="42"/>
        <v>2.6</v>
      </c>
      <c r="AL68" s="51">
        <f t="shared" si="42"/>
        <v>2.785714286</v>
      </c>
      <c r="AM68" s="51">
        <f t="shared" si="42"/>
        <v>3</v>
      </c>
      <c r="AN68" s="51">
        <f t="shared" si="42"/>
        <v>3.25</v>
      </c>
      <c r="AO68" s="51">
        <f t="shared" si="42"/>
        <v>3.545454545</v>
      </c>
      <c r="AP68" s="51">
        <f t="shared" si="42"/>
        <v>3.9</v>
      </c>
      <c r="AQ68" s="51">
        <f t="shared" si="42"/>
        <v>4.333333333</v>
      </c>
      <c r="AR68" s="51">
        <f t="shared" si="42"/>
        <v>4.875</v>
      </c>
      <c r="AS68" s="51">
        <f t="shared" si="42"/>
        <v>5.571428571</v>
      </c>
      <c r="AT68" s="51">
        <f t="shared" si="42"/>
        <v>6.5</v>
      </c>
      <c r="AU68" s="51">
        <f t="shared" si="42"/>
        <v>7.8</v>
      </c>
      <c r="AV68" s="51">
        <f t="shared" si="42"/>
        <v>9.75</v>
      </c>
      <c r="AW68" s="59">
        <f t="shared" si="42"/>
        <v>13</v>
      </c>
      <c r="AX68" s="59">
        <f t="shared" si="42"/>
        <v>19.5</v>
      </c>
      <c r="AY68" s="58">
        <f t="shared" si="42"/>
        <v>39</v>
      </c>
    </row>
    <row r="69" ht="12.0" customHeight="1">
      <c r="A69" s="48">
        <f t="shared" si="5"/>
        <v>40</v>
      </c>
      <c r="B69" s="52">
        <f t="shared" si="3"/>
        <v>0.8</v>
      </c>
      <c r="C69" s="51">
        <f t="shared" ref="C69:AY69" si="43">$A$69/(100-C29)</f>
        <v>0.8163265306</v>
      </c>
      <c r="D69" s="51">
        <f t="shared" si="43"/>
        <v>0.8333333333</v>
      </c>
      <c r="E69" s="51">
        <f t="shared" si="43"/>
        <v>0.8510638298</v>
      </c>
      <c r="F69" s="51">
        <f t="shared" si="43"/>
        <v>0.8695652174</v>
      </c>
      <c r="G69" s="51">
        <f t="shared" si="43"/>
        <v>0.8888888889</v>
      </c>
      <c r="H69" s="51">
        <f t="shared" si="43"/>
        <v>0.9090909091</v>
      </c>
      <c r="I69" s="51">
        <f t="shared" si="43"/>
        <v>0.9302325581</v>
      </c>
      <c r="J69" s="51">
        <f t="shared" si="43"/>
        <v>0.9523809524</v>
      </c>
      <c r="K69" s="51">
        <f t="shared" si="43"/>
        <v>0.9756097561</v>
      </c>
      <c r="L69" s="51">
        <f t="shared" si="43"/>
        <v>1</v>
      </c>
      <c r="M69" s="51">
        <f t="shared" si="43"/>
        <v>1.025641026</v>
      </c>
      <c r="N69" s="51">
        <f t="shared" si="43"/>
        <v>1.052631579</v>
      </c>
      <c r="O69" s="51">
        <f t="shared" si="43"/>
        <v>1.081081081</v>
      </c>
      <c r="P69" s="51">
        <f t="shared" si="43"/>
        <v>1.111111111</v>
      </c>
      <c r="Q69" s="51">
        <f t="shared" si="43"/>
        <v>1.142857143</v>
      </c>
      <c r="R69" s="51">
        <f t="shared" si="43"/>
        <v>1.176470588</v>
      </c>
      <c r="S69" s="51">
        <f t="shared" si="43"/>
        <v>1.212121212</v>
      </c>
      <c r="T69" s="51">
        <f t="shared" si="43"/>
        <v>1.25</v>
      </c>
      <c r="U69" s="51">
        <f t="shared" si="43"/>
        <v>1.290322581</v>
      </c>
      <c r="V69" s="51">
        <f t="shared" si="43"/>
        <v>1.333333333</v>
      </c>
      <c r="W69" s="51">
        <f t="shared" si="43"/>
        <v>1.379310345</v>
      </c>
      <c r="X69" s="51">
        <f t="shared" si="43"/>
        <v>1.428571429</v>
      </c>
      <c r="Y69" s="51">
        <f t="shared" si="43"/>
        <v>1.481481481</v>
      </c>
      <c r="Z69" s="51">
        <f t="shared" si="43"/>
        <v>1.538461538</v>
      </c>
      <c r="AA69" s="51">
        <f t="shared" si="43"/>
        <v>1.6</v>
      </c>
      <c r="AB69" s="51">
        <f t="shared" si="43"/>
        <v>1.666666667</v>
      </c>
      <c r="AC69" s="51">
        <f t="shared" si="43"/>
        <v>1.739130435</v>
      </c>
      <c r="AD69" s="51">
        <f t="shared" si="43"/>
        <v>1.818181818</v>
      </c>
      <c r="AE69" s="51">
        <f t="shared" si="43"/>
        <v>1.904761905</v>
      </c>
      <c r="AF69" s="49">
        <f t="shared" si="43"/>
        <v>2</v>
      </c>
      <c r="AG69" s="51">
        <f t="shared" si="43"/>
        <v>2.105263158</v>
      </c>
      <c r="AH69" s="51">
        <f t="shared" si="43"/>
        <v>2.222222222</v>
      </c>
      <c r="AI69" s="51">
        <f t="shared" si="43"/>
        <v>2.352941176</v>
      </c>
      <c r="AJ69" s="51">
        <f t="shared" si="43"/>
        <v>2.5</v>
      </c>
      <c r="AK69" s="51">
        <f t="shared" si="43"/>
        <v>2.666666667</v>
      </c>
      <c r="AL69" s="51">
        <f t="shared" si="43"/>
        <v>2.857142857</v>
      </c>
      <c r="AM69" s="51">
        <f t="shared" si="43"/>
        <v>3.076923077</v>
      </c>
      <c r="AN69" s="51">
        <f t="shared" si="43"/>
        <v>3.333333333</v>
      </c>
      <c r="AO69" s="51">
        <f t="shared" si="43"/>
        <v>3.636363636</v>
      </c>
      <c r="AP69" s="51">
        <f t="shared" si="43"/>
        <v>4</v>
      </c>
      <c r="AQ69" s="51">
        <f t="shared" si="43"/>
        <v>4.444444444</v>
      </c>
      <c r="AR69" s="51">
        <f t="shared" si="43"/>
        <v>5</v>
      </c>
      <c r="AS69" s="51">
        <f t="shared" si="43"/>
        <v>5.714285714</v>
      </c>
      <c r="AT69" s="51">
        <f t="shared" si="43"/>
        <v>6.666666667</v>
      </c>
      <c r="AU69" s="51">
        <f t="shared" si="43"/>
        <v>8</v>
      </c>
      <c r="AV69" s="59">
        <f t="shared" si="43"/>
        <v>10</v>
      </c>
      <c r="AW69" s="59">
        <f t="shared" si="43"/>
        <v>13.33333333</v>
      </c>
      <c r="AX69" s="59">
        <f t="shared" si="43"/>
        <v>20</v>
      </c>
      <c r="AY69" s="58">
        <f t="shared" si="43"/>
        <v>40</v>
      </c>
    </row>
    <row r="70" ht="12.0" customHeight="1">
      <c r="A70" s="48">
        <f t="shared" si="5"/>
        <v>41</v>
      </c>
      <c r="B70" s="52">
        <f t="shared" si="3"/>
        <v>0.82</v>
      </c>
      <c r="C70" s="51">
        <f t="shared" ref="C70:AY70" si="44">$A$70/(100-C29)</f>
        <v>0.8367346939</v>
      </c>
      <c r="D70" s="51">
        <f t="shared" si="44"/>
        <v>0.8541666667</v>
      </c>
      <c r="E70" s="51">
        <f t="shared" si="44"/>
        <v>0.8723404255</v>
      </c>
      <c r="F70" s="51">
        <f t="shared" si="44"/>
        <v>0.8913043478</v>
      </c>
      <c r="G70" s="51">
        <f t="shared" si="44"/>
        <v>0.9111111111</v>
      </c>
      <c r="H70" s="51">
        <f t="shared" si="44"/>
        <v>0.9318181818</v>
      </c>
      <c r="I70" s="51">
        <f t="shared" si="44"/>
        <v>0.9534883721</v>
      </c>
      <c r="J70" s="51">
        <f t="shared" si="44"/>
        <v>0.9761904762</v>
      </c>
      <c r="K70" s="51">
        <f t="shared" si="44"/>
        <v>1</v>
      </c>
      <c r="L70" s="51">
        <f t="shared" si="44"/>
        <v>1.025</v>
      </c>
      <c r="M70" s="51">
        <f t="shared" si="44"/>
        <v>1.051282051</v>
      </c>
      <c r="N70" s="51">
        <f t="shared" si="44"/>
        <v>1.078947368</v>
      </c>
      <c r="O70" s="51">
        <f t="shared" si="44"/>
        <v>1.108108108</v>
      </c>
      <c r="P70" s="51">
        <f t="shared" si="44"/>
        <v>1.138888889</v>
      </c>
      <c r="Q70" s="51">
        <f t="shared" si="44"/>
        <v>1.171428571</v>
      </c>
      <c r="R70" s="51">
        <f t="shared" si="44"/>
        <v>1.205882353</v>
      </c>
      <c r="S70" s="51">
        <f t="shared" si="44"/>
        <v>1.242424242</v>
      </c>
      <c r="T70" s="51">
        <f t="shared" si="44"/>
        <v>1.28125</v>
      </c>
      <c r="U70" s="51">
        <f t="shared" si="44"/>
        <v>1.322580645</v>
      </c>
      <c r="V70" s="51">
        <f t="shared" si="44"/>
        <v>1.366666667</v>
      </c>
      <c r="W70" s="51">
        <f t="shared" si="44"/>
        <v>1.413793103</v>
      </c>
      <c r="X70" s="51">
        <f t="shared" si="44"/>
        <v>1.464285714</v>
      </c>
      <c r="Y70" s="51">
        <f t="shared" si="44"/>
        <v>1.518518519</v>
      </c>
      <c r="Z70" s="51">
        <f t="shared" si="44"/>
        <v>1.576923077</v>
      </c>
      <c r="AA70" s="51">
        <f t="shared" si="44"/>
        <v>1.64</v>
      </c>
      <c r="AB70" s="51">
        <f t="shared" si="44"/>
        <v>1.708333333</v>
      </c>
      <c r="AC70" s="51">
        <f t="shared" si="44"/>
        <v>1.782608696</v>
      </c>
      <c r="AD70" s="51">
        <f t="shared" si="44"/>
        <v>1.863636364</v>
      </c>
      <c r="AE70" s="51">
        <f t="shared" si="44"/>
        <v>1.952380952</v>
      </c>
      <c r="AF70" s="52">
        <f t="shared" si="44"/>
        <v>2.05</v>
      </c>
      <c r="AG70" s="51">
        <f t="shared" si="44"/>
        <v>2.157894737</v>
      </c>
      <c r="AH70" s="51">
        <f t="shared" si="44"/>
        <v>2.277777778</v>
      </c>
      <c r="AI70" s="51">
        <f t="shared" si="44"/>
        <v>2.411764706</v>
      </c>
      <c r="AJ70" s="51">
        <f t="shared" si="44"/>
        <v>2.5625</v>
      </c>
      <c r="AK70" s="51">
        <f t="shared" si="44"/>
        <v>2.733333333</v>
      </c>
      <c r="AL70" s="51">
        <f t="shared" si="44"/>
        <v>2.928571429</v>
      </c>
      <c r="AM70" s="51">
        <f t="shared" si="44"/>
        <v>3.153846154</v>
      </c>
      <c r="AN70" s="51">
        <f t="shared" si="44"/>
        <v>3.416666667</v>
      </c>
      <c r="AO70" s="51">
        <f t="shared" si="44"/>
        <v>3.727272727</v>
      </c>
      <c r="AP70" s="51">
        <f t="shared" si="44"/>
        <v>4.1</v>
      </c>
      <c r="AQ70" s="51">
        <f t="shared" si="44"/>
        <v>4.555555556</v>
      </c>
      <c r="AR70" s="51">
        <f t="shared" si="44"/>
        <v>5.125</v>
      </c>
      <c r="AS70" s="51">
        <f t="shared" si="44"/>
        <v>5.857142857</v>
      </c>
      <c r="AT70" s="51">
        <f t="shared" si="44"/>
        <v>6.833333333</v>
      </c>
      <c r="AU70" s="51">
        <f t="shared" si="44"/>
        <v>8.2</v>
      </c>
      <c r="AV70" s="59">
        <f t="shared" si="44"/>
        <v>10.25</v>
      </c>
      <c r="AW70" s="59">
        <f t="shared" si="44"/>
        <v>13.66666667</v>
      </c>
      <c r="AX70" s="59">
        <f t="shared" si="44"/>
        <v>20.5</v>
      </c>
      <c r="AY70" s="58">
        <f t="shared" si="44"/>
        <v>41</v>
      </c>
    </row>
    <row r="71" ht="12.0" customHeight="1">
      <c r="A71" s="48">
        <f t="shared" si="5"/>
        <v>42</v>
      </c>
      <c r="B71" s="52">
        <f t="shared" si="3"/>
        <v>0.84</v>
      </c>
      <c r="C71" s="51">
        <f t="shared" ref="C71:AY71" si="45">$A$71/(100-C29)</f>
        <v>0.8571428571</v>
      </c>
      <c r="D71" s="51">
        <f t="shared" si="45"/>
        <v>0.875</v>
      </c>
      <c r="E71" s="51">
        <f t="shared" si="45"/>
        <v>0.8936170213</v>
      </c>
      <c r="F71" s="51">
        <f t="shared" si="45"/>
        <v>0.9130434783</v>
      </c>
      <c r="G71" s="51">
        <f t="shared" si="45"/>
        <v>0.9333333333</v>
      </c>
      <c r="H71" s="51">
        <f t="shared" si="45"/>
        <v>0.9545454545</v>
      </c>
      <c r="I71" s="51">
        <f t="shared" si="45"/>
        <v>0.976744186</v>
      </c>
      <c r="J71" s="51">
        <f t="shared" si="45"/>
        <v>1</v>
      </c>
      <c r="K71" s="51">
        <f t="shared" si="45"/>
        <v>1.024390244</v>
      </c>
      <c r="L71" s="51">
        <f t="shared" si="45"/>
        <v>1.05</v>
      </c>
      <c r="M71" s="51">
        <f t="shared" si="45"/>
        <v>1.076923077</v>
      </c>
      <c r="N71" s="51">
        <f t="shared" si="45"/>
        <v>1.105263158</v>
      </c>
      <c r="O71" s="51">
        <f t="shared" si="45"/>
        <v>1.135135135</v>
      </c>
      <c r="P71" s="51">
        <f t="shared" si="45"/>
        <v>1.166666667</v>
      </c>
      <c r="Q71" s="51">
        <f t="shared" si="45"/>
        <v>1.2</v>
      </c>
      <c r="R71" s="51">
        <f t="shared" si="45"/>
        <v>1.235294118</v>
      </c>
      <c r="S71" s="51">
        <f t="shared" si="45"/>
        <v>1.272727273</v>
      </c>
      <c r="T71" s="51">
        <f t="shared" si="45"/>
        <v>1.3125</v>
      </c>
      <c r="U71" s="51">
        <f t="shared" si="45"/>
        <v>1.35483871</v>
      </c>
      <c r="V71" s="51">
        <f t="shared" si="45"/>
        <v>1.4</v>
      </c>
      <c r="W71" s="51">
        <f t="shared" si="45"/>
        <v>1.448275862</v>
      </c>
      <c r="X71" s="51">
        <f t="shared" si="45"/>
        <v>1.5</v>
      </c>
      <c r="Y71" s="51">
        <f t="shared" si="45"/>
        <v>1.555555556</v>
      </c>
      <c r="Z71" s="51">
        <f t="shared" si="45"/>
        <v>1.615384615</v>
      </c>
      <c r="AA71" s="51">
        <f t="shared" si="45"/>
        <v>1.68</v>
      </c>
      <c r="AB71" s="51">
        <f t="shared" si="45"/>
        <v>1.75</v>
      </c>
      <c r="AC71" s="51">
        <f t="shared" si="45"/>
        <v>1.826086957</v>
      </c>
      <c r="AD71" s="51">
        <f t="shared" si="45"/>
        <v>1.909090909</v>
      </c>
      <c r="AE71" s="49">
        <f t="shared" si="45"/>
        <v>2</v>
      </c>
      <c r="AF71" s="51">
        <f t="shared" si="45"/>
        <v>2.1</v>
      </c>
      <c r="AG71" s="51">
        <f t="shared" si="45"/>
        <v>2.210526316</v>
      </c>
      <c r="AH71" s="51">
        <f t="shared" si="45"/>
        <v>2.333333333</v>
      </c>
      <c r="AI71" s="51">
        <f t="shared" si="45"/>
        <v>2.470588235</v>
      </c>
      <c r="AJ71" s="51">
        <f t="shared" si="45"/>
        <v>2.625</v>
      </c>
      <c r="AK71" s="51">
        <f t="shared" si="45"/>
        <v>2.8</v>
      </c>
      <c r="AL71" s="51">
        <f t="shared" si="45"/>
        <v>3</v>
      </c>
      <c r="AM71" s="51">
        <f t="shared" si="45"/>
        <v>3.230769231</v>
      </c>
      <c r="AN71" s="51">
        <f t="shared" si="45"/>
        <v>3.5</v>
      </c>
      <c r="AO71" s="51">
        <f t="shared" si="45"/>
        <v>3.818181818</v>
      </c>
      <c r="AP71" s="51">
        <f t="shared" si="45"/>
        <v>4.2</v>
      </c>
      <c r="AQ71" s="51">
        <f t="shared" si="45"/>
        <v>4.666666667</v>
      </c>
      <c r="AR71" s="51">
        <f t="shared" si="45"/>
        <v>5.25</v>
      </c>
      <c r="AS71" s="51">
        <f t="shared" si="45"/>
        <v>6</v>
      </c>
      <c r="AT71" s="51">
        <f t="shared" si="45"/>
        <v>7</v>
      </c>
      <c r="AU71" s="51">
        <f t="shared" si="45"/>
        <v>8.4</v>
      </c>
      <c r="AV71" s="59">
        <f t="shared" si="45"/>
        <v>10.5</v>
      </c>
      <c r="AW71" s="59">
        <f t="shared" si="45"/>
        <v>14</v>
      </c>
      <c r="AX71" s="59">
        <f t="shared" si="45"/>
        <v>21</v>
      </c>
      <c r="AY71" s="58">
        <f t="shared" si="45"/>
        <v>42</v>
      </c>
    </row>
    <row r="72" ht="12.0" customHeight="1">
      <c r="A72" s="48">
        <f t="shared" si="5"/>
        <v>43</v>
      </c>
      <c r="B72" s="52">
        <f t="shared" si="3"/>
        <v>0.86</v>
      </c>
      <c r="C72" s="51">
        <f t="shared" ref="C72:AY72" si="46">$A$72/(100-C29)</f>
        <v>0.8775510204</v>
      </c>
      <c r="D72" s="51">
        <f t="shared" si="46"/>
        <v>0.8958333333</v>
      </c>
      <c r="E72" s="51">
        <f t="shared" si="46"/>
        <v>0.914893617</v>
      </c>
      <c r="F72" s="51">
        <f t="shared" si="46"/>
        <v>0.9347826087</v>
      </c>
      <c r="G72" s="51">
        <f t="shared" si="46"/>
        <v>0.9555555556</v>
      </c>
      <c r="H72" s="51">
        <f t="shared" si="46"/>
        <v>0.9772727273</v>
      </c>
      <c r="I72" s="51">
        <f t="shared" si="46"/>
        <v>1</v>
      </c>
      <c r="J72" s="51">
        <f t="shared" si="46"/>
        <v>1.023809524</v>
      </c>
      <c r="K72" s="51">
        <f t="shared" si="46"/>
        <v>1.048780488</v>
      </c>
      <c r="L72" s="51">
        <f t="shared" si="46"/>
        <v>1.075</v>
      </c>
      <c r="M72" s="51">
        <f t="shared" si="46"/>
        <v>1.102564103</v>
      </c>
      <c r="N72" s="51">
        <f t="shared" si="46"/>
        <v>1.131578947</v>
      </c>
      <c r="O72" s="51">
        <f t="shared" si="46"/>
        <v>1.162162162</v>
      </c>
      <c r="P72" s="51">
        <f t="shared" si="46"/>
        <v>1.194444444</v>
      </c>
      <c r="Q72" s="51">
        <f t="shared" si="46"/>
        <v>1.228571429</v>
      </c>
      <c r="R72" s="51">
        <f t="shared" si="46"/>
        <v>1.264705882</v>
      </c>
      <c r="S72" s="51">
        <f t="shared" si="46"/>
        <v>1.303030303</v>
      </c>
      <c r="T72" s="51">
        <f t="shared" si="46"/>
        <v>1.34375</v>
      </c>
      <c r="U72" s="51">
        <f t="shared" si="46"/>
        <v>1.387096774</v>
      </c>
      <c r="V72" s="51">
        <f t="shared" si="46"/>
        <v>1.433333333</v>
      </c>
      <c r="W72" s="51">
        <f t="shared" si="46"/>
        <v>1.482758621</v>
      </c>
      <c r="X72" s="51">
        <f t="shared" si="46"/>
        <v>1.535714286</v>
      </c>
      <c r="Y72" s="51">
        <f t="shared" si="46"/>
        <v>1.592592593</v>
      </c>
      <c r="Z72" s="51">
        <f t="shared" si="46"/>
        <v>1.653846154</v>
      </c>
      <c r="AA72" s="51">
        <f t="shared" si="46"/>
        <v>1.72</v>
      </c>
      <c r="AB72" s="51">
        <f t="shared" si="46"/>
        <v>1.791666667</v>
      </c>
      <c r="AC72" s="51">
        <f t="shared" si="46"/>
        <v>1.869565217</v>
      </c>
      <c r="AD72" s="51">
        <f t="shared" si="46"/>
        <v>1.954545455</v>
      </c>
      <c r="AE72" s="52">
        <f t="shared" si="46"/>
        <v>2.047619048</v>
      </c>
      <c r="AF72" s="51">
        <f t="shared" si="46"/>
        <v>2.15</v>
      </c>
      <c r="AG72" s="51">
        <f t="shared" si="46"/>
        <v>2.263157895</v>
      </c>
      <c r="AH72" s="51">
        <f t="shared" si="46"/>
        <v>2.388888889</v>
      </c>
      <c r="AI72" s="51">
        <f t="shared" si="46"/>
        <v>2.529411765</v>
      </c>
      <c r="AJ72" s="51">
        <f t="shared" si="46"/>
        <v>2.6875</v>
      </c>
      <c r="AK72" s="51">
        <f t="shared" si="46"/>
        <v>2.866666667</v>
      </c>
      <c r="AL72" s="51">
        <f t="shared" si="46"/>
        <v>3.071428571</v>
      </c>
      <c r="AM72" s="51">
        <f t="shared" si="46"/>
        <v>3.307692308</v>
      </c>
      <c r="AN72" s="51">
        <f t="shared" si="46"/>
        <v>3.583333333</v>
      </c>
      <c r="AO72" s="51">
        <f t="shared" si="46"/>
        <v>3.909090909</v>
      </c>
      <c r="AP72" s="51">
        <f t="shared" si="46"/>
        <v>4.3</v>
      </c>
      <c r="AQ72" s="51">
        <f t="shared" si="46"/>
        <v>4.777777778</v>
      </c>
      <c r="AR72" s="51">
        <f t="shared" si="46"/>
        <v>5.375</v>
      </c>
      <c r="AS72" s="51">
        <f t="shared" si="46"/>
        <v>6.142857143</v>
      </c>
      <c r="AT72" s="51">
        <f t="shared" si="46"/>
        <v>7.166666667</v>
      </c>
      <c r="AU72" s="51">
        <f t="shared" si="46"/>
        <v>8.6</v>
      </c>
      <c r="AV72" s="59">
        <f t="shared" si="46"/>
        <v>10.75</v>
      </c>
      <c r="AW72" s="59">
        <f t="shared" si="46"/>
        <v>14.33333333</v>
      </c>
      <c r="AX72" s="59">
        <f t="shared" si="46"/>
        <v>21.5</v>
      </c>
      <c r="AY72" s="58">
        <f t="shared" si="46"/>
        <v>43</v>
      </c>
    </row>
    <row r="73" ht="12.0" customHeight="1">
      <c r="A73" s="48">
        <f t="shared" si="5"/>
        <v>44</v>
      </c>
      <c r="B73" s="52">
        <f t="shared" si="3"/>
        <v>0.88</v>
      </c>
      <c r="C73" s="51">
        <f t="shared" ref="C73:AY73" si="47">$A$73/(100-C29)</f>
        <v>0.8979591837</v>
      </c>
      <c r="D73" s="51">
        <f t="shared" si="47"/>
        <v>0.9166666667</v>
      </c>
      <c r="E73" s="51">
        <f t="shared" si="47"/>
        <v>0.9361702128</v>
      </c>
      <c r="F73" s="51">
        <f t="shared" si="47"/>
        <v>0.9565217391</v>
      </c>
      <c r="G73" s="51">
        <f t="shared" si="47"/>
        <v>0.9777777778</v>
      </c>
      <c r="H73" s="51">
        <f t="shared" si="47"/>
        <v>1</v>
      </c>
      <c r="I73" s="51">
        <f t="shared" si="47"/>
        <v>1.023255814</v>
      </c>
      <c r="J73" s="51">
        <f t="shared" si="47"/>
        <v>1.047619048</v>
      </c>
      <c r="K73" s="51">
        <f t="shared" si="47"/>
        <v>1.073170732</v>
      </c>
      <c r="L73" s="51">
        <f t="shared" si="47"/>
        <v>1.1</v>
      </c>
      <c r="M73" s="51">
        <f t="shared" si="47"/>
        <v>1.128205128</v>
      </c>
      <c r="N73" s="51">
        <f t="shared" si="47"/>
        <v>1.157894737</v>
      </c>
      <c r="O73" s="51">
        <f t="shared" si="47"/>
        <v>1.189189189</v>
      </c>
      <c r="P73" s="51">
        <f t="shared" si="47"/>
        <v>1.222222222</v>
      </c>
      <c r="Q73" s="51">
        <f t="shared" si="47"/>
        <v>1.257142857</v>
      </c>
      <c r="R73" s="51">
        <f t="shared" si="47"/>
        <v>1.294117647</v>
      </c>
      <c r="S73" s="51">
        <f t="shared" si="47"/>
        <v>1.333333333</v>
      </c>
      <c r="T73" s="51">
        <f t="shared" si="47"/>
        <v>1.375</v>
      </c>
      <c r="U73" s="51">
        <f t="shared" si="47"/>
        <v>1.419354839</v>
      </c>
      <c r="V73" s="51">
        <f t="shared" si="47"/>
        <v>1.466666667</v>
      </c>
      <c r="W73" s="51">
        <f t="shared" si="47"/>
        <v>1.517241379</v>
      </c>
      <c r="X73" s="51">
        <f t="shared" si="47"/>
        <v>1.571428571</v>
      </c>
      <c r="Y73" s="51">
        <f t="shared" si="47"/>
        <v>1.62962963</v>
      </c>
      <c r="Z73" s="51">
        <f t="shared" si="47"/>
        <v>1.692307692</v>
      </c>
      <c r="AA73" s="51">
        <f t="shared" si="47"/>
        <v>1.76</v>
      </c>
      <c r="AB73" s="51">
        <f t="shared" si="47"/>
        <v>1.833333333</v>
      </c>
      <c r="AC73" s="51">
        <f t="shared" si="47"/>
        <v>1.913043478</v>
      </c>
      <c r="AD73" s="49">
        <f t="shared" si="47"/>
        <v>2</v>
      </c>
      <c r="AE73" s="51">
        <f t="shared" si="47"/>
        <v>2.095238095</v>
      </c>
      <c r="AF73" s="51">
        <f t="shared" si="47"/>
        <v>2.2</v>
      </c>
      <c r="AG73" s="51">
        <f t="shared" si="47"/>
        <v>2.315789474</v>
      </c>
      <c r="AH73" s="51">
        <f t="shared" si="47"/>
        <v>2.444444444</v>
      </c>
      <c r="AI73" s="51">
        <f t="shared" si="47"/>
        <v>2.588235294</v>
      </c>
      <c r="AJ73" s="51">
        <f t="shared" si="47"/>
        <v>2.75</v>
      </c>
      <c r="AK73" s="51">
        <f t="shared" si="47"/>
        <v>2.933333333</v>
      </c>
      <c r="AL73" s="51">
        <f t="shared" si="47"/>
        <v>3.142857143</v>
      </c>
      <c r="AM73" s="51">
        <f t="shared" si="47"/>
        <v>3.384615385</v>
      </c>
      <c r="AN73" s="51">
        <f t="shared" si="47"/>
        <v>3.666666667</v>
      </c>
      <c r="AO73" s="51">
        <f t="shared" si="47"/>
        <v>4</v>
      </c>
      <c r="AP73" s="51">
        <f t="shared" si="47"/>
        <v>4.4</v>
      </c>
      <c r="AQ73" s="51">
        <f t="shared" si="47"/>
        <v>4.888888889</v>
      </c>
      <c r="AR73" s="51">
        <f t="shared" si="47"/>
        <v>5.5</v>
      </c>
      <c r="AS73" s="51">
        <f t="shared" si="47"/>
        <v>6.285714286</v>
      </c>
      <c r="AT73" s="51">
        <f t="shared" si="47"/>
        <v>7.333333333</v>
      </c>
      <c r="AU73" s="51">
        <f t="shared" si="47"/>
        <v>8.8</v>
      </c>
      <c r="AV73" s="59">
        <f t="shared" si="47"/>
        <v>11</v>
      </c>
      <c r="AW73" s="59">
        <f t="shared" si="47"/>
        <v>14.66666667</v>
      </c>
      <c r="AX73" s="59">
        <f t="shared" si="47"/>
        <v>22</v>
      </c>
      <c r="AY73" s="58">
        <f t="shared" si="47"/>
        <v>44</v>
      </c>
    </row>
    <row r="74" ht="12.0" customHeight="1">
      <c r="A74" s="48">
        <f t="shared" si="5"/>
        <v>45</v>
      </c>
      <c r="B74" s="52">
        <f t="shared" si="3"/>
        <v>0.9</v>
      </c>
      <c r="C74" s="51">
        <f t="shared" ref="C74:AY74" si="48">$A$74/(100-C29)</f>
        <v>0.9183673469</v>
      </c>
      <c r="D74" s="51">
        <f t="shared" si="48"/>
        <v>0.9375</v>
      </c>
      <c r="E74" s="51">
        <f t="shared" si="48"/>
        <v>0.9574468085</v>
      </c>
      <c r="F74" s="51">
        <f t="shared" si="48"/>
        <v>0.9782608696</v>
      </c>
      <c r="G74" s="51">
        <f t="shared" si="48"/>
        <v>1</v>
      </c>
      <c r="H74" s="51">
        <f t="shared" si="48"/>
        <v>1.022727273</v>
      </c>
      <c r="I74" s="51">
        <f t="shared" si="48"/>
        <v>1.046511628</v>
      </c>
      <c r="J74" s="51">
        <f t="shared" si="48"/>
        <v>1.071428571</v>
      </c>
      <c r="K74" s="51">
        <f t="shared" si="48"/>
        <v>1.097560976</v>
      </c>
      <c r="L74" s="51">
        <f t="shared" si="48"/>
        <v>1.125</v>
      </c>
      <c r="M74" s="51">
        <f t="shared" si="48"/>
        <v>1.153846154</v>
      </c>
      <c r="N74" s="51">
        <f t="shared" si="48"/>
        <v>1.184210526</v>
      </c>
      <c r="O74" s="51">
        <f t="shared" si="48"/>
        <v>1.216216216</v>
      </c>
      <c r="P74" s="51">
        <f t="shared" si="48"/>
        <v>1.25</v>
      </c>
      <c r="Q74" s="51">
        <f t="shared" si="48"/>
        <v>1.285714286</v>
      </c>
      <c r="R74" s="51">
        <f t="shared" si="48"/>
        <v>1.323529412</v>
      </c>
      <c r="S74" s="51">
        <f t="shared" si="48"/>
        <v>1.363636364</v>
      </c>
      <c r="T74" s="51">
        <f t="shared" si="48"/>
        <v>1.40625</v>
      </c>
      <c r="U74" s="51">
        <f t="shared" si="48"/>
        <v>1.451612903</v>
      </c>
      <c r="V74" s="51">
        <f t="shared" si="48"/>
        <v>1.5</v>
      </c>
      <c r="W74" s="51">
        <f t="shared" si="48"/>
        <v>1.551724138</v>
      </c>
      <c r="X74" s="51">
        <f t="shared" si="48"/>
        <v>1.607142857</v>
      </c>
      <c r="Y74" s="51">
        <f t="shared" si="48"/>
        <v>1.666666667</v>
      </c>
      <c r="Z74" s="51">
        <f t="shared" si="48"/>
        <v>1.730769231</v>
      </c>
      <c r="AA74" s="51">
        <f t="shared" si="48"/>
        <v>1.8</v>
      </c>
      <c r="AB74" s="51">
        <f t="shared" si="48"/>
        <v>1.875</v>
      </c>
      <c r="AC74" s="51">
        <f t="shared" si="48"/>
        <v>1.956521739</v>
      </c>
      <c r="AD74" s="52">
        <f t="shared" si="48"/>
        <v>2.045454545</v>
      </c>
      <c r="AE74" s="51">
        <f t="shared" si="48"/>
        <v>2.142857143</v>
      </c>
      <c r="AF74" s="51">
        <f t="shared" si="48"/>
        <v>2.25</v>
      </c>
      <c r="AG74" s="51">
        <f t="shared" si="48"/>
        <v>2.368421053</v>
      </c>
      <c r="AH74" s="51">
        <f t="shared" si="48"/>
        <v>2.5</v>
      </c>
      <c r="AI74" s="51">
        <f t="shared" si="48"/>
        <v>2.647058824</v>
      </c>
      <c r="AJ74" s="51">
        <f t="shared" si="48"/>
        <v>2.8125</v>
      </c>
      <c r="AK74" s="51">
        <f t="shared" si="48"/>
        <v>3</v>
      </c>
      <c r="AL74" s="51">
        <f t="shared" si="48"/>
        <v>3.214285714</v>
      </c>
      <c r="AM74" s="51">
        <f t="shared" si="48"/>
        <v>3.461538462</v>
      </c>
      <c r="AN74" s="51">
        <f t="shared" si="48"/>
        <v>3.75</v>
      </c>
      <c r="AO74" s="51">
        <f t="shared" si="48"/>
        <v>4.090909091</v>
      </c>
      <c r="AP74" s="51">
        <f t="shared" si="48"/>
        <v>4.5</v>
      </c>
      <c r="AQ74" s="51">
        <f t="shared" si="48"/>
        <v>5</v>
      </c>
      <c r="AR74" s="51">
        <f t="shared" si="48"/>
        <v>5.625</v>
      </c>
      <c r="AS74" s="51">
        <f t="shared" si="48"/>
        <v>6.428571429</v>
      </c>
      <c r="AT74" s="51">
        <f t="shared" si="48"/>
        <v>7.5</v>
      </c>
      <c r="AU74" s="51">
        <f t="shared" si="48"/>
        <v>9</v>
      </c>
      <c r="AV74" s="59">
        <f t="shared" si="48"/>
        <v>11.25</v>
      </c>
      <c r="AW74" s="59">
        <f t="shared" si="48"/>
        <v>15</v>
      </c>
      <c r="AX74" s="59">
        <f t="shared" si="48"/>
        <v>22.5</v>
      </c>
      <c r="AY74" s="58">
        <f t="shared" si="48"/>
        <v>45</v>
      </c>
    </row>
    <row r="75" ht="12.0" customHeight="1">
      <c r="A75" s="48">
        <f t="shared" si="5"/>
        <v>46</v>
      </c>
      <c r="B75" s="52">
        <f t="shared" si="3"/>
        <v>0.92</v>
      </c>
      <c r="C75" s="51">
        <f t="shared" ref="C75:AY75" si="49">$A$75/(100-C29)</f>
        <v>0.9387755102</v>
      </c>
      <c r="D75" s="51">
        <f t="shared" si="49"/>
        <v>0.9583333333</v>
      </c>
      <c r="E75" s="51">
        <f t="shared" si="49"/>
        <v>0.9787234043</v>
      </c>
      <c r="F75" s="51">
        <f t="shared" si="49"/>
        <v>1</v>
      </c>
      <c r="G75" s="51">
        <f t="shared" si="49"/>
        <v>1.022222222</v>
      </c>
      <c r="H75" s="51">
        <f t="shared" si="49"/>
        <v>1.045454545</v>
      </c>
      <c r="I75" s="51">
        <f t="shared" si="49"/>
        <v>1.069767442</v>
      </c>
      <c r="J75" s="51">
        <f t="shared" si="49"/>
        <v>1.095238095</v>
      </c>
      <c r="K75" s="51">
        <f t="shared" si="49"/>
        <v>1.12195122</v>
      </c>
      <c r="L75" s="51">
        <f t="shared" si="49"/>
        <v>1.15</v>
      </c>
      <c r="M75" s="51">
        <f t="shared" si="49"/>
        <v>1.179487179</v>
      </c>
      <c r="N75" s="51">
        <f t="shared" si="49"/>
        <v>1.210526316</v>
      </c>
      <c r="O75" s="51">
        <f t="shared" si="49"/>
        <v>1.243243243</v>
      </c>
      <c r="P75" s="51">
        <f t="shared" si="49"/>
        <v>1.277777778</v>
      </c>
      <c r="Q75" s="51">
        <f t="shared" si="49"/>
        <v>1.314285714</v>
      </c>
      <c r="R75" s="51">
        <f t="shared" si="49"/>
        <v>1.352941176</v>
      </c>
      <c r="S75" s="51">
        <f t="shared" si="49"/>
        <v>1.393939394</v>
      </c>
      <c r="T75" s="51">
        <f t="shared" si="49"/>
        <v>1.4375</v>
      </c>
      <c r="U75" s="51">
        <f t="shared" si="49"/>
        <v>1.483870968</v>
      </c>
      <c r="V75" s="51">
        <f t="shared" si="49"/>
        <v>1.533333333</v>
      </c>
      <c r="W75" s="51">
        <f t="shared" si="49"/>
        <v>1.586206897</v>
      </c>
      <c r="X75" s="51">
        <f t="shared" si="49"/>
        <v>1.642857143</v>
      </c>
      <c r="Y75" s="51">
        <f t="shared" si="49"/>
        <v>1.703703704</v>
      </c>
      <c r="Z75" s="51">
        <f t="shared" si="49"/>
        <v>1.769230769</v>
      </c>
      <c r="AA75" s="51">
        <f t="shared" si="49"/>
        <v>1.84</v>
      </c>
      <c r="AB75" s="51">
        <f t="shared" si="49"/>
        <v>1.916666667</v>
      </c>
      <c r="AC75" s="49">
        <f t="shared" si="49"/>
        <v>2</v>
      </c>
      <c r="AD75" s="51">
        <f t="shared" si="49"/>
        <v>2.090909091</v>
      </c>
      <c r="AE75" s="51">
        <f t="shared" si="49"/>
        <v>2.19047619</v>
      </c>
      <c r="AF75" s="51">
        <f t="shared" si="49"/>
        <v>2.3</v>
      </c>
      <c r="AG75" s="51">
        <f t="shared" si="49"/>
        <v>2.421052632</v>
      </c>
      <c r="AH75" s="51">
        <f t="shared" si="49"/>
        <v>2.555555556</v>
      </c>
      <c r="AI75" s="51">
        <f t="shared" si="49"/>
        <v>2.705882353</v>
      </c>
      <c r="AJ75" s="51">
        <f t="shared" si="49"/>
        <v>2.875</v>
      </c>
      <c r="AK75" s="51">
        <f t="shared" si="49"/>
        <v>3.066666667</v>
      </c>
      <c r="AL75" s="51">
        <f t="shared" si="49"/>
        <v>3.285714286</v>
      </c>
      <c r="AM75" s="51">
        <f t="shared" si="49"/>
        <v>3.538461538</v>
      </c>
      <c r="AN75" s="51">
        <f t="shared" si="49"/>
        <v>3.833333333</v>
      </c>
      <c r="AO75" s="51">
        <f t="shared" si="49"/>
        <v>4.181818182</v>
      </c>
      <c r="AP75" s="51">
        <f t="shared" si="49"/>
        <v>4.6</v>
      </c>
      <c r="AQ75" s="51">
        <f t="shared" si="49"/>
        <v>5.111111111</v>
      </c>
      <c r="AR75" s="51">
        <f t="shared" si="49"/>
        <v>5.75</v>
      </c>
      <c r="AS75" s="51">
        <f t="shared" si="49"/>
        <v>6.571428571</v>
      </c>
      <c r="AT75" s="51">
        <f t="shared" si="49"/>
        <v>7.666666667</v>
      </c>
      <c r="AU75" s="51">
        <f t="shared" si="49"/>
        <v>9.2</v>
      </c>
      <c r="AV75" s="59">
        <f t="shared" si="49"/>
        <v>11.5</v>
      </c>
      <c r="AW75" s="59">
        <f t="shared" si="49"/>
        <v>15.33333333</v>
      </c>
      <c r="AX75" s="59">
        <f t="shared" si="49"/>
        <v>23</v>
      </c>
      <c r="AY75" s="58">
        <f t="shared" si="49"/>
        <v>46</v>
      </c>
    </row>
    <row r="76" ht="12.0" customHeight="1">
      <c r="A76" s="48">
        <f t="shared" si="5"/>
        <v>47</v>
      </c>
      <c r="B76" s="52">
        <f t="shared" si="3"/>
        <v>0.94</v>
      </c>
      <c r="C76" s="51">
        <f t="shared" ref="C76:AY76" si="50">$A$76/(100-C29)</f>
        <v>0.9591836735</v>
      </c>
      <c r="D76" s="51">
        <f t="shared" si="50"/>
        <v>0.9791666667</v>
      </c>
      <c r="E76" s="51">
        <f t="shared" si="50"/>
        <v>1</v>
      </c>
      <c r="F76" s="51">
        <f t="shared" si="50"/>
        <v>1.02173913</v>
      </c>
      <c r="G76" s="51">
        <f t="shared" si="50"/>
        <v>1.044444444</v>
      </c>
      <c r="H76" s="51">
        <f t="shared" si="50"/>
        <v>1.068181818</v>
      </c>
      <c r="I76" s="51">
        <f t="shared" si="50"/>
        <v>1.093023256</v>
      </c>
      <c r="J76" s="51">
        <f t="shared" si="50"/>
        <v>1.119047619</v>
      </c>
      <c r="K76" s="51">
        <f t="shared" si="50"/>
        <v>1.146341463</v>
      </c>
      <c r="L76" s="51">
        <f t="shared" si="50"/>
        <v>1.175</v>
      </c>
      <c r="M76" s="51">
        <f t="shared" si="50"/>
        <v>1.205128205</v>
      </c>
      <c r="N76" s="51">
        <f t="shared" si="50"/>
        <v>1.236842105</v>
      </c>
      <c r="O76" s="51">
        <f t="shared" si="50"/>
        <v>1.27027027</v>
      </c>
      <c r="P76" s="51">
        <f t="shared" si="50"/>
        <v>1.305555556</v>
      </c>
      <c r="Q76" s="51">
        <f t="shared" si="50"/>
        <v>1.342857143</v>
      </c>
      <c r="R76" s="51">
        <f t="shared" si="50"/>
        <v>1.382352941</v>
      </c>
      <c r="S76" s="51">
        <f t="shared" si="50"/>
        <v>1.424242424</v>
      </c>
      <c r="T76" s="51">
        <f t="shared" si="50"/>
        <v>1.46875</v>
      </c>
      <c r="U76" s="51">
        <f t="shared" si="50"/>
        <v>1.516129032</v>
      </c>
      <c r="V76" s="51">
        <f t="shared" si="50"/>
        <v>1.566666667</v>
      </c>
      <c r="W76" s="51">
        <f t="shared" si="50"/>
        <v>1.620689655</v>
      </c>
      <c r="X76" s="51">
        <f t="shared" si="50"/>
        <v>1.678571429</v>
      </c>
      <c r="Y76" s="51">
        <f t="shared" si="50"/>
        <v>1.740740741</v>
      </c>
      <c r="Z76" s="51">
        <f t="shared" si="50"/>
        <v>1.807692308</v>
      </c>
      <c r="AA76" s="51">
        <f t="shared" si="50"/>
        <v>1.88</v>
      </c>
      <c r="AB76" s="51">
        <f t="shared" si="50"/>
        <v>1.958333333</v>
      </c>
      <c r="AC76" s="52">
        <f t="shared" si="50"/>
        <v>2.043478261</v>
      </c>
      <c r="AD76" s="51">
        <f t="shared" si="50"/>
        <v>2.136363636</v>
      </c>
      <c r="AE76" s="51">
        <f t="shared" si="50"/>
        <v>2.238095238</v>
      </c>
      <c r="AF76" s="51">
        <f t="shared" si="50"/>
        <v>2.35</v>
      </c>
      <c r="AG76" s="51">
        <f t="shared" si="50"/>
        <v>2.473684211</v>
      </c>
      <c r="AH76" s="51">
        <f t="shared" si="50"/>
        <v>2.611111111</v>
      </c>
      <c r="AI76" s="51">
        <f t="shared" si="50"/>
        <v>2.764705882</v>
      </c>
      <c r="AJ76" s="51">
        <f t="shared" si="50"/>
        <v>2.9375</v>
      </c>
      <c r="AK76" s="51">
        <f t="shared" si="50"/>
        <v>3.133333333</v>
      </c>
      <c r="AL76" s="51">
        <f t="shared" si="50"/>
        <v>3.357142857</v>
      </c>
      <c r="AM76" s="51">
        <f t="shared" si="50"/>
        <v>3.615384615</v>
      </c>
      <c r="AN76" s="51">
        <f t="shared" si="50"/>
        <v>3.916666667</v>
      </c>
      <c r="AO76" s="51">
        <f t="shared" si="50"/>
        <v>4.272727273</v>
      </c>
      <c r="AP76" s="51">
        <f t="shared" si="50"/>
        <v>4.7</v>
      </c>
      <c r="AQ76" s="51">
        <f t="shared" si="50"/>
        <v>5.222222222</v>
      </c>
      <c r="AR76" s="51">
        <f t="shared" si="50"/>
        <v>5.875</v>
      </c>
      <c r="AS76" s="51">
        <f t="shared" si="50"/>
        <v>6.714285714</v>
      </c>
      <c r="AT76" s="51">
        <f t="shared" si="50"/>
        <v>7.833333333</v>
      </c>
      <c r="AU76" s="51">
        <f t="shared" si="50"/>
        <v>9.4</v>
      </c>
      <c r="AV76" s="59">
        <f t="shared" si="50"/>
        <v>11.75</v>
      </c>
      <c r="AW76" s="59">
        <f t="shared" si="50"/>
        <v>15.66666667</v>
      </c>
      <c r="AX76" s="59">
        <f t="shared" si="50"/>
        <v>23.5</v>
      </c>
      <c r="AY76" s="58">
        <f t="shared" si="50"/>
        <v>47</v>
      </c>
    </row>
    <row r="77" ht="12.0" customHeight="1">
      <c r="A77" s="48">
        <f t="shared" si="5"/>
        <v>48</v>
      </c>
      <c r="B77" s="52">
        <f t="shared" si="3"/>
        <v>0.96</v>
      </c>
      <c r="C77" s="51">
        <f t="shared" ref="C77:AY77" si="51">$A$77/(100-C29)</f>
        <v>0.9795918367</v>
      </c>
      <c r="D77" s="51">
        <f t="shared" si="51"/>
        <v>1</v>
      </c>
      <c r="E77" s="51">
        <f t="shared" si="51"/>
        <v>1.021276596</v>
      </c>
      <c r="F77" s="51">
        <f t="shared" si="51"/>
        <v>1.043478261</v>
      </c>
      <c r="G77" s="51">
        <f t="shared" si="51"/>
        <v>1.066666667</v>
      </c>
      <c r="H77" s="51">
        <f t="shared" si="51"/>
        <v>1.090909091</v>
      </c>
      <c r="I77" s="51">
        <f t="shared" si="51"/>
        <v>1.11627907</v>
      </c>
      <c r="J77" s="51">
        <f t="shared" si="51"/>
        <v>1.142857143</v>
      </c>
      <c r="K77" s="51">
        <f t="shared" si="51"/>
        <v>1.170731707</v>
      </c>
      <c r="L77" s="51">
        <f t="shared" si="51"/>
        <v>1.2</v>
      </c>
      <c r="M77" s="51">
        <f t="shared" si="51"/>
        <v>1.230769231</v>
      </c>
      <c r="N77" s="51">
        <f t="shared" si="51"/>
        <v>1.263157895</v>
      </c>
      <c r="O77" s="51">
        <f t="shared" si="51"/>
        <v>1.297297297</v>
      </c>
      <c r="P77" s="51">
        <f t="shared" si="51"/>
        <v>1.333333333</v>
      </c>
      <c r="Q77" s="51">
        <f t="shared" si="51"/>
        <v>1.371428571</v>
      </c>
      <c r="R77" s="51">
        <f t="shared" si="51"/>
        <v>1.411764706</v>
      </c>
      <c r="S77" s="51">
        <f t="shared" si="51"/>
        <v>1.454545455</v>
      </c>
      <c r="T77" s="51">
        <f t="shared" si="51"/>
        <v>1.5</v>
      </c>
      <c r="U77" s="51">
        <f t="shared" si="51"/>
        <v>1.548387097</v>
      </c>
      <c r="V77" s="51">
        <f t="shared" si="51"/>
        <v>1.6</v>
      </c>
      <c r="W77" s="51">
        <f t="shared" si="51"/>
        <v>1.655172414</v>
      </c>
      <c r="X77" s="51">
        <f t="shared" si="51"/>
        <v>1.714285714</v>
      </c>
      <c r="Y77" s="51">
        <f t="shared" si="51"/>
        <v>1.777777778</v>
      </c>
      <c r="Z77" s="51">
        <f t="shared" si="51"/>
        <v>1.846153846</v>
      </c>
      <c r="AA77" s="51">
        <f t="shared" si="51"/>
        <v>1.92</v>
      </c>
      <c r="AB77" s="49">
        <f t="shared" si="51"/>
        <v>2</v>
      </c>
      <c r="AC77" s="51">
        <f t="shared" si="51"/>
        <v>2.086956522</v>
      </c>
      <c r="AD77" s="51">
        <f t="shared" si="51"/>
        <v>2.181818182</v>
      </c>
      <c r="AE77" s="51">
        <f t="shared" si="51"/>
        <v>2.285714286</v>
      </c>
      <c r="AF77" s="51">
        <f t="shared" si="51"/>
        <v>2.4</v>
      </c>
      <c r="AG77" s="51">
        <f t="shared" si="51"/>
        <v>2.526315789</v>
      </c>
      <c r="AH77" s="51">
        <f t="shared" si="51"/>
        <v>2.666666667</v>
      </c>
      <c r="AI77" s="51">
        <f t="shared" si="51"/>
        <v>2.823529412</v>
      </c>
      <c r="AJ77" s="51">
        <f t="shared" si="51"/>
        <v>3</v>
      </c>
      <c r="AK77" s="51">
        <f t="shared" si="51"/>
        <v>3.2</v>
      </c>
      <c r="AL77" s="51">
        <f t="shared" si="51"/>
        <v>3.428571429</v>
      </c>
      <c r="AM77" s="51">
        <f t="shared" si="51"/>
        <v>3.692307692</v>
      </c>
      <c r="AN77" s="51">
        <f t="shared" si="51"/>
        <v>4</v>
      </c>
      <c r="AO77" s="51">
        <f t="shared" si="51"/>
        <v>4.363636364</v>
      </c>
      <c r="AP77" s="51">
        <f t="shared" si="51"/>
        <v>4.8</v>
      </c>
      <c r="AQ77" s="51">
        <f t="shared" si="51"/>
        <v>5.333333333</v>
      </c>
      <c r="AR77" s="51">
        <f t="shared" si="51"/>
        <v>6</v>
      </c>
      <c r="AS77" s="51">
        <f t="shared" si="51"/>
        <v>6.857142857</v>
      </c>
      <c r="AT77" s="51">
        <f t="shared" si="51"/>
        <v>8</v>
      </c>
      <c r="AU77" s="51">
        <f t="shared" si="51"/>
        <v>9.6</v>
      </c>
      <c r="AV77" s="59">
        <f t="shared" si="51"/>
        <v>12</v>
      </c>
      <c r="AW77" s="59">
        <f t="shared" si="51"/>
        <v>16</v>
      </c>
      <c r="AX77" s="59">
        <f t="shared" si="51"/>
        <v>24</v>
      </c>
      <c r="AY77" s="58">
        <f t="shared" si="51"/>
        <v>48</v>
      </c>
    </row>
    <row r="78" ht="12.0" customHeight="1">
      <c r="A78" s="48">
        <f t="shared" si="5"/>
        <v>49</v>
      </c>
      <c r="B78" s="52">
        <f t="shared" si="3"/>
        <v>0.98</v>
      </c>
      <c r="C78" s="51">
        <f t="shared" ref="C78:AY78" si="52">$A$78/(100-C29)</f>
        <v>1</v>
      </c>
      <c r="D78" s="51">
        <f t="shared" si="52"/>
        <v>1.020833333</v>
      </c>
      <c r="E78" s="51">
        <f t="shared" si="52"/>
        <v>1.042553191</v>
      </c>
      <c r="F78" s="51">
        <f t="shared" si="52"/>
        <v>1.065217391</v>
      </c>
      <c r="G78" s="51">
        <f t="shared" si="52"/>
        <v>1.088888889</v>
      </c>
      <c r="H78" s="51">
        <f t="shared" si="52"/>
        <v>1.113636364</v>
      </c>
      <c r="I78" s="51">
        <f t="shared" si="52"/>
        <v>1.139534884</v>
      </c>
      <c r="J78" s="51">
        <f t="shared" si="52"/>
        <v>1.166666667</v>
      </c>
      <c r="K78" s="51">
        <f t="shared" si="52"/>
        <v>1.195121951</v>
      </c>
      <c r="L78" s="51">
        <f t="shared" si="52"/>
        <v>1.225</v>
      </c>
      <c r="M78" s="51">
        <f t="shared" si="52"/>
        <v>1.256410256</v>
      </c>
      <c r="N78" s="51">
        <f t="shared" si="52"/>
        <v>1.289473684</v>
      </c>
      <c r="O78" s="51">
        <f t="shared" si="52"/>
        <v>1.324324324</v>
      </c>
      <c r="P78" s="51">
        <f t="shared" si="52"/>
        <v>1.361111111</v>
      </c>
      <c r="Q78" s="51">
        <f t="shared" si="52"/>
        <v>1.4</v>
      </c>
      <c r="R78" s="51">
        <f t="shared" si="52"/>
        <v>1.441176471</v>
      </c>
      <c r="S78" s="51">
        <f t="shared" si="52"/>
        <v>1.484848485</v>
      </c>
      <c r="T78" s="51">
        <f t="shared" si="52"/>
        <v>1.53125</v>
      </c>
      <c r="U78" s="51">
        <f t="shared" si="52"/>
        <v>1.580645161</v>
      </c>
      <c r="V78" s="51">
        <f t="shared" si="52"/>
        <v>1.633333333</v>
      </c>
      <c r="W78" s="51">
        <f t="shared" si="52"/>
        <v>1.689655172</v>
      </c>
      <c r="X78" s="51">
        <f t="shared" si="52"/>
        <v>1.75</v>
      </c>
      <c r="Y78" s="51">
        <f t="shared" si="52"/>
        <v>1.814814815</v>
      </c>
      <c r="Z78" s="51">
        <f t="shared" si="52"/>
        <v>1.884615385</v>
      </c>
      <c r="AA78" s="51">
        <f t="shared" si="52"/>
        <v>1.96</v>
      </c>
      <c r="AB78" s="52">
        <f t="shared" si="52"/>
        <v>2.041666667</v>
      </c>
      <c r="AC78" s="51">
        <f t="shared" si="52"/>
        <v>2.130434783</v>
      </c>
      <c r="AD78" s="51">
        <f t="shared" si="52"/>
        <v>2.227272727</v>
      </c>
      <c r="AE78" s="51">
        <f t="shared" si="52"/>
        <v>2.333333333</v>
      </c>
      <c r="AF78" s="51">
        <f t="shared" si="52"/>
        <v>2.45</v>
      </c>
      <c r="AG78" s="51">
        <f t="shared" si="52"/>
        <v>2.578947368</v>
      </c>
      <c r="AH78" s="51">
        <f t="shared" si="52"/>
        <v>2.722222222</v>
      </c>
      <c r="AI78" s="51">
        <f t="shared" si="52"/>
        <v>2.882352941</v>
      </c>
      <c r="AJ78" s="51">
        <f t="shared" si="52"/>
        <v>3.0625</v>
      </c>
      <c r="AK78" s="51">
        <f t="shared" si="52"/>
        <v>3.266666667</v>
      </c>
      <c r="AL78" s="51">
        <f t="shared" si="52"/>
        <v>3.5</v>
      </c>
      <c r="AM78" s="51">
        <f t="shared" si="52"/>
        <v>3.769230769</v>
      </c>
      <c r="AN78" s="51">
        <f t="shared" si="52"/>
        <v>4.083333333</v>
      </c>
      <c r="AO78" s="51">
        <f t="shared" si="52"/>
        <v>4.454545455</v>
      </c>
      <c r="AP78" s="51">
        <f t="shared" si="52"/>
        <v>4.9</v>
      </c>
      <c r="AQ78" s="51">
        <f t="shared" si="52"/>
        <v>5.444444444</v>
      </c>
      <c r="AR78" s="51">
        <f t="shared" si="52"/>
        <v>6.125</v>
      </c>
      <c r="AS78" s="51">
        <f t="shared" si="52"/>
        <v>7</v>
      </c>
      <c r="AT78" s="51">
        <f t="shared" si="52"/>
        <v>8.166666667</v>
      </c>
      <c r="AU78" s="51">
        <f t="shared" si="52"/>
        <v>9.8</v>
      </c>
      <c r="AV78" s="59">
        <f t="shared" si="52"/>
        <v>12.25</v>
      </c>
      <c r="AW78" s="59">
        <f t="shared" si="52"/>
        <v>16.33333333</v>
      </c>
      <c r="AX78" s="59">
        <f t="shared" si="52"/>
        <v>24.5</v>
      </c>
      <c r="AY78" s="58">
        <f t="shared" si="52"/>
        <v>49</v>
      </c>
    </row>
    <row r="79" ht="12.0" customHeight="1">
      <c r="A79" s="60">
        <f t="shared" si="5"/>
        <v>50</v>
      </c>
      <c r="B79" s="61">
        <f t="shared" si="3"/>
        <v>1</v>
      </c>
      <c r="C79" s="54">
        <f t="shared" ref="C79:AY79" si="53">$A$79/(100-C29)</f>
        <v>1.020408163</v>
      </c>
      <c r="D79" s="54">
        <f t="shared" si="53"/>
        <v>1.041666667</v>
      </c>
      <c r="E79" s="54">
        <f t="shared" si="53"/>
        <v>1.063829787</v>
      </c>
      <c r="F79" s="54">
        <f t="shared" si="53"/>
        <v>1.086956522</v>
      </c>
      <c r="G79" s="54">
        <f t="shared" si="53"/>
        <v>1.111111111</v>
      </c>
      <c r="H79" s="54">
        <f t="shared" si="53"/>
        <v>1.136363636</v>
      </c>
      <c r="I79" s="54">
        <f t="shared" si="53"/>
        <v>1.162790698</v>
      </c>
      <c r="J79" s="54">
        <f t="shared" si="53"/>
        <v>1.19047619</v>
      </c>
      <c r="K79" s="54">
        <f t="shared" si="53"/>
        <v>1.219512195</v>
      </c>
      <c r="L79" s="54">
        <f t="shared" si="53"/>
        <v>1.25</v>
      </c>
      <c r="M79" s="54">
        <f t="shared" si="53"/>
        <v>1.282051282</v>
      </c>
      <c r="N79" s="54">
        <f t="shared" si="53"/>
        <v>1.315789474</v>
      </c>
      <c r="O79" s="54">
        <f t="shared" si="53"/>
        <v>1.351351351</v>
      </c>
      <c r="P79" s="54">
        <f t="shared" si="53"/>
        <v>1.388888889</v>
      </c>
      <c r="Q79" s="54">
        <f t="shared" si="53"/>
        <v>1.428571429</v>
      </c>
      <c r="R79" s="54">
        <f t="shared" si="53"/>
        <v>1.470588235</v>
      </c>
      <c r="S79" s="54">
        <f t="shared" si="53"/>
        <v>1.515151515</v>
      </c>
      <c r="T79" s="54">
        <f t="shared" si="53"/>
        <v>1.5625</v>
      </c>
      <c r="U79" s="54">
        <f t="shared" si="53"/>
        <v>1.612903226</v>
      </c>
      <c r="V79" s="54">
        <f t="shared" si="53"/>
        <v>1.666666667</v>
      </c>
      <c r="W79" s="54">
        <f t="shared" si="53"/>
        <v>1.724137931</v>
      </c>
      <c r="X79" s="54">
        <f t="shared" si="53"/>
        <v>1.785714286</v>
      </c>
      <c r="Y79" s="54">
        <f t="shared" si="53"/>
        <v>1.851851852</v>
      </c>
      <c r="Z79" s="54">
        <f t="shared" si="53"/>
        <v>1.923076923</v>
      </c>
      <c r="AA79" s="62">
        <f t="shared" si="53"/>
        <v>2</v>
      </c>
      <c r="AB79" s="54">
        <f t="shared" si="53"/>
        <v>2.083333333</v>
      </c>
      <c r="AC79" s="54">
        <f t="shared" si="53"/>
        <v>2.173913043</v>
      </c>
      <c r="AD79" s="54">
        <f t="shared" si="53"/>
        <v>2.272727273</v>
      </c>
      <c r="AE79" s="54">
        <f t="shared" si="53"/>
        <v>2.380952381</v>
      </c>
      <c r="AF79" s="54">
        <f t="shared" si="53"/>
        <v>2.5</v>
      </c>
      <c r="AG79" s="54">
        <f t="shared" si="53"/>
        <v>2.631578947</v>
      </c>
      <c r="AH79" s="54">
        <f t="shared" si="53"/>
        <v>2.777777778</v>
      </c>
      <c r="AI79" s="54">
        <f t="shared" si="53"/>
        <v>2.941176471</v>
      </c>
      <c r="AJ79" s="54">
        <f t="shared" si="53"/>
        <v>3.125</v>
      </c>
      <c r="AK79" s="54">
        <f t="shared" si="53"/>
        <v>3.333333333</v>
      </c>
      <c r="AL79" s="54">
        <f t="shared" si="53"/>
        <v>3.571428571</v>
      </c>
      <c r="AM79" s="54">
        <f t="shared" si="53"/>
        <v>3.846153846</v>
      </c>
      <c r="AN79" s="54">
        <f t="shared" si="53"/>
        <v>4.166666667</v>
      </c>
      <c r="AO79" s="54">
        <f t="shared" si="53"/>
        <v>4.545454545</v>
      </c>
      <c r="AP79" s="54">
        <f t="shared" si="53"/>
        <v>5</v>
      </c>
      <c r="AQ79" s="54">
        <f t="shared" si="53"/>
        <v>5.555555556</v>
      </c>
      <c r="AR79" s="54">
        <f t="shared" si="53"/>
        <v>6.25</v>
      </c>
      <c r="AS79" s="54">
        <f t="shared" si="53"/>
        <v>7.142857143</v>
      </c>
      <c r="AT79" s="54">
        <f t="shared" si="53"/>
        <v>8.333333333</v>
      </c>
      <c r="AU79" s="63">
        <f t="shared" si="53"/>
        <v>10</v>
      </c>
      <c r="AV79" s="63">
        <f t="shared" si="53"/>
        <v>12.5</v>
      </c>
      <c r="AW79" s="63">
        <f t="shared" si="53"/>
        <v>16.66666667</v>
      </c>
      <c r="AX79" s="63">
        <f t="shared" si="53"/>
        <v>25</v>
      </c>
      <c r="AY79" s="64">
        <f t="shared" si="53"/>
        <v>50</v>
      </c>
    </row>
    <row r="80" ht="12.0" customHeight="1">
      <c r="A80" s="65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</row>
    <row r="81" ht="12.0" customHeight="1">
      <c r="A81" s="65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</row>
    <row r="82" ht="12.0" customHeight="1">
      <c r="A82" s="65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</row>
    <row r="83" ht="12.0" customHeight="1">
      <c r="A83" s="65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</row>
    <row r="84" ht="12.0" customHeight="1">
      <c r="A84" s="65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</row>
    <row r="85" ht="12.0" customHeight="1">
      <c r="A85" s="65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</row>
    <row r="86" ht="12.0" customHeight="1">
      <c r="A86" s="65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</row>
    <row r="87" ht="12.0" customHeight="1">
      <c r="A87" s="65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</row>
    <row r="88" ht="12.0" customHeight="1">
      <c r="A88" s="65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</row>
    <row r="89" ht="12.0" customHeight="1">
      <c r="A89" s="65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</row>
    <row r="90" ht="12.0" customHeight="1">
      <c r="A90" s="65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</row>
    <row r="91" ht="12.0" customHeight="1">
      <c r="A91" s="65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</row>
    <row r="92" ht="12.0" customHeight="1">
      <c r="A92" s="65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</row>
    <row r="93" ht="12.0" customHeight="1">
      <c r="A93" s="65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</row>
    <row r="94" ht="12.0" customHeight="1">
      <c r="A94" s="65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</row>
    <row r="95" ht="12.0" customHeight="1">
      <c r="A95" s="65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</row>
    <row r="96" ht="12.0" customHeight="1">
      <c r="A96" s="65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</row>
    <row r="97" ht="12.0" customHeight="1">
      <c r="A97" s="65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</row>
    <row r="98" ht="12.0" customHeight="1">
      <c r="A98" s="65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</row>
    <row r="99" ht="12.0" customHeight="1">
      <c r="A99" s="65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</row>
    <row r="100" ht="12.0" customHeight="1">
      <c r="A100" s="65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</row>
    <row r="101" ht="12.0" customHeight="1">
      <c r="A101" s="65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</row>
    <row r="102" ht="12.0" customHeight="1">
      <c r="A102" s="65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</row>
    <row r="103" ht="12.0" customHeight="1">
      <c r="A103" s="65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</row>
    <row r="104" ht="12.0" customHeight="1">
      <c r="A104" s="65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</row>
    <row r="105" ht="12.0" customHeight="1">
      <c r="A105" s="65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</row>
    <row r="106" ht="12.0" customHeight="1">
      <c r="A106" s="65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</row>
    <row r="107" ht="12.0" customHeight="1">
      <c r="A107" s="65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</row>
    <row r="108" ht="12.0" customHeight="1">
      <c r="A108" s="65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</row>
    <row r="109" ht="12.0" customHeight="1">
      <c r="A109" s="65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</row>
    <row r="110" ht="12.0" customHeight="1">
      <c r="A110" s="65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</row>
    <row r="111" ht="12.0" customHeight="1">
      <c r="A111" s="65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</row>
    <row r="112" ht="12.0" customHeight="1">
      <c r="A112" s="65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</row>
    <row r="113" ht="12.0" customHeight="1">
      <c r="A113" s="65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</row>
    <row r="114" ht="12.0" customHeight="1">
      <c r="A114" s="65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</row>
    <row r="115" ht="12.0" customHeight="1">
      <c r="A115" s="65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</row>
    <row r="116" ht="12.0" customHeight="1">
      <c r="A116" s="65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</row>
    <row r="117" ht="12.0" customHeight="1">
      <c r="A117" s="65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</row>
    <row r="118" ht="12.0" customHeight="1">
      <c r="A118" s="65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</row>
    <row r="119" ht="12.0" customHeight="1">
      <c r="A119" s="65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</row>
    <row r="120" ht="12.0" customHeight="1">
      <c r="A120" s="65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</row>
    <row r="121" ht="12.0" customHeight="1">
      <c r="A121" s="65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</row>
    <row r="122" ht="12.0" customHeight="1">
      <c r="A122" s="65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</row>
    <row r="123" ht="12.0" customHeight="1">
      <c r="A123" s="65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</row>
    <row r="124" ht="12.0" customHeight="1">
      <c r="A124" s="65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</row>
    <row r="125" ht="12.0" customHeight="1">
      <c r="A125" s="65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</row>
    <row r="126" ht="12.0" customHeight="1">
      <c r="A126" s="65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</row>
    <row r="127" ht="12.0" customHeight="1">
      <c r="A127" s="65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</row>
    <row r="128" ht="12.0" customHeight="1">
      <c r="A128" s="65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</row>
    <row r="129" ht="12.0" customHeight="1">
      <c r="A129" s="65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</row>
    <row r="130" ht="12.0" customHeight="1">
      <c r="A130" s="65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</row>
    <row r="131" ht="12.0" customHeight="1">
      <c r="A131" s="65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</row>
    <row r="132" ht="12.0" customHeight="1">
      <c r="A132" s="65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</row>
    <row r="133" ht="12.0" customHeight="1">
      <c r="A133" s="65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</row>
    <row r="134" ht="12.0" customHeight="1">
      <c r="A134" s="65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</row>
    <row r="135" ht="12.0" customHeight="1">
      <c r="A135" s="65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</row>
    <row r="136" ht="12.0" customHeight="1">
      <c r="A136" s="65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</row>
    <row r="137" ht="12.0" customHeight="1">
      <c r="A137" s="65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</row>
    <row r="138" ht="12.0" customHeight="1">
      <c r="A138" s="65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</row>
    <row r="139" ht="12.0" customHeight="1">
      <c r="A139" s="65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</row>
    <row r="140" ht="12.0" customHeight="1">
      <c r="A140" s="65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</row>
    <row r="141" ht="12.0" customHeight="1">
      <c r="A141" s="65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</row>
    <row r="142" ht="12.0" customHeight="1">
      <c r="A142" s="65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</row>
    <row r="143" ht="12.0" customHeight="1">
      <c r="A143" s="65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</row>
    <row r="144" ht="12.0" customHeight="1">
      <c r="A144" s="65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</row>
    <row r="145" ht="12.0" customHeight="1">
      <c r="A145" s="65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</row>
    <row r="146" ht="12.0" customHeight="1">
      <c r="A146" s="65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</row>
    <row r="147" ht="12.0" customHeight="1">
      <c r="A147" s="65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</row>
    <row r="148" ht="12.0" customHeight="1">
      <c r="A148" s="65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</row>
    <row r="149" ht="12.0" customHeight="1">
      <c r="A149" s="65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</row>
    <row r="150" ht="12.0" customHeight="1">
      <c r="A150" s="65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</row>
    <row r="151" ht="12.0" customHeight="1">
      <c r="A151" s="65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</row>
    <row r="152" ht="12.0" customHeight="1">
      <c r="A152" s="65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</row>
    <row r="153" ht="12.0" customHeight="1">
      <c r="A153" s="65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</row>
    <row r="154" ht="12.0" customHeight="1">
      <c r="A154" s="65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</row>
    <row r="155" ht="12.0" customHeight="1">
      <c r="A155" s="65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</row>
    <row r="156" ht="12.0" customHeight="1">
      <c r="A156" s="65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</row>
    <row r="157" ht="12.0" customHeight="1">
      <c r="A157" s="65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</row>
    <row r="158" ht="12.0" customHeight="1">
      <c r="A158" s="65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</row>
    <row r="159" ht="12.0" customHeight="1">
      <c r="A159" s="65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</row>
    <row r="160" ht="12.0" customHeight="1">
      <c r="A160" s="65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</row>
    <row r="161" ht="12.0" customHeight="1">
      <c r="A161" s="65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</row>
    <row r="162" ht="12.0" customHeight="1">
      <c r="A162" s="65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</row>
    <row r="163" ht="12.0" customHeight="1">
      <c r="A163" s="65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</row>
    <row r="164" ht="12.0" customHeight="1">
      <c r="A164" s="65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</row>
    <row r="165" ht="12.0" customHeight="1">
      <c r="A165" s="65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</row>
    <row r="166" ht="12.0" customHeight="1">
      <c r="A166" s="65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</row>
    <row r="167" ht="12.0" customHeight="1">
      <c r="A167" s="65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</row>
    <row r="168" ht="12.0" customHeight="1">
      <c r="A168" s="65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</row>
    <row r="169" ht="12.0" customHeight="1">
      <c r="A169" s="65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</row>
    <row r="170" ht="12.0" customHeight="1">
      <c r="A170" s="65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</row>
    <row r="171" ht="12.0" customHeight="1">
      <c r="A171" s="65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</row>
    <row r="172" ht="12.0" customHeight="1">
      <c r="A172" s="65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</row>
    <row r="173" ht="12.0" customHeight="1">
      <c r="A173" s="65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</row>
    <row r="174" ht="12.0" customHeight="1">
      <c r="A174" s="65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</row>
    <row r="175" ht="12.0" customHeight="1">
      <c r="A175" s="65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</row>
    <row r="176" ht="12.0" customHeight="1">
      <c r="A176" s="65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</row>
    <row r="177" ht="12.0" customHeight="1">
      <c r="A177" s="65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</row>
    <row r="178" ht="12.0" customHeight="1">
      <c r="A178" s="65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</row>
    <row r="179" ht="12.0" customHeight="1">
      <c r="A179" s="65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</row>
    <row r="180" ht="12.0" customHeight="1">
      <c r="A180" s="65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</row>
    <row r="181" ht="12.0" customHeight="1">
      <c r="A181" s="65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</row>
    <row r="182" ht="12.0" customHeight="1">
      <c r="A182" s="65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</row>
    <row r="183" ht="12.0" customHeight="1">
      <c r="A183" s="65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</row>
    <row r="184" ht="12.0" customHeight="1">
      <c r="A184" s="65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</row>
    <row r="185" ht="12.0" customHeight="1">
      <c r="A185" s="65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</row>
    <row r="186" ht="12.0" customHeight="1">
      <c r="A186" s="65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</row>
    <row r="187" ht="12.0" customHeight="1">
      <c r="A187" s="65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</row>
    <row r="188" ht="12.0" customHeight="1">
      <c r="A188" s="65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</row>
    <row r="189" ht="12.0" customHeight="1">
      <c r="A189" s="65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</row>
    <row r="190" ht="12.0" customHeight="1">
      <c r="A190" s="65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</row>
    <row r="191" ht="12.0" customHeight="1">
      <c r="A191" s="65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</row>
    <row r="192" ht="12.0" customHeight="1">
      <c r="A192" s="65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</row>
    <row r="193" ht="12.0" customHeight="1">
      <c r="A193" s="65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</row>
    <row r="194" ht="12.0" customHeight="1">
      <c r="A194" s="65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</row>
    <row r="195" ht="12.0" customHeight="1">
      <c r="A195" s="65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</row>
    <row r="196" ht="12.0" customHeight="1">
      <c r="A196" s="65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</row>
    <row r="197" ht="12.0" customHeight="1">
      <c r="A197" s="65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</row>
    <row r="198" ht="12.0" customHeight="1">
      <c r="A198" s="65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</row>
    <row r="199" ht="12.0" customHeight="1">
      <c r="A199" s="65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</row>
    <row r="200" ht="12.0" customHeight="1">
      <c r="A200" s="65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</row>
    <row r="201" ht="12.0" customHeight="1">
      <c r="A201" s="65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</row>
    <row r="202" ht="12.0" customHeight="1">
      <c r="A202" s="65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</row>
    <row r="203" ht="12.0" customHeight="1">
      <c r="A203" s="65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</row>
    <row r="204" ht="12.0" customHeight="1">
      <c r="A204" s="65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</row>
    <row r="205" ht="12.0" customHeight="1">
      <c r="A205" s="65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</row>
    <row r="206" ht="12.0" customHeight="1">
      <c r="A206" s="65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</row>
    <row r="207" ht="12.0" customHeight="1">
      <c r="A207" s="65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</row>
    <row r="208" ht="12.0" customHeight="1">
      <c r="A208" s="65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</row>
    <row r="209" ht="12.0" customHeight="1">
      <c r="A209" s="65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</row>
    <row r="210" ht="12.0" customHeight="1">
      <c r="A210" s="65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</row>
    <row r="211" ht="12.0" customHeight="1">
      <c r="A211" s="65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</row>
    <row r="212" ht="12.0" customHeight="1">
      <c r="A212" s="65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</row>
    <row r="213" ht="12.0" customHeight="1">
      <c r="A213" s="65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</row>
    <row r="214" ht="12.0" customHeight="1">
      <c r="A214" s="65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</row>
    <row r="215" ht="12.0" customHeight="1">
      <c r="A215" s="65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</row>
    <row r="216" ht="12.0" customHeight="1">
      <c r="A216" s="65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</row>
    <row r="217" ht="12.0" customHeight="1">
      <c r="A217" s="65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</row>
    <row r="218" ht="12.0" customHeight="1">
      <c r="A218" s="65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</row>
    <row r="219" ht="12.0" customHeight="1">
      <c r="A219" s="65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</row>
    <row r="220" ht="12.0" customHeight="1">
      <c r="A220" s="65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</row>
    <row r="221" ht="12.0" customHeight="1">
      <c r="A221" s="65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</row>
    <row r="222" ht="12.0" customHeight="1">
      <c r="A222" s="65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</row>
    <row r="223" ht="12.0" customHeight="1">
      <c r="A223" s="65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</row>
    <row r="224" ht="12.0" customHeight="1">
      <c r="A224" s="65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</row>
    <row r="225" ht="12.0" customHeight="1">
      <c r="A225" s="65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</row>
    <row r="226" ht="12.0" customHeight="1">
      <c r="A226" s="65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</row>
    <row r="227" ht="12.0" customHeight="1">
      <c r="A227" s="65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</row>
    <row r="228" ht="12.0" customHeight="1">
      <c r="A228" s="65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</row>
    <row r="229" ht="12.0" customHeight="1">
      <c r="A229" s="65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</row>
    <row r="230" ht="12.0" customHeight="1">
      <c r="A230" s="65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</row>
    <row r="231" ht="12.0" customHeight="1">
      <c r="A231" s="65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</row>
    <row r="232" ht="12.0" customHeight="1">
      <c r="A232" s="65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</row>
    <row r="233" ht="12.0" customHeight="1">
      <c r="A233" s="65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</row>
    <row r="234" ht="12.0" customHeight="1">
      <c r="A234" s="65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</row>
    <row r="235" ht="12.0" customHeight="1">
      <c r="A235" s="65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</row>
    <row r="236" ht="12.0" customHeight="1">
      <c r="A236" s="65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</row>
    <row r="237" ht="12.0" customHeight="1">
      <c r="A237" s="65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</row>
    <row r="238" ht="12.0" customHeight="1">
      <c r="A238" s="65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</row>
    <row r="239" ht="12.0" customHeight="1">
      <c r="A239" s="65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</row>
    <row r="240" ht="12.0" customHeight="1">
      <c r="A240" s="65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</row>
    <row r="241" ht="12.0" customHeight="1">
      <c r="A241" s="65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</row>
    <row r="242" ht="12.0" customHeight="1">
      <c r="A242" s="65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</row>
    <row r="243" ht="12.0" customHeight="1">
      <c r="A243" s="65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</row>
    <row r="244" ht="12.0" customHeight="1">
      <c r="A244" s="65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</row>
    <row r="245" ht="12.0" customHeight="1">
      <c r="A245" s="65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</row>
    <row r="246" ht="12.0" customHeight="1">
      <c r="A246" s="65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</row>
    <row r="247" ht="12.0" customHeight="1">
      <c r="A247" s="65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</row>
    <row r="248" ht="12.0" customHeight="1">
      <c r="A248" s="65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</row>
    <row r="249" ht="12.0" customHeight="1">
      <c r="A249" s="65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</row>
    <row r="250" ht="12.0" customHeight="1">
      <c r="A250" s="65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</row>
    <row r="251" ht="12.0" customHeight="1">
      <c r="A251" s="65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</row>
    <row r="252" ht="12.0" customHeight="1">
      <c r="A252" s="65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</row>
    <row r="253" ht="12.0" customHeight="1">
      <c r="A253" s="65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</row>
    <row r="254" ht="12.0" customHeight="1">
      <c r="A254" s="65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</row>
    <row r="255" ht="12.0" customHeight="1">
      <c r="A255" s="65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</row>
    <row r="256" ht="12.0" customHeight="1">
      <c r="A256" s="65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</row>
    <row r="257" ht="12.0" customHeight="1">
      <c r="A257" s="65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</row>
    <row r="258" ht="12.0" customHeight="1">
      <c r="A258" s="65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</row>
    <row r="259" ht="12.0" customHeight="1">
      <c r="A259" s="65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</row>
    <row r="260" ht="12.0" customHeight="1">
      <c r="A260" s="65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</row>
    <row r="261" ht="12.0" customHeight="1">
      <c r="A261" s="65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</row>
    <row r="262" ht="12.0" customHeight="1">
      <c r="A262" s="65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</row>
    <row r="263" ht="12.0" customHeight="1">
      <c r="A263" s="65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</row>
    <row r="264" ht="12.0" customHeight="1">
      <c r="A264" s="65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</row>
    <row r="265" ht="12.0" customHeight="1">
      <c r="A265" s="65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</row>
    <row r="266" ht="12.0" customHeight="1">
      <c r="A266" s="65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</row>
    <row r="267" ht="12.0" customHeight="1">
      <c r="A267" s="65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</row>
    <row r="268" ht="12.0" customHeight="1">
      <c r="A268" s="65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</row>
    <row r="269" ht="12.0" customHeight="1">
      <c r="A269" s="65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</row>
    <row r="270" ht="12.0" customHeight="1">
      <c r="A270" s="65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</row>
    <row r="271" ht="12.0" customHeight="1">
      <c r="A271" s="65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</row>
    <row r="272" ht="12.0" customHeight="1">
      <c r="A272" s="65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</row>
    <row r="273" ht="12.0" customHeight="1">
      <c r="A273" s="65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</row>
    <row r="274" ht="12.0" customHeight="1">
      <c r="A274" s="65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</row>
    <row r="275" ht="12.0" customHeight="1">
      <c r="A275" s="65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</row>
    <row r="276" ht="12.0" customHeight="1">
      <c r="A276" s="65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</row>
    <row r="277" ht="12.0" customHeight="1">
      <c r="A277" s="65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</row>
    <row r="278" ht="12.0" customHeight="1">
      <c r="A278" s="65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</row>
    <row r="279" ht="12.0" customHeight="1">
      <c r="A279" s="65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</row>
    <row r="280" ht="12.0" customHeight="1">
      <c r="A280" s="65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</row>
    <row r="281" ht="12.0" customHeight="1">
      <c r="A281" s="65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</row>
    <row r="282" ht="12.0" customHeight="1">
      <c r="A282" s="65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</row>
    <row r="283" ht="12.0" customHeight="1">
      <c r="A283" s="65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</row>
    <row r="284" ht="12.0" customHeight="1">
      <c r="A284" s="65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</row>
    <row r="285" ht="12.0" customHeight="1">
      <c r="A285" s="65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</row>
    <row r="286" ht="12.0" customHeight="1">
      <c r="A286" s="65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</row>
    <row r="287" ht="12.0" customHeight="1">
      <c r="A287" s="65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</row>
    <row r="288" ht="12.0" customHeight="1">
      <c r="A288" s="65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</row>
    <row r="289" ht="12.0" customHeight="1">
      <c r="A289" s="65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</row>
    <row r="290" ht="12.0" customHeight="1">
      <c r="A290" s="65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</row>
    <row r="291" ht="12.0" customHeight="1">
      <c r="A291" s="65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</row>
    <row r="292" ht="12.0" customHeight="1">
      <c r="A292" s="65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</row>
    <row r="293" ht="12.0" customHeight="1">
      <c r="A293" s="65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</row>
    <row r="294" ht="12.0" customHeight="1">
      <c r="A294" s="65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</row>
    <row r="295" ht="12.0" customHeight="1">
      <c r="A295" s="65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</row>
    <row r="296" ht="12.0" customHeight="1">
      <c r="A296" s="65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</row>
    <row r="297" ht="12.0" customHeight="1">
      <c r="A297" s="65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</row>
    <row r="298" ht="12.0" customHeight="1">
      <c r="A298" s="65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</row>
    <row r="299" ht="12.0" customHeight="1">
      <c r="A299" s="65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</row>
    <row r="300" ht="12.0" customHeight="1">
      <c r="A300" s="65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</row>
    <row r="301" ht="12.0" customHeight="1">
      <c r="A301" s="65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</row>
    <row r="302" ht="12.0" customHeight="1">
      <c r="A302" s="65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</row>
    <row r="303" ht="12.0" customHeight="1">
      <c r="A303" s="65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</row>
    <row r="304" ht="12.0" customHeight="1">
      <c r="A304" s="65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</row>
    <row r="305" ht="12.0" customHeight="1">
      <c r="A305" s="65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</row>
    <row r="306" ht="12.0" customHeight="1">
      <c r="A306" s="65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</row>
    <row r="307" ht="12.0" customHeight="1">
      <c r="A307" s="65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</row>
    <row r="308" ht="12.0" customHeight="1">
      <c r="A308" s="65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</row>
    <row r="309" ht="12.0" customHeight="1">
      <c r="A309" s="65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</row>
    <row r="310" ht="12.0" customHeight="1">
      <c r="A310" s="65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</row>
    <row r="311" ht="12.0" customHeight="1">
      <c r="A311" s="65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</row>
    <row r="312" ht="12.0" customHeight="1">
      <c r="A312" s="65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</row>
    <row r="313" ht="12.0" customHeight="1">
      <c r="A313" s="65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</row>
    <row r="314" ht="12.0" customHeight="1">
      <c r="A314" s="65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</row>
    <row r="315" ht="12.0" customHeight="1">
      <c r="A315" s="65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</row>
    <row r="316" ht="12.0" customHeight="1">
      <c r="A316" s="65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</row>
    <row r="317" ht="12.0" customHeight="1">
      <c r="A317" s="65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</row>
    <row r="318" ht="12.0" customHeight="1">
      <c r="A318" s="65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</row>
    <row r="319" ht="12.0" customHeight="1">
      <c r="A319" s="65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</row>
    <row r="320" ht="12.0" customHeight="1">
      <c r="A320" s="65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</row>
    <row r="321" ht="12.0" customHeight="1">
      <c r="A321" s="65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</row>
    <row r="322" ht="12.0" customHeight="1">
      <c r="A322" s="65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</row>
    <row r="323" ht="12.0" customHeight="1">
      <c r="A323" s="65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</row>
    <row r="324" ht="12.0" customHeight="1">
      <c r="A324" s="65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</row>
    <row r="325" ht="12.0" customHeight="1">
      <c r="A325" s="65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</row>
    <row r="326" ht="12.0" customHeight="1">
      <c r="A326" s="65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</row>
    <row r="327" ht="12.0" customHeight="1">
      <c r="A327" s="65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</row>
    <row r="328" ht="12.0" customHeight="1">
      <c r="A328" s="65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</row>
    <row r="329" ht="12.0" customHeight="1">
      <c r="A329" s="65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</row>
    <row r="330" ht="12.0" customHeight="1">
      <c r="A330" s="65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</row>
    <row r="331" ht="12.0" customHeight="1">
      <c r="A331" s="65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</row>
    <row r="332" ht="12.0" customHeight="1">
      <c r="A332" s="65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</row>
    <row r="333" ht="12.0" customHeight="1">
      <c r="A333" s="65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</row>
    <row r="334" ht="12.0" customHeight="1">
      <c r="A334" s="65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</row>
    <row r="335" ht="12.0" customHeight="1">
      <c r="A335" s="65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</row>
    <row r="336" ht="12.0" customHeight="1">
      <c r="A336" s="65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</row>
    <row r="337" ht="12.0" customHeight="1">
      <c r="A337" s="65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</row>
    <row r="338" ht="12.0" customHeight="1">
      <c r="A338" s="65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</row>
    <row r="339" ht="12.0" customHeight="1">
      <c r="A339" s="65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</row>
    <row r="340" ht="12.0" customHeight="1">
      <c r="A340" s="65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</row>
    <row r="341" ht="12.0" customHeight="1">
      <c r="A341" s="65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</row>
    <row r="342" ht="12.0" customHeight="1">
      <c r="A342" s="65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</row>
    <row r="343" ht="12.0" customHeight="1">
      <c r="A343" s="65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</row>
    <row r="344" ht="12.0" customHeight="1">
      <c r="A344" s="65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</row>
    <row r="345" ht="12.0" customHeight="1">
      <c r="A345" s="65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</row>
    <row r="346" ht="12.0" customHeight="1">
      <c r="A346" s="65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</row>
    <row r="347" ht="12.0" customHeight="1">
      <c r="A347" s="65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</row>
    <row r="348" ht="12.0" customHeight="1">
      <c r="A348" s="65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</row>
    <row r="349" ht="12.0" customHeight="1">
      <c r="A349" s="65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</row>
    <row r="350" ht="12.0" customHeight="1">
      <c r="A350" s="65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</row>
    <row r="351" ht="12.0" customHeight="1">
      <c r="A351" s="65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</row>
    <row r="352" ht="12.0" customHeight="1">
      <c r="A352" s="65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</row>
    <row r="353" ht="12.0" customHeight="1">
      <c r="A353" s="65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</row>
    <row r="354" ht="12.0" customHeight="1">
      <c r="A354" s="65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</row>
    <row r="355" ht="12.0" customHeight="1">
      <c r="A355" s="65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</row>
    <row r="356" ht="12.0" customHeight="1">
      <c r="A356" s="65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</row>
    <row r="357" ht="12.0" customHeight="1">
      <c r="A357" s="65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</row>
    <row r="358" ht="12.0" customHeight="1">
      <c r="A358" s="65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</row>
    <row r="359" ht="12.0" customHeight="1">
      <c r="A359" s="65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</row>
    <row r="360" ht="12.0" customHeight="1">
      <c r="A360" s="65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</row>
    <row r="361" ht="12.0" customHeight="1">
      <c r="A361" s="65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</row>
    <row r="362" ht="12.0" customHeight="1">
      <c r="A362" s="65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</row>
    <row r="363" ht="12.0" customHeight="1">
      <c r="A363" s="65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</row>
    <row r="364" ht="12.0" customHeight="1">
      <c r="A364" s="65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</row>
    <row r="365" ht="12.0" customHeight="1">
      <c r="A365" s="65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</row>
    <row r="366" ht="12.0" customHeight="1">
      <c r="A366" s="65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</row>
    <row r="367" ht="12.0" customHeight="1">
      <c r="A367" s="65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</row>
    <row r="368" ht="12.0" customHeight="1">
      <c r="A368" s="65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</row>
    <row r="369" ht="12.0" customHeight="1">
      <c r="A369" s="65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</row>
    <row r="370" ht="12.0" customHeight="1">
      <c r="A370" s="65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</row>
    <row r="371" ht="12.0" customHeight="1">
      <c r="A371" s="65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</row>
    <row r="372" ht="12.0" customHeight="1">
      <c r="A372" s="65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</row>
    <row r="373" ht="12.0" customHeight="1">
      <c r="A373" s="65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</row>
    <row r="374" ht="12.0" customHeight="1">
      <c r="A374" s="65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</row>
    <row r="375" ht="12.0" customHeight="1">
      <c r="A375" s="65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</row>
    <row r="376" ht="12.0" customHeight="1">
      <c r="A376" s="65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</row>
    <row r="377" ht="12.0" customHeight="1">
      <c r="A377" s="65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</row>
    <row r="378" ht="12.0" customHeight="1">
      <c r="A378" s="65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</row>
    <row r="379" ht="12.0" customHeight="1">
      <c r="A379" s="65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</row>
    <row r="380" ht="12.0" customHeight="1">
      <c r="A380" s="65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</row>
    <row r="381" ht="12.0" customHeight="1">
      <c r="A381" s="65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</row>
    <row r="382" ht="12.0" customHeight="1">
      <c r="A382" s="65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</row>
    <row r="383" ht="12.0" customHeight="1">
      <c r="A383" s="65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</row>
    <row r="384" ht="12.0" customHeight="1">
      <c r="A384" s="65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</row>
    <row r="385" ht="12.0" customHeight="1">
      <c r="A385" s="65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</row>
    <row r="386" ht="12.0" customHeight="1">
      <c r="A386" s="65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</row>
    <row r="387" ht="12.0" customHeight="1">
      <c r="A387" s="65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</row>
    <row r="388" ht="12.0" customHeight="1">
      <c r="A388" s="65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</row>
    <row r="389" ht="12.0" customHeight="1">
      <c r="A389" s="65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</row>
    <row r="390" ht="12.0" customHeight="1">
      <c r="A390" s="65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</row>
    <row r="391" ht="12.0" customHeight="1">
      <c r="A391" s="65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</row>
    <row r="392" ht="12.0" customHeight="1">
      <c r="A392" s="65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</row>
    <row r="393" ht="12.0" customHeight="1">
      <c r="A393" s="65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</row>
    <row r="394" ht="12.0" customHeight="1">
      <c r="A394" s="65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</row>
    <row r="395" ht="12.0" customHeight="1">
      <c r="A395" s="65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</row>
    <row r="396" ht="12.0" customHeight="1">
      <c r="A396" s="65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</row>
    <row r="397" ht="12.0" customHeight="1">
      <c r="A397" s="65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</row>
    <row r="398" ht="12.0" customHeight="1">
      <c r="A398" s="65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</row>
    <row r="399" ht="12.0" customHeight="1">
      <c r="A399" s="65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</row>
    <row r="400" ht="12.0" customHeight="1">
      <c r="A400" s="65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</row>
    <row r="401" ht="12.0" customHeight="1">
      <c r="A401" s="65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</row>
    <row r="402" ht="12.0" customHeight="1">
      <c r="A402" s="65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</row>
    <row r="403" ht="12.0" customHeight="1">
      <c r="A403" s="65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</row>
    <row r="404" ht="12.0" customHeight="1">
      <c r="A404" s="65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</row>
    <row r="405" ht="12.0" customHeight="1">
      <c r="A405" s="65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</row>
    <row r="406" ht="12.0" customHeight="1">
      <c r="A406" s="65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</row>
    <row r="407" ht="12.0" customHeight="1">
      <c r="A407" s="65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</row>
    <row r="408" ht="12.0" customHeight="1">
      <c r="A408" s="65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</row>
    <row r="409" ht="12.0" customHeight="1">
      <c r="A409" s="65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</row>
    <row r="410" ht="12.0" customHeight="1">
      <c r="A410" s="65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</row>
    <row r="411" ht="12.0" customHeight="1">
      <c r="A411" s="65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</row>
    <row r="412" ht="12.0" customHeight="1">
      <c r="A412" s="65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</row>
    <row r="413" ht="12.0" customHeight="1">
      <c r="A413" s="65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</row>
    <row r="414" ht="12.0" customHeight="1">
      <c r="A414" s="65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</row>
    <row r="415" ht="12.0" customHeight="1">
      <c r="A415" s="65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</row>
    <row r="416" ht="12.0" customHeight="1">
      <c r="A416" s="65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</row>
    <row r="417" ht="12.0" customHeight="1">
      <c r="A417" s="65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</row>
    <row r="418" ht="12.0" customHeight="1">
      <c r="A418" s="65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</row>
    <row r="419" ht="12.0" customHeight="1">
      <c r="A419" s="65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</row>
    <row r="420" ht="12.0" customHeight="1">
      <c r="A420" s="65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</row>
    <row r="421" ht="12.0" customHeight="1">
      <c r="A421" s="65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</row>
    <row r="422" ht="12.0" customHeight="1">
      <c r="A422" s="65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</row>
    <row r="423" ht="12.0" customHeight="1">
      <c r="A423" s="65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</row>
    <row r="424" ht="12.0" customHeight="1">
      <c r="A424" s="65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</row>
    <row r="425" ht="12.0" customHeight="1">
      <c r="A425" s="65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</row>
    <row r="426" ht="12.0" customHeight="1">
      <c r="A426" s="65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</row>
    <row r="427" ht="12.0" customHeight="1">
      <c r="A427" s="65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</row>
    <row r="428" ht="12.0" customHeight="1">
      <c r="A428" s="65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</row>
    <row r="429" ht="12.0" customHeight="1">
      <c r="A429" s="65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</row>
    <row r="430" ht="12.0" customHeight="1">
      <c r="A430" s="65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</row>
    <row r="431" ht="12.0" customHeight="1">
      <c r="A431" s="65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</row>
    <row r="432" ht="12.0" customHeight="1">
      <c r="A432" s="65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</row>
    <row r="433" ht="12.0" customHeight="1">
      <c r="A433" s="65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</row>
    <row r="434" ht="12.0" customHeight="1">
      <c r="A434" s="65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</row>
    <row r="435" ht="12.0" customHeight="1">
      <c r="A435" s="65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</row>
    <row r="436" ht="12.0" customHeight="1">
      <c r="A436" s="65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</row>
    <row r="437" ht="12.0" customHeight="1">
      <c r="A437" s="65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</row>
    <row r="438" ht="12.0" customHeight="1">
      <c r="A438" s="65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</row>
    <row r="439" ht="12.0" customHeight="1">
      <c r="A439" s="65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</row>
    <row r="440" ht="12.0" customHeight="1">
      <c r="A440" s="65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</row>
    <row r="441" ht="12.0" customHeight="1">
      <c r="A441" s="65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</row>
    <row r="442" ht="12.0" customHeight="1">
      <c r="A442" s="65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</row>
    <row r="443" ht="12.0" customHeight="1">
      <c r="A443" s="65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</row>
    <row r="444" ht="12.0" customHeight="1">
      <c r="A444" s="65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</row>
    <row r="445" ht="12.0" customHeight="1">
      <c r="A445" s="65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</row>
    <row r="446" ht="12.0" customHeight="1">
      <c r="A446" s="65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</row>
    <row r="447" ht="12.0" customHeight="1">
      <c r="A447" s="65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</row>
    <row r="448" ht="12.0" customHeight="1">
      <c r="A448" s="65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</row>
    <row r="449" ht="12.0" customHeight="1">
      <c r="A449" s="65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</row>
    <row r="450" ht="12.0" customHeight="1">
      <c r="A450" s="65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</row>
    <row r="451" ht="12.0" customHeight="1">
      <c r="A451" s="65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</row>
    <row r="452" ht="12.0" customHeight="1">
      <c r="A452" s="65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</row>
    <row r="453" ht="12.0" customHeight="1">
      <c r="A453" s="65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</row>
    <row r="454" ht="12.0" customHeight="1">
      <c r="A454" s="65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</row>
    <row r="455" ht="12.0" customHeight="1">
      <c r="A455" s="65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</row>
    <row r="456" ht="12.0" customHeight="1">
      <c r="A456" s="65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</row>
    <row r="457" ht="12.0" customHeight="1">
      <c r="A457" s="65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</row>
    <row r="458" ht="12.0" customHeight="1">
      <c r="A458" s="65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</row>
    <row r="459" ht="12.0" customHeight="1">
      <c r="A459" s="65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</row>
    <row r="460" ht="12.0" customHeight="1">
      <c r="A460" s="65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</row>
    <row r="461" ht="12.0" customHeight="1">
      <c r="A461" s="65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</row>
    <row r="462" ht="12.0" customHeight="1">
      <c r="A462" s="65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</row>
    <row r="463" ht="12.0" customHeight="1">
      <c r="A463" s="65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</row>
    <row r="464" ht="12.0" customHeight="1">
      <c r="A464" s="65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</row>
    <row r="465" ht="12.0" customHeight="1">
      <c r="A465" s="65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</row>
    <row r="466" ht="12.0" customHeight="1">
      <c r="A466" s="65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</row>
    <row r="467" ht="12.0" customHeight="1">
      <c r="A467" s="65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</row>
    <row r="468" ht="12.0" customHeight="1">
      <c r="A468" s="65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</row>
    <row r="469" ht="12.0" customHeight="1">
      <c r="A469" s="65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</row>
    <row r="470" ht="12.0" customHeight="1">
      <c r="A470" s="65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</row>
    <row r="471" ht="12.0" customHeight="1">
      <c r="A471" s="65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</row>
    <row r="472" ht="12.0" customHeight="1">
      <c r="A472" s="65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</row>
    <row r="473" ht="12.0" customHeight="1">
      <c r="A473" s="65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</row>
    <row r="474" ht="12.0" customHeight="1">
      <c r="A474" s="65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</row>
    <row r="475" ht="12.0" customHeight="1">
      <c r="A475" s="65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</row>
    <row r="476" ht="12.0" customHeight="1">
      <c r="A476" s="65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</row>
    <row r="477" ht="12.0" customHeight="1">
      <c r="A477" s="65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</row>
    <row r="478" ht="12.0" customHeight="1">
      <c r="A478" s="65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</row>
    <row r="479" ht="12.0" customHeight="1">
      <c r="A479" s="65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</row>
    <row r="480" ht="12.0" customHeight="1">
      <c r="A480" s="65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</row>
    <row r="481" ht="12.0" customHeight="1">
      <c r="A481" s="65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</row>
    <row r="482" ht="12.0" customHeight="1">
      <c r="A482" s="65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</row>
    <row r="483" ht="12.0" customHeight="1">
      <c r="A483" s="65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</row>
    <row r="484" ht="12.0" customHeight="1">
      <c r="A484" s="65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</row>
    <row r="485" ht="12.0" customHeight="1">
      <c r="A485" s="65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</row>
    <row r="486" ht="12.0" customHeight="1">
      <c r="A486" s="65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</row>
    <row r="487" ht="12.0" customHeight="1">
      <c r="A487" s="65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</row>
    <row r="488" ht="12.0" customHeight="1">
      <c r="A488" s="65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</row>
    <row r="489" ht="12.0" customHeight="1">
      <c r="A489" s="65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</row>
    <row r="490" ht="12.0" customHeight="1">
      <c r="A490" s="65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</row>
    <row r="491" ht="12.0" customHeight="1">
      <c r="A491" s="65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</row>
    <row r="492" ht="12.0" customHeight="1">
      <c r="A492" s="65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</row>
    <row r="493" ht="12.0" customHeight="1">
      <c r="A493" s="65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</row>
    <row r="494" ht="12.0" customHeight="1">
      <c r="A494" s="65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</row>
    <row r="495" ht="12.0" customHeight="1">
      <c r="A495" s="65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</row>
    <row r="496" ht="12.0" customHeight="1">
      <c r="A496" s="65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</row>
    <row r="497" ht="12.0" customHeight="1">
      <c r="A497" s="65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</row>
    <row r="498" ht="12.0" customHeight="1">
      <c r="A498" s="65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</row>
    <row r="499" ht="12.0" customHeight="1">
      <c r="A499" s="65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</row>
    <row r="500" ht="12.0" customHeight="1">
      <c r="A500" s="65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</row>
    <row r="501" ht="12.0" customHeight="1">
      <c r="A501" s="65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</row>
    <row r="502" ht="12.0" customHeight="1">
      <c r="A502" s="65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</row>
    <row r="503" ht="12.0" customHeight="1">
      <c r="A503" s="65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</row>
    <row r="504" ht="12.0" customHeight="1">
      <c r="A504" s="65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</row>
    <row r="505" ht="12.0" customHeight="1">
      <c r="A505" s="65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</row>
    <row r="506" ht="12.0" customHeight="1">
      <c r="A506" s="65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</row>
    <row r="507" ht="12.0" customHeight="1">
      <c r="A507" s="65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</row>
    <row r="508" ht="12.0" customHeight="1">
      <c r="A508" s="65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</row>
    <row r="509" ht="12.0" customHeight="1">
      <c r="A509" s="65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</row>
    <row r="510" ht="12.0" customHeight="1">
      <c r="A510" s="65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</row>
    <row r="511" ht="12.0" customHeight="1">
      <c r="A511" s="65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</row>
    <row r="512" ht="12.0" customHeight="1">
      <c r="A512" s="65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</row>
    <row r="513" ht="12.0" customHeight="1">
      <c r="A513" s="65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</row>
    <row r="514" ht="12.0" customHeight="1">
      <c r="A514" s="65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</row>
    <row r="515" ht="12.0" customHeight="1">
      <c r="A515" s="65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</row>
    <row r="516" ht="12.0" customHeight="1">
      <c r="A516" s="65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</row>
    <row r="517" ht="12.0" customHeight="1">
      <c r="A517" s="65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</row>
    <row r="518" ht="12.0" customHeight="1">
      <c r="A518" s="65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</row>
    <row r="519" ht="12.0" customHeight="1">
      <c r="A519" s="65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</row>
    <row r="520" ht="12.0" customHeight="1">
      <c r="A520" s="65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</row>
    <row r="521" ht="12.0" customHeight="1">
      <c r="A521" s="65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</row>
    <row r="522" ht="12.0" customHeight="1">
      <c r="A522" s="65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</row>
    <row r="523" ht="12.0" customHeight="1">
      <c r="A523" s="65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</row>
    <row r="524" ht="12.0" customHeight="1">
      <c r="A524" s="65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</row>
    <row r="525" ht="12.0" customHeight="1">
      <c r="A525" s="65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</row>
    <row r="526" ht="12.0" customHeight="1">
      <c r="A526" s="65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</row>
    <row r="527" ht="12.0" customHeight="1">
      <c r="A527" s="65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</row>
    <row r="528" ht="12.0" customHeight="1">
      <c r="A528" s="65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</row>
    <row r="529" ht="12.0" customHeight="1">
      <c r="A529" s="65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</row>
    <row r="530" ht="12.0" customHeight="1">
      <c r="A530" s="65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</row>
    <row r="531" ht="12.0" customHeight="1">
      <c r="A531" s="65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</row>
    <row r="532" ht="12.0" customHeight="1">
      <c r="A532" s="65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</row>
    <row r="533" ht="12.0" customHeight="1">
      <c r="A533" s="65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</row>
    <row r="534" ht="12.0" customHeight="1">
      <c r="A534" s="65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</row>
    <row r="535" ht="12.0" customHeight="1">
      <c r="A535" s="65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</row>
    <row r="536" ht="12.0" customHeight="1">
      <c r="A536" s="65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</row>
    <row r="537" ht="12.0" customHeight="1">
      <c r="A537" s="65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</row>
    <row r="538" ht="12.0" customHeight="1">
      <c r="A538" s="65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</row>
    <row r="539" ht="12.0" customHeight="1">
      <c r="A539" s="65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</row>
    <row r="540" ht="12.0" customHeight="1">
      <c r="A540" s="65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</row>
    <row r="541" ht="12.0" customHeight="1">
      <c r="A541" s="65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</row>
    <row r="542" ht="12.0" customHeight="1">
      <c r="A542" s="65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</row>
    <row r="543" ht="12.0" customHeight="1">
      <c r="A543" s="65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</row>
    <row r="544" ht="12.0" customHeight="1">
      <c r="A544" s="65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</row>
    <row r="545" ht="12.0" customHeight="1">
      <c r="A545" s="65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</row>
    <row r="546" ht="12.0" customHeight="1">
      <c r="A546" s="65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</row>
    <row r="547" ht="12.0" customHeight="1">
      <c r="A547" s="65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</row>
    <row r="548" ht="12.0" customHeight="1">
      <c r="A548" s="65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</row>
    <row r="549" ht="12.0" customHeight="1">
      <c r="A549" s="65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</row>
    <row r="550" ht="12.0" customHeight="1">
      <c r="A550" s="65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</row>
    <row r="551" ht="12.0" customHeight="1">
      <c r="A551" s="65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</row>
    <row r="552" ht="12.0" customHeight="1">
      <c r="A552" s="65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</row>
    <row r="553" ht="12.0" customHeight="1">
      <c r="A553" s="65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</row>
    <row r="554" ht="12.0" customHeight="1">
      <c r="A554" s="65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</row>
    <row r="555" ht="12.0" customHeight="1">
      <c r="A555" s="65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</row>
    <row r="556" ht="12.0" customHeight="1">
      <c r="A556" s="65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</row>
    <row r="557" ht="12.0" customHeight="1">
      <c r="A557" s="65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</row>
    <row r="558" ht="12.0" customHeight="1">
      <c r="A558" s="65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</row>
    <row r="559" ht="12.0" customHeight="1">
      <c r="A559" s="65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</row>
    <row r="560" ht="12.0" customHeight="1">
      <c r="A560" s="65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</row>
    <row r="561" ht="12.0" customHeight="1">
      <c r="A561" s="65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</row>
    <row r="562" ht="12.0" customHeight="1">
      <c r="A562" s="65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</row>
    <row r="563" ht="12.0" customHeight="1">
      <c r="A563" s="65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</row>
    <row r="564" ht="12.0" customHeight="1">
      <c r="A564" s="65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</row>
    <row r="565" ht="12.0" customHeight="1">
      <c r="A565" s="65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</row>
    <row r="566" ht="12.0" customHeight="1">
      <c r="A566" s="65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</row>
    <row r="567" ht="12.0" customHeight="1">
      <c r="A567" s="65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</row>
    <row r="568" ht="12.0" customHeight="1">
      <c r="A568" s="65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</row>
    <row r="569" ht="12.0" customHeight="1">
      <c r="A569" s="65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</row>
    <row r="570" ht="12.0" customHeight="1">
      <c r="A570" s="65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</row>
    <row r="571" ht="12.0" customHeight="1">
      <c r="A571" s="65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</row>
    <row r="572" ht="12.0" customHeight="1">
      <c r="A572" s="65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</row>
    <row r="573" ht="12.0" customHeight="1">
      <c r="A573" s="65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</row>
    <row r="574" ht="12.0" customHeight="1">
      <c r="A574" s="65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</row>
    <row r="575" ht="12.0" customHeight="1">
      <c r="A575" s="65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</row>
    <row r="576" ht="12.0" customHeight="1">
      <c r="A576" s="65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</row>
    <row r="577" ht="12.0" customHeight="1">
      <c r="A577" s="65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</row>
    <row r="578" ht="12.0" customHeight="1">
      <c r="A578" s="65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</row>
    <row r="579" ht="12.0" customHeight="1">
      <c r="A579" s="65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</row>
    <row r="580" ht="12.0" customHeight="1">
      <c r="A580" s="65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</row>
    <row r="581" ht="12.0" customHeight="1">
      <c r="A581" s="65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</row>
    <row r="582" ht="12.0" customHeight="1">
      <c r="A582" s="65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</row>
    <row r="583" ht="12.0" customHeight="1">
      <c r="A583" s="65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</row>
    <row r="584" ht="12.0" customHeight="1">
      <c r="A584" s="65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</row>
    <row r="585" ht="12.0" customHeight="1">
      <c r="A585" s="65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</row>
    <row r="586" ht="12.0" customHeight="1">
      <c r="A586" s="65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</row>
    <row r="587" ht="12.0" customHeight="1">
      <c r="A587" s="65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</row>
    <row r="588" ht="12.0" customHeight="1">
      <c r="A588" s="65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</row>
    <row r="589" ht="12.0" customHeight="1">
      <c r="A589" s="65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</row>
    <row r="590" ht="12.0" customHeight="1">
      <c r="A590" s="65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</row>
    <row r="591" ht="12.0" customHeight="1">
      <c r="A591" s="65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</row>
    <row r="592" ht="12.0" customHeight="1">
      <c r="A592" s="65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</row>
    <row r="593" ht="12.0" customHeight="1">
      <c r="A593" s="65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</row>
    <row r="594" ht="12.0" customHeight="1">
      <c r="A594" s="65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</row>
    <row r="595" ht="12.0" customHeight="1">
      <c r="A595" s="65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</row>
    <row r="596" ht="12.0" customHeight="1">
      <c r="A596" s="65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</row>
    <row r="597" ht="12.0" customHeight="1">
      <c r="A597" s="65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</row>
    <row r="598" ht="12.0" customHeight="1">
      <c r="A598" s="65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</row>
    <row r="599" ht="12.0" customHeight="1">
      <c r="A599" s="65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</row>
    <row r="600" ht="12.0" customHeight="1">
      <c r="A600" s="65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</row>
    <row r="601" ht="12.0" customHeight="1">
      <c r="A601" s="65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</row>
    <row r="602" ht="12.0" customHeight="1">
      <c r="A602" s="65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</row>
    <row r="603" ht="12.0" customHeight="1">
      <c r="A603" s="65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</row>
    <row r="604" ht="12.0" customHeight="1">
      <c r="A604" s="65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</row>
    <row r="605" ht="12.0" customHeight="1">
      <c r="A605" s="65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</row>
    <row r="606" ht="12.0" customHeight="1">
      <c r="A606" s="65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</row>
    <row r="607" ht="12.0" customHeight="1">
      <c r="A607" s="65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</row>
    <row r="608" ht="12.0" customHeight="1">
      <c r="A608" s="65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</row>
    <row r="609" ht="12.0" customHeight="1">
      <c r="A609" s="65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</row>
    <row r="610" ht="12.0" customHeight="1">
      <c r="A610" s="65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</row>
    <row r="611" ht="12.0" customHeight="1">
      <c r="A611" s="65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</row>
    <row r="612" ht="12.0" customHeight="1">
      <c r="A612" s="65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</row>
    <row r="613" ht="12.0" customHeight="1">
      <c r="A613" s="65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</row>
    <row r="614" ht="12.0" customHeight="1">
      <c r="A614" s="65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</row>
    <row r="615" ht="12.0" customHeight="1">
      <c r="A615" s="65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</row>
    <row r="616" ht="12.0" customHeight="1">
      <c r="A616" s="65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</row>
    <row r="617" ht="12.0" customHeight="1">
      <c r="A617" s="65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</row>
    <row r="618" ht="12.0" customHeight="1">
      <c r="A618" s="65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</row>
    <row r="619" ht="12.0" customHeight="1">
      <c r="A619" s="65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</row>
    <row r="620" ht="12.0" customHeight="1">
      <c r="A620" s="65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</row>
    <row r="621" ht="12.0" customHeight="1">
      <c r="A621" s="65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</row>
    <row r="622" ht="12.0" customHeight="1">
      <c r="A622" s="65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</row>
    <row r="623" ht="12.0" customHeight="1">
      <c r="A623" s="65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</row>
    <row r="624" ht="12.0" customHeight="1">
      <c r="A624" s="65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</row>
    <row r="625" ht="12.0" customHeight="1">
      <c r="A625" s="65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</row>
    <row r="626" ht="12.0" customHeight="1">
      <c r="A626" s="65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</row>
    <row r="627" ht="12.0" customHeight="1">
      <c r="A627" s="65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</row>
    <row r="628" ht="12.0" customHeight="1">
      <c r="A628" s="65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</row>
    <row r="629" ht="12.0" customHeight="1">
      <c r="A629" s="65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</row>
    <row r="630" ht="12.0" customHeight="1">
      <c r="A630" s="65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</row>
    <row r="631" ht="12.0" customHeight="1">
      <c r="A631" s="65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</row>
    <row r="632" ht="12.0" customHeight="1">
      <c r="A632" s="65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</row>
    <row r="633" ht="12.0" customHeight="1">
      <c r="A633" s="65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</row>
    <row r="634" ht="12.0" customHeight="1">
      <c r="A634" s="65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</row>
    <row r="635" ht="12.0" customHeight="1">
      <c r="A635" s="65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</row>
    <row r="636" ht="12.0" customHeight="1">
      <c r="A636" s="65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</row>
    <row r="637" ht="12.0" customHeight="1">
      <c r="A637" s="65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</row>
    <row r="638" ht="12.0" customHeight="1">
      <c r="A638" s="65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</row>
    <row r="639" ht="12.0" customHeight="1">
      <c r="A639" s="65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</row>
    <row r="640" ht="12.0" customHeight="1">
      <c r="A640" s="65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</row>
    <row r="641" ht="12.0" customHeight="1">
      <c r="A641" s="65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</row>
    <row r="642" ht="12.0" customHeight="1">
      <c r="A642" s="65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</row>
    <row r="643" ht="12.0" customHeight="1">
      <c r="A643" s="65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</row>
    <row r="644" ht="12.0" customHeight="1">
      <c r="A644" s="65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</row>
    <row r="645" ht="12.0" customHeight="1">
      <c r="A645" s="65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</row>
    <row r="646" ht="12.0" customHeight="1">
      <c r="A646" s="65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</row>
    <row r="647" ht="12.0" customHeight="1">
      <c r="A647" s="65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</row>
    <row r="648" ht="12.0" customHeight="1">
      <c r="A648" s="65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</row>
    <row r="649" ht="12.0" customHeight="1">
      <c r="A649" s="65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</row>
    <row r="650" ht="12.0" customHeight="1">
      <c r="A650" s="65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</row>
    <row r="651" ht="12.0" customHeight="1">
      <c r="A651" s="65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</row>
    <row r="652" ht="12.0" customHeight="1">
      <c r="A652" s="65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</row>
    <row r="653" ht="12.0" customHeight="1">
      <c r="A653" s="65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</row>
    <row r="654" ht="12.0" customHeight="1">
      <c r="A654" s="65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</row>
    <row r="655" ht="12.0" customHeight="1">
      <c r="A655" s="65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</row>
    <row r="656" ht="12.0" customHeight="1">
      <c r="A656" s="65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</row>
    <row r="657" ht="12.0" customHeight="1">
      <c r="A657" s="65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</row>
    <row r="658" ht="12.0" customHeight="1">
      <c r="A658" s="65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</row>
    <row r="659" ht="12.0" customHeight="1">
      <c r="A659" s="65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</row>
    <row r="660" ht="12.0" customHeight="1">
      <c r="A660" s="65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</row>
    <row r="661" ht="12.0" customHeight="1">
      <c r="A661" s="65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</row>
    <row r="662" ht="12.0" customHeight="1">
      <c r="A662" s="65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</row>
    <row r="663" ht="12.0" customHeight="1">
      <c r="A663" s="65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</row>
    <row r="664" ht="12.0" customHeight="1">
      <c r="A664" s="65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</row>
    <row r="665" ht="12.0" customHeight="1">
      <c r="A665" s="65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</row>
    <row r="666" ht="12.0" customHeight="1">
      <c r="A666" s="65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</row>
    <row r="667" ht="12.0" customHeight="1">
      <c r="A667" s="65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</row>
    <row r="668" ht="12.0" customHeight="1">
      <c r="A668" s="65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</row>
    <row r="669" ht="12.0" customHeight="1">
      <c r="A669" s="65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</row>
    <row r="670" ht="12.0" customHeight="1">
      <c r="A670" s="65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</row>
    <row r="671" ht="12.0" customHeight="1">
      <c r="A671" s="65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</row>
    <row r="672" ht="12.0" customHeight="1">
      <c r="A672" s="65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</row>
    <row r="673" ht="12.0" customHeight="1">
      <c r="A673" s="65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</row>
    <row r="674" ht="12.0" customHeight="1">
      <c r="A674" s="65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</row>
    <row r="675" ht="12.0" customHeight="1">
      <c r="A675" s="65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</row>
    <row r="676" ht="12.0" customHeight="1">
      <c r="A676" s="65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</row>
    <row r="677" ht="12.0" customHeight="1">
      <c r="A677" s="65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</row>
    <row r="678" ht="12.0" customHeight="1">
      <c r="A678" s="65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</row>
    <row r="679" ht="12.0" customHeight="1">
      <c r="A679" s="65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</row>
    <row r="680" ht="12.0" customHeight="1">
      <c r="A680" s="65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</row>
    <row r="681" ht="12.0" customHeight="1">
      <c r="A681" s="65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</row>
    <row r="682" ht="12.0" customHeight="1">
      <c r="A682" s="65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</row>
    <row r="683" ht="12.0" customHeight="1">
      <c r="A683" s="65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</row>
    <row r="684" ht="12.0" customHeight="1">
      <c r="A684" s="65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</row>
    <row r="685" ht="12.0" customHeight="1">
      <c r="A685" s="65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</row>
    <row r="686" ht="12.0" customHeight="1">
      <c r="A686" s="65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</row>
    <row r="687" ht="12.0" customHeight="1">
      <c r="A687" s="65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</row>
    <row r="688" ht="12.0" customHeight="1">
      <c r="A688" s="65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</row>
    <row r="689" ht="12.0" customHeight="1">
      <c r="A689" s="65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</row>
    <row r="690" ht="12.0" customHeight="1">
      <c r="A690" s="65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</row>
    <row r="691" ht="12.0" customHeight="1">
      <c r="A691" s="65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</row>
    <row r="692" ht="12.0" customHeight="1">
      <c r="A692" s="65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</row>
    <row r="693" ht="12.0" customHeight="1">
      <c r="A693" s="65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</row>
    <row r="694" ht="12.0" customHeight="1">
      <c r="A694" s="65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</row>
    <row r="695" ht="12.0" customHeight="1">
      <c r="A695" s="65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</row>
    <row r="696" ht="12.0" customHeight="1">
      <c r="A696" s="65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</row>
    <row r="697" ht="12.0" customHeight="1">
      <c r="A697" s="65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</row>
    <row r="698" ht="12.0" customHeight="1">
      <c r="A698" s="65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</row>
    <row r="699" ht="12.0" customHeight="1">
      <c r="A699" s="65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</row>
    <row r="700" ht="12.0" customHeight="1">
      <c r="A700" s="65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</row>
    <row r="701" ht="12.0" customHeight="1">
      <c r="A701" s="65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</row>
    <row r="702" ht="12.0" customHeight="1">
      <c r="A702" s="65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</row>
    <row r="703" ht="12.0" customHeight="1">
      <c r="A703" s="65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</row>
    <row r="704" ht="12.0" customHeight="1">
      <c r="A704" s="65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</row>
    <row r="705" ht="12.0" customHeight="1">
      <c r="A705" s="65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</row>
    <row r="706" ht="12.0" customHeight="1">
      <c r="A706" s="65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</row>
    <row r="707" ht="12.0" customHeight="1">
      <c r="A707" s="65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</row>
    <row r="708" ht="12.0" customHeight="1">
      <c r="A708" s="65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</row>
    <row r="709" ht="12.0" customHeight="1">
      <c r="A709" s="65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</row>
    <row r="710" ht="12.0" customHeight="1">
      <c r="A710" s="65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</row>
    <row r="711" ht="12.0" customHeight="1">
      <c r="A711" s="65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</row>
    <row r="712" ht="12.0" customHeight="1">
      <c r="A712" s="65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</row>
    <row r="713" ht="12.0" customHeight="1">
      <c r="A713" s="65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</row>
    <row r="714" ht="12.0" customHeight="1">
      <c r="A714" s="65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</row>
    <row r="715" ht="12.0" customHeight="1">
      <c r="A715" s="65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</row>
    <row r="716" ht="12.0" customHeight="1">
      <c r="A716" s="65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</row>
    <row r="717" ht="12.0" customHeight="1">
      <c r="A717" s="65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</row>
    <row r="718" ht="12.0" customHeight="1">
      <c r="A718" s="65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</row>
    <row r="719" ht="12.0" customHeight="1">
      <c r="A719" s="65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</row>
    <row r="720" ht="12.0" customHeight="1">
      <c r="A720" s="65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</row>
    <row r="721" ht="12.0" customHeight="1">
      <c r="A721" s="65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</row>
    <row r="722" ht="12.0" customHeight="1">
      <c r="A722" s="65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</row>
    <row r="723" ht="12.0" customHeight="1">
      <c r="A723" s="65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</row>
    <row r="724" ht="12.0" customHeight="1">
      <c r="A724" s="65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</row>
    <row r="725" ht="12.0" customHeight="1">
      <c r="A725" s="65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</row>
    <row r="726" ht="12.0" customHeight="1">
      <c r="A726" s="65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</row>
    <row r="727" ht="12.0" customHeight="1">
      <c r="A727" s="65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</row>
    <row r="728" ht="12.0" customHeight="1">
      <c r="A728" s="65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</row>
    <row r="729" ht="12.0" customHeight="1">
      <c r="A729" s="65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</row>
    <row r="730" ht="12.0" customHeight="1">
      <c r="A730" s="65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</row>
    <row r="731" ht="12.0" customHeight="1">
      <c r="A731" s="65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</row>
    <row r="732" ht="12.0" customHeight="1">
      <c r="A732" s="65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</row>
    <row r="733" ht="12.0" customHeight="1">
      <c r="A733" s="65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</row>
    <row r="734" ht="12.0" customHeight="1">
      <c r="A734" s="65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</row>
    <row r="735" ht="12.0" customHeight="1">
      <c r="A735" s="65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</row>
    <row r="736" ht="12.0" customHeight="1">
      <c r="A736" s="65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</row>
    <row r="737" ht="12.0" customHeight="1">
      <c r="A737" s="65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</row>
    <row r="738" ht="12.0" customHeight="1">
      <c r="A738" s="65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</row>
    <row r="739" ht="12.0" customHeight="1">
      <c r="A739" s="65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</row>
    <row r="740" ht="12.0" customHeight="1">
      <c r="A740" s="65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</row>
    <row r="741" ht="12.0" customHeight="1">
      <c r="A741" s="65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</row>
    <row r="742" ht="12.0" customHeight="1">
      <c r="A742" s="65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</row>
    <row r="743" ht="12.0" customHeight="1">
      <c r="A743" s="65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</row>
    <row r="744" ht="12.0" customHeight="1">
      <c r="A744" s="65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</row>
    <row r="745" ht="12.0" customHeight="1">
      <c r="A745" s="65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</row>
    <row r="746" ht="12.0" customHeight="1">
      <c r="A746" s="65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</row>
    <row r="747" ht="12.0" customHeight="1">
      <c r="A747" s="65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</row>
    <row r="748" ht="12.0" customHeight="1">
      <c r="A748" s="65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</row>
    <row r="749" ht="12.0" customHeight="1">
      <c r="A749" s="65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</row>
    <row r="750" ht="12.0" customHeight="1">
      <c r="A750" s="65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</row>
    <row r="751" ht="12.0" customHeight="1">
      <c r="A751" s="65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</row>
    <row r="752" ht="12.0" customHeight="1">
      <c r="A752" s="65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</row>
    <row r="753" ht="12.0" customHeight="1">
      <c r="A753" s="65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</row>
    <row r="754" ht="12.0" customHeight="1">
      <c r="A754" s="65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</row>
    <row r="755" ht="12.0" customHeight="1">
      <c r="A755" s="65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</row>
    <row r="756" ht="12.0" customHeight="1">
      <c r="A756" s="65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</row>
    <row r="757" ht="12.0" customHeight="1">
      <c r="A757" s="65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</row>
    <row r="758" ht="12.0" customHeight="1">
      <c r="A758" s="65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</row>
    <row r="759" ht="12.0" customHeight="1">
      <c r="A759" s="65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</row>
    <row r="760" ht="12.0" customHeight="1">
      <c r="A760" s="65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</row>
    <row r="761" ht="12.0" customHeight="1">
      <c r="A761" s="65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</row>
    <row r="762" ht="12.0" customHeight="1">
      <c r="A762" s="65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</row>
    <row r="763" ht="12.0" customHeight="1">
      <c r="A763" s="65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</row>
    <row r="764" ht="12.0" customHeight="1">
      <c r="A764" s="65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</row>
    <row r="765" ht="12.0" customHeight="1">
      <c r="A765" s="65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</row>
    <row r="766" ht="12.0" customHeight="1">
      <c r="A766" s="65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</row>
    <row r="767" ht="12.0" customHeight="1">
      <c r="A767" s="65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</row>
    <row r="768" ht="12.0" customHeight="1">
      <c r="A768" s="65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</row>
    <row r="769" ht="12.0" customHeight="1">
      <c r="A769" s="65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</row>
    <row r="770" ht="12.0" customHeight="1">
      <c r="A770" s="65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</row>
    <row r="771" ht="12.0" customHeight="1">
      <c r="A771" s="65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</row>
    <row r="772" ht="12.0" customHeight="1">
      <c r="A772" s="65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</row>
    <row r="773" ht="12.0" customHeight="1">
      <c r="A773" s="65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</row>
    <row r="774" ht="12.0" customHeight="1">
      <c r="A774" s="65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</row>
    <row r="775" ht="12.0" customHeight="1">
      <c r="A775" s="65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</row>
    <row r="776" ht="12.0" customHeight="1">
      <c r="A776" s="65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</row>
    <row r="777" ht="12.0" customHeight="1">
      <c r="A777" s="65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</row>
    <row r="778" ht="12.0" customHeight="1">
      <c r="A778" s="65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</row>
    <row r="779" ht="12.0" customHeight="1">
      <c r="A779" s="65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</row>
    <row r="780" ht="12.0" customHeight="1">
      <c r="A780" s="65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</row>
    <row r="781" ht="12.0" customHeight="1">
      <c r="A781" s="65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</row>
    <row r="782" ht="12.0" customHeight="1">
      <c r="A782" s="65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</row>
    <row r="783" ht="12.0" customHeight="1">
      <c r="A783" s="65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</row>
    <row r="784" ht="12.0" customHeight="1">
      <c r="A784" s="65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</row>
    <row r="785" ht="12.0" customHeight="1">
      <c r="A785" s="65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</row>
    <row r="786" ht="12.0" customHeight="1">
      <c r="A786" s="65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</row>
    <row r="787" ht="12.0" customHeight="1">
      <c r="A787" s="65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</row>
    <row r="788" ht="12.0" customHeight="1">
      <c r="A788" s="65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</row>
    <row r="789" ht="12.0" customHeight="1">
      <c r="A789" s="65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</row>
    <row r="790" ht="12.0" customHeight="1">
      <c r="A790" s="65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</row>
    <row r="791" ht="12.0" customHeight="1">
      <c r="A791" s="65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</row>
    <row r="792" ht="12.0" customHeight="1">
      <c r="A792" s="65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</row>
    <row r="793" ht="12.0" customHeight="1">
      <c r="A793" s="65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</row>
    <row r="794" ht="12.0" customHeight="1">
      <c r="A794" s="65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</row>
    <row r="795" ht="12.0" customHeight="1">
      <c r="A795" s="65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</row>
    <row r="796" ht="12.0" customHeight="1">
      <c r="A796" s="65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</row>
    <row r="797" ht="12.0" customHeight="1">
      <c r="A797" s="65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</row>
    <row r="798" ht="12.0" customHeight="1">
      <c r="A798" s="65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</row>
    <row r="799" ht="12.0" customHeight="1">
      <c r="A799" s="65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</row>
    <row r="800" ht="12.0" customHeight="1">
      <c r="A800" s="65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</row>
    <row r="801" ht="12.0" customHeight="1">
      <c r="A801" s="65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</row>
    <row r="802" ht="12.0" customHeight="1">
      <c r="A802" s="65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</row>
    <row r="803" ht="12.0" customHeight="1">
      <c r="A803" s="65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</row>
    <row r="804" ht="12.0" customHeight="1">
      <c r="A804" s="65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</row>
    <row r="805" ht="12.0" customHeight="1">
      <c r="A805" s="65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</row>
    <row r="806" ht="12.0" customHeight="1">
      <c r="A806" s="65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</row>
    <row r="807" ht="12.0" customHeight="1">
      <c r="A807" s="65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</row>
    <row r="808" ht="12.0" customHeight="1">
      <c r="A808" s="65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</row>
    <row r="809" ht="12.0" customHeight="1">
      <c r="A809" s="65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</row>
    <row r="810" ht="12.0" customHeight="1">
      <c r="A810" s="65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</row>
    <row r="811" ht="12.0" customHeight="1">
      <c r="A811" s="65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</row>
    <row r="812" ht="12.0" customHeight="1">
      <c r="A812" s="65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</row>
    <row r="813" ht="12.0" customHeight="1">
      <c r="A813" s="65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</row>
    <row r="814" ht="12.0" customHeight="1">
      <c r="A814" s="65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</row>
    <row r="815" ht="12.0" customHeight="1">
      <c r="A815" s="65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</row>
    <row r="816" ht="12.0" customHeight="1">
      <c r="A816" s="65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</row>
    <row r="817" ht="12.0" customHeight="1">
      <c r="A817" s="65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</row>
    <row r="818" ht="12.0" customHeight="1">
      <c r="A818" s="65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</row>
    <row r="819" ht="12.0" customHeight="1">
      <c r="A819" s="65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</row>
    <row r="820" ht="12.0" customHeight="1">
      <c r="A820" s="65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</row>
    <row r="821" ht="12.0" customHeight="1">
      <c r="A821" s="65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</row>
    <row r="822" ht="12.0" customHeight="1">
      <c r="A822" s="65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</row>
    <row r="823" ht="12.0" customHeight="1">
      <c r="A823" s="65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</row>
    <row r="824" ht="12.0" customHeight="1">
      <c r="A824" s="65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</row>
    <row r="825" ht="12.0" customHeight="1">
      <c r="A825" s="65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</row>
    <row r="826" ht="12.0" customHeight="1">
      <c r="A826" s="65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</row>
    <row r="827" ht="12.0" customHeight="1">
      <c r="A827" s="65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</row>
    <row r="828" ht="12.0" customHeight="1">
      <c r="A828" s="65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</row>
    <row r="829" ht="12.0" customHeight="1">
      <c r="A829" s="65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</row>
    <row r="830" ht="12.0" customHeight="1">
      <c r="A830" s="65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</row>
    <row r="831" ht="12.0" customHeight="1">
      <c r="A831" s="65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</row>
    <row r="832" ht="12.0" customHeight="1">
      <c r="A832" s="65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</row>
    <row r="833" ht="12.0" customHeight="1">
      <c r="A833" s="65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</row>
    <row r="834" ht="12.0" customHeight="1">
      <c r="A834" s="65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</row>
    <row r="835" ht="12.0" customHeight="1">
      <c r="A835" s="65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</row>
    <row r="836" ht="12.0" customHeight="1">
      <c r="A836" s="65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</row>
    <row r="837" ht="12.0" customHeight="1">
      <c r="A837" s="65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</row>
    <row r="838" ht="12.0" customHeight="1">
      <c r="A838" s="65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</row>
    <row r="839" ht="12.0" customHeight="1">
      <c r="A839" s="65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</row>
    <row r="840" ht="12.0" customHeight="1">
      <c r="A840" s="65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</row>
    <row r="841" ht="12.0" customHeight="1">
      <c r="A841" s="65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</row>
    <row r="842" ht="12.0" customHeight="1">
      <c r="A842" s="65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</row>
    <row r="843" ht="12.0" customHeight="1">
      <c r="A843" s="65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</row>
    <row r="844" ht="12.0" customHeight="1">
      <c r="A844" s="65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</row>
    <row r="845" ht="12.0" customHeight="1">
      <c r="A845" s="65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</row>
    <row r="846" ht="12.0" customHeight="1">
      <c r="A846" s="65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</row>
    <row r="847" ht="12.0" customHeight="1">
      <c r="A847" s="65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</row>
    <row r="848" ht="12.0" customHeight="1">
      <c r="A848" s="65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</row>
    <row r="849" ht="12.0" customHeight="1">
      <c r="A849" s="65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</row>
    <row r="850" ht="12.0" customHeight="1">
      <c r="A850" s="65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</row>
    <row r="851" ht="12.0" customHeight="1">
      <c r="A851" s="65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</row>
    <row r="852" ht="12.0" customHeight="1">
      <c r="A852" s="65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</row>
    <row r="853" ht="12.0" customHeight="1">
      <c r="A853" s="65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</row>
    <row r="854" ht="12.0" customHeight="1">
      <c r="A854" s="65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</row>
    <row r="855" ht="12.0" customHeight="1">
      <c r="A855" s="65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</row>
    <row r="856" ht="12.0" customHeight="1">
      <c r="A856" s="65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</row>
    <row r="857" ht="12.0" customHeight="1">
      <c r="A857" s="65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</row>
    <row r="858" ht="12.0" customHeight="1">
      <c r="A858" s="65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</row>
    <row r="859" ht="12.0" customHeight="1">
      <c r="A859" s="65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</row>
    <row r="860" ht="12.0" customHeight="1">
      <c r="A860" s="65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</row>
    <row r="861" ht="12.0" customHeight="1">
      <c r="A861" s="65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</row>
    <row r="862" ht="12.0" customHeight="1">
      <c r="A862" s="65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</row>
    <row r="863" ht="12.0" customHeight="1">
      <c r="A863" s="65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</row>
    <row r="864" ht="12.0" customHeight="1">
      <c r="A864" s="65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</row>
    <row r="865" ht="12.0" customHeight="1">
      <c r="A865" s="65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</row>
    <row r="866" ht="12.0" customHeight="1">
      <c r="A866" s="65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</row>
    <row r="867" ht="12.0" customHeight="1">
      <c r="A867" s="65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</row>
    <row r="868" ht="12.0" customHeight="1">
      <c r="A868" s="65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</row>
    <row r="869" ht="12.0" customHeight="1">
      <c r="A869" s="65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</row>
    <row r="870" ht="12.0" customHeight="1">
      <c r="A870" s="65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</row>
    <row r="871" ht="12.0" customHeight="1">
      <c r="A871" s="65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</row>
    <row r="872" ht="12.0" customHeight="1">
      <c r="A872" s="65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</row>
    <row r="873" ht="12.0" customHeight="1">
      <c r="A873" s="65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</row>
    <row r="874" ht="12.0" customHeight="1">
      <c r="A874" s="65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</row>
    <row r="875" ht="12.0" customHeight="1">
      <c r="A875" s="65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</row>
    <row r="876" ht="12.0" customHeight="1">
      <c r="A876" s="65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</row>
    <row r="877" ht="12.0" customHeight="1">
      <c r="A877" s="65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</row>
    <row r="878" ht="12.0" customHeight="1">
      <c r="A878" s="65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</row>
    <row r="879" ht="12.0" customHeight="1">
      <c r="A879" s="65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</row>
    <row r="880" ht="12.0" customHeight="1">
      <c r="A880" s="65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</row>
    <row r="881" ht="12.0" customHeight="1">
      <c r="A881" s="65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</row>
    <row r="882" ht="12.0" customHeight="1">
      <c r="A882" s="65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</row>
    <row r="883" ht="12.0" customHeight="1">
      <c r="A883" s="65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</row>
    <row r="884" ht="12.0" customHeight="1">
      <c r="A884" s="65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</row>
    <row r="885" ht="12.0" customHeight="1">
      <c r="A885" s="65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</row>
    <row r="886" ht="12.0" customHeight="1">
      <c r="A886" s="65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</row>
    <row r="887" ht="12.0" customHeight="1">
      <c r="A887" s="65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</row>
    <row r="888" ht="12.0" customHeight="1">
      <c r="A888" s="65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</row>
    <row r="889" ht="12.0" customHeight="1">
      <c r="A889" s="65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</row>
    <row r="890" ht="12.0" customHeight="1">
      <c r="A890" s="65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</row>
    <row r="891" ht="12.0" customHeight="1">
      <c r="A891" s="65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</row>
    <row r="892" ht="12.0" customHeight="1">
      <c r="A892" s="65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</row>
    <row r="893" ht="12.0" customHeight="1">
      <c r="A893" s="65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</row>
    <row r="894" ht="12.0" customHeight="1">
      <c r="A894" s="65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</row>
    <row r="895" ht="12.0" customHeight="1">
      <c r="A895" s="65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</row>
    <row r="896" ht="12.0" customHeight="1">
      <c r="A896" s="65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</row>
    <row r="897" ht="12.0" customHeight="1">
      <c r="A897" s="65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</row>
    <row r="898" ht="12.0" customHeight="1">
      <c r="A898" s="65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</row>
    <row r="899" ht="12.0" customHeight="1">
      <c r="A899" s="65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</row>
    <row r="900" ht="12.0" customHeight="1">
      <c r="A900" s="65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</row>
    <row r="901" ht="12.0" customHeight="1">
      <c r="A901" s="65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</row>
    <row r="902" ht="12.0" customHeight="1">
      <c r="A902" s="65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</row>
    <row r="903" ht="12.0" customHeight="1">
      <c r="A903" s="65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</row>
    <row r="904" ht="12.0" customHeight="1">
      <c r="A904" s="65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</row>
    <row r="905" ht="12.0" customHeight="1">
      <c r="A905" s="65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</row>
    <row r="906" ht="12.0" customHeight="1">
      <c r="A906" s="65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</row>
    <row r="907" ht="12.0" customHeight="1">
      <c r="A907" s="65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</row>
    <row r="908" ht="12.0" customHeight="1">
      <c r="A908" s="65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</row>
    <row r="909" ht="12.0" customHeight="1">
      <c r="A909" s="65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</row>
    <row r="910" ht="12.0" customHeight="1">
      <c r="A910" s="65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</row>
    <row r="911" ht="12.0" customHeight="1">
      <c r="A911" s="65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</row>
    <row r="912" ht="12.0" customHeight="1">
      <c r="A912" s="65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</row>
    <row r="913" ht="12.0" customHeight="1">
      <c r="A913" s="65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</row>
    <row r="914" ht="12.0" customHeight="1">
      <c r="A914" s="65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</row>
    <row r="915" ht="12.0" customHeight="1">
      <c r="A915" s="65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</row>
    <row r="916" ht="12.0" customHeight="1">
      <c r="A916" s="65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</row>
    <row r="917" ht="12.0" customHeight="1">
      <c r="A917" s="65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</row>
    <row r="918" ht="12.0" customHeight="1">
      <c r="A918" s="65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</row>
    <row r="919" ht="12.0" customHeight="1">
      <c r="A919" s="65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</row>
    <row r="920" ht="12.0" customHeight="1">
      <c r="A920" s="65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</row>
    <row r="921" ht="12.0" customHeight="1">
      <c r="A921" s="65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</row>
    <row r="922" ht="12.0" customHeight="1">
      <c r="A922" s="65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</row>
    <row r="923" ht="12.0" customHeight="1">
      <c r="A923" s="65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</row>
    <row r="924" ht="12.0" customHeight="1">
      <c r="A924" s="65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</row>
    <row r="925" ht="12.0" customHeight="1">
      <c r="A925" s="65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</row>
    <row r="926" ht="12.0" customHeight="1">
      <c r="A926" s="65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</row>
    <row r="927" ht="12.0" customHeight="1">
      <c r="A927" s="65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</row>
    <row r="928" ht="12.0" customHeight="1">
      <c r="A928" s="65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</row>
    <row r="929" ht="12.0" customHeight="1">
      <c r="A929" s="65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</row>
    <row r="930" ht="12.0" customHeight="1">
      <c r="A930" s="65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</row>
    <row r="931" ht="12.0" customHeight="1">
      <c r="A931" s="65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</row>
    <row r="932" ht="12.0" customHeight="1">
      <c r="A932" s="65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</row>
    <row r="933" ht="12.0" customHeight="1">
      <c r="A933" s="65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</row>
    <row r="934" ht="12.0" customHeight="1">
      <c r="A934" s="65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</row>
    <row r="935" ht="12.0" customHeight="1">
      <c r="A935" s="65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</row>
    <row r="936" ht="12.0" customHeight="1">
      <c r="A936" s="65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</row>
    <row r="937" ht="12.0" customHeight="1">
      <c r="A937" s="65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</row>
    <row r="938" ht="12.0" customHeight="1">
      <c r="A938" s="65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</row>
    <row r="939" ht="12.0" customHeight="1">
      <c r="A939" s="65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</row>
    <row r="940" ht="12.0" customHeight="1">
      <c r="A940" s="65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</row>
    <row r="941" ht="12.0" customHeight="1">
      <c r="A941" s="65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</row>
    <row r="942" ht="12.0" customHeight="1">
      <c r="A942" s="65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</row>
    <row r="943" ht="12.0" customHeight="1">
      <c r="A943" s="65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</row>
    <row r="944" ht="12.0" customHeight="1">
      <c r="A944" s="65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</row>
    <row r="945" ht="12.0" customHeight="1">
      <c r="A945" s="65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</row>
    <row r="946" ht="12.0" customHeight="1">
      <c r="A946" s="65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</row>
    <row r="947" ht="12.0" customHeight="1">
      <c r="A947" s="65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</row>
    <row r="948" ht="12.0" customHeight="1">
      <c r="A948" s="65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</row>
    <row r="949" ht="12.0" customHeight="1">
      <c r="A949" s="65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</row>
    <row r="950" ht="12.0" customHeight="1">
      <c r="A950" s="65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</row>
    <row r="951" ht="12.0" customHeight="1">
      <c r="A951" s="65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</row>
    <row r="952" ht="12.0" customHeight="1">
      <c r="A952" s="65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</row>
    <row r="953" ht="12.0" customHeight="1">
      <c r="A953" s="65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</row>
    <row r="954" ht="12.0" customHeight="1">
      <c r="A954" s="65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</row>
    <row r="955" ht="12.0" customHeight="1">
      <c r="A955" s="65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</row>
    <row r="956" ht="12.0" customHeight="1">
      <c r="A956" s="65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</row>
    <row r="957" ht="12.0" customHeight="1">
      <c r="A957" s="65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</row>
    <row r="958" ht="12.0" customHeight="1">
      <c r="A958" s="65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</row>
    <row r="959" ht="12.0" customHeight="1">
      <c r="A959" s="65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</row>
    <row r="960" ht="12.0" customHeight="1">
      <c r="A960" s="65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</row>
    <row r="961" ht="12.0" customHeight="1">
      <c r="A961" s="65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</row>
    <row r="962" ht="12.0" customHeight="1">
      <c r="A962" s="65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</row>
    <row r="963" ht="12.0" customHeight="1">
      <c r="A963" s="65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</row>
    <row r="964" ht="12.0" customHeight="1">
      <c r="A964" s="65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</row>
    <row r="965" ht="12.0" customHeight="1">
      <c r="A965" s="65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</row>
    <row r="966" ht="12.0" customHeight="1">
      <c r="A966" s="65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</row>
    <row r="967" ht="12.0" customHeight="1">
      <c r="A967" s="65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</row>
    <row r="968" ht="12.0" customHeight="1">
      <c r="A968" s="65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</row>
    <row r="969" ht="12.0" customHeight="1">
      <c r="A969" s="65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</row>
    <row r="970" ht="12.0" customHeight="1">
      <c r="A970" s="65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</row>
    <row r="971" ht="12.0" customHeight="1">
      <c r="A971" s="65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</row>
    <row r="972" ht="12.0" customHeight="1">
      <c r="A972" s="65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</row>
    <row r="973" ht="12.0" customHeight="1">
      <c r="A973" s="65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</row>
    <row r="974" ht="12.0" customHeight="1">
      <c r="A974" s="65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</row>
    <row r="975" ht="12.0" customHeight="1">
      <c r="A975" s="65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</row>
    <row r="976" ht="12.0" customHeight="1">
      <c r="A976" s="65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</row>
    <row r="977" ht="12.0" customHeight="1">
      <c r="A977" s="65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</row>
    <row r="978" ht="12.0" customHeight="1">
      <c r="A978" s="65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</row>
    <row r="979" ht="12.0" customHeight="1">
      <c r="A979" s="65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</row>
    <row r="980" ht="12.0" customHeight="1">
      <c r="A980" s="65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</row>
    <row r="981" ht="12.0" customHeight="1">
      <c r="A981" s="65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</row>
    <row r="982" ht="12.0" customHeight="1">
      <c r="A982" s="65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</row>
    <row r="983" ht="12.0" customHeight="1">
      <c r="A983" s="65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</row>
    <row r="984" ht="12.0" customHeight="1">
      <c r="A984" s="65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</row>
    <row r="985" ht="12.0" customHeight="1">
      <c r="A985" s="65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</row>
    <row r="986" ht="12.0" customHeight="1">
      <c r="A986" s="65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</row>
    <row r="987" ht="12.0" customHeight="1">
      <c r="A987" s="65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</row>
    <row r="988" ht="12.0" customHeight="1">
      <c r="A988" s="65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</row>
    <row r="989" ht="12.0" customHeight="1">
      <c r="A989" s="65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</row>
    <row r="990" ht="12.0" customHeight="1">
      <c r="A990" s="65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</row>
    <row r="991" ht="12.0" customHeight="1">
      <c r="A991" s="65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</row>
    <row r="992" ht="12.0" customHeight="1">
      <c r="A992" s="65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</row>
    <row r="993" ht="12.0" customHeight="1">
      <c r="A993" s="65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</row>
    <row r="994" ht="12.0" customHeight="1">
      <c r="A994" s="65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</row>
    <row r="995" ht="12.0" customHeight="1">
      <c r="A995" s="65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</row>
    <row r="996" ht="12.0" customHeight="1">
      <c r="A996" s="65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</row>
    <row r="997" ht="12.0" customHeight="1">
      <c r="A997" s="65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</row>
    <row r="998" ht="12.0" customHeight="1">
      <c r="A998" s="65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</row>
    <row r="999" ht="12.0" customHeight="1">
      <c r="A999" s="65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</row>
    <row r="1000" ht="12.0" customHeight="1">
      <c r="A1000" s="65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</row>
  </sheetData>
  <mergeCells count="75">
    <mergeCell ref="AB12:AC12"/>
    <mergeCell ref="AD12:AH12"/>
    <mergeCell ref="AC13:AD13"/>
    <mergeCell ref="AE13:AG13"/>
    <mergeCell ref="K12:O12"/>
    <mergeCell ref="P12:Y12"/>
    <mergeCell ref="C13:E13"/>
    <mergeCell ref="F13:J13"/>
    <mergeCell ref="P13:Y13"/>
    <mergeCell ref="F14:J14"/>
    <mergeCell ref="P14:Y14"/>
    <mergeCell ref="P18:Y18"/>
    <mergeCell ref="P19:Y19"/>
    <mergeCell ref="P20:Y20"/>
    <mergeCell ref="P21:Y21"/>
    <mergeCell ref="P22:Y22"/>
    <mergeCell ref="C17:E17"/>
    <mergeCell ref="F17:J17"/>
    <mergeCell ref="P17:Y17"/>
    <mergeCell ref="C18:E18"/>
    <mergeCell ref="F18:J18"/>
    <mergeCell ref="C19:E19"/>
    <mergeCell ref="F19:J19"/>
    <mergeCell ref="F23:J23"/>
    <mergeCell ref="K23:O23"/>
    <mergeCell ref="P23:Y23"/>
    <mergeCell ref="C24:E24"/>
    <mergeCell ref="F24:J24"/>
    <mergeCell ref="K24:O24"/>
    <mergeCell ref="P24:Y24"/>
    <mergeCell ref="C20:E20"/>
    <mergeCell ref="F20:J20"/>
    <mergeCell ref="C21:E21"/>
    <mergeCell ref="F21:J21"/>
    <mergeCell ref="C22:E22"/>
    <mergeCell ref="F22:J22"/>
    <mergeCell ref="C23:E23"/>
    <mergeCell ref="AJ8:AL8"/>
    <mergeCell ref="AM8:AT8"/>
    <mergeCell ref="A1:AY2"/>
    <mergeCell ref="B4:AT5"/>
    <mergeCell ref="B7:Y7"/>
    <mergeCell ref="AB7:AH7"/>
    <mergeCell ref="AJ7:AT7"/>
    <mergeCell ref="AB8:AC8"/>
    <mergeCell ref="AD8:AH8"/>
    <mergeCell ref="AJ9:AL9"/>
    <mergeCell ref="AM9:AT9"/>
    <mergeCell ref="AB10:AC10"/>
    <mergeCell ref="AD10:AH10"/>
    <mergeCell ref="AJ10:AL10"/>
    <mergeCell ref="AM10:AT10"/>
    <mergeCell ref="C9:G9"/>
    <mergeCell ref="H9:L9"/>
    <mergeCell ref="N9:P9"/>
    <mergeCell ref="R9:W9"/>
    <mergeCell ref="X9:Y9"/>
    <mergeCell ref="AB9:AC9"/>
    <mergeCell ref="AD9:AH9"/>
    <mergeCell ref="AJ12:AL12"/>
    <mergeCell ref="AM12:AT12"/>
    <mergeCell ref="C11:Y11"/>
    <mergeCell ref="AB11:AC11"/>
    <mergeCell ref="AD11:AH11"/>
    <mergeCell ref="AJ11:AL11"/>
    <mergeCell ref="AM11:AT11"/>
    <mergeCell ref="C12:E12"/>
    <mergeCell ref="F12:J12"/>
    <mergeCell ref="C14:E14"/>
    <mergeCell ref="C15:E15"/>
    <mergeCell ref="F15:J15"/>
    <mergeCell ref="P15:Y15"/>
    <mergeCell ref="C16:E16"/>
    <mergeCell ref="F16:J16"/>
    <mergeCell ref="P16:Y16"/>
  </mergeCells>
  <conditionalFormatting sqref="B30:AT30 B31:AO31 B32:AJ32 B33:AE33 B34:Z34 B35:U35 B36:P36 B37:J37 B38:E38">
    <cfRule type="colorScale" priority="1">
      <colorScale>
        <cfvo type="min"/>
        <cfvo type="percentile" val="50"/>
        <cfvo type="max"/>
        <color theme="0"/>
        <color rgb="FF00FFFF"/>
        <color rgb="FF00FF00"/>
      </colorScale>
    </cfRule>
  </conditionalFormatting>
  <conditionalFormatting sqref="B39:E39 B40:AU41 B42:AT44 B45:AS46 B47:AR49 B50:AQ51 B52:AP54 B55:AO56 B57:AN59 B60:AM61 B62:AL64 B65:AK66 B67:AJ69 B70:AI71 B72:AH74 B75:AG76 B77:AF79 F38:J39 K37:AV39 Q36:AW36 V35:AW35 AA34:AX34 AF33:AX33 AK32:AX32 AP31:AY31 AU30:AY30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B39:E39 B40:AU41 B42:AT44 B45:AS46 B47:AR49 B50:AQ51 B52:AP54 B55:AO56 B57:AN59 B60:AM61 B62:AL64 B65:AK66 B67:AJ69 B70:AI71 B72:AH74 B75:AG76 B77:AF79 F38:J39 K37:AV39 Q36:AW36 V35:AW35 AA34:AX34 AF33:AX33 AK32:AX32 AP31:AY31 AU30:AY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AV39 F38:AV38 K37:AV37 Q36:AW36 V35:AW35 AA34:AX34 AF33:AX33 AK32:AX32 AP31:AY31 AU30:AY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7:AY79 AH75:AY76 AI72:AY74 AJ70:AY71 AK67:AY69 AL65:AY66 AM62:AY64 AN60:AY61 AO57:AY59 AP55:AY56 AQ52:AY54 AR50:AY51 AS47:AY49 AT45:AY46 AU42:AY44 AV40:AY41 AW37:AY39 AX35:AY36 AY32:AY34">
    <cfRule type="colorScale" priority="5">
      <colorScale>
        <cfvo type="min"/>
        <cfvo type="percentile" val="25"/>
        <cfvo type="max"/>
        <color rgb="FFFF0000"/>
        <color rgb="FF820000"/>
        <color theme="1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.29"/>
    <col customWidth="1" min="3" max="3" width="5.43"/>
    <col customWidth="1" min="4" max="4" width="6.0"/>
    <col customWidth="1" min="5" max="5" width="15.14"/>
    <col customWidth="1" min="6" max="6" width="10.71"/>
    <col customWidth="1" min="7" max="7" width="5.43"/>
    <col customWidth="1" min="8" max="8" width="6.0"/>
    <col customWidth="1" min="9" max="27" width="5.43"/>
    <col customWidth="1" min="28" max="36" width="10.71"/>
    <col customWidth="1" min="37" max="47" width="5.43"/>
    <col customWidth="1" min="48" max="50" width="10.71"/>
    <col customWidth="1" min="51" max="51" width="5.43"/>
    <col customWidth="1" min="52" max="52" width="6.0"/>
    <col customWidth="1" min="53" max="71" width="5.43"/>
    <col customWidth="1" min="72" max="74" width="10.71"/>
    <col customWidth="1" min="75" max="75" width="5.43"/>
    <col customWidth="1" min="76" max="76" width="6.0"/>
    <col customWidth="1" min="77" max="95" width="5.43"/>
    <col customWidth="1" min="96" max="98" width="10.71"/>
  </cols>
  <sheetData>
    <row r="2" ht="28.5" customHeight="1">
      <c r="C2" s="66" t="s">
        <v>34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8"/>
      <c r="AA2" s="66" t="s">
        <v>35</v>
      </c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8"/>
      <c r="AY2" s="66" t="s">
        <v>36</v>
      </c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8"/>
      <c r="BW2" s="66" t="s">
        <v>37</v>
      </c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8"/>
    </row>
    <row r="3">
      <c r="C3" s="69" t="s">
        <v>7</v>
      </c>
      <c r="D3" s="67"/>
      <c r="E3" s="67"/>
      <c r="F3" s="67"/>
      <c r="G3" s="68"/>
      <c r="H3" s="70" t="s">
        <v>38</v>
      </c>
      <c r="I3" s="67"/>
      <c r="J3" s="67"/>
      <c r="K3" s="67"/>
      <c r="L3" s="68"/>
      <c r="M3" s="71"/>
      <c r="N3" s="67"/>
      <c r="O3" s="67"/>
      <c r="P3" s="67"/>
      <c r="Q3" s="68"/>
      <c r="R3" s="72" t="s">
        <v>9</v>
      </c>
      <c r="S3" s="67"/>
      <c r="T3" s="67"/>
      <c r="U3" s="67"/>
      <c r="V3" s="67"/>
      <c r="W3" s="68"/>
      <c r="X3" s="73">
        <v>113.0</v>
      </c>
      <c r="Y3" s="68"/>
      <c r="AA3" s="69" t="s">
        <v>7</v>
      </c>
      <c r="AB3" s="67"/>
      <c r="AC3" s="67"/>
      <c r="AD3" s="67"/>
      <c r="AE3" s="68"/>
      <c r="AF3" s="70" t="s">
        <v>39</v>
      </c>
      <c r="AG3" s="67"/>
      <c r="AH3" s="67"/>
      <c r="AI3" s="67"/>
      <c r="AJ3" s="68"/>
      <c r="AK3" s="71"/>
      <c r="AL3" s="67"/>
      <c r="AM3" s="67"/>
      <c r="AN3" s="67"/>
      <c r="AO3" s="68"/>
      <c r="AP3" s="72" t="s">
        <v>9</v>
      </c>
      <c r="AQ3" s="67"/>
      <c r="AR3" s="67"/>
      <c r="AS3" s="67"/>
      <c r="AT3" s="67"/>
      <c r="AU3" s="68"/>
      <c r="AV3" s="73">
        <v>150.0</v>
      </c>
      <c r="AW3" s="68"/>
      <c r="AY3" s="69" t="s">
        <v>7</v>
      </c>
      <c r="AZ3" s="67"/>
      <c r="BA3" s="67"/>
      <c r="BB3" s="67"/>
      <c r="BC3" s="68"/>
      <c r="BD3" s="70" t="s">
        <v>40</v>
      </c>
      <c r="BE3" s="67"/>
      <c r="BF3" s="67"/>
      <c r="BG3" s="67"/>
      <c r="BH3" s="68"/>
      <c r="BI3" s="71"/>
      <c r="BJ3" s="67"/>
      <c r="BK3" s="67"/>
      <c r="BL3" s="67"/>
      <c r="BM3" s="68"/>
      <c r="BN3" s="72" t="s">
        <v>9</v>
      </c>
      <c r="BO3" s="67"/>
      <c r="BP3" s="67"/>
      <c r="BQ3" s="67"/>
      <c r="BR3" s="67"/>
      <c r="BS3" s="68"/>
      <c r="BT3" s="73">
        <v>133.0</v>
      </c>
      <c r="BU3" s="68"/>
      <c r="BW3" s="69" t="s">
        <v>7</v>
      </c>
      <c r="BX3" s="67"/>
      <c r="BY3" s="67"/>
      <c r="BZ3" s="67"/>
      <c r="CA3" s="68"/>
      <c r="CB3" s="70" t="s">
        <v>41</v>
      </c>
      <c r="CC3" s="67"/>
      <c r="CD3" s="67"/>
      <c r="CE3" s="67"/>
      <c r="CF3" s="68"/>
      <c r="CG3" s="71"/>
      <c r="CH3" s="67"/>
      <c r="CI3" s="67"/>
      <c r="CJ3" s="67"/>
      <c r="CK3" s="68"/>
      <c r="CL3" s="72" t="s">
        <v>9</v>
      </c>
      <c r="CM3" s="67"/>
      <c r="CN3" s="67"/>
      <c r="CO3" s="67"/>
      <c r="CP3" s="67"/>
      <c r="CQ3" s="68"/>
      <c r="CR3" s="73">
        <v>133.0</v>
      </c>
      <c r="CS3" s="68"/>
    </row>
    <row r="4">
      <c r="C4" s="74" t="s">
        <v>23</v>
      </c>
      <c r="D4" s="67"/>
      <c r="E4" s="68"/>
      <c r="F4" s="74" t="s">
        <v>24</v>
      </c>
      <c r="G4" s="67"/>
      <c r="H4" s="67"/>
      <c r="I4" s="67"/>
      <c r="J4" s="68"/>
      <c r="K4" s="74" t="s">
        <v>25</v>
      </c>
      <c r="L4" s="67"/>
      <c r="M4" s="67"/>
      <c r="N4" s="67"/>
      <c r="O4" s="68"/>
      <c r="P4" s="74" t="s">
        <v>26</v>
      </c>
      <c r="Q4" s="67"/>
      <c r="R4" s="67"/>
      <c r="S4" s="67"/>
      <c r="T4" s="67"/>
      <c r="U4" s="67"/>
      <c r="V4" s="67"/>
      <c r="W4" s="67"/>
      <c r="X4" s="67"/>
      <c r="Y4" s="68"/>
      <c r="AA4" s="74" t="s">
        <v>23</v>
      </c>
      <c r="AB4" s="67"/>
      <c r="AC4" s="68"/>
      <c r="AD4" s="74" t="s">
        <v>24</v>
      </c>
      <c r="AE4" s="67"/>
      <c r="AF4" s="67"/>
      <c r="AG4" s="67"/>
      <c r="AH4" s="68"/>
      <c r="AI4" s="74" t="s">
        <v>25</v>
      </c>
      <c r="AJ4" s="67"/>
      <c r="AK4" s="67"/>
      <c r="AL4" s="67"/>
      <c r="AM4" s="68"/>
      <c r="AN4" s="74" t="s">
        <v>26</v>
      </c>
      <c r="AO4" s="67"/>
      <c r="AP4" s="67"/>
      <c r="AQ4" s="67"/>
      <c r="AR4" s="67"/>
      <c r="AS4" s="67"/>
      <c r="AT4" s="67"/>
      <c r="AU4" s="67"/>
      <c r="AV4" s="67"/>
      <c r="AW4" s="68"/>
      <c r="AY4" s="74" t="s">
        <v>23</v>
      </c>
      <c r="AZ4" s="67"/>
      <c r="BA4" s="68"/>
      <c r="BB4" s="74" t="s">
        <v>24</v>
      </c>
      <c r="BC4" s="67"/>
      <c r="BD4" s="67"/>
      <c r="BE4" s="67"/>
      <c r="BF4" s="68"/>
      <c r="BG4" s="74" t="s">
        <v>25</v>
      </c>
      <c r="BH4" s="67"/>
      <c r="BI4" s="67"/>
      <c r="BJ4" s="67"/>
      <c r="BK4" s="68"/>
      <c r="BL4" s="74" t="s">
        <v>26</v>
      </c>
      <c r="BM4" s="67"/>
      <c r="BN4" s="67"/>
      <c r="BO4" s="67"/>
      <c r="BP4" s="67"/>
      <c r="BQ4" s="67"/>
      <c r="BR4" s="67"/>
      <c r="BS4" s="67"/>
      <c r="BT4" s="67"/>
      <c r="BU4" s="68"/>
      <c r="BW4" s="74" t="s">
        <v>23</v>
      </c>
      <c r="BX4" s="67"/>
      <c r="BY4" s="68"/>
      <c r="BZ4" s="74" t="s">
        <v>24</v>
      </c>
      <c r="CA4" s="67"/>
      <c r="CB4" s="67"/>
      <c r="CC4" s="67"/>
      <c r="CD4" s="68"/>
      <c r="CE4" s="74" t="s">
        <v>25</v>
      </c>
      <c r="CF4" s="67"/>
      <c r="CG4" s="67"/>
      <c r="CH4" s="67"/>
      <c r="CI4" s="68"/>
      <c r="CJ4" s="74" t="s">
        <v>26</v>
      </c>
      <c r="CK4" s="67"/>
      <c r="CL4" s="67"/>
      <c r="CM4" s="67"/>
      <c r="CN4" s="67"/>
      <c r="CO4" s="67"/>
      <c r="CP4" s="67"/>
      <c r="CQ4" s="67"/>
      <c r="CR4" s="67"/>
      <c r="CS4" s="68"/>
    </row>
    <row r="5">
      <c r="C5" s="72">
        <v>1.0</v>
      </c>
      <c r="D5" s="67"/>
      <c r="E5" s="68"/>
      <c r="F5" s="75">
        <v>85.0</v>
      </c>
      <c r="G5" s="67"/>
      <c r="H5" s="67"/>
      <c r="I5" s="67"/>
      <c r="J5" s="68"/>
      <c r="K5" s="76">
        <v>10.0</v>
      </c>
      <c r="L5" s="67"/>
      <c r="M5" s="67"/>
      <c r="N5" s="67"/>
      <c r="O5" s="68"/>
      <c r="P5" s="77">
        <f>IF(AND(X3&lt;&gt;"",F5&lt;&gt;"",K5&lt;&gt;""),IFERROR(K5/(100-((F5/X3)*100)),""),"")</f>
        <v>0.4035714286</v>
      </c>
      <c r="Q5" s="67"/>
      <c r="R5" s="67"/>
      <c r="S5" s="67"/>
      <c r="T5" s="67"/>
      <c r="U5" s="67"/>
      <c r="V5" s="67"/>
      <c r="W5" s="67"/>
      <c r="X5" s="67"/>
      <c r="Y5" s="68"/>
      <c r="AA5" s="72">
        <v>1.0</v>
      </c>
      <c r="AB5" s="67"/>
      <c r="AC5" s="68"/>
      <c r="AD5" s="75">
        <v>110.0</v>
      </c>
      <c r="AE5" s="67"/>
      <c r="AF5" s="67"/>
      <c r="AG5" s="67"/>
      <c r="AH5" s="68"/>
      <c r="AI5" s="76">
        <v>10.0</v>
      </c>
      <c r="AJ5" s="67"/>
      <c r="AK5" s="67"/>
      <c r="AL5" s="67"/>
      <c r="AM5" s="68"/>
      <c r="AN5" s="77">
        <f>IF(AND(AV3&lt;&gt;"",AD5&lt;&gt;"",AI5&lt;&gt;""),IFERROR(AI5/(100-((AD5/AV3)*100)),""),"")</f>
        <v>0.375</v>
      </c>
      <c r="AO5" s="67"/>
      <c r="AP5" s="67"/>
      <c r="AQ5" s="67"/>
      <c r="AR5" s="67"/>
      <c r="AS5" s="67"/>
      <c r="AT5" s="67"/>
      <c r="AU5" s="67"/>
      <c r="AV5" s="67"/>
      <c r="AW5" s="68"/>
      <c r="AY5" s="72">
        <v>1.0</v>
      </c>
      <c r="AZ5" s="67"/>
      <c r="BA5" s="68"/>
      <c r="BB5" s="75">
        <v>100.0</v>
      </c>
      <c r="BC5" s="67"/>
      <c r="BD5" s="67"/>
      <c r="BE5" s="67"/>
      <c r="BF5" s="68"/>
      <c r="BG5" s="76">
        <v>10.0</v>
      </c>
      <c r="BH5" s="67"/>
      <c r="BI5" s="67"/>
      <c r="BJ5" s="67"/>
      <c r="BK5" s="68"/>
      <c r="BL5" s="77">
        <f>IF(AND(BT3&lt;&gt;"",BB5&lt;&gt;"",BG5&lt;&gt;""),IFERROR(BG5/(100-((BB5/BT3)*100)),""),"")</f>
        <v>0.403030303</v>
      </c>
      <c r="BM5" s="67"/>
      <c r="BN5" s="67"/>
      <c r="BO5" s="67"/>
      <c r="BP5" s="67"/>
      <c r="BQ5" s="67"/>
      <c r="BR5" s="67"/>
      <c r="BS5" s="67"/>
      <c r="BT5" s="67"/>
      <c r="BU5" s="68"/>
      <c r="BW5" s="72">
        <v>1.0</v>
      </c>
      <c r="BX5" s="67"/>
      <c r="BY5" s="68"/>
      <c r="BZ5" s="75">
        <v>100.0</v>
      </c>
      <c r="CA5" s="67"/>
      <c r="CB5" s="67"/>
      <c r="CC5" s="67"/>
      <c r="CD5" s="68"/>
      <c r="CE5" s="76">
        <v>10.0</v>
      </c>
      <c r="CF5" s="67"/>
      <c r="CG5" s="67"/>
      <c r="CH5" s="67"/>
      <c r="CI5" s="68"/>
      <c r="CJ5" s="77">
        <f>IF(AND(CR3&lt;&gt;"",BZ5&lt;&gt;"",CE5&lt;&gt;""),IFERROR(CE5/(100-((BZ5/CR3)*100)),""),"")</f>
        <v>0.403030303</v>
      </c>
      <c r="CK5" s="67"/>
      <c r="CL5" s="67"/>
      <c r="CM5" s="67"/>
      <c r="CN5" s="67"/>
      <c r="CO5" s="67"/>
      <c r="CP5" s="67"/>
      <c r="CQ5" s="67"/>
      <c r="CR5" s="67"/>
      <c r="CS5" s="68"/>
    </row>
    <row r="6">
      <c r="C6" s="72">
        <v>2.0</v>
      </c>
      <c r="D6" s="67"/>
      <c r="E6" s="68"/>
      <c r="F6" s="75">
        <v>85.0</v>
      </c>
      <c r="G6" s="67"/>
      <c r="H6" s="67"/>
      <c r="I6" s="67"/>
      <c r="J6" s="68"/>
      <c r="K6" s="76">
        <v>9.0</v>
      </c>
      <c r="L6" s="67"/>
      <c r="M6" s="67"/>
      <c r="N6" s="67"/>
      <c r="O6" s="68"/>
      <c r="P6" s="77">
        <f>IF(AND(X3&lt;&gt;"",F6&lt;&gt;"",K6&lt;&gt;""),IFERROR(K6/(100-((F6/X3)*100)),""),"")</f>
        <v>0.3632142857</v>
      </c>
      <c r="Q6" s="67"/>
      <c r="R6" s="67"/>
      <c r="S6" s="67"/>
      <c r="T6" s="67"/>
      <c r="U6" s="67"/>
      <c r="V6" s="67"/>
      <c r="W6" s="67"/>
      <c r="X6" s="67"/>
      <c r="Y6" s="68"/>
      <c r="AA6" s="72">
        <v>2.0</v>
      </c>
      <c r="AB6" s="67"/>
      <c r="AC6" s="68"/>
      <c r="AD6" s="75">
        <v>110.0</v>
      </c>
      <c r="AE6" s="67"/>
      <c r="AF6" s="67"/>
      <c r="AG6" s="67"/>
      <c r="AH6" s="68"/>
      <c r="AI6" s="76">
        <v>9.0</v>
      </c>
      <c r="AJ6" s="67"/>
      <c r="AK6" s="67"/>
      <c r="AL6" s="67"/>
      <c r="AM6" s="68"/>
      <c r="AN6" s="77">
        <f>IF(AND(AV3&lt;&gt;"",AD6&lt;&gt;"",AI6&lt;&gt;""),IFERROR(AI6/(100-((AD6/AV3)*100)),""),"")</f>
        <v>0.3375</v>
      </c>
      <c r="AO6" s="67"/>
      <c r="AP6" s="67"/>
      <c r="AQ6" s="67"/>
      <c r="AR6" s="67"/>
      <c r="AS6" s="67"/>
      <c r="AT6" s="67"/>
      <c r="AU6" s="67"/>
      <c r="AV6" s="67"/>
      <c r="AW6" s="68"/>
      <c r="AY6" s="72">
        <v>2.0</v>
      </c>
      <c r="AZ6" s="67"/>
      <c r="BA6" s="68"/>
      <c r="BB6" s="75">
        <v>100.0</v>
      </c>
      <c r="BC6" s="67"/>
      <c r="BD6" s="67"/>
      <c r="BE6" s="67"/>
      <c r="BF6" s="68"/>
      <c r="BG6" s="76">
        <v>9.0</v>
      </c>
      <c r="BH6" s="67"/>
      <c r="BI6" s="67"/>
      <c r="BJ6" s="67"/>
      <c r="BK6" s="68"/>
      <c r="BL6" s="77">
        <f>IF(AND(BT3&lt;&gt;"",BB6&lt;&gt;"",BG6&lt;&gt;""),IFERROR(BG6/(100-((BB6/BT3)*100)),""),"")</f>
        <v>0.3627272727</v>
      </c>
      <c r="BM6" s="67"/>
      <c r="BN6" s="67"/>
      <c r="BO6" s="67"/>
      <c r="BP6" s="67"/>
      <c r="BQ6" s="67"/>
      <c r="BR6" s="67"/>
      <c r="BS6" s="67"/>
      <c r="BT6" s="67"/>
      <c r="BU6" s="68"/>
      <c r="BW6" s="72">
        <v>2.0</v>
      </c>
      <c r="BX6" s="67"/>
      <c r="BY6" s="68"/>
      <c r="BZ6" s="75">
        <v>100.0</v>
      </c>
      <c r="CA6" s="67"/>
      <c r="CB6" s="67"/>
      <c r="CC6" s="67"/>
      <c r="CD6" s="68"/>
      <c r="CE6" s="76">
        <v>9.0</v>
      </c>
      <c r="CF6" s="67"/>
      <c r="CG6" s="67"/>
      <c r="CH6" s="67"/>
      <c r="CI6" s="68"/>
      <c r="CJ6" s="77">
        <f>IF(AND(CR3&lt;&gt;"",BZ6&lt;&gt;"",CE6&lt;&gt;""),IFERROR(CE6/(100-((BZ6/CR3)*100)),""),"")</f>
        <v>0.3627272727</v>
      </c>
      <c r="CK6" s="67"/>
      <c r="CL6" s="67"/>
      <c r="CM6" s="67"/>
      <c r="CN6" s="67"/>
      <c r="CO6" s="67"/>
      <c r="CP6" s="67"/>
      <c r="CQ6" s="67"/>
      <c r="CR6" s="67"/>
      <c r="CS6" s="68"/>
    </row>
    <row r="7">
      <c r="C7" s="72">
        <v>3.0</v>
      </c>
      <c r="D7" s="67"/>
      <c r="E7" s="68"/>
      <c r="F7" s="75">
        <v>85.0</v>
      </c>
      <c r="G7" s="67"/>
      <c r="H7" s="67"/>
      <c r="I7" s="67"/>
      <c r="J7" s="68"/>
      <c r="K7" s="76">
        <v>8.0</v>
      </c>
      <c r="L7" s="67"/>
      <c r="M7" s="67"/>
      <c r="N7" s="67"/>
      <c r="O7" s="68"/>
      <c r="P7" s="77">
        <f>IF(AND(X3&lt;&gt;"",F7&lt;&gt;"",K7&lt;&gt;""),IFERROR(K7/(100-((F7/X3)*100)),""),"")</f>
        <v>0.3228571429</v>
      </c>
      <c r="Q7" s="67"/>
      <c r="R7" s="67"/>
      <c r="S7" s="67"/>
      <c r="T7" s="67"/>
      <c r="U7" s="67"/>
      <c r="V7" s="67"/>
      <c r="W7" s="67"/>
      <c r="X7" s="67"/>
      <c r="Y7" s="68"/>
      <c r="AA7" s="72">
        <v>3.0</v>
      </c>
      <c r="AB7" s="67"/>
      <c r="AC7" s="68"/>
      <c r="AD7" s="75">
        <v>110.0</v>
      </c>
      <c r="AE7" s="67"/>
      <c r="AF7" s="67"/>
      <c r="AG7" s="67"/>
      <c r="AH7" s="68"/>
      <c r="AI7" s="76">
        <v>8.0</v>
      </c>
      <c r="AJ7" s="67"/>
      <c r="AK7" s="67"/>
      <c r="AL7" s="67"/>
      <c r="AM7" s="68"/>
      <c r="AN7" s="77">
        <f>IF(AND(AV3&lt;&gt;"",AD7&lt;&gt;"",AI7&lt;&gt;""),IFERROR(AI7/(100-((AD7/AV3)*100)),""),"")</f>
        <v>0.3</v>
      </c>
      <c r="AO7" s="67"/>
      <c r="AP7" s="67"/>
      <c r="AQ7" s="67"/>
      <c r="AR7" s="67"/>
      <c r="AS7" s="67"/>
      <c r="AT7" s="67"/>
      <c r="AU7" s="67"/>
      <c r="AV7" s="67"/>
      <c r="AW7" s="68"/>
      <c r="AY7" s="72">
        <v>3.0</v>
      </c>
      <c r="AZ7" s="67"/>
      <c r="BA7" s="68"/>
      <c r="BB7" s="75">
        <v>100.0</v>
      </c>
      <c r="BC7" s="67"/>
      <c r="BD7" s="67"/>
      <c r="BE7" s="67"/>
      <c r="BF7" s="68"/>
      <c r="BG7" s="76">
        <v>8.0</v>
      </c>
      <c r="BH7" s="67"/>
      <c r="BI7" s="67"/>
      <c r="BJ7" s="67"/>
      <c r="BK7" s="68"/>
      <c r="BL7" s="77">
        <f>IF(AND(BT3&lt;&gt;"",BB7&lt;&gt;"",BG7&lt;&gt;""),IFERROR(BG7/(100-((BB7/BT3)*100)),""),"")</f>
        <v>0.3224242424</v>
      </c>
      <c r="BM7" s="67"/>
      <c r="BN7" s="67"/>
      <c r="BO7" s="67"/>
      <c r="BP7" s="67"/>
      <c r="BQ7" s="67"/>
      <c r="BR7" s="67"/>
      <c r="BS7" s="67"/>
      <c r="BT7" s="67"/>
      <c r="BU7" s="68"/>
      <c r="BW7" s="72">
        <v>3.0</v>
      </c>
      <c r="BX7" s="67"/>
      <c r="BY7" s="68"/>
      <c r="BZ7" s="75">
        <v>100.0</v>
      </c>
      <c r="CA7" s="67"/>
      <c r="CB7" s="67"/>
      <c r="CC7" s="67"/>
      <c r="CD7" s="68"/>
      <c r="CE7" s="76">
        <v>8.0</v>
      </c>
      <c r="CF7" s="67"/>
      <c r="CG7" s="67"/>
      <c r="CH7" s="67"/>
      <c r="CI7" s="68"/>
      <c r="CJ7" s="77">
        <f>IF(AND(CR3&lt;&gt;"",BZ7&lt;&gt;"",CE7&lt;&gt;""),IFERROR(CE7/(100-((BZ7/CR3)*100)),""),"")</f>
        <v>0.3224242424</v>
      </c>
      <c r="CK7" s="67"/>
      <c r="CL7" s="67"/>
      <c r="CM7" s="67"/>
      <c r="CN7" s="67"/>
      <c r="CO7" s="67"/>
      <c r="CP7" s="67"/>
      <c r="CQ7" s="67"/>
      <c r="CR7" s="67"/>
      <c r="CS7" s="68"/>
    </row>
    <row r="8">
      <c r="C8" s="72">
        <v>4.0</v>
      </c>
      <c r="D8" s="67"/>
      <c r="E8" s="68"/>
      <c r="F8" s="75">
        <v>85.0</v>
      </c>
      <c r="G8" s="67"/>
      <c r="H8" s="67"/>
      <c r="I8" s="67"/>
      <c r="J8" s="68"/>
      <c r="K8" s="76">
        <v>10.0</v>
      </c>
      <c r="L8" s="67"/>
      <c r="M8" s="67"/>
      <c r="N8" s="67"/>
      <c r="O8" s="68"/>
      <c r="P8" s="77">
        <f>IF(AND(X3&lt;&gt;"",F8&lt;&gt;"",K8&lt;&gt;""),IFERROR(K8/(100-((F8/X3)*100)),""),"")</f>
        <v>0.4035714286</v>
      </c>
      <c r="Q8" s="67"/>
      <c r="R8" s="67"/>
      <c r="S8" s="67"/>
      <c r="T8" s="67"/>
      <c r="U8" s="67"/>
      <c r="V8" s="67"/>
      <c r="W8" s="67"/>
      <c r="X8" s="67"/>
      <c r="Y8" s="68"/>
      <c r="AA8" s="78"/>
      <c r="AB8" s="79">
        <v>4.0</v>
      </c>
      <c r="AC8" s="80"/>
      <c r="AD8" s="75">
        <v>110.0</v>
      </c>
      <c r="AE8" s="67"/>
      <c r="AF8" s="67"/>
      <c r="AG8" s="67"/>
      <c r="AH8" s="68"/>
      <c r="AI8" s="76">
        <v>8.0</v>
      </c>
      <c r="AJ8" s="67"/>
      <c r="AK8" s="67"/>
      <c r="AL8" s="67"/>
      <c r="AM8" s="68"/>
      <c r="AN8" s="77">
        <f>IF(AND(AV3&lt;&gt;"",AD8&lt;&gt;"",AI8&lt;&gt;""),IFERROR(AI8/(100-((AD8/AV3)*100)),""),"")</f>
        <v>0.3</v>
      </c>
      <c r="AO8" s="67"/>
      <c r="AP8" s="67"/>
      <c r="AQ8" s="67"/>
      <c r="AR8" s="67"/>
      <c r="AS8" s="67"/>
      <c r="AT8" s="67"/>
      <c r="AU8" s="67"/>
      <c r="AV8" s="67"/>
      <c r="AW8" s="68"/>
      <c r="AY8" s="78"/>
      <c r="AZ8" s="79">
        <v>4.0</v>
      </c>
      <c r="BA8" s="80"/>
      <c r="BB8" s="75">
        <v>100.0</v>
      </c>
      <c r="BC8" s="67"/>
      <c r="BD8" s="67"/>
      <c r="BE8" s="67"/>
      <c r="BF8" s="68"/>
      <c r="BG8" s="76">
        <v>7.0</v>
      </c>
      <c r="BH8" s="67"/>
      <c r="BI8" s="67"/>
      <c r="BJ8" s="67"/>
      <c r="BK8" s="68"/>
      <c r="BL8" s="77">
        <f>IF(AND(BT3&lt;&gt;"",BB8&lt;&gt;"",BG8&lt;&gt;""),IFERROR(BG8/(100-((BB8/BT3)*100)),""),"")</f>
        <v>0.2821212121</v>
      </c>
      <c r="BM8" s="67"/>
      <c r="BN8" s="67"/>
      <c r="BO8" s="67"/>
      <c r="BP8" s="67"/>
      <c r="BQ8" s="67"/>
      <c r="BR8" s="67"/>
      <c r="BS8" s="67"/>
      <c r="BT8" s="67"/>
      <c r="BU8" s="68"/>
      <c r="BW8" s="78"/>
      <c r="BX8" s="79">
        <v>4.0</v>
      </c>
      <c r="BY8" s="80"/>
      <c r="BZ8" s="75">
        <v>100.0</v>
      </c>
      <c r="CA8" s="67"/>
      <c r="CB8" s="67"/>
      <c r="CC8" s="67"/>
      <c r="CD8" s="68"/>
      <c r="CE8" s="76">
        <v>7.0</v>
      </c>
      <c r="CF8" s="67"/>
      <c r="CG8" s="67"/>
      <c r="CH8" s="67"/>
      <c r="CI8" s="68"/>
      <c r="CJ8" s="77">
        <f>IF(AND(CR3&lt;&gt;"",BZ8&lt;&gt;"",CE8&lt;&gt;""),IFERROR(CE8/(100-((BZ8/CR3)*100)),""),"")</f>
        <v>0.2821212121</v>
      </c>
      <c r="CK8" s="67"/>
      <c r="CL8" s="67"/>
      <c r="CM8" s="67"/>
      <c r="CN8" s="67"/>
      <c r="CO8" s="67"/>
      <c r="CP8" s="67"/>
      <c r="CQ8" s="67"/>
      <c r="CR8" s="67"/>
      <c r="CS8" s="68"/>
    </row>
    <row r="9">
      <c r="C9" s="72">
        <v>5.0</v>
      </c>
      <c r="D9" s="67"/>
      <c r="E9" s="68"/>
      <c r="F9" s="75">
        <v>85.0</v>
      </c>
      <c r="G9" s="67"/>
      <c r="H9" s="67"/>
      <c r="I9" s="67"/>
      <c r="J9" s="68"/>
      <c r="K9" s="76">
        <v>9.0</v>
      </c>
      <c r="L9" s="67"/>
      <c r="M9" s="67"/>
      <c r="N9" s="67"/>
      <c r="O9" s="68"/>
      <c r="P9" s="77">
        <f>IF(AND(X3&lt;&gt;"",F9&lt;&gt;"",K9&lt;&gt;""),IFERROR(K9/(100-((F9/X3)*100)),""),"")</f>
        <v>0.3632142857</v>
      </c>
      <c r="Q9" s="67"/>
      <c r="R9" s="67"/>
      <c r="S9" s="67"/>
      <c r="T9" s="67"/>
      <c r="U9" s="67"/>
      <c r="V9" s="67"/>
      <c r="W9" s="67"/>
      <c r="X9" s="67"/>
      <c r="Y9" s="68"/>
      <c r="AA9" s="72">
        <v>5.0</v>
      </c>
      <c r="AB9" s="67"/>
      <c r="AC9" s="68"/>
      <c r="AD9" s="75"/>
      <c r="AE9" s="67"/>
      <c r="AF9" s="67"/>
      <c r="AG9" s="67"/>
      <c r="AH9" s="68"/>
      <c r="AI9" s="76"/>
      <c r="AJ9" s="67"/>
      <c r="AK9" s="67"/>
      <c r="AL9" s="67"/>
      <c r="AM9" s="68"/>
      <c r="AN9" s="77" t="str">
        <f>IF(AND(AV3&lt;&gt;"",AD9&lt;&gt;"",AI9&lt;&gt;""),IFERROR(AI9/(100-((AD9/AV3)*100)),""),"")</f>
        <v/>
      </c>
      <c r="AO9" s="67"/>
      <c r="AP9" s="67"/>
      <c r="AQ9" s="67"/>
      <c r="AR9" s="67"/>
      <c r="AS9" s="67"/>
      <c r="AT9" s="67"/>
      <c r="AU9" s="67"/>
      <c r="AV9" s="67"/>
      <c r="AW9" s="68"/>
      <c r="AY9" s="72">
        <v>5.0</v>
      </c>
      <c r="AZ9" s="67"/>
      <c r="BA9" s="68"/>
      <c r="BB9" s="75"/>
      <c r="BC9" s="67"/>
      <c r="BD9" s="67"/>
      <c r="BE9" s="67"/>
      <c r="BF9" s="68"/>
      <c r="BG9" s="76"/>
      <c r="BH9" s="67"/>
      <c r="BI9" s="67"/>
      <c r="BJ9" s="67"/>
      <c r="BK9" s="68"/>
      <c r="BL9" s="77" t="str">
        <f>IF(AND(BT3&lt;&gt;"",BB9&lt;&gt;"",BG9&lt;&gt;""),IFERROR(BG9/(100-((BB9/BT3)*100)),""),"")</f>
        <v/>
      </c>
      <c r="BM9" s="67"/>
      <c r="BN9" s="67"/>
      <c r="BO9" s="67"/>
      <c r="BP9" s="67"/>
      <c r="BQ9" s="67"/>
      <c r="BR9" s="67"/>
      <c r="BS9" s="67"/>
      <c r="BT9" s="67"/>
      <c r="BU9" s="68"/>
      <c r="BW9" s="72">
        <v>5.0</v>
      </c>
      <c r="BX9" s="67"/>
      <c r="BY9" s="68"/>
      <c r="BZ9" s="75"/>
      <c r="CA9" s="67"/>
      <c r="CB9" s="67"/>
      <c r="CC9" s="67"/>
      <c r="CD9" s="68"/>
      <c r="CE9" s="76"/>
      <c r="CF9" s="67"/>
      <c r="CG9" s="67"/>
      <c r="CH9" s="67"/>
      <c r="CI9" s="68"/>
      <c r="CJ9" s="77" t="str">
        <f>IF(AND(CR3&lt;&gt;"",BZ9&lt;&gt;"",CE9&lt;&gt;""),IFERROR(CE9/(100-((BZ9/CR3)*100)),""),"")</f>
        <v/>
      </c>
      <c r="CK9" s="67"/>
      <c r="CL9" s="67"/>
      <c r="CM9" s="67"/>
      <c r="CN9" s="67"/>
      <c r="CO9" s="67"/>
      <c r="CP9" s="67"/>
      <c r="CQ9" s="67"/>
      <c r="CR9" s="67"/>
      <c r="CS9" s="68"/>
    </row>
    <row r="10">
      <c r="C10" s="72">
        <v>6.0</v>
      </c>
      <c r="D10" s="67"/>
      <c r="E10" s="68"/>
      <c r="F10" s="75">
        <v>85.0</v>
      </c>
      <c r="G10" s="67"/>
      <c r="H10" s="67"/>
      <c r="I10" s="67"/>
      <c r="J10" s="68"/>
      <c r="K10" s="76">
        <v>9.0</v>
      </c>
      <c r="L10" s="67"/>
      <c r="M10" s="67"/>
      <c r="N10" s="67"/>
      <c r="O10" s="68"/>
      <c r="P10" s="77">
        <f>IF(AND(X3&lt;&gt;"",F10&lt;&gt;"",K10&lt;&gt;""),IFERROR(K10/(100-((F10/X3)*100)),""),"")</f>
        <v>0.3632142857</v>
      </c>
      <c r="Q10" s="67"/>
      <c r="R10" s="67"/>
      <c r="S10" s="67"/>
      <c r="T10" s="67"/>
      <c r="U10" s="67"/>
      <c r="V10" s="67"/>
      <c r="W10" s="67"/>
      <c r="X10" s="67"/>
      <c r="Y10" s="68"/>
      <c r="AA10" s="72">
        <v>6.0</v>
      </c>
      <c r="AB10" s="67"/>
      <c r="AC10" s="68"/>
      <c r="AD10" s="75"/>
      <c r="AE10" s="67"/>
      <c r="AF10" s="67"/>
      <c r="AG10" s="67"/>
      <c r="AH10" s="68"/>
      <c r="AI10" s="76"/>
      <c r="AJ10" s="67"/>
      <c r="AK10" s="67"/>
      <c r="AL10" s="67"/>
      <c r="AM10" s="68"/>
      <c r="AN10" s="77" t="str">
        <f>IF(AND(AV3&lt;&gt;"",AD10&lt;&gt;"",AI10&lt;&gt;""),IFERROR(AI10/(100-((AD10/AV3)*100)),""),"")</f>
        <v/>
      </c>
      <c r="AO10" s="67"/>
      <c r="AP10" s="67"/>
      <c r="AQ10" s="67"/>
      <c r="AR10" s="67"/>
      <c r="AS10" s="67"/>
      <c r="AT10" s="67"/>
      <c r="AU10" s="67"/>
      <c r="AV10" s="67"/>
      <c r="AW10" s="68"/>
      <c r="AY10" s="72">
        <v>6.0</v>
      </c>
      <c r="AZ10" s="67"/>
      <c r="BA10" s="68"/>
      <c r="BB10" s="75"/>
      <c r="BC10" s="67"/>
      <c r="BD10" s="67"/>
      <c r="BE10" s="67"/>
      <c r="BF10" s="68"/>
      <c r="BG10" s="76"/>
      <c r="BH10" s="67"/>
      <c r="BI10" s="67"/>
      <c r="BJ10" s="67"/>
      <c r="BK10" s="68"/>
      <c r="BL10" s="77" t="str">
        <f>IF(AND(BT3&lt;&gt;"",BB10&lt;&gt;"",BG10&lt;&gt;""),IFERROR(BG10/(100-((BB10/BT3)*100)),""),"")</f>
        <v/>
      </c>
      <c r="BM10" s="67"/>
      <c r="BN10" s="67"/>
      <c r="BO10" s="67"/>
      <c r="BP10" s="67"/>
      <c r="BQ10" s="67"/>
      <c r="BR10" s="67"/>
      <c r="BS10" s="67"/>
      <c r="BT10" s="67"/>
      <c r="BU10" s="68"/>
      <c r="BW10" s="72">
        <v>6.0</v>
      </c>
      <c r="BX10" s="67"/>
      <c r="BY10" s="68"/>
      <c r="BZ10" s="75"/>
      <c r="CA10" s="67"/>
      <c r="CB10" s="67"/>
      <c r="CC10" s="67"/>
      <c r="CD10" s="68"/>
      <c r="CE10" s="76"/>
      <c r="CF10" s="67"/>
      <c r="CG10" s="67"/>
      <c r="CH10" s="67"/>
      <c r="CI10" s="68"/>
      <c r="CJ10" s="77" t="str">
        <f>IF(AND(CR3&lt;&gt;"",BZ10&lt;&gt;"",CE10&lt;&gt;""),IFERROR(CE10/(100-((BZ10/CR3)*100)),""),"")</f>
        <v/>
      </c>
      <c r="CK10" s="67"/>
      <c r="CL10" s="67"/>
      <c r="CM10" s="67"/>
      <c r="CN10" s="67"/>
      <c r="CO10" s="67"/>
      <c r="CP10" s="67"/>
      <c r="CQ10" s="67"/>
      <c r="CR10" s="67"/>
      <c r="CS10" s="68"/>
    </row>
    <row r="11">
      <c r="C11" s="72" t="s">
        <v>31</v>
      </c>
      <c r="D11" s="67"/>
      <c r="E11" s="68"/>
      <c r="F11" s="77">
        <f>IFERROR(AVERAGE(F5:J10),"")</f>
        <v>85</v>
      </c>
      <c r="G11" s="67"/>
      <c r="H11" s="67"/>
      <c r="I11" s="67"/>
      <c r="J11" s="68"/>
      <c r="K11" s="71">
        <f>IFERROR(AVERAGE(K5:O10),"")</f>
        <v>9.166666667</v>
      </c>
      <c r="L11" s="67"/>
      <c r="M11" s="67"/>
      <c r="N11" s="67"/>
      <c r="O11" s="68"/>
      <c r="P11" s="77">
        <f>IFERROR(AVERAGE(P5:Y10),"")</f>
        <v>0.3699404762</v>
      </c>
      <c r="Q11" s="67"/>
      <c r="R11" s="67"/>
      <c r="S11" s="67"/>
      <c r="T11" s="67"/>
      <c r="U11" s="67"/>
      <c r="V11" s="67"/>
      <c r="W11" s="67"/>
      <c r="X11" s="67"/>
      <c r="Y11" s="68"/>
      <c r="AA11" s="72" t="s">
        <v>31</v>
      </c>
      <c r="AB11" s="67"/>
      <c r="AC11" s="68"/>
      <c r="AD11" s="77">
        <f>IFERROR(AVERAGE(AD5:AH10),"")</f>
        <v>110</v>
      </c>
      <c r="AE11" s="67"/>
      <c r="AF11" s="67"/>
      <c r="AG11" s="67"/>
      <c r="AH11" s="68"/>
      <c r="AI11" s="71">
        <f>IFERROR(AVERAGE(AI5:AM10),"")</f>
        <v>8.75</v>
      </c>
      <c r="AJ11" s="67"/>
      <c r="AK11" s="67"/>
      <c r="AL11" s="67"/>
      <c r="AM11" s="68"/>
      <c r="AN11" s="77">
        <f>IFERROR(AVERAGE(AN5:AW10),"")</f>
        <v>0.328125</v>
      </c>
      <c r="AO11" s="67"/>
      <c r="AP11" s="67"/>
      <c r="AQ11" s="67"/>
      <c r="AR11" s="67"/>
      <c r="AS11" s="67"/>
      <c r="AT11" s="67"/>
      <c r="AU11" s="67"/>
      <c r="AV11" s="67"/>
      <c r="AW11" s="68"/>
      <c r="AY11" s="72" t="s">
        <v>31</v>
      </c>
      <c r="AZ11" s="67"/>
      <c r="BA11" s="68"/>
      <c r="BB11" s="77">
        <f>IFERROR(AVERAGE(BB5:BF10),"")</f>
        <v>100</v>
      </c>
      <c r="BC11" s="67"/>
      <c r="BD11" s="67"/>
      <c r="BE11" s="67"/>
      <c r="BF11" s="68"/>
      <c r="BG11" s="71">
        <f>IFERROR(AVERAGE(BG5:BK10),"")</f>
        <v>8.5</v>
      </c>
      <c r="BH11" s="67"/>
      <c r="BI11" s="67"/>
      <c r="BJ11" s="67"/>
      <c r="BK11" s="68"/>
      <c r="BL11" s="77">
        <f>IFERROR(AVERAGE(BL5:BU10),"")</f>
        <v>0.3425757576</v>
      </c>
      <c r="BM11" s="67"/>
      <c r="BN11" s="67"/>
      <c r="BO11" s="67"/>
      <c r="BP11" s="67"/>
      <c r="BQ11" s="67"/>
      <c r="BR11" s="67"/>
      <c r="BS11" s="67"/>
      <c r="BT11" s="67"/>
      <c r="BU11" s="68"/>
      <c r="BW11" s="72" t="s">
        <v>31</v>
      </c>
      <c r="BX11" s="67"/>
      <c r="BY11" s="68"/>
      <c r="BZ11" s="77">
        <f>IFERROR(AVERAGE(BZ5:CD10),"")</f>
        <v>100</v>
      </c>
      <c r="CA11" s="67"/>
      <c r="CB11" s="67"/>
      <c r="CC11" s="67"/>
      <c r="CD11" s="68"/>
      <c r="CE11" s="71">
        <f>IFERROR(AVERAGE(CE5:CI10),"")</f>
        <v>8.5</v>
      </c>
      <c r="CF11" s="67"/>
      <c r="CG11" s="67"/>
      <c r="CH11" s="67"/>
      <c r="CI11" s="68"/>
      <c r="CJ11" s="77">
        <f>IFERROR(AVERAGE(CJ5:CS10),"")</f>
        <v>0.3425757576</v>
      </c>
      <c r="CK11" s="67"/>
      <c r="CL11" s="67"/>
      <c r="CM11" s="67"/>
      <c r="CN11" s="67"/>
      <c r="CO11" s="67"/>
      <c r="CP11" s="67"/>
      <c r="CQ11" s="67"/>
      <c r="CR11" s="67"/>
      <c r="CS11" s="68"/>
    </row>
    <row r="12" ht="30.0" customHeight="1">
      <c r="C12" s="81" t="s">
        <v>42</v>
      </c>
      <c r="D12" s="67"/>
      <c r="E12" s="68"/>
      <c r="F12" s="77">
        <f>IFERROR(SUM(F5:J10),"")</f>
        <v>510</v>
      </c>
      <c r="G12" s="67"/>
      <c r="H12" s="67"/>
      <c r="I12" s="67"/>
      <c r="J12" s="68"/>
      <c r="K12" s="71">
        <f>IFERROR(SUM(K5:O10),"")</f>
        <v>55</v>
      </c>
      <c r="L12" s="67"/>
      <c r="M12" s="67"/>
      <c r="N12" s="67"/>
      <c r="O12" s="68"/>
      <c r="P12" s="82">
        <f>IFERROR(SUM(P5:Y10),"")</f>
        <v>2.219642857</v>
      </c>
      <c r="Q12" s="67"/>
      <c r="R12" s="67"/>
      <c r="S12" s="67"/>
      <c r="T12" s="67"/>
      <c r="U12" s="67"/>
      <c r="V12" s="67"/>
      <c r="W12" s="67"/>
      <c r="X12" s="67"/>
      <c r="Y12" s="68"/>
      <c r="AA12" s="81" t="s">
        <v>42</v>
      </c>
      <c r="AB12" s="67"/>
      <c r="AC12" s="68"/>
      <c r="AD12" s="77">
        <f>IFERROR(SUM(AD5:AH10),"")</f>
        <v>440</v>
      </c>
      <c r="AE12" s="67"/>
      <c r="AF12" s="67"/>
      <c r="AG12" s="67"/>
      <c r="AH12" s="68"/>
      <c r="AI12" s="71">
        <f>IFERROR(SUM(AI5:AM10),"")</f>
        <v>35</v>
      </c>
      <c r="AJ12" s="67"/>
      <c r="AK12" s="67"/>
      <c r="AL12" s="67"/>
      <c r="AM12" s="68"/>
      <c r="AN12" s="82">
        <f>IFERROR(SUM(AN5:AW10),"")</f>
        <v>1.3125</v>
      </c>
      <c r="AO12" s="67"/>
      <c r="AP12" s="67"/>
      <c r="AQ12" s="67"/>
      <c r="AR12" s="67"/>
      <c r="AS12" s="67"/>
      <c r="AT12" s="67"/>
      <c r="AU12" s="67"/>
      <c r="AV12" s="67"/>
      <c r="AW12" s="68"/>
      <c r="AY12" s="81" t="s">
        <v>42</v>
      </c>
      <c r="AZ12" s="67"/>
      <c r="BA12" s="68"/>
      <c r="BB12" s="77">
        <f>IFERROR(SUM(BB5:BF10),"")</f>
        <v>400</v>
      </c>
      <c r="BC12" s="67"/>
      <c r="BD12" s="67"/>
      <c r="BE12" s="67"/>
      <c r="BF12" s="68"/>
      <c r="BG12" s="71">
        <f>IFERROR(SUM(BG5:BK10),"")</f>
        <v>34</v>
      </c>
      <c r="BH12" s="67"/>
      <c r="BI12" s="67"/>
      <c r="BJ12" s="67"/>
      <c r="BK12" s="68"/>
      <c r="BL12" s="82">
        <f>IFERROR(SUM(BL5:BU10),"")</f>
        <v>1.37030303</v>
      </c>
      <c r="BM12" s="67"/>
      <c r="BN12" s="67"/>
      <c r="BO12" s="67"/>
      <c r="BP12" s="67"/>
      <c r="BQ12" s="67"/>
      <c r="BR12" s="67"/>
      <c r="BS12" s="67"/>
      <c r="BT12" s="67"/>
      <c r="BU12" s="68"/>
      <c r="BW12" s="81" t="s">
        <v>42</v>
      </c>
      <c r="BX12" s="67"/>
      <c r="BY12" s="68"/>
      <c r="BZ12" s="77">
        <f>IFERROR(SUM(BZ5:CD10),"")</f>
        <v>400</v>
      </c>
      <c r="CA12" s="67"/>
      <c r="CB12" s="67"/>
      <c r="CC12" s="67"/>
      <c r="CD12" s="68"/>
      <c r="CE12" s="71">
        <f>IFERROR(SUM(CE5:CI10),"")</f>
        <v>34</v>
      </c>
      <c r="CF12" s="67"/>
      <c r="CG12" s="67"/>
      <c r="CH12" s="67"/>
      <c r="CI12" s="68"/>
      <c r="CJ12" s="82">
        <f>IFERROR(SUM(CJ5:CS10),"")</f>
        <v>1.37030303</v>
      </c>
      <c r="CK12" s="67"/>
      <c r="CL12" s="67"/>
      <c r="CM12" s="67"/>
      <c r="CN12" s="67"/>
      <c r="CO12" s="67"/>
      <c r="CP12" s="67"/>
      <c r="CQ12" s="67"/>
      <c r="CR12" s="67"/>
      <c r="CS12" s="68"/>
    </row>
    <row r="13">
      <c r="C13" s="69" t="s">
        <v>7</v>
      </c>
      <c r="D13" s="67"/>
      <c r="E13" s="67"/>
      <c r="F13" s="67"/>
      <c r="G13" s="68"/>
      <c r="H13" s="70" t="s">
        <v>8</v>
      </c>
      <c r="I13" s="67"/>
      <c r="J13" s="67"/>
      <c r="K13" s="67"/>
      <c r="L13" s="68"/>
      <c r="M13" s="71"/>
      <c r="N13" s="67"/>
      <c r="O13" s="67"/>
      <c r="P13" s="67"/>
      <c r="Q13" s="68"/>
      <c r="R13" s="72" t="s">
        <v>9</v>
      </c>
      <c r="S13" s="67"/>
      <c r="T13" s="67"/>
      <c r="U13" s="67"/>
      <c r="V13" s="67"/>
      <c r="W13" s="68"/>
      <c r="X13" s="73">
        <v>110.0</v>
      </c>
      <c r="Y13" s="68"/>
      <c r="AA13" s="69" t="s">
        <v>7</v>
      </c>
      <c r="AB13" s="67"/>
      <c r="AC13" s="67"/>
      <c r="AD13" s="67"/>
      <c r="AE13" s="68"/>
      <c r="AF13" s="70" t="s">
        <v>43</v>
      </c>
      <c r="AG13" s="67"/>
      <c r="AH13" s="67"/>
      <c r="AI13" s="67"/>
      <c r="AJ13" s="68"/>
      <c r="AK13" s="71"/>
      <c r="AL13" s="67"/>
      <c r="AM13" s="67"/>
      <c r="AN13" s="67"/>
      <c r="AO13" s="68"/>
      <c r="AP13" s="72" t="s">
        <v>9</v>
      </c>
      <c r="AQ13" s="67"/>
      <c r="AR13" s="67"/>
      <c r="AS13" s="67"/>
      <c r="AT13" s="67"/>
      <c r="AU13" s="68"/>
      <c r="AV13" s="73">
        <v>185.0</v>
      </c>
      <c r="AW13" s="68"/>
      <c r="AY13" s="69" t="s">
        <v>7</v>
      </c>
      <c r="AZ13" s="67"/>
      <c r="BA13" s="67"/>
      <c r="BB13" s="67"/>
      <c r="BC13" s="68"/>
      <c r="BD13" s="70" t="s">
        <v>44</v>
      </c>
      <c r="BE13" s="67"/>
      <c r="BF13" s="67"/>
      <c r="BG13" s="67"/>
      <c r="BH13" s="68"/>
      <c r="BI13" s="71"/>
      <c r="BJ13" s="67"/>
      <c r="BK13" s="67"/>
      <c r="BL13" s="67"/>
      <c r="BM13" s="68"/>
      <c r="BN13" s="72" t="s">
        <v>9</v>
      </c>
      <c r="BO13" s="67"/>
      <c r="BP13" s="67"/>
      <c r="BQ13" s="67"/>
      <c r="BR13" s="67"/>
      <c r="BS13" s="68"/>
      <c r="BT13" s="73">
        <v>74.0</v>
      </c>
      <c r="BU13" s="68"/>
      <c r="BW13" s="69" t="s">
        <v>7</v>
      </c>
      <c r="BX13" s="67"/>
      <c r="BY13" s="67"/>
      <c r="BZ13" s="67"/>
      <c r="CA13" s="68"/>
      <c r="CB13" s="70" t="s">
        <v>44</v>
      </c>
      <c r="CC13" s="67"/>
      <c r="CD13" s="67"/>
      <c r="CE13" s="67"/>
      <c r="CF13" s="68"/>
      <c r="CG13" s="71"/>
      <c r="CH13" s="67"/>
      <c r="CI13" s="67"/>
      <c r="CJ13" s="67"/>
      <c r="CK13" s="68"/>
      <c r="CL13" s="72" t="s">
        <v>9</v>
      </c>
      <c r="CM13" s="67"/>
      <c r="CN13" s="67"/>
      <c r="CO13" s="67"/>
      <c r="CP13" s="67"/>
      <c r="CQ13" s="68"/>
      <c r="CR13" s="73">
        <v>74.0</v>
      </c>
      <c r="CS13" s="68"/>
    </row>
    <row r="14">
      <c r="C14" s="74" t="s">
        <v>23</v>
      </c>
      <c r="D14" s="67"/>
      <c r="E14" s="68"/>
      <c r="F14" s="74" t="s">
        <v>24</v>
      </c>
      <c r="G14" s="67"/>
      <c r="H14" s="67"/>
      <c r="I14" s="67"/>
      <c r="J14" s="68"/>
      <c r="K14" s="74" t="s">
        <v>25</v>
      </c>
      <c r="L14" s="67"/>
      <c r="M14" s="67"/>
      <c r="N14" s="67"/>
      <c r="O14" s="68"/>
      <c r="P14" s="74" t="s">
        <v>26</v>
      </c>
      <c r="Q14" s="67"/>
      <c r="R14" s="67"/>
      <c r="S14" s="67"/>
      <c r="T14" s="67"/>
      <c r="U14" s="67"/>
      <c r="V14" s="67"/>
      <c r="W14" s="67"/>
      <c r="X14" s="67"/>
      <c r="Y14" s="68"/>
      <c r="AA14" s="74" t="s">
        <v>23</v>
      </c>
      <c r="AB14" s="67"/>
      <c r="AC14" s="68"/>
      <c r="AD14" s="74" t="s">
        <v>24</v>
      </c>
      <c r="AE14" s="67"/>
      <c r="AF14" s="67"/>
      <c r="AG14" s="67"/>
      <c r="AH14" s="68"/>
      <c r="AI14" s="74" t="s">
        <v>25</v>
      </c>
      <c r="AJ14" s="67"/>
      <c r="AK14" s="67"/>
      <c r="AL14" s="67"/>
      <c r="AM14" s="68"/>
      <c r="AN14" s="74" t="s">
        <v>26</v>
      </c>
      <c r="AO14" s="67"/>
      <c r="AP14" s="67"/>
      <c r="AQ14" s="67"/>
      <c r="AR14" s="67"/>
      <c r="AS14" s="67"/>
      <c r="AT14" s="67"/>
      <c r="AU14" s="67"/>
      <c r="AV14" s="67"/>
      <c r="AW14" s="68"/>
      <c r="AY14" s="74" t="s">
        <v>23</v>
      </c>
      <c r="AZ14" s="67"/>
      <c r="BA14" s="68"/>
      <c r="BB14" s="74" t="s">
        <v>24</v>
      </c>
      <c r="BC14" s="67"/>
      <c r="BD14" s="67"/>
      <c r="BE14" s="67"/>
      <c r="BF14" s="68"/>
      <c r="BG14" s="74" t="s">
        <v>25</v>
      </c>
      <c r="BH14" s="67"/>
      <c r="BI14" s="67"/>
      <c r="BJ14" s="67"/>
      <c r="BK14" s="68"/>
      <c r="BL14" s="74" t="s">
        <v>26</v>
      </c>
      <c r="BM14" s="67"/>
      <c r="BN14" s="67"/>
      <c r="BO14" s="67"/>
      <c r="BP14" s="67"/>
      <c r="BQ14" s="67"/>
      <c r="BR14" s="67"/>
      <c r="BS14" s="67"/>
      <c r="BT14" s="67"/>
      <c r="BU14" s="68"/>
      <c r="BW14" s="74" t="s">
        <v>23</v>
      </c>
      <c r="BX14" s="67"/>
      <c r="BY14" s="68"/>
      <c r="BZ14" s="74" t="s">
        <v>24</v>
      </c>
      <c r="CA14" s="67"/>
      <c r="CB14" s="67"/>
      <c r="CC14" s="67"/>
      <c r="CD14" s="68"/>
      <c r="CE14" s="74" t="s">
        <v>25</v>
      </c>
      <c r="CF14" s="67"/>
      <c r="CG14" s="67"/>
      <c r="CH14" s="67"/>
      <c r="CI14" s="68"/>
      <c r="CJ14" s="74" t="s">
        <v>26</v>
      </c>
      <c r="CK14" s="67"/>
      <c r="CL14" s="67"/>
      <c r="CM14" s="67"/>
      <c r="CN14" s="67"/>
      <c r="CO14" s="67"/>
      <c r="CP14" s="67"/>
      <c r="CQ14" s="67"/>
      <c r="CR14" s="67"/>
      <c r="CS14" s="68"/>
    </row>
    <row r="15">
      <c r="C15" s="72">
        <v>1.0</v>
      </c>
      <c r="D15" s="67"/>
      <c r="E15" s="68"/>
      <c r="F15" s="75">
        <v>90.0</v>
      </c>
      <c r="G15" s="67"/>
      <c r="H15" s="67"/>
      <c r="I15" s="67"/>
      <c r="J15" s="68"/>
      <c r="K15" s="76">
        <v>6.0</v>
      </c>
      <c r="L15" s="67"/>
      <c r="M15" s="67"/>
      <c r="N15" s="67"/>
      <c r="O15" s="68"/>
      <c r="P15" s="77">
        <f>IF(AND(X13&lt;&gt;"",F15&lt;&gt;"",K15&lt;&gt;""),IFERROR(K15/(100-((F15/X13)*100)),""),"")</f>
        <v>0.33</v>
      </c>
      <c r="Q15" s="67"/>
      <c r="R15" s="67"/>
      <c r="S15" s="67"/>
      <c r="T15" s="67"/>
      <c r="U15" s="67"/>
      <c r="V15" s="67"/>
      <c r="W15" s="67"/>
      <c r="X15" s="67"/>
      <c r="Y15" s="68"/>
      <c r="AA15" s="72">
        <v>1.0</v>
      </c>
      <c r="AB15" s="67"/>
      <c r="AC15" s="68"/>
      <c r="AD15" s="75">
        <v>160.0</v>
      </c>
      <c r="AE15" s="67"/>
      <c r="AF15" s="67"/>
      <c r="AG15" s="67"/>
      <c r="AH15" s="68"/>
      <c r="AI15" s="76">
        <v>6.0</v>
      </c>
      <c r="AJ15" s="67"/>
      <c r="AK15" s="67"/>
      <c r="AL15" s="67"/>
      <c r="AM15" s="68"/>
      <c r="AN15" s="77">
        <f>IF(AND(AV13&lt;&gt;"",AD15&lt;&gt;"",AI15&lt;&gt;""),IFERROR(AI15/(100-((AD15/AV13)*100)),""),"")</f>
        <v>0.444</v>
      </c>
      <c r="AO15" s="67"/>
      <c r="AP15" s="67"/>
      <c r="AQ15" s="67"/>
      <c r="AR15" s="67"/>
      <c r="AS15" s="67"/>
      <c r="AT15" s="67"/>
      <c r="AU15" s="67"/>
      <c r="AV15" s="67"/>
      <c r="AW15" s="68"/>
      <c r="AY15" s="72">
        <v>1.0</v>
      </c>
      <c r="AZ15" s="67"/>
      <c r="BA15" s="68"/>
      <c r="BB15" s="75">
        <v>60.0</v>
      </c>
      <c r="BC15" s="67"/>
      <c r="BD15" s="67"/>
      <c r="BE15" s="67"/>
      <c r="BF15" s="68"/>
      <c r="BG15" s="76">
        <v>8.0</v>
      </c>
      <c r="BH15" s="67"/>
      <c r="BI15" s="67"/>
      <c r="BJ15" s="67"/>
      <c r="BK15" s="68"/>
      <c r="BL15" s="77">
        <f>IF(AND(BT13&lt;&gt;"",BB15&lt;&gt;"",BG15&lt;&gt;""),IFERROR(BG15/(100-((BB15/BT13)*100)),""),"")</f>
        <v>0.4228571429</v>
      </c>
      <c r="BM15" s="67"/>
      <c r="BN15" s="67"/>
      <c r="BO15" s="67"/>
      <c r="BP15" s="67"/>
      <c r="BQ15" s="67"/>
      <c r="BR15" s="67"/>
      <c r="BS15" s="67"/>
      <c r="BT15" s="67"/>
      <c r="BU15" s="68"/>
      <c r="BW15" s="72">
        <v>1.0</v>
      </c>
      <c r="BX15" s="67"/>
      <c r="BY15" s="68"/>
      <c r="BZ15" s="75">
        <v>60.0</v>
      </c>
      <c r="CA15" s="67"/>
      <c r="CB15" s="67"/>
      <c r="CC15" s="67"/>
      <c r="CD15" s="68"/>
      <c r="CE15" s="76">
        <v>8.0</v>
      </c>
      <c r="CF15" s="67"/>
      <c r="CG15" s="67"/>
      <c r="CH15" s="67"/>
      <c r="CI15" s="68"/>
      <c r="CJ15" s="77">
        <f>IF(AND(CR13&lt;&gt;"",BZ15&lt;&gt;"",CE15&lt;&gt;""),IFERROR(CE15/(100-((BZ15/CR13)*100)),""),"")</f>
        <v>0.4228571429</v>
      </c>
      <c r="CK15" s="67"/>
      <c r="CL15" s="67"/>
      <c r="CM15" s="67"/>
      <c r="CN15" s="67"/>
      <c r="CO15" s="67"/>
      <c r="CP15" s="67"/>
      <c r="CQ15" s="67"/>
      <c r="CR15" s="67"/>
      <c r="CS15" s="68"/>
    </row>
    <row r="16">
      <c r="C16" s="72">
        <v>2.0</v>
      </c>
      <c r="D16" s="67"/>
      <c r="E16" s="68"/>
      <c r="F16" s="75">
        <v>90.0</v>
      </c>
      <c r="G16" s="67"/>
      <c r="H16" s="67"/>
      <c r="I16" s="67"/>
      <c r="J16" s="68"/>
      <c r="K16" s="76">
        <v>6.0</v>
      </c>
      <c r="L16" s="67"/>
      <c r="M16" s="67"/>
      <c r="N16" s="67"/>
      <c r="O16" s="68"/>
      <c r="P16" s="77">
        <f>IF(AND(X13&lt;&gt;"",F16&lt;&gt;"",K16&lt;&gt;""),IFERROR(K16/(100-((F16/X13)*100)),""),"")</f>
        <v>0.33</v>
      </c>
      <c r="Q16" s="67"/>
      <c r="R16" s="67"/>
      <c r="S16" s="67"/>
      <c r="T16" s="67"/>
      <c r="U16" s="67"/>
      <c r="V16" s="67"/>
      <c r="W16" s="67"/>
      <c r="X16" s="67"/>
      <c r="Y16" s="68"/>
      <c r="AA16" s="72">
        <v>2.0</v>
      </c>
      <c r="AB16" s="67"/>
      <c r="AC16" s="68"/>
      <c r="AD16" s="75">
        <v>160.0</v>
      </c>
      <c r="AE16" s="67"/>
      <c r="AF16" s="67"/>
      <c r="AG16" s="67"/>
      <c r="AH16" s="68"/>
      <c r="AI16" s="76">
        <v>6.0</v>
      </c>
      <c r="AJ16" s="67"/>
      <c r="AK16" s="67"/>
      <c r="AL16" s="67"/>
      <c r="AM16" s="68"/>
      <c r="AN16" s="77">
        <f>IF(AND(AV13&lt;&gt;"",AD16&lt;&gt;"",AI16&lt;&gt;""),IFERROR(AI16/(100-((AD16/AV13)*100)),""),"")</f>
        <v>0.444</v>
      </c>
      <c r="AO16" s="67"/>
      <c r="AP16" s="67"/>
      <c r="AQ16" s="67"/>
      <c r="AR16" s="67"/>
      <c r="AS16" s="67"/>
      <c r="AT16" s="67"/>
      <c r="AU16" s="67"/>
      <c r="AV16" s="67"/>
      <c r="AW16" s="68"/>
      <c r="AY16" s="72">
        <v>2.0</v>
      </c>
      <c r="AZ16" s="67"/>
      <c r="BA16" s="68"/>
      <c r="BB16" s="75">
        <v>60.0</v>
      </c>
      <c r="BC16" s="67"/>
      <c r="BD16" s="67"/>
      <c r="BE16" s="67"/>
      <c r="BF16" s="68"/>
      <c r="BG16" s="76">
        <v>6.0</v>
      </c>
      <c r="BH16" s="67"/>
      <c r="BI16" s="67"/>
      <c r="BJ16" s="67"/>
      <c r="BK16" s="68"/>
      <c r="BL16" s="77">
        <f>IF(AND(BT13&lt;&gt;"",BB16&lt;&gt;"",BG16&lt;&gt;""),IFERROR(BG16/(100-((BB16/BT13)*100)),""),"")</f>
        <v>0.3171428571</v>
      </c>
      <c r="BM16" s="67"/>
      <c r="BN16" s="67"/>
      <c r="BO16" s="67"/>
      <c r="BP16" s="67"/>
      <c r="BQ16" s="67"/>
      <c r="BR16" s="67"/>
      <c r="BS16" s="67"/>
      <c r="BT16" s="67"/>
      <c r="BU16" s="68"/>
      <c r="BW16" s="72">
        <v>2.0</v>
      </c>
      <c r="BX16" s="67"/>
      <c r="BY16" s="68"/>
      <c r="BZ16" s="75">
        <v>60.0</v>
      </c>
      <c r="CA16" s="67"/>
      <c r="CB16" s="67"/>
      <c r="CC16" s="67"/>
      <c r="CD16" s="68"/>
      <c r="CE16" s="76">
        <v>6.0</v>
      </c>
      <c r="CF16" s="67"/>
      <c r="CG16" s="67"/>
      <c r="CH16" s="67"/>
      <c r="CI16" s="68"/>
      <c r="CJ16" s="77">
        <f>IF(AND(CR13&lt;&gt;"",BZ16&lt;&gt;"",CE16&lt;&gt;""),IFERROR(CE16/(100-((BZ16/CR13)*100)),""),"")</f>
        <v>0.3171428571</v>
      </c>
      <c r="CK16" s="67"/>
      <c r="CL16" s="67"/>
      <c r="CM16" s="67"/>
      <c r="CN16" s="67"/>
      <c r="CO16" s="67"/>
      <c r="CP16" s="67"/>
      <c r="CQ16" s="67"/>
      <c r="CR16" s="67"/>
      <c r="CS16" s="68"/>
    </row>
    <row r="17">
      <c r="C17" s="72">
        <v>3.0</v>
      </c>
      <c r="D17" s="67"/>
      <c r="E17" s="68"/>
      <c r="F17" s="75">
        <v>90.0</v>
      </c>
      <c r="G17" s="67"/>
      <c r="H17" s="67"/>
      <c r="I17" s="67"/>
      <c r="J17" s="68"/>
      <c r="K17" s="76">
        <v>5.0</v>
      </c>
      <c r="L17" s="67"/>
      <c r="M17" s="67"/>
      <c r="N17" s="67"/>
      <c r="O17" s="68"/>
      <c r="P17" s="77">
        <f>IF(AND(X13&lt;&gt;"",F17&lt;&gt;"",K17&lt;&gt;""),IFERROR(K17/(100-((F17/X13)*100)),""),"")</f>
        <v>0.275</v>
      </c>
      <c r="Q17" s="67"/>
      <c r="R17" s="67"/>
      <c r="S17" s="67"/>
      <c r="T17" s="67"/>
      <c r="U17" s="67"/>
      <c r="V17" s="67"/>
      <c r="W17" s="67"/>
      <c r="X17" s="67"/>
      <c r="Y17" s="68"/>
      <c r="AA17" s="72">
        <v>3.0</v>
      </c>
      <c r="AB17" s="67"/>
      <c r="AC17" s="68"/>
      <c r="AD17" s="75">
        <v>160.0</v>
      </c>
      <c r="AE17" s="67"/>
      <c r="AF17" s="67"/>
      <c r="AG17" s="67"/>
      <c r="AH17" s="68"/>
      <c r="AI17" s="76">
        <v>4.0</v>
      </c>
      <c r="AJ17" s="67"/>
      <c r="AK17" s="67"/>
      <c r="AL17" s="67"/>
      <c r="AM17" s="68"/>
      <c r="AN17" s="77">
        <f>IF(AND(AV13&lt;&gt;"",AD17&lt;&gt;"",AI17&lt;&gt;""),IFERROR(AI17/(100-((AD17/AV13)*100)),""),"")</f>
        <v>0.296</v>
      </c>
      <c r="AO17" s="67"/>
      <c r="AP17" s="67"/>
      <c r="AQ17" s="67"/>
      <c r="AR17" s="67"/>
      <c r="AS17" s="67"/>
      <c r="AT17" s="67"/>
      <c r="AU17" s="67"/>
      <c r="AV17" s="67"/>
      <c r="AW17" s="68"/>
      <c r="AY17" s="72">
        <v>3.0</v>
      </c>
      <c r="AZ17" s="67"/>
      <c r="BA17" s="68"/>
      <c r="BB17" s="75">
        <v>60.0</v>
      </c>
      <c r="BC17" s="67"/>
      <c r="BD17" s="67"/>
      <c r="BE17" s="67"/>
      <c r="BF17" s="68"/>
      <c r="BG17" s="76">
        <v>6.0</v>
      </c>
      <c r="BH17" s="67"/>
      <c r="BI17" s="67"/>
      <c r="BJ17" s="67"/>
      <c r="BK17" s="68"/>
      <c r="BL17" s="77">
        <f>IF(AND(BT13&lt;&gt;"",BB17&lt;&gt;"",BG17&lt;&gt;""),IFERROR(BG17/(100-((BB17/BT13)*100)),""),"")</f>
        <v>0.3171428571</v>
      </c>
      <c r="BM17" s="67"/>
      <c r="BN17" s="67"/>
      <c r="BO17" s="67"/>
      <c r="BP17" s="67"/>
      <c r="BQ17" s="67"/>
      <c r="BR17" s="67"/>
      <c r="BS17" s="67"/>
      <c r="BT17" s="67"/>
      <c r="BU17" s="68"/>
      <c r="BW17" s="72">
        <v>3.0</v>
      </c>
      <c r="BX17" s="67"/>
      <c r="BY17" s="68"/>
      <c r="BZ17" s="75">
        <v>60.0</v>
      </c>
      <c r="CA17" s="67"/>
      <c r="CB17" s="67"/>
      <c r="CC17" s="67"/>
      <c r="CD17" s="68"/>
      <c r="CE17" s="76">
        <v>6.0</v>
      </c>
      <c r="CF17" s="67"/>
      <c r="CG17" s="67"/>
      <c r="CH17" s="67"/>
      <c r="CI17" s="68"/>
      <c r="CJ17" s="77">
        <f>IF(AND(CR13&lt;&gt;"",BZ17&lt;&gt;"",CE17&lt;&gt;""),IFERROR(CE17/(100-((BZ17/CR13)*100)),""),"")</f>
        <v>0.3171428571</v>
      </c>
      <c r="CK17" s="67"/>
      <c r="CL17" s="67"/>
      <c r="CM17" s="67"/>
      <c r="CN17" s="67"/>
      <c r="CO17" s="67"/>
      <c r="CP17" s="67"/>
      <c r="CQ17" s="67"/>
      <c r="CR17" s="67"/>
      <c r="CS17" s="68"/>
    </row>
    <row r="18">
      <c r="C18" s="72">
        <v>4.0</v>
      </c>
      <c r="D18" s="67"/>
      <c r="E18" s="68"/>
      <c r="F18" s="75">
        <v>80.0</v>
      </c>
      <c r="G18" s="67"/>
      <c r="H18" s="67"/>
      <c r="I18" s="67"/>
      <c r="J18" s="68"/>
      <c r="K18" s="76">
        <v>5.0</v>
      </c>
      <c r="L18" s="67"/>
      <c r="M18" s="67"/>
      <c r="N18" s="67"/>
      <c r="O18" s="68"/>
      <c r="P18" s="77">
        <f>IF(AND(X13&lt;&gt;"",F18&lt;&gt;"",K18&lt;&gt;""),IFERROR(K18/(100-((F18/X13)*100)),""),"")</f>
        <v>0.1833333333</v>
      </c>
      <c r="Q18" s="67"/>
      <c r="R18" s="67"/>
      <c r="S18" s="67"/>
      <c r="T18" s="67"/>
      <c r="U18" s="67"/>
      <c r="V18" s="67"/>
      <c r="W18" s="67"/>
      <c r="X18" s="67"/>
      <c r="Y18" s="68"/>
      <c r="AA18" s="72">
        <v>4.0</v>
      </c>
      <c r="AB18" s="67"/>
      <c r="AC18" s="68"/>
      <c r="AD18" s="75"/>
      <c r="AE18" s="67"/>
      <c r="AF18" s="67"/>
      <c r="AG18" s="67"/>
      <c r="AH18" s="68"/>
      <c r="AI18" s="76"/>
      <c r="AJ18" s="67"/>
      <c r="AK18" s="67"/>
      <c r="AL18" s="67"/>
      <c r="AM18" s="68"/>
      <c r="AN18" s="77" t="str">
        <f>IF(AND(AV13&lt;&gt;"",AD18&lt;&gt;"",AI18&lt;&gt;""),IFERROR(AI18/(100-((AD18/AV13)*100)),""),"")</f>
        <v/>
      </c>
      <c r="AO18" s="67"/>
      <c r="AP18" s="67"/>
      <c r="AQ18" s="67"/>
      <c r="AR18" s="67"/>
      <c r="AS18" s="67"/>
      <c r="AT18" s="67"/>
      <c r="AU18" s="67"/>
      <c r="AV18" s="67"/>
      <c r="AW18" s="68"/>
      <c r="AY18" s="72">
        <v>4.0</v>
      </c>
      <c r="AZ18" s="67"/>
      <c r="BA18" s="68"/>
      <c r="BB18" s="75"/>
      <c r="BC18" s="67"/>
      <c r="BD18" s="67"/>
      <c r="BE18" s="67"/>
      <c r="BF18" s="68"/>
      <c r="BG18" s="76"/>
      <c r="BH18" s="67"/>
      <c r="BI18" s="67"/>
      <c r="BJ18" s="67"/>
      <c r="BK18" s="68"/>
      <c r="BL18" s="77" t="str">
        <f>IF(AND(BT13&lt;&gt;"",BB18&lt;&gt;"",BG18&lt;&gt;""),IFERROR(BG18/(100-((BB18/BT13)*100)),""),"")</f>
        <v/>
      </c>
      <c r="BM18" s="67"/>
      <c r="BN18" s="67"/>
      <c r="BO18" s="67"/>
      <c r="BP18" s="67"/>
      <c r="BQ18" s="67"/>
      <c r="BR18" s="67"/>
      <c r="BS18" s="67"/>
      <c r="BT18" s="67"/>
      <c r="BU18" s="68"/>
      <c r="BW18" s="72">
        <v>4.0</v>
      </c>
      <c r="BX18" s="67"/>
      <c r="BY18" s="68"/>
      <c r="BZ18" s="75"/>
      <c r="CA18" s="67"/>
      <c r="CB18" s="67"/>
      <c r="CC18" s="67"/>
      <c r="CD18" s="68"/>
      <c r="CE18" s="76"/>
      <c r="CF18" s="67"/>
      <c r="CG18" s="67"/>
      <c r="CH18" s="67"/>
      <c r="CI18" s="68"/>
      <c r="CJ18" s="77" t="str">
        <f>IF(AND(CR13&lt;&gt;"",BZ18&lt;&gt;"",CE18&lt;&gt;""),IFERROR(CE18/(100-((BZ18/CR13)*100)),""),"")</f>
        <v/>
      </c>
      <c r="CK18" s="67"/>
      <c r="CL18" s="67"/>
      <c r="CM18" s="67"/>
      <c r="CN18" s="67"/>
      <c r="CO18" s="67"/>
      <c r="CP18" s="67"/>
      <c r="CQ18" s="67"/>
      <c r="CR18" s="67"/>
      <c r="CS18" s="68"/>
    </row>
    <row r="19">
      <c r="C19" s="72">
        <v>5.0</v>
      </c>
      <c r="D19" s="67"/>
      <c r="E19" s="68"/>
      <c r="F19" s="75">
        <v>95.0</v>
      </c>
      <c r="G19" s="67"/>
      <c r="H19" s="67"/>
      <c r="I19" s="67"/>
      <c r="J19" s="68"/>
      <c r="K19" s="76">
        <v>4.0</v>
      </c>
      <c r="L19" s="67"/>
      <c r="M19" s="67"/>
      <c r="N19" s="67"/>
      <c r="O19" s="68"/>
      <c r="P19" s="77">
        <f>IF(AND(X13&lt;&gt;"",F19&lt;&gt;"",K19&lt;&gt;""),IFERROR(K19/(100-((F19/X13)*100)),""),"")</f>
        <v>0.2933333333</v>
      </c>
      <c r="Q19" s="67"/>
      <c r="R19" s="67"/>
      <c r="S19" s="67"/>
      <c r="T19" s="67"/>
      <c r="U19" s="67"/>
      <c r="V19" s="67"/>
      <c r="W19" s="67"/>
      <c r="X19" s="67"/>
      <c r="Y19" s="68"/>
      <c r="AA19" s="72">
        <v>5.0</v>
      </c>
      <c r="AB19" s="67"/>
      <c r="AC19" s="68"/>
      <c r="AD19" s="75"/>
      <c r="AE19" s="67"/>
      <c r="AF19" s="67"/>
      <c r="AG19" s="67"/>
      <c r="AH19" s="68"/>
      <c r="AI19" s="76"/>
      <c r="AJ19" s="67"/>
      <c r="AK19" s="67"/>
      <c r="AL19" s="67"/>
      <c r="AM19" s="68"/>
      <c r="AN19" s="77" t="str">
        <f>IF(AND(AV13&lt;&gt;"",AD19&lt;&gt;"",AI19&lt;&gt;""),IFERROR(AI19/(100-((AD19/AV13)*100)),""),"")</f>
        <v/>
      </c>
      <c r="AO19" s="67"/>
      <c r="AP19" s="67"/>
      <c r="AQ19" s="67"/>
      <c r="AR19" s="67"/>
      <c r="AS19" s="67"/>
      <c r="AT19" s="67"/>
      <c r="AU19" s="67"/>
      <c r="AV19" s="67"/>
      <c r="AW19" s="68"/>
      <c r="AY19" s="72">
        <v>5.0</v>
      </c>
      <c r="AZ19" s="67"/>
      <c r="BA19" s="68"/>
      <c r="BB19" s="75"/>
      <c r="BC19" s="67"/>
      <c r="BD19" s="67"/>
      <c r="BE19" s="67"/>
      <c r="BF19" s="68"/>
      <c r="BG19" s="76"/>
      <c r="BH19" s="67"/>
      <c r="BI19" s="67"/>
      <c r="BJ19" s="67"/>
      <c r="BK19" s="68"/>
      <c r="BL19" s="77" t="str">
        <f>IF(AND(BT13&lt;&gt;"",BB19&lt;&gt;"",BG19&lt;&gt;""),IFERROR(BG19/(100-((BB19/BT13)*100)),""),"")</f>
        <v/>
      </c>
      <c r="BM19" s="67"/>
      <c r="BN19" s="67"/>
      <c r="BO19" s="67"/>
      <c r="BP19" s="67"/>
      <c r="BQ19" s="67"/>
      <c r="BR19" s="67"/>
      <c r="BS19" s="67"/>
      <c r="BT19" s="67"/>
      <c r="BU19" s="68"/>
      <c r="BW19" s="72">
        <v>5.0</v>
      </c>
      <c r="BX19" s="67"/>
      <c r="BY19" s="68"/>
      <c r="BZ19" s="75"/>
      <c r="CA19" s="67"/>
      <c r="CB19" s="67"/>
      <c r="CC19" s="67"/>
      <c r="CD19" s="68"/>
      <c r="CE19" s="76"/>
      <c r="CF19" s="67"/>
      <c r="CG19" s="67"/>
      <c r="CH19" s="67"/>
      <c r="CI19" s="68"/>
      <c r="CJ19" s="77" t="str">
        <f>IF(AND(CR13&lt;&gt;"",BZ19&lt;&gt;"",CE19&lt;&gt;""),IFERROR(CE19/(100-((BZ19/CR13)*100)),""),"")</f>
        <v/>
      </c>
      <c r="CK19" s="67"/>
      <c r="CL19" s="67"/>
      <c r="CM19" s="67"/>
      <c r="CN19" s="67"/>
      <c r="CO19" s="67"/>
      <c r="CP19" s="67"/>
      <c r="CQ19" s="67"/>
      <c r="CR19" s="67"/>
      <c r="CS19" s="68"/>
    </row>
    <row r="20">
      <c r="C20" s="72">
        <v>6.0</v>
      </c>
      <c r="D20" s="67"/>
      <c r="E20" s="68"/>
      <c r="F20" s="75">
        <v>70.0</v>
      </c>
      <c r="G20" s="67"/>
      <c r="H20" s="67"/>
      <c r="I20" s="67"/>
      <c r="J20" s="68"/>
      <c r="K20" s="76">
        <v>14.0</v>
      </c>
      <c r="L20" s="67"/>
      <c r="M20" s="67"/>
      <c r="N20" s="67"/>
      <c r="O20" s="68"/>
      <c r="P20" s="77">
        <f>IF(AND(X13&lt;&gt;"",F20&lt;&gt;"",K20&lt;&gt;""),IFERROR(K20/(100-((F20/X13)*100)),""),"")</f>
        <v>0.385</v>
      </c>
      <c r="Q20" s="67"/>
      <c r="R20" s="67"/>
      <c r="S20" s="67"/>
      <c r="T20" s="67"/>
      <c r="U20" s="67"/>
      <c r="V20" s="67"/>
      <c r="W20" s="67"/>
      <c r="X20" s="67"/>
      <c r="Y20" s="68"/>
      <c r="AA20" s="78"/>
      <c r="AB20" s="79">
        <v>6.0</v>
      </c>
      <c r="AC20" s="80"/>
      <c r="AD20" s="75"/>
      <c r="AE20" s="67"/>
      <c r="AF20" s="67"/>
      <c r="AG20" s="67"/>
      <c r="AH20" s="68"/>
      <c r="AI20" s="76"/>
      <c r="AJ20" s="67"/>
      <c r="AK20" s="67"/>
      <c r="AL20" s="67"/>
      <c r="AM20" s="68"/>
      <c r="AN20" s="77" t="str">
        <f>IF(AND(AV13&lt;&gt;"",AD20&lt;&gt;"",AI20&lt;&gt;""),IFERROR(AI20/(100-((AD20/AV13)*100)),""),"")</f>
        <v/>
      </c>
      <c r="AO20" s="67"/>
      <c r="AP20" s="67"/>
      <c r="AQ20" s="67"/>
      <c r="AR20" s="67"/>
      <c r="AS20" s="67"/>
      <c r="AT20" s="67"/>
      <c r="AU20" s="67"/>
      <c r="AV20" s="67"/>
      <c r="AW20" s="68"/>
      <c r="AY20" s="78"/>
      <c r="AZ20" s="79">
        <v>6.0</v>
      </c>
      <c r="BA20" s="80"/>
      <c r="BB20" s="75"/>
      <c r="BC20" s="67"/>
      <c r="BD20" s="67"/>
      <c r="BE20" s="67"/>
      <c r="BF20" s="68"/>
      <c r="BG20" s="76"/>
      <c r="BH20" s="67"/>
      <c r="BI20" s="67"/>
      <c r="BJ20" s="67"/>
      <c r="BK20" s="68"/>
      <c r="BL20" s="77" t="str">
        <f>IF(AND(BT13&lt;&gt;"",BB20&lt;&gt;"",BG20&lt;&gt;""),IFERROR(BG20/(100-((BB20/BT13)*100)),""),"")</f>
        <v/>
      </c>
      <c r="BM20" s="67"/>
      <c r="BN20" s="67"/>
      <c r="BO20" s="67"/>
      <c r="BP20" s="67"/>
      <c r="BQ20" s="67"/>
      <c r="BR20" s="67"/>
      <c r="BS20" s="67"/>
      <c r="BT20" s="67"/>
      <c r="BU20" s="68"/>
      <c r="BW20" s="78"/>
      <c r="BX20" s="79">
        <v>6.0</v>
      </c>
      <c r="BY20" s="80"/>
      <c r="BZ20" s="75"/>
      <c r="CA20" s="67"/>
      <c r="CB20" s="67"/>
      <c r="CC20" s="67"/>
      <c r="CD20" s="68"/>
      <c r="CE20" s="76"/>
      <c r="CF20" s="67"/>
      <c r="CG20" s="67"/>
      <c r="CH20" s="67"/>
      <c r="CI20" s="68"/>
      <c r="CJ20" s="77" t="str">
        <f>IF(AND(CR13&lt;&gt;"",BZ20&lt;&gt;"",CE20&lt;&gt;""),IFERROR(CE20/(100-((BZ20/CR13)*100)),""),"")</f>
        <v/>
      </c>
      <c r="CK20" s="67"/>
      <c r="CL20" s="67"/>
      <c r="CM20" s="67"/>
      <c r="CN20" s="67"/>
      <c r="CO20" s="67"/>
      <c r="CP20" s="67"/>
      <c r="CQ20" s="67"/>
      <c r="CR20" s="67"/>
      <c r="CS20" s="68"/>
    </row>
    <row r="21" ht="15.75" customHeight="1">
      <c r="C21" s="72" t="s">
        <v>31</v>
      </c>
      <c r="D21" s="67"/>
      <c r="E21" s="68"/>
      <c r="F21" s="77">
        <f>IFERROR(AVERAGE(F15:J19),"")</f>
        <v>89</v>
      </c>
      <c r="G21" s="67"/>
      <c r="H21" s="67"/>
      <c r="I21" s="67"/>
      <c r="J21" s="68"/>
      <c r="K21" s="71">
        <f>IFERROR(AVERAGE(K15:O19),"")</f>
        <v>5.2</v>
      </c>
      <c r="L21" s="67"/>
      <c r="M21" s="67"/>
      <c r="N21" s="67"/>
      <c r="O21" s="68"/>
      <c r="P21" s="77">
        <f>IFERROR(AVERAGE(P15:Y19),"")</f>
        <v>0.2823333333</v>
      </c>
      <c r="Q21" s="67"/>
      <c r="R21" s="67"/>
      <c r="S21" s="67"/>
      <c r="T21" s="67"/>
      <c r="U21" s="67"/>
      <c r="V21" s="67"/>
      <c r="W21" s="67"/>
      <c r="X21" s="67"/>
      <c r="Y21" s="68"/>
      <c r="AA21" s="72" t="s">
        <v>31</v>
      </c>
      <c r="AB21" s="67"/>
      <c r="AC21" s="68"/>
      <c r="AD21" s="77">
        <f>IFERROR(AVERAGE(AD15:AH19),"")</f>
        <v>160</v>
      </c>
      <c r="AE21" s="67"/>
      <c r="AF21" s="67"/>
      <c r="AG21" s="67"/>
      <c r="AH21" s="68"/>
      <c r="AI21" s="71">
        <f>IFERROR(AVERAGE(AI15:AM19),"")</f>
        <v>5.333333333</v>
      </c>
      <c r="AJ21" s="67"/>
      <c r="AK21" s="67"/>
      <c r="AL21" s="67"/>
      <c r="AM21" s="68"/>
      <c r="AN21" s="77">
        <f>IFERROR(AVERAGE(AN15:AW19),"")</f>
        <v>0.3946666667</v>
      </c>
      <c r="AO21" s="67"/>
      <c r="AP21" s="67"/>
      <c r="AQ21" s="67"/>
      <c r="AR21" s="67"/>
      <c r="AS21" s="67"/>
      <c r="AT21" s="67"/>
      <c r="AU21" s="67"/>
      <c r="AV21" s="67"/>
      <c r="AW21" s="68"/>
      <c r="AY21" s="72" t="s">
        <v>31</v>
      </c>
      <c r="AZ21" s="67"/>
      <c r="BA21" s="68"/>
      <c r="BB21" s="77">
        <f>IFERROR(AVERAGE(BB15:BF19),"")</f>
        <v>60</v>
      </c>
      <c r="BC21" s="67"/>
      <c r="BD21" s="67"/>
      <c r="BE21" s="67"/>
      <c r="BF21" s="68"/>
      <c r="BG21" s="71">
        <f>IFERROR(AVERAGE(BG15:BK19),"")</f>
        <v>6.666666667</v>
      </c>
      <c r="BH21" s="67"/>
      <c r="BI21" s="67"/>
      <c r="BJ21" s="67"/>
      <c r="BK21" s="68"/>
      <c r="BL21" s="77">
        <f>IFERROR(AVERAGE(BL15:BU19),"")</f>
        <v>0.3523809524</v>
      </c>
      <c r="BM21" s="67"/>
      <c r="BN21" s="67"/>
      <c r="BO21" s="67"/>
      <c r="BP21" s="67"/>
      <c r="BQ21" s="67"/>
      <c r="BR21" s="67"/>
      <c r="BS21" s="67"/>
      <c r="BT21" s="67"/>
      <c r="BU21" s="68"/>
      <c r="BW21" s="72" t="s">
        <v>31</v>
      </c>
      <c r="BX21" s="67"/>
      <c r="BY21" s="68"/>
      <c r="BZ21" s="77">
        <f>IFERROR(AVERAGE(BZ15:CD19),"")</f>
        <v>60</v>
      </c>
      <c r="CA21" s="67"/>
      <c r="CB21" s="67"/>
      <c r="CC21" s="67"/>
      <c r="CD21" s="68"/>
      <c r="CE21" s="71">
        <f>IFERROR(AVERAGE(CE15:CI19),"")</f>
        <v>6.666666667</v>
      </c>
      <c r="CF21" s="67"/>
      <c r="CG21" s="67"/>
      <c r="CH21" s="67"/>
      <c r="CI21" s="68"/>
      <c r="CJ21" s="77">
        <f>IFERROR(AVERAGE(CJ15:CS19),"")</f>
        <v>0.3523809524</v>
      </c>
      <c r="CK21" s="67"/>
      <c r="CL21" s="67"/>
      <c r="CM21" s="67"/>
      <c r="CN21" s="67"/>
      <c r="CO21" s="67"/>
      <c r="CP21" s="67"/>
      <c r="CQ21" s="67"/>
      <c r="CR21" s="67"/>
      <c r="CS21" s="68"/>
    </row>
    <row r="22" ht="30.0" customHeight="1">
      <c r="C22" s="81" t="s">
        <v>42</v>
      </c>
      <c r="D22" s="67"/>
      <c r="E22" s="68"/>
      <c r="F22" s="77">
        <f>IFERROR(SUM(F15:J19),"")</f>
        <v>445</v>
      </c>
      <c r="G22" s="67"/>
      <c r="H22" s="67"/>
      <c r="I22" s="67"/>
      <c r="J22" s="68"/>
      <c r="K22" s="71">
        <f>IFERROR(SUM(K15:O19),"")</f>
        <v>26</v>
      </c>
      <c r="L22" s="67"/>
      <c r="M22" s="67"/>
      <c r="N22" s="67"/>
      <c r="O22" s="68"/>
      <c r="P22" s="82">
        <f>IFERROR(SUM(P15:Y20),"")</f>
        <v>1.796666667</v>
      </c>
      <c r="Q22" s="67"/>
      <c r="R22" s="67"/>
      <c r="S22" s="67"/>
      <c r="T22" s="67"/>
      <c r="U22" s="67"/>
      <c r="V22" s="67"/>
      <c r="W22" s="67"/>
      <c r="X22" s="67"/>
      <c r="Y22" s="68"/>
      <c r="AA22" s="81" t="s">
        <v>42</v>
      </c>
      <c r="AB22" s="67"/>
      <c r="AC22" s="68"/>
      <c r="AD22" s="77">
        <f>IFERROR(SUM(AD15:AH19),"")</f>
        <v>480</v>
      </c>
      <c r="AE22" s="67"/>
      <c r="AF22" s="67"/>
      <c r="AG22" s="67"/>
      <c r="AH22" s="68"/>
      <c r="AI22" s="71">
        <f>IFERROR(SUM(AI15:AM19),"")</f>
        <v>16</v>
      </c>
      <c r="AJ22" s="67"/>
      <c r="AK22" s="67"/>
      <c r="AL22" s="67"/>
      <c r="AM22" s="68"/>
      <c r="AN22" s="82">
        <f>IFERROR(SUM(AN15:AW20),"")</f>
        <v>1.184</v>
      </c>
      <c r="AO22" s="67"/>
      <c r="AP22" s="67"/>
      <c r="AQ22" s="67"/>
      <c r="AR22" s="67"/>
      <c r="AS22" s="67"/>
      <c r="AT22" s="67"/>
      <c r="AU22" s="67"/>
      <c r="AV22" s="67"/>
      <c r="AW22" s="68"/>
      <c r="AY22" s="81" t="s">
        <v>42</v>
      </c>
      <c r="AZ22" s="67"/>
      <c r="BA22" s="68"/>
      <c r="BB22" s="77">
        <f>IFERROR(SUM(BB15:BF19),"")</f>
        <v>180</v>
      </c>
      <c r="BC22" s="67"/>
      <c r="BD22" s="67"/>
      <c r="BE22" s="67"/>
      <c r="BF22" s="68"/>
      <c r="BG22" s="71">
        <f>IFERROR(SUM(BG15:BK19),"")</f>
        <v>20</v>
      </c>
      <c r="BH22" s="67"/>
      <c r="BI22" s="67"/>
      <c r="BJ22" s="67"/>
      <c r="BK22" s="68"/>
      <c r="BL22" s="82">
        <f>IFERROR(SUM(BL15:BU20),"")</f>
        <v>1.057142857</v>
      </c>
      <c r="BM22" s="67"/>
      <c r="BN22" s="67"/>
      <c r="BO22" s="67"/>
      <c r="BP22" s="67"/>
      <c r="BQ22" s="67"/>
      <c r="BR22" s="67"/>
      <c r="BS22" s="67"/>
      <c r="BT22" s="67"/>
      <c r="BU22" s="68"/>
      <c r="BW22" s="81" t="s">
        <v>42</v>
      </c>
      <c r="BX22" s="67"/>
      <c r="BY22" s="68"/>
      <c r="BZ22" s="77">
        <f>IFERROR(SUM(BZ15:CD19),"")</f>
        <v>180</v>
      </c>
      <c r="CA22" s="67"/>
      <c r="CB22" s="67"/>
      <c r="CC22" s="67"/>
      <c r="CD22" s="68"/>
      <c r="CE22" s="71">
        <f>IFERROR(SUM(CE15:CI19),"")</f>
        <v>20</v>
      </c>
      <c r="CF22" s="67"/>
      <c r="CG22" s="67"/>
      <c r="CH22" s="67"/>
      <c r="CI22" s="68"/>
      <c r="CJ22" s="82">
        <f>IFERROR(SUM(CJ15:CS20),"")</f>
        <v>1.057142857</v>
      </c>
      <c r="CK22" s="67"/>
      <c r="CL22" s="67"/>
      <c r="CM22" s="67"/>
      <c r="CN22" s="67"/>
      <c r="CO22" s="67"/>
      <c r="CP22" s="67"/>
      <c r="CQ22" s="67"/>
      <c r="CR22" s="67"/>
      <c r="CS22" s="68"/>
    </row>
    <row r="23" ht="15.75" customHeight="1">
      <c r="C23" s="69" t="s">
        <v>7</v>
      </c>
      <c r="D23" s="67"/>
      <c r="E23" s="67"/>
      <c r="F23" s="67"/>
      <c r="G23" s="68"/>
      <c r="H23" s="70" t="s">
        <v>45</v>
      </c>
      <c r="I23" s="67"/>
      <c r="J23" s="67"/>
      <c r="K23" s="67"/>
      <c r="L23" s="68"/>
      <c r="M23" s="71"/>
      <c r="N23" s="67"/>
      <c r="O23" s="67"/>
      <c r="P23" s="67"/>
      <c r="Q23" s="68"/>
      <c r="R23" s="72" t="s">
        <v>9</v>
      </c>
      <c r="S23" s="67"/>
      <c r="T23" s="67"/>
      <c r="U23" s="67"/>
      <c r="V23" s="67"/>
      <c r="W23" s="68"/>
      <c r="X23" s="73">
        <v>93.0</v>
      </c>
      <c r="Y23" s="68"/>
      <c r="AA23" s="69" t="s">
        <v>7</v>
      </c>
      <c r="AB23" s="67"/>
      <c r="AC23" s="67"/>
      <c r="AD23" s="67"/>
      <c r="AE23" s="68"/>
      <c r="AF23" s="70" t="s">
        <v>46</v>
      </c>
      <c r="AG23" s="67"/>
      <c r="AH23" s="67"/>
      <c r="AI23" s="67"/>
      <c r="AJ23" s="68"/>
      <c r="AK23" s="71"/>
      <c r="AL23" s="67"/>
      <c r="AM23" s="67"/>
      <c r="AN23" s="67"/>
      <c r="AO23" s="68"/>
      <c r="AP23" s="72" t="s">
        <v>9</v>
      </c>
      <c r="AQ23" s="67"/>
      <c r="AR23" s="67"/>
      <c r="AS23" s="67"/>
      <c r="AT23" s="67"/>
      <c r="AU23" s="68"/>
      <c r="AV23" s="73">
        <v>86.0</v>
      </c>
      <c r="AW23" s="68"/>
      <c r="AY23" s="69" t="s">
        <v>7</v>
      </c>
      <c r="AZ23" s="67"/>
      <c r="BA23" s="67"/>
      <c r="BB23" s="67"/>
      <c r="BC23" s="68"/>
      <c r="BD23" s="70" t="s">
        <v>47</v>
      </c>
      <c r="BE23" s="67"/>
      <c r="BF23" s="67"/>
      <c r="BG23" s="67"/>
      <c r="BH23" s="68"/>
      <c r="BI23" s="71"/>
      <c r="BJ23" s="67"/>
      <c r="BK23" s="67"/>
      <c r="BL23" s="67"/>
      <c r="BM23" s="68"/>
      <c r="BN23" s="72" t="s">
        <v>9</v>
      </c>
      <c r="BO23" s="67"/>
      <c r="BP23" s="67"/>
      <c r="BQ23" s="67"/>
      <c r="BR23" s="67"/>
      <c r="BS23" s="68"/>
      <c r="BT23" s="73">
        <v>85.0</v>
      </c>
      <c r="BU23" s="68"/>
      <c r="BW23" s="69" t="s">
        <v>7</v>
      </c>
      <c r="BX23" s="67"/>
      <c r="BY23" s="67"/>
      <c r="BZ23" s="67"/>
      <c r="CA23" s="68"/>
      <c r="CB23" s="70" t="s">
        <v>47</v>
      </c>
      <c r="CC23" s="67"/>
      <c r="CD23" s="67"/>
      <c r="CE23" s="67"/>
      <c r="CF23" s="68"/>
      <c r="CG23" s="71"/>
      <c r="CH23" s="67"/>
      <c r="CI23" s="67"/>
      <c r="CJ23" s="67"/>
      <c r="CK23" s="68"/>
      <c r="CL23" s="72" t="s">
        <v>9</v>
      </c>
      <c r="CM23" s="67"/>
      <c r="CN23" s="67"/>
      <c r="CO23" s="67"/>
      <c r="CP23" s="67"/>
      <c r="CQ23" s="68"/>
      <c r="CR23" s="73">
        <v>85.0</v>
      </c>
      <c r="CS23" s="68"/>
    </row>
    <row r="24" ht="15.75" customHeight="1">
      <c r="C24" s="74" t="s">
        <v>23</v>
      </c>
      <c r="D24" s="67"/>
      <c r="E24" s="68"/>
      <c r="F24" s="74" t="s">
        <v>24</v>
      </c>
      <c r="G24" s="67"/>
      <c r="H24" s="67"/>
      <c r="I24" s="67"/>
      <c r="J24" s="68"/>
      <c r="K24" s="74" t="s">
        <v>25</v>
      </c>
      <c r="L24" s="67"/>
      <c r="M24" s="67"/>
      <c r="N24" s="67"/>
      <c r="O24" s="68"/>
      <c r="P24" s="74" t="s">
        <v>26</v>
      </c>
      <c r="Q24" s="67"/>
      <c r="R24" s="67"/>
      <c r="S24" s="67"/>
      <c r="T24" s="67"/>
      <c r="U24" s="67"/>
      <c r="V24" s="67"/>
      <c r="W24" s="67"/>
      <c r="X24" s="67"/>
      <c r="Y24" s="68"/>
      <c r="AA24" s="74" t="s">
        <v>23</v>
      </c>
      <c r="AB24" s="67"/>
      <c r="AC24" s="68"/>
      <c r="AD24" s="74" t="s">
        <v>24</v>
      </c>
      <c r="AE24" s="67"/>
      <c r="AF24" s="67"/>
      <c r="AG24" s="67"/>
      <c r="AH24" s="68"/>
      <c r="AI24" s="74" t="s">
        <v>25</v>
      </c>
      <c r="AJ24" s="67"/>
      <c r="AK24" s="67"/>
      <c r="AL24" s="67"/>
      <c r="AM24" s="68"/>
      <c r="AN24" s="74" t="s">
        <v>26</v>
      </c>
      <c r="AO24" s="67"/>
      <c r="AP24" s="67"/>
      <c r="AQ24" s="67"/>
      <c r="AR24" s="67"/>
      <c r="AS24" s="67"/>
      <c r="AT24" s="67"/>
      <c r="AU24" s="67"/>
      <c r="AV24" s="67"/>
      <c r="AW24" s="68"/>
      <c r="AY24" s="74" t="s">
        <v>23</v>
      </c>
      <c r="AZ24" s="67"/>
      <c r="BA24" s="68"/>
      <c r="BB24" s="74" t="s">
        <v>24</v>
      </c>
      <c r="BC24" s="67"/>
      <c r="BD24" s="67"/>
      <c r="BE24" s="67"/>
      <c r="BF24" s="68"/>
      <c r="BG24" s="74" t="s">
        <v>25</v>
      </c>
      <c r="BH24" s="67"/>
      <c r="BI24" s="67"/>
      <c r="BJ24" s="67"/>
      <c r="BK24" s="68"/>
      <c r="BL24" s="74" t="s">
        <v>26</v>
      </c>
      <c r="BM24" s="67"/>
      <c r="BN24" s="67"/>
      <c r="BO24" s="67"/>
      <c r="BP24" s="67"/>
      <c r="BQ24" s="67"/>
      <c r="BR24" s="67"/>
      <c r="BS24" s="67"/>
      <c r="BT24" s="67"/>
      <c r="BU24" s="68"/>
      <c r="BW24" s="74" t="s">
        <v>23</v>
      </c>
      <c r="BX24" s="67"/>
      <c r="BY24" s="68"/>
      <c r="BZ24" s="74" t="s">
        <v>24</v>
      </c>
      <c r="CA24" s="67"/>
      <c r="CB24" s="67"/>
      <c r="CC24" s="67"/>
      <c r="CD24" s="68"/>
      <c r="CE24" s="74" t="s">
        <v>25</v>
      </c>
      <c r="CF24" s="67"/>
      <c r="CG24" s="67"/>
      <c r="CH24" s="67"/>
      <c r="CI24" s="68"/>
      <c r="CJ24" s="74" t="s">
        <v>26</v>
      </c>
      <c r="CK24" s="67"/>
      <c r="CL24" s="67"/>
      <c r="CM24" s="67"/>
      <c r="CN24" s="67"/>
      <c r="CO24" s="67"/>
      <c r="CP24" s="67"/>
      <c r="CQ24" s="67"/>
      <c r="CR24" s="67"/>
      <c r="CS24" s="68"/>
    </row>
    <row r="25" ht="15.75" customHeight="1">
      <c r="C25" s="72">
        <v>1.0</v>
      </c>
      <c r="D25" s="67"/>
      <c r="E25" s="68"/>
      <c r="F25" s="75">
        <v>65.0</v>
      </c>
      <c r="G25" s="67"/>
      <c r="H25" s="67"/>
      <c r="I25" s="67"/>
      <c r="J25" s="68"/>
      <c r="K25" s="76">
        <v>12.0</v>
      </c>
      <c r="L25" s="67"/>
      <c r="M25" s="67"/>
      <c r="N25" s="67"/>
      <c r="O25" s="68"/>
      <c r="P25" s="77">
        <f>IF(AND(X23&lt;&gt;"",F25&lt;&gt;"",K25&lt;&gt;""),IFERROR(K25/(100-((F25/X23)*100)),""),"")</f>
        <v>0.3985714286</v>
      </c>
      <c r="Q25" s="67"/>
      <c r="R25" s="67"/>
      <c r="S25" s="67"/>
      <c r="T25" s="67"/>
      <c r="U25" s="67"/>
      <c r="V25" s="67"/>
      <c r="W25" s="67"/>
      <c r="X25" s="67"/>
      <c r="Y25" s="68"/>
      <c r="AA25" s="72">
        <v>1.0</v>
      </c>
      <c r="AB25" s="67"/>
      <c r="AC25" s="68"/>
      <c r="AD25" s="75">
        <v>60.0</v>
      </c>
      <c r="AE25" s="67"/>
      <c r="AF25" s="67"/>
      <c r="AG25" s="67"/>
      <c r="AH25" s="68"/>
      <c r="AI25" s="76">
        <v>12.0</v>
      </c>
      <c r="AJ25" s="67"/>
      <c r="AK25" s="67"/>
      <c r="AL25" s="67"/>
      <c r="AM25" s="68"/>
      <c r="AN25" s="77">
        <f>IF(AND(AV23&lt;&gt;"",AD25&lt;&gt;"",AI25&lt;&gt;""),IFERROR(AI25/(100-((AD25/AV23)*100)),""),"")</f>
        <v>0.3969230769</v>
      </c>
      <c r="AO25" s="67"/>
      <c r="AP25" s="67"/>
      <c r="AQ25" s="67"/>
      <c r="AR25" s="67"/>
      <c r="AS25" s="67"/>
      <c r="AT25" s="67"/>
      <c r="AU25" s="67"/>
      <c r="AV25" s="67"/>
      <c r="AW25" s="68"/>
      <c r="AY25" s="72">
        <v>1.0</v>
      </c>
      <c r="AZ25" s="67"/>
      <c r="BA25" s="68"/>
      <c r="BB25" s="75">
        <v>50.0</v>
      </c>
      <c r="BC25" s="67"/>
      <c r="BD25" s="67"/>
      <c r="BE25" s="67"/>
      <c r="BF25" s="68"/>
      <c r="BG25" s="76">
        <v>16.0</v>
      </c>
      <c r="BH25" s="67"/>
      <c r="BI25" s="67"/>
      <c r="BJ25" s="67"/>
      <c r="BK25" s="68"/>
      <c r="BL25" s="77">
        <f>IF(AND(BT23&lt;&gt;"",BB25&lt;&gt;"",BG25&lt;&gt;""),IFERROR(BG25/(100-((BB25/BT23)*100)),""),"")</f>
        <v>0.3885714286</v>
      </c>
      <c r="BM25" s="67"/>
      <c r="BN25" s="67"/>
      <c r="BO25" s="67"/>
      <c r="BP25" s="67"/>
      <c r="BQ25" s="67"/>
      <c r="BR25" s="67"/>
      <c r="BS25" s="67"/>
      <c r="BT25" s="67"/>
      <c r="BU25" s="68"/>
      <c r="BW25" s="72">
        <v>1.0</v>
      </c>
      <c r="BX25" s="67"/>
      <c r="BY25" s="68"/>
      <c r="BZ25" s="75">
        <v>50.0</v>
      </c>
      <c r="CA25" s="67"/>
      <c r="CB25" s="67"/>
      <c r="CC25" s="67"/>
      <c r="CD25" s="68"/>
      <c r="CE25" s="76">
        <v>16.0</v>
      </c>
      <c r="CF25" s="67"/>
      <c r="CG25" s="67"/>
      <c r="CH25" s="67"/>
      <c r="CI25" s="68"/>
      <c r="CJ25" s="77">
        <f>IF(AND(CR23&lt;&gt;"",BZ25&lt;&gt;"",CE25&lt;&gt;""),IFERROR(CE25/(100-((BZ25/CR23)*100)),""),"")</f>
        <v>0.3885714286</v>
      </c>
      <c r="CK25" s="67"/>
      <c r="CL25" s="67"/>
      <c r="CM25" s="67"/>
      <c r="CN25" s="67"/>
      <c r="CO25" s="67"/>
      <c r="CP25" s="67"/>
      <c r="CQ25" s="67"/>
      <c r="CR25" s="67"/>
      <c r="CS25" s="68"/>
    </row>
    <row r="26" ht="15.75" customHeight="1">
      <c r="C26" s="72">
        <v>2.0</v>
      </c>
      <c r="D26" s="67"/>
      <c r="E26" s="68"/>
      <c r="F26" s="75">
        <v>65.0</v>
      </c>
      <c r="G26" s="67"/>
      <c r="H26" s="67"/>
      <c r="I26" s="67"/>
      <c r="J26" s="68"/>
      <c r="K26" s="76">
        <v>12.0</v>
      </c>
      <c r="L26" s="67"/>
      <c r="M26" s="67"/>
      <c r="N26" s="67"/>
      <c r="O26" s="68"/>
      <c r="P26" s="77">
        <f>IF(AND(X23&lt;&gt;"",F26&lt;&gt;"",K26&lt;&gt;""),IFERROR(K26/(100-((F26/X23)*100)),""),"")</f>
        <v>0.3985714286</v>
      </c>
      <c r="Q26" s="67"/>
      <c r="R26" s="67"/>
      <c r="S26" s="67"/>
      <c r="T26" s="67"/>
      <c r="U26" s="67"/>
      <c r="V26" s="67"/>
      <c r="W26" s="67"/>
      <c r="X26" s="67"/>
      <c r="Y26" s="68"/>
      <c r="AA26" s="72">
        <v>2.0</v>
      </c>
      <c r="AB26" s="67"/>
      <c r="AC26" s="68"/>
      <c r="AD26" s="75">
        <v>60.0</v>
      </c>
      <c r="AE26" s="67"/>
      <c r="AF26" s="67"/>
      <c r="AG26" s="67"/>
      <c r="AH26" s="68"/>
      <c r="AI26" s="76">
        <v>12.0</v>
      </c>
      <c r="AJ26" s="67"/>
      <c r="AK26" s="67"/>
      <c r="AL26" s="67"/>
      <c r="AM26" s="68"/>
      <c r="AN26" s="77">
        <f>IF(AND(AV23&lt;&gt;"",AD26&lt;&gt;"",AI26&lt;&gt;""),IFERROR(AI26/(100-((AD26/AV23)*100)),""),"")</f>
        <v>0.3969230769</v>
      </c>
      <c r="AO26" s="67"/>
      <c r="AP26" s="67"/>
      <c r="AQ26" s="67"/>
      <c r="AR26" s="67"/>
      <c r="AS26" s="67"/>
      <c r="AT26" s="67"/>
      <c r="AU26" s="67"/>
      <c r="AV26" s="67"/>
      <c r="AW26" s="68"/>
      <c r="AY26" s="72">
        <v>2.0</v>
      </c>
      <c r="AZ26" s="67"/>
      <c r="BA26" s="68"/>
      <c r="BB26" s="75">
        <v>50.0</v>
      </c>
      <c r="BC26" s="67"/>
      <c r="BD26" s="67"/>
      <c r="BE26" s="67"/>
      <c r="BF26" s="68"/>
      <c r="BG26" s="76">
        <v>16.0</v>
      </c>
      <c r="BH26" s="67"/>
      <c r="BI26" s="67"/>
      <c r="BJ26" s="67"/>
      <c r="BK26" s="68"/>
      <c r="BL26" s="77">
        <f>IF(AND(BT23&lt;&gt;"",BB26&lt;&gt;"",BG26&lt;&gt;""),IFERROR(BG26/(100-((BB26/BT23)*100)),""),"")</f>
        <v>0.3885714286</v>
      </c>
      <c r="BM26" s="67"/>
      <c r="BN26" s="67"/>
      <c r="BO26" s="67"/>
      <c r="BP26" s="67"/>
      <c r="BQ26" s="67"/>
      <c r="BR26" s="67"/>
      <c r="BS26" s="67"/>
      <c r="BT26" s="67"/>
      <c r="BU26" s="68"/>
      <c r="BW26" s="72">
        <v>2.0</v>
      </c>
      <c r="BX26" s="67"/>
      <c r="BY26" s="68"/>
      <c r="BZ26" s="75">
        <v>50.0</v>
      </c>
      <c r="CA26" s="67"/>
      <c r="CB26" s="67"/>
      <c r="CC26" s="67"/>
      <c r="CD26" s="68"/>
      <c r="CE26" s="76">
        <v>16.0</v>
      </c>
      <c r="CF26" s="67"/>
      <c r="CG26" s="67"/>
      <c r="CH26" s="67"/>
      <c r="CI26" s="68"/>
      <c r="CJ26" s="77">
        <f>IF(AND(CR23&lt;&gt;"",BZ26&lt;&gt;"",CE26&lt;&gt;""),IFERROR(CE26/(100-((BZ26/CR23)*100)),""),"")</f>
        <v>0.3885714286</v>
      </c>
      <c r="CK26" s="67"/>
      <c r="CL26" s="67"/>
      <c r="CM26" s="67"/>
      <c r="CN26" s="67"/>
      <c r="CO26" s="67"/>
      <c r="CP26" s="67"/>
      <c r="CQ26" s="67"/>
      <c r="CR26" s="67"/>
      <c r="CS26" s="68"/>
    </row>
    <row r="27" ht="15.75" customHeight="1">
      <c r="C27" s="72">
        <v>3.0</v>
      </c>
      <c r="D27" s="67"/>
      <c r="E27" s="68"/>
      <c r="F27" s="75">
        <v>65.0</v>
      </c>
      <c r="G27" s="67"/>
      <c r="H27" s="67"/>
      <c r="I27" s="67"/>
      <c r="J27" s="68"/>
      <c r="K27" s="76">
        <v>10.0</v>
      </c>
      <c r="L27" s="67"/>
      <c r="M27" s="67"/>
      <c r="N27" s="67"/>
      <c r="O27" s="68"/>
      <c r="P27" s="77">
        <f>IF(AND(X23&lt;&gt;"",F27&lt;&gt;"",K27&lt;&gt;""),IFERROR(K27/(100-((F27/X23)*100)),""),"")</f>
        <v>0.3321428571</v>
      </c>
      <c r="Q27" s="67"/>
      <c r="R27" s="67"/>
      <c r="S27" s="67"/>
      <c r="T27" s="67"/>
      <c r="U27" s="67"/>
      <c r="V27" s="67"/>
      <c r="W27" s="67"/>
      <c r="X27" s="67"/>
      <c r="Y27" s="68"/>
      <c r="AA27" s="72">
        <v>3.0</v>
      </c>
      <c r="AB27" s="67"/>
      <c r="AC27" s="68"/>
      <c r="AD27" s="75">
        <v>60.0</v>
      </c>
      <c r="AE27" s="67"/>
      <c r="AF27" s="67"/>
      <c r="AG27" s="67"/>
      <c r="AH27" s="68"/>
      <c r="AI27" s="76">
        <v>10.0</v>
      </c>
      <c r="AJ27" s="67"/>
      <c r="AK27" s="67"/>
      <c r="AL27" s="67"/>
      <c r="AM27" s="68"/>
      <c r="AN27" s="77">
        <f>IF(AND(AV23&lt;&gt;"",AD27&lt;&gt;"",AI27&lt;&gt;""),IFERROR(AI27/(100-((AD27/AV23)*100)),""),"")</f>
        <v>0.3307692308</v>
      </c>
      <c r="AO27" s="67"/>
      <c r="AP27" s="67"/>
      <c r="AQ27" s="67"/>
      <c r="AR27" s="67"/>
      <c r="AS27" s="67"/>
      <c r="AT27" s="67"/>
      <c r="AU27" s="67"/>
      <c r="AV27" s="67"/>
      <c r="AW27" s="68"/>
      <c r="AY27" s="72">
        <v>3.0</v>
      </c>
      <c r="AZ27" s="67"/>
      <c r="BA27" s="68"/>
      <c r="BB27" s="75">
        <v>50.0</v>
      </c>
      <c r="BC27" s="67"/>
      <c r="BD27" s="67"/>
      <c r="BE27" s="67"/>
      <c r="BF27" s="68"/>
      <c r="BG27" s="76">
        <v>16.0</v>
      </c>
      <c r="BH27" s="67"/>
      <c r="BI27" s="67"/>
      <c r="BJ27" s="67"/>
      <c r="BK27" s="68"/>
      <c r="BL27" s="77">
        <f>IF(AND(BT23&lt;&gt;"",BB27&lt;&gt;"",BG27&lt;&gt;""),IFERROR(BG27/(100-((BB27/BT23)*100)),""),"")</f>
        <v>0.3885714286</v>
      </c>
      <c r="BM27" s="67"/>
      <c r="BN27" s="67"/>
      <c r="BO27" s="67"/>
      <c r="BP27" s="67"/>
      <c r="BQ27" s="67"/>
      <c r="BR27" s="67"/>
      <c r="BS27" s="67"/>
      <c r="BT27" s="67"/>
      <c r="BU27" s="68"/>
      <c r="BW27" s="72">
        <v>3.0</v>
      </c>
      <c r="BX27" s="67"/>
      <c r="BY27" s="68"/>
      <c r="BZ27" s="75">
        <v>50.0</v>
      </c>
      <c r="CA27" s="67"/>
      <c r="CB27" s="67"/>
      <c r="CC27" s="67"/>
      <c r="CD27" s="68"/>
      <c r="CE27" s="76">
        <v>16.0</v>
      </c>
      <c r="CF27" s="67"/>
      <c r="CG27" s="67"/>
      <c r="CH27" s="67"/>
      <c r="CI27" s="68"/>
      <c r="CJ27" s="77">
        <f>IF(AND(CR23&lt;&gt;"",BZ27&lt;&gt;"",CE27&lt;&gt;""),IFERROR(CE27/(100-((BZ27/CR23)*100)),""),"")</f>
        <v>0.3885714286</v>
      </c>
      <c r="CK27" s="67"/>
      <c r="CL27" s="67"/>
      <c r="CM27" s="67"/>
      <c r="CN27" s="67"/>
      <c r="CO27" s="67"/>
      <c r="CP27" s="67"/>
      <c r="CQ27" s="67"/>
      <c r="CR27" s="67"/>
      <c r="CS27" s="68"/>
    </row>
    <row r="28" ht="15.75" customHeight="1">
      <c r="C28" s="72">
        <v>4.0</v>
      </c>
      <c r="D28" s="67"/>
      <c r="E28" s="68"/>
      <c r="F28" s="75"/>
      <c r="G28" s="67"/>
      <c r="H28" s="67"/>
      <c r="I28" s="67"/>
      <c r="J28" s="68"/>
      <c r="K28" s="76"/>
      <c r="L28" s="67"/>
      <c r="M28" s="67"/>
      <c r="N28" s="67"/>
      <c r="O28" s="68"/>
      <c r="P28" s="77" t="str">
        <f>IF(AND(X23&lt;&gt;"",F28&lt;&gt;"",K28&lt;&gt;""),IFERROR(K28/(100-((F28/X23)*100)),""),"")</f>
        <v/>
      </c>
      <c r="Q28" s="67"/>
      <c r="R28" s="67"/>
      <c r="S28" s="67"/>
      <c r="T28" s="67"/>
      <c r="U28" s="67"/>
      <c r="V28" s="67"/>
      <c r="W28" s="67"/>
      <c r="X28" s="67"/>
      <c r="Y28" s="68"/>
      <c r="AA28" s="72">
        <v>4.0</v>
      </c>
      <c r="AB28" s="67"/>
      <c r="AC28" s="68"/>
      <c r="AD28" s="75"/>
      <c r="AE28" s="67"/>
      <c r="AF28" s="67"/>
      <c r="AG28" s="67"/>
      <c r="AH28" s="68"/>
      <c r="AI28" s="76"/>
      <c r="AJ28" s="67"/>
      <c r="AK28" s="67"/>
      <c r="AL28" s="67"/>
      <c r="AM28" s="68"/>
      <c r="AN28" s="77" t="str">
        <f>IF(AND(AV23&lt;&gt;"",AD28&lt;&gt;"",AI28&lt;&gt;""),IFERROR(AI28/(100-((AD28/AV23)*100)),""),"")</f>
        <v/>
      </c>
      <c r="AO28" s="67"/>
      <c r="AP28" s="67"/>
      <c r="AQ28" s="67"/>
      <c r="AR28" s="67"/>
      <c r="AS28" s="67"/>
      <c r="AT28" s="67"/>
      <c r="AU28" s="67"/>
      <c r="AV28" s="67"/>
      <c r="AW28" s="68"/>
      <c r="AY28" s="72">
        <v>4.0</v>
      </c>
      <c r="AZ28" s="67"/>
      <c r="BA28" s="68"/>
      <c r="BB28" s="75"/>
      <c r="BC28" s="67"/>
      <c r="BD28" s="67"/>
      <c r="BE28" s="67"/>
      <c r="BF28" s="68"/>
      <c r="BG28" s="76"/>
      <c r="BH28" s="67"/>
      <c r="BI28" s="67"/>
      <c r="BJ28" s="67"/>
      <c r="BK28" s="68"/>
      <c r="BL28" s="77" t="str">
        <f>IF(AND(BT23&lt;&gt;"",BB28&lt;&gt;"",BG28&lt;&gt;""),IFERROR(BG28/(100-((BB28/BT23)*100)),""),"")</f>
        <v/>
      </c>
      <c r="BM28" s="67"/>
      <c r="BN28" s="67"/>
      <c r="BO28" s="67"/>
      <c r="BP28" s="67"/>
      <c r="BQ28" s="67"/>
      <c r="BR28" s="67"/>
      <c r="BS28" s="67"/>
      <c r="BT28" s="67"/>
      <c r="BU28" s="68"/>
      <c r="BW28" s="72">
        <v>4.0</v>
      </c>
      <c r="BX28" s="67"/>
      <c r="BY28" s="68"/>
      <c r="BZ28" s="75"/>
      <c r="CA28" s="67"/>
      <c r="CB28" s="67"/>
      <c r="CC28" s="67"/>
      <c r="CD28" s="68"/>
      <c r="CE28" s="76"/>
      <c r="CF28" s="67"/>
      <c r="CG28" s="67"/>
      <c r="CH28" s="67"/>
      <c r="CI28" s="68"/>
      <c r="CJ28" s="77" t="str">
        <f>IF(AND(CR23&lt;&gt;"",BZ28&lt;&gt;"",CE28&lt;&gt;""),IFERROR(CE28/(100-((BZ28/CR23)*100)),""),"")</f>
        <v/>
      </c>
      <c r="CK28" s="67"/>
      <c r="CL28" s="67"/>
      <c r="CM28" s="67"/>
      <c r="CN28" s="67"/>
      <c r="CO28" s="67"/>
      <c r="CP28" s="67"/>
      <c r="CQ28" s="67"/>
      <c r="CR28" s="67"/>
      <c r="CS28" s="68"/>
    </row>
    <row r="29" ht="15.75" customHeight="1">
      <c r="C29" s="72">
        <v>5.0</v>
      </c>
      <c r="D29" s="67"/>
      <c r="E29" s="68"/>
      <c r="F29" s="75"/>
      <c r="G29" s="67"/>
      <c r="H29" s="67"/>
      <c r="I29" s="67"/>
      <c r="J29" s="68"/>
      <c r="K29" s="76"/>
      <c r="L29" s="67"/>
      <c r="M29" s="67"/>
      <c r="N29" s="67"/>
      <c r="O29" s="68"/>
      <c r="P29" s="77" t="str">
        <f>IF(AND(X23&lt;&gt;"",F29&lt;&gt;"",K29&lt;&gt;""),IFERROR(K29/(100-((F29/X23)*100)),""),"")</f>
        <v/>
      </c>
      <c r="Q29" s="67"/>
      <c r="R29" s="67"/>
      <c r="S29" s="67"/>
      <c r="T29" s="67"/>
      <c r="U29" s="67"/>
      <c r="V29" s="67"/>
      <c r="W29" s="67"/>
      <c r="X29" s="67"/>
      <c r="Y29" s="68"/>
      <c r="AA29" s="72">
        <v>5.0</v>
      </c>
      <c r="AB29" s="67"/>
      <c r="AC29" s="68"/>
      <c r="AD29" s="75"/>
      <c r="AE29" s="67"/>
      <c r="AF29" s="67"/>
      <c r="AG29" s="67"/>
      <c r="AH29" s="68"/>
      <c r="AI29" s="76"/>
      <c r="AJ29" s="67"/>
      <c r="AK29" s="67"/>
      <c r="AL29" s="67"/>
      <c r="AM29" s="68"/>
      <c r="AN29" s="77" t="str">
        <f>IF(AND(AV23&lt;&gt;"",AD29&lt;&gt;"",AI29&lt;&gt;""),IFERROR(AI29/(100-((AD29/AV23)*100)),""),"")</f>
        <v/>
      </c>
      <c r="AO29" s="67"/>
      <c r="AP29" s="67"/>
      <c r="AQ29" s="67"/>
      <c r="AR29" s="67"/>
      <c r="AS29" s="67"/>
      <c r="AT29" s="67"/>
      <c r="AU29" s="67"/>
      <c r="AV29" s="67"/>
      <c r="AW29" s="68"/>
      <c r="AY29" s="72">
        <v>5.0</v>
      </c>
      <c r="AZ29" s="67"/>
      <c r="BA29" s="68"/>
      <c r="BB29" s="75"/>
      <c r="BC29" s="67"/>
      <c r="BD29" s="67"/>
      <c r="BE29" s="67"/>
      <c r="BF29" s="68"/>
      <c r="BG29" s="76"/>
      <c r="BH29" s="67"/>
      <c r="BI29" s="67"/>
      <c r="BJ29" s="67"/>
      <c r="BK29" s="68"/>
      <c r="BL29" s="77" t="str">
        <f>IF(AND(BT23&lt;&gt;"",BB29&lt;&gt;"",BG29&lt;&gt;""),IFERROR(BG29/(100-((BB29/BT23)*100)),""),"")</f>
        <v/>
      </c>
      <c r="BM29" s="67"/>
      <c r="BN29" s="67"/>
      <c r="BO29" s="67"/>
      <c r="BP29" s="67"/>
      <c r="BQ29" s="67"/>
      <c r="BR29" s="67"/>
      <c r="BS29" s="67"/>
      <c r="BT29" s="67"/>
      <c r="BU29" s="68"/>
      <c r="BW29" s="72">
        <v>5.0</v>
      </c>
      <c r="BX29" s="67"/>
      <c r="BY29" s="68"/>
      <c r="BZ29" s="75"/>
      <c r="CA29" s="67"/>
      <c r="CB29" s="67"/>
      <c r="CC29" s="67"/>
      <c r="CD29" s="68"/>
      <c r="CE29" s="76"/>
      <c r="CF29" s="67"/>
      <c r="CG29" s="67"/>
      <c r="CH29" s="67"/>
      <c r="CI29" s="68"/>
      <c r="CJ29" s="77" t="str">
        <f>IF(AND(CR23&lt;&gt;"",BZ29&lt;&gt;"",CE29&lt;&gt;""),IFERROR(CE29/(100-((BZ29/CR23)*100)),""),"")</f>
        <v/>
      </c>
      <c r="CK29" s="67"/>
      <c r="CL29" s="67"/>
      <c r="CM29" s="67"/>
      <c r="CN29" s="67"/>
      <c r="CO29" s="67"/>
      <c r="CP29" s="67"/>
      <c r="CQ29" s="67"/>
      <c r="CR29" s="67"/>
      <c r="CS29" s="68"/>
    </row>
    <row r="30" ht="15.75" customHeight="1">
      <c r="C30" s="72">
        <v>6.0</v>
      </c>
      <c r="D30" s="67"/>
      <c r="E30" s="68"/>
      <c r="F30" s="75"/>
      <c r="G30" s="67"/>
      <c r="H30" s="67"/>
      <c r="I30" s="67"/>
      <c r="J30" s="68"/>
      <c r="K30" s="76"/>
      <c r="L30" s="67"/>
      <c r="M30" s="67"/>
      <c r="N30" s="67"/>
      <c r="O30" s="68"/>
      <c r="P30" s="77" t="str">
        <f>IF(AND(X23&lt;&gt;"",F30&lt;&gt;"",K30&lt;&gt;""),IFERROR(K30/(100-((F30/X23)*100)),""),"")</f>
        <v/>
      </c>
      <c r="Q30" s="67"/>
      <c r="R30" s="67"/>
      <c r="S30" s="67"/>
      <c r="T30" s="67"/>
      <c r="U30" s="67"/>
      <c r="V30" s="67"/>
      <c r="W30" s="67"/>
      <c r="X30" s="67"/>
      <c r="Y30" s="68"/>
      <c r="AA30" s="78"/>
      <c r="AB30" s="79">
        <v>6.0</v>
      </c>
      <c r="AC30" s="80"/>
      <c r="AD30" s="75"/>
      <c r="AE30" s="67"/>
      <c r="AF30" s="67"/>
      <c r="AG30" s="67"/>
      <c r="AH30" s="68"/>
      <c r="AI30" s="76"/>
      <c r="AJ30" s="67"/>
      <c r="AK30" s="67"/>
      <c r="AL30" s="67"/>
      <c r="AM30" s="68"/>
      <c r="AN30" s="77" t="str">
        <f>IF(AND(AV23&lt;&gt;"",AD30&lt;&gt;"",AI30&lt;&gt;""),IFERROR(AI30/(100-((AD30/AV23)*100)),""),"")</f>
        <v/>
      </c>
      <c r="AO30" s="67"/>
      <c r="AP30" s="67"/>
      <c r="AQ30" s="67"/>
      <c r="AR30" s="67"/>
      <c r="AS30" s="67"/>
      <c r="AT30" s="67"/>
      <c r="AU30" s="67"/>
      <c r="AV30" s="67"/>
      <c r="AW30" s="68"/>
      <c r="AY30" s="78"/>
      <c r="AZ30" s="79">
        <v>6.0</v>
      </c>
      <c r="BA30" s="80"/>
      <c r="BB30" s="75"/>
      <c r="BC30" s="67"/>
      <c r="BD30" s="67"/>
      <c r="BE30" s="67"/>
      <c r="BF30" s="68"/>
      <c r="BG30" s="76"/>
      <c r="BH30" s="67"/>
      <c r="BI30" s="67"/>
      <c r="BJ30" s="67"/>
      <c r="BK30" s="68"/>
      <c r="BL30" s="77" t="str">
        <f>IF(AND(BT23&lt;&gt;"",BB30&lt;&gt;"",BG30&lt;&gt;""),IFERROR(BG30/(100-((BB30/BT23)*100)),""),"")</f>
        <v/>
      </c>
      <c r="BM30" s="67"/>
      <c r="BN30" s="67"/>
      <c r="BO30" s="67"/>
      <c r="BP30" s="67"/>
      <c r="BQ30" s="67"/>
      <c r="BR30" s="67"/>
      <c r="BS30" s="67"/>
      <c r="BT30" s="67"/>
      <c r="BU30" s="68"/>
      <c r="BW30" s="78"/>
      <c r="BX30" s="79">
        <v>6.0</v>
      </c>
      <c r="BY30" s="80"/>
      <c r="BZ30" s="75"/>
      <c r="CA30" s="67"/>
      <c r="CB30" s="67"/>
      <c r="CC30" s="67"/>
      <c r="CD30" s="68"/>
      <c r="CE30" s="76"/>
      <c r="CF30" s="67"/>
      <c r="CG30" s="67"/>
      <c r="CH30" s="67"/>
      <c r="CI30" s="68"/>
      <c r="CJ30" s="77" t="str">
        <f>IF(AND(CR23&lt;&gt;"",BZ30&lt;&gt;"",CE30&lt;&gt;""),IFERROR(CE30/(100-((BZ30/CR23)*100)),""),"")</f>
        <v/>
      </c>
      <c r="CK30" s="67"/>
      <c r="CL30" s="67"/>
      <c r="CM30" s="67"/>
      <c r="CN30" s="67"/>
      <c r="CO30" s="67"/>
      <c r="CP30" s="67"/>
      <c r="CQ30" s="67"/>
      <c r="CR30" s="67"/>
      <c r="CS30" s="68"/>
    </row>
    <row r="31" ht="15.75" customHeight="1">
      <c r="C31" s="72" t="s">
        <v>31</v>
      </c>
      <c r="D31" s="67"/>
      <c r="E31" s="68"/>
      <c r="F31" s="77">
        <f>IFERROR(AVERAGE(F25:J29),"")</f>
        <v>65</v>
      </c>
      <c r="G31" s="67"/>
      <c r="H31" s="67"/>
      <c r="I31" s="67"/>
      <c r="J31" s="68"/>
      <c r="K31" s="71">
        <f>IFERROR(AVERAGE(K25:O29),"")</f>
        <v>11.33333333</v>
      </c>
      <c r="L31" s="67"/>
      <c r="M31" s="67"/>
      <c r="N31" s="67"/>
      <c r="O31" s="68"/>
      <c r="P31" s="77">
        <f>IFERROR(AVERAGE(P25:Y29),"")</f>
        <v>0.3764285714</v>
      </c>
      <c r="Q31" s="67"/>
      <c r="R31" s="67"/>
      <c r="S31" s="67"/>
      <c r="T31" s="67"/>
      <c r="U31" s="67"/>
      <c r="V31" s="67"/>
      <c r="W31" s="67"/>
      <c r="X31" s="67"/>
      <c r="Y31" s="68"/>
      <c r="AA31" s="72" t="s">
        <v>31</v>
      </c>
      <c r="AB31" s="67"/>
      <c r="AC31" s="68"/>
      <c r="AD31" s="77">
        <f>IFERROR(AVERAGE(AD25:AH29),"")</f>
        <v>60</v>
      </c>
      <c r="AE31" s="67"/>
      <c r="AF31" s="67"/>
      <c r="AG31" s="67"/>
      <c r="AH31" s="68"/>
      <c r="AI31" s="71">
        <f>IFERROR(AVERAGE(AI25:AM29),"")</f>
        <v>11.33333333</v>
      </c>
      <c r="AJ31" s="67"/>
      <c r="AK31" s="67"/>
      <c r="AL31" s="67"/>
      <c r="AM31" s="68"/>
      <c r="AN31" s="77">
        <f>IFERROR(AVERAGE(AN25:AW29),"")</f>
        <v>0.3748717949</v>
      </c>
      <c r="AO31" s="67"/>
      <c r="AP31" s="67"/>
      <c r="AQ31" s="67"/>
      <c r="AR31" s="67"/>
      <c r="AS31" s="67"/>
      <c r="AT31" s="67"/>
      <c r="AU31" s="67"/>
      <c r="AV31" s="67"/>
      <c r="AW31" s="68"/>
      <c r="AY31" s="72" t="s">
        <v>31</v>
      </c>
      <c r="AZ31" s="67"/>
      <c r="BA31" s="68"/>
      <c r="BB31" s="77">
        <f>IFERROR(AVERAGE(BB25:BF29),"")</f>
        <v>50</v>
      </c>
      <c r="BC31" s="67"/>
      <c r="BD31" s="67"/>
      <c r="BE31" s="67"/>
      <c r="BF31" s="68"/>
      <c r="BG31" s="71">
        <f>IFERROR(AVERAGE(BG25:BK29),"")</f>
        <v>16</v>
      </c>
      <c r="BH31" s="67"/>
      <c r="BI31" s="67"/>
      <c r="BJ31" s="67"/>
      <c r="BK31" s="68"/>
      <c r="BL31" s="77">
        <f>IFERROR(AVERAGE(BL25:BU29),"")</f>
        <v>0.3885714286</v>
      </c>
      <c r="BM31" s="67"/>
      <c r="BN31" s="67"/>
      <c r="BO31" s="67"/>
      <c r="BP31" s="67"/>
      <c r="BQ31" s="67"/>
      <c r="BR31" s="67"/>
      <c r="BS31" s="67"/>
      <c r="BT31" s="67"/>
      <c r="BU31" s="68"/>
      <c r="BW31" s="72" t="s">
        <v>31</v>
      </c>
      <c r="BX31" s="67"/>
      <c r="BY31" s="68"/>
      <c r="BZ31" s="77">
        <f>IFERROR(AVERAGE(BZ25:CD29),"")</f>
        <v>50</v>
      </c>
      <c r="CA31" s="67"/>
      <c r="CB31" s="67"/>
      <c r="CC31" s="67"/>
      <c r="CD31" s="68"/>
      <c r="CE31" s="71">
        <f>IFERROR(AVERAGE(CE25:CI29),"")</f>
        <v>16</v>
      </c>
      <c r="CF31" s="67"/>
      <c r="CG31" s="67"/>
      <c r="CH31" s="67"/>
      <c r="CI31" s="68"/>
      <c r="CJ31" s="77">
        <f>IFERROR(AVERAGE(CJ25:CS29),"")</f>
        <v>0.3885714286</v>
      </c>
      <c r="CK31" s="67"/>
      <c r="CL31" s="67"/>
      <c r="CM31" s="67"/>
      <c r="CN31" s="67"/>
      <c r="CO31" s="67"/>
      <c r="CP31" s="67"/>
      <c r="CQ31" s="67"/>
      <c r="CR31" s="67"/>
      <c r="CS31" s="68"/>
    </row>
    <row r="32" ht="30.0" customHeight="1">
      <c r="C32" s="81" t="s">
        <v>42</v>
      </c>
      <c r="D32" s="67"/>
      <c r="E32" s="68"/>
      <c r="F32" s="77">
        <f>IFERROR(SUM(F25:J29),"")</f>
        <v>195</v>
      </c>
      <c r="G32" s="67"/>
      <c r="H32" s="67"/>
      <c r="I32" s="67"/>
      <c r="J32" s="68"/>
      <c r="K32" s="71">
        <f>IFERROR(SUM(K25:O29),"")</f>
        <v>34</v>
      </c>
      <c r="L32" s="67"/>
      <c r="M32" s="67"/>
      <c r="N32" s="67"/>
      <c r="O32" s="68"/>
      <c r="P32" s="82">
        <f>IFERROR(SUM(P25:Y30),"")</f>
        <v>1.129285714</v>
      </c>
      <c r="Q32" s="67"/>
      <c r="R32" s="67"/>
      <c r="S32" s="67"/>
      <c r="T32" s="67"/>
      <c r="U32" s="67"/>
      <c r="V32" s="67"/>
      <c r="W32" s="67"/>
      <c r="X32" s="67"/>
      <c r="Y32" s="68"/>
      <c r="AA32" s="81" t="s">
        <v>42</v>
      </c>
      <c r="AB32" s="67"/>
      <c r="AC32" s="68"/>
      <c r="AD32" s="77">
        <f>IFERROR(SUM(AD25:AH29),"")</f>
        <v>180</v>
      </c>
      <c r="AE32" s="67"/>
      <c r="AF32" s="67"/>
      <c r="AG32" s="67"/>
      <c r="AH32" s="68"/>
      <c r="AI32" s="71">
        <f>IFERROR(SUM(AI25:AM29),"")</f>
        <v>34</v>
      </c>
      <c r="AJ32" s="67"/>
      <c r="AK32" s="67"/>
      <c r="AL32" s="67"/>
      <c r="AM32" s="68"/>
      <c r="AN32" s="82">
        <f>IFERROR(SUM(AN25:AW30),"")</f>
        <v>1.124615385</v>
      </c>
      <c r="AO32" s="67"/>
      <c r="AP32" s="67"/>
      <c r="AQ32" s="67"/>
      <c r="AR32" s="67"/>
      <c r="AS32" s="67"/>
      <c r="AT32" s="67"/>
      <c r="AU32" s="67"/>
      <c r="AV32" s="67"/>
      <c r="AW32" s="68"/>
      <c r="AY32" s="81" t="s">
        <v>42</v>
      </c>
      <c r="AZ32" s="67"/>
      <c r="BA32" s="68"/>
      <c r="BB32" s="77">
        <f>IFERROR(SUM(BB25:BF29),"")</f>
        <v>150</v>
      </c>
      <c r="BC32" s="67"/>
      <c r="BD32" s="67"/>
      <c r="BE32" s="67"/>
      <c r="BF32" s="68"/>
      <c r="BG32" s="71">
        <f>IFERROR(SUM(BG25:BK29),"")</f>
        <v>48</v>
      </c>
      <c r="BH32" s="67"/>
      <c r="BI32" s="67"/>
      <c r="BJ32" s="67"/>
      <c r="BK32" s="68"/>
      <c r="BL32" s="82">
        <f>IFERROR(SUM(BL25:BU30),"")</f>
        <v>1.165714286</v>
      </c>
      <c r="BM32" s="67"/>
      <c r="BN32" s="67"/>
      <c r="BO32" s="67"/>
      <c r="BP32" s="67"/>
      <c r="BQ32" s="67"/>
      <c r="BR32" s="67"/>
      <c r="BS32" s="67"/>
      <c r="BT32" s="67"/>
      <c r="BU32" s="68"/>
      <c r="BW32" s="81" t="s">
        <v>42</v>
      </c>
      <c r="BX32" s="67"/>
      <c r="BY32" s="68"/>
      <c r="BZ32" s="77">
        <f>IFERROR(SUM(BZ25:CD29),"")</f>
        <v>150</v>
      </c>
      <c r="CA32" s="67"/>
      <c r="CB32" s="67"/>
      <c r="CC32" s="67"/>
      <c r="CD32" s="68"/>
      <c r="CE32" s="71">
        <f>IFERROR(SUM(CE25:CI29),"")</f>
        <v>48</v>
      </c>
      <c r="CF32" s="67"/>
      <c r="CG32" s="67"/>
      <c r="CH32" s="67"/>
      <c r="CI32" s="68"/>
      <c r="CJ32" s="82">
        <f>IFERROR(SUM(CJ25:CS30),"")</f>
        <v>1.165714286</v>
      </c>
      <c r="CK32" s="67"/>
      <c r="CL32" s="67"/>
      <c r="CM32" s="67"/>
      <c r="CN32" s="67"/>
      <c r="CO32" s="67"/>
      <c r="CP32" s="67"/>
      <c r="CQ32" s="67"/>
      <c r="CR32" s="67"/>
      <c r="CS32" s="68"/>
    </row>
    <row r="33" ht="15.75" customHeight="1">
      <c r="C33" s="69" t="s">
        <v>7</v>
      </c>
      <c r="D33" s="67"/>
      <c r="E33" s="67"/>
      <c r="F33" s="67"/>
      <c r="G33" s="68"/>
      <c r="H33" s="70" t="s">
        <v>48</v>
      </c>
      <c r="I33" s="67"/>
      <c r="J33" s="67"/>
      <c r="K33" s="67"/>
      <c r="L33" s="68"/>
      <c r="M33" s="71"/>
      <c r="N33" s="67"/>
      <c r="O33" s="67"/>
      <c r="P33" s="67"/>
      <c r="Q33" s="68"/>
      <c r="R33" s="72" t="s">
        <v>9</v>
      </c>
      <c r="S33" s="67"/>
      <c r="T33" s="67"/>
      <c r="U33" s="67"/>
      <c r="V33" s="67"/>
      <c r="W33" s="68"/>
      <c r="X33" s="73">
        <v>43.0</v>
      </c>
      <c r="Y33" s="68"/>
      <c r="AA33" s="69" t="s">
        <v>7</v>
      </c>
      <c r="AB33" s="67"/>
      <c r="AC33" s="67"/>
      <c r="AD33" s="67"/>
      <c r="AE33" s="68"/>
      <c r="AF33" s="70" t="s">
        <v>49</v>
      </c>
      <c r="AG33" s="67"/>
      <c r="AH33" s="67"/>
      <c r="AI33" s="67"/>
      <c r="AJ33" s="68"/>
      <c r="AK33" s="71"/>
      <c r="AL33" s="67"/>
      <c r="AM33" s="67"/>
      <c r="AN33" s="67"/>
      <c r="AO33" s="68"/>
      <c r="AP33" s="72" t="s">
        <v>9</v>
      </c>
      <c r="AQ33" s="67"/>
      <c r="AR33" s="67"/>
      <c r="AS33" s="67"/>
      <c r="AT33" s="67"/>
      <c r="AU33" s="68"/>
      <c r="AV33" s="73">
        <v>259.0</v>
      </c>
      <c r="AW33" s="68"/>
      <c r="AY33" s="69" t="s">
        <v>7</v>
      </c>
      <c r="AZ33" s="67"/>
      <c r="BA33" s="67"/>
      <c r="BB33" s="67"/>
      <c r="BC33" s="68"/>
      <c r="BD33" s="70" t="s">
        <v>50</v>
      </c>
      <c r="BE33" s="67"/>
      <c r="BF33" s="67"/>
      <c r="BG33" s="67"/>
      <c r="BH33" s="68"/>
      <c r="BI33" s="71"/>
      <c r="BJ33" s="67"/>
      <c r="BK33" s="67"/>
      <c r="BL33" s="67"/>
      <c r="BM33" s="68"/>
      <c r="BN33" s="72" t="s">
        <v>9</v>
      </c>
      <c r="BO33" s="67"/>
      <c r="BP33" s="67"/>
      <c r="BQ33" s="67"/>
      <c r="BR33" s="67"/>
      <c r="BS33" s="68"/>
      <c r="BT33" s="73">
        <v>36.0</v>
      </c>
      <c r="BU33" s="68"/>
      <c r="BW33" s="69" t="s">
        <v>7</v>
      </c>
      <c r="BX33" s="67"/>
      <c r="BY33" s="67"/>
      <c r="BZ33" s="67"/>
      <c r="CA33" s="68"/>
      <c r="CB33" s="70" t="s">
        <v>50</v>
      </c>
      <c r="CC33" s="67"/>
      <c r="CD33" s="67"/>
      <c r="CE33" s="67"/>
      <c r="CF33" s="68"/>
      <c r="CG33" s="71"/>
      <c r="CH33" s="67"/>
      <c r="CI33" s="67"/>
      <c r="CJ33" s="67"/>
      <c r="CK33" s="68"/>
      <c r="CL33" s="72" t="s">
        <v>9</v>
      </c>
      <c r="CM33" s="67"/>
      <c r="CN33" s="67"/>
      <c r="CO33" s="67"/>
      <c r="CP33" s="67"/>
      <c r="CQ33" s="68"/>
      <c r="CR33" s="73">
        <v>36.0</v>
      </c>
      <c r="CS33" s="68"/>
    </row>
    <row r="34" ht="15.75" customHeight="1">
      <c r="C34" s="74" t="s">
        <v>23</v>
      </c>
      <c r="D34" s="67"/>
      <c r="E34" s="68"/>
      <c r="F34" s="74" t="s">
        <v>24</v>
      </c>
      <c r="G34" s="67"/>
      <c r="H34" s="67"/>
      <c r="I34" s="67"/>
      <c r="J34" s="68"/>
      <c r="K34" s="74" t="s">
        <v>25</v>
      </c>
      <c r="L34" s="67"/>
      <c r="M34" s="67"/>
      <c r="N34" s="67"/>
      <c r="O34" s="68"/>
      <c r="P34" s="74" t="s">
        <v>26</v>
      </c>
      <c r="Q34" s="67"/>
      <c r="R34" s="67"/>
      <c r="S34" s="67"/>
      <c r="T34" s="67"/>
      <c r="U34" s="67"/>
      <c r="V34" s="67"/>
      <c r="W34" s="67"/>
      <c r="X34" s="67"/>
      <c r="Y34" s="68"/>
      <c r="AA34" s="74" t="s">
        <v>23</v>
      </c>
      <c r="AB34" s="67"/>
      <c r="AC34" s="68"/>
      <c r="AD34" s="74" t="s">
        <v>24</v>
      </c>
      <c r="AE34" s="67"/>
      <c r="AF34" s="67"/>
      <c r="AG34" s="67"/>
      <c r="AH34" s="68"/>
      <c r="AI34" s="74" t="s">
        <v>25</v>
      </c>
      <c r="AJ34" s="67"/>
      <c r="AK34" s="67"/>
      <c r="AL34" s="67"/>
      <c r="AM34" s="68"/>
      <c r="AN34" s="74" t="s">
        <v>26</v>
      </c>
      <c r="AO34" s="67"/>
      <c r="AP34" s="67"/>
      <c r="AQ34" s="67"/>
      <c r="AR34" s="67"/>
      <c r="AS34" s="67"/>
      <c r="AT34" s="67"/>
      <c r="AU34" s="67"/>
      <c r="AV34" s="67"/>
      <c r="AW34" s="68"/>
      <c r="AY34" s="74" t="s">
        <v>23</v>
      </c>
      <c r="AZ34" s="67"/>
      <c r="BA34" s="68"/>
      <c r="BB34" s="74" t="s">
        <v>24</v>
      </c>
      <c r="BC34" s="67"/>
      <c r="BD34" s="67"/>
      <c r="BE34" s="67"/>
      <c r="BF34" s="68"/>
      <c r="BG34" s="74" t="s">
        <v>25</v>
      </c>
      <c r="BH34" s="67"/>
      <c r="BI34" s="67"/>
      <c r="BJ34" s="67"/>
      <c r="BK34" s="68"/>
      <c r="BL34" s="74" t="s">
        <v>26</v>
      </c>
      <c r="BM34" s="67"/>
      <c r="BN34" s="67"/>
      <c r="BO34" s="67"/>
      <c r="BP34" s="67"/>
      <c r="BQ34" s="67"/>
      <c r="BR34" s="67"/>
      <c r="BS34" s="67"/>
      <c r="BT34" s="67"/>
      <c r="BU34" s="68"/>
      <c r="BW34" s="74" t="s">
        <v>23</v>
      </c>
      <c r="BX34" s="67"/>
      <c r="BY34" s="68"/>
      <c r="BZ34" s="74" t="s">
        <v>24</v>
      </c>
      <c r="CA34" s="67"/>
      <c r="CB34" s="67"/>
      <c r="CC34" s="67"/>
      <c r="CD34" s="68"/>
      <c r="CE34" s="74" t="s">
        <v>25</v>
      </c>
      <c r="CF34" s="67"/>
      <c r="CG34" s="67"/>
      <c r="CH34" s="67"/>
      <c r="CI34" s="68"/>
      <c r="CJ34" s="74" t="s">
        <v>26</v>
      </c>
      <c r="CK34" s="67"/>
      <c r="CL34" s="67"/>
      <c r="CM34" s="67"/>
      <c r="CN34" s="67"/>
      <c r="CO34" s="67"/>
      <c r="CP34" s="67"/>
      <c r="CQ34" s="67"/>
      <c r="CR34" s="67"/>
      <c r="CS34" s="68"/>
    </row>
    <row r="35" ht="15.75" customHeight="1">
      <c r="C35" s="72">
        <v>1.0</v>
      </c>
      <c r="D35" s="67"/>
      <c r="E35" s="68"/>
      <c r="F35" s="75">
        <v>30.0</v>
      </c>
      <c r="G35" s="67"/>
      <c r="H35" s="67"/>
      <c r="I35" s="67"/>
      <c r="J35" s="68"/>
      <c r="K35" s="76">
        <v>12.0</v>
      </c>
      <c r="L35" s="67"/>
      <c r="M35" s="67"/>
      <c r="N35" s="67"/>
      <c r="O35" s="68"/>
      <c r="P35" s="77">
        <f>IF(AND(X33&lt;&gt;"",F35&lt;&gt;"",K35&lt;&gt;""),IFERROR(K35/(100-((F35/X33)*100)),""),"")</f>
        <v>0.3969230769</v>
      </c>
      <c r="Q35" s="67"/>
      <c r="R35" s="67"/>
      <c r="S35" s="67"/>
      <c r="T35" s="67"/>
      <c r="U35" s="67"/>
      <c r="V35" s="67"/>
      <c r="W35" s="67"/>
      <c r="X35" s="67"/>
      <c r="Y35" s="68"/>
      <c r="AA35" s="72">
        <v>1.0</v>
      </c>
      <c r="AB35" s="67"/>
      <c r="AC35" s="68"/>
      <c r="AD35" s="75">
        <v>180.0</v>
      </c>
      <c r="AE35" s="67"/>
      <c r="AF35" s="67"/>
      <c r="AG35" s="67"/>
      <c r="AH35" s="68"/>
      <c r="AI35" s="76">
        <v>12.0</v>
      </c>
      <c r="AJ35" s="67"/>
      <c r="AK35" s="67"/>
      <c r="AL35" s="67"/>
      <c r="AM35" s="68"/>
      <c r="AN35" s="77">
        <f>IF(AND(AV33&lt;&gt;"",AD35&lt;&gt;"",AI35&lt;&gt;""),IFERROR(AI35/(100-((AD35/AV33)*100)),""),"")</f>
        <v>0.3934177215</v>
      </c>
      <c r="AO35" s="67"/>
      <c r="AP35" s="67"/>
      <c r="AQ35" s="67"/>
      <c r="AR35" s="67"/>
      <c r="AS35" s="67"/>
      <c r="AT35" s="67"/>
      <c r="AU35" s="67"/>
      <c r="AV35" s="67"/>
      <c r="AW35" s="68"/>
      <c r="AY35" s="72">
        <v>1.0</v>
      </c>
      <c r="AZ35" s="67"/>
      <c r="BA35" s="68"/>
      <c r="BB35" s="75">
        <v>20.0</v>
      </c>
      <c r="BC35" s="67"/>
      <c r="BD35" s="67"/>
      <c r="BE35" s="67"/>
      <c r="BF35" s="68"/>
      <c r="BG35" s="76">
        <v>14.0</v>
      </c>
      <c r="BH35" s="67"/>
      <c r="BI35" s="67"/>
      <c r="BJ35" s="67"/>
      <c r="BK35" s="68"/>
      <c r="BL35" s="77">
        <f>IF(AND(BT33&lt;&gt;"",BB35&lt;&gt;"",BG35&lt;&gt;""),IFERROR(BG35/(100-((BB35/BT33)*100)),""),"")</f>
        <v>0.315</v>
      </c>
      <c r="BM35" s="67"/>
      <c r="BN35" s="67"/>
      <c r="BO35" s="67"/>
      <c r="BP35" s="67"/>
      <c r="BQ35" s="67"/>
      <c r="BR35" s="67"/>
      <c r="BS35" s="67"/>
      <c r="BT35" s="67"/>
      <c r="BU35" s="68"/>
      <c r="BW35" s="72">
        <v>1.0</v>
      </c>
      <c r="BX35" s="67"/>
      <c r="BY35" s="68"/>
      <c r="BZ35" s="75">
        <v>20.0</v>
      </c>
      <c r="CA35" s="67"/>
      <c r="CB35" s="67"/>
      <c r="CC35" s="67"/>
      <c r="CD35" s="68"/>
      <c r="CE35" s="76">
        <v>14.0</v>
      </c>
      <c r="CF35" s="67"/>
      <c r="CG35" s="67"/>
      <c r="CH35" s="67"/>
      <c r="CI35" s="68"/>
      <c r="CJ35" s="77">
        <f>IF(AND(CR33&lt;&gt;"",BZ35&lt;&gt;"",CE35&lt;&gt;""),IFERROR(CE35/(100-((BZ35/CR33)*100)),""),"")</f>
        <v>0.315</v>
      </c>
      <c r="CK35" s="67"/>
      <c r="CL35" s="67"/>
      <c r="CM35" s="67"/>
      <c r="CN35" s="67"/>
      <c r="CO35" s="67"/>
      <c r="CP35" s="67"/>
      <c r="CQ35" s="67"/>
      <c r="CR35" s="67"/>
      <c r="CS35" s="68"/>
    </row>
    <row r="36" ht="15.75" customHeight="1">
      <c r="C36" s="72">
        <v>2.0</v>
      </c>
      <c r="D36" s="67"/>
      <c r="E36" s="68"/>
      <c r="F36" s="75">
        <v>30.0</v>
      </c>
      <c r="G36" s="67"/>
      <c r="H36" s="67"/>
      <c r="I36" s="67"/>
      <c r="J36" s="68"/>
      <c r="K36" s="76">
        <v>10.0</v>
      </c>
      <c r="L36" s="67"/>
      <c r="M36" s="67"/>
      <c r="N36" s="67"/>
      <c r="O36" s="68"/>
      <c r="P36" s="77">
        <f>IF(AND(X33&lt;&gt;"",F36&lt;&gt;"",K36&lt;&gt;""),IFERROR(K36/(100-((F36/X33)*100)),""),"")</f>
        <v>0.3307692308</v>
      </c>
      <c r="Q36" s="67"/>
      <c r="R36" s="67"/>
      <c r="S36" s="67"/>
      <c r="T36" s="67"/>
      <c r="U36" s="67"/>
      <c r="V36" s="67"/>
      <c r="W36" s="67"/>
      <c r="X36" s="67"/>
      <c r="Y36" s="68"/>
      <c r="AA36" s="72">
        <v>2.0</v>
      </c>
      <c r="AB36" s="67"/>
      <c r="AC36" s="68"/>
      <c r="AD36" s="75">
        <v>180.0</v>
      </c>
      <c r="AE36" s="67"/>
      <c r="AF36" s="67"/>
      <c r="AG36" s="67"/>
      <c r="AH36" s="68"/>
      <c r="AI36" s="76">
        <v>10.0</v>
      </c>
      <c r="AJ36" s="67"/>
      <c r="AK36" s="67"/>
      <c r="AL36" s="67"/>
      <c r="AM36" s="68"/>
      <c r="AN36" s="77">
        <f>IF(AND(AV33&lt;&gt;"",AD36&lt;&gt;"",AI36&lt;&gt;""),IFERROR(AI36/(100-((AD36/AV33)*100)),""),"")</f>
        <v>0.3278481013</v>
      </c>
      <c r="AO36" s="67"/>
      <c r="AP36" s="67"/>
      <c r="AQ36" s="67"/>
      <c r="AR36" s="67"/>
      <c r="AS36" s="67"/>
      <c r="AT36" s="67"/>
      <c r="AU36" s="67"/>
      <c r="AV36" s="67"/>
      <c r="AW36" s="68"/>
      <c r="AY36" s="72">
        <v>2.0</v>
      </c>
      <c r="AZ36" s="67"/>
      <c r="BA36" s="68"/>
      <c r="BB36" s="75">
        <v>20.0</v>
      </c>
      <c r="BC36" s="67"/>
      <c r="BD36" s="67"/>
      <c r="BE36" s="67"/>
      <c r="BF36" s="68"/>
      <c r="BG36" s="76">
        <v>13.0</v>
      </c>
      <c r="BH36" s="67"/>
      <c r="BI36" s="67"/>
      <c r="BJ36" s="67"/>
      <c r="BK36" s="68"/>
      <c r="BL36" s="77">
        <f>IF(AND(BT33&lt;&gt;"",BB36&lt;&gt;"",BG36&lt;&gt;""),IFERROR(BG36/(100-((BB36/BT33)*100)),""),"")</f>
        <v>0.2925</v>
      </c>
      <c r="BM36" s="67"/>
      <c r="BN36" s="67"/>
      <c r="BO36" s="67"/>
      <c r="BP36" s="67"/>
      <c r="BQ36" s="67"/>
      <c r="BR36" s="67"/>
      <c r="BS36" s="67"/>
      <c r="BT36" s="67"/>
      <c r="BU36" s="68"/>
      <c r="BW36" s="72">
        <v>2.0</v>
      </c>
      <c r="BX36" s="67"/>
      <c r="BY36" s="68"/>
      <c r="BZ36" s="75">
        <v>20.0</v>
      </c>
      <c r="CA36" s="67"/>
      <c r="CB36" s="67"/>
      <c r="CC36" s="67"/>
      <c r="CD36" s="68"/>
      <c r="CE36" s="76">
        <v>13.0</v>
      </c>
      <c r="CF36" s="67"/>
      <c r="CG36" s="67"/>
      <c r="CH36" s="67"/>
      <c r="CI36" s="68"/>
      <c r="CJ36" s="77">
        <f>IF(AND(CR33&lt;&gt;"",BZ36&lt;&gt;"",CE36&lt;&gt;""),IFERROR(CE36/(100-((BZ36/CR33)*100)),""),"")</f>
        <v>0.2925</v>
      </c>
      <c r="CK36" s="67"/>
      <c r="CL36" s="67"/>
      <c r="CM36" s="67"/>
      <c r="CN36" s="67"/>
      <c r="CO36" s="67"/>
      <c r="CP36" s="67"/>
      <c r="CQ36" s="67"/>
      <c r="CR36" s="67"/>
      <c r="CS36" s="68"/>
    </row>
    <row r="37" ht="15.75" customHeight="1">
      <c r="C37" s="72">
        <v>3.0</v>
      </c>
      <c r="D37" s="67"/>
      <c r="E37" s="68"/>
      <c r="F37" s="75">
        <v>30.0</v>
      </c>
      <c r="G37" s="67"/>
      <c r="H37" s="67"/>
      <c r="I37" s="67"/>
      <c r="J37" s="68"/>
      <c r="K37" s="76">
        <v>8.0</v>
      </c>
      <c r="L37" s="67"/>
      <c r="M37" s="67"/>
      <c r="N37" s="67"/>
      <c r="O37" s="68"/>
      <c r="P37" s="77">
        <f>IF(AND(X33&lt;&gt;"",F37&lt;&gt;"",K37&lt;&gt;""),IFERROR(K37/(100-((F37/X33)*100)),""),"")</f>
        <v>0.2646153846</v>
      </c>
      <c r="Q37" s="67"/>
      <c r="R37" s="67"/>
      <c r="S37" s="67"/>
      <c r="T37" s="67"/>
      <c r="U37" s="67"/>
      <c r="V37" s="67"/>
      <c r="W37" s="67"/>
      <c r="X37" s="67"/>
      <c r="Y37" s="68"/>
      <c r="AA37" s="72">
        <v>3.0</v>
      </c>
      <c r="AB37" s="67"/>
      <c r="AC37" s="68"/>
      <c r="AD37" s="75">
        <v>180.0</v>
      </c>
      <c r="AE37" s="67"/>
      <c r="AF37" s="67"/>
      <c r="AG37" s="67"/>
      <c r="AH37" s="68"/>
      <c r="AI37" s="76">
        <v>10.0</v>
      </c>
      <c r="AJ37" s="67"/>
      <c r="AK37" s="67"/>
      <c r="AL37" s="67"/>
      <c r="AM37" s="68"/>
      <c r="AN37" s="77">
        <f>IF(AND(AV33&lt;&gt;"",AD37&lt;&gt;"",AI37&lt;&gt;""),IFERROR(AI37/(100-((AD37/AV33)*100)),""),"")</f>
        <v>0.3278481013</v>
      </c>
      <c r="AO37" s="67"/>
      <c r="AP37" s="67"/>
      <c r="AQ37" s="67"/>
      <c r="AR37" s="67"/>
      <c r="AS37" s="67"/>
      <c r="AT37" s="67"/>
      <c r="AU37" s="67"/>
      <c r="AV37" s="67"/>
      <c r="AW37" s="68"/>
      <c r="AY37" s="72">
        <v>3.0</v>
      </c>
      <c r="AZ37" s="67"/>
      <c r="BA37" s="68"/>
      <c r="BB37" s="75">
        <v>20.0</v>
      </c>
      <c r="BC37" s="67"/>
      <c r="BD37" s="67"/>
      <c r="BE37" s="67"/>
      <c r="BF37" s="68"/>
      <c r="BG37" s="76">
        <v>12.0</v>
      </c>
      <c r="BH37" s="67"/>
      <c r="BI37" s="67"/>
      <c r="BJ37" s="67"/>
      <c r="BK37" s="68"/>
      <c r="BL37" s="77">
        <f>IF(AND(BT33&lt;&gt;"",BB37&lt;&gt;"",BG37&lt;&gt;""),IFERROR(BG37/(100-((BB37/BT33)*100)),""),"")</f>
        <v>0.27</v>
      </c>
      <c r="BM37" s="67"/>
      <c r="BN37" s="67"/>
      <c r="BO37" s="67"/>
      <c r="BP37" s="67"/>
      <c r="BQ37" s="67"/>
      <c r="BR37" s="67"/>
      <c r="BS37" s="67"/>
      <c r="BT37" s="67"/>
      <c r="BU37" s="68"/>
      <c r="BW37" s="72">
        <v>3.0</v>
      </c>
      <c r="BX37" s="67"/>
      <c r="BY37" s="68"/>
      <c r="BZ37" s="75">
        <v>20.0</v>
      </c>
      <c r="CA37" s="67"/>
      <c r="CB37" s="67"/>
      <c r="CC37" s="67"/>
      <c r="CD37" s="68"/>
      <c r="CE37" s="76">
        <v>12.0</v>
      </c>
      <c r="CF37" s="67"/>
      <c r="CG37" s="67"/>
      <c r="CH37" s="67"/>
      <c r="CI37" s="68"/>
      <c r="CJ37" s="77">
        <f>IF(AND(CR33&lt;&gt;"",BZ37&lt;&gt;"",CE37&lt;&gt;""),IFERROR(CE37/(100-((BZ37/CR33)*100)),""),"")</f>
        <v>0.27</v>
      </c>
      <c r="CK37" s="67"/>
      <c r="CL37" s="67"/>
      <c r="CM37" s="67"/>
      <c r="CN37" s="67"/>
      <c r="CO37" s="67"/>
      <c r="CP37" s="67"/>
      <c r="CQ37" s="67"/>
      <c r="CR37" s="67"/>
      <c r="CS37" s="68"/>
    </row>
    <row r="38" ht="15.75" customHeight="1">
      <c r="C38" s="72">
        <v>4.0</v>
      </c>
      <c r="D38" s="67"/>
      <c r="E38" s="68"/>
      <c r="F38" s="75"/>
      <c r="G38" s="67"/>
      <c r="H38" s="67"/>
      <c r="I38" s="67"/>
      <c r="J38" s="68"/>
      <c r="K38" s="76"/>
      <c r="L38" s="67"/>
      <c r="M38" s="67"/>
      <c r="N38" s="67"/>
      <c r="O38" s="68"/>
      <c r="P38" s="77" t="str">
        <f>IF(AND(X33&lt;&gt;"",F38&lt;&gt;"",K38&lt;&gt;""),IFERROR(K38/(100-((F38/X33)*100)),""),"")</f>
        <v/>
      </c>
      <c r="Q38" s="67"/>
      <c r="R38" s="67"/>
      <c r="S38" s="67"/>
      <c r="T38" s="67"/>
      <c r="U38" s="67"/>
      <c r="V38" s="67"/>
      <c r="W38" s="67"/>
      <c r="X38" s="67"/>
      <c r="Y38" s="68"/>
      <c r="AA38" s="72">
        <v>4.0</v>
      </c>
      <c r="AB38" s="67"/>
      <c r="AC38" s="68"/>
      <c r="AD38" s="75"/>
      <c r="AE38" s="67"/>
      <c r="AF38" s="67"/>
      <c r="AG38" s="67"/>
      <c r="AH38" s="68"/>
      <c r="AI38" s="76"/>
      <c r="AJ38" s="67"/>
      <c r="AK38" s="67"/>
      <c r="AL38" s="67"/>
      <c r="AM38" s="68"/>
      <c r="AN38" s="77" t="str">
        <f>IF(AND(AV33&lt;&gt;"",AD38&lt;&gt;"",AI38&lt;&gt;""),IFERROR(AI38/(100-((AD38/AV33)*100)),""),"")</f>
        <v/>
      </c>
      <c r="AO38" s="67"/>
      <c r="AP38" s="67"/>
      <c r="AQ38" s="67"/>
      <c r="AR38" s="67"/>
      <c r="AS38" s="67"/>
      <c r="AT38" s="67"/>
      <c r="AU38" s="67"/>
      <c r="AV38" s="67"/>
      <c r="AW38" s="68"/>
      <c r="AY38" s="72">
        <v>4.0</v>
      </c>
      <c r="AZ38" s="67"/>
      <c r="BA38" s="68"/>
      <c r="BB38" s="75"/>
      <c r="BC38" s="67"/>
      <c r="BD38" s="67"/>
      <c r="BE38" s="67"/>
      <c r="BF38" s="68"/>
      <c r="BG38" s="76"/>
      <c r="BH38" s="67"/>
      <c r="BI38" s="67"/>
      <c r="BJ38" s="67"/>
      <c r="BK38" s="68"/>
      <c r="BL38" s="77" t="str">
        <f>IF(AND(BT33&lt;&gt;"",BB38&lt;&gt;"",BG38&lt;&gt;""),IFERROR(BG38/(100-((BB38/BT33)*100)),""),"")</f>
        <v/>
      </c>
      <c r="BM38" s="67"/>
      <c r="BN38" s="67"/>
      <c r="BO38" s="67"/>
      <c r="BP38" s="67"/>
      <c r="BQ38" s="67"/>
      <c r="BR38" s="67"/>
      <c r="BS38" s="67"/>
      <c r="BT38" s="67"/>
      <c r="BU38" s="68"/>
      <c r="BW38" s="72">
        <v>4.0</v>
      </c>
      <c r="BX38" s="67"/>
      <c r="BY38" s="68"/>
      <c r="BZ38" s="75"/>
      <c r="CA38" s="67"/>
      <c r="CB38" s="67"/>
      <c r="CC38" s="67"/>
      <c r="CD38" s="68"/>
      <c r="CE38" s="76"/>
      <c r="CF38" s="67"/>
      <c r="CG38" s="67"/>
      <c r="CH38" s="67"/>
      <c r="CI38" s="68"/>
      <c r="CJ38" s="77" t="str">
        <f>IF(AND(CR33&lt;&gt;"",BZ38&lt;&gt;"",CE38&lt;&gt;""),IFERROR(CE38/(100-((BZ38/CR33)*100)),""),"")</f>
        <v/>
      </c>
      <c r="CK38" s="67"/>
      <c r="CL38" s="67"/>
      <c r="CM38" s="67"/>
      <c r="CN38" s="67"/>
      <c r="CO38" s="67"/>
      <c r="CP38" s="67"/>
      <c r="CQ38" s="67"/>
      <c r="CR38" s="67"/>
      <c r="CS38" s="68"/>
    </row>
    <row r="39" ht="15.75" customHeight="1">
      <c r="C39" s="72">
        <v>5.0</v>
      </c>
      <c r="D39" s="67"/>
      <c r="E39" s="68"/>
      <c r="F39" s="75"/>
      <c r="G39" s="67"/>
      <c r="H39" s="67"/>
      <c r="I39" s="67"/>
      <c r="J39" s="68"/>
      <c r="K39" s="76"/>
      <c r="L39" s="67"/>
      <c r="M39" s="67"/>
      <c r="N39" s="67"/>
      <c r="O39" s="68"/>
      <c r="P39" s="77" t="str">
        <f>IF(AND(X33&lt;&gt;"",F39&lt;&gt;"",K39&lt;&gt;""),IFERROR(K39/(100-((F39/X33)*100)),""),"")</f>
        <v/>
      </c>
      <c r="Q39" s="67"/>
      <c r="R39" s="67"/>
      <c r="S39" s="67"/>
      <c r="T39" s="67"/>
      <c r="U39" s="67"/>
      <c r="V39" s="67"/>
      <c r="W39" s="67"/>
      <c r="X39" s="67"/>
      <c r="Y39" s="68"/>
      <c r="AA39" s="72">
        <v>5.0</v>
      </c>
      <c r="AB39" s="67"/>
      <c r="AC39" s="68"/>
      <c r="AD39" s="75"/>
      <c r="AE39" s="67"/>
      <c r="AF39" s="67"/>
      <c r="AG39" s="67"/>
      <c r="AH39" s="68"/>
      <c r="AI39" s="76"/>
      <c r="AJ39" s="67"/>
      <c r="AK39" s="67"/>
      <c r="AL39" s="67"/>
      <c r="AM39" s="68"/>
      <c r="AN39" s="77" t="str">
        <f>IF(AND(AV33&lt;&gt;"",AD39&lt;&gt;"",AI39&lt;&gt;""),IFERROR(AI39/(100-((AD39/AV33)*100)),""),"")</f>
        <v/>
      </c>
      <c r="AO39" s="67"/>
      <c r="AP39" s="67"/>
      <c r="AQ39" s="67"/>
      <c r="AR39" s="67"/>
      <c r="AS39" s="67"/>
      <c r="AT39" s="67"/>
      <c r="AU39" s="67"/>
      <c r="AV39" s="67"/>
      <c r="AW39" s="68"/>
      <c r="AY39" s="72">
        <v>5.0</v>
      </c>
      <c r="AZ39" s="67"/>
      <c r="BA39" s="68"/>
      <c r="BB39" s="75"/>
      <c r="BC39" s="67"/>
      <c r="BD39" s="67"/>
      <c r="BE39" s="67"/>
      <c r="BF39" s="68"/>
      <c r="BG39" s="76"/>
      <c r="BH39" s="67"/>
      <c r="BI39" s="67"/>
      <c r="BJ39" s="67"/>
      <c r="BK39" s="68"/>
      <c r="BL39" s="77" t="str">
        <f>IF(AND(BT33&lt;&gt;"",BB39&lt;&gt;"",BG39&lt;&gt;""),IFERROR(BG39/(100-((BB39/BT33)*100)),""),"")</f>
        <v/>
      </c>
      <c r="BM39" s="67"/>
      <c r="BN39" s="67"/>
      <c r="BO39" s="67"/>
      <c r="BP39" s="67"/>
      <c r="BQ39" s="67"/>
      <c r="BR39" s="67"/>
      <c r="BS39" s="67"/>
      <c r="BT39" s="67"/>
      <c r="BU39" s="68"/>
      <c r="BW39" s="72">
        <v>5.0</v>
      </c>
      <c r="BX39" s="67"/>
      <c r="BY39" s="68"/>
      <c r="BZ39" s="75"/>
      <c r="CA39" s="67"/>
      <c r="CB39" s="67"/>
      <c r="CC39" s="67"/>
      <c r="CD39" s="68"/>
      <c r="CE39" s="76"/>
      <c r="CF39" s="67"/>
      <c r="CG39" s="67"/>
      <c r="CH39" s="67"/>
      <c r="CI39" s="68"/>
      <c r="CJ39" s="77" t="str">
        <f>IF(AND(CR33&lt;&gt;"",BZ39&lt;&gt;"",CE39&lt;&gt;""),IFERROR(CE39/(100-((BZ39/CR33)*100)),""),"")</f>
        <v/>
      </c>
      <c r="CK39" s="67"/>
      <c r="CL39" s="67"/>
      <c r="CM39" s="67"/>
      <c r="CN39" s="67"/>
      <c r="CO39" s="67"/>
      <c r="CP39" s="67"/>
      <c r="CQ39" s="67"/>
      <c r="CR39" s="67"/>
      <c r="CS39" s="68"/>
    </row>
    <row r="40" ht="15.75" customHeight="1">
      <c r="C40" s="72">
        <v>6.0</v>
      </c>
      <c r="D40" s="67"/>
      <c r="E40" s="68"/>
      <c r="F40" s="75"/>
      <c r="G40" s="67"/>
      <c r="H40" s="67"/>
      <c r="I40" s="67"/>
      <c r="J40" s="68"/>
      <c r="K40" s="76"/>
      <c r="L40" s="67"/>
      <c r="M40" s="67"/>
      <c r="N40" s="67"/>
      <c r="O40" s="68"/>
      <c r="P40" s="77" t="str">
        <f>IF(AND(X33&lt;&gt;"",F40&lt;&gt;"",K40&lt;&gt;""),IFERROR(K40/(100-((F40/X33)*100)),""),"")</f>
        <v/>
      </c>
      <c r="Q40" s="67"/>
      <c r="R40" s="67"/>
      <c r="S40" s="67"/>
      <c r="T40" s="67"/>
      <c r="U40" s="67"/>
      <c r="V40" s="67"/>
      <c r="W40" s="67"/>
      <c r="X40" s="67"/>
      <c r="Y40" s="68"/>
      <c r="AA40" s="78"/>
      <c r="AB40" s="79">
        <v>6.0</v>
      </c>
      <c r="AC40" s="80"/>
      <c r="AD40" s="75"/>
      <c r="AE40" s="67"/>
      <c r="AF40" s="67"/>
      <c r="AG40" s="67"/>
      <c r="AH40" s="68"/>
      <c r="AI40" s="76"/>
      <c r="AJ40" s="67"/>
      <c r="AK40" s="67"/>
      <c r="AL40" s="67"/>
      <c r="AM40" s="68"/>
      <c r="AN40" s="77" t="str">
        <f>IF(AND(AV33&lt;&gt;"",AD40&lt;&gt;"",AI40&lt;&gt;""),IFERROR(AI40/(100-((AD40/AV33)*100)),""),"")</f>
        <v/>
      </c>
      <c r="AO40" s="67"/>
      <c r="AP40" s="67"/>
      <c r="AQ40" s="67"/>
      <c r="AR40" s="67"/>
      <c r="AS40" s="67"/>
      <c r="AT40" s="67"/>
      <c r="AU40" s="67"/>
      <c r="AV40" s="67"/>
      <c r="AW40" s="68"/>
      <c r="AY40" s="78"/>
      <c r="AZ40" s="79">
        <v>6.0</v>
      </c>
      <c r="BA40" s="80"/>
      <c r="BB40" s="75"/>
      <c r="BC40" s="67"/>
      <c r="BD40" s="67"/>
      <c r="BE40" s="67"/>
      <c r="BF40" s="68"/>
      <c r="BG40" s="76"/>
      <c r="BH40" s="67"/>
      <c r="BI40" s="67"/>
      <c r="BJ40" s="67"/>
      <c r="BK40" s="68"/>
      <c r="BL40" s="77" t="str">
        <f>IF(AND(BT33&lt;&gt;"",BB40&lt;&gt;"",BG40&lt;&gt;""),IFERROR(BG40/(100-((BB40/BT33)*100)),""),"")</f>
        <v/>
      </c>
      <c r="BM40" s="67"/>
      <c r="BN40" s="67"/>
      <c r="BO40" s="67"/>
      <c r="BP40" s="67"/>
      <c r="BQ40" s="67"/>
      <c r="BR40" s="67"/>
      <c r="BS40" s="67"/>
      <c r="BT40" s="67"/>
      <c r="BU40" s="68"/>
      <c r="BW40" s="78"/>
      <c r="BX40" s="79">
        <v>6.0</v>
      </c>
      <c r="BY40" s="80"/>
      <c r="BZ40" s="75"/>
      <c r="CA40" s="67"/>
      <c r="CB40" s="67"/>
      <c r="CC40" s="67"/>
      <c r="CD40" s="68"/>
      <c r="CE40" s="76"/>
      <c r="CF40" s="67"/>
      <c r="CG40" s="67"/>
      <c r="CH40" s="67"/>
      <c r="CI40" s="68"/>
      <c r="CJ40" s="77" t="str">
        <f>IF(AND(CR33&lt;&gt;"",BZ40&lt;&gt;"",CE40&lt;&gt;""),IFERROR(CE40/(100-((BZ40/CR33)*100)),""),"")</f>
        <v/>
      </c>
      <c r="CK40" s="67"/>
      <c r="CL40" s="67"/>
      <c r="CM40" s="67"/>
      <c r="CN40" s="67"/>
      <c r="CO40" s="67"/>
      <c r="CP40" s="67"/>
      <c r="CQ40" s="67"/>
      <c r="CR40" s="67"/>
      <c r="CS40" s="68"/>
    </row>
    <row r="41" ht="15.75" customHeight="1">
      <c r="C41" s="72" t="s">
        <v>31</v>
      </c>
      <c r="D41" s="67"/>
      <c r="E41" s="68"/>
      <c r="F41" s="77">
        <f>IFERROR(AVERAGE(F35:J39),"")</f>
        <v>30</v>
      </c>
      <c r="G41" s="67"/>
      <c r="H41" s="67"/>
      <c r="I41" s="67"/>
      <c r="J41" s="68"/>
      <c r="K41" s="71">
        <f>IFERROR(AVERAGE(K35:O39),"")</f>
        <v>10</v>
      </c>
      <c r="L41" s="67"/>
      <c r="M41" s="67"/>
      <c r="N41" s="67"/>
      <c r="O41" s="68"/>
      <c r="P41" s="77">
        <f>IFERROR(AVERAGE(P35:Y39),"")</f>
        <v>0.3307692308</v>
      </c>
      <c r="Q41" s="67"/>
      <c r="R41" s="67"/>
      <c r="S41" s="67"/>
      <c r="T41" s="67"/>
      <c r="U41" s="67"/>
      <c r="V41" s="67"/>
      <c r="W41" s="67"/>
      <c r="X41" s="67"/>
      <c r="Y41" s="68"/>
      <c r="AA41" s="72" t="s">
        <v>31</v>
      </c>
      <c r="AB41" s="67"/>
      <c r="AC41" s="68"/>
      <c r="AD41" s="77">
        <f>IFERROR(AVERAGE(AD35:AH39),"")</f>
        <v>180</v>
      </c>
      <c r="AE41" s="67"/>
      <c r="AF41" s="67"/>
      <c r="AG41" s="67"/>
      <c r="AH41" s="68"/>
      <c r="AI41" s="71">
        <f>IFERROR(AVERAGE(AI35:AM39),"")</f>
        <v>10.66666667</v>
      </c>
      <c r="AJ41" s="67"/>
      <c r="AK41" s="67"/>
      <c r="AL41" s="67"/>
      <c r="AM41" s="68"/>
      <c r="AN41" s="77">
        <f>IFERROR(AVERAGE(AN35:AW39),"")</f>
        <v>0.3497046414</v>
      </c>
      <c r="AO41" s="67"/>
      <c r="AP41" s="67"/>
      <c r="AQ41" s="67"/>
      <c r="AR41" s="67"/>
      <c r="AS41" s="67"/>
      <c r="AT41" s="67"/>
      <c r="AU41" s="67"/>
      <c r="AV41" s="67"/>
      <c r="AW41" s="68"/>
      <c r="AY41" s="72" t="s">
        <v>31</v>
      </c>
      <c r="AZ41" s="67"/>
      <c r="BA41" s="68"/>
      <c r="BB41" s="77">
        <f>IFERROR(AVERAGE(BB35:BF39),"")</f>
        <v>20</v>
      </c>
      <c r="BC41" s="67"/>
      <c r="BD41" s="67"/>
      <c r="BE41" s="67"/>
      <c r="BF41" s="68"/>
      <c r="BG41" s="71">
        <f>IFERROR(AVERAGE(BG35:BK39),"")</f>
        <v>13</v>
      </c>
      <c r="BH41" s="67"/>
      <c r="BI41" s="67"/>
      <c r="BJ41" s="67"/>
      <c r="BK41" s="68"/>
      <c r="BL41" s="77">
        <f>IFERROR(AVERAGE(BL35:BU39),"")</f>
        <v>0.2925</v>
      </c>
      <c r="BM41" s="67"/>
      <c r="BN41" s="67"/>
      <c r="BO41" s="67"/>
      <c r="BP41" s="67"/>
      <c r="BQ41" s="67"/>
      <c r="BR41" s="67"/>
      <c r="BS41" s="67"/>
      <c r="BT41" s="67"/>
      <c r="BU41" s="68"/>
      <c r="BW41" s="72" t="s">
        <v>31</v>
      </c>
      <c r="BX41" s="67"/>
      <c r="BY41" s="68"/>
      <c r="BZ41" s="77">
        <f>IFERROR(AVERAGE(BZ35:CD39),"")</f>
        <v>20</v>
      </c>
      <c r="CA41" s="67"/>
      <c r="CB41" s="67"/>
      <c r="CC41" s="67"/>
      <c r="CD41" s="68"/>
      <c r="CE41" s="71">
        <f>IFERROR(AVERAGE(CE35:CI39),"")</f>
        <v>13</v>
      </c>
      <c r="CF41" s="67"/>
      <c r="CG41" s="67"/>
      <c r="CH41" s="67"/>
      <c r="CI41" s="68"/>
      <c r="CJ41" s="77">
        <f>IFERROR(AVERAGE(CJ35:CS39),"")</f>
        <v>0.2925</v>
      </c>
      <c r="CK41" s="67"/>
      <c r="CL41" s="67"/>
      <c r="CM41" s="67"/>
      <c r="CN41" s="67"/>
      <c r="CO41" s="67"/>
      <c r="CP41" s="67"/>
      <c r="CQ41" s="67"/>
      <c r="CR41" s="67"/>
      <c r="CS41" s="68"/>
    </row>
    <row r="42" ht="30.0" customHeight="1">
      <c r="C42" s="81" t="s">
        <v>42</v>
      </c>
      <c r="D42" s="67"/>
      <c r="E42" s="68"/>
      <c r="F42" s="77">
        <f>IFERROR(SUM(F35:J39),"")</f>
        <v>90</v>
      </c>
      <c r="G42" s="67"/>
      <c r="H42" s="67"/>
      <c r="I42" s="67"/>
      <c r="J42" s="68"/>
      <c r="K42" s="71">
        <f>IFERROR(SUM(K35:O39),"")</f>
        <v>30</v>
      </c>
      <c r="L42" s="67"/>
      <c r="M42" s="67"/>
      <c r="N42" s="67"/>
      <c r="O42" s="68"/>
      <c r="P42" s="82">
        <f>IFERROR(SUM(P35:Y40),"")</f>
        <v>0.9923076923</v>
      </c>
      <c r="Q42" s="67"/>
      <c r="R42" s="67"/>
      <c r="S42" s="67"/>
      <c r="T42" s="67"/>
      <c r="U42" s="67"/>
      <c r="V42" s="67"/>
      <c r="W42" s="67"/>
      <c r="X42" s="67"/>
      <c r="Y42" s="68"/>
      <c r="AA42" s="81" t="s">
        <v>42</v>
      </c>
      <c r="AB42" s="67"/>
      <c r="AC42" s="68"/>
      <c r="AD42" s="77">
        <f>IFERROR(SUM(AD35:AH39),"")</f>
        <v>540</v>
      </c>
      <c r="AE42" s="67"/>
      <c r="AF42" s="67"/>
      <c r="AG42" s="67"/>
      <c r="AH42" s="68"/>
      <c r="AI42" s="71">
        <f>IFERROR(SUM(AI35:AM39),"")</f>
        <v>32</v>
      </c>
      <c r="AJ42" s="67"/>
      <c r="AK42" s="67"/>
      <c r="AL42" s="67"/>
      <c r="AM42" s="68"/>
      <c r="AN42" s="82">
        <f>IFERROR(SUM(AN35:AW40),"")</f>
        <v>1.049113924</v>
      </c>
      <c r="AO42" s="67"/>
      <c r="AP42" s="67"/>
      <c r="AQ42" s="67"/>
      <c r="AR42" s="67"/>
      <c r="AS42" s="67"/>
      <c r="AT42" s="67"/>
      <c r="AU42" s="67"/>
      <c r="AV42" s="67"/>
      <c r="AW42" s="68"/>
      <c r="AY42" s="81" t="s">
        <v>42</v>
      </c>
      <c r="AZ42" s="67"/>
      <c r="BA42" s="68"/>
      <c r="BB42" s="77">
        <f>IFERROR(SUM(BB35:BF39),"")</f>
        <v>60</v>
      </c>
      <c r="BC42" s="67"/>
      <c r="BD42" s="67"/>
      <c r="BE42" s="67"/>
      <c r="BF42" s="68"/>
      <c r="BG42" s="71">
        <f>IFERROR(SUM(BG35:BK39),"")</f>
        <v>39</v>
      </c>
      <c r="BH42" s="67"/>
      <c r="BI42" s="67"/>
      <c r="BJ42" s="67"/>
      <c r="BK42" s="68"/>
      <c r="BL42" s="82">
        <f>IFERROR(SUM(BL35:BU40),"")</f>
        <v>0.8775</v>
      </c>
      <c r="BM42" s="67"/>
      <c r="BN42" s="67"/>
      <c r="BO42" s="67"/>
      <c r="BP42" s="67"/>
      <c r="BQ42" s="67"/>
      <c r="BR42" s="67"/>
      <c r="BS42" s="67"/>
      <c r="BT42" s="67"/>
      <c r="BU42" s="68"/>
      <c r="BW42" s="81" t="s">
        <v>42</v>
      </c>
      <c r="BX42" s="67"/>
      <c r="BY42" s="68"/>
      <c r="BZ42" s="77">
        <f>IFERROR(SUM(BZ35:CD39),"")</f>
        <v>60</v>
      </c>
      <c r="CA42" s="67"/>
      <c r="CB42" s="67"/>
      <c r="CC42" s="67"/>
      <c r="CD42" s="68"/>
      <c r="CE42" s="71">
        <f>IFERROR(SUM(CE35:CI39),"")</f>
        <v>39</v>
      </c>
      <c r="CF42" s="67"/>
      <c r="CG42" s="67"/>
      <c r="CH42" s="67"/>
      <c r="CI42" s="68"/>
      <c r="CJ42" s="82">
        <f>IFERROR(SUM(CJ35:CS40),"")</f>
        <v>0.8775</v>
      </c>
      <c r="CK42" s="67"/>
      <c r="CL42" s="67"/>
      <c r="CM42" s="67"/>
      <c r="CN42" s="67"/>
      <c r="CO42" s="67"/>
      <c r="CP42" s="67"/>
      <c r="CQ42" s="67"/>
      <c r="CR42" s="67"/>
      <c r="CS42" s="68"/>
    </row>
    <row r="43" ht="15.75" customHeight="1">
      <c r="C43" s="69" t="s">
        <v>7</v>
      </c>
      <c r="D43" s="67"/>
      <c r="E43" s="67"/>
      <c r="F43" s="67"/>
      <c r="G43" s="68"/>
      <c r="H43" s="70"/>
      <c r="I43" s="67"/>
      <c r="J43" s="67"/>
      <c r="K43" s="67"/>
      <c r="L43" s="68"/>
      <c r="M43" s="71"/>
      <c r="N43" s="67"/>
      <c r="O43" s="67"/>
      <c r="P43" s="67"/>
      <c r="Q43" s="68"/>
      <c r="R43" s="72" t="s">
        <v>9</v>
      </c>
      <c r="S43" s="67"/>
      <c r="T43" s="67"/>
      <c r="U43" s="67"/>
      <c r="V43" s="67"/>
      <c r="W43" s="68"/>
      <c r="X43" s="73"/>
      <c r="Y43" s="68"/>
      <c r="AA43" s="69" t="s">
        <v>7</v>
      </c>
      <c r="AB43" s="67"/>
      <c r="AC43" s="67"/>
      <c r="AD43" s="67"/>
      <c r="AE43" s="68"/>
      <c r="AF43" s="70"/>
      <c r="AG43" s="67"/>
      <c r="AH43" s="67"/>
      <c r="AI43" s="67"/>
      <c r="AJ43" s="68"/>
      <c r="AK43" s="71"/>
      <c r="AL43" s="67"/>
      <c r="AM43" s="67"/>
      <c r="AN43" s="67"/>
      <c r="AO43" s="68"/>
      <c r="AP43" s="72" t="s">
        <v>9</v>
      </c>
      <c r="AQ43" s="67"/>
      <c r="AR43" s="67"/>
      <c r="AS43" s="67"/>
      <c r="AT43" s="67"/>
      <c r="AU43" s="68"/>
      <c r="AV43" s="73"/>
      <c r="AW43" s="68"/>
      <c r="AY43" s="69" t="s">
        <v>7</v>
      </c>
      <c r="AZ43" s="67"/>
      <c r="BA43" s="67"/>
      <c r="BB43" s="67"/>
      <c r="BC43" s="68"/>
      <c r="BD43" s="70"/>
      <c r="BE43" s="67"/>
      <c r="BF43" s="67"/>
      <c r="BG43" s="67"/>
      <c r="BH43" s="68"/>
      <c r="BI43" s="71"/>
      <c r="BJ43" s="67"/>
      <c r="BK43" s="67"/>
      <c r="BL43" s="67"/>
      <c r="BM43" s="68"/>
      <c r="BN43" s="72" t="s">
        <v>9</v>
      </c>
      <c r="BO43" s="67"/>
      <c r="BP43" s="67"/>
      <c r="BQ43" s="67"/>
      <c r="BR43" s="67"/>
      <c r="BS43" s="68"/>
      <c r="BT43" s="73"/>
      <c r="BU43" s="68"/>
      <c r="BW43" s="69" t="s">
        <v>7</v>
      </c>
      <c r="BX43" s="67"/>
      <c r="BY43" s="67"/>
      <c r="BZ43" s="67"/>
      <c r="CA43" s="68"/>
      <c r="CB43" s="70"/>
      <c r="CC43" s="67"/>
      <c r="CD43" s="67"/>
      <c r="CE43" s="67"/>
      <c r="CF43" s="68"/>
      <c r="CG43" s="71"/>
      <c r="CH43" s="67"/>
      <c r="CI43" s="67"/>
      <c r="CJ43" s="67"/>
      <c r="CK43" s="68"/>
      <c r="CL43" s="72" t="s">
        <v>9</v>
      </c>
      <c r="CM43" s="67"/>
      <c r="CN43" s="67"/>
      <c r="CO43" s="67"/>
      <c r="CP43" s="67"/>
      <c r="CQ43" s="68"/>
      <c r="CR43" s="73"/>
      <c r="CS43" s="68"/>
    </row>
    <row r="44" ht="15.75" customHeight="1">
      <c r="C44" s="74" t="s">
        <v>23</v>
      </c>
      <c r="D44" s="67"/>
      <c r="E44" s="68"/>
      <c r="F44" s="74" t="s">
        <v>24</v>
      </c>
      <c r="G44" s="67"/>
      <c r="H44" s="67"/>
      <c r="I44" s="67"/>
      <c r="J44" s="68"/>
      <c r="K44" s="74" t="s">
        <v>25</v>
      </c>
      <c r="L44" s="67"/>
      <c r="M44" s="67"/>
      <c r="N44" s="67"/>
      <c r="O44" s="68"/>
      <c r="P44" s="74" t="s">
        <v>26</v>
      </c>
      <c r="Q44" s="67"/>
      <c r="R44" s="67"/>
      <c r="S44" s="67"/>
      <c r="T44" s="67"/>
      <c r="U44" s="67"/>
      <c r="V44" s="67"/>
      <c r="W44" s="67"/>
      <c r="X44" s="67"/>
      <c r="Y44" s="68"/>
      <c r="AA44" s="74" t="s">
        <v>23</v>
      </c>
      <c r="AB44" s="67"/>
      <c r="AC44" s="68"/>
      <c r="AD44" s="74" t="s">
        <v>24</v>
      </c>
      <c r="AE44" s="67"/>
      <c r="AF44" s="67"/>
      <c r="AG44" s="67"/>
      <c r="AH44" s="68"/>
      <c r="AI44" s="74" t="s">
        <v>25</v>
      </c>
      <c r="AJ44" s="67"/>
      <c r="AK44" s="67"/>
      <c r="AL44" s="67"/>
      <c r="AM44" s="68"/>
      <c r="AN44" s="74" t="s">
        <v>26</v>
      </c>
      <c r="AO44" s="67"/>
      <c r="AP44" s="67"/>
      <c r="AQ44" s="67"/>
      <c r="AR44" s="67"/>
      <c r="AS44" s="67"/>
      <c r="AT44" s="67"/>
      <c r="AU44" s="67"/>
      <c r="AV44" s="67"/>
      <c r="AW44" s="68"/>
      <c r="AY44" s="74" t="s">
        <v>23</v>
      </c>
      <c r="AZ44" s="67"/>
      <c r="BA44" s="68"/>
      <c r="BB44" s="74" t="s">
        <v>24</v>
      </c>
      <c r="BC44" s="67"/>
      <c r="BD44" s="67"/>
      <c r="BE44" s="67"/>
      <c r="BF44" s="68"/>
      <c r="BG44" s="74" t="s">
        <v>25</v>
      </c>
      <c r="BH44" s="67"/>
      <c r="BI44" s="67"/>
      <c r="BJ44" s="67"/>
      <c r="BK44" s="68"/>
      <c r="BL44" s="74" t="s">
        <v>26</v>
      </c>
      <c r="BM44" s="67"/>
      <c r="BN44" s="67"/>
      <c r="BO44" s="67"/>
      <c r="BP44" s="67"/>
      <c r="BQ44" s="67"/>
      <c r="BR44" s="67"/>
      <c r="BS44" s="67"/>
      <c r="BT44" s="67"/>
      <c r="BU44" s="68"/>
      <c r="BW44" s="74" t="s">
        <v>23</v>
      </c>
      <c r="BX44" s="67"/>
      <c r="BY44" s="68"/>
      <c r="BZ44" s="74" t="s">
        <v>24</v>
      </c>
      <c r="CA44" s="67"/>
      <c r="CB44" s="67"/>
      <c r="CC44" s="67"/>
      <c r="CD44" s="68"/>
      <c r="CE44" s="74" t="s">
        <v>25</v>
      </c>
      <c r="CF44" s="67"/>
      <c r="CG44" s="67"/>
      <c r="CH44" s="67"/>
      <c r="CI44" s="68"/>
      <c r="CJ44" s="74" t="s">
        <v>26</v>
      </c>
      <c r="CK44" s="67"/>
      <c r="CL44" s="67"/>
      <c r="CM44" s="67"/>
      <c r="CN44" s="67"/>
      <c r="CO44" s="67"/>
      <c r="CP44" s="67"/>
      <c r="CQ44" s="67"/>
      <c r="CR44" s="67"/>
      <c r="CS44" s="68"/>
    </row>
    <row r="45" ht="15.75" customHeight="1">
      <c r="C45" s="72">
        <v>1.0</v>
      </c>
      <c r="D45" s="67"/>
      <c r="E45" s="68"/>
      <c r="F45" s="75"/>
      <c r="G45" s="67"/>
      <c r="H45" s="67"/>
      <c r="I45" s="67"/>
      <c r="J45" s="68"/>
      <c r="K45" s="76"/>
      <c r="L45" s="67"/>
      <c r="M45" s="67"/>
      <c r="N45" s="67"/>
      <c r="O45" s="68"/>
      <c r="P45" s="77" t="str">
        <f>IF(AND(X43&lt;&gt;"",F45&lt;&gt;"",K45&lt;&gt;""),IFERROR(K45/(100-((F45/X43)*100)),""),"")</f>
        <v/>
      </c>
      <c r="Q45" s="67"/>
      <c r="R45" s="67"/>
      <c r="S45" s="67"/>
      <c r="T45" s="67"/>
      <c r="U45" s="67"/>
      <c r="V45" s="67"/>
      <c r="W45" s="67"/>
      <c r="X45" s="67"/>
      <c r="Y45" s="68"/>
      <c r="AA45" s="72">
        <v>1.0</v>
      </c>
      <c r="AB45" s="67"/>
      <c r="AC45" s="68"/>
      <c r="AD45" s="75"/>
      <c r="AE45" s="67"/>
      <c r="AF45" s="67"/>
      <c r="AG45" s="67"/>
      <c r="AH45" s="68"/>
      <c r="AI45" s="76"/>
      <c r="AJ45" s="67"/>
      <c r="AK45" s="67"/>
      <c r="AL45" s="67"/>
      <c r="AM45" s="68"/>
      <c r="AN45" s="77" t="str">
        <f>IF(AND(AV43&lt;&gt;"",AD45&lt;&gt;"",AI45&lt;&gt;""),IFERROR(AI45/(100-((AD45/AV43)*100)),""),"")</f>
        <v/>
      </c>
      <c r="AO45" s="67"/>
      <c r="AP45" s="67"/>
      <c r="AQ45" s="67"/>
      <c r="AR45" s="67"/>
      <c r="AS45" s="67"/>
      <c r="AT45" s="67"/>
      <c r="AU45" s="67"/>
      <c r="AV45" s="67"/>
      <c r="AW45" s="68"/>
      <c r="AY45" s="72">
        <v>1.0</v>
      </c>
      <c r="AZ45" s="67"/>
      <c r="BA45" s="68"/>
      <c r="BB45" s="75"/>
      <c r="BC45" s="67"/>
      <c r="BD45" s="67"/>
      <c r="BE45" s="67"/>
      <c r="BF45" s="68"/>
      <c r="BG45" s="76"/>
      <c r="BH45" s="67"/>
      <c r="BI45" s="67"/>
      <c r="BJ45" s="67"/>
      <c r="BK45" s="68"/>
      <c r="BL45" s="77" t="str">
        <f>IF(AND(BT43&lt;&gt;"",BB45&lt;&gt;"",BG45&lt;&gt;""),IFERROR(BG45/(100-((BB45/BT43)*100)),""),"")</f>
        <v/>
      </c>
      <c r="BM45" s="67"/>
      <c r="BN45" s="67"/>
      <c r="BO45" s="67"/>
      <c r="BP45" s="67"/>
      <c r="BQ45" s="67"/>
      <c r="BR45" s="67"/>
      <c r="BS45" s="67"/>
      <c r="BT45" s="67"/>
      <c r="BU45" s="68"/>
      <c r="BW45" s="72">
        <v>1.0</v>
      </c>
      <c r="BX45" s="67"/>
      <c r="BY45" s="68"/>
      <c r="BZ45" s="75"/>
      <c r="CA45" s="67"/>
      <c r="CB45" s="67"/>
      <c r="CC45" s="67"/>
      <c r="CD45" s="68"/>
      <c r="CE45" s="76"/>
      <c r="CF45" s="67"/>
      <c r="CG45" s="67"/>
      <c r="CH45" s="67"/>
      <c r="CI45" s="68"/>
      <c r="CJ45" s="77" t="str">
        <f>IF(AND(CR43&lt;&gt;"",BZ45&lt;&gt;"",CE45&lt;&gt;""),IFERROR(CE45/(100-((BZ45/CR43)*100)),""),"")</f>
        <v/>
      </c>
      <c r="CK45" s="67"/>
      <c r="CL45" s="67"/>
      <c r="CM45" s="67"/>
      <c r="CN45" s="67"/>
      <c r="CO45" s="67"/>
      <c r="CP45" s="67"/>
      <c r="CQ45" s="67"/>
      <c r="CR45" s="67"/>
      <c r="CS45" s="68"/>
    </row>
    <row r="46" ht="15.75" customHeight="1">
      <c r="C46" s="72">
        <v>2.0</v>
      </c>
      <c r="D46" s="67"/>
      <c r="E46" s="68"/>
      <c r="F46" s="75"/>
      <c r="G46" s="67"/>
      <c r="H46" s="67"/>
      <c r="I46" s="67"/>
      <c r="J46" s="68"/>
      <c r="K46" s="76"/>
      <c r="L46" s="67"/>
      <c r="M46" s="67"/>
      <c r="N46" s="67"/>
      <c r="O46" s="68"/>
      <c r="P46" s="77" t="str">
        <f>IF(AND(X43&lt;&gt;"",F46&lt;&gt;"",K46&lt;&gt;""),IFERROR(K46/(100-((F46/X43)*100)),""),"")</f>
        <v/>
      </c>
      <c r="Q46" s="67"/>
      <c r="R46" s="67"/>
      <c r="S46" s="67"/>
      <c r="T46" s="67"/>
      <c r="U46" s="67"/>
      <c r="V46" s="67"/>
      <c r="W46" s="67"/>
      <c r="X46" s="67"/>
      <c r="Y46" s="68"/>
      <c r="AA46" s="72">
        <v>2.0</v>
      </c>
      <c r="AB46" s="67"/>
      <c r="AC46" s="68"/>
      <c r="AD46" s="75"/>
      <c r="AE46" s="67"/>
      <c r="AF46" s="67"/>
      <c r="AG46" s="67"/>
      <c r="AH46" s="68"/>
      <c r="AI46" s="76"/>
      <c r="AJ46" s="67"/>
      <c r="AK46" s="67"/>
      <c r="AL46" s="67"/>
      <c r="AM46" s="68"/>
      <c r="AN46" s="77" t="str">
        <f>IF(AND(AV43&lt;&gt;"",AD46&lt;&gt;"",AI46&lt;&gt;""),IFERROR(AI46/(100-((AD46/AV43)*100)),""),"")</f>
        <v/>
      </c>
      <c r="AO46" s="67"/>
      <c r="AP46" s="67"/>
      <c r="AQ46" s="67"/>
      <c r="AR46" s="67"/>
      <c r="AS46" s="67"/>
      <c r="AT46" s="67"/>
      <c r="AU46" s="67"/>
      <c r="AV46" s="67"/>
      <c r="AW46" s="68"/>
      <c r="AY46" s="72">
        <v>2.0</v>
      </c>
      <c r="AZ46" s="67"/>
      <c r="BA46" s="68"/>
      <c r="BB46" s="75"/>
      <c r="BC46" s="67"/>
      <c r="BD46" s="67"/>
      <c r="BE46" s="67"/>
      <c r="BF46" s="68"/>
      <c r="BG46" s="76"/>
      <c r="BH46" s="67"/>
      <c r="BI46" s="67"/>
      <c r="BJ46" s="67"/>
      <c r="BK46" s="68"/>
      <c r="BL46" s="77" t="str">
        <f>IF(AND(BT43&lt;&gt;"",BB46&lt;&gt;"",BG46&lt;&gt;""),IFERROR(BG46/(100-((BB46/BT43)*100)),""),"")</f>
        <v/>
      </c>
      <c r="BM46" s="67"/>
      <c r="BN46" s="67"/>
      <c r="BO46" s="67"/>
      <c r="BP46" s="67"/>
      <c r="BQ46" s="67"/>
      <c r="BR46" s="67"/>
      <c r="BS46" s="67"/>
      <c r="BT46" s="67"/>
      <c r="BU46" s="68"/>
      <c r="BW46" s="72">
        <v>2.0</v>
      </c>
      <c r="BX46" s="67"/>
      <c r="BY46" s="68"/>
      <c r="BZ46" s="75"/>
      <c r="CA46" s="67"/>
      <c r="CB46" s="67"/>
      <c r="CC46" s="67"/>
      <c r="CD46" s="68"/>
      <c r="CE46" s="76"/>
      <c r="CF46" s="67"/>
      <c r="CG46" s="67"/>
      <c r="CH46" s="67"/>
      <c r="CI46" s="68"/>
      <c r="CJ46" s="77" t="str">
        <f>IF(AND(CR43&lt;&gt;"",BZ46&lt;&gt;"",CE46&lt;&gt;""),IFERROR(CE46/(100-((BZ46/CR43)*100)),""),"")</f>
        <v/>
      </c>
      <c r="CK46" s="67"/>
      <c r="CL46" s="67"/>
      <c r="CM46" s="67"/>
      <c r="CN46" s="67"/>
      <c r="CO46" s="67"/>
      <c r="CP46" s="67"/>
      <c r="CQ46" s="67"/>
      <c r="CR46" s="67"/>
      <c r="CS46" s="68"/>
    </row>
    <row r="47" ht="15.75" customHeight="1">
      <c r="C47" s="72">
        <v>3.0</v>
      </c>
      <c r="D47" s="67"/>
      <c r="E47" s="68"/>
      <c r="F47" s="75"/>
      <c r="G47" s="67"/>
      <c r="H47" s="67"/>
      <c r="I47" s="67"/>
      <c r="J47" s="68"/>
      <c r="K47" s="76"/>
      <c r="L47" s="67"/>
      <c r="M47" s="67"/>
      <c r="N47" s="67"/>
      <c r="O47" s="68"/>
      <c r="P47" s="77" t="str">
        <f>IF(AND(X43&lt;&gt;"",F47&lt;&gt;"",K47&lt;&gt;""),IFERROR(K47/(100-((F47/X43)*100)),""),"")</f>
        <v/>
      </c>
      <c r="Q47" s="67"/>
      <c r="R47" s="67"/>
      <c r="S47" s="67"/>
      <c r="T47" s="67"/>
      <c r="U47" s="67"/>
      <c r="V47" s="67"/>
      <c r="W47" s="67"/>
      <c r="X47" s="67"/>
      <c r="Y47" s="68"/>
      <c r="AA47" s="72">
        <v>3.0</v>
      </c>
      <c r="AB47" s="67"/>
      <c r="AC47" s="68"/>
      <c r="AD47" s="75"/>
      <c r="AE47" s="67"/>
      <c r="AF47" s="67"/>
      <c r="AG47" s="67"/>
      <c r="AH47" s="68"/>
      <c r="AI47" s="76"/>
      <c r="AJ47" s="67"/>
      <c r="AK47" s="67"/>
      <c r="AL47" s="67"/>
      <c r="AM47" s="68"/>
      <c r="AN47" s="77" t="str">
        <f>IF(AND(AV43&lt;&gt;"",AD47&lt;&gt;"",AI47&lt;&gt;""),IFERROR(AI47/(100-((AD47/AV43)*100)),""),"")</f>
        <v/>
      </c>
      <c r="AO47" s="67"/>
      <c r="AP47" s="67"/>
      <c r="AQ47" s="67"/>
      <c r="AR47" s="67"/>
      <c r="AS47" s="67"/>
      <c r="AT47" s="67"/>
      <c r="AU47" s="67"/>
      <c r="AV47" s="67"/>
      <c r="AW47" s="68"/>
      <c r="AY47" s="72">
        <v>3.0</v>
      </c>
      <c r="AZ47" s="67"/>
      <c r="BA47" s="68"/>
      <c r="BB47" s="75"/>
      <c r="BC47" s="67"/>
      <c r="BD47" s="67"/>
      <c r="BE47" s="67"/>
      <c r="BF47" s="68"/>
      <c r="BG47" s="76"/>
      <c r="BH47" s="67"/>
      <c r="BI47" s="67"/>
      <c r="BJ47" s="67"/>
      <c r="BK47" s="68"/>
      <c r="BL47" s="77" t="str">
        <f>IF(AND(BT43&lt;&gt;"",BB47&lt;&gt;"",BG47&lt;&gt;""),IFERROR(BG47/(100-((BB47/BT43)*100)),""),"")</f>
        <v/>
      </c>
      <c r="BM47" s="67"/>
      <c r="BN47" s="67"/>
      <c r="BO47" s="67"/>
      <c r="BP47" s="67"/>
      <c r="BQ47" s="67"/>
      <c r="BR47" s="67"/>
      <c r="BS47" s="67"/>
      <c r="BT47" s="67"/>
      <c r="BU47" s="68"/>
      <c r="BW47" s="72">
        <v>3.0</v>
      </c>
      <c r="BX47" s="67"/>
      <c r="BY47" s="68"/>
      <c r="BZ47" s="75"/>
      <c r="CA47" s="67"/>
      <c r="CB47" s="67"/>
      <c r="CC47" s="67"/>
      <c r="CD47" s="68"/>
      <c r="CE47" s="76"/>
      <c r="CF47" s="67"/>
      <c r="CG47" s="67"/>
      <c r="CH47" s="67"/>
      <c r="CI47" s="68"/>
      <c r="CJ47" s="77" t="str">
        <f>IF(AND(CR43&lt;&gt;"",BZ47&lt;&gt;"",CE47&lt;&gt;""),IFERROR(CE47/(100-((BZ47/CR43)*100)),""),"")</f>
        <v/>
      </c>
      <c r="CK47" s="67"/>
      <c r="CL47" s="67"/>
      <c r="CM47" s="67"/>
      <c r="CN47" s="67"/>
      <c r="CO47" s="67"/>
      <c r="CP47" s="67"/>
      <c r="CQ47" s="67"/>
      <c r="CR47" s="67"/>
      <c r="CS47" s="68"/>
    </row>
    <row r="48" ht="15.75" customHeight="1">
      <c r="C48" s="72">
        <v>4.0</v>
      </c>
      <c r="D48" s="67"/>
      <c r="E48" s="68"/>
      <c r="F48" s="75"/>
      <c r="G48" s="67"/>
      <c r="H48" s="67"/>
      <c r="I48" s="67"/>
      <c r="J48" s="68"/>
      <c r="K48" s="76"/>
      <c r="L48" s="67"/>
      <c r="M48" s="67"/>
      <c r="N48" s="67"/>
      <c r="O48" s="68"/>
      <c r="P48" s="77" t="str">
        <f>IF(AND(X43&lt;&gt;"",F48&lt;&gt;"",K48&lt;&gt;""),IFERROR(K48/(100-((F48/X43)*100)),""),"")</f>
        <v/>
      </c>
      <c r="Q48" s="67"/>
      <c r="R48" s="67"/>
      <c r="S48" s="67"/>
      <c r="T48" s="67"/>
      <c r="U48" s="67"/>
      <c r="V48" s="67"/>
      <c r="W48" s="67"/>
      <c r="X48" s="67"/>
      <c r="Y48" s="68"/>
      <c r="AA48" s="72">
        <v>4.0</v>
      </c>
      <c r="AB48" s="67"/>
      <c r="AC48" s="68"/>
      <c r="AD48" s="75"/>
      <c r="AE48" s="67"/>
      <c r="AF48" s="67"/>
      <c r="AG48" s="67"/>
      <c r="AH48" s="68"/>
      <c r="AI48" s="76"/>
      <c r="AJ48" s="67"/>
      <c r="AK48" s="67"/>
      <c r="AL48" s="67"/>
      <c r="AM48" s="68"/>
      <c r="AN48" s="77" t="str">
        <f>IF(AND(AV43&lt;&gt;"",AD48&lt;&gt;"",AI48&lt;&gt;""),IFERROR(AI48/(100-((AD48/AV43)*100)),""),"")</f>
        <v/>
      </c>
      <c r="AO48" s="67"/>
      <c r="AP48" s="67"/>
      <c r="AQ48" s="67"/>
      <c r="AR48" s="67"/>
      <c r="AS48" s="67"/>
      <c r="AT48" s="67"/>
      <c r="AU48" s="67"/>
      <c r="AV48" s="67"/>
      <c r="AW48" s="68"/>
      <c r="AY48" s="72">
        <v>4.0</v>
      </c>
      <c r="AZ48" s="67"/>
      <c r="BA48" s="68"/>
      <c r="BB48" s="75"/>
      <c r="BC48" s="67"/>
      <c r="BD48" s="67"/>
      <c r="BE48" s="67"/>
      <c r="BF48" s="68"/>
      <c r="BG48" s="76"/>
      <c r="BH48" s="67"/>
      <c r="BI48" s="67"/>
      <c r="BJ48" s="67"/>
      <c r="BK48" s="68"/>
      <c r="BL48" s="77" t="str">
        <f>IF(AND(BT43&lt;&gt;"",BB48&lt;&gt;"",BG48&lt;&gt;""),IFERROR(BG48/(100-((BB48/BT43)*100)),""),"")</f>
        <v/>
      </c>
      <c r="BM48" s="67"/>
      <c r="BN48" s="67"/>
      <c r="BO48" s="67"/>
      <c r="BP48" s="67"/>
      <c r="BQ48" s="67"/>
      <c r="BR48" s="67"/>
      <c r="BS48" s="67"/>
      <c r="BT48" s="67"/>
      <c r="BU48" s="68"/>
      <c r="BW48" s="72">
        <v>4.0</v>
      </c>
      <c r="BX48" s="67"/>
      <c r="BY48" s="68"/>
      <c r="BZ48" s="75"/>
      <c r="CA48" s="67"/>
      <c r="CB48" s="67"/>
      <c r="CC48" s="67"/>
      <c r="CD48" s="68"/>
      <c r="CE48" s="76"/>
      <c r="CF48" s="67"/>
      <c r="CG48" s="67"/>
      <c r="CH48" s="67"/>
      <c r="CI48" s="68"/>
      <c r="CJ48" s="77" t="str">
        <f>IF(AND(CR43&lt;&gt;"",BZ48&lt;&gt;"",CE48&lt;&gt;""),IFERROR(CE48/(100-((BZ48/CR43)*100)),""),"")</f>
        <v/>
      </c>
      <c r="CK48" s="67"/>
      <c r="CL48" s="67"/>
      <c r="CM48" s="67"/>
      <c r="CN48" s="67"/>
      <c r="CO48" s="67"/>
      <c r="CP48" s="67"/>
      <c r="CQ48" s="67"/>
      <c r="CR48" s="67"/>
      <c r="CS48" s="68"/>
    </row>
    <row r="49" ht="15.75" customHeight="1">
      <c r="C49" s="72">
        <v>5.0</v>
      </c>
      <c r="D49" s="67"/>
      <c r="E49" s="68"/>
      <c r="F49" s="75"/>
      <c r="G49" s="67"/>
      <c r="H49" s="67"/>
      <c r="I49" s="67"/>
      <c r="J49" s="68"/>
      <c r="K49" s="76"/>
      <c r="L49" s="67"/>
      <c r="M49" s="67"/>
      <c r="N49" s="67"/>
      <c r="O49" s="68"/>
      <c r="P49" s="77" t="str">
        <f>IF(AND(X43&lt;&gt;"",F49&lt;&gt;"",K49&lt;&gt;""),IFERROR(K49/(100-((F49/X43)*100)),""),"")</f>
        <v/>
      </c>
      <c r="Q49" s="67"/>
      <c r="R49" s="67"/>
      <c r="S49" s="67"/>
      <c r="T49" s="67"/>
      <c r="U49" s="67"/>
      <c r="V49" s="67"/>
      <c r="W49" s="67"/>
      <c r="X49" s="67"/>
      <c r="Y49" s="68"/>
      <c r="AA49" s="72">
        <v>5.0</v>
      </c>
      <c r="AB49" s="67"/>
      <c r="AC49" s="68"/>
      <c r="AD49" s="75"/>
      <c r="AE49" s="67"/>
      <c r="AF49" s="67"/>
      <c r="AG49" s="67"/>
      <c r="AH49" s="68"/>
      <c r="AI49" s="76"/>
      <c r="AJ49" s="67"/>
      <c r="AK49" s="67"/>
      <c r="AL49" s="67"/>
      <c r="AM49" s="68"/>
      <c r="AN49" s="77" t="str">
        <f>IF(AND(AV43&lt;&gt;"",AD49&lt;&gt;"",AI49&lt;&gt;""),IFERROR(AI49/(100-((AD49/AV43)*100)),""),"")</f>
        <v/>
      </c>
      <c r="AO49" s="67"/>
      <c r="AP49" s="67"/>
      <c r="AQ49" s="67"/>
      <c r="AR49" s="67"/>
      <c r="AS49" s="67"/>
      <c r="AT49" s="67"/>
      <c r="AU49" s="67"/>
      <c r="AV49" s="67"/>
      <c r="AW49" s="68"/>
      <c r="AY49" s="72">
        <v>5.0</v>
      </c>
      <c r="AZ49" s="67"/>
      <c r="BA49" s="68"/>
      <c r="BB49" s="75"/>
      <c r="BC49" s="67"/>
      <c r="BD49" s="67"/>
      <c r="BE49" s="67"/>
      <c r="BF49" s="68"/>
      <c r="BG49" s="76"/>
      <c r="BH49" s="67"/>
      <c r="BI49" s="67"/>
      <c r="BJ49" s="67"/>
      <c r="BK49" s="68"/>
      <c r="BL49" s="77" t="str">
        <f>IF(AND(BT43&lt;&gt;"",BB49&lt;&gt;"",BG49&lt;&gt;""),IFERROR(BG49/(100-((BB49/BT43)*100)),""),"")</f>
        <v/>
      </c>
      <c r="BM49" s="67"/>
      <c r="BN49" s="67"/>
      <c r="BO49" s="67"/>
      <c r="BP49" s="67"/>
      <c r="BQ49" s="67"/>
      <c r="BR49" s="67"/>
      <c r="BS49" s="67"/>
      <c r="BT49" s="67"/>
      <c r="BU49" s="68"/>
      <c r="BW49" s="72">
        <v>5.0</v>
      </c>
      <c r="BX49" s="67"/>
      <c r="BY49" s="68"/>
      <c r="BZ49" s="75"/>
      <c r="CA49" s="67"/>
      <c r="CB49" s="67"/>
      <c r="CC49" s="67"/>
      <c r="CD49" s="68"/>
      <c r="CE49" s="76"/>
      <c r="CF49" s="67"/>
      <c r="CG49" s="67"/>
      <c r="CH49" s="67"/>
      <c r="CI49" s="68"/>
      <c r="CJ49" s="77" t="str">
        <f>IF(AND(CR43&lt;&gt;"",BZ49&lt;&gt;"",CE49&lt;&gt;""),IFERROR(CE49/(100-((BZ49/CR43)*100)),""),"")</f>
        <v/>
      </c>
      <c r="CK49" s="67"/>
      <c r="CL49" s="67"/>
      <c r="CM49" s="67"/>
      <c r="CN49" s="67"/>
      <c r="CO49" s="67"/>
      <c r="CP49" s="67"/>
      <c r="CQ49" s="67"/>
      <c r="CR49" s="67"/>
      <c r="CS49" s="68"/>
    </row>
    <row r="50" ht="15.75" customHeight="1">
      <c r="C50" s="72">
        <v>6.0</v>
      </c>
      <c r="D50" s="67"/>
      <c r="E50" s="68"/>
      <c r="F50" s="75"/>
      <c r="G50" s="67"/>
      <c r="H50" s="67"/>
      <c r="I50" s="67"/>
      <c r="J50" s="68"/>
      <c r="K50" s="76"/>
      <c r="L50" s="67"/>
      <c r="M50" s="67"/>
      <c r="N50" s="67"/>
      <c r="O50" s="68"/>
      <c r="P50" s="77" t="str">
        <f>IF(AND(X43&lt;&gt;"",F50&lt;&gt;"",K50&lt;&gt;""),IFERROR(K50/(100-((F50/X43)*100)),""),"")</f>
        <v/>
      </c>
      <c r="Q50" s="67"/>
      <c r="R50" s="67"/>
      <c r="S50" s="67"/>
      <c r="T50" s="67"/>
      <c r="U50" s="67"/>
      <c r="V50" s="67"/>
      <c r="W50" s="67"/>
      <c r="X50" s="67"/>
      <c r="Y50" s="68"/>
      <c r="AA50" s="78"/>
      <c r="AB50" s="79">
        <v>6.0</v>
      </c>
      <c r="AC50" s="80"/>
      <c r="AD50" s="75"/>
      <c r="AE50" s="67"/>
      <c r="AF50" s="67"/>
      <c r="AG50" s="67"/>
      <c r="AH50" s="68"/>
      <c r="AI50" s="76"/>
      <c r="AJ50" s="67"/>
      <c r="AK50" s="67"/>
      <c r="AL50" s="67"/>
      <c r="AM50" s="68"/>
      <c r="AN50" s="77" t="str">
        <f>IF(AND(AV43&lt;&gt;"",AD50&lt;&gt;"",AI50&lt;&gt;""),IFERROR(AI50/(100-((AD50/AV43)*100)),""),"")</f>
        <v/>
      </c>
      <c r="AO50" s="67"/>
      <c r="AP50" s="67"/>
      <c r="AQ50" s="67"/>
      <c r="AR50" s="67"/>
      <c r="AS50" s="67"/>
      <c r="AT50" s="67"/>
      <c r="AU50" s="67"/>
      <c r="AV50" s="67"/>
      <c r="AW50" s="68"/>
      <c r="AY50" s="78"/>
      <c r="AZ50" s="79">
        <v>6.0</v>
      </c>
      <c r="BA50" s="80"/>
      <c r="BB50" s="75"/>
      <c r="BC50" s="67"/>
      <c r="BD50" s="67"/>
      <c r="BE50" s="67"/>
      <c r="BF50" s="68"/>
      <c r="BG50" s="76"/>
      <c r="BH50" s="67"/>
      <c r="BI50" s="67"/>
      <c r="BJ50" s="67"/>
      <c r="BK50" s="68"/>
      <c r="BL50" s="77" t="str">
        <f>IF(AND(BT43&lt;&gt;"",BB50&lt;&gt;"",BG50&lt;&gt;""),IFERROR(BG50/(100-((BB50/BT43)*100)),""),"")</f>
        <v/>
      </c>
      <c r="BM50" s="67"/>
      <c r="BN50" s="67"/>
      <c r="BO50" s="67"/>
      <c r="BP50" s="67"/>
      <c r="BQ50" s="67"/>
      <c r="BR50" s="67"/>
      <c r="BS50" s="67"/>
      <c r="BT50" s="67"/>
      <c r="BU50" s="68"/>
      <c r="BW50" s="78"/>
      <c r="BX50" s="79">
        <v>6.0</v>
      </c>
      <c r="BY50" s="80"/>
      <c r="BZ50" s="75"/>
      <c r="CA50" s="67"/>
      <c r="CB50" s="67"/>
      <c r="CC50" s="67"/>
      <c r="CD50" s="68"/>
      <c r="CE50" s="76"/>
      <c r="CF50" s="67"/>
      <c r="CG50" s="67"/>
      <c r="CH50" s="67"/>
      <c r="CI50" s="68"/>
      <c r="CJ50" s="77" t="str">
        <f>IF(AND(CR43&lt;&gt;"",BZ50&lt;&gt;"",CE50&lt;&gt;""),IFERROR(CE50/(100-((BZ50/CR43)*100)),""),"")</f>
        <v/>
      </c>
      <c r="CK50" s="67"/>
      <c r="CL50" s="67"/>
      <c r="CM50" s="67"/>
      <c r="CN50" s="67"/>
      <c r="CO50" s="67"/>
      <c r="CP50" s="67"/>
      <c r="CQ50" s="67"/>
      <c r="CR50" s="67"/>
      <c r="CS50" s="68"/>
    </row>
    <row r="51" ht="15.75" customHeight="1">
      <c r="C51" s="72" t="s">
        <v>31</v>
      </c>
      <c r="D51" s="67"/>
      <c r="E51" s="68"/>
      <c r="F51" s="77" t="str">
        <f>IFERROR(AVERAGE(F45:J49),"")</f>
        <v/>
      </c>
      <c r="G51" s="67"/>
      <c r="H51" s="67"/>
      <c r="I51" s="67"/>
      <c r="J51" s="68"/>
      <c r="K51" s="71" t="str">
        <f>IFERROR(AVERAGE(K45:O49),"")</f>
        <v/>
      </c>
      <c r="L51" s="67"/>
      <c r="M51" s="67"/>
      <c r="N51" s="67"/>
      <c r="O51" s="68"/>
      <c r="P51" s="77" t="str">
        <f>IFERROR(AVERAGE(P45:Y49),"")</f>
        <v/>
      </c>
      <c r="Q51" s="67"/>
      <c r="R51" s="67"/>
      <c r="S51" s="67"/>
      <c r="T51" s="67"/>
      <c r="U51" s="67"/>
      <c r="V51" s="67"/>
      <c r="W51" s="67"/>
      <c r="X51" s="67"/>
      <c r="Y51" s="68"/>
      <c r="AA51" s="72" t="s">
        <v>31</v>
      </c>
      <c r="AB51" s="67"/>
      <c r="AC51" s="68"/>
      <c r="AD51" s="77" t="str">
        <f>IFERROR(AVERAGE(AD45:AH49),"")</f>
        <v/>
      </c>
      <c r="AE51" s="67"/>
      <c r="AF51" s="67"/>
      <c r="AG51" s="67"/>
      <c r="AH51" s="68"/>
      <c r="AI51" s="71" t="str">
        <f>IFERROR(AVERAGE(AI45:AM49),"")</f>
        <v/>
      </c>
      <c r="AJ51" s="67"/>
      <c r="AK51" s="67"/>
      <c r="AL51" s="67"/>
      <c r="AM51" s="68"/>
      <c r="AN51" s="77" t="str">
        <f>IFERROR(AVERAGE(AN45:AW49),"")</f>
        <v/>
      </c>
      <c r="AO51" s="67"/>
      <c r="AP51" s="67"/>
      <c r="AQ51" s="67"/>
      <c r="AR51" s="67"/>
      <c r="AS51" s="67"/>
      <c r="AT51" s="67"/>
      <c r="AU51" s="67"/>
      <c r="AV51" s="67"/>
      <c r="AW51" s="68"/>
      <c r="AY51" s="72" t="s">
        <v>31</v>
      </c>
      <c r="AZ51" s="67"/>
      <c r="BA51" s="68"/>
      <c r="BB51" s="77" t="str">
        <f>IFERROR(AVERAGE(BB45:BF49),"")</f>
        <v/>
      </c>
      <c r="BC51" s="67"/>
      <c r="BD51" s="67"/>
      <c r="BE51" s="67"/>
      <c r="BF51" s="68"/>
      <c r="BG51" s="71" t="str">
        <f>IFERROR(AVERAGE(BG45:BK49),"")</f>
        <v/>
      </c>
      <c r="BH51" s="67"/>
      <c r="BI51" s="67"/>
      <c r="BJ51" s="67"/>
      <c r="BK51" s="68"/>
      <c r="BL51" s="77" t="str">
        <f>IFERROR(AVERAGE(BL45:BU49),"")</f>
        <v/>
      </c>
      <c r="BM51" s="67"/>
      <c r="BN51" s="67"/>
      <c r="BO51" s="67"/>
      <c r="BP51" s="67"/>
      <c r="BQ51" s="67"/>
      <c r="BR51" s="67"/>
      <c r="BS51" s="67"/>
      <c r="BT51" s="67"/>
      <c r="BU51" s="68"/>
      <c r="BW51" s="72" t="s">
        <v>31</v>
      </c>
      <c r="BX51" s="67"/>
      <c r="BY51" s="68"/>
      <c r="BZ51" s="77" t="str">
        <f>IFERROR(AVERAGE(BZ45:CD49),"")</f>
        <v/>
      </c>
      <c r="CA51" s="67"/>
      <c r="CB51" s="67"/>
      <c r="CC51" s="67"/>
      <c r="CD51" s="68"/>
      <c r="CE51" s="71" t="str">
        <f>IFERROR(AVERAGE(CE45:CI49),"")</f>
        <v/>
      </c>
      <c r="CF51" s="67"/>
      <c r="CG51" s="67"/>
      <c r="CH51" s="67"/>
      <c r="CI51" s="68"/>
      <c r="CJ51" s="77" t="str">
        <f>IFERROR(AVERAGE(CJ45:CS49),"")</f>
        <v/>
      </c>
      <c r="CK51" s="67"/>
      <c r="CL51" s="67"/>
      <c r="CM51" s="67"/>
      <c r="CN51" s="67"/>
      <c r="CO51" s="67"/>
      <c r="CP51" s="67"/>
      <c r="CQ51" s="67"/>
      <c r="CR51" s="67"/>
      <c r="CS51" s="68"/>
    </row>
    <row r="52" ht="30.0" customHeight="1">
      <c r="C52" s="81" t="s">
        <v>42</v>
      </c>
      <c r="D52" s="67"/>
      <c r="E52" s="68"/>
      <c r="F52" s="77">
        <f>IFERROR(SUM(F45:J49),"")</f>
        <v>0</v>
      </c>
      <c r="G52" s="67"/>
      <c r="H52" s="67"/>
      <c r="I52" s="67"/>
      <c r="J52" s="68"/>
      <c r="K52" s="71">
        <f>IFERROR(SUM(K45:O49),"")</f>
        <v>0</v>
      </c>
      <c r="L52" s="67"/>
      <c r="M52" s="67"/>
      <c r="N52" s="67"/>
      <c r="O52" s="68"/>
      <c r="P52" s="82">
        <f>IFERROR(SUM(P45:Y50),"")</f>
        <v>0</v>
      </c>
      <c r="Q52" s="67"/>
      <c r="R52" s="67"/>
      <c r="S52" s="67"/>
      <c r="T52" s="67"/>
      <c r="U52" s="67"/>
      <c r="V52" s="67"/>
      <c r="W52" s="67"/>
      <c r="X52" s="67"/>
      <c r="Y52" s="68"/>
      <c r="AA52" s="81" t="s">
        <v>42</v>
      </c>
      <c r="AB52" s="67"/>
      <c r="AC52" s="68"/>
      <c r="AD52" s="77">
        <f>IFERROR(SUM(AD45:AH49),"")</f>
        <v>0</v>
      </c>
      <c r="AE52" s="67"/>
      <c r="AF52" s="67"/>
      <c r="AG52" s="67"/>
      <c r="AH52" s="68"/>
      <c r="AI52" s="71">
        <f>IFERROR(SUM(AI45:AM49),"")</f>
        <v>0</v>
      </c>
      <c r="AJ52" s="67"/>
      <c r="AK52" s="67"/>
      <c r="AL52" s="67"/>
      <c r="AM52" s="68"/>
      <c r="AN52" s="82">
        <f>IFERROR(SUM(AN45:AW50),"")</f>
        <v>0</v>
      </c>
      <c r="AO52" s="67"/>
      <c r="AP52" s="67"/>
      <c r="AQ52" s="67"/>
      <c r="AR52" s="67"/>
      <c r="AS52" s="67"/>
      <c r="AT52" s="67"/>
      <c r="AU52" s="67"/>
      <c r="AV52" s="67"/>
      <c r="AW52" s="68"/>
      <c r="AY52" s="81" t="s">
        <v>42</v>
      </c>
      <c r="AZ52" s="67"/>
      <c r="BA52" s="68"/>
      <c r="BB52" s="77">
        <f>IFERROR(SUM(BB45:BF49),"")</f>
        <v>0</v>
      </c>
      <c r="BC52" s="67"/>
      <c r="BD52" s="67"/>
      <c r="BE52" s="67"/>
      <c r="BF52" s="68"/>
      <c r="BG52" s="71">
        <f>IFERROR(SUM(BG45:BK49),"")</f>
        <v>0</v>
      </c>
      <c r="BH52" s="67"/>
      <c r="BI52" s="67"/>
      <c r="BJ52" s="67"/>
      <c r="BK52" s="68"/>
      <c r="BL52" s="82">
        <f>IFERROR(SUM(BL45:BU50),"")</f>
        <v>0</v>
      </c>
      <c r="BM52" s="67"/>
      <c r="BN52" s="67"/>
      <c r="BO52" s="67"/>
      <c r="BP52" s="67"/>
      <c r="BQ52" s="67"/>
      <c r="BR52" s="67"/>
      <c r="BS52" s="67"/>
      <c r="BT52" s="67"/>
      <c r="BU52" s="68"/>
      <c r="BW52" s="81" t="s">
        <v>42</v>
      </c>
      <c r="BX52" s="67"/>
      <c r="BY52" s="68"/>
      <c r="BZ52" s="77">
        <f>IFERROR(SUM(BZ45:CD49),"")</f>
        <v>0</v>
      </c>
      <c r="CA52" s="67"/>
      <c r="CB52" s="67"/>
      <c r="CC52" s="67"/>
      <c r="CD52" s="68"/>
      <c r="CE52" s="71">
        <f>IFERROR(SUM(CE45:CI49),"")</f>
        <v>0</v>
      </c>
      <c r="CF52" s="67"/>
      <c r="CG52" s="67"/>
      <c r="CH52" s="67"/>
      <c r="CI52" s="68"/>
      <c r="CJ52" s="82">
        <f>IFERROR(SUM(CJ45:CS50),"")</f>
        <v>0</v>
      </c>
      <c r="CK52" s="67"/>
      <c r="CL52" s="67"/>
      <c r="CM52" s="67"/>
      <c r="CN52" s="67"/>
      <c r="CO52" s="67"/>
      <c r="CP52" s="67"/>
      <c r="CQ52" s="67"/>
      <c r="CR52" s="67"/>
      <c r="CS52" s="68"/>
    </row>
    <row r="53" ht="15.75" customHeight="1">
      <c r="C53" s="69" t="s">
        <v>7</v>
      </c>
      <c r="D53" s="67"/>
      <c r="E53" s="67"/>
      <c r="F53" s="67"/>
      <c r="G53" s="68"/>
      <c r="H53" s="70"/>
      <c r="I53" s="67"/>
      <c r="J53" s="67"/>
      <c r="K53" s="67"/>
      <c r="L53" s="68"/>
      <c r="M53" s="71"/>
      <c r="N53" s="67"/>
      <c r="O53" s="67"/>
      <c r="P53" s="67"/>
      <c r="Q53" s="68"/>
      <c r="R53" s="72" t="s">
        <v>9</v>
      </c>
      <c r="S53" s="67"/>
      <c r="T53" s="67"/>
      <c r="U53" s="67"/>
      <c r="V53" s="67"/>
      <c r="W53" s="68"/>
      <c r="X53" s="73"/>
      <c r="Y53" s="68"/>
      <c r="AA53" s="69" t="s">
        <v>7</v>
      </c>
      <c r="AB53" s="67"/>
      <c r="AC53" s="67"/>
      <c r="AD53" s="67"/>
      <c r="AE53" s="68"/>
      <c r="AF53" s="70"/>
      <c r="AG53" s="67"/>
      <c r="AH53" s="67"/>
      <c r="AI53" s="67"/>
      <c r="AJ53" s="68"/>
      <c r="AK53" s="71"/>
      <c r="AL53" s="67"/>
      <c r="AM53" s="67"/>
      <c r="AN53" s="67"/>
      <c r="AO53" s="68"/>
      <c r="AP53" s="72" t="s">
        <v>9</v>
      </c>
      <c r="AQ53" s="67"/>
      <c r="AR53" s="67"/>
      <c r="AS53" s="67"/>
      <c r="AT53" s="67"/>
      <c r="AU53" s="68"/>
      <c r="AV53" s="73"/>
      <c r="AW53" s="68"/>
      <c r="AY53" s="69" t="s">
        <v>7</v>
      </c>
      <c r="AZ53" s="67"/>
      <c r="BA53" s="67"/>
      <c r="BB53" s="67"/>
      <c r="BC53" s="68"/>
      <c r="BD53" s="70"/>
      <c r="BE53" s="67"/>
      <c r="BF53" s="67"/>
      <c r="BG53" s="67"/>
      <c r="BH53" s="68"/>
      <c r="BI53" s="71"/>
      <c r="BJ53" s="67"/>
      <c r="BK53" s="67"/>
      <c r="BL53" s="67"/>
      <c r="BM53" s="68"/>
      <c r="BN53" s="72" t="s">
        <v>9</v>
      </c>
      <c r="BO53" s="67"/>
      <c r="BP53" s="67"/>
      <c r="BQ53" s="67"/>
      <c r="BR53" s="67"/>
      <c r="BS53" s="68"/>
      <c r="BT53" s="73"/>
      <c r="BU53" s="68"/>
      <c r="BW53" s="69" t="s">
        <v>7</v>
      </c>
      <c r="BX53" s="67"/>
      <c r="BY53" s="67"/>
      <c r="BZ53" s="67"/>
      <c r="CA53" s="68"/>
      <c r="CB53" s="70"/>
      <c r="CC53" s="67"/>
      <c r="CD53" s="67"/>
      <c r="CE53" s="67"/>
      <c r="CF53" s="68"/>
      <c r="CG53" s="71"/>
      <c r="CH53" s="67"/>
      <c r="CI53" s="67"/>
      <c r="CJ53" s="67"/>
      <c r="CK53" s="68"/>
      <c r="CL53" s="72" t="s">
        <v>9</v>
      </c>
      <c r="CM53" s="67"/>
      <c r="CN53" s="67"/>
      <c r="CO53" s="67"/>
      <c r="CP53" s="67"/>
      <c r="CQ53" s="68"/>
      <c r="CR53" s="73"/>
      <c r="CS53" s="68"/>
    </row>
    <row r="54" ht="15.75" customHeight="1">
      <c r="C54" s="74" t="s">
        <v>23</v>
      </c>
      <c r="D54" s="67"/>
      <c r="E54" s="68"/>
      <c r="F54" s="74" t="s">
        <v>24</v>
      </c>
      <c r="G54" s="67"/>
      <c r="H54" s="67"/>
      <c r="I54" s="67"/>
      <c r="J54" s="68"/>
      <c r="K54" s="74" t="s">
        <v>25</v>
      </c>
      <c r="L54" s="67"/>
      <c r="M54" s="67"/>
      <c r="N54" s="67"/>
      <c r="O54" s="68"/>
      <c r="P54" s="74" t="s">
        <v>26</v>
      </c>
      <c r="Q54" s="67"/>
      <c r="R54" s="67"/>
      <c r="S54" s="67"/>
      <c r="T54" s="67"/>
      <c r="U54" s="67"/>
      <c r="V54" s="67"/>
      <c r="W54" s="67"/>
      <c r="X54" s="67"/>
      <c r="Y54" s="68"/>
      <c r="AA54" s="74" t="s">
        <v>23</v>
      </c>
      <c r="AB54" s="67"/>
      <c r="AC54" s="68"/>
      <c r="AD54" s="74" t="s">
        <v>24</v>
      </c>
      <c r="AE54" s="67"/>
      <c r="AF54" s="67"/>
      <c r="AG54" s="67"/>
      <c r="AH54" s="68"/>
      <c r="AI54" s="74" t="s">
        <v>25</v>
      </c>
      <c r="AJ54" s="67"/>
      <c r="AK54" s="67"/>
      <c r="AL54" s="67"/>
      <c r="AM54" s="68"/>
      <c r="AN54" s="74" t="s">
        <v>26</v>
      </c>
      <c r="AO54" s="67"/>
      <c r="AP54" s="67"/>
      <c r="AQ54" s="67"/>
      <c r="AR54" s="67"/>
      <c r="AS54" s="67"/>
      <c r="AT54" s="67"/>
      <c r="AU54" s="67"/>
      <c r="AV54" s="67"/>
      <c r="AW54" s="68"/>
      <c r="AY54" s="74" t="s">
        <v>23</v>
      </c>
      <c r="AZ54" s="67"/>
      <c r="BA54" s="68"/>
      <c r="BB54" s="74" t="s">
        <v>24</v>
      </c>
      <c r="BC54" s="67"/>
      <c r="BD54" s="67"/>
      <c r="BE54" s="67"/>
      <c r="BF54" s="68"/>
      <c r="BG54" s="74" t="s">
        <v>25</v>
      </c>
      <c r="BH54" s="67"/>
      <c r="BI54" s="67"/>
      <c r="BJ54" s="67"/>
      <c r="BK54" s="68"/>
      <c r="BL54" s="74" t="s">
        <v>26</v>
      </c>
      <c r="BM54" s="67"/>
      <c r="BN54" s="67"/>
      <c r="BO54" s="67"/>
      <c r="BP54" s="67"/>
      <c r="BQ54" s="67"/>
      <c r="BR54" s="67"/>
      <c r="BS54" s="67"/>
      <c r="BT54" s="67"/>
      <c r="BU54" s="68"/>
      <c r="BW54" s="74" t="s">
        <v>23</v>
      </c>
      <c r="BX54" s="67"/>
      <c r="BY54" s="68"/>
      <c r="BZ54" s="74" t="s">
        <v>24</v>
      </c>
      <c r="CA54" s="67"/>
      <c r="CB54" s="67"/>
      <c r="CC54" s="67"/>
      <c r="CD54" s="68"/>
      <c r="CE54" s="74" t="s">
        <v>25</v>
      </c>
      <c r="CF54" s="67"/>
      <c r="CG54" s="67"/>
      <c r="CH54" s="67"/>
      <c r="CI54" s="68"/>
      <c r="CJ54" s="74" t="s">
        <v>26</v>
      </c>
      <c r="CK54" s="67"/>
      <c r="CL54" s="67"/>
      <c r="CM54" s="67"/>
      <c r="CN54" s="67"/>
      <c r="CO54" s="67"/>
      <c r="CP54" s="67"/>
      <c r="CQ54" s="67"/>
      <c r="CR54" s="67"/>
      <c r="CS54" s="68"/>
    </row>
    <row r="55" ht="15.75" customHeight="1">
      <c r="C55" s="72">
        <v>1.0</v>
      </c>
      <c r="D55" s="67"/>
      <c r="E55" s="68"/>
      <c r="F55" s="75"/>
      <c r="G55" s="67"/>
      <c r="H55" s="67"/>
      <c r="I55" s="67"/>
      <c r="J55" s="68"/>
      <c r="K55" s="76"/>
      <c r="L55" s="67"/>
      <c r="M55" s="67"/>
      <c r="N55" s="67"/>
      <c r="O55" s="68"/>
      <c r="P55" s="77" t="str">
        <f>IF(AND(X53&lt;&gt;"",F55&lt;&gt;"",K55&lt;&gt;""),IFERROR(K55/(100-((F55/X53)*100)),""),"")</f>
        <v/>
      </c>
      <c r="Q55" s="67"/>
      <c r="R55" s="67"/>
      <c r="S55" s="67"/>
      <c r="T55" s="67"/>
      <c r="U55" s="67"/>
      <c r="V55" s="67"/>
      <c r="W55" s="67"/>
      <c r="X55" s="67"/>
      <c r="Y55" s="68"/>
      <c r="AA55" s="72">
        <v>1.0</v>
      </c>
      <c r="AB55" s="67"/>
      <c r="AC55" s="68"/>
      <c r="AD55" s="75"/>
      <c r="AE55" s="67"/>
      <c r="AF55" s="67"/>
      <c r="AG55" s="67"/>
      <c r="AH55" s="68"/>
      <c r="AI55" s="76"/>
      <c r="AJ55" s="67"/>
      <c r="AK55" s="67"/>
      <c r="AL55" s="67"/>
      <c r="AM55" s="68"/>
      <c r="AN55" s="77" t="str">
        <f>IF(AND(AV53&lt;&gt;"",AD55&lt;&gt;"",AI55&lt;&gt;""),IFERROR(AI55/(100-((AD55/AV53)*100)),""),"")</f>
        <v/>
      </c>
      <c r="AO55" s="67"/>
      <c r="AP55" s="67"/>
      <c r="AQ55" s="67"/>
      <c r="AR55" s="67"/>
      <c r="AS55" s="67"/>
      <c r="AT55" s="67"/>
      <c r="AU55" s="67"/>
      <c r="AV55" s="67"/>
      <c r="AW55" s="68"/>
      <c r="AY55" s="72">
        <v>1.0</v>
      </c>
      <c r="AZ55" s="67"/>
      <c r="BA55" s="68"/>
      <c r="BB55" s="75"/>
      <c r="BC55" s="67"/>
      <c r="BD55" s="67"/>
      <c r="BE55" s="67"/>
      <c r="BF55" s="68"/>
      <c r="BG55" s="76"/>
      <c r="BH55" s="67"/>
      <c r="BI55" s="67"/>
      <c r="BJ55" s="67"/>
      <c r="BK55" s="68"/>
      <c r="BL55" s="77" t="str">
        <f>IF(AND(BT53&lt;&gt;"",BB55&lt;&gt;"",BG55&lt;&gt;""),IFERROR(BG55/(100-((BB55/BT53)*100)),""),"")</f>
        <v/>
      </c>
      <c r="BM55" s="67"/>
      <c r="BN55" s="67"/>
      <c r="BO55" s="67"/>
      <c r="BP55" s="67"/>
      <c r="BQ55" s="67"/>
      <c r="BR55" s="67"/>
      <c r="BS55" s="67"/>
      <c r="BT55" s="67"/>
      <c r="BU55" s="68"/>
      <c r="BW55" s="72">
        <v>1.0</v>
      </c>
      <c r="BX55" s="67"/>
      <c r="BY55" s="68"/>
      <c r="BZ55" s="75"/>
      <c r="CA55" s="67"/>
      <c r="CB55" s="67"/>
      <c r="CC55" s="67"/>
      <c r="CD55" s="68"/>
      <c r="CE55" s="76"/>
      <c r="CF55" s="67"/>
      <c r="CG55" s="67"/>
      <c r="CH55" s="67"/>
      <c r="CI55" s="68"/>
      <c r="CJ55" s="77" t="str">
        <f>IF(AND(CR53&lt;&gt;"",BZ55&lt;&gt;"",CE55&lt;&gt;""),IFERROR(CE55/(100-((BZ55/CR53)*100)),""),"")</f>
        <v/>
      </c>
      <c r="CK55" s="67"/>
      <c r="CL55" s="67"/>
      <c r="CM55" s="67"/>
      <c r="CN55" s="67"/>
      <c r="CO55" s="67"/>
      <c r="CP55" s="67"/>
      <c r="CQ55" s="67"/>
      <c r="CR55" s="67"/>
      <c r="CS55" s="68"/>
    </row>
    <row r="56" ht="15.75" customHeight="1">
      <c r="C56" s="72">
        <v>2.0</v>
      </c>
      <c r="D56" s="67"/>
      <c r="E56" s="68"/>
      <c r="F56" s="75"/>
      <c r="G56" s="67"/>
      <c r="H56" s="67"/>
      <c r="I56" s="67"/>
      <c r="J56" s="68"/>
      <c r="K56" s="76"/>
      <c r="L56" s="67"/>
      <c r="M56" s="67"/>
      <c r="N56" s="67"/>
      <c r="O56" s="68"/>
      <c r="P56" s="77" t="str">
        <f>IF(AND(X53&lt;&gt;"",F56&lt;&gt;"",K56&lt;&gt;""),IFERROR(K56/(100-((F56/X53)*100)),""),"")</f>
        <v/>
      </c>
      <c r="Q56" s="67"/>
      <c r="R56" s="67"/>
      <c r="S56" s="67"/>
      <c r="T56" s="67"/>
      <c r="U56" s="67"/>
      <c r="V56" s="67"/>
      <c r="W56" s="67"/>
      <c r="X56" s="67"/>
      <c r="Y56" s="68"/>
      <c r="AA56" s="72">
        <v>2.0</v>
      </c>
      <c r="AB56" s="67"/>
      <c r="AC56" s="68"/>
      <c r="AD56" s="75"/>
      <c r="AE56" s="67"/>
      <c r="AF56" s="67"/>
      <c r="AG56" s="67"/>
      <c r="AH56" s="68"/>
      <c r="AI56" s="76"/>
      <c r="AJ56" s="67"/>
      <c r="AK56" s="67"/>
      <c r="AL56" s="67"/>
      <c r="AM56" s="68"/>
      <c r="AN56" s="77" t="str">
        <f>IF(AND(AV53&lt;&gt;"",AD56&lt;&gt;"",AI56&lt;&gt;""),IFERROR(AI56/(100-((AD56/AV53)*100)),""),"")</f>
        <v/>
      </c>
      <c r="AO56" s="67"/>
      <c r="AP56" s="67"/>
      <c r="AQ56" s="67"/>
      <c r="AR56" s="67"/>
      <c r="AS56" s="67"/>
      <c r="AT56" s="67"/>
      <c r="AU56" s="67"/>
      <c r="AV56" s="67"/>
      <c r="AW56" s="68"/>
      <c r="AY56" s="72">
        <v>2.0</v>
      </c>
      <c r="AZ56" s="67"/>
      <c r="BA56" s="68"/>
      <c r="BB56" s="75"/>
      <c r="BC56" s="67"/>
      <c r="BD56" s="67"/>
      <c r="BE56" s="67"/>
      <c r="BF56" s="68"/>
      <c r="BG56" s="76"/>
      <c r="BH56" s="67"/>
      <c r="BI56" s="67"/>
      <c r="BJ56" s="67"/>
      <c r="BK56" s="68"/>
      <c r="BL56" s="77" t="str">
        <f>IF(AND(BT53&lt;&gt;"",BB56&lt;&gt;"",BG56&lt;&gt;""),IFERROR(BG56/(100-((BB56/BT53)*100)),""),"")</f>
        <v/>
      </c>
      <c r="BM56" s="67"/>
      <c r="BN56" s="67"/>
      <c r="BO56" s="67"/>
      <c r="BP56" s="67"/>
      <c r="BQ56" s="67"/>
      <c r="BR56" s="67"/>
      <c r="BS56" s="67"/>
      <c r="BT56" s="67"/>
      <c r="BU56" s="68"/>
      <c r="BW56" s="72">
        <v>2.0</v>
      </c>
      <c r="BX56" s="67"/>
      <c r="BY56" s="68"/>
      <c r="BZ56" s="75"/>
      <c r="CA56" s="67"/>
      <c r="CB56" s="67"/>
      <c r="CC56" s="67"/>
      <c r="CD56" s="68"/>
      <c r="CE56" s="76"/>
      <c r="CF56" s="67"/>
      <c r="CG56" s="67"/>
      <c r="CH56" s="67"/>
      <c r="CI56" s="68"/>
      <c r="CJ56" s="77" t="str">
        <f>IF(AND(CR53&lt;&gt;"",BZ56&lt;&gt;"",CE56&lt;&gt;""),IFERROR(CE56/(100-((BZ56/CR53)*100)),""),"")</f>
        <v/>
      </c>
      <c r="CK56" s="67"/>
      <c r="CL56" s="67"/>
      <c r="CM56" s="67"/>
      <c r="CN56" s="67"/>
      <c r="CO56" s="67"/>
      <c r="CP56" s="67"/>
      <c r="CQ56" s="67"/>
      <c r="CR56" s="67"/>
      <c r="CS56" s="68"/>
    </row>
    <row r="57" ht="15.75" customHeight="1">
      <c r="C57" s="72">
        <v>3.0</v>
      </c>
      <c r="D57" s="67"/>
      <c r="E57" s="68"/>
      <c r="F57" s="75"/>
      <c r="G57" s="67"/>
      <c r="H57" s="67"/>
      <c r="I57" s="67"/>
      <c r="J57" s="68"/>
      <c r="K57" s="76"/>
      <c r="L57" s="67"/>
      <c r="M57" s="67"/>
      <c r="N57" s="67"/>
      <c r="O57" s="68"/>
      <c r="P57" s="77" t="str">
        <f>IF(AND(X53&lt;&gt;"",F57&lt;&gt;"",K57&lt;&gt;""),IFERROR(K57/(100-((F57/X53)*100)),""),"")</f>
        <v/>
      </c>
      <c r="Q57" s="67"/>
      <c r="R57" s="67"/>
      <c r="S57" s="67"/>
      <c r="T57" s="67"/>
      <c r="U57" s="67"/>
      <c r="V57" s="67"/>
      <c r="W57" s="67"/>
      <c r="X57" s="67"/>
      <c r="Y57" s="68"/>
      <c r="AA57" s="72">
        <v>3.0</v>
      </c>
      <c r="AB57" s="67"/>
      <c r="AC57" s="68"/>
      <c r="AD57" s="75"/>
      <c r="AE57" s="67"/>
      <c r="AF57" s="67"/>
      <c r="AG57" s="67"/>
      <c r="AH57" s="68"/>
      <c r="AI57" s="76"/>
      <c r="AJ57" s="67"/>
      <c r="AK57" s="67"/>
      <c r="AL57" s="67"/>
      <c r="AM57" s="68"/>
      <c r="AN57" s="77" t="str">
        <f>IF(AND(AV53&lt;&gt;"",AD57&lt;&gt;"",AI57&lt;&gt;""),IFERROR(AI57/(100-((AD57/AV53)*100)),""),"")</f>
        <v/>
      </c>
      <c r="AO57" s="67"/>
      <c r="AP57" s="67"/>
      <c r="AQ57" s="67"/>
      <c r="AR57" s="67"/>
      <c r="AS57" s="67"/>
      <c r="AT57" s="67"/>
      <c r="AU57" s="67"/>
      <c r="AV57" s="67"/>
      <c r="AW57" s="68"/>
      <c r="AY57" s="72">
        <v>3.0</v>
      </c>
      <c r="AZ57" s="67"/>
      <c r="BA57" s="68"/>
      <c r="BB57" s="75"/>
      <c r="BC57" s="67"/>
      <c r="BD57" s="67"/>
      <c r="BE57" s="67"/>
      <c r="BF57" s="68"/>
      <c r="BG57" s="76"/>
      <c r="BH57" s="67"/>
      <c r="BI57" s="67"/>
      <c r="BJ57" s="67"/>
      <c r="BK57" s="68"/>
      <c r="BL57" s="77" t="str">
        <f>IF(AND(BT53&lt;&gt;"",BB57&lt;&gt;"",BG57&lt;&gt;""),IFERROR(BG57/(100-((BB57/BT53)*100)),""),"")</f>
        <v/>
      </c>
      <c r="BM57" s="67"/>
      <c r="BN57" s="67"/>
      <c r="BO57" s="67"/>
      <c r="BP57" s="67"/>
      <c r="BQ57" s="67"/>
      <c r="BR57" s="67"/>
      <c r="BS57" s="67"/>
      <c r="BT57" s="67"/>
      <c r="BU57" s="68"/>
      <c r="BW57" s="72">
        <v>3.0</v>
      </c>
      <c r="BX57" s="67"/>
      <c r="BY57" s="68"/>
      <c r="BZ57" s="75"/>
      <c r="CA57" s="67"/>
      <c r="CB57" s="67"/>
      <c r="CC57" s="67"/>
      <c r="CD57" s="68"/>
      <c r="CE57" s="76"/>
      <c r="CF57" s="67"/>
      <c r="CG57" s="67"/>
      <c r="CH57" s="67"/>
      <c r="CI57" s="68"/>
      <c r="CJ57" s="77" t="str">
        <f>IF(AND(CR53&lt;&gt;"",BZ57&lt;&gt;"",CE57&lt;&gt;""),IFERROR(CE57/(100-((BZ57/CR53)*100)),""),"")</f>
        <v/>
      </c>
      <c r="CK57" s="67"/>
      <c r="CL57" s="67"/>
      <c r="CM57" s="67"/>
      <c r="CN57" s="67"/>
      <c r="CO57" s="67"/>
      <c r="CP57" s="67"/>
      <c r="CQ57" s="67"/>
      <c r="CR57" s="67"/>
      <c r="CS57" s="68"/>
    </row>
    <row r="58" ht="15.75" customHeight="1">
      <c r="C58" s="72">
        <v>4.0</v>
      </c>
      <c r="D58" s="67"/>
      <c r="E58" s="68"/>
      <c r="F58" s="75"/>
      <c r="G58" s="67"/>
      <c r="H58" s="67"/>
      <c r="I58" s="67"/>
      <c r="J58" s="68"/>
      <c r="K58" s="76"/>
      <c r="L58" s="67"/>
      <c r="M58" s="67"/>
      <c r="N58" s="67"/>
      <c r="O58" s="68"/>
      <c r="P58" s="77" t="str">
        <f>IF(AND(X53&lt;&gt;"",F58&lt;&gt;"",K58&lt;&gt;""),IFERROR(K58/(100-((F58/X53)*100)),""),"")</f>
        <v/>
      </c>
      <c r="Q58" s="67"/>
      <c r="R58" s="67"/>
      <c r="S58" s="67"/>
      <c r="T58" s="67"/>
      <c r="U58" s="67"/>
      <c r="V58" s="67"/>
      <c r="W58" s="67"/>
      <c r="X58" s="67"/>
      <c r="Y58" s="68"/>
      <c r="AA58" s="72">
        <v>4.0</v>
      </c>
      <c r="AB58" s="67"/>
      <c r="AC58" s="68"/>
      <c r="AD58" s="75"/>
      <c r="AE58" s="67"/>
      <c r="AF58" s="67"/>
      <c r="AG58" s="67"/>
      <c r="AH58" s="68"/>
      <c r="AI58" s="76"/>
      <c r="AJ58" s="67"/>
      <c r="AK58" s="67"/>
      <c r="AL58" s="67"/>
      <c r="AM58" s="68"/>
      <c r="AN58" s="77" t="str">
        <f>IF(AND(AV53&lt;&gt;"",AD58&lt;&gt;"",AI58&lt;&gt;""),IFERROR(AI58/(100-((AD58/AV53)*100)),""),"")</f>
        <v/>
      </c>
      <c r="AO58" s="67"/>
      <c r="AP58" s="67"/>
      <c r="AQ58" s="67"/>
      <c r="AR58" s="67"/>
      <c r="AS58" s="67"/>
      <c r="AT58" s="67"/>
      <c r="AU58" s="67"/>
      <c r="AV58" s="67"/>
      <c r="AW58" s="68"/>
      <c r="AY58" s="72">
        <v>4.0</v>
      </c>
      <c r="AZ58" s="67"/>
      <c r="BA58" s="68"/>
      <c r="BB58" s="75"/>
      <c r="BC58" s="67"/>
      <c r="BD58" s="67"/>
      <c r="BE58" s="67"/>
      <c r="BF58" s="68"/>
      <c r="BG58" s="76"/>
      <c r="BH58" s="67"/>
      <c r="BI58" s="67"/>
      <c r="BJ58" s="67"/>
      <c r="BK58" s="68"/>
      <c r="BL58" s="77" t="str">
        <f>IF(AND(BT53&lt;&gt;"",BB58&lt;&gt;"",BG58&lt;&gt;""),IFERROR(BG58/(100-((BB58/BT53)*100)),""),"")</f>
        <v/>
      </c>
      <c r="BM58" s="67"/>
      <c r="BN58" s="67"/>
      <c r="BO58" s="67"/>
      <c r="BP58" s="67"/>
      <c r="BQ58" s="67"/>
      <c r="BR58" s="67"/>
      <c r="BS58" s="67"/>
      <c r="BT58" s="67"/>
      <c r="BU58" s="68"/>
      <c r="BW58" s="72">
        <v>4.0</v>
      </c>
      <c r="BX58" s="67"/>
      <c r="BY58" s="68"/>
      <c r="BZ58" s="75"/>
      <c r="CA58" s="67"/>
      <c r="CB58" s="67"/>
      <c r="CC58" s="67"/>
      <c r="CD58" s="68"/>
      <c r="CE58" s="76"/>
      <c r="CF58" s="67"/>
      <c r="CG58" s="67"/>
      <c r="CH58" s="67"/>
      <c r="CI58" s="68"/>
      <c r="CJ58" s="77" t="str">
        <f>IF(AND(CR53&lt;&gt;"",BZ58&lt;&gt;"",CE58&lt;&gt;""),IFERROR(CE58/(100-((BZ58/CR53)*100)),""),"")</f>
        <v/>
      </c>
      <c r="CK58" s="67"/>
      <c r="CL58" s="67"/>
      <c r="CM58" s="67"/>
      <c r="CN58" s="67"/>
      <c r="CO58" s="67"/>
      <c r="CP58" s="67"/>
      <c r="CQ58" s="67"/>
      <c r="CR58" s="67"/>
      <c r="CS58" s="68"/>
    </row>
    <row r="59" ht="15.75" customHeight="1">
      <c r="C59" s="72">
        <v>5.0</v>
      </c>
      <c r="D59" s="67"/>
      <c r="E59" s="68"/>
      <c r="F59" s="75"/>
      <c r="G59" s="67"/>
      <c r="H59" s="67"/>
      <c r="I59" s="67"/>
      <c r="J59" s="68"/>
      <c r="K59" s="76"/>
      <c r="L59" s="67"/>
      <c r="M59" s="67"/>
      <c r="N59" s="67"/>
      <c r="O59" s="68"/>
      <c r="P59" s="77" t="str">
        <f>IF(AND(X53&lt;&gt;"",F59&lt;&gt;"",K59&lt;&gt;""),IFERROR(K59/(100-((F59/X53)*100)),""),"")</f>
        <v/>
      </c>
      <c r="Q59" s="67"/>
      <c r="R59" s="67"/>
      <c r="S59" s="67"/>
      <c r="T59" s="67"/>
      <c r="U59" s="67"/>
      <c r="V59" s="67"/>
      <c r="W59" s="67"/>
      <c r="X59" s="67"/>
      <c r="Y59" s="68"/>
      <c r="AA59" s="72">
        <v>5.0</v>
      </c>
      <c r="AB59" s="67"/>
      <c r="AC59" s="68"/>
      <c r="AD59" s="75"/>
      <c r="AE59" s="67"/>
      <c r="AF59" s="67"/>
      <c r="AG59" s="67"/>
      <c r="AH59" s="68"/>
      <c r="AI59" s="76"/>
      <c r="AJ59" s="67"/>
      <c r="AK59" s="67"/>
      <c r="AL59" s="67"/>
      <c r="AM59" s="68"/>
      <c r="AN59" s="77" t="str">
        <f>IF(AND(AV53&lt;&gt;"",AD59&lt;&gt;"",AI59&lt;&gt;""),IFERROR(AI59/(100-((AD59/AV53)*100)),""),"")</f>
        <v/>
      </c>
      <c r="AO59" s="67"/>
      <c r="AP59" s="67"/>
      <c r="AQ59" s="67"/>
      <c r="AR59" s="67"/>
      <c r="AS59" s="67"/>
      <c r="AT59" s="67"/>
      <c r="AU59" s="67"/>
      <c r="AV59" s="67"/>
      <c r="AW59" s="68"/>
      <c r="AY59" s="72">
        <v>5.0</v>
      </c>
      <c r="AZ59" s="67"/>
      <c r="BA59" s="68"/>
      <c r="BB59" s="75"/>
      <c r="BC59" s="67"/>
      <c r="BD59" s="67"/>
      <c r="BE59" s="67"/>
      <c r="BF59" s="68"/>
      <c r="BG59" s="76"/>
      <c r="BH59" s="67"/>
      <c r="BI59" s="67"/>
      <c r="BJ59" s="67"/>
      <c r="BK59" s="68"/>
      <c r="BL59" s="77" t="str">
        <f>IF(AND(BT53&lt;&gt;"",BB59&lt;&gt;"",BG59&lt;&gt;""),IFERROR(BG59/(100-((BB59/BT53)*100)),""),"")</f>
        <v/>
      </c>
      <c r="BM59" s="67"/>
      <c r="BN59" s="67"/>
      <c r="BO59" s="67"/>
      <c r="BP59" s="67"/>
      <c r="BQ59" s="67"/>
      <c r="BR59" s="67"/>
      <c r="BS59" s="67"/>
      <c r="BT59" s="67"/>
      <c r="BU59" s="68"/>
      <c r="BW59" s="72">
        <v>5.0</v>
      </c>
      <c r="BX59" s="67"/>
      <c r="BY59" s="68"/>
      <c r="BZ59" s="75"/>
      <c r="CA59" s="67"/>
      <c r="CB59" s="67"/>
      <c r="CC59" s="67"/>
      <c r="CD59" s="68"/>
      <c r="CE59" s="76"/>
      <c r="CF59" s="67"/>
      <c r="CG59" s="67"/>
      <c r="CH59" s="67"/>
      <c r="CI59" s="68"/>
      <c r="CJ59" s="77" t="str">
        <f>IF(AND(CR53&lt;&gt;"",BZ59&lt;&gt;"",CE59&lt;&gt;""),IFERROR(CE59/(100-((BZ59/CR53)*100)),""),"")</f>
        <v/>
      </c>
      <c r="CK59" s="67"/>
      <c r="CL59" s="67"/>
      <c r="CM59" s="67"/>
      <c r="CN59" s="67"/>
      <c r="CO59" s="67"/>
      <c r="CP59" s="67"/>
      <c r="CQ59" s="67"/>
      <c r="CR59" s="67"/>
      <c r="CS59" s="68"/>
    </row>
    <row r="60" ht="15.75" customHeight="1">
      <c r="C60" s="72">
        <v>6.0</v>
      </c>
      <c r="D60" s="67"/>
      <c r="E60" s="68"/>
      <c r="F60" s="75"/>
      <c r="G60" s="67"/>
      <c r="H60" s="67"/>
      <c r="I60" s="67"/>
      <c r="J60" s="68"/>
      <c r="K60" s="76"/>
      <c r="L60" s="67"/>
      <c r="M60" s="67"/>
      <c r="N60" s="67"/>
      <c r="O60" s="68"/>
      <c r="P60" s="77" t="str">
        <f>IF(AND(X53&lt;&gt;"",F60&lt;&gt;"",K60&lt;&gt;""),IFERROR(K60/(100-((F60/X53)*100)),""),"")</f>
        <v/>
      </c>
      <c r="Q60" s="67"/>
      <c r="R60" s="67"/>
      <c r="S60" s="67"/>
      <c r="T60" s="67"/>
      <c r="U60" s="67"/>
      <c r="V60" s="67"/>
      <c r="W60" s="67"/>
      <c r="X60" s="67"/>
      <c r="Y60" s="68"/>
      <c r="AA60" s="78"/>
      <c r="AB60" s="79">
        <v>6.0</v>
      </c>
      <c r="AC60" s="80"/>
      <c r="AD60" s="75"/>
      <c r="AE60" s="67"/>
      <c r="AF60" s="67"/>
      <c r="AG60" s="67"/>
      <c r="AH60" s="68"/>
      <c r="AI60" s="76"/>
      <c r="AJ60" s="67"/>
      <c r="AK60" s="67"/>
      <c r="AL60" s="67"/>
      <c r="AM60" s="68"/>
      <c r="AN60" s="77" t="str">
        <f>IF(AND(AV53&lt;&gt;"",AD60&lt;&gt;"",AI60&lt;&gt;""),IFERROR(AI60/(100-((AD60/AV53)*100)),""),"")</f>
        <v/>
      </c>
      <c r="AO60" s="67"/>
      <c r="AP60" s="67"/>
      <c r="AQ60" s="67"/>
      <c r="AR60" s="67"/>
      <c r="AS60" s="67"/>
      <c r="AT60" s="67"/>
      <c r="AU60" s="67"/>
      <c r="AV60" s="67"/>
      <c r="AW60" s="68"/>
      <c r="AY60" s="78"/>
      <c r="AZ60" s="79">
        <v>6.0</v>
      </c>
      <c r="BA60" s="80"/>
      <c r="BB60" s="75"/>
      <c r="BC60" s="67"/>
      <c r="BD60" s="67"/>
      <c r="BE60" s="67"/>
      <c r="BF60" s="68"/>
      <c r="BG60" s="76"/>
      <c r="BH60" s="67"/>
      <c r="BI60" s="67"/>
      <c r="BJ60" s="67"/>
      <c r="BK60" s="68"/>
      <c r="BL60" s="77" t="str">
        <f>IF(AND(BT53&lt;&gt;"",BB60&lt;&gt;"",BG60&lt;&gt;""),IFERROR(BG60/(100-((BB60/BT53)*100)),""),"")</f>
        <v/>
      </c>
      <c r="BM60" s="67"/>
      <c r="BN60" s="67"/>
      <c r="BO60" s="67"/>
      <c r="BP60" s="67"/>
      <c r="BQ60" s="67"/>
      <c r="BR60" s="67"/>
      <c r="BS60" s="67"/>
      <c r="BT60" s="67"/>
      <c r="BU60" s="68"/>
      <c r="BW60" s="78"/>
      <c r="BX60" s="79">
        <v>6.0</v>
      </c>
      <c r="BY60" s="80"/>
      <c r="BZ60" s="75"/>
      <c r="CA60" s="67"/>
      <c r="CB60" s="67"/>
      <c r="CC60" s="67"/>
      <c r="CD60" s="68"/>
      <c r="CE60" s="76"/>
      <c r="CF60" s="67"/>
      <c r="CG60" s="67"/>
      <c r="CH60" s="67"/>
      <c r="CI60" s="68"/>
      <c r="CJ60" s="77" t="str">
        <f>IF(AND(CR53&lt;&gt;"",BZ60&lt;&gt;"",CE60&lt;&gt;""),IFERROR(CE60/(100-((BZ60/CR53)*100)),""),"")</f>
        <v/>
      </c>
      <c r="CK60" s="67"/>
      <c r="CL60" s="67"/>
      <c r="CM60" s="67"/>
      <c r="CN60" s="67"/>
      <c r="CO60" s="67"/>
      <c r="CP60" s="67"/>
      <c r="CQ60" s="67"/>
      <c r="CR60" s="67"/>
      <c r="CS60" s="68"/>
    </row>
    <row r="61" ht="15.75" customHeight="1">
      <c r="C61" s="72" t="s">
        <v>31</v>
      </c>
      <c r="D61" s="67"/>
      <c r="E61" s="68"/>
      <c r="F61" s="77" t="str">
        <f>IFERROR(AVERAGE(F55:J59),"")</f>
        <v/>
      </c>
      <c r="G61" s="67"/>
      <c r="H61" s="67"/>
      <c r="I61" s="67"/>
      <c r="J61" s="68"/>
      <c r="K61" s="71" t="str">
        <f>IFERROR(AVERAGE(K55:O59),"")</f>
        <v/>
      </c>
      <c r="L61" s="67"/>
      <c r="M61" s="67"/>
      <c r="N61" s="67"/>
      <c r="O61" s="68"/>
      <c r="P61" s="77" t="str">
        <f>IFERROR(AVERAGE(P55:Y59),"")</f>
        <v/>
      </c>
      <c r="Q61" s="67"/>
      <c r="R61" s="67"/>
      <c r="S61" s="67"/>
      <c r="T61" s="67"/>
      <c r="U61" s="67"/>
      <c r="V61" s="67"/>
      <c r="W61" s="67"/>
      <c r="X61" s="67"/>
      <c r="Y61" s="68"/>
      <c r="AA61" s="72" t="s">
        <v>31</v>
      </c>
      <c r="AB61" s="67"/>
      <c r="AC61" s="68"/>
      <c r="AD61" s="77" t="str">
        <f>IFERROR(AVERAGE(AD55:AH59),"")</f>
        <v/>
      </c>
      <c r="AE61" s="67"/>
      <c r="AF61" s="67"/>
      <c r="AG61" s="67"/>
      <c r="AH61" s="68"/>
      <c r="AI61" s="71" t="str">
        <f>IFERROR(AVERAGE(AI55:AM59),"")</f>
        <v/>
      </c>
      <c r="AJ61" s="67"/>
      <c r="AK61" s="67"/>
      <c r="AL61" s="67"/>
      <c r="AM61" s="68"/>
      <c r="AN61" s="77" t="str">
        <f>IFERROR(AVERAGE(AN55:AW59),"")</f>
        <v/>
      </c>
      <c r="AO61" s="67"/>
      <c r="AP61" s="67"/>
      <c r="AQ61" s="67"/>
      <c r="AR61" s="67"/>
      <c r="AS61" s="67"/>
      <c r="AT61" s="67"/>
      <c r="AU61" s="67"/>
      <c r="AV61" s="67"/>
      <c r="AW61" s="68"/>
      <c r="AY61" s="72" t="s">
        <v>31</v>
      </c>
      <c r="AZ61" s="67"/>
      <c r="BA61" s="68"/>
      <c r="BB61" s="77" t="str">
        <f>IFERROR(AVERAGE(BB55:BF59),"")</f>
        <v/>
      </c>
      <c r="BC61" s="67"/>
      <c r="BD61" s="67"/>
      <c r="BE61" s="67"/>
      <c r="BF61" s="68"/>
      <c r="BG61" s="71" t="str">
        <f>IFERROR(AVERAGE(BG55:BK59),"")</f>
        <v/>
      </c>
      <c r="BH61" s="67"/>
      <c r="BI61" s="67"/>
      <c r="BJ61" s="67"/>
      <c r="BK61" s="68"/>
      <c r="BL61" s="77" t="str">
        <f>IFERROR(AVERAGE(BL55:BU59),"")</f>
        <v/>
      </c>
      <c r="BM61" s="67"/>
      <c r="BN61" s="67"/>
      <c r="BO61" s="67"/>
      <c r="BP61" s="67"/>
      <c r="BQ61" s="67"/>
      <c r="BR61" s="67"/>
      <c r="BS61" s="67"/>
      <c r="BT61" s="67"/>
      <c r="BU61" s="68"/>
      <c r="BW61" s="72" t="s">
        <v>31</v>
      </c>
      <c r="BX61" s="67"/>
      <c r="BY61" s="68"/>
      <c r="BZ61" s="77" t="str">
        <f>IFERROR(AVERAGE(BZ55:CD59),"")</f>
        <v/>
      </c>
      <c r="CA61" s="67"/>
      <c r="CB61" s="67"/>
      <c r="CC61" s="67"/>
      <c r="CD61" s="68"/>
      <c r="CE61" s="71" t="str">
        <f>IFERROR(AVERAGE(CE55:CI59),"")</f>
        <v/>
      </c>
      <c r="CF61" s="67"/>
      <c r="CG61" s="67"/>
      <c r="CH61" s="67"/>
      <c r="CI61" s="68"/>
      <c r="CJ61" s="77" t="str">
        <f>IFERROR(AVERAGE(CJ55:CS59),"")</f>
        <v/>
      </c>
      <c r="CK61" s="67"/>
      <c r="CL61" s="67"/>
      <c r="CM61" s="67"/>
      <c r="CN61" s="67"/>
      <c r="CO61" s="67"/>
      <c r="CP61" s="67"/>
      <c r="CQ61" s="67"/>
      <c r="CR61" s="67"/>
      <c r="CS61" s="68"/>
    </row>
    <row r="62" ht="30.0" customHeight="1">
      <c r="C62" s="81" t="s">
        <v>42</v>
      </c>
      <c r="D62" s="67"/>
      <c r="E62" s="68"/>
      <c r="F62" s="77">
        <f>IFERROR(SUM(F55:J59),"")</f>
        <v>0</v>
      </c>
      <c r="G62" s="67"/>
      <c r="H62" s="67"/>
      <c r="I62" s="67"/>
      <c r="J62" s="68"/>
      <c r="K62" s="71">
        <f>IFERROR(SUM(K55:O59),"")</f>
        <v>0</v>
      </c>
      <c r="L62" s="67"/>
      <c r="M62" s="67"/>
      <c r="N62" s="67"/>
      <c r="O62" s="68"/>
      <c r="P62" s="82">
        <f>IFERROR(SUM(P55:Y60),"")</f>
        <v>0</v>
      </c>
      <c r="Q62" s="67"/>
      <c r="R62" s="67"/>
      <c r="S62" s="67"/>
      <c r="T62" s="67"/>
      <c r="U62" s="67"/>
      <c r="V62" s="67"/>
      <c r="W62" s="67"/>
      <c r="X62" s="67"/>
      <c r="Y62" s="68"/>
      <c r="AA62" s="81" t="s">
        <v>42</v>
      </c>
      <c r="AB62" s="67"/>
      <c r="AC62" s="68"/>
      <c r="AD62" s="77">
        <f>IFERROR(SUM(AD55:AH59),"")</f>
        <v>0</v>
      </c>
      <c r="AE62" s="67"/>
      <c r="AF62" s="67"/>
      <c r="AG62" s="67"/>
      <c r="AH62" s="68"/>
      <c r="AI62" s="71">
        <f>IFERROR(SUM(AI55:AM59),"")</f>
        <v>0</v>
      </c>
      <c r="AJ62" s="67"/>
      <c r="AK62" s="67"/>
      <c r="AL62" s="67"/>
      <c r="AM62" s="68"/>
      <c r="AN62" s="82">
        <f>IFERROR(SUM(AN55:AW60),"")</f>
        <v>0</v>
      </c>
      <c r="AO62" s="67"/>
      <c r="AP62" s="67"/>
      <c r="AQ62" s="67"/>
      <c r="AR62" s="67"/>
      <c r="AS62" s="67"/>
      <c r="AT62" s="67"/>
      <c r="AU62" s="67"/>
      <c r="AV62" s="67"/>
      <c r="AW62" s="68"/>
      <c r="AY62" s="81" t="s">
        <v>42</v>
      </c>
      <c r="AZ62" s="67"/>
      <c r="BA62" s="68"/>
      <c r="BB62" s="77">
        <f>IFERROR(SUM(BB55:BF59),"")</f>
        <v>0</v>
      </c>
      <c r="BC62" s="67"/>
      <c r="BD62" s="67"/>
      <c r="BE62" s="67"/>
      <c r="BF62" s="68"/>
      <c r="BG62" s="71">
        <f>IFERROR(SUM(BG55:BK59),"")</f>
        <v>0</v>
      </c>
      <c r="BH62" s="67"/>
      <c r="BI62" s="67"/>
      <c r="BJ62" s="67"/>
      <c r="BK62" s="68"/>
      <c r="BL62" s="82">
        <f>IFERROR(SUM(BL55:BU60),"")</f>
        <v>0</v>
      </c>
      <c r="BM62" s="67"/>
      <c r="BN62" s="67"/>
      <c r="BO62" s="67"/>
      <c r="BP62" s="67"/>
      <c r="BQ62" s="67"/>
      <c r="BR62" s="67"/>
      <c r="BS62" s="67"/>
      <c r="BT62" s="67"/>
      <c r="BU62" s="68"/>
      <c r="BW62" s="81" t="s">
        <v>42</v>
      </c>
      <c r="BX62" s="67"/>
      <c r="BY62" s="68"/>
      <c r="BZ62" s="77">
        <f>IFERROR(SUM(BZ55:CD59),"")</f>
        <v>0</v>
      </c>
      <c r="CA62" s="67"/>
      <c r="CB62" s="67"/>
      <c r="CC62" s="67"/>
      <c r="CD62" s="68"/>
      <c r="CE62" s="71">
        <f>IFERROR(SUM(CE55:CI59),"")</f>
        <v>0</v>
      </c>
      <c r="CF62" s="67"/>
      <c r="CG62" s="67"/>
      <c r="CH62" s="67"/>
      <c r="CI62" s="68"/>
      <c r="CJ62" s="82">
        <f>IFERROR(SUM(CJ55:CS60),"")</f>
        <v>0</v>
      </c>
      <c r="CK62" s="67"/>
      <c r="CL62" s="67"/>
      <c r="CM62" s="67"/>
      <c r="CN62" s="67"/>
      <c r="CO62" s="67"/>
      <c r="CP62" s="67"/>
      <c r="CQ62" s="67"/>
      <c r="CR62" s="67"/>
      <c r="CS62" s="68"/>
    </row>
    <row r="63" ht="15.75" customHeight="1">
      <c r="C63" s="69" t="s">
        <v>7</v>
      </c>
      <c r="D63" s="67"/>
      <c r="E63" s="67"/>
      <c r="F63" s="67"/>
      <c r="G63" s="68"/>
      <c r="H63" s="70" t="s">
        <v>51</v>
      </c>
      <c r="I63" s="67"/>
      <c r="J63" s="67"/>
      <c r="K63" s="67"/>
      <c r="L63" s="68"/>
      <c r="M63" s="71"/>
      <c r="N63" s="67"/>
      <c r="O63" s="67"/>
      <c r="P63" s="67"/>
      <c r="Q63" s="68"/>
      <c r="R63" s="72" t="s">
        <v>9</v>
      </c>
      <c r="S63" s="67"/>
      <c r="T63" s="67"/>
      <c r="U63" s="67"/>
      <c r="V63" s="67"/>
      <c r="W63" s="68"/>
      <c r="X63" s="73">
        <v>105.0</v>
      </c>
      <c r="Y63" s="68"/>
      <c r="AA63" s="69" t="s">
        <v>7</v>
      </c>
      <c r="AB63" s="67"/>
      <c r="AC63" s="67"/>
      <c r="AD63" s="67"/>
      <c r="AE63" s="68"/>
      <c r="AF63" s="70" t="s">
        <v>38</v>
      </c>
      <c r="AG63" s="67"/>
      <c r="AH63" s="67"/>
      <c r="AI63" s="67"/>
      <c r="AJ63" s="68"/>
      <c r="AK63" s="71"/>
      <c r="AL63" s="67"/>
      <c r="AM63" s="67"/>
      <c r="AN63" s="67"/>
      <c r="AO63" s="68"/>
      <c r="AP63" s="72" t="s">
        <v>9</v>
      </c>
      <c r="AQ63" s="67"/>
      <c r="AR63" s="67"/>
      <c r="AS63" s="67"/>
      <c r="AT63" s="67"/>
      <c r="AU63" s="68"/>
      <c r="AV63" s="73">
        <v>120.0</v>
      </c>
      <c r="AW63" s="68"/>
      <c r="AY63" s="69" t="s">
        <v>7</v>
      </c>
      <c r="AZ63" s="67"/>
      <c r="BA63" s="67"/>
      <c r="BB63" s="67"/>
      <c r="BC63" s="68"/>
      <c r="BD63" s="70" t="s">
        <v>38</v>
      </c>
      <c r="BE63" s="67"/>
      <c r="BF63" s="67"/>
      <c r="BG63" s="67"/>
      <c r="BH63" s="68"/>
      <c r="BI63" s="71"/>
      <c r="BJ63" s="67"/>
      <c r="BK63" s="67"/>
      <c r="BL63" s="67"/>
      <c r="BM63" s="68"/>
      <c r="BN63" s="72" t="s">
        <v>9</v>
      </c>
      <c r="BO63" s="67"/>
      <c r="BP63" s="67"/>
      <c r="BQ63" s="67"/>
      <c r="BR63" s="67"/>
      <c r="BS63" s="68"/>
      <c r="BT63" s="73">
        <v>120.0</v>
      </c>
      <c r="BU63" s="68"/>
      <c r="BW63" s="69" t="s">
        <v>7</v>
      </c>
      <c r="BX63" s="67"/>
      <c r="BY63" s="67"/>
      <c r="BZ63" s="67"/>
      <c r="CA63" s="68"/>
      <c r="CB63" s="70" t="s">
        <v>38</v>
      </c>
      <c r="CC63" s="67"/>
      <c r="CD63" s="67"/>
      <c r="CE63" s="67"/>
      <c r="CF63" s="68"/>
      <c r="CG63" s="71"/>
      <c r="CH63" s="67"/>
      <c r="CI63" s="67"/>
      <c r="CJ63" s="67"/>
      <c r="CK63" s="68"/>
      <c r="CL63" s="72" t="s">
        <v>9</v>
      </c>
      <c r="CM63" s="67"/>
      <c r="CN63" s="67"/>
      <c r="CO63" s="67"/>
      <c r="CP63" s="67"/>
      <c r="CQ63" s="68"/>
      <c r="CR63" s="73">
        <v>120.0</v>
      </c>
      <c r="CS63" s="68"/>
    </row>
    <row r="64" ht="15.75" customHeight="1">
      <c r="C64" s="74" t="s">
        <v>23</v>
      </c>
      <c r="D64" s="67"/>
      <c r="E64" s="68"/>
      <c r="F64" s="74" t="s">
        <v>24</v>
      </c>
      <c r="G64" s="67"/>
      <c r="H64" s="67"/>
      <c r="I64" s="67"/>
      <c r="J64" s="68"/>
      <c r="K64" s="74" t="s">
        <v>25</v>
      </c>
      <c r="L64" s="67"/>
      <c r="M64" s="67"/>
      <c r="N64" s="67"/>
      <c r="O64" s="68"/>
      <c r="P64" s="74" t="s">
        <v>26</v>
      </c>
      <c r="Q64" s="67"/>
      <c r="R64" s="67"/>
      <c r="S64" s="67"/>
      <c r="T64" s="67"/>
      <c r="U64" s="67"/>
      <c r="V64" s="67"/>
      <c r="W64" s="67"/>
      <c r="X64" s="67"/>
      <c r="Y64" s="68"/>
      <c r="AA64" s="74" t="s">
        <v>23</v>
      </c>
      <c r="AB64" s="67"/>
      <c r="AC64" s="68"/>
      <c r="AD64" s="74" t="s">
        <v>24</v>
      </c>
      <c r="AE64" s="67"/>
      <c r="AF64" s="67"/>
      <c r="AG64" s="67"/>
      <c r="AH64" s="68"/>
      <c r="AI64" s="74" t="s">
        <v>25</v>
      </c>
      <c r="AJ64" s="67"/>
      <c r="AK64" s="67"/>
      <c r="AL64" s="67"/>
      <c r="AM64" s="68"/>
      <c r="AN64" s="74" t="s">
        <v>26</v>
      </c>
      <c r="AO64" s="67"/>
      <c r="AP64" s="67"/>
      <c r="AQ64" s="67"/>
      <c r="AR64" s="67"/>
      <c r="AS64" s="67"/>
      <c r="AT64" s="67"/>
      <c r="AU64" s="67"/>
      <c r="AV64" s="67"/>
      <c r="AW64" s="68"/>
      <c r="AY64" s="74" t="s">
        <v>23</v>
      </c>
      <c r="AZ64" s="67"/>
      <c r="BA64" s="68"/>
      <c r="BB64" s="74" t="s">
        <v>24</v>
      </c>
      <c r="BC64" s="67"/>
      <c r="BD64" s="67"/>
      <c r="BE64" s="67"/>
      <c r="BF64" s="68"/>
      <c r="BG64" s="74" t="s">
        <v>25</v>
      </c>
      <c r="BH64" s="67"/>
      <c r="BI64" s="67"/>
      <c r="BJ64" s="67"/>
      <c r="BK64" s="68"/>
      <c r="BL64" s="74" t="s">
        <v>26</v>
      </c>
      <c r="BM64" s="67"/>
      <c r="BN64" s="67"/>
      <c r="BO64" s="67"/>
      <c r="BP64" s="67"/>
      <c r="BQ64" s="67"/>
      <c r="BR64" s="67"/>
      <c r="BS64" s="67"/>
      <c r="BT64" s="67"/>
      <c r="BU64" s="68"/>
      <c r="BW64" s="74" t="s">
        <v>23</v>
      </c>
      <c r="BX64" s="67"/>
      <c r="BY64" s="68"/>
      <c r="BZ64" s="74" t="s">
        <v>24</v>
      </c>
      <c r="CA64" s="67"/>
      <c r="CB64" s="67"/>
      <c r="CC64" s="67"/>
      <c r="CD64" s="68"/>
      <c r="CE64" s="74" t="s">
        <v>25</v>
      </c>
      <c r="CF64" s="67"/>
      <c r="CG64" s="67"/>
      <c r="CH64" s="67"/>
      <c r="CI64" s="68"/>
      <c r="CJ64" s="74" t="s">
        <v>26</v>
      </c>
      <c r="CK64" s="67"/>
      <c r="CL64" s="67"/>
      <c r="CM64" s="67"/>
      <c r="CN64" s="67"/>
      <c r="CO64" s="67"/>
      <c r="CP64" s="67"/>
      <c r="CQ64" s="67"/>
      <c r="CR64" s="67"/>
      <c r="CS64" s="68"/>
    </row>
    <row r="65" ht="15.75" customHeight="1">
      <c r="C65" s="72">
        <v>1.0</v>
      </c>
      <c r="D65" s="67"/>
      <c r="E65" s="68"/>
      <c r="F65" s="75">
        <v>50.0</v>
      </c>
      <c r="G65" s="67"/>
      <c r="H65" s="67"/>
      <c r="I65" s="67"/>
      <c r="J65" s="68"/>
      <c r="K65" s="76">
        <v>20.0</v>
      </c>
      <c r="L65" s="67"/>
      <c r="M65" s="67"/>
      <c r="N65" s="67"/>
      <c r="O65" s="68"/>
      <c r="P65" s="77">
        <f>IF(AND(X63&lt;&gt;"",F65&lt;&gt;"",K65&lt;&gt;""),IFERROR(K65/(100-((F65/X63)*100)),""),"")</f>
        <v>0.3818181818</v>
      </c>
      <c r="Q65" s="67"/>
      <c r="R65" s="67"/>
      <c r="S65" s="67"/>
      <c r="T65" s="67"/>
      <c r="U65" s="67"/>
      <c r="V65" s="67"/>
      <c r="W65" s="67"/>
      <c r="X65" s="67"/>
      <c r="Y65" s="68"/>
      <c r="AA65" s="72">
        <v>1.0</v>
      </c>
      <c r="AB65" s="67"/>
      <c r="AC65" s="68"/>
      <c r="AD65" s="75"/>
      <c r="AE65" s="67"/>
      <c r="AF65" s="67"/>
      <c r="AG65" s="67"/>
      <c r="AH65" s="68"/>
      <c r="AI65" s="76"/>
      <c r="AJ65" s="67"/>
      <c r="AK65" s="67"/>
      <c r="AL65" s="67"/>
      <c r="AM65" s="68"/>
      <c r="AN65" s="77" t="str">
        <f>IF(AND(AV63&lt;&gt;"",AD65&lt;&gt;"",AI65&lt;&gt;""),IFERROR(AI65/(100-((AD65/AV63)*100)),""),"")</f>
        <v/>
      </c>
      <c r="AO65" s="67"/>
      <c r="AP65" s="67"/>
      <c r="AQ65" s="67"/>
      <c r="AR65" s="67"/>
      <c r="AS65" s="67"/>
      <c r="AT65" s="67"/>
      <c r="AU65" s="67"/>
      <c r="AV65" s="67"/>
      <c r="AW65" s="68"/>
      <c r="AY65" s="72">
        <v>1.0</v>
      </c>
      <c r="AZ65" s="67"/>
      <c r="BA65" s="68"/>
      <c r="BB65" s="75"/>
      <c r="BC65" s="67"/>
      <c r="BD65" s="67"/>
      <c r="BE65" s="67"/>
      <c r="BF65" s="68"/>
      <c r="BG65" s="76"/>
      <c r="BH65" s="67"/>
      <c r="BI65" s="67"/>
      <c r="BJ65" s="67"/>
      <c r="BK65" s="68"/>
      <c r="BL65" s="77" t="str">
        <f>IF(AND(BT63&lt;&gt;"",BB65&lt;&gt;"",BG65&lt;&gt;""),IFERROR(BG65/(100-((BB65/BT63)*100)),""),"")</f>
        <v/>
      </c>
      <c r="BM65" s="67"/>
      <c r="BN65" s="67"/>
      <c r="BO65" s="67"/>
      <c r="BP65" s="67"/>
      <c r="BQ65" s="67"/>
      <c r="BR65" s="67"/>
      <c r="BS65" s="67"/>
      <c r="BT65" s="67"/>
      <c r="BU65" s="68"/>
      <c r="BW65" s="72">
        <v>1.0</v>
      </c>
      <c r="BX65" s="67"/>
      <c r="BY65" s="68"/>
      <c r="BZ65" s="75"/>
      <c r="CA65" s="67"/>
      <c r="CB65" s="67"/>
      <c r="CC65" s="67"/>
      <c r="CD65" s="68"/>
      <c r="CE65" s="76"/>
      <c r="CF65" s="67"/>
      <c r="CG65" s="67"/>
      <c r="CH65" s="67"/>
      <c r="CI65" s="68"/>
      <c r="CJ65" s="77" t="str">
        <f>IF(AND(CR63&lt;&gt;"",BZ65&lt;&gt;"",CE65&lt;&gt;""),IFERROR(CE65/(100-((BZ65/CR63)*100)),""),"")</f>
        <v/>
      </c>
      <c r="CK65" s="67"/>
      <c r="CL65" s="67"/>
      <c r="CM65" s="67"/>
      <c r="CN65" s="67"/>
      <c r="CO65" s="67"/>
      <c r="CP65" s="67"/>
      <c r="CQ65" s="67"/>
      <c r="CR65" s="67"/>
      <c r="CS65" s="68"/>
    </row>
    <row r="66" ht="15.75" customHeight="1">
      <c r="C66" s="72">
        <v>2.0</v>
      </c>
      <c r="D66" s="67"/>
      <c r="E66" s="68"/>
      <c r="F66" s="75">
        <v>50.0</v>
      </c>
      <c r="G66" s="67"/>
      <c r="H66" s="67"/>
      <c r="I66" s="67"/>
      <c r="J66" s="68"/>
      <c r="K66" s="76">
        <v>20.0</v>
      </c>
      <c r="L66" s="67"/>
      <c r="M66" s="67"/>
      <c r="N66" s="67"/>
      <c r="O66" s="68"/>
      <c r="P66" s="77">
        <f>IF(AND(X63&lt;&gt;"",F66&lt;&gt;"",K66&lt;&gt;""),IFERROR(K66/(100-((F66/X63)*100)),""),"")</f>
        <v>0.3818181818</v>
      </c>
      <c r="Q66" s="67"/>
      <c r="R66" s="67"/>
      <c r="S66" s="67"/>
      <c r="T66" s="67"/>
      <c r="U66" s="67"/>
      <c r="V66" s="67"/>
      <c r="W66" s="67"/>
      <c r="X66" s="67"/>
      <c r="Y66" s="68"/>
      <c r="AA66" s="72">
        <v>2.0</v>
      </c>
      <c r="AB66" s="67"/>
      <c r="AC66" s="68"/>
      <c r="AD66" s="75"/>
      <c r="AE66" s="67"/>
      <c r="AF66" s="67"/>
      <c r="AG66" s="67"/>
      <c r="AH66" s="68"/>
      <c r="AI66" s="76"/>
      <c r="AJ66" s="67"/>
      <c r="AK66" s="67"/>
      <c r="AL66" s="67"/>
      <c r="AM66" s="68"/>
      <c r="AN66" s="77" t="str">
        <f>IF(AND(AV63&lt;&gt;"",AD66&lt;&gt;"",AI66&lt;&gt;""),IFERROR(AI66/(100-((AD66/AV63)*100)),""),"")</f>
        <v/>
      </c>
      <c r="AO66" s="67"/>
      <c r="AP66" s="67"/>
      <c r="AQ66" s="67"/>
      <c r="AR66" s="67"/>
      <c r="AS66" s="67"/>
      <c r="AT66" s="67"/>
      <c r="AU66" s="67"/>
      <c r="AV66" s="67"/>
      <c r="AW66" s="68"/>
      <c r="AY66" s="72">
        <v>2.0</v>
      </c>
      <c r="AZ66" s="67"/>
      <c r="BA66" s="68"/>
      <c r="BB66" s="75"/>
      <c r="BC66" s="67"/>
      <c r="BD66" s="67"/>
      <c r="BE66" s="67"/>
      <c r="BF66" s="68"/>
      <c r="BG66" s="76"/>
      <c r="BH66" s="67"/>
      <c r="BI66" s="67"/>
      <c r="BJ66" s="67"/>
      <c r="BK66" s="68"/>
      <c r="BL66" s="77" t="str">
        <f>IF(AND(BT63&lt;&gt;"",BB66&lt;&gt;"",BG66&lt;&gt;""),IFERROR(BG66/(100-((BB66/BT63)*100)),""),"")</f>
        <v/>
      </c>
      <c r="BM66" s="67"/>
      <c r="BN66" s="67"/>
      <c r="BO66" s="67"/>
      <c r="BP66" s="67"/>
      <c r="BQ66" s="67"/>
      <c r="BR66" s="67"/>
      <c r="BS66" s="67"/>
      <c r="BT66" s="67"/>
      <c r="BU66" s="68"/>
      <c r="BW66" s="72">
        <v>2.0</v>
      </c>
      <c r="BX66" s="67"/>
      <c r="BY66" s="68"/>
      <c r="BZ66" s="75"/>
      <c r="CA66" s="67"/>
      <c r="CB66" s="67"/>
      <c r="CC66" s="67"/>
      <c r="CD66" s="68"/>
      <c r="CE66" s="76"/>
      <c r="CF66" s="67"/>
      <c r="CG66" s="67"/>
      <c r="CH66" s="67"/>
      <c r="CI66" s="68"/>
      <c r="CJ66" s="77" t="str">
        <f>IF(AND(CR63&lt;&gt;"",BZ66&lt;&gt;"",CE66&lt;&gt;""),IFERROR(CE66/(100-((BZ66/CR63)*100)),""),"")</f>
        <v/>
      </c>
      <c r="CK66" s="67"/>
      <c r="CL66" s="67"/>
      <c r="CM66" s="67"/>
      <c r="CN66" s="67"/>
      <c r="CO66" s="67"/>
      <c r="CP66" s="67"/>
      <c r="CQ66" s="67"/>
      <c r="CR66" s="67"/>
      <c r="CS66" s="68"/>
    </row>
    <row r="67" ht="15.75" customHeight="1">
      <c r="C67" s="72">
        <v>3.0</v>
      </c>
      <c r="D67" s="67"/>
      <c r="E67" s="68"/>
      <c r="F67" s="75">
        <v>50.0</v>
      </c>
      <c r="G67" s="67"/>
      <c r="H67" s="67"/>
      <c r="I67" s="67"/>
      <c r="J67" s="68"/>
      <c r="K67" s="76">
        <v>20.0</v>
      </c>
      <c r="L67" s="67"/>
      <c r="M67" s="67"/>
      <c r="N67" s="67"/>
      <c r="O67" s="68"/>
      <c r="P67" s="77">
        <f>IF(AND(X63&lt;&gt;"",F67&lt;&gt;"",K67&lt;&gt;""),IFERROR(K67/(100-((F67/X63)*100)),""),"")</f>
        <v>0.3818181818</v>
      </c>
      <c r="Q67" s="67"/>
      <c r="R67" s="67"/>
      <c r="S67" s="67"/>
      <c r="T67" s="67"/>
      <c r="U67" s="67"/>
      <c r="V67" s="67"/>
      <c r="W67" s="67"/>
      <c r="X67" s="67"/>
      <c r="Y67" s="68"/>
      <c r="AA67" s="72">
        <v>3.0</v>
      </c>
      <c r="AB67" s="67"/>
      <c r="AC67" s="68"/>
      <c r="AD67" s="75"/>
      <c r="AE67" s="67"/>
      <c r="AF67" s="67"/>
      <c r="AG67" s="67"/>
      <c r="AH67" s="68"/>
      <c r="AI67" s="76"/>
      <c r="AJ67" s="67"/>
      <c r="AK67" s="67"/>
      <c r="AL67" s="67"/>
      <c r="AM67" s="68"/>
      <c r="AN67" s="77" t="str">
        <f>IF(AND(AV63&lt;&gt;"",AD67&lt;&gt;"",AI67&lt;&gt;""),IFERROR(AI67/(100-((AD67/AV63)*100)),""),"")</f>
        <v/>
      </c>
      <c r="AO67" s="67"/>
      <c r="AP67" s="67"/>
      <c r="AQ67" s="67"/>
      <c r="AR67" s="67"/>
      <c r="AS67" s="67"/>
      <c r="AT67" s="67"/>
      <c r="AU67" s="67"/>
      <c r="AV67" s="67"/>
      <c r="AW67" s="68"/>
      <c r="AY67" s="72">
        <v>3.0</v>
      </c>
      <c r="AZ67" s="67"/>
      <c r="BA67" s="68"/>
      <c r="BB67" s="75"/>
      <c r="BC67" s="67"/>
      <c r="BD67" s="67"/>
      <c r="BE67" s="67"/>
      <c r="BF67" s="68"/>
      <c r="BG67" s="76"/>
      <c r="BH67" s="67"/>
      <c r="BI67" s="67"/>
      <c r="BJ67" s="67"/>
      <c r="BK67" s="68"/>
      <c r="BL67" s="77" t="str">
        <f>IF(AND(BT63&lt;&gt;"",BB67&lt;&gt;"",BG67&lt;&gt;""),IFERROR(BG67/(100-((BB67/BT63)*100)),""),"")</f>
        <v/>
      </c>
      <c r="BM67" s="67"/>
      <c r="BN67" s="67"/>
      <c r="BO67" s="67"/>
      <c r="BP67" s="67"/>
      <c r="BQ67" s="67"/>
      <c r="BR67" s="67"/>
      <c r="BS67" s="67"/>
      <c r="BT67" s="67"/>
      <c r="BU67" s="68"/>
      <c r="BW67" s="72">
        <v>3.0</v>
      </c>
      <c r="BX67" s="67"/>
      <c r="BY67" s="68"/>
      <c r="BZ67" s="75"/>
      <c r="CA67" s="67"/>
      <c r="CB67" s="67"/>
      <c r="CC67" s="67"/>
      <c r="CD67" s="68"/>
      <c r="CE67" s="76"/>
      <c r="CF67" s="67"/>
      <c r="CG67" s="67"/>
      <c r="CH67" s="67"/>
      <c r="CI67" s="68"/>
      <c r="CJ67" s="77" t="str">
        <f>IF(AND(CR63&lt;&gt;"",BZ67&lt;&gt;"",CE67&lt;&gt;""),IFERROR(CE67/(100-((BZ67/CR63)*100)),""),"")</f>
        <v/>
      </c>
      <c r="CK67" s="67"/>
      <c r="CL67" s="67"/>
      <c r="CM67" s="67"/>
      <c r="CN67" s="67"/>
      <c r="CO67" s="67"/>
      <c r="CP67" s="67"/>
      <c r="CQ67" s="67"/>
      <c r="CR67" s="67"/>
      <c r="CS67" s="68"/>
    </row>
    <row r="68" ht="15.75" customHeight="1">
      <c r="C68" s="72">
        <v>4.0</v>
      </c>
      <c r="D68" s="67"/>
      <c r="E68" s="68"/>
      <c r="F68" s="75"/>
      <c r="G68" s="67"/>
      <c r="H68" s="67"/>
      <c r="I68" s="67"/>
      <c r="J68" s="68"/>
      <c r="K68" s="76"/>
      <c r="L68" s="67"/>
      <c r="M68" s="67"/>
      <c r="N68" s="67"/>
      <c r="O68" s="68"/>
      <c r="P68" s="77" t="str">
        <f>IF(AND(X63&lt;&gt;"",F68&lt;&gt;"",K68&lt;&gt;""),IFERROR(K68/(100-((F68/X63)*100)),""),"")</f>
        <v/>
      </c>
      <c r="Q68" s="67"/>
      <c r="R68" s="67"/>
      <c r="S68" s="67"/>
      <c r="T68" s="67"/>
      <c r="U68" s="67"/>
      <c r="V68" s="67"/>
      <c r="W68" s="67"/>
      <c r="X68" s="67"/>
      <c r="Y68" s="68"/>
      <c r="AA68" s="72">
        <v>4.0</v>
      </c>
      <c r="AB68" s="67"/>
      <c r="AC68" s="68"/>
      <c r="AD68" s="75"/>
      <c r="AE68" s="67"/>
      <c r="AF68" s="67"/>
      <c r="AG68" s="67"/>
      <c r="AH68" s="68"/>
      <c r="AI68" s="76"/>
      <c r="AJ68" s="67"/>
      <c r="AK68" s="67"/>
      <c r="AL68" s="67"/>
      <c r="AM68" s="68"/>
      <c r="AN68" s="77" t="str">
        <f>IF(AND(AV63&lt;&gt;"",AD68&lt;&gt;"",AI68&lt;&gt;""),IFERROR(AI68/(100-((AD68/AV63)*100)),""),"")</f>
        <v/>
      </c>
      <c r="AO68" s="67"/>
      <c r="AP68" s="67"/>
      <c r="AQ68" s="67"/>
      <c r="AR68" s="67"/>
      <c r="AS68" s="67"/>
      <c r="AT68" s="67"/>
      <c r="AU68" s="67"/>
      <c r="AV68" s="67"/>
      <c r="AW68" s="68"/>
      <c r="AY68" s="72">
        <v>4.0</v>
      </c>
      <c r="AZ68" s="67"/>
      <c r="BA68" s="68"/>
      <c r="BB68" s="75"/>
      <c r="BC68" s="67"/>
      <c r="BD68" s="67"/>
      <c r="BE68" s="67"/>
      <c r="BF68" s="68"/>
      <c r="BG68" s="76"/>
      <c r="BH68" s="67"/>
      <c r="BI68" s="67"/>
      <c r="BJ68" s="67"/>
      <c r="BK68" s="68"/>
      <c r="BL68" s="77" t="str">
        <f>IF(AND(BT63&lt;&gt;"",BB68&lt;&gt;"",BG68&lt;&gt;""),IFERROR(BG68/(100-((BB68/BT63)*100)),""),"")</f>
        <v/>
      </c>
      <c r="BM68" s="67"/>
      <c r="BN68" s="67"/>
      <c r="BO68" s="67"/>
      <c r="BP68" s="67"/>
      <c r="BQ68" s="67"/>
      <c r="BR68" s="67"/>
      <c r="BS68" s="67"/>
      <c r="BT68" s="67"/>
      <c r="BU68" s="68"/>
      <c r="BW68" s="72">
        <v>4.0</v>
      </c>
      <c r="BX68" s="67"/>
      <c r="BY68" s="68"/>
      <c r="BZ68" s="75"/>
      <c r="CA68" s="67"/>
      <c r="CB68" s="67"/>
      <c r="CC68" s="67"/>
      <c r="CD68" s="68"/>
      <c r="CE68" s="76"/>
      <c r="CF68" s="67"/>
      <c r="CG68" s="67"/>
      <c r="CH68" s="67"/>
      <c r="CI68" s="68"/>
      <c r="CJ68" s="77" t="str">
        <f>IF(AND(CR63&lt;&gt;"",BZ68&lt;&gt;"",CE68&lt;&gt;""),IFERROR(CE68/(100-((BZ68/CR63)*100)),""),"")</f>
        <v/>
      </c>
      <c r="CK68" s="67"/>
      <c r="CL68" s="67"/>
      <c r="CM68" s="67"/>
      <c r="CN68" s="67"/>
      <c r="CO68" s="67"/>
      <c r="CP68" s="67"/>
      <c r="CQ68" s="67"/>
      <c r="CR68" s="67"/>
      <c r="CS68" s="68"/>
    </row>
    <row r="69" ht="15.75" customHeight="1">
      <c r="C69" s="72">
        <v>5.0</v>
      </c>
      <c r="D69" s="67"/>
      <c r="E69" s="68"/>
      <c r="F69" s="75"/>
      <c r="G69" s="67"/>
      <c r="H69" s="67"/>
      <c r="I69" s="67"/>
      <c r="J69" s="68"/>
      <c r="K69" s="76"/>
      <c r="L69" s="67"/>
      <c r="M69" s="67"/>
      <c r="N69" s="67"/>
      <c r="O69" s="68"/>
      <c r="P69" s="77" t="str">
        <f>IF(AND(X63&lt;&gt;"",F69&lt;&gt;"",K69&lt;&gt;""),IFERROR(K69/(100-((F69/X63)*100)),""),"")</f>
        <v/>
      </c>
      <c r="Q69" s="67"/>
      <c r="R69" s="67"/>
      <c r="S69" s="67"/>
      <c r="T69" s="67"/>
      <c r="U69" s="67"/>
      <c r="V69" s="67"/>
      <c r="W69" s="67"/>
      <c r="X69" s="67"/>
      <c r="Y69" s="68"/>
      <c r="AA69" s="72">
        <v>5.0</v>
      </c>
      <c r="AB69" s="67"/>
      <c r="AC69" s="68"/>
      <c r="AD69" s="75"/>
      <c r="AE69" s="67"/>
      <c r="AF69" s="67"/>
      <c r="AG69" s="67"/>
      <c r="AH69" s="68"/>
      <c r="AI69" s="76"/>
      <c r="AJ69" s="67"/>
      <c r="AK69" s="67"/>
      <c r="AL69" s="67"/>
      <c r="AM69" s="68"/>
      <c r="AN69" s="77" t="str">
        <f>IF(AND(AV63&lt;&gt;"",AD69&lt;&gt;"",AI69&lt;&gt;""),IFERROR(AI69/(100-((AD69/AV63)*100)),""),"")</f>
        <v/>
      </c>
      <c r="AO69" s="67"/>
      <c r="AP69" s="67"/>
      <c r="AQ69" s="67"/>
      <c r="AR69" s="67"/>
      <c r="AS69" s="67"/>
      <c r="AT69" s="67"/>
      <c r="AU69" s="67"/>
      <c r="AV69" s="67"/>
      <c r="AW69" s="68"/>
      <c r="AY69" s="72">
        <v>5.0</v>
      </c>
      <c r="AZ69" s="67"/>
      <c r="BA69" s="68"/>
      <c r="BB69" s="75"/>
      <c r="BC69" s="67"/>
      <c r="BD69" s="67"/>
      <c r="BE69" s="67"/>
      <c r="BF69" s="68"/>
      <c r="BG69" s="76"/>
      <c r="BH69" s="67"/>
      <c r="BI69" s="67"/>
      <c r="BJ69" s="67"/>
      <c r="BK69" s="68"/>
      <c r="BL69" s="77" t="str">
        <f>IF(AND(BT63&lt;&gt;"",BB69&lt;&gt;"",BG69&lt;&gt;""),IFERROR(BG69/(100-((BB69/BT63)*100)),""),"")</f>
        <v/>
      </c>
      <c r="BM69" s="67"/>
      <c r="BN69" s="67"/>
      <c r="BO69" s="67"/>
      <c r="BP69" s="67"/>
      <c r="BQ69" s="67"/>
      <c r="BR69" s="67"/>
      <c r="BS69" s="67"/>
      <c r="BT69" s="67"/>
      <c r="BU69" s="68"/>
      <c r="BW69" s="72">
        <v>5.0</v>
      </c>
      <c r="BX69" s="67"/>
      <c r="BY69" s="68"/>
      <c r="BZ69" s="75"/>
      <c r="CA69" s="67"/>
      <c r="CB69" s="67"/>
      <c r="CC69" s="67"/>
      <c r="CD69" s="68"/>
      <c r="CE69" s="76"/>
      <c r="CF69" s="67"/>
      <c r="CG69" s="67"/>
      <c r="CH69" s="67"/>
      <c r="CI69" s="68"/>
      <c r="CJ69" s="77" t="str">
        <f>IF(AND(CR63&lt;&gt;"",BZ69&lt;&gt;"",CE69&lt;&gt;""),IFERROR(CE69/(100-((BZ69/CR63)*100)),""),"")</f>
        <v/>
      </c>
      <c r="CK69" s="67"/>
      <c r="CL69" s="67"/>
      <c r="CM69" s="67"/>
      <c r="CN69" s="67"/>
      <c r="CO69" s="67"/>
      <c r="CP69" s="67"/>
      <c r="CQ69" s="67"/>
      <c r="CR69" s="67"/>
      <c r="CS69" s="68"/>
    </row>
    <row r="70" ht="15.75" customHeight="1">
      <c r="C70" s="72">
        <v>6.0</v>
      </c>
      <c r="D70" s="67"/>
      <c r="E70" s="68"/>
      <c r="F70" s="75"/>
      <c r="G70" s="67"/>
      <c r="H70" s="67"/>
      <c r="I70" s="67"/>
      <c r="J70" s="68"/>
      <c r="K70" s="76"/>
      <c r="L70" s="67"/>
      <c r="M70" s="67"/>
      <c r="N70" s="67"/>
      <c r="O70" s="68"/>
      <c r="P70" s="77" t="str">
        <f>IF(AND(X63&lt;&gt;"",F70&lt;&gt;"",K70&lt;&gt;""),IFERROR(K70/(100-((F70/X63)*100)),""),"")</f>
        <v/>
      </c>
      <c r="Q70" s="67"/>
      <c r="R70" s="67"/>
      <c r="S70" s="67"/>
      <c r="T70" s="67"/>
      <c r="U70" s="67"/>
      <c r="V70" s="67"/>
      <c r="W70" s="67"/>
      <c r="X70" s="67"/>
      <c r="Y70" s="68"/>
      <c r="AA70" s="78"/>
      <c r="AB70" s="79">
        <v>6.0</v>
      </c>
      <c r="AC70" s="80"/>
      <c r="AD70" s="75"/>
      <c r="AE70" s="67"/>
      <c r="AF70" s="67"/>
      <c r="AG70" s="67"/>
      <c r="AH70" s="68"/>
      <c r="AI70" s="76"/>
      <c r="AJ70" s="67"/>
      <c r="AK70" s="67"/>
      <c r="AL70" s="67"/>
      <c r="AM70" s="68"/>
      <c r="AN70" s="77" t="str">
        <f>IF(AND(AV63&lt;&gt;"",AD70&lt;&gt;"",AI70&lt;&gt;""),IFERROR(AI70/(100-((AD70/AV63)*100)),""),"")</f>
        <v/>
      </c>
      <c r="AO70" s="67"/>
      <c r="AP70" s="67"/>
      <c r="AQ70" s="67"/>
      <c r="AR70" s="67"/>
      <c r="AS70" s="67"/>
      <c r="AT70" s="67"/>
      <c r="AU70" s="67"/>
      <c r="AV70" s="67"/>
      <c r="AW70" s="68"/>
      <c r="AY70" s="78"/>
      <c r="AZ70" s="79">
        <v>6.0</v>
      </c>
      <c r="BA70" s="80"/>
      <c r="BB70" s="75"/>
      <c r="BC70" s="67"/>
      <c r="BD70" s="67"/>
      <c r="BE70" s="67"/>
      <c r="BF70" s="68"/>
      <c r="BG70" s="76"/>
      <c r="BH70" s="67"/>
      <c r="BI70" s="67"/>
      <c r="BJ70" s="67"/>
      <c r="BK70" s="68"/>
      <c r="BL70" s="77" t="str">
        <f>IF(AND(BT63&lt;&gt;"",BB70&lt;&gt;"",BG70&lt;&gt;""),IFERROR(BG70/(100-((BB70/BT63)*100)),""),"")</f>
        <v/>
      </c>
      <c r="BM70" s="67"/>
      <c r="BN70" s="67"/>
      <c r="BO70" s="67"/>
      <c r="BP70" s="67"/>
      <c r="BQ70" s="67"/>
      <c r="BR70" s="67"/>
      <c r="BS70" s="67"/>
      <c r="BT70" s="67"/>
      <c r="BU70" s="68"/>
      <c r="BW70" s="78"/>
      <c r="BX70" s="79">
        <v>6.0</v>
      </c>
      <c r="BY70" s="80"/>
      <c r="BZ70" s="75"/>
      <c r="CA70" s="67"/>
      <c r="CB70" s="67"/>
      <c r="CC70" s="67"/>
      <c r="CD70" s="68"/>
      <c r="CE70" s="76"/>
      <c r="CF70" s="67"/>
      <c r="CG70" s="67"/>
      <c r="CH70" s="67"/>
      <c r="CI70" s="68"/>
      <c r="CJ70" s="77" t="str">
        <f>IF(AND(CR63&lt;&gt;"",BZ70&lt;&gt;"",CE70&lt;&gt;""),IFERROR(CE70/(100-((BZ70/CR63)*100)),""),"")</f>
        <v/>
      </c>
      <c r="CK70" s="67"/>
      <c r="CL70" s="67"/>
      <c r="CM70" s="67"/>
      <c r="CN70" s="67"/>
      <c r="CO70" s="67"/>
      <c r="CP70" s="67"/>
      <c r="CQ70" s="67"/>
      <c r="CR70" s="67"/>
      <c r="CS70" s="68"/>
    </row>
    <row r="71" ht="15.75" customHeight="1">
      <c r="C71" s="72" t="s">
        <v>31</v>
      </c>
      <c r="D71" s="67"/>
      <c r="E71" s="68"/>
      <c r="F71" s="77">
        <f>IFERROR(AVERAGE(F65:J69),"")</f>
        <v>50</v>
      </c>
      <c r="G71" s="67"/>
      <c r="H71" s="67"/>
      <c r="I71" s="67"/>
      <c r="J71" s="68"/>
      <c r="K71" s="71">
        <f>IFERROR(AVERAGE(K65:O69),"")</f>
        <v>20</v>
      </c>
      <c r="L71" s="67"/>
      <c r="M71" s="67"/>
      <c r="N71" s="67"/>
      <c r="O71" s="68"/>
      <c r="P71" s="77">
        <f>IFERROR(AVERAGE(P65:Y69),"")</f>
        <v>0.3818181818</v>
      </c>
      <c r="Q71" s="67"/>
      <c r="R71" s="67"/>
      <c r="S71" s="67"/>
      <c r="T71" s="67"/>
      <c r="U71" s="67"/>
      <c r="V71" s="67"/>
      <c r="W71" s="67"/>
      <c r="X71" s="67"/>
      <c r="Y71" s="68"/>
      <c r="AA71" s="72" t="s">
        <v>31</v>
      </c>
      <c r="AB71" s="67"/>
      <c r="AC71" s="68"/>
      <c r="AD71" s="77" t="str">
        <f>IFERROR(AVERAGE(AD65:AH69),"")</f>
        <v/>
      </c>
      <c r="AE71" s="67"/>
      <c r="AF71" s="67"/>
      <c r="AG71" s="67"/>
      <c r="AH71" s="68"/>
      <c r="AI71" s="71" t="str">
        <f>IFERROR(AVERAGE(AI65:AM69),"")</f>
        <v/>
      </c>
      <c r="AJ71" s="67"/>
      <c r="AK71" s="67"/>
      <c r="AL71" s="67"/>
      <c r="AM71" s="68"/>
      <c r="AN71" s="77" t="str">
        <f>IFERROR(AVERAGE(AN65:AW69),"")</f>
        <v/>
      </c>
      <c r="AO71" s="67"/>
      <c r="AP71" s="67"/>
      <c r="AQ71" s="67"/>
      <c r="AR71" s="67"/>
      <c r="AS71" s="67"/>
      <c r="AT71" s="67"/>
      <c r="AU71" s="67"/>
      <c r="AV71" s="67"/>
      <c r="AW71" s="68"/>
      <c r="AY71" s="72" t="s">
        <v>31</v>
      </c>
      <c r="AZ71" s="67"/>
      <c r="BA71" s="68"/>
      <c r="BB71" s="77" t="str">
        <f>IFERROR(AVERAGE(BB65:BF69),"")</f>
        <v/>
      </c>
      <c r="BC71" s="67"/>
      <c r="BD71" s="67"/>
      <c r="BE71" s="67"/>
      <c r="BF71" s="68"/>
      <c r="BG71" s="71" t="str">
        <f>IFERROR(AVERAGE(BG65:BK69),"")</f>
        <v/>
      </c>
      <c r="BH71" s="67"/>
      <c r="BI71" s="67"/>
      <c r="BJ71" s="67"/>
      <c r="BK71" s="68"/>
      <c r="BL71" s="77" t="str">
        <f>IFERROR(AVERAGE(BL65:BU69),"")</f>
        <v/>
      </c>
      <c r="BM71" s="67"/>
      <c r="BN71" s="67"/>
      <c r="BO71" s="67"/>
      <c r="BP71" s="67"/>
      <c r="BQ71" s="67"/>
      <c r="BR71" s="67"/>
      <c r="BS71" s="67"/>
      <c r="BT71" s="67"/>
      <c r="BU71" s="68"/>
      <c r="BW71" s="72" t="s">
        <v>31</v>
      </c>
      <c r="BX71" s="67"/>
      <c r="BY71" s="68"/>
      <c r="BZ71" s="77" t="str">
        <f>IFERROR(AVERAGE(BZ65:CD69),"")</f>
        <v/>
      </c>
      <c r="CA71" s="67"/>
      <c r="CB71" s="67"/>
      <c r="CC71" s="67"/>
      <c r="CD71" s="68"/>
      <c r="CE71" s="71" t="str">
        <f>IFERROR(AVERAGE(CE65:CI69),"")</f>
        <v/>
      </c>
      <c r="CF71" s="67"/>
      <c r="CG71" s="67"/>
      <c r="CH71" s="67"/>
      <c r="CI71" s="68"/>
      <c r="CJ71" s="77" t="str">
        <f>IFERROR(AVERAGE(CJ65:CS69),"")</f>
        <v/>
      </c>
      <c r="CK71" s="67"/>
      <c r="CL71" s="67"/>
      <c r="CM71" s="67"/>
      <c r="CN71" s="67"/>
      <c r="CO71" s="67"/>
      <c r="CP71" s="67"/>
      <c r="CQ71" s="67"/>
      <c r="CR71" s="67"/>
      <c r="CS71" s="68"/>
    </row>
    <row r="72" ht="30.0" customHeight="1">
      <c r="C72" s="81" t="s">
        <v>42</v>
      </c>
      <c r="D72" s="67"/>
      <c r="E72" s="68"/>
      <c r="F72" s="77">
        <f>IFERROR(SUM(F65:J69),"")</f>
        <v>150</v>
      </c>
      <c r="G72" s="67"/>
      <c r="H72" s="67"/>
      <c r="I72" s="67"/>
      <c r="J72" s="68"/>
      <c r="K72" s="71">
        <f>IFERROR(SUM(K65:O69),"")</f>
        <v>60</v>
      </c>
      <c r="L72" s="67"/>
      <c r="M72" s="67"/>
      <c r="N72" s="67"/>
      <c r="O72" s="68"/>
      <c r="P72" s="82">
        <f>IFERROR(SUM(P65:Y70),"")</f>
        <v>1.145454545</v>
      </c>
      <c r="Q72" s="67"/>
      <c r="R72" s="67"/>
      <c r="S72" s="67"/>
      <c r="T72" s="67"/>
      <c r="U72" s="67"/>
      <c r="V72" s="67"/>
      <c r="W72" s="67"/>
      <c r="X72" s="67"/>
      <c r="Y72" s="68"/>
      <c r="AA72" s="81" t="s">
        <v>42</v>
      </c>
      <c r="AB72" s="67"/>
      <c r="AC72" s="68"/>
      <c r="AD72" s="77">
        <f>IFERROR(SUM(AD65:AH69),"")</f>
        <v>0</v>
      </c>
      <c r="AE72" s="67"/>
      <c r="AF72" s="67"/>
      <c r="AG72" s="67"/>
      <c r="AH72" s="68"/>
      <c r="AI72" s="71">
        <f>IFERROR(SUM(AI65:AM69),"")</f>
        <v>0</v>
      </c>
      <c r="AJ72" s="67"/>
      <c r="AK72" s="67"/>
      <c r="AL72" s="67"/>
      <c r="AM72" s="68"/>
      <c r="AN72" s="82">
        <f>IFERROR(SUM(AN65:AW70),"")</f>
        <v>0</v>
      </c>
      <c r="AO72" s="67"/>
      <c r="AP72" s="67"/>
      <c r="AQ72" s="67"/>
      <c r="AR72" s="67"/>
      <c r="AS72" s="67"/>
      <c r="AT72" s="67"/>
      <c r="AU72" s="67"/>
      <c r="AV72" s="67"/>
      <c r="AW72" s="68"/>
      <c r="AY72" s="81" t="s">
        <v>42</v>
      </c>
      <c r="AZ72" s="67"/>
      <c r="BA72" s="68"/>
      <c r="BB72" s="77">
        <f>IFERROR(SUM(BB65:BF69),"")</f>
        <v>0</v>
      </c>
      <c r="BC72" s="67"/>
      <c r="BD72" s="67"/>
      <c r="BE72" s="67"/>
      <c r="BF72" s="68"/>
      <c r="BG72" s="71">
        <f>IFERROR(SUM(BG65:BK69),"")</f>
        <v>0</v>
      </c>
      <c r="BH72" s="67"/>
      <c r="BI72" s="67"/>
      <c r="BJ72" s="67"/>
      <c r="BK72" s="68"/>
      <c r="BL72" s="82">
        <f>IFERROR(SUM(BL65:BU70),"")</f>
        <v>0</v>
      </c>
      <c r="BM72" s="67"/>
      <c r="BN72" s="67"/>
      <c r="BO72" s="67"/>
      <c r="BP72" s="67"/>
      <c r="BQ72" s="67"/>
      <c r="BR72" s="67"/>
      <c r="BS72" s="67"/>
      <c r="BT72" s="67"/>
      <c r="BU72" s="68"/>
      <c r="BW72" s="81" t="s">
        <v>42</v>
      </c>
      <c r="BX72" s="67"/>
      <c r="BY72" s="68"/>
      <c r="BZ72" s="77">
        <f>IFERROR(SUM(BZ65:CD69),"")</f>
        <v>0</v>
      </c>
      <c r="CA72" s="67"/>
      <c r="CB72" s="67"/>
      <c r="CC72" s="67"/>
      <c r="CD72" s="68"/>
      <c r="CE72" s="71">
        <f>IFERROR(SUM(CE65:CI69),"")</f>
        <v>0</v>
      </c>
      <c r="CF72" s="67"/>
      <c r="CG72" s="67"/>
      <c r="CH72" s="67"/>
      <c r="CI72" s="68"/>
      <c r="CJ72" s="82">
        <f>IFERROR(SUM(CJ65:CS70),"")</f>
        <v>0</v>
      </c>
      <c r="CK72" s="67"/>
      <c r="CL72" s="67"/>
      <c r="CM72" s="67"/>
      <c r="CN72" s="67"/>
      <c r="CO72" s="67"/>
      <c r="CP72" s="67"/>
      <c r="CQ72" s="67"/>
      <c r="CR72" s="67"/>
      <c r="CS72" s="68"/>
    </row>
    <row r="73" ht="15.75" customHeight="1">
      <c r="C73" s="69" t="s">
        <v>7</v>
      </c>
      <c r="D73" s="67"/>
      <c r="E73" s="67"/>
      <c r="F73" s="67"/>
      <c r="G73" s="68"/>
      <c r="H73" s="70" t="s">
        <v>52</v>
      </c>
      <c r="I73" s="67"/>
      <c r="J73" s="67"/>
      <c r="K73" s="67"/>
      <c r="L73" s="68"/>
      <c r="M73" s="71"/>
      <c r="N73" s="67"/>
      <c r="O73" s="67"/>
      <c r="P73" s="67"/>
      <c r="Q73" s="68"/>
      <c r="R73" s="72" t="s">
        <v>9</v>
      </c>
      <c r="S73" s="67"/>
      <c r="T73" s="67"/>
      <c r="U73" s="67"/>
      <c r="V73" s="67"/>
      <c r="W73" s="68"/>
      <c r="X73" s="73">
        <v>170.0</v>
      </c>
      <c r="Y73" s="68"/>
      <c r="AA73" s="69" t="s">
        <v>7</v>
      </c>
      <c r="AB73" s="67"/>
      <c r="AC73" s="67"/>
      <c r="AD73" s="67"/>
      <c r="AE73" s="68"/>
      <c r="AF73" s="70" t="s">
        <v>8</v>
      </c>
      <c r="AG73" s="67"/>
      <c r="AH73" s="67"/>
      <c r="AI73" s="67"/>
      <c r="AJ73" s="68"/>
      <c r="AK73" s="71"/>
      <c r="AL73" s="67"/>
      <c r="AM73" s="67"/>
      <c r="AN73" s="67"/>
      <c r="AO73" s="68"/>
      <c r="AP73" s="72" t="s">
        <v>9</v>
      </c>
      <c r="AQ73" s="67"/>
      <c r="AR73" s="67"/>
      <c r="AS73" s="67"/>
      <c r="AT73" s="67"/>
      <c r="AU73" s="68"/>
      <c r="AV73" s="73">
        <v>120.0</v>
      </c>
      <c r="AW73" s="68"/>
      <c r="AY73" s="69" t="s">
        <v>7</v>
      </c>
      <c r="AZ73" s="67"/>
      <c r="BA73" s="67"/>
      <c r="BB73" s="67"/>
      <c r="BC73" s="68"/>
      <c r="BD73" s="70" t="s">
        <v>8</v>
      </c>
      <c r="BE73" s="67"/>
      <c r="BF73" s="67"/>
      <c r="BG73" s="67"/>
      <c r="BH73" s="68"/>
      <c r="BI73" s="71"/>
      <c r="BJ73" s="67"/>
      <c r="BK73" s="67"/>
      <c r="BL73" s="67"/>
      <c r="BM73" s="68"/>
      <c r="BN73" s="72" t="s">
        <v>9</v>
      </c>
      <c r="BO73" s="67"/>
      <c r="BP73" s="67"/>
      <c r="BQ73" s="67"/>
      <c r="BR73" s="67"/>
      <c r="BS73" s="68"/>
      <c r="BT73" s="73">
        <v>120.0</v>
      </c>
      <c r="BU73" s="68"/>
      <c r="BW73" s="69" t="s">
        <v>7</v>
      </c>
      <c r="BX73" s="67"/>
      <c r="BY73" s="67"/>
      <c r="BZ73" s="67"/>
      <c r="CA73" s="68"/>
      <c r="CB73" s="70" t="s">
        <v>8</v>
      </c>
      <c r="CC73" s="67"/>
      <c r="CD73" s="67"/>
      <c r="CE73" s="67"/>
      <c r="CF73" s="68"/>
      <c r="CG73" s="71"/>
      <c r="CH73" s="67"/>
      <c r="CI73" s="67"/>
      <c r="CJ73" s="67"/>
      <c r="CK73" s="68"/>
      <c r="CL73" s="72" t="s">
        <v>9</v>
      </c>
      <c r="CM73" s="67"/>
      <c r="CN73" s="67"/>
      <c r="CO73" s="67"/>
      <c r="CP73" s="67"/>
      <c r="CQ73" s="68"/>
      <c r="CR73" s="73">
        <v>120.0</v>
      </c>
      <c r="CS73" s="68"/>
    </row>
    <row r="74" ht="15.75" customHeight="1">
      <c r="C74" s="74" t="s">
        <v>23</v>
      </c>
      <c r="D74" s="67"/>
      <c r="E74" s="68"/>
      <c r="F74" s="74" t="s">
        <v>24</v>
      </c>
      <c r="G74" s="67"/>
      <c r="H74" s="67"/>
      <c r="I74" s="67"/>
      <c r="J74" s="68"/>
      <c r="K74" s="74" t="s">
        <v>25</v>
      </c>
      <c r="L74" s="67"/>
      <c r="M74" s="67"/>
      <c r="N74" s="67"/>
      <c r="O74" s="68"/>
      <c r="P74" s="74" t="s">
        <v>26</v>
      </c>
      <c r="Q74" s="67"/>
      <c r="R74" s="67"/>
      <c r="S74" s="67"/>
      <c r="T74" s="67"/>
      <c r="U74" s="67"/>
      <c r="V74" s="67"/>
      <c r="W74" s="67"/>
      <c r="X74" s="67"/>
      <c r="Y74" s="68"/>
      <c r="AA74" s="74" t="s">
        <v>23</v>
      </c>
      <c r="AB74" s="67"/>
      <c r="AC74" s="68"/>
      <c r="AD74" s="74" t="s">
        <v>24</v>
      </c>
      <c r="AE74" s="67"/>
      <c r="AF74" s="67"/>
      <c r="AG74" s="67"/>
      <c r="AH74" s="68"/>
      <c r="AI74" s="74" t="s">
        <v>25</v>
      </c>
      <c r="AJ74" s="67"/>
      <c r="AK74" s="67"/>
      <c r="AL74" s="67"/>
      <c r="AM74" s="68"/>
      <c r="AN74" s="74" t="s">
        <v>26</v>
      </c>
      <c r="AO74" s="67"/>
      <c r="AP74" s="67"/>
      <c r="AQ74" s="67"/>
      <c r="AR74" s="67"/>
      <c r="AS74" s="67"/>
      <c r="AT74" s="67"/>
      <c r="AU74" s="67"/>
      <c r="AV74" s="67"/>
      <c r="AW74" s="68"/>
      <c r="AY74" s="74" t="s">
        <v>23</v>
      </c>
      <c r="AZ74" s="67"/>
      <c r="BA74" s="68"/>
      <c r="BB74" s="74" t="s">
        <v>24</v>
      </c>
      <c r="BC74" s="67"/>
      <c r="BD74" s="67"/>
      <c r="BE74" s="67"/>
      <c r="BF74" s="68"/>
      <c r="BG74" s="74" t="s">
        <v>25</v>
      </c>
      <c r="BH74" s="67"/>
      <c r="BI74" s="67"/>
      <c r="BJ74" s="67"/>
      <c r="BK74" s="68"/>
      <c r="BL74" s="74" t="s">
        <v>26</v>
      </c>
      <c r="BM74" s="67"/>
      <c r="BN74" s="67"/>
      <c r="BO74" s="67"/>
      <c r="BP74" s="67"/>
      <c r="BQ74" s="67"/>
      <c r="BR74" s="67"/>
      <c r="BS74" s="67"/>
      <c r="BT74" s="67"/>
      <c r="BU74" s="68"/>
      <c r="BW74" s="74" t="s">
        <v>23</v>
      </c>
      <c r="BX74" s="67"/>
      <c r="BY74" s="68"/>
      <c r="BZ74" s="74" t="s">
        <v>24</v>
      </c>
      <c r="CA74" s="67"/>
      <c r="CB74" s="67"/>
      <c r="CC74" s="67"/>
      <c r="CD74" s="68"/>
      <c r="CE74" s="74" t="s">
        <v>25</v>
      </c>
      <c r="CF74" s="67"/>
      <c r="CG74" s="67"/>
      <c r="CH74" s="67"/>
      <c r="CI74" s="68"/>
      <c r="CJ74" s="74" t="s">
        <v>26</v>
      </c>
      <c r="CK74" s="67"/>
      <c r="CL74" s="67"/>
      <c r="CM74" s="67"/>
      <c r="CN74" s="67"/>
      <c r="CO74" s="67"/>
      <c r="CP74" s="67"/>
      <c r="CQ74" s="67"/>
      <c r="CR74" s="67"/>
      <c r="CS74" s="68"/>
    </row>
    <row r="75" ht="15.75" customHeight="1">
      <c r="C75" s="72">
        <v>1.0</v>
      </c>
      <c r="D75" s="67"/>
      <c r="E75" s="68"/>
      <c r="F75" s="75">
        <v>100.0</v>
      </c>
      <c r="G75" s="67"/>
      <c r="H75" s="67"/>
      <c r="I75" s="67"/>
      <c r="J75" s="68"/>
      <c r="K75" s="76">
        <v>16.0</v>
      </c>
      <c r="L75" s="67"/>
      <c r="M75" s="67"/>
      <c r="N75" s="67"/>
      <c r="O75" s="68"/>
      <c r="P75" s="77">
        <f>IF(AND(X73&lt;&gt;"",F75&lt;&gt;"",K75&lt;&gt;""),IFERROR(K75/(100-((F75/X73)*100)),""),"")</f>
        <v>0.3885714286</v>
      </c>
      <c r="Q75" s="67"/>
      <c r="R75" s="67"/>
      <c r="S75" s="67"/>
      <c r="T75" s="67"/>
      <c r="U75" s="67"/>
      <c r="V75" s="67"/>
      <c r="W75" s="67"/>
      <c r="X75" s="67"/>
      <c r="Y75" s="68"/>
      <c r="AA75" s="72">
        <v>1.0</v>
      </c>
      <c r="AB75" s="67"/>
      <c r="AC75" s="68"/>
      <c r="AD75" s="75"/>
      <c r="AE75" s="67"/>
      <c r="AF75" s="67"/>
      <c r="AG75" s="67"/>
      <c r="AH75" s="68"/>
      <c r="AI75" s="76"/>
      <c r="AJ75" s="67"/>
      <c r="AK75" s="67"/>
      <c r="AL75" s="67"/>
      <c r="AM75" s="68"/>
      <c r="AN75" s="77" t="str">
        <f>IF(AND(AV73&lt;&gt;"",AD75&lt;&gt;"",AI75&lt;&gt;""),IFERROR(AI75/(100-((AD75/AV73)*100)),""),"")</f>
        <v/>
      </c>
      <c r="AO75" s="67"/>
      <c r="AP75" s="67"/>
      <c r="AQ75" s="67"/>
      <c r="AR75" s="67"/>
      <c r="AS75" s="67"/>
      <c r="AT75" s="67"/>
      <c r="AU75" s="67"/>
      <c r="AV75" s="67"/>
      <c r="AW75" s="68"/>
      <c r="AY75" s="72">
        <v>1.0</v>
      </c>
      <c r="AZ75" s="67"/>
      <c r="BA75" s="68"/>
      <c r="BB75" s="75"/>
      <c r="BC75" s="67"/>
      <c r="BD75" s="67"/>
      <c r="BE75" s="67"/>
      <c r="BF75" s="68"/>
      <c r="BG75" s="76"/>
      <c r="BH75" s="67"/>
      <c r="BI75" s="67"/>
      <c r="BJ75" s="67"/>
      <c r="BK75" s="68"/>
      <c r="BL75" s="77" t="str">
        <f>IF(AND(BT73&lt;&gt;"",BB75&lt;&gt;"",BG75&lt;&gt;""),IFERROR(BG75/(100-((BB75/BT73)*100)),""),"")</f>
        <v/>
      </c>
      <c r="BM75" s="67"/>
      <c r="BN75" s="67"/>
      <c r="BO75" s="67"/>
      <c r="BP75" s="67"/>
      <c r="BQ75" s="67"/>
      <c r="BR75" s="67"/>
      <c r="BS75" s="67"/>
      <c r="BT75" s="67"/>
      <c r="BU75" s="68"/>
      <c r="BW75" s="72">
        <v>1.0</v>
      </c>
      <c r="BX75" s="67"/>
      <c r="BY75" s="68"/>
      <c r="BZ75" s="75"/>
      <c r="CA75" s="67"/>
      <c r="CB75" s="67"/>
      <c r="CC75" s="67"/>
      <c r="CD75" s="68"/>
      <c r="CE75" s="76"/>
      <c r="CF75" s="67"/>
      <c r="CG75" s="67"/>
      <c r="CH75" s="67"/>
      <c r="CI75" s="68"/>
      <c r="CJ75" s="77" t="str">
        <f>IF(AND(CR73&lt;&gt;"",BZ75&lt;&gt;"",CE75&lt;&gt;""),IFERROR(CE75/(100-((BZ75/CR73)*100)),""),"")</f>
        <v/>
      </c>
      <c r="CK75" s="67"/>
      <c r="CL75" s="67"/>
      <c r="CM75" s="67"/>
      <c r="CN75" s="67"/>
      <c r="CO75" s="67"/>
      <c r="CP75" s="67"/>
      <c r="CQ75" s="67"/>
      <c r="CR75" s="67"/>
      <c r="CS75" s="68"/>
    </row>
    <row r="76" ht="15.75" customHeight="1">
      <c r="C76" s="72">
        <v>2.0</v>
      </c>
      <c r="D76" s="67"/>
      <c r="E76" s="68"/>
      <c r="F76" s="75">
        <v>100.0</v>
      </c>
      <c r="G76" s="67"/>
      <c r="H76" s="67"/>
      <c r="I76" s="67"/>
      <c r="J76" s="68"/>
      <c r="K76" s="76">
        <v>14.0</v>
      </c>
      <c r="L76" s="67"/>
      <c r="M76" s="67"/>
      <c r="N76" s="67"/>
      <c r="O76" s="68"/>
      <c r="P76" s="77">
        <f>IF(AND(X73&lt;&gt;"",F76&lt;&gt;"",K76&lt;&gt;""),IFERROR(K76/(100-((F76/X73)*100)),""),"")</f>
        <v>0.34</v>
      </c>
      <c r="Q76" s="67"/>
      <c r="R76" s="67"/>
      <c r="S76" s="67"/>
      <c r="T76" s="67"/>
      <c r="U76" s="67"/>
      <c r="V76" s="67"/>
      <c r="W76" s="67"/>
      <c r="X76" s="67"/>
      <c r="Y76" s="68"/>
      <c r="AA76" s="72">
        <v>2.0</v>
      </c>
      <c r="AB76" s="67"/>
      <c r="AC76" s="68"/>
      <c r="AD76" s="75"/>
      <c r="AE76" s="67"/>
      <c r="AF76" s="67"/>
      <c r="AG76" s="67"/>
      <c r="AH76" s="68"/>
      <c r="AI76" s="76"/>
      <c r="AJ76" s="67"/>
      <c r="AK76" s="67"/>
      <c r="AL76" s="67"/>
      <c r="AM76" s="68"/>
      <c r="AN76" s="77" t="str">
        <f>IF(AND(AV73&lt;&gt;"",AD76&lt;&gt;"",AI76&lt;&gt;""),IFERROR(AI76/(100-((AD76/AV73)*100)),""),"")</f>
        <v/>
      </c>
      <c r="AO76" s="67"/>
      <c r="AP76" s="67"/>
      <c r="AQ76" s="67"/>
      <c r="AR76" s="67"/>
      <c r="AS76" s="67"/>
      <c r="AT76" s="67"/>
      <c r="AU76" s="67"/>
      <c r="AV76" s="67"/>
      <c r="AW76" s="68"/>
      <c r="AY76" s="72">
        <v>2.0</v>
      </c>
      <c r="AZ76" s="67"/>
      <c r="BA76" s="68"/>
      <c r="BB76" s="75"/>
      <c r="BC76" s="67"/>
      <c r="BD76" s="67"/>
      <c r="BE76" s="67"/>
      <c r="BF76" s="68"/>
      <c r="BG76" s="76"/>
      <c r="BH76" s="67"/>
      <c r="BI76" s="67"/>
      <c r="BJ76" s="67"/>
      <c r="BK76" s="68"/>
      <c r="BL76" s="77" t="str">
        <f>IF(AND(BT73&lt;&gt;"",BB76&lt;&gt;"",BG76&lt;&gt;""),IFERROR(BG76/(100-((BB76/BT73)*100)),""),"")</f>
        <v/>
      </c>
      <c r="BM76" s="67"/>
      <c r="BN76" s="67"/>
      <c r="BO76" s="67"/>
      <c r="BP76" s="67"/>
      <c r="BQ76" s="67"/>
      <c r="BR76" s="67"/>
      <c r="BS76" s="67"/>
      <c r="BT76" s="67"/>
      <c r="BU76" s="68"/>
      <c r="BW76" s="72">
        <v>2.0</v>
      </c>
      <c r="BX76" s="67"/>
      <c r="BY76" s="68"/>
      <c r="BZ76" s="75"/>
      <c r="CA76" s="67"/>
      <c r="CB76" s="67"/>
      <c r="CC76" s="67"/>
      <c r="CD76" s="68"/>
      <c r="CE76" s="76"/>
      <c r="CF76" s="67"/>
      <c r="CG76" s="67"/>
      <c r="CH76" s="67"/>
      <c r="CI76" s="68"/>
      <c r="CJ76" s="77" t="str">
        <f>IF(AND(CR73&lt;&gt;"",BZ76&lt;&gt;"",CE76&lt;&gt;""),IFERROR(CE76/(100-((BZ76/CR73)*100)),""),"")</f>
        <v/>
      </c>
      <c r="CK76" s="67"/>
      <c r="CL76" s="67"/>
      <c r="CM76" s="67"/>
      <c r="CN76" s="67"/>
      <c r="CO76" s="67"/>
      <c r="CP76" s="67"/>
      <c r="CQ76" s="67"/>
      <c r="CR76" s="67"/>
      <c r="CS76" s="68"/>
    </row>
    <row r="77" ht="15.75" customHeight="1">
      <c r="C77" s="72">
        <v>3.0</v>
      </c>
      <c r="D77" s="67"/>
      <c r="E77" s="68"/>
      <c r="F77" s="75">
        <v>100.0</v>
      </c>
      <c r="G77" s="67"/>
      <c r="H77" s="67"/>
      <c r="I77" s="67"/>
      <c r="J77" s="68"/>
      <c r="K77" s="76">
        <v>14.0</v>
      </c>
      <c r="L77" s="67"/>
      <c r="M77" s="67"/>
      <c r="N77" s="67"/>
      <c r="O77" s="68"/>
      <c r="P77" s="77">
        <f>IF(AND(X73&lt;&gt;"",F77&lt;&gt;"",K77&lt;&gt;""),IFERROR(K77/(100-((F77/X73)*100)),""),"")</f>
        <v>0.34</v>
      </c>
      <c r="Q77" s="67"/>
      <c r="R77" s="67"/>
      <c r="S77" s="67"/>
      <c r="T77" s="67"/>
      <c r="U77" s="67"/>
      <c r="V77" s="67"/>
      <c r="W77" s="67"/>
      <c r="X77" s="67"/>
      <c r="Y77" s="68"/>
      <c r="AA77" s="72">
        <v>3.0</v>
      </c>
      <c r="AB77" s="67"/>
      <c r="AC77" s="68"/>
      <c r="AD77" s="75"/>
      <c r="AE77" s="67"/>
      <c r="AF77" s="67"/>
      <c r="AG77" s="67"/>
      <c r="AH77" s="68"/>
      <c r="AI77" s="76"/>
      <c r="AJ77" s="67"/>
      <c r="AK77" s="67"/>
      <c r="AL77" s="67"/>
      <c r="AM77" s="68"/>
      <c r="AN77" s="77" t="str">
        <f>IF(AND(AV73&lt;&gt;"",AD77&lt;&gt;"",AI77&lt;&gt;""),IFERROR(AI77/(100-((AD77/AV73)*100)),""),"")</f>
        <v/>
      </c>
      <c r="AO77" s="67"/>
      <c r="AP77" s="67"/>
      <c r="AQ77" s="67"/>
      <c r="AR77" s="67"/>
      <c r="AS77" s="67"/>
      <c r="AT77" s="67"/>
      <c r="AU77" s="67"/>
      <c r="AV77" s="67"/>
      <c r="AW77" s="68"/>
      <c r="AY77" s="72">
        <v>3.0</v>
      </c>
      <c r="AZ77" s="67"/>
      <c r="BA77" s="68"/>
      <c r="BB77" s="75"/>
      <c r="BC77" s="67"/>
      <c r="BD77" s="67"/>
      <c r="BE77" s="67"/>
      <c r="BF77" s="68"/>
      <c r="BG77" s="76"/>
      <c r="BH77" s="67"/>
      <c r="BI77" s="67"/>
      <c r="BJ77" s="67"/>
      <c r="BK77" s="68"/>
      <c r="BL77" s="77" t="str">
        <f>IF(AND(BT73&lt;&gt;"",BB77&lt;&gt;"",BG77&lt;&gt;""),IFERROR(BG77/(100-((BB77/BT73)*100)),""),"")</f>
        <v/>
      </c>
      <c r="BM77" s="67"/>
      <c r="BN77" s="67"/>
      <c r="BO77" s="67"/>
      <c r="BP77" s="67"/>
      <c r="BQ77" s="67"/>
      <c r="BR77" s="67"/>
      <c r="BS77" s="67"/>
      <c r="BT77" s="67"/>
      <c r="BU77" s="68"/>
      <c r="BW77" s="72">
        <v>3.0</v>
      </c>
      <c r="BX77" s="67"/>
      <c r="BY77" s="68"/>
      <c r="BZ77" s="75"/>
      <c r="CA77" s="67"/>
      <c r="CB77" s="67"/>
      <c r="CC77" s="67"/>
      <c r="CD77" s="68"/>
      <c r="CE77" s="76"/>
      <c r="CF77" s="67"/>
      <c r="CG77" s="67"/>
      <c r="CH77" s="67"/>
      <c r="CI77" s="68"/>
      <c r="CJ77" s="77" t="str">
        <f>IF(AND(CR73&lt;&gt;"",BZ77&lt;&gt;"",CE77&lt;&gt;""),IFERROR(CE77/(100-((BZ77/CR73)*100)),""),"")</f>
        <v/>
      </c>
      <c r="CK77" s="67"/>
      <c r="CL77" s="67"/>
      <c r="CM77" s="67"/>
      <c r="CN77" s="67"/>
      <c r="CO77" s="67"/>
      <c r="CP77" s="67"/>
      <c r="CQ77" s="67"/>
      <c r="CR77" s="67"/>
      <c r="CS77" s="68"/>
    </row>
    <row r="78" ht="15.75" customHeight="1">
      <c r="C78" s="72">
        <v>4.0</v>
      </c>
      <c r="D78" s="67"/>
      <c r="E78" s="68"/>
      <c r="F78" s="75"/>
      <c r="G78" s="67"/>
      <c r="H78" s="67"/>
      <c r="I78" s="67"/>
      <c r="J78" s="68"/>
      <c r="K78" s="76"/>
      <c r="L78" s="67"/>
      <c r="M78" s="67"/>
      <c r="N78" s="67"/>
      <c r="O78" s="68"/>
      <c r="P78" s="77" t="str">
        <f>IF(AND(X73&lt;&gt;"",F78&lt;&gt;"",K78&lt;&gt;""),IFERROR(K78/(100-((F78/X73)*100)),""),"")</f>
        <v/>
      </c>
      <c r="Q78" s="67"/>
      <c r="R78" s="67"/>
      <c r="S78" s="67"/>
      <c r="T78" s="67"/>
      <c r="U78" s="67"/>
      <c r="V78" s="67"/>
      <c r="W78" s="67"/>
      <c r="X78" s="67"/>
      <c r="Y78" s="68"/>
      <c r="AA78" s="72">
        <v>4.0</v>
      </c>
      <c r="AB78" s="67"/>
      <c r="AC78" s="68"/>
      <c r="AD78" s="75"/>
      <c r="AE78" s="67"/>
      <c r="AF78" s="67"/>
      <c r="AG78" s="67"/>
      <c r="AH78" s="68"/>
      <c r="AI78" s="76"/>
      <c r="AJ78" s="67"/>
      <c r="AK78" s="67"/>
      <c r="AL78" s="67"/>
      <c r="AM78" s="68"/>
      <c r="AN78" s="77" t="str">
        <f>IF(AND(AV73&lt;&gt;"",AD78&lt;&gt;"",AI78&lt;&gt;""),IFERROR(AI78/(100-((AD78/AV73)*100)),""),"")</f>
        <v/>
      </c>
      <c r="AO78" s="67"/>
      <c r="AP78" s="67"/>
      <c r="AQ78" s="67"/>
      <c r="AR78" s="67"/>
      <c r="AS78" s="67"/>
      <c r="AT78" s="67"/>
      <c r="AU78" s="67"/>
      <c r="AV78" s="67"/>
      <c r="AW78" s="68"/>
      <c r="AY78" s="72">
        <v>4.0</v>
      </c>
      <c r="AZ78" s="67"/>
      <c r="BA78" s="68"/>
      <c r="BB78" s="75"/>
      <c r="BC78" s="67"/>
      <c r="BD78" s="67"/>
      <c r="BE78" s="67"/>
      <c r="BF78" s="68"/>
      <c r="BG78" s="76"/>
      <c r="BH78" s="67"/>
      <c r="BI78" s="67"/>
      <c r="BJ78" s="67"/>
      <c r="BK78" s="68"/>
      <c r="BL78" s="77" t="str">
        <f>IF(AND(BT73&lt;&gt;"",BB78&lt;&gt;"",BG78&lt;&gt;""),IFERROR(BG78/(100-((BB78/BT73)*100)),""),"")</f>
        <v/>
      </c>
      <c r="BM78" s="67"/>
      <c r="BN78" s="67"/>
      <c r="BO78" s="67"/>
      <c r="BP78" s="67"/>
      <c r="BQ78" s="67"/>
      <c r="BR78" s="67"/>
      <c r="BS78" s="67"/>
      <c r="BT78" s="67"/>
      <c r="BU78" s="68"/>
      <c r="BW78" s="72">
        <v>4.0</v>
      </c>
      <c r="BX78" s="67"/>
      <c r="BY78" s="68"/>
      <c r="BZ78" s="75"/>
      <c r="CA78" s="67"/>
      <c r="CB78" s="67"/>
      <c r="CC78" s="67"/>
      <c r="CD78" s="68"/>
      <c r="CE78" s="76"/>
      <c r="CF78" s="67"/>
      <c r="CG78" s="67"/>
      <c r="CH78" s="67"/>
      <c r="CI78" s="68"/>
      <c r="CJ78" s="77" t="str">
        <f>IF(AND(CR73&lt;&gt;"",BZ78&lt;&gt;"",CE78&lt;&gt;""),IFERROR(CE78/(100-((BZ78/CR73)*100)),""),"")</f>
        <v/>
      </c>
      <c r="CK78" s="67"/>
      <c r="CL78" s="67"/>
      <c r="CM78" s="67"/>
      <c r="CN78" s="67"/>
      <c r="CO78" s="67"/>
      <c r="CP78" s="67"/>
      <c r="CQ78" s="67"/>
      <c r="CR78" s="67"/>
      <c r="CS78" s="68"/>
    </row>
    <row r="79" ht="15.75" customHeight="1">
      <c r="C79" s="72">
        <v>5.0</v>
      </c>
      <c r="D79" s="67"/>
      <c r="E79" s="68"/>
      <c r="F79" s="75"/>
      <c r="G79" s="67"/>
      <c r="H79" s="67"/>
      <c r="I79" s="67"/>
      <c r="J79" s="68"/>
      <c r="K79" s="76"/>
      <c r="L79" s="67"/>
      <c r="M79" s="67"/>
      <c r="N79" s="67"/>
      <c r="O79" s="68"/>
      <c r="P79" s="77" t="str">
        <f>IF(AND(X73&lt;&gt;"",F79&lt;&gt;"",K79&lt;&gt;""),IFERROR(K79/(100-((F79/X73)*100)),""),"")</f>
        <v/>
      </c>
      <c r="Q79" s="67"/>
      <c r="R79" s="67"/>
      <c r="S79" s="67"/>
      <c r="T79" s="67"/>
      <c r="U79" s="67"/>
      <c r="V79" s="67"/>
      <c r="W79" s="67"/>
      <c r="X79" s="67"/>
      <c r="Y79" s="68"/>
      <c r="AA79" s="72">
        <v>5.0</v>
      </c>
      <c r="AB79" s="67"/>
      <c r="AC79" s="68"/>
      <c r="AD79" s="75"/>
      <c r="AE79" s="67"/>
      <c r="AF79" s="67"/>
      <c r="AG79" s="67"/>
      <c r="AH79" s="68"/>
      <c r="AI79" s="76"/>
      <c r="AJ79" s="67"/>
      <c r="AK79" s="67"/>
      <c r="AL79" s="67"/>
      <c r="AM79" s="68"/>
      <c r="AN79" s="77" t="str">
        <f>IF(AND(AV73&lt;&gt;"",AD79&lt;&gt;"",AI79&lt;&gt;""),IFERROR(AI79/(100-((AD79/AV73)*100)),""),"")</f>
        <v/>
      </c>
      <c r="AO79" s="67"/>
      <c r="AP79" s="67"/>
      <c r="AQ79" s="67"/>
      <c r="AR79" s="67"/>
      <c r="AS79" s="67"/>
      <c r="AT79" s="67"/>
      <c r="AU79" s="67"/>
      <c r="AV79" s="67"/>
      <c r="AW79" s="68"/>
      <c r="AY79" s="72">
        <v>5.0</v>
      </c>
      <c r="AZ79" s="67"/>
      <c r="BA79" s="68"/>
      <c r="BB79" s="75"/>
      <c r="BC79" s="67"/>
      <c r="BD79" s="67"/>
      <c r="BE79" s="67"/>
      <c r="BF79" s="68"/>
      <c r="BG79" s="76"/>
      <c r="BH79" s="67"/>
      <c r="BI79" s="67"/>
      <c r="BJ79" s="67"/>
      <c r="BK79" s="68"/>
      <c r="BL79" s="77" t="str">
        <f>IF(AND(BT73&lt;&gt;"",BB79&lt;&gt;"",BG79&lt;&gt;""),IFERROR(BG79/(100-((BB79/BT73)*100)),""),"")</f>
        <v/>
      </c>
      <c r="BM79" s="67"/>
      <c r="BN79" s="67"/>
      <c r="BO79" s="67"/>
      <c r="BP79" s="67"/>
      <c r="BQ79" s="67"/>
      <c r="BR79" s="67"/>
      <c r="BS79" s="67"/>
      <c r="BT79" s="67"/>
      <c r="BU79" s="68"/>
      <c r="BW79" s="72">
        <v>5.0</v>
      </c>
      <c r="BX79" s="67"/>
      <c r="BY79" s="68"/>
      <c r="BZ79" s="75"/>
      <c r="CA79" s="67"/>
      <c r="CB79" s="67"/>
      <c r="CC79" s="67"/>
      <c r="CD79" s="68"/>
      <c r="CE79" s="76"/>
      <c r="CF79" s="67"/>
      <c r="CG79" s="67"/>
      <c r="CH79" s="67"/>
      <c r="CI79" s="68"/>
      <c r="CJ79" s="77" t="str">
        <f>IF(AND(CR73&lt;&gt;"",BZ79&lt;&gt;"",CE79&lt;&gt;""),IFERROR(CE79/(100-((BZ79/CR73)*100)),""),"")</f>
        <v/>
      </c>
      <c r="CK79" s="67"/>
      <c r="CL79" s="67"/>
      <c r="CM79" s="67"/>
      <c r="CN79" s="67"/>
      <c r="CO79" s="67"/>
      <c r="CP79" s="67"/>
      <c r="CQ79" s="67"/>
      <c r="CR79" s="67"/>
      <c r="CS79" s="68"/>
    </row>
    <row r="80" ht="15.75" customHeight="1">
      <c r="C80" s="72">
        <v>6.0</v>
      </c>
      <c r="D80" s="67"/>
      <c r="E80" s="68"/>
      <c r="F80" s="75"/>
      <c r="G80" s="67"/>
      <c r="H80" s="67"/>
      <c r="I80" s="67"/>
      <c r="J80" s="68"/>
      <c r="K80" s="76"/>
      <c r="L80" s="67"/>
      <c r="M80" s="67"/>
      <c r="N80" s="67"/>
      <c r="O80" s="68"/>
      <c r="P80" s="77" t="str">
        <f>IF(AND(X73&lt;&gt;"",F80&lt;&gt;"",K80&lt;&gt;""),IFERROR(K80/(100-((F80/X73)*100)),""),"")</f>
        <v/>
      </c>
      <c r="Q80" s="67"/>
      <c r="R80" s="67"/>
      <c r="S80" s="67"/>
      <c r="T80" s="67"/>
      <c r="U80" s="67"/>
      <c r="V80" s="67"/>
      <c r="W80" s="67"/>
      <c r="X80" s="67"/>
      <c r="Y80" s="68"/>
      <c r="AA80" s="78"/>
      <c r="AB80" s="79">
        <v>6.0</v>
      </c>
      <c r="AC80" s="80"/>
      <c r="AD80" s="75"/>
      <c r="AE80" s="67"/>
      <c r="AF80" s="67"/>
      <c r="AG80" s="67"/>
      <c r="AH80" s="68"/>
      <c r="AI80" s="76"/>
      <c r="AJ80" s="67"/>
      <c r="AK80" s="67"/>
      <c r="AL80" s="67"/>
      <c r="AM80" s="68"/>
      <c r="AN80" s="77" t="str">
        <f>IF(AND(AV73&lt;&gt;"",AD80&lt;&gt;"",AI80&lt;&gt;""),IFERROR(AI80/(100-((AD80/AV73)*100)),""),"")</f>
        <v/>
      </c>
      <c r="AO80" s="67"/>
      <c r="AP80" s="67"/>
      <c r="AQ80" s="67"/>
      <c r="AR80" s="67"/>
      <c r="AS80" s="67"/>
      <c r="AT80" s="67"/>
      <c r="AU80" s="67"/>
      <c r="AV80" s="67"/>
      <c r="AW80" s="68"/>
      <c r="AY80" s="78"/>
      <c r="AZ80" s="79">
        <v>6.0</v>
      </c>
      <c r="BA80" s="80"/>
      <c r="BB80" s="75"/>
      <c r="BC80" s="67"/>
      <c r="BD80" s="67"/>
      <c r="BE80" s="67"/>
      <c r="BF80" s="68"/>
      <c r="BG80" s="76"/>
      <c r="BH80" s="67"/>
      <c r="BI80" s="67"/>
      <c r="BJ80" s="67"/>
      <c r="BK80" s="68"/>
      <c r="BL80" s="77" t="str">
        <f>IF(AND(BT73&lt;&gt;"",BB80&lt;&gt;"",BG80&lt;&gt;""),IFERROR(BG80/(100-((BB80/BT73)*100)),""),"")</f>
        <v/>
      </c>
      <c r="BM80" s="67"/>
      <c r="BN80" s="67"/>
      <c r="BO80" s="67"/>
      <c r="BP80" s="67"/>
      <c r="BQ80" s="67"/>
      <c r="BR80" s="67"/>
      <c r="BS80" s="67"/>
      <c r="BT80" s="67"/>
      <c r="BU80" s="68"/>
      <c r="BW80" s="78"/>
      <c r="BX80" s="79">
        <v>6.0</v>
      </c>
      <c r="BY80" s="80"/>
      <c r="BZ80" s="75"/>
      <c r="CA80" s="67"/>
      <c r="CB80" s="67"/>
      <c r="CC80" s="67"/>
      <c r="CD80" s="68"/>
      <c r="CE80" s="76"/>
      <c r="CF80" s="67"/>
      <c r="CG80" s="67"/>
      <c r="CH80" s="67"/>
      <c r="CI80" s="68"/>
      <c r="CJ80" s="77" t="str">
        <f>IF(AND(CR73&lt;&gt;"",BZ80&lt;&gt;"",CE80&lt;&gt;""),IFERROR(CE80/(100-((BZ80/CR73)*100)),""),"")</f>
        <v/>
      </c>
      <c r="CK80" s="67"/>
      <c r="CL80" s="67"/>
      <c r="CM80" s="67"/>
      <c r="CN80" s="67"/>
      <c r="CO80" s="67"/>
      <c r="CP80" s="67"/>
      <c r="CQ80" s="67"/>
      <c r="CR80" s="67"/>
      <c r="CS80" s="68"/>
    </row>
    <row r="81" ht="15.75" customHeight="1">
      <c r="C81" s="72" t="s">
        <v>31</v>
      </c>
      <c r="D81" s="67"/>
      <c r="E81" s="68"/>
      <c r="F81" s="77">
        <f>IFERROR(AVERAGE(F75:J79),"")</f>
        <v>100</v>
      </c>
      <c r="G81" s="67"/>
      <c r="H81" s="67"/>
      <c r="I81" s="67"/>
      <c r="J81" s="68"/>
      <c r="K81" s="71">
        <f>IFERROR(AVERAGE(K75:O79),"")</f>
        <v>14.66666667</v>
      </c>
      <c r="L81" s="67"/>
      <c r="M81" s="67"/>
      <c r="N81" s="67"/>
      <c r="O81" s="68"/>
      <c r="P81" s="77">
        <f>IFERROR(AVERAGE(P75:Y79),"")</f>
        <v>0.3561904762</v>
      </c>
      <c r="Q81" s="67"/>
      <c r="R81" s="67"/>
      <c r="S81" s="67"/>
      <c r="T81" s="67"/>
      <c r="U81" s="67"/>
      <c r="V81" s="67"/>
      <c r="W81" s="67"/>
      <c r="X81" s="67"/>
      <c r="Y81" s="68"/>
      <c r="AA81" s="72" t="s">
        <v>31</v>
      </c>
      <c r="AB81" s="67"/>
      <c r="AC81" s="68"/>
      <c r="AD81" s="77" t="str">
        <f>IFERROR(AVERAGE(AD75:AH79),"")</f>
        <v/>
      </c>
      <c r="AE81" s="67"/>
      <c r="AF81" s="67"/>
      <c r="AG81" s="67"/>
      <c r="AH81" s="68"/>
      <c r="AI81" s="71" t="str">
        <f>IFERROR(AVERAGE(AI75:AM79),"")</f>
        <v/>
      </c>
      <c r="AJ81" s="67"/>
      <c r="AK81" s="67"/>
      <c r="AL81" s="67"/>
      <c r="AM81" s="68"/>
      <c r="AN81" s="77" t="str">
        <f>IFERROR(AVERAGE(AN75:AW79),"")</f>
        <v/>
      </c>
      <c r="AO81" s="67"/>
      <c r="AP81" s="67"/>
      <c r="AQ81" s="67"/>
      <c r="AR81" s="67"/>
      <c r="AS81" s="67"/>
      <c r="AT81" s="67"/>
      <c r="AU81" s="67"/>
      <c r="AV81" s="67"/>
      <c r="AW81" s="68"/>
      <c r="AY81" s="72" t="s">
        <v>31</v>
      </c>
      <c r="AZ81" s="67"/>
      <c r="BA81" s="68"/>
      <c r="BB81" s="77" t="str">
        <f>IFERROR(AVERAGE(BB75:BF79),"")</f>
        <v/>
      </c>
      <c r="BC81" s="67"/>
      <c r="BD81" s="67"/>
      <c r="BE81" s="67"/>
      <c r="BF81" s="68"/>
      <c r="BG81" s="71" t="str">
        <f>IFERROR(AVERAGE(BG75:BK79),"")</f>
        <v/>
      </c>
      <c r="BH81" s="67"/>
      <c r="BI81" s="67"/>
      <c r="BJ81" s="67"/>
      <c r="BK81" s="68"/>
      <c r="BL81" s="77" t="str">
        <f>IFERROR(AVERAGE(BL75:BU79),"")</f>
        <v/>
      </c>
      <c r="BM81" s="67"/>
      <c r="BN81" s="67"/>
      <c r="BO81" s="67"/>
      <c r="BP81" s="67"/>
      <c r="BQ81" s="67"/>
      <c r="BR81" s="67"/>
      <c r="BS81" s="67"/>
      <c r="BT81" s="67"/>
      <c r="BU81" s="68"/>
      <c r="BW81" s="72" t="s">
        <v>31</v>
      </c>
      <c r="BX81" s="67"/>
      <c r="BY81" s="68"/>
      <c r="BZ81" s="77" t="str">
        <f>IFERROR(AVERAGE(BZ75:CD79),"")</f>
        <v/>
      </c>
      <c r="CA81" s="67"/>
      <c r="CB81" s="67"/>
      <c r="CC81" s="67"/>
      <c r="CD81" s="68"/>
      <c r="CE81" s="71" t="str">
        <f>IFERROR(AVERAGE(CE75:CI79),"")</f>
        <v/>
      </c>
      <c r="CF81" s="67"/>
      <c r="CG81" s="67"/>
      <c r="CH81" s="67"/>
      <c r="CI81" s="68"/>
      <c r="CJ81" s="77" t="str">
        <f>IFERROR(AVERAGE(CJ75:CS79),"")</f>
        <v/>
      </c>
      <c r="CK81" s="67"/>
      <c r="CL81" s="67"/>
      <c r="CM81" s="67"/>
      <c r="CN81" s="67"/>
      <c r="CO81" s="67"/>
      <c r="CP81" s="67"/>
      <c r="CQ81" s="67"/>
      <c r="CR81" s="67"/>
      <c r="CS81" s="68"/>
    </row>
    <row r="82" ht="30.0" customHeight="1">
      <c r="C82" s="81" t="s">
        <v>42</v>
      </c>
      <c r="D82" s="67"/>
      <c r="E82" s="68"/>
      <c r="F82" s="77">
        <f>IFERROR(SUM(F75:J79),"")</f>
        <v>300</v>
      </c>
      <c r="G82" s="67"/>
      <c r="H82" s="67"/>
      <c r="I82" s="67"/>
      <c r="J82" s="68"/>
      <c r="K82" s="71">
        <f>IFERROR(SUM(K75:O79),"")</f>
        <v>44</v>
      </c>
      <c r="L82" s="67"/>
      <c r="M82" s="67"/>
      <c r="N82" s="67"/>
      <c r="O82" s="68"/>
      <c r="P82" s="82">
        <f>IFERROR(SUM(P75:Y80),"")</f>
        <v>1.068571429</v>
      </c>
      <c r="Q82" s="67"/>
      <c r="R82" s="67"/>
      <c r="S82" s="67"/>
      <c r="T82" s="67"/>
      <c r="U82" s="67"/>
      <c r="V82" s="67"/>
      <c r="W82" s="67"/>
      <c r="X82" s="67"/>
      <c r="Y82" s="68"/>
      <c r="AA82" s="81" t="s">
        <v>42</v>
      </c>
      <c r="AB82" s="67"/>
      <c r="AC82" s="68"/>
      <c r="AD82" s="77">
        <f>IFERROR(SUM(AD75:AH79),"")</f>
        <v>0</v>
      </c>
      <c r="AE82" s="67"/>
      <c r="AF82" s="67"/>
      <c r="AG82" s="67"/>
      <c r="AH82" s="68"/>
      <c r="AI82" s="71">
        <f>IFERROR(SUM(AI75:AM79),"")</f>
        <v>0</v>
      </c>
      <c r="AJ82" s="67"/>
      <c r="AK82" s="67"/>
      <c r="AL82" s="67"/>
      <c r="AM82" s="68"/>
      <c r="AN82" s="82">
        <f>IFERROR(SUM(AN75:AW80),"")</f>
        <v>0</v>
      </c>
      <c r="AO82" s="67"/>
      <c r="AP82" s="67"/>
      <c r="AQ82" s="67"/>
      <c r="AR82" s="67"/>
      <c r="AS82" s="67"/>
      <c r="AT82" s="67"/>
      <c r="AU82" s="67"/>
      <c r="AV82" s="67"/>
      <c r="AW82" s="68"/>
      <c r="AY82" s="81" t="s">
        <v>42</v>
      </c>
      <c r="AZ82" s="67"/>
      <c r="BA82" s="68"/>
      <c r="BB82" s="77">
        <f>IFERROR(SUM(BB75:BF79),"")</f>
        <v>0</v>
      </c>
      <c r="BC82" s="67"/>
      <c r="BD82" s="67"/>
      <c r="BE82" s="67"/>
      <c r="BF82" s="68"/>
      <c r="BG82" s="71">
        <f>IFERROR(SUM(BG75:BK79),"")</f>
        <v>0</v>
      </c>
      <c r="BH82" s="67"/>
      <c r="BI82" s="67"/>
      <c r="BJ82" s="67"/>
      <c r="BK82" s="68"/>
      <c r="BL82" s="82">
        <f>IFERROR(SUM(BL75:BU80),"")</f>
        <v>0</v>
      </c>
      <c r="BM82" s="67"/>
      <c r="BN82" s="67"/>
      <c r="BO82" s="67"/>
      <c r="BP82" s="67"/>
      <c r="BQ82" s="67"/>
      <c r="BR82" s="67"/>
      <c r="BS82" s="67"/>
      <c r="BT82" s="67"/>
      <c r="BU82" s="68"/>
      <c r="BW82" s="81" t="s">
        <v>42</v>
      </c>
      <c r="BX82" s="67"/>
      <c r="BY82" s="68"/>
      <c r="BZ82" s="77">
        <f>IFERROR(SUM(BZ75:CD79),"")</f>
        <v>0</v>
      </c>
      <c r="CA82" s="67"/>
      <c r="CB82" s="67"/>
      <c r="CC82" s="67"/>
      <c r="CD82" s="68"/>
      <c r="CE82" s="71">
        <f>IFERROR(SUM(CE75:CI79),"")</f>
        <v>0</v>
      </c>
      <c r="CF82" s="67"/>
      <c r="CG82" s="67"/>
      <c r="CH82" s="67"/>
      <c r="CI82" s="68"/>
      <c r="CJ82" s="82">
        <f>IFERROR(SUM(CJ75:CS80),"")</f>
        <v>0</v>
      </c>
      <c r="CK82" s="67"/>
      <c r="CL82" s="67"/>
      <c r="CM82" s="67"/>
      <c r="CN82" s="67"/>
      <c r="CO82" s="67"/>
      <c r="CP82" s="67"/>
      <c r="CQ82" s="67"/>
      <c r="CR82" s="67"/>
      <c r="CS82" s="68"/>
    </row>
    <row r="83" ht="15.75" customHeight="1">
      <c r="C83" s="69" t="s">
        <v>7</v>
      </c>
      <c r="D83" s="67"/>
      <c r="E83" s="67"/>
      <c r="F83" s="67"/>
      <c r="G83" s="68"/>
      <c r="H83" s="70" t="s">
        <v>53</v>
      </c>
      <c r="I83" s="67"/>
      <c r="J83" s="67"/>
      <c r="K83" s="67"/>
      <c r="L83" s="68"/>
      <c r="M83" s="71"/>
      <c r="N83" s="67"/>
      <c r="O83" s="67"/>
      <c r="P83" s="67"/>
      <c r="Q83" s="68"/>
      <c r="R83" s="72" t="s">
        <v>9</v>
      </c>
      <c r="S83" s="67"/>
      <c r="T83" s="67"/>
      <c r="U83" s="67"/>
      <c r="V83" s="67"/>
      <c r="W83" s="68"/>
      <c r="X83" s="73">
        <v>100.0</v>
      </c>
      <c r="Y83" s="68"/>
      <c r="AA83" s="69" t="s">
        <v>7</v>
      </c>
      <c r="AB83" s="67"/>
      <c r="AC83" s="67"/>
      <c r="AD83" s="67"/>
      <c r="AE83" s="68"/>
      <c r="AF83" s="70" t="s">
        <v>45</v>
      </c>
      <c r="AG83" s="67"/>
      <c r="AH83" s="67"/>
      <c r="AI83" s="67"/>
      <c r="AJ83" s="68"/>
      <c r="AK83" s="71"/>
      <c r="AL83" s="67"/>
      <c r="AM83" s="67"/>
      <c r="AN83" s="67"/>
      <c r="AO83" s="68"/>
      <c r="AP83" s="72" t="s">
        <v>9</v>
      </c>
      <c r="AQ83" s="67"/>
      <c r="AR83" s="67"/>
      <c r="AS83" s="67"/>
      <c r="AT83" s="67"/>
      <c r="AU83" s="68"/>
      <c r="AV83" s="73">
        <v>90.0</v>
      </c>
      <c r="AW83" s="68"/>
      <c r="AY83" s="69" t="s">
        <v>7</v>
      </c>
      <c r="AZ83" s="67"/>
      <c r="BA83" s="67"/>
      <c r="BB83" s="67"/>
      <c r="BC83" s="68"/>
      <c r="BD83" s="70" t="s">
        <v>45</v>
      </c>
      <c r="BE83" s="67"/>
      <c r="BF83" s="67"/>
      <c r="BG83" s="67"/>
      <c r="BH83" s="68"/>
      <c r="BI83" s="71"/>
      <c r="BJ83" s="67"/>
      <c r="BK83" s="67"/>
      <c r="BL83" s="67"/>
      <c r="BM83" s="68"/>
      <c r="BN83" s="72" t="s">
        <v>9</v>
      </c>
      <c r="BO83" s="67"/>
      <c r="BP83" s="67"/>
      <c r="BQ83" s="67"/>
      <c r="BR83" s="67"/>
      <c r="BS83" s="68"/>
      <c r="BT83" s="73">
        <v>90.0</v>
      </c>
      <c r="BU83" s="68"/>
      <c r="BW83" s="69" t="s">
        <v>7</v>
      </c>
      <c r="BX83" s="67"/>
      <c r="BY83" s="67"/>
      <c r="BZ83" s="67"/>
      <c r="CA83" s="68"/>
      <c r="CB83" s="70" t="s">
        <v>45</v>
      </c>
      <c r="CC83" s="67"/>
      <c r="CD83" s="67"/>
      <c r="CE83" s="67"/>
      <c r="CF83" s="68"/>
      <c r="CG83" s="71"/>
      <c r="CH83" s="67"/>
      <c r="CI83" s="67"/>
      <c r="CJ83" s="67"/>
      <c r="CK83" s="68"/>
      <c r="CL83" s="72" t="s">
        <v>9</v>
      </c>
      <c r="CM83" s="67"/>
      <c r="CN83" s="67"/>
      <c r="CO83" s="67"/>
      <c r="CP83" s="67"/>
      <c r="CQ83" s="68"/>
      <c r="CR83" s="73">
        <v>90.0</v>
      </c>
      <c r="CS83" s="68"/>
    </row>
    <row r="84" ht="15.75" customHeight="1">
      <c r="C84" s="74" t="s">
        <v>23</v>
      </c>
      <c r="D84" s="67"/>
      <c r="E84" s="68"/>
      <c r="F84" s="74" t="s">
        <v>24</v>
      </c>
      <c r="G84" s="67"/>
      <c r="H84" s="67"/>
      <c r="I84" s="67"/>
      <c r="J84" s="68"/>
      <c r="K84" s="74" t="s">
        <v>25</v>
      </c>
      <c r="L84" s="67"/>
      <c r="M84" s="67"/>
      <c r="N84" s="67"/>
      <c r="O84" s="68"/>
      <c r="P84" s="74" t="s">
        <v>26</v>
      </c>
      <c r="Q84" s="67"/>
      <c r="R84" s="67"/>
      <c r="S84" s="67"/>
      <c r="T84" s="67"/>
      <c r="U84" s="67"/>
      <c r="V84" s="67"/>
      <c r="W84" s="67"/>
      <c r="X84" s="67"/>
      <c r="Y84" s="68"/>
      <c r="AA84" s="74" t="s">
        <v>23</v>
      </c>
      <c r="AB84" s="67"/>
      <c r="AC84" s="68"/>
      <c r="AD84" s="74" t="s">
        <v>24</v>
      </c>
      <c r="AE84" s="67"/>
      <c r="AF84" s="67"/>
      <c r="AG84" s="67"/>
      <c r="AH84" s="68"/>
      <c r="AI84" s="74" t="s">
        <v>25</v>
      </c>
      <c r="AJ84" s="67"/>
      <c r="AK84" s="67"/>
      <c r="AL84" s="67"/>
      <c r="AM84" s="68"/>
      <c r="AN84" s="74" t="s">
        <v>26</v>
      </c>
      <c r="AO84" s="67"/>
      <c r="AP84" s="67"/>
      <c r="AQ84" s="67"/>
      <c r="AR84" s="67"/>
      <c r="AS84" s="67"/>
      <c r="AT84" s="67"/>
      <c r="AU84" s="67"/>
      <c r="AV84" s="67"/>
      <c r="AW84" s="68"/>
      <c r="AY84" s="74" t="s">
        <v>23</v>
      </c>
      <c r="AZ84" s="67"/>
      <c r="BA84" s="68"/>
      <c r="BB84" s="74" t="s">
        <v>24</v>
      </c>
      <c r="BC84" s="67"/>
      <c r="BD84" s="67"/>
      <c r="BE84" s="67"/>
      <c r="BF84" s="68"/>
      <c r="BG84" s="74" t="s">
        <v>25</v>
      </c>
      <c r="BH84" s="67"/>
      <c r="BI84" s="67"/>
      <c r="BJ84" s="67"/>
      <c r="BK84" s="68"/>
      <c r="BL84" s="74" t="s">
        <v>26</v>
      </c>
      <c r="BM84" s="67"/>
      <c r="BN84" s="67"/>
      <c r="BO84" s="67"/>
      <c r="BP84" s="67"/>
      <c r="BQ84" s="67"/>
      <c r="BR84" s="67"/>
      <c r="BS84" s="67"/>
      <c r="BT84" s="67"/>
      <c r="BU84" s="68"/>
      <c r="BW84" s="74" t="s">
        <v>23</v>
      </c>
      <c r="BX84" s="67"/>
      <c r="BY84" s="68"/>
      <c r="BZ84" s="74" t="s">
        <v>24</v>
      </c>
      <c r="CA84" s="67"/>
      <c r="CB84" s="67"/>
      <c r="CC84" s="67"/>
      <c r="CD84" s="68"/>
      <c r="CE84" s="74" t="s">
        <v>25</v>
      </c>
      <c r="CF84" s="67"/>
      <c r="CG84" s="67"/>
      <c r="CH84" s="67"/>
      <c r="CI84" s="68"/>
      <c r="CJ84" s="74" t="s">
        <v>26</v>
      </c>
      <c r="CK84" s="67"/>
      <c r="CL84" s="67"/>
      <c r="CM84" s="67"/>
      <c r="CN84" s="67"/>
      <c r="CO84" s="67"/>
      <c r="CP84" s="67"/>
      <c r="CQ84" s="67"/>
      <c r="CR84" s="67"/>
      <c r="CS84" s="68"/>
    </row>
    <row r="85" ht="15.75" customHeight="1">
      <c r="C85" s="72">
        <v>1.0</v>
      </c>
      <c r="D85" s="67"/>
      <c r="E85" s="68"/>
      <c r="F85" s="75">
        <v>70.0</v>
      </c>
      <c r="G85" s="67"/>
      <c r="H85" s="67"/>
      <c r="I85" s="67"/>
      <c r="J85" s="68"/>
      <c r="K85" s="76">
        <v>10.0</v>
      </c>
      <c r="L85" s="67"/>
      <c r="M85" s="67"/>
      <c r="N85" s="67"/>
      <c r="O85" s="68"/>
      <c r="P85" s="77">
        <f>IF(AND(X83&lt;&gt;"",F85&lt;&gt;"",K85&lt;&gt;""),IFERROR(K85/(100-((F85/X83)*100)),""),"")</f>
        <v>0.3333333333</v>
      </c>
      <c r="Q85" s="67"/>
      <c r="R85" s="67"/>
      <c r="S85" s="67"/>
      <c r="T85" s="67"/>
      <c r="U85" s="67"/>
      <c r="V85" s="67"/>
      <c r="W85" s="67"/>
      <c r="X85" s="67"/>
      <c r="Y85" s="68"/>
      <c r="AA85" s="72">
        <v>1.0</v>
      </c>
      <c r="AB85" s="67"/>
      <c r="AC85" s="68"/>
      <c r="AD85" s="75"/>
      <c r="AE85" s="67"/>
      <c r="AF85" s="67"/>
      <c r="AG85" s="67"/>
      <c r="AH85" s="68"/>
      <c r="AI85" s="76"/>
      <c r="AJ85" s="67"/>
      <c r="AK85" s="67"/>
      <c r="AL85" s="67"/>
      <c r="AM85" s="68"/>
      <c r="AN85" s="77" t="str">
        <f>IF(AND(AV83&lt;&gt;"",AD85&lt;&gt;"",AI85&lt;&gt;""),IFERROR(AI85/(100-((AD85/AV83)*100)),""),"")</f>
        <v/>
      </c>
      <c r="AO85" s="67"/>
      <c r="AP85" s="67"/>
      <c r="AQ85" s="67"/>
      <c r="AR85" s="67"/>
      <c r="AS85" s="67"/>
      <c r="AT85" s="67"/>
      <c r="AU85" s="67"/>
      <c r="AV85" s="67"/>
      <c r="AW85" s="68"/>
      <c r="AY85" s="72">
        <v>1.0</v>
      </c>
      <c r="AZ85" s="67"/>
      <c r="BA85" s="68"/>
      <c r="BB85" s="75"/>
      <c r="BC85" s="67"/>
      <c r="BD85" s="67"/>
      <c r="BE85" s="67"/>
      <c r="BF85" s="68"/>
      <c r="BG85" s="76"/>
      <c r="BH85" s="67"/>
      <c r="BI85" s="67"/>
      <c r="BJ85" s="67"/>
      <c r="BK85" s="68"/>
      <c r="BL85" s="77" t="str">
        <f>IF(AND(BT83&lt;&gt;"",BB85&lt;&gt;"",BG85&lt;&gt;""),IFERROR(BG85/(100-((BB85/BT83)*100)),""),"")</f>
        <v/>
      </c>
      <c r="BM85" s="67"/>
      <c r="BN85" s="67"/>
      <c r="BO85" s="67"/>
      <c r="BP85" s="67"/>
      <c r="BQ85" s="67"/>
      <c r="BR85" s="67"/>
      <c r="BS85" s="67"/>
      <c r="BT85" s="67"/>
      <c r="BU85" s="68"/>
      <c r="BW85" s="72">
        <v>1.0</v>
      </c>
      <c r="BX85" s="67"/>
      <c r="BY85" s="68"/>
      <c r="BZ85" s="75"/>
      <c r="CA85" s="67"/>
      <c r="CB85" s="67"/>
      <c r="CC85" s="67"/>
      <c r="CD85" s="68"/>
      <c r="CE85" s="76"/>
      <c r="CF85" s="67"/>
      <c r="CG85" s="67"/>
      <c r="CH85" s="67"/>
      <c r="CI85" s="68"/>
      <c r="CJ85" s="77" t="str">
        <f>IF(AND(CR83&lt;&gt;"",BZ85&lt;&gt;"",CE85&lt;&gt;""),IFERROR(CE85/(100-((BZ85/CR83)*100)),""),"")</f>
        <v/>
      </c>
      <c r="CK85" s="67"/>
      <c r="CL85" s="67"/>
      <c r="CM85" s="67"/>
      <c r="CN85" s="67"/>
      <c r="CO85" s="67"/>
      <c r="CP85" s="67"/>
      <c r="CQ85" s="67"/>
      <c r="CR85" s="67"/>
      <c r="CS85" s="68"/>
    </row>
    <row r="86" ht="15.75" customHeight="1">
      <c r="C86" s="72">
        <v>2.0</v>
      </c>
      <c r="D86" s="67"/>
      <c r="E86" s="68"/>
      <c r="F86" s="75">
        <v>70.0</v>
      </c>
      <c r="G86" s="67"/>
      <c r="H86" s="67"/>
      <c r="I86" s="67"/>
      <c r="J86" s="68"/>
      <c r="K86" s="76">
        <v>10.0</v>
      </c>
      <c r="L86" s="67"/>
      <c r="M86" s="67"/>
      <c r="N86" s="67"/>
      <c r="O86" s="68"/>
      <c r="P86" s="77">
        <f>IF(AND(X83&lt;&gt;"",F86&lt;&gt;"",K86&lt;&gt;""),IFERROR(K86/(100-((F86/X83)*100)),""),"")</f>
        <v>0.3333333333</v>
      </c>
      <c r="Q86" s="67"/>
      <c r="R86" s="67"/>
      <c r="S86" s="67"/>
      <c r="T86" s="67"/>
      <c r="U86" s="67"/>
      <c r="V86" s="67"/>
      <c r="W86" s="67"/>
      <c r="X86" s="67"/>
      <c r="Y86" s="68"/>
      <c r="AA86" s="72">
        <v>2.0</v>
      </c>
      <c r="AB86" s="67"/>
      <c r="AC86" s="68"/>
      <c r="AD86" s="75"/>
      <c r="AE86" s="67"/>
      <c r="AF86" s="67"/>
      <c r="AG86" s="67"/>
      <c r="AH86" s="68"/>
      <c r="AI86" s="76"/>
      <c r="AJ86" s="67"/>
      <c r="AK86" s="67"/>
      <c r="AL86" s="67"/>
      <c r="AM86" s="68"/>
      <c r="AN86" s="77" t="str">
        <f>IF(AND(AV83&lt;&gt;"",AD86&lt;&gt;"",AI86&lt;&gt;""),IFERROR(AI86/(100-((AD86/AV83)*100)),""),"")</f>
        <v/>
      </c>
      <c r="AO86" s="67"/>
      <c r="AP86" s="67"/>
      <c r="AQ86" s="67"/>
      <c r="AR86" s="67"/>
      <c r="AS86" s="67"/>
      <c r="AT86" s="67"/>
      <c r="AU86" s="67"/>
      <c r="AV86" s="67"/>
      <c r="AW86" s="68"/>
      <c r="AY86" s="72">
        <v>2.0</v>
      </c>
      <c r="AZ86" s="67"/>
      <c r="BA86" s="68"/>
      <c r="BB86" s="75"/>
      <c r="BC86" s="67"/>
      <c r="BD86" s="67"/>
      <c r="BE86" s="67"/>
      <c r="BF86" s="68"/>
      <c r="BG86" s="76"/>
      <c r="BH86" s="67"/>
      <c r="BI86" s="67"/>
      <c r="BJ86" s="67"/>
      <c r="BK86" s="68"/>
      <c r="BL86" s="77" t="str">
        <f>IF(AND(BT83&lt;&gt;"",BB86&lt;&gt;"",BG86&lt;&gt;""),IFERROR(BG86/(100-((BB86/BT83)*100)),""),"")</f>
        <v/>
      </c>
      <c r="BM86" s="67"/>
      <c r="BN86" s="67"/>
      <c r="BO86" s="67"/>
      <c r="BP86" s="67"/>
      <c r="BQ86" s="67"/>
      <c r="BR86" s="67"/>
      <c r="BS86" s="67"/>
      <c r="BT86" s="67"/>
      <c r="BU86" s="68"/>
      <c r="BW86" s="72">
        <v>2.0</v>
      </c>
      <c r="BX86" s="67"/>
      <c r="BY86" s="68"/>
      <c r="BZ86" s="75"/>
      <c r="CA86" s="67"/>
      <c r="CB86" s="67"/>
      <c r="CC86" s="67"/>
      <c r="CD86" s="68"/>
      <c r="CE86" s="76"/>
      <c r="CF86" s="67"/>
      <c r="CG86" s="67"/>
      <c r="CH86" s="67"/>
      <c r="CI86" s="68"/>
      <c r="CJ86" s="77" t="str">
        <f>IF(AND(CR83&lt;&gt;"",BZ86&lt;&gt;"",CE86&lt;&gt;""),IFERROR(CE86/(100-((BZ86/CR83)*100)),""),"")</f>
        <v/>
      </c>
      <c r="CK86" s="67"/>
      <c r="CL86" s="67"/>
      <c r="CM86" s="67"/>
      <c r="CN86" s="67"/>
      <c r="CO86" s="67"/>
      <c r="CP86" s="67"/>
      <c r="CQ86" s="67"/>
      <c r="CR86" s="67"/>
      <c r="CS86" s="68"/>
    </row>
    <row r="87" ht="15.75" customHeight="1">
      <c r="C87" s="72">
        <v>3.0</v>
      </c>
      <c r="D87" s="67"/>
      <c r="E87" s="68"/>
      <c r="F87" s="75">
        <v>70.0</v>
      </c>
      <c r="G87" s="67"/>
      <c r="H87" s="67"/>
      <c r="I87" s="67"/>
      <c r="J87" s="68"/>
      <c r="K87" s="76">
        <v>10.0</v>
      </c>
      <c r="L87" s="67"/>
      <c r="M87" s="67"/>
      <c r="N87" s="67"/>
      <c r="O87" s="68"/>
      <c r="P87" s="77">
        <f>IF(AND(X83&lt;&gt;"",F87&lt;&gt;"",K87&lt;&gt;""),IFERROR(K87/(100-((F87/X83)*100)),""),"")</f>
        <v>0.3333333333</v>
      </c>
      <c r="Q87" s="67"/>
      <c r="R87" s="67"/>
      <c r="S87" s="67"/>
      <c r="T87" s="67"/>
      <c r="U87" s="67"/>
      <c r="V87" s="67"/>
      <c r="W87" s="67"/>
      <c r="X87" s="67"/>
      <c r="Y87" s="68"/>
      <c r="AA87" s="72">
        <v>3.0</v>
      </c>
      <c r="AB87" s="67"/>
      <c r="AC87" s="68"/>
      <c r="AD87" s="75"/>
      <c r="AE87" s="67"/>
      <c r="AF87" s="67"/>
      <c r="AG87" s="67"/>
      <c r="AH87" s="68"/>
      <c r="AI87" s="76"/>
      <c r="AJ87" s="67"/>
      <c r="AK87" s="67"/>
      <c r="AL87" s="67"/>
      <c r="AM87" s="68"/>
      <c r="AN87" s="77" t="str">
        <f>IF(AND(AV83&lt;&gt;"",AD87&lt;&gt;"",AI87&lt;&gt;""),IFERROR(AI87/(100-((AD87/AV83)*100)),""),"")</f>
        <v/>
      </c>
      <c r="AO87" s="67"/>
      <c r="AP87" s="67"/>
      <c r="AQ87" s="67"/>
      <c r="AR87" s="67"/>
      <c r="AS87" s="67"/>
      <c r="AT87" s="67"/>
      <c r="AU87" s="67"/>
      <c r="AV87" s="67"/>
      <c r="AW87" s="68"/>
      <c r="AY87" s="72">
        <v>3.0</v>
      </c>
      <c r="AZ87" s="67"/>
      <c r="BA87" s="68"/>
      <c r="BB87" s="75"/>
      <c r="BC87" s="67"/>
      <c r="BD87" s="67"/>
      <c r="BE87" s="67"/>
      <c r="BF87" s="68"/>
      <c r="BG87" s="76"/>
      <c r="BH87" s="67"/>
      <c r="BI87" s="67"/>
      <c r="BJ87" s="67"/>
      <c r="BK87" s="68"/>
      <c r="BL87" s="77" t="str">
        <f>IF(AND(BT83&lt;&gt;"",BB87&lt;&gt;"",BG87&lt;&gt;""),IFERROR(BG87/(100-((BB87/BT83)*100)),""),"")</f>
        <v/>
      </c>
      <c r="BM87" s="67"/>
      <c r="BN87" s="67"/>
      <c r="BO87" s="67"/>
      <c r="BP87" s="67"/>
      <c r="BQ87" s="67"/>
      <c r="BR87" s="67"/>
      <c r="BS87" s="67"/>
      <c r="BT87" s="67"/>
      <c r="BU87" s="68"/>
      <c r="BW87" s="72">
        <v>3.0</v>
      </c>
      <c r="BX87" s="67"/>
      <c r="BY87" s="68"/>
      <c r="BZ87" s="75"/>
      <c r="CA87" s="67"/>
      <c r="CB87" s="67"/>
      <c r="CC87" s="67"/>
      <c r="CD87" s="68"/>
      <c r="CE87" s="76"/>
      <c r="CF87" s="67"/>
      <c r="CG87" s="67"/>
      <c r="CH87" s="67"/>
      <c r="CI87" s="68"/>
      <c r="CJ87" s="77" t="str">
        <f>IF(AND(CR83&lt;&gt;"",BZ87&lt;&gt;"",CE87&lt;&gt;""),IFERROR(CE87/(100-((BZ87/CR83)*100)),""),"")</f>
        <v/>
      </c>
      <c r="CK87" s="67"/>
      <c r="CL87" s="67"/>
      <c r="CM87" s="67"/>
      <c r="CN87" s="67"/>
      <c r="CO87" s="67"/>
      <c r="CP87" s="67"/>
      <c r="CQ87" s="67"/>
      <c r="CR87" s="67"/>
      <c r="CS87" s="68"/>
    </row>
    <row r="88" ht="15.75" customHeight="1">
      <c r="C88" s="72">
        <v>4.0</v>
      </c>
      <c r="D88" s="67"/>
      <c r="E88" s="68"/>
      <c r="F88" s="75"/>
      <c r="G88" s="67"/>
      <c r="H88" s="67"/>
      <c r="I88" s="67"/>
      <c r="J88" s="68"/>
      <c r="K88" s="76"/>
      <c r="L88" s="67"/>
      <c r="M88" s="67"/>
      <c r="N88" s="67"/>
      <c r="O88" s="68"/>
      <c r="P88" s="77" t="str">
        <f>IF(AND(X83&lt;&gt;"",F88&lt;&gt;"",K88&lt;&gt;""),IFERROR(K88/(100-((F88/X83)*100)),""),"")</f>
        <v/>
      </c>
      <c r="Q88" s="67"/>
      <c r="R88" s="67"/>
      <c r="S88" s="67"/>
      <c r="T88" s="67"/>
      <c r="U88" s="67"/>
      <c r="V88" s="67"/>
      <c r="W88" s="67"/>
      <c r="X88" s="67"/>
      <c r="Y88" s="68"/>
      <c r="AA88" s="72">
        <v>4.0</v>
      </c>
      <c r="AB88" s="67"/>
      <c r="AC88" s="68"/>
      <c r="AD88" s="75"/>
      <c r="AE88" s="67"/>
      <c r="AF88" s="67"/>
      <c r="AG88" s="67"/>
      <c r="AH88" s="68"/>
      <c r="AI88" s="76"/>
      <c r="AJ88" s="67"/>
      <c r="AK88" s="67"/>
      <c r="AL88" s="67"/>
      <c r="AM88" s="68"/>
      <c r="AN88" s="77" t="str">
        <f>IF(AND(AV83&lt;&gt;"",AD88&lt;&gt;"",AI88&lt;&gt;""),IFERROR(AI88/(100-((AD88/AV83)*100)),""),"")</f>
        <v/>
      </c>
      <c r="AO88" s="67"/>
      <c r="AP88" s="67"/>
      <c r="AQ88" s="67"/>
      <c r="AR88" s="67"/>
      <c r="AS88" s="67"/>
      <c r="AT88" s="67"/>
      <c r="AU88" s="67"/>
      <c r="AV88" s="67"/>
      <c r="AW88" s="68"/>
      <c r="AY88" s="72">
        <v>4.0</v>
      </c>
      <c r="AZ88" s="67"/>
      <c r="BA88" s="68"/>
      <c r="BB88" s="75"/>
      <c r="BC88" s="67"/>
      <c r="BD88" s="67"/>
      <c r="BE88" s="67"/>
      <c r="BF88" s="68"/>
      <c r="BG88" s="76"/>
      <c r="BH88" s="67"/>
      <c r="BI88" s="67"/>
      <c r="BJ88" s="67"/>
      <c r="BK88" s="68"/>
      <c r="BL88" s="77" t="str">
        <f>IF(AND(BT83&lt;&gt;"",BB88&lt;&gt;"",BG88&lt;&gt;""),IFERROR(BG88/(100-((BB88/BT83)*100)),""),"")</f>
        <v/>
      </c>
      <c r="BM88" s="67"/>
      <c r="BN88" s="67"/>
      <c r="BO88" s="67"/>
      <c r="BP88" s="67"/>
      <c r="BQ88" s="67"/>
      <c r="BR88" s="67"/>
      <c r="BS88" s="67"/>
      <c r="BT88" s="67"/>
      <c r="BU88" s="68"/>
      <c r="BW88" s="72">
        <v>4.0</v>
      </c>
      <c r="BX88" s="67"/>
      <c r="BY88" s="68"/>
      <c r="BZ88" s="75"/>
      <c r="CA88" s="67"/>
      <c r="CB88" s="67"/>
      <c r="CC88" s="67"/>
      <c r="CD88" s="68"/>
      <c r="CE88" s="76"/>
      <c r="CF88" s="67"/>
      <c r="CG88" s="67"/>
      <c r="CH88" s="67"/>
      <c r="CI88" s="68"/>
      <c r="CJ88" s="77" t="str">
        <f>IF(AND(CR83&lt;&gt;"",BZ88&lt;&gt;"",CE88&lt;&gt;""),IFERROR(CE88/(100-((BZ88/CR83)*100)),""),"")</f>
        <v/>
      </c>
      <c r="CK88" s="67"/>
      <c r="CL88" s="67"/>
      <c r="CM88" s="67"/>
      <c r="CN88" s="67"/>
      <c r="CO88" s="67"/>
      <c r="CP88" s="67"/>
      <c r="CQ88" s="67"/>
      <c r="CR88" s="67"/>
      <c r="CS88" s="68"/>
    </row>
    <row r="89" ht="15.75" customHeight="1">
      <c r="C89" s="72">
        <v>5.0</v>
      </c>
      <c r="D89" s="67"/>
      <c r="E89" s="68"/>
      <c r="F89" s="75"/>
      <c r="G89" s="67"/>
      <c r="H89" s="67"/>
      <c r="I89" s="67"/>
      <c r="J89" s="68"/>
      <c r="K89" s="76"/>
      <c r="L89" s="67"/>
      <c r="M89" s="67"/>
      <c r="N89" s="67"/>
      <c r="O89" s="68"/>
      <c r="P89" s="77" t="str">
        <f>IF(AND(X83&lt;&gt;"",F89&lt;&gt;"",K89&lt;&gt;""),IFERROR(K89/(100-((F89/X83)*100)),""),"")</f>
        <v/>
      </c>
      <c r="Q89" s="67"/>
      <c r="R89" s="67"/>
      <c r="S89" s="67"/>
      <c r="T89" s="67"/>
      <c r="U89" s="67"/>
      <c r="V89" s="67"/>
      <c r="W89" s="67"/>
      <c r="X89" s="67"/>
      <c r="Y89" s="68"/>
      <c r="AA89" s="72">
        <v>5.0</v>
      </c>
      <c r="AB89" s="67"/>
      <c r="AC89" s="68"/>
      <c r="AD89" s="75"/>
      <c r="AE89" s="67"/>
      <c r="AF89" s="67"/>
      <c r="AG89" s="67"/>
      <c r="AH89" s="68"/>
      <c r="AI89" s="76"/>
      <c r="AJ89" s="67"/>
      <c r="AK89" s="67"/>
      <c r="AL89" s="67"/>
      <c r="AM89" s="68"/>
      <c r="AN89" s="77" t="str">
        <f>IF(AND(AV83&lt;&gt;"",AD89&lt;&gt;"",AI89&lt;&gt;""),IFERROR(AI89/(100-((AD89/AV83)*100)),""),"")</f>
        <v/>
      </c>
      <c r="AO89" s="67"/>
      <c r="AP89" s="67"/>
      <c r="AQ89" s="67"/>
      <c r="AR89" s="67"/>
      <c r="AS89" s="67"/>
      <c r="AT89" s="67"/>
      <c r="AU89" s="67"/>
      <c r="AV89" s="67"/>
      <c r="AW89" s="68"/>
      <c r="AY89" s="72">
        <v>5.0</v>
      </c>
      <c r="AZ89" s="67"/>
      <c r="BA89" s="68"/>
      <c r="BB89" s="75"/>
      <c r="BC89" s="67"/>
      <c r="BD89" s="67"/>
      <c r="BE89" s="67"/>
      <c r="BF89" s="68"/>
      <c r="BG89" s="76"/>
      <c r="BH89" s="67"/>
      <c r="BI89" s="67"/>
      <c r="BJ89" s="67"/>
      <c r="BK89" s="68"/>
      <c r="BL89" s="77" t="str">
        <f>IF(AND(BT83&lt;&gt;"",BB89&lt;&gt;"",BG89&lt;&gt;""),IFERROR(BG89/(100-((BB89/BT83)*100)),""),"")</f>
        <v/>
      </c>
      <c r="BM89" s="67"/>
      <c r="BN89" s="67"/>
      <c r="BO89" s="67"/>
      <c r="BP89" s="67"/>
      <c r="BQ89" s="67"/>
      <c r="BR89" s="67"/>
      <c r="BS89" s="67"/>
      <c r="BT89" s="67"/>
      <c r="BU89" s="68"/>
      <c r="BW89" s="72">
        <v>5.0</v>
      </c>
      <c r="BX89" s="67"/>
      <c r="BY89" s="68"/>
      <c r="BZ89" s="75"/>
      <c r="CA89" s="67"/>
      <c r="CB89" s="67"/>
      <c r="CC89" s="67"/>
      <c r="CD89" s="68"/>
      <c r="CE89" s="76"/>
      <c r="CF89" s="67"/>
      <c r="CG89" s="67"/>
      <c r="CH89" s="67"/>
      <c r="CI89" s="68"/>
      <c r="CJ89" s="77" t="str">
        <f>IF(AND(CR83&lt;&gt;"",BZ89&lt;&gt;"",CE89&lt;&gt;""),IFERROR(CE89/(100-((BZ89/CR83)*100)),""),"")</f>
        <v/>
      </c>
      <c r="CK89" s="67"/>
      <c r="CL89" s="67"/>
      <c r="CM89" s="67"/>
      <c r="CN89" s="67"/>
      <c r="CO89" s="67"/>
      <c r="CP89" s="67"/>
      <c r="CQ89" s="67"/>
      <c r="CR89" s="67"/>
      <c r="CS89" s="68"/>
    </row>
    <row r="90" ht="15.75" customHeight="1">
      <c r="C90" s="72">
        <v>6.0</v>
      </c>
      <c r="D90" s="67"/>
      <c r="E90" s="68"/>
      <c r="F90" s="75">
        <v>65.0</v>
      </c>
      <c r="G90" s="67"/>
      <c r="H90" s="67"/>
      <c r="I90" s="67"/>
      <c r="J90" s="68"/>
      <c r="K90" s="76">
        <v>10.0</v>
      </c>
      <c r="L90" s="67"/>
      <c r="M90" s="67"/>
      <c r="N90" s="67"/>
      <c r="O90" s="68"/>
      <c r="P90" s="77">
        <f>IF(AND(X83&lt;&gt;"",F90&lt;&gt;"",K90&lt;&gt;""),IFERROR(K90/(100-((F90/X83)*100)),""),"")</f>
        <v>0.2857142857</v>
      </c>
      <c r="Q90" s="67"/>
      <c r="R90" s="67"/>
      <c r="S90" s="67"/>
      <c r="T90" s="67"/>
      <c r="U90" s="67"/>
      <c r="V90" s="67"/>
      <c r="W90" s="67"/>
      <c r="X90" s="67"/>
      <c r="Y90" s="68"/>
      <c r="AA90" s="78"/>
      <c r="AB90" s="79">
        <v>6.0</v>
      </c>
      <c r="AC90" s="80"/>
      <c r="AD90" s="75"/>
      <c r="AE90" s="67"/>
      <c r="AF90" s="67"/>
      <c r="AG90" s="67"/>
      <c r="AH90" s="68"/>
      <c r="AI90" s="76"/>
      <c r="AJ90" s="67"/>
      <c r="AK90" s="67"/>
      <c r="AL90" s="67"/>
      <c r="AM90" s="68"/>
      <c r="AN90" s="77" t="str">
        <f>IF(AND(AV83&lt;&gt;"",AD90&lt;&gt;"",AI90&lt;&gt;""),IFERROR(AI90/(100-((AD90/AV83)*100)),""),"")</f>
        <v/>
      </c>
      <c r="AO90" s="67"/>
      <c r="AP90" s="67"/>
      <c r="AQ90" s="67"/>
      <c r="AR90" s="67"/>
      <c r="AS90" s="67"/>
      <c r="AT90" s="67"/>
      <c r="AU90" s="67"/>
      <c r="AV90" s="67"/>
      <c r="AW90" s="68"/>
      <c r="AY90" s="78"/>
      <c r="AZ90" s="79">
        <v>6.0</v>
      </c>
      <c r="BA90" s="80"/>
      <c r="BB90" s="75"/>
      <c r="BC90" s="67"/>
      <c r="BD90" s="67"/>
      <c r="BE90" s="67"/>
      <c r="BF90" s="68"/>
      <c r="BG90" s="76"/>
      <c r="BH90" s="67"/>
      <c r="BI90" s="67"/>
      <c r="BJ90" s="67"/>
      <c r="BK90" s="68"/>
      <c r="BL90" s="77" t="str">
        <f>IF(AND(BT83&lt;&gt;"",BB90&lt;&gt;"",BG90&lt;&gt;""),IFERROR(BG90/(100-((BB90/BT83)*100)),""),"")</f>
        <v/>
      </c>
      <c r="BM90" s="67"/>
      <c r="BN90" s="67"/>
      <c r="BO90" s="67"/>
      <c r="BP90" s="67"/>
      <c r="BQ90" s="67"/>
      <c r="BR90" s="67"/>
      <c r="BS90" s="67"/>
      <c r="BT90" s="67"/>
      <c r="BU90" s="68"/>
      <c r="BW90" s="78"/>
      <c r="BX90" s="79">
        <v>6.0</v>
      </c>
      <c r="BY90" s="80"/>
      <c r="BZ90" s="75"/>
      <c r="CA90" s="67"/>
      <c r="CB90" s="67"/>
      <c r="CC90" s="67"/>
      <c r="CD90" s="68"/>
      <c r="CE90" s="76"/>
      <c r="CF90" s="67"/>
      <c r="CG90" s="67"/>
      <c r="CH90" s="67"/>
      <c r="CI90" s="68"/>
      <c r="CJ90" s="77" t="str">
        <f>IF(AND(CR83&lt;&gt;"",BZ90&lt;&gt;"",CE90&lt;&gt;""),IFERROR(CE90/(100-((BZ90/CR83)*100)),""),"")</f>
        <v/>
      </c>
      <c r="CK90" s="67"/>
      <c r="CL90" s="67"/>
      <c r="CM90" s="67"/>
      <c r="CN90" s="67"/>
      <c r="CO90" s="67"/>
      <c r="CP90" s="67"/>
      <c r="CQ90" s="67"/>
      <c r="CR90" s="67"/>
      <c r="CS90" s="68"/>
    </row>
    <row r="91" ht="15.75" customHeight="1">
      <c r="C91" s="72" t="s">
        <v>31</v>
      </c>
      <c r="D91" s="67"/>
      <c r="E91" s="68"/>
      <c r="F91" s="77">
        <f>IFERROR(AVERAGE(F85:J89),"")</f>
        <v>70</v>
      </c>
      <c r="G91" s="67"/>
      <c r="H91" s="67"/>
      <c r="I91" s="67"/>
      <c r="J91" s="68"/>
      <c r="K91" s="71">
        <f>IFERROR(AVERAGE(K85:O89),"")</f>
        <v>10</v>
      </c>
      <c r="L91" s="67"/>
      <c r="M91" s="67"/>
      <c r="N91" s="67"/>
      <c r="O91" s="68"/>
      <c r="P91" s="77">
        <f>IFERROR(AVERAGE(P85:Y89),"")</f>
        <v>0.3333333333</v>
      </c>
      <c r="Q91" s="67"/>
      <c r="R91" s="67"/>
      <c r="S91" s="67"/>
      <c r="T91" s="67"/>
      <c r="U91" s="67"/>
      <c r="V91" s="67"/>
      <c r="W91" s="67"/>
      <c r="X91" s="67"/>
      <c r="Y91" s="68"/>
      <c r="AA91" s="72" t="s">
        <v>31</v>
      </c>
      <c r="AB91" s="67"/>
      <c r="AC91" s="68"/>
      <c r="AD91" s="77" t="str">
        <f>IFERROR(AVERAGE(AD85:AH89),"")</f>
        <v/>
      </c>
      <c r="AE91" s="67"/>
      <c r="AF91" s="67"/>
      <c r="AG91" s="67"/>
      <c r="AH91" s="68"/>
      <c r="AI91" s="71" t="str">
        <f>IFERROR(AVERAGE(AI85:AM89),"")</f>
        <v/>
      </c>
      <c r="AJ91" s="67"/>
      <c r="AK91" s="67"/>
      <c r="AL91" s="67"/>
      <c r="AM91" s="68"/>
      <c r="AN91" s="77" t="str">
        <f>IFERROR(AVERAGE(AN85:AW89),"")</f>
        <v/>
      </c>
      <c r="AO91" s="67"/>
      <c r="AP91" s="67"/>
      <c r="AQ91" s="67"/>
      <c r="AR91" s="67"/>
      <c r="AS91" s="67"/>
      <c r="AT91" s="67"/>
      <c r="AU91" s="67"/>
      <c r="AV91" s="67"/>
      <c r="AW91" s="68"/>
      <c r="AY91" s="72" t="s">
        <v>31</v>
      </c>
      <c r="AZ91" s="67"/>
      <c r="BA91" s="68"/>
      <c r="BB91" s="77" t="str">
        <f>IFERROR(AVERAGE(BB85:BF89),"")</f>
        <v/>
      </c>
      <c r="BC91" s="67"/>
      <c r="BD91" s="67"/>
      <c r="BE91" s="67"/>
      <c r="BF91" s="68"/>
      <c r="BG91" s="71" t="str">
        <f>IFERROR(AVERAGE(BG85:BK89),"")</f>
        <v/>
      </c>
      <c r="BH91" s="67"/>
      <c r="BI91" s="67"/>
      <c r="BJ91" s="67"/>
      <c r="BK91" s="68"/>
      <c r="BL91" s="77" t="str">
        <f>IFERROR(AVERAGE(BL85:BU89),"")</f>
        <v/>
      </c>
      <c r="BM91" s="67"/>
      <c r="BN91" s="67"/>
      <c r="BO91" s="67"/>
      <c r="BP91" s="67"/>
      <c r="BQ91" s="67"/>
      <c r="BR91" s="67"/>
      <c r="BS91" s="67"/>
      <c r="BT91" s="67"/>
      <c r="BU91" s="68"/>
      <c r="BW91" s="72" t="s">
        <v>31</v>
      </c>
      <c r="BX91" s="67"/>
      <c r="BY91" s="68"/>
      <c r="BZ91" s="77" t="str">
        <f>IFERROR(AVERAGE(BZ85:CD89),"")</f>
        <v/>
      </c>
      <c r="CA91" s="67"/>
      <c r="CB91" s="67"/>
      <c r="CC91" s="67"/>
      <c r="CD91" s="68"/>
      <c r="CE91" s="71" t="str">
        <f>IFERROR(AVERAGE(CE85:CI89),"")</f>
        <v/>
      </c>
      <c r="CF91" s="67"/>
      <c r="CG91" s="67"/>
      <c r="CH91" s="67"/>
      <c r="CI91" s="68"/>
      <c r="CJ91" s="77" t="str">
        <f>IFERROR(AVERAGE(CJ85:CS89),"")</f>
        <v/>
      </c>
      <c r="CK91" s="67"/>
      <c r="CL91" s="67"/>
      <c r="CM91" s="67"/>
      <c r="CN91" s="67"/>
      <c r="CO91" s="67"/>
      <c r="CP91" s="67"/>
      <c r="CQ91" s="67"/>
      <c r="CR91" s="67"/>
      <c r="CS91" s="68"/>
    </row>
    <row r="92" ht="30.0" customHeight="1">
      <c r="C92" s="81" t="s">
        <v>42</v>
      </c>
      <c r="D92" s="67"/>
      <c r="E92" s="68"/>
      <c r="F92" s="77">
        <f>IFERROR(SUM(F85:J89),"")</f>
        <v>210</v>
      </c>
      <c r="G92" s="67"/>
      <c r="H92" s="67"/>
      <c r="I92" s="67"/>
      <c r="J92" s="68"/>
      <c r="K92" s="71">
        <f>IFERROR(SUM(K85:O89),"")</f>
        <v>30</v>
      </c>
      <c r="L92" s="67"/>
      <c r="M92" s="67"/>
      <c r="N92" s="67"/>
      <c r="O92" s="68"/>
      <c r="P92" s="82">
        <f>IFERROR(SUM(P85:Y90),"")</f>
        <v>1.285714286</v>
      </c>
      <c r="Q92" s="67"/>
      <c r="R92" s="67"/>
      <c r="S92" s="67"/>
      <c r="T92" s="67"/>
      <c r="U92" s="67"/>
      <c r="V92" s="67"/>
      <c r="W92" s="67"/>
      <c r="X92" s="67"/>
      <c r="Y92" s="68"/>
      <c r="AA92" s="81" t="s">
        <v>42</v>
      </c>
      <c r="AB92" s="67"/>
      <c r="AC92" s="68"/>
      <c r="AD92" s="77">
        <f>IFERROR(SUM(AD85:AH89),"")</f>
        <v>0</v>
      </c>
      <c r="AE92" s="67"/>
      <c r="AF92" s="67"/>
      <c r="AG92" s="67"/>
      <c r="AH92" s="68"/>
      <c r="AI92" s="71">
        <f>IFERROR(SUM(AI85:AM89),"")</f>
        <v>0</v>
      </c>
      <c r="AJ92" s="67"/>
      <c r="AK92" s="67"/>
      <c r="AL92" s="67"/>
      <c r="AM92" s="68"/>
      <c r="AN92" s="82">
        <f>IFERROR(SUM(AN85:AW90),"")</f>
        <v>0</v>
      </c>
      <c r="AO92" s="67"/>
      <c r="AP92" s="67"/>
      <c r="AQ92" s="67"/>
      <c r="AR92" s="67"/>
      <c r="AS92" s="67"/>
      <c r="AT92" s="67"/>
      <c r="AU92" s="67"/>
      <c r="AV92" s="67"/>
      <c r="AW92" s="68"/>
      <c r="AY92" s="81" t="s">
        <v>42</v>
      </c>
      <c r="AZ92" s="67"/>
      <c r="BA92" s="68"/>
      <c r="BB92" s="77">
        <f>IFERROR(SUM(BB85:BF89),"")</f>
        <v>0</v>
      </c>
      <c r="BC92" s="67"/>
      <c r="BD92" s="67"/>
      <c r="BE92" s="67"/>
      <c r="BF92" s="68"/>
      <c r="BG92" s="71">
        <f>IFERROR(SUM(BG85:BK89),"")</f>
        <v>0</v>
      </c>
      <c r="BH92" s="67"/>
      <c r="BI92" s="67"/>
      <c r="BJ92" s="67"/>
      <c r="BK92" s="68"/>
      <c r="BL92" s="82">
        <f>IFERROR(SUM(BL85:BU90),"")</f>
        <v>0</v>
      </c>
      <c r="BM92" s="67"/>
      <c r="BN92" s="67"/>
      <c r="BO92" s="67"/>
      <c r="BP92" s="67"/>
      <c r="BQ92" s="67"/>
      <c r="BR92" s="67"/>
      <c r="BS92" s="67"/>
      <c r="BT92" s="67"/>
      <c r="BU92" s="68"/>
      <c r="BW92" s="81" t="s">
        <v>42</v>
      </c>
      <c r="BX92" s="67"/>
      <c r="BY92" s="68"/>
      <c r="BZ92" s="77">
        <f>IFERROR(SUM(BZ85:CD89),"")</f>
        <v>0</v>
      </c>
      <c r="CA92" s="67"/>
      <c r="CB92" s="67"/>
      <c r="CC92" s="67"/>
      <c r="CD92" s="68"/>
      <c r="CE92" s="71">
        <f>IFERROR(SUM(CE85:CI89),"")</f>
        <v>0</v>
      </c>
      <c r="CF92" s="67"/>
      <c r="CG92" s="67"/>
      <c r="CH92" s="67"/>
      <c r="CI92" s="68"/>
      <c r="CJ92" s="82">
        <f>IFERROR(SUM(CJ85:CS90),"")</f>
        <v>0</v>
      </c>
      <c r="CK92" s="67"/>
      <c r="CL92" s="67"/>
      <c r="CM92" s="67"/>
      <c r="CN92" s="67"/>
      <c r="CO92" s="67"/>
      <c r="CP92" s="67"/>
      <c r="CQ92" s="67"/>
      <c r="CR92" s="67"/>
      <c r="CS92" s="68"/>
    </row>
    <row r="93" ht="15.75" customHeight="1">
      <c r="C93" s="69" t="s">
        <v>7</v>
      </c>
      <c r="D93" s="67"/>
      <c r="E93" s="67"/>
      <c r="F93" s="67"/>
      <c r="G93" s="68"/>
      <c r="H93" s="70" t="s">
        <v>54</v>
      </c>
      <c r="I93" s="67"/>
      <c r="J93" s="67"/>
      <c r="K93" s="67"/>
      <c r="L93" s="68"/>
      <c r="M93" s="71"/>
      <c r="N93" s="67"/>
      <c r="O93" s="67"/>
      <c r="P93" s="67"/>
      <c r="Q93" s="68"/>
      <c r="R93" s="72" t="s">
        <v>9</v>
      </c>
      <c r="S93" s="67"/>
      <c r="T93" s="67"/>
      <c r="U93" s="67"/>
      <c r="V93" s="67"/>
      <c r="W93" s="68"/>
      <c r="X93" s="73">
        <v>86.0</v>
      </c>
      <c r="Y93" s="68"/>
      <c r="AA93" s="69" t="s">
        <v>7</v>
      </c>
      <c r="AB93" s="67"/>
      <c r="AC93" s="67"/>
      <c r="AD93" s="67"/>
      <c r="AE93" s="68"/>
      <c r="AF93" s="70" t="s">
        <v>48</v>
      </c>
      <c r="AG93" s="67"/>
      <c r="AH93" s="67"/>
      <c r="AI93" s="67"/>
      <c r="AJ93" s="68"/>
      <c r="AK93" s="71"/>
      <c r="AL93" s="67"/>
      <c r="AM93" s="67"/>
      <c r="AN93" s="67"/>
      <c r="AO93" s="68"/>
      <c r="AP93" s="72" t="s">
        <v>9</v>
      </c>
      <c r="AQ93" s="67"/>
      <c r="AR93" s="67"/>
      <c r="AS93" s="67"/>
      <c r="AT93" s="67"/>
      <c r="AU93" s="68"/>
      <c r="AV93" s="73">
        <v>50.0</v>
      </c>
      <c r="AW93" s="68"/>
      <c r="AY93" s="69" t="s">
        <v>7</v>
      </c>
      <c r="AZ93" s="67"/>
      <c r="BA93" s="67"/>
      <c r="BB93" s="67"/>
      <c r="BC93" s="68"/>
      <c r="BD93" s="70" t="s">
        <v>48</v>
      </c>
      <c r="BE93" s="67"/>
      <c r="BF93" s="67"/>
      <c r="BG93" s="67"/>
      <c r="BH93" s="68"/>
      <c r="BI93" s="71"/>
      <c r="BJ93" s="67"/>
      <c r="BK93" s="67"/>
      <c r="BL93" s="67"/>
      <c r="BM93" s="68"/>
      <c r="BN93" s="72" t="s">
        <v>9</v>
      </c>
      <c r="BO93" s="67"/>
      <c r="BP93" s="67"/>
      <c r="BQ93" s="67"/>
      <c r="BR93" s="67"/>
      <c r="BS93" s="68"/>
      <c r="BT93" s="73">
        <v>50.0</v>
      </c>
      <c r="BU93" s="68"/>
      <c r="BW93" s="69" t="s">
        <v>7</v>
      </c>
      <c r="BX93" s="67"/>
      <c r="BY93" s="67"/>
      <c r="BZ93" s="67"/>
      <c r="CA93" s="68"/>
      <c r="CB93" s="70" t="s">
        <v>48</v>
      </c>
      <c r="CC93" s="67"/>
      <c r="CD93" s="67"/>
      <c r="CE93" s="67"/>
      <c r="CF93" s="68"/>
      <c r="CG93" s="71"/>
      <c r="CH93" s="67"/>
      <c r="CI93" s="67"/>
      <c r="CJ93" s="67"/>
      <c r="CK93" s="68"/>
      <c r="CL93" s="72" t="s">
        <v>9</v>
      </c>
      <c r="CM93" s="67"/>
      <c r="CN93" s="67"/>
      <c r="CO93" s="67"/>
      <c r="CP93" s="67"/>
      <c r="CQ93" s="68"/>
      <c r="CR93" s="73">
        <v>50.0</v>
      </c>
      <c r="CS93" s="68"/>
    </row>
    <row r="94" ht="15.75" customHeight="1">
      <c r="C94" s="74" t="s">
        <v>23</v>
      </c>
      <c r="D94" s="67"/>
      <c r="E94" s="68"/>
      <c r="F94" s="74" t="s">
        <v>24</v>
      </c>
      <c r="G94" s="67"/>
      <c r="H94" s="67"/>
      <c r="I94" s="67"/>
      <c r="J94" s="68"/>
      <c r="K94" s="74" t="s">
        <v>25</v>
      </c>
      <c r="L94" s="67"/>
      <c r="M94" s="67"/>
      <c r="N94" s="67"/>
      <c r="O94" s="68"/>
      <c r="P94" s="74" t="s">
        <v>26</v>
      </c>
      <c r="Q94" s="67"/>
      <c r="R94" s="67"/>
      <c r="S94" s="67"/>
      <c r="T94" s="67"/>
      <c r="U94" s="67"/>
      <c r="V94" s="67"/>
      <c r="W94" s="67"/>
      <c r="X94" s="67"/>
      <c r="Y94" s="68"/>
      <c r="AA94" s="74" t="s">
        <v>23</v>
      </c>
      <c r="AB94" s="67"/>
      <c r="AC94" s="68"/>
      <c r="AD94" s="74" t="s">
        <v>24</v>
      </c>
      <c r="AE94" s="67"/>
      <c r="AF94" s="67"/>
      <c r="AG94" s="67"/>
      <c r="AH94" s="68"/>
      <c r="AI94" s="74" t="s">
        <v>25</v>
      </c>
      <c r="AJ94" s="67"/>
      <c r="AK94" s="67"/>
      <c r="AL94" s="67"/>
      <c r="AM94" s="68"/>
      <c r="AN94" s="74" t="s">
        <v>26</v>
      </c>
      <c r="AO94" s="67"/>
      <c r="AP94" s="67"/>
      <c r="AQ94" s="67"/>
      <c r="AR94" s="67"/>
      <c r="AS94" s="67"/>
      <c r="AT94" s="67"/>
      <c r="AU94" s="67"/>
      <c r="AV94" s="67"/>
      <c r="AW94" s="68"/>
      <c r="AY94" s="74" t="s">
        <v>23</v>
      </c>
      <c r="AZ94" s="67"/>
      <c r="BA94" s="68"/>
      <c r="BB94" s="74" t="s">
        <v>24</v>
      </c>
      <c r="BC94" s="67"/>
      <c r="BD94" s="67"/>
      <c r="BE94" s="67"/>
      <c r="BF94" s="68"/>
      <c r="BG94" s="74" t="s">
        <v>25</v>
      </c>
      <c r="BH94" s="67"/>
      <c r="BI94" s="67"/>
      <c r="BJ94" s="67"/>
      <c r="BK94" s="68"/>
      <c r="BL94" s="74" t="s">
        <v>26</v>
      </c>
      <c r="BM94" s="67"/>
      <c r="BN94" s="67"/>
      <c r="BO94" s="67"/>
      <c r="BP94" s="67"/>
      <c r="BQ94" s="67"/>
      <c r="BR94" s="67"/>
      <c r="BS94" s="67"/>
      <c r="BT94" s="67"/>
      <c r="BU94" s="68"/>
      <c r="BW94" s="74" t="s">
        <v>23</v>
      </c>
      <c r="BX94" s="67"/>
      <c r="BY94" s="68"/>
      <c r="BZ94" s="74" t="s">
        <v>24</v>
      </c>
      <c r="CA94" s="67"/>
      <c r="CB94" s="67"/>
      <c r="CC94" s="67"/>
      <c r="CD94" s="68"/>
      <c r="CE94" s="74" t="s">
        <v>25</v>
      </c>
      <c r="CF94" s="67"/>
      <c r="CG94" s="67"/>
      <c r="CH94" s="67"/>
      <c r="CI94" s="68"/>
      <c r="CJ94" s="74" t="s">
        <v>26</v>
      </c>
      <c r="CK94" s="67"/>
      <c r="CL94" s="67"/>
      <c r="CM94" s="67"/>
      <c r="CN94" s="67"/>
      <c r="CO94" s="67"/>
      <c r="CP94" s="67"/>
      <c r="CQ94" s="67"/>
      <c r="CR94" s="67"/>
      <c r="CS94" s="68"/>
    </row>
    <row r="95" ht="15.75" customHeight="1">
      <c r="C95" s="72">
        <v>1.0</v>
      </c>
      <c r="D95" s="67"/>
      <c r="E95" s="68"/>
      <c r="F95" s="75">
        <v>60.0</v>
      </c>
      <c r="G95" s="67"/>
      <c r="H95" s="67"/>
      <c r="I95" s="67"/>
      <c r="J95" s="68"/>
      <c r="K95" s="76">
        <v>12.0</v>
      </c>
      <c r="L95" s="67"/>
      <c r="M95" s="67"/>
      <c r="N95" s="67"/>
      <c r="O95" s="68"/>
      <c r="P95" s="77">
        <f>IF(AND(X93&lt;&gt;"",F95&lt;&gt;"",K95&lt;&gt;""),IFERROR(K95/(100-((F95/X93)*100)),""),"")</f>
        <v>0.3969230769</v>
      </c>
      <c r="Q95" s="67"/>
      <c r="R95" s="67"/>
      <c r="S95" s="67"/>
      <c r="T95" s="67"/>
      <c r="U95" s="67"/>
      <c r="V95" s="67"/>
      <c r="W95" s="67"/>
      <c r="X95" s="67"/>
      <c r="Y95" s="68"/>
      <c r="AA95" s="72">
        <v>1.0</v>
      </c>
      <c r="AB95" s="67"/>
      <c r="AC95" s="68"/>
      <c r="AD95" s="75"/>
      <c r="AE95" s="67"/>
      <c r="AF95" s="67"/>
      <c r="AG95" s="67"/>
      <c r="AH95" s="68"/>
      <c r="AI95" s="76"/>
      <c r="AJ95" s="67"/>
      <c r="AK95" s="67"/>
      <c r="AL95" s="67"/>
      <c r="AM95" s="68"/>
      <c r="AN95" s="77" t="str">
        <f>IF(AND(AV93&lt;&gt;"",AD95&lt;&gt;"",AI95&lt;&gt;""),IFERROR(AI95/(100-((AD95/AV93)*100)),""),"")</f>
        <v/>
      </c>
      <c r="AO95" s="67"/>
      <c r="AP95" s="67"/>
      <c r="AQ95" s="67"/>
      <c r="AR95" s="67"/>
      <c r="AS95" s="67"/>
      <c r="AT95" s="67"/>
      <c r="AU95" s="67"/>
      <c r="AV95" s="67"/>
      <c r="AW95" s="68"/>
      <c r="AY95" s="72">
        <v>1.0</v>
      </c>
      <c r="AZ95" s="67"/>
      <c r="BA95" s="68"/>
      <c r="BB95" s="75"/>
      <c r="BC95" s="67"/>
      <c r="BD95" s="67"/>
      <c r="BE95" s="67"/>
      <c r="BF95" s="68"/>
      <c r="BG95" s="76"/>
      <c r="BH95" s="67"/>
      <c r="BI95" s="67"/>
      <c r="BJ95" s="67"/>
      <c r="BK95" s="68"/>
      <c r="BL95" s="77" t="str">
        <f>IF(AND(BT93&lt;&gt;"",BB95&lt;&gt;"",BG95&lt;&gt;""),IFERROR(BG95/(100-((BB95/BT93)*100)),""),"")</f>
        <v/>
      </c>
      <c r="BM95" s="67"/>
      <c r="BN95" s="67"/>
      <c r="BO95" s="67"/>
      <c r="BP95" s="67"/>
      <c r="BQ95" s="67"/>
      <c r="BR95" s="67"/>
      <c r="BS95" s="67"/>
      <c r="BT95" s="67"/>
      <c r="BU95" s="68"/>
      <c r="BW95" s="72">
        <v>1.0</v>
      </c>
      <c r="BX95" s="67"/>
      <c r="BY95" s="68"/>
      <c r="BZ95" s="75"/>
      <c r="CA95" s="67"/>
      <c r="CB95" s="67"/>
      <c r="CC95" s="67"/>
      <c r="CD95" s="68"/>
      <c r="CE95" s="76"/>
      <c r="CF95" s="67"/>
      <c r="CG95" s="67"/>
      <c r="CH95" s="67"/>
      <c r="CI95" s="68"/>
      <c r="CJ95" s="77" t="str">
        <f>IF(AND(CR93&lt;&gt;"",BZ95&lt;&gt;"",CE95&lt;&gt;""),IFERROR(CE95/(100-((BZ95/CR93)*100)),""),"")</f>
        <v/>
      </c>
      <c r="CK95" s="67"/>
      <c r="CL95" s="67"/>
      <c r="CM95" s="67"/>
      <c r="CN95" s="67"/>
      <c r="CO95" s="67"/>
      <c r="CP95" s="67"/>
      <c r="CQ95" s="67"/>
      <c r="CR95" s="67"/>
      <c r="CS95" s="68"/>
    </row>
    <row r="96" ht="15.75" customHeight="1">
      <c r="C96" s="72">
        <v>2.0</v>
      </c>
      <c r="D96" s="67"/>
      <c r="E96" s="68"/>
      <c r="F96" s="75">
        <v>60.0</v>
      </c>
      <c r="G96" s="67"/>
      <c r="H96" s="67"/>
      <c r="I96" s="67"/>
      <c r="J96" s="68"/>
      <c r="K96" s="76">
        <v>12.0</v>
      </c>
      <c r="L96" s="67"/>
      <c r="M96" s="67"/>
      <c r="N96" s="67"/>
      <c r="O96" s="68"/>
      <c r="P96" s="77">
        <f>IF(AND(X93&lt;&gt;"",F96&lt;&gt;"",K96&lt;&gt;""),IFERROR(K96/(100-((F96/X93)*100)),""),"")</f>
        <v>0.3969230769</v>
      </c>
      <c r="Q96" s="67"/>
      <c r="R96" s="67"/>
      <c r="S96" s="67"/>
      <c r="T96" s="67"/>
      <c r="U96" s="67"/>
      <c r="V96" s="67"/>
      <c r="W96" s="67"/>
      <c r="X96" s="67"/>
      <c r="Y96" s="68"/>
      <c r="AA96" s="72">
        <v>2.0</v>
      </c>
      <c r="AB96" s="67"/>
      <c r="AC96" s="68"/>
      <c r="AD96" s="75"/>
      <c r="AE96" s="67"/>
      <c r="AF96" s="67"/>
      <c r="AG96" s="67"/>
      <c r="AH96" s="68"/>
      <c r="AI96" s="76"/>
      <c r="AJ96" s="67"/>
      <c r="AK96" s="67"/>
      <c r="AL96" s="67"/>
      <c r="AM96" s="68"/>
      <c r="AN96" s="77" t="str">
        <f>IF(AND(AV93&lt;&gt;"",AD96&lt;&gt;"",AI96&lt;&gt;""),IFERROR(AI96/(100-((AD96/AV93)*100)),""),"")</f>
        <v/>
      </c>
      <c r="AO96" s="67"/>
      <c r="AP96" s="67"/>
      <c r="AQ96" s="67"/>
      <c r="AR96" s="67"/>
      <c r="AS96" s="67"/>
      <c r="AT96" s="67"/>
      <c r="AU96" s="67"/>
      <c r="AV96" s="67"/>
      <c r="AW96" s="68"/>
      <c r="AY96" s="72">
        <v>2.0</v>
      </c>
      <c r="AZ96" s="67"/>
      <c r="BA96" s="68"/>
      <c r="BB96" s="75"/>
      <c r="BC96" s="67"/>
      <c r="BD96" s="67"/>
      <c r="BE96" s="67"/>
      <c r="BF96" s="68"/>
      <c r="BG96" s="76"/>
      <c r="BH96" s="67"/>
      <c r="BI96" s="67"/>
      <c r="BJ96" s="67"/>
      <c r="BK96" s="68"/>
      <c r="BL96" s="77" t="str">
        <f>IF(AND(BT93&lt;&gt;"",BB96&lt;&gt;"",BG96&lt;&gt;""),IFERROR(BG96/(100-((BB96/BT93)*100)),""),"")</f>
        <v/>
      </c>
      <c r="BM96" s="67"/>
      <c r="BN96" s="67"/>
      <c r="BO96" s="67"/>
      <c r="BP96" s="67"/>
      <c r="BQ96" s="67"/>
      <c r="BR96" s="67"/>
      <c r="BS96" s="67"/>
      <c r="BT96" s="67"/>
      <c r="BU96" s="68"/>
      <c r="BW96" s="72">
        <v>2.0</v>
      </c>
      <c r="BX96" s="67"/>
      <c r="BY96" s="68"/>
      <c r="BZ96" s="75"/>
      <c r="CA96" s="67"/>
      <c r="CB96" s="67"/>
      <c r="CC96" s="67"/>
      <c r="CD96" s="68"/>
      <c r="CE96" s="76"/>
      <c r="CF96" s="67"/>
      <c r="CG96" s="67"/>
      <c r="CH96" s="67"/>
      <c r="CI96" s="68"/>
      <c r="CJ96" s="77" t="str">
        <f>IF(AND(CR93&lt;&gt;"",BZ96&lt;&gt;"",CE96&lt;&gt;""),IFERROR(CE96/(100-((BZ96/CR93)*100)),""),"")</f>
        <v/>
      </c>
      <c r="CK96" s="67"/>
      <c r="CL96" s="67"/>
      <c r="CM96" s="67"/>
      <c r="CN96" s="67"/>
      <c r="CO96" s="67"/>
      <c r="CP96" s="67"/>
      <c r="CQ96" s="67"/>
      <c r="CR96" s="67"/>
      <c r="CS96" s="68"/>
    </row>
    <row r="97" ht="15.75" customHeight="1">
      <c r="C97" s="72">
        <v>3.0</v>
      </c>
      <c r="D97" s="67"/>
      <c r="E97" s="68"/>
      <c r="F97" s="75">
        <v>60.0</v>
      </c>
      <c r="G97" s="67"/>
      <c r="H97" s="67"/>
      <c r="I97" s="67"/>
      <c r="J97" s="68"/>
      <c r="K97" s="76">
        <v>10.0</v>
      </c>
      <c r="L97" s="67"/>
      <c r="M97" s="67"/>
      <c r="N97" s="67"/>
      <c r="O97" s="68"/>
      <c r="P97" s="77">
        <f>IF(AND(X93&lt;&gt;"",F97&lt;&gt;"",K97&lt;&gt;""),IFERROR(K97/(100-((F97/X93)*100)),""),"")</f>
        <v>0.3307692308</v>
      </c>
      <c r="Q97" s="67"/>
      <c r="R97" s="67"/>
      <c r="S97" s="67"/>
      <c r="T97" s="67"/>
      <c r="U97" s="67"/>
      <c r="V97" s="67"/>
      <c r="W97" s="67"/>
      <c r="X97" s="67"/>
      <c r="Y97" s="68"/>
      <c r="AA97" s="72">
        <v>3.0</v>
      </c>
      <c r="AB97" s="67"/>
      <c r="AC97" s="68"/>
      <c r="AD97" s="75"/>
      <c r="AE97" s="67"/>
      <c r="AF97" s="67"/>
      <c r="AG97" s="67"/>
      <c r="AH97" s="68"/>
      <c r="AI97" s="76"/>
      <c r="AJ97" s="67"/>
      <c r="AK97" s="67"/>
      <c r="AL97" s="67"/>
      <c r="AM97" s="68"/>
      <c r="AN97" s="77" t="str">
        <f>IF(AND(AV93&lt;&gt;"",AD97&lt;&gt;"",AI97&lt;&gt;""),IFERROR(AI97/(100-((AD97/AV93)*100)),""),"")</f>
        <v/>
      </c>
      <c r="AO97" s="67"/>
      <c r="AP97" s="67"/>
      <c r="AQ97" s="67"/>
      <c r="AR97" s="67"/>
      <c r="AS97" s="67"/>
      <c r="AT97" s="67"/>
      <c r="AU97" s="67"/>
      <c r="AV97" s="67"/>
      <c r="AW97" s="68"/>
      <c r="AY97" s="72">
        <v>3.0</v>
      </c>
      <c r="AZ97" s="67"/>
      <c r="BA97" s="68"/>
      <c r="BB97" s="75"/>
      <c r="BC97" s="67"/>
      <c r="BD97" s="67"/>
      <c r="BE97" s="67"/>
      <c r="BF97" s="68"/>
      <c r="BG97" s="76"/>
      <c r="BH97" s="67"/>
      <c r="BI97" s="67"/>
      <c r="BJ97" s="67"/>
      <c r="BK97" s="68"/>
      <c r="BL97" s="77" t="str">
        <f>IF(AND(BT93&lt;&gt;"",BB97&lt;&gt;"",BG97&lt;&gt;""),IFERROR(BG97/(100-((BB97/BT93)*100)),""),"")</f>
        <v/>
      </c>
      <c r="BM97" s="67"/>
      <c r="BN97" s="67"/>
      <c r="BO97" s="67"/>
      <c r="BP97" s="67"/>
      <c r="BQ97" s="67"/>
      <c r="BR97" s="67"/>
      <c r="BS97" s="67"/>
      <c r="BT97" s="67"/>
      <c r="BU97" s="68"/>
      <c r="BW97" s="72">
        <v>3.0</v>
      </c>
      <c r="BX97" s="67"/>
      <c r="BY97" s="68"/>
      <c r="BZ97" s="75"/>
      <c r="CA97" s="67"/>
      <c r="CB97" s="67"/>
      <c r="CC97" s="67"/>
      <c r="CD97" s="68"/>
      <c r="CE97" s="76"/>
      <c r="CF97" s="67"/>
      <c r="CG97" s="67"/>
      <c r="CH97" s="67"/>
      <c r="CI97" s="68"/>
      <c r="CJ97" s="77" t="str">
        <f>IF(AND(CR93&lt;&gt;"",BZ97&lt;&gt;"",CE97&lt;&gt;""),IFERROR(CE97/(100-((BZ97/CR93)*100)),""),"")</f>
        <v/>
      </c>
      <c r="CK97" s="67"/>
      <c r="CL97" s="67"/>
      <c r="CM97" s="67"/>
      <c r="CN97" s="67"/>
      <c r="CO97" s="67"/>
      <c r="CP97" s="67"/>
      <c r="CQ97" s="67"/>
      <c r="CR97" s="67"/>
      <c r="CS97" s="68"/>
    </row>
    <row r="98" ht="15.75" customHeight="1">
      <c r="C98" s="72">
        <v>4.0</v>
      </c>
      <c r="D98" s="67"/>
      <c r="E98" s="68"/>
      <c r="F98" s="75"/>
      <c r="G98" s="67"/>
      <c r="H98" s="67"/>
      <c r="I98" s="67"/>
      <c r="J98" s="68"/>
      <c r="K98" s="76"/>
      <c r="L98" s="67"/>
      <c r="M98" s="67"/>
      <c r="N98" s="67"/>
      <c r="O98" s="68"/>
      <c r="P98" s="77" t="str">
        <f>IF(AND(X93&lt;&gt;"",F98&lt;&gt;"",K98&lt;&gt;""),IFERROR(K98/(100-((F98/X93)*100)),""),"")</f>
        <v/>
      </c>
      <c r="Q98" s="67"/>
      <c r="R98" s="67"/>
      <c r="S98" s="67"/>
      <c r="T98" s="67"/>
      <c r="U98" s="67"/>
      <c r="V98" s="67"/>
      <c r="W98" s="67"/>
      <c r="X98" s="67"/>
      <c r="Y98" s="68"/>
      <c r="AA98" s="72">
        <v>4.0</v>
      </c>
      <c r="AB98" s="67"/>
      <c r="AC98" s="68"/>
      <c r="AD98" s="75"/>
      <c r="AE98" s="67"/>
      <c r="AF98" s="67"/>
      <c r="AG98" s="67"/>
      <c r="AH98" s="68"/>
      <c r="AI98" s="76"/>
      <c r="AJ98" s="67"/>
      <c r="AK98" s="67"/>
      <c r="AL98" s="67"/>
      <c r="AM98" s="68"/>
      <c r="AN98" s="77" t="str">
        <f>IF(AND(AV93&lt;&gt;"",AD98&lt;&gt;"",AI98&lt;&gt;""),IFERROR(AI98/(100-((AD98/AV93)*100)),""),"")</f>
        <v/>
      </c>
      <c r="AO98" s="67"/>
      <c r="AP98" s="67"/>
      <c r="AQ98" s="67"/>
      <c r="AR98" s="67"/>
      <c r="AS98" s="67"/>
      <c r="AT98" s="67"/>
      <c r="AU98" s="67"/>
      <c r="AV98" s="67"/>
      <c r="AW98" s="68"/>
      <c r="AY98" s="72">
        <v>4.0</v>
      </c>
      <c r="AZ98" s="67"/>
      <c r="BA98" s="68"/>
      <c r="BB98" s="75"/>
      <c r="BC98" s="67"/>
      <c r="BD98" s="67"/>
      <c r="BE98" s="67"/>
      <c r="BF98" s="68"/>
      <c r="BG98" s="76"/>
      <c r="BH98" s="67"/>
      <c r="BI98" s="67"/>
      <c r="BJ98" s="67"/>
      <c r="BK98" s="68"/>
      <c r="BL98" s="77" t="str">
        <f>IF(AND(BT93&lt;&gt;"",BB98&lt;&gt;"",BG98&lt;&gt;""),IFERROR(BG98/(100-((BB98/BT93)*100)),""),"")</f>
        <v/>
      </c>
      <c r="BM98" s="67"/>
      <c r="BN98" s="67"/>
      <c r="BO98" s="67"/>
      <c r="BP98" s="67"/>
      <c r="BQ98" s="67"/>
      <c r="BR98" s="67"/>
      <c r="BS98" s="67"/>
      <c r="BT98" s="67"/>
      <c r="BU98" s="68"/>
      <c r="BW98" s="72">
        <v>4.0</v>
      </c>
      <c r="BX98" s="67"/>
      <c r="BY98" s="68"/>
      <c r="BZ98" s="75"/>
      <c r="CA98" s="67"/>
      <c r="CB98" s="67"/>
      <c r="CC98" s="67"/>
      <c r="CD98" s="68"/>
      <c r="CE98" s="76"/>
      <c r="CF98" s="67"/>
      <c r="CG98" s="67"/>
      <c r="CH98" s="67"/>
      <c r="CI98" s="68"/>
      <c r="CJ98" s="77" t="str">
        <f>IF(AND(CR93&lt;&gt;"",BZ98&lt;&gt;"",CE98&lt;&gt;""),IFERROR(CE98/(100-((BZ98/CR93)*100)),""),"")</f>
        <v/>
      </c>
      <c r="CK98" s="67"/>
      <c r="CL98" s="67"/>
      <c r="CM98" s="67"/>
      <c r="CN98" s="67"/>
      <c r="CO98" s="67"/>
      <c r="CP98" s="67"/>
      <c r="CQ98" s="67"/>
      <c r="CR98" s="67"/>
      <c r="CS98" s="68"/>
    </row>
    <row r="99" ht="15.75" customHeight="1">
      <c r="C99" s="72">
        <v>5.0</v>
      </c>
      <c r="D99" s="67"/>
      <c r="E99" s="68"/>
      <c r="F99" s="75"/>
      <c r="G99" s="67"/>
      <c r="H99" s="67"/>
      <c r="I99" s="67"/>
      <c r="J99" s="68"/>
      <c r="K99" s="76"/>
      <c r="L99" s="67"/>
      <c r="M99" s="67"/>
      <c r="N99" s="67"/>
      <c r="O99" s="68"/>
      <c r="P99" s="77" t="str">
        <f>IF(AND(X93&lt;&gt;"",F99&lt;&gt;"",K99&lt;&gt;""),IFERROR(K99/(100-((F99/X93)*100)),""),"")</f>
        <v/>
      </c>
      <c r="Q99" s="67"/>
      <c r="R99" s="67"/>
      <c r="S99" s="67"/>
      <c r="T99" s="67"/>
      <c r="U99" s="67"/>
      <c r="V99" s="67"/>
      <c r="W99" s="67"/>
      <c r="X99" s="67"/>
      <c r="Y99" s="68"/>
      <c r="AA99" s="72">
        <v>5.0</v>
      </c>
      <c r="AB99" s="67"/>
      <c r="AC99" s="68"/>
      <c r="AD99" s="75"/>
      <c r="AE99" s="67"/>
      <c r="AF99" s="67"/>
      <c r="AG99" s="67"/>
      <c r="AH99" s="68"/>
      <c r="AI99" s="76"/>
      <c r="AJ99" s="67"/>
      <c r="AK99" s="67"/>
      <c r="AL99" s="67"/>
      <c r="AM99" s="68"/>
      <c r="AN99" s="77" t="str">
        <f>IF(AND(AV93&lt;&gt;"",AD99&lt;&gt;"",AI99&lt;&gt;""),IFERROR(AI99/(100-((AD99/AV93)*100)),""),"")</f>
        <v/>
      </c>
      <c r="AO99" s="67"/>
      <c r="AP99" s="67"/>
      <c r="AQ99" s="67"/>
      <c r="AR99" s="67"/>
      <c r="AS99" s="67"/>
      <c r="AT99" s="67"/>
      <c r="AU99" s="67"/>
      <c r="AV99" s="67"/>
      <c r="AW99" s="68"/>
      <c r="AY99" s="72">
        <v>5.0</v>
      </c>
      <c r="AZ99" s="67"/>
      <c r="BA99" s="68"/>
      <c r="BB99" s="75"/>
      <c r="BC99" s="67"/>
      <c r="BD99" s="67"/>
      <c r="BE99" s="67"/>
      <c r="BF99" s="68"/>
      <c r="BG99" s="76"/>
      <c r="BH99" s="67"/>
      <c r="BI99" s="67"/>
      <c r="BJ99" s="67"/>
      <c r="BK99" s="68"/>
      <c r="BL99" s="77" t="str">
        <f>IF(AND(BT93&lt;&gt;"",BB99&lt;&gt;"",BG99&lt;&gt;""),IFERROR(BG99/(100-((BB99/BT93)*100)),""),"")</f>
        <v/>
      </c>
      <c r="BM99" s="67"/>
      <c r="BN99" s="67"/>
      <c r="BO99" s="67"/>
      <c r="BP99" s="67"/>
      <c r="BQ99" s="67"/>
      <c r="BR99" s="67"/>
      <c r="BS99" s="67"/>
      <c r="BT99" s="67"/>
      <c r="BU99" s="68"/>
      <c r="BW99" s="72">
        <v>5.0</v>
      </c>
      <c r="BX99" s="67"/>
      <c r="BY99" s="68"/>
      <c r="BZ99" s="75"/>
      <c r="CA99" s="67"/>
      <c r="CB99" s="67"/>
      <c r="CC99" s="67"/>
      <c r="CD99" s="68"/>
      <c r="CE99" s="76"/>
      <c r="CF99" s="67"/>
      <c r="CG99" s="67"/>
      <c r="CH99" s="67"/>
      <c r="CI99" s="68"/>
      <c r="CJ99" s="77" t="str">
        <f>IF(AND(CR93&lt;&gt;"",BZ99&lt;&gt;"",CE99&lt;&gt;""),IFERROR(CE99/(100-((BZ99/CR93)*100)),""),"")</f>
        <v/>
      </c>
      <c r="CK99" s="67"/>
      <c r="CL99" s="67"/>
      <c r="CM99" s="67"/>
      <c r="CN99" s="67"/>
      <c r="CO99" s="67"/>
      <c r="CP99" s="67"/>
      <c r="CQ99" s="67"/>
      <c r="CR99" s="67"/>
      <c r="CS99" s="68"/>
    </row>
    <row r="100" ht="15.75" customHeight="1">
      <c r="C100" s="72">
        <v>6.0</v>
      </c>
      <c r="D100" s="67"/>
      <c r="E100" s="68"/>
      <c r="F100" s="75"/>
      <c r="G100" s="67"/>
      <c r="H100" s="67"/>
      <c r="I100" s="67"/>
      <c r="J100" s="68"/>
      <c r="K100" s="76"/>
      <c r="L100" s="67"/>
      <c r="M100" s="67"/>
      <c r="N100" s="67"/>
      <c r="O100" s="68"/>
      <c r="P100" s="77" t="str">
        <f>IF(AND(X93&lt;&gt;"",F100&lt;&gt;"",K100&lt;&gt;""),IFERROR(K100/(100-((F100/X93)*100)),""),"")</f>
        <v/>
      </c>
      <c r="Q100" s="67"/>
      <c r="R100" s="67"/>
      <c r="S100" s="67"/>
      <c r="T100" s="67"/>
      <c r="U100" s="67"/>
      <c r="V100" s="67"/>
      <c r="W100" s="67"/>
      <c r="X100" s="67"/>
      <c r="Y100" s="68"/>
      <c r="AA100" s="78"/>
      <c r="AB100" s="79">
        <v>6.0</v>
      </c>
      <c r="AC100" s="80"/>
      <c r="AD100" s="75"/>
      <c r="AE100" s="67"/>
      <c r="AF100" s="67"/>
      <c r="AG100" s="67"/>
      <c r="AH100" s="68"/>
      <c r="AI100" s="76"/>
      <c r="AJ100" s="67"/>
      <c r="AK100" s="67"/>
      <c r="AL100" s="67"/>
      <c r="AM100" s="68"/>
      <c r="AN100" s="77" t="str">
        <f>IF(AND(AV93&lt;&gt;"",AD100&lt;&gt;"",AI100&lt;&gt;""),IFERROR(AI100/(100-((AD100/AV93)*100)),""),"")</f>
        <v/>
      </c>
      <c r="AO100" s="67"/>
      <c r="AP100" s="67"/>
      <c r="AQ100" s="67"/>
      <c r="AR100" s="67"/>
      <c r="AS100" s="67"/>
      <c r="AT100" s="67"/>
      <c r="AU100" s="67"/>
      <c r="AV100" s="67"/>
      <c r="AW100" s="68"/>
      <c r="AY100" s="78"/>
      <c r="AZ100" s="79">
        <v>6.0</v>
      </c>
      <c r="BA100" s="80"/>
      <c r="BB100" s="75"/>
      <c r="BC100" s="67"/>
      <c r="BD100" s="67"/>
      <c r="BE100" s="67"/>
      <c r="BF100" s="68"/>
      <c r="BG100" s="76"/>
      <c r="BH100" s="67"/>
      <c r="BI100" s="67"/>
      <c r="BJ100" s="67"/>
      <c r="BK100" s="68"/>
      <c r="BL100" s="77" t="str">
        <f>IF(AND(BT93&lt;&gt;"",BB100&lt;&gt;"",BG100&lt;&gt;""),IFERROR(BG100/(100-((BB100/BT93)*100)),""),"")</f>
        <v/>
      </c>
      <c r="BM100" s="67"/>
      <c r="BN100" s="67"/>
      <c r="BO100" s="67"/>
      <c r="BP100" s="67"/>
      <c r="BQ100" s="67"/>
      <c r="BR100" s="67"/>
      <c r="BS100" s="67"/>
      <c r="BT100" s="67"/>
      <c r="BU100" s="68"/>
      <c r="BW100" s="78"/>
      <c r="BX100" s="79">
        <v>6.0</v>
      </c>
      <c r="BY100" s="80"/>
      <c r="BZ100" s="75"/>
      <c r="CA100" s="67"/>
      <c r="CB100" s="67"/>
      <c r="CC100" s="67"/>
      <c r="CD100" s="68"/>
      <c r="CE100" s="76"/>
      <c r="CF100" s="67"/>
      <c r="CG100" s="67"/>
      <c r="CH100" s="67"/>
      <c r="CI100" s="68"/>
      <c r="CJ100" s="77" t="str">
        <f>IF(AND(CR93&lt;&gt;"",BZ100&lt;&gt;"",CE100&lt;&gt;""),IFERROR(CE100/(100-((BZ100/CR93)*100)),""),"")</f>
        <v/>
      </c>
      <c r="CK100" s="67"/>
      <c r="CL100" s="67"/>
      <c r="CM100" s="67"/>
      <c r="CN100" s="67"/>
      <c r="CO100" s="67"/>
      <c r="CP100" s="67"/>
      <c r="CQ100" s="67"/>
      <c r="CR100" s="67"/>
      <c r="CS100" s="68"/>
    </row>
    <row r="101" ht="15.75" customHeight="1">
      <c r="C101" s="72" t="s">
        <v>31</v>
      </c>
      <c r="D101" s="67"/>
      <c r="E101" s="68"/>
      <c r="F101" s="77">
        <f>IFERROR(AVERAGE(F95:J99),"")</f>
        <v>60</v>
      </c>
      <c r="G101" s="67"/>
      <c r="H101" s="67"/>
      <c r="I101" s="67"/>
      <c r="J101" s="68"/>
      <c r="K101" s="71">
        <f>IFERROR(AVERAGE(K95:O99),"")</f>
        <v>11.33333333</v>
      </c>
      <c r="L101" s="67"/>
      <c r="M101" s="67"/>
      <c r="N101" s="67"/>
      <c r="O101" s="68"/>
      <c r="P101" s="77">
        <f>IFERROR(AVERAGE(P95:Y99),"")</f>
        <v>0.3748717949</v>
      </c>
      <c r="Q101" s="67"/>
      <c r="R101" s="67"/>
      <c r="S101" s="67"/>
      <c r="T101" s="67"/>
      <c r="U101" s="67"/>
      <c r="V101" s="67"/>
      <c r="W101" s="67"/>
      <c r="X101" s="67"/>
      <c r="Y101" s="68"/>
      <c r="AA101" s="72" t="s">
        <v>31</v>
      </c>
      <c r="AB101" s="67"/>
      <c r="AC101" s="68"/>
      <c r="AD101" s="77" t="str">
        <f>IFERROR(AVERAGE(AD95:AH99),"")</f>
        <v/>
      </c>
      <c r="AE101" s="67"/>
      <c r="AF101" s="67"/>
      <c r="AG101" s="67"/>
      <c r="AH101" s="68"/>
      <c r="AI101" s="71" t="str">
        <f>IFERROR(AVERAGE(AI95:AM99),"")</f>
        <v/>
      </c>
      <c r="AJ101" s="67"/>
      <c r="AK101" s="67"/>
      <c r="AL101" s="67"/>
      <c r="AM101" s="68"/>
      <c r="AN101" s="77" t="str">
        <f>IFERROR(AVERAGE(AN95:AW99),"")</f>
        <v/>
      </c>
      <c r="AO101" s="67"/>
      <c r="AP101" s="67"/>
      <c r="AQ101" s="67"/>
      <c r="AR101" s="67"/>
      <c r="AS101" s="67"/>
      <c r="AT101" s="67"/>
      <c r="AU101" s="67"/>
      <c r="AV101" s="67"/>
      <c r="AW101" s="68"/>
      <c r="AY101" s="72" t="s">
        <v>31</v>
      </c>
      <c r="AZ101" s="67"/>
      <c r="BA101" s="68"/>
      <c r="BB101" s="77" t="str">
        <f>IFERROR(AVERAGE(BB95:BF99),"")</f>
        <v/>
      </c>
      <c r="BC101" s="67"/>
      <c r="BD101" s="67"/>
      <c r="BE101" s="67"/>
      <c r="BF101" s="68"/>
      <c r="BG101" s="71" t="str">
        <f>IFERROR(AVERAGE(BG95:BK99),"")</f>
        <v/>
      </c>
      <c r="BH101" s="67"/>
      <c r="BI101" s="67"/>
      <c r="BJ101" s="67"/>
      <c r="BK101" s="68"/>
      <c r="BL101" s="77" t="str">
        <f>IFERROR(AVERAGE(BL95:BU99),"")</f>
        <v/>
      </c>
      <c r="BM101" s="67"/>
      <c r="BN101" s="67"/>
      <c r="BO101" s="67"/>
      <c r="BP101" s="67"/>
      <c r="BQ101" s="67"/>
      <c r="BR101" s="67"/>
      <c r="BS101" s="67"/>
      <c r="BT101" s="67"/>
      <c r="BU101" s="68"/>
      <c r="BW101" s="72" t="s">
        <v>31</v>
      </c>
      <c r="BX101" s="67"/>
      <c r="BY101" s="68"/>
      <c r="BZ101" s="77" t="str">
        <f>IFERROR(AVERAGE(BZ95:CD99),"")</f>
        <v/>
      </c>
      <c r="CA101" s="67"/>
      <c r="CB101" s="67"/>
      <c r="CC101" s="67"/>
      <c r="CD101" s="68"/>
      <c r="CE101" s="71" t="str">
        <f>IFERROR(AVERAGE(CE95:CI99),"")</f>
        <v/>
      </c>
      <c r="CF101" s="67"/>
      <c r="CG101" s="67"/>
      <c r="CH101" s="67"/>
      <c r="CI101" s="68"/>
      <c r="CJ101" s="77" t="str">
        <f>IFERROR(AVERAGE(CJ95:CS99),"")</f>
        <v/>
      </c>
      <c r="CK101" s="67"/>
      <c r="CL101" s="67"/>
      <c r="CM101" s="67"/>
      <c r="CN101" s="67"/>
      <c r="CO101" s="67"/>
      <c r="CP101" s="67"/>
      <c r="CQ101" s="67"/>
      <c r="CR101" s="67"/>
      <c r="CS101" s="68"/>
    </row>
    <row r="102" ht="30.0" customHeight="1">
      <c r="C102" s="81" t="s">
        <v>42</v>
      </c>
      <c r="D102" s="67"/>
      <c r="E102" s="68"/>
      <c r="F102" s="77">
        <f>IFERROR(SUM(F95:J99),"")</f>
        <v>180</v>
      </c>
      <c r="G102" s="67"/>
      <c r="H102" s="67"/>
      <c r="I102" s="67"/>
      <c r="J102" s="68"/>
      <c r="K102" s="71">
        <f>IFERROR(SUM(K95:O99),"")</f>
        <v>34</v>
      </c>
      <c r="L102" s="67"/>
      <c r="M102" s="67"/>
      <c r="N102" s="67"/>
      <c r="O102" s="68"/>
      <c r="P102" s="82">
        <f>IFERROR(SUM(P95:Y100),"")</f>
        <v>1.124615385</v>
      </c>
      <c r="Q102" s="67"/>
      <c r="R102" s="67"/>
      <c r="S102" s="67"/>
      <c r="T102" s="67"/>
      <c r="U102" s="67"/>
      <c r="V102" s="67"/>
      <c r="W102" s="67"/>
      <c r="X102" s="67"/>
      <c r="Y102" s="68"/>
      <c r="AA102" s="81" t="s">
        <v>42</v>
      </c>
      <c r="AB102" s="67"/>
      <c r="AC102" s="68"/>
      <c r="AD102" s="77">
        <f>IFERROR(SUM(AD95:AH99),"")</f>
        <v>0</v>
      </c>
      <c r="AE102" s="67"/>
      <c r="AF102" s="67"/>
      <c r="AG102" s="67"/>
      <c r="AH102" s="68"/>
      <c r="AI102" s="71">
        <f>IFERROR(SUM(AI95:AM99),"")</f>
        <v>0</v>
      </c>
      <c r="AJ102" s="67"/>
      <c r="AK102" s="67"/>
      <c r="AL102" s="67"/>
      <c r="AM102" s="68"/>
      <c r="AN102" s="82">
        <f>IFERROR(SUM(AN95:AW100),"")</f>
        <v>0</v>
      </c>
      <c r="AO102" s="67"/>
      <c r="AP102" s="67"/>
      <c r="AQ102" s="67"/>
      <c r="AR102" s="67"/>
      <c r="AS102" s="67"/>
      <c r="AT102" s="67"/>
      <c r="AU102" s="67"/>
      <c r="AV102" s="67"/>
      <c r="AW102" s="68"/>
      <c r="AY102" s="81" t="s">
        <v>42</v>
      </c>
      <c r="AZ102" s="67"/>
      <c r="BA102" s="68"/>
      <c r="BB102" s="77">
        <f>IFERROR(SUM(BB95:BF99),"")</f>
        <v>0</v>
      </c>
      <c r="BC102" s="67"/>
      <c r="BD102" s="67"/>
      <c r="BE102" s="67"/>
      <c r="BF102" s="68"/>
      <c r="BG102" s="71">
        <f>IFERROR(SUM(BG95:BK99),"")</f>
        <v>0</v>
      </c>
      <c r="BH102" s="67"/>
      <c r="BI102" s="67"/>
      <c r="BJ102" s="67"/>
      <c r="BK102" s="68"/>
      <c r="BL102" s="82">
        <f>IFERROR(SUM(BL95:BU100),"")</f>
        <v>0</v>
      </c>
      <c r="BM102" s="67"/>
      <c r="BN102" s="67"/>
      <c r="BO102" s="67"/>
      <c r="BP102" s="67"/>
      <c r="BQ102" s="67"/>
      <c r="BR102" s="67"/>
      <c r="BS102" s="67"/>
      <c r="BT102" s="67"/>
      <c r="BU102" s="68"/>
      <c r="BW102" s="81" t="s">
        <v>42</v>
      </c>
      <c r="BX102" s="67"/>
      <c r="BY102" s="68"/>
      <c r="BZ102" s="77">
        <f>IFERROR(SUM(BZ95:CD99),"")</f>
        <v>0</v>
      </c>
      <c r="CA102" s="67"/>
      <c r="CB102" s="67"/>
      <c r="CC102" s="67"/>
      <c r="CD102" s="68"/>
      <c r="CE102" s="71">
        <f>IFERROR(SUM(CE95:CI99),"")</f>
        <v>0</v>
      </c>
      <c r="CF102" s="67"/>
      <c r="CG102" s="67"/>
      <c r="CH102" s="67"/>
      <c r="CI102" s="68"/>
      <c r="CJ102" s="82">
        <f>IFERROR(SUM(CJ95:CS100),"")</f>
        <v>0</v>
      </c>
      <c r="CK102" s="67"/>
      <c r="CL102" s="67"/>
      <c r="CM102" s="67"/>
      <c r="CN102" s="67"/>
      <c r="CO102" s="67"/>
      <c r="CP102" s="67"/>
      <c r="CQ102" s="67"/>
      <c r="CR102" s="67"/>
      <c r="CS102" s="68"/>
    </row>
    <row r="103" ht="15.75" customHeight="1">
      <c r="C103" s="69" t="s">
        <v>7</v>
      </c>
      <c r="D103" s="67"/>
      <c r="E103" s="67"/>
      <c r="F103" s="67"/>
      <c r="G103" s="68"/>
      <c r="H103" s="70"/>
      <c r="I103" s="67"/>
      <c r="J103" s="67"/>
      <c r="K103" s="67"/>
      <c r="L103" s="68"/>
      <c r="M103" s="71"/>
      <c r="N103" s="67"/>
      <c r="O103" s="67"/>
      <c r="P103" s="67"/>
      <c r="Q103" s="68"/>
      <c r="R103" s="72" t="s">
        <v>9</v>
      </c>
      <c r="S103" s="67"/>
      <c r="T103" s="67"/>
      <c r="U103" s="67"/>
      <c r="V103" s="67"/>
      <c r="W103" s="68"/>
      <c r="X103" s="73"/>
      <c r="Y103" s="68"/>
      <c r="AA103" s="69" t="s">
        <v>7</v>
      </c>
      <c r="AB103" s="67"/>
      <c r="AC103" s="67"/>
      <c r="AD103" s="67"/>
      <c r="AE103" s="68"/>
      <c r="AF103" s="70"/>
      <c r="AG103" s="67"/>
      <c r="AH103" s="67"/>
      <c r="AI103" s="67"/>
      <c r="AJ103" s="68"/>
      <c r="AK103" s="71"/>
      <c r="AL103" s="67"/>
      <c r="AM103" s="67"/>
      <c r="AN103" s="67"/>
      <c r="AO103" s="68"/>
      <c r="AP103" s="72" t="s">
        <v>9</v>
      </c>
      <c r="AQ103" s="67"/>
      <c r="AR103" s="67"/>
      <c r="AS103" s="67"/>
      <c r="AT103" s="67"/>
      <c r="AU103" s="68"/>
      <c r="AV103" s="73"/>
      <c r="AW103" s="68"/>
      <c r="AY103" s="69" t="s">
        <v>7</v>
      </c>
      <c r="AZ103" s="67"/>
      <c r="BA103" s="67"/>
      <c r="BB103" s="67"/>
      <c r="BC103" s="68"/>
      <c r="BD103" s="70"/>
      <c r="BE103" s="67"/>
      <c r="BF103" s="67"/>
      <c r="BG103" s="67"/>
      <c r="BH103" s="68"/>
      <c r="BI103" s="71"/>
      <c r="BJ103" s="67"/>
      <c r="BK103" s="67"/>
      <c r="BL103" s="67"/>
      <c r="BM103" s="68"/>
      <c r="BN103" s="72" t="s">
        <v>9</v>
      </c>
      <c r="BO103" s="67"/>
      <c r="BP103" s="67"/>
      <c r="BQ103" s="67"/>
      <c r="BR103" s="67"/>
      <c r="BS103" s="68"/>
      <c r="BT103" s="73"/>
      <c r="BU103" s="68"/>
      <c r="BW103" s="69" t="s">
        <v>7</v>
      </c>
      <c r="BX103" s="67"/>
      <c r="BY103" s="67"/>
      <c r="BZ103" s="67"/>
      <c r="CA103" s="68"/>
      <c r="CB103" s="70"/>
      <c r="CC103" s="67"/>
      <c r="CD103" s="67"/>
      <c r="CE103" s="67"/>
      <c r="CF103" s="68"/>
      <c r="CG103" s="71"/>
      <c r="CH103" s="67"/>
      <c r="CI103" s="67"/>
      <c r="CJ103" s="67"/>
      <c r="CK103" s="68"/>
      <c r="CL103" s="72" t="s">
        <v>9</v>
      </c>
      <c r="CM103" s="67"/>
      <c r="CN103" s="67"/>
      <c r="CO103" s="67"/>
      <c r="CP103" s="67"/>
      <c r="CQ103" s="68"/>
      <c r="CR103" s="73"/>
      <c r="CS103" s="68"/>
    </row>
    <row r="104" ht="15.75" customHeight="1">
      <c r="C104" s="74" t="s">
        <v>23</v>
      </c>
      <c r="D104" s="67"/>
      <c r="E104" s="68"/>
      <c r="F104" s="74" t="s">
        <v>24</v>
      </c>
      <c r="G104" s="67"/>
      <c r="H104" s="67"/>
      <c r="I104" s="67"/>
      <c r="J104" s="68"/>
      <c r="K104" s="74" t="s">
        <v>25</v>
      </c>
      <c r="L104" s="67"/>
      <c r="M104" s="67"/>
      <c r="N104" s="67"/>
      <c r="O104" s="68"/>
      <c r="P104" s="74" t="s">
        <v>26</v>
      </c>
      <c r="Q104" s="67"/>
      <c r="R104" s="67"/>
      <c r="S104" s="67"/>
      <c r="T104" s="67"/>
      <c r="U104" s="67"/>
      <c r="V104" s="67"/>
      <c r="W104" s="67"/>
      <c r="X104" s="67"/>
      <c r="Y104" s="68"/>
      <c r="AA104" s="74" t="s">
        <v>23</v>
      </c>
      <c r="AB104" s="67"/>
      <c r="AC104" s="68"/>
      <c r="AD104" s="74" t="s">
        <v>24</v>
      </c>
      <c r="AE104" s="67"/>
      <c r="AF104" s="67"/>
      <c r="AG104" s="67"/>
      <c r="AH104" s="68"/>
      <c r="AI104" s="74" t="s">
        <v>25</v>
      </c>
      <c r="AJ104" s="67"/>
      <c r="AK104" s="67"/>
      <c r="AL104" s="67"/>
      <c r="AM104" s="68"/>
      <c r="AN104" s="74" t="s">
        <v>26</v>
      </c>
      <c r="AO104" s="67"/>
      <c r="AP104" s="67"/>
      <c r="AQ104" s="67"/>
      <c r="AR104" s="67"/>
      <c r="AS104" s="67"/>
      <c r="AT104" s="67"/>
      <c r="AU104" s="67"/>
      <c r="AV104" s="67"/>
      <c r="AW104" s="68"/>
      <c r="AY104" s="74" t="s">
        <v>23</v>
      </c>
      <c r="AZ104" s="67"/>
      <c r="BA104" s="68"/>
      <c r="BB104" s="74" t="s">
        <v>24</v>
      </c>
      <c r="BC104" s="67"/>
      <c r="BD104" s="67"/>
      <c r="BE104" s="67"/>
      <c r="BF104" s="68"/>
      <c r="BG104" s="74" t="s">
        <v>25</v>
      </c>
      <c r="BH104" s="67"/>
      <c r="BI104" s="67"/>
      <c r="BJ104" s="67"/>
      <c r="BK104" s="68"/>
      <c r="BL104" s="74" t="s">
        <v>26</v>
      </c>
      <c r="BM104" s="67"/>
      <c r="BN104" s="67"/>
      <c r="BO104" s="67"/>
      <c r="BP104" s="67"/>
      <c r="BQ104" s="67"/>
      <c r="BR104" s="67"/>
      <c r="BS104" s="67"/>
      <c r="BT104" s="67"/>
      <c r="BU104" s="68"/>
      <c r="BW104" s="74" t="s">
        <v>23</v>
      </c>
      <c r="BX104" s="67"/>
      <c r="BY104" s="68"/>
      <c r="BZ104" s="74" t="s">
        <v>24</v>
      </c>
      <c r="CA104" s="67"/>
      <c r="CB104" s="67"/>
      <c r="CC104" s="67"/>
      <c r="CD104" s="68"/>
      <c r="CE104" s="74" t="s">
        <v>25</v>
      </c>
      <c r="CF104" s="67"/>
      <c r="CG104" s="67"/>
      <c r="CH104" s="67"/>
      <c r="CI104" s="68"/>
      <c r="CJ104" s="74" t="s">
        <v>26</v>
      </c>
      <c r="CK104" s="67"/>
      <c r="CL104" s="67"/>
      <c r="CM104" s="67"/>
      <c r="CN104" s="67"/>
      <c r="CO104" s="67"/>
      <c r="CP104" s="67"/>
      <c r="CQ104" s="67"/>
      <c r="CR104" s="67"/>
      <c r="CS104" s="68"/>
    </row>
    <row r="105" ht="15.75" customHeight="1">
      <c r="C105" s="72">
        <v>1.0</v>
      </c>
      <c r="D105" s="67"/>
      <c r="E105" s="68"/>
      <c r="F105" s="75"/>
      <c r="G105" s="67"/>
      <c r="H105" s="67"/>
      <c r="I105" s="67"/>
      <c r="J105" s="68"/>
      <c r="K105" s="76"/>
      <c r="L105" s="67"/>
      <c r="M105" s="67"/>
      <c r="N105" s="67"/>
      <c r="O105" s="68"/>
      <c r="P105" s="77" t="str">
        <f>IF(AND(X103&lt;&gt;"",F105&lt;&gt;"",K105&lt;&gt;""),IFERROR(K105/(100-((F105/X103)*100)),""),"")</f>
        <v/>
      </c>
      <c r="Q105" s="67"/>
      <c r="R105" s="67"/>
      <c r="S105" s="67"/>
      <c r="T105" s="67"/>
      <c r="U105" s="67"/>
      <c r="V105" s="67"/>
      <c r="W105" s="67"/>
      <c r="X105" s="67"/>
      <c r="Y105" s="68"/>
      <c r="AA105" s="72">
        <v>1.0</v>
      </c>
      <c r="AB105" s="67"/>
      <c r="AC105" s="68"/>
      <c r="AD105" s="75"/>
      <c r="AE105" s="67"/>
      <c r="AF105" s="67"/>
      <c r="AG105" s="67"/>
      <c r="AH105" s="68"/>
      <c r="AI105" s="76"/>
      <c r="AJ105" s="67"/>
      <c r="AK105" s="67"/>
      <c r="AL105" s="67"/>
      <c r="AM105" s="68"/>
      <c r="AN105" s="77" t="str">
        <f>IF(AND(AV103&lt;&gt;"",AD105&lt;&gt;"",AI105&lt;&gt;""),IFERROR(AI105/(100-((AD105/AV103)*100)),""),"")</f>
        <v/>
      </c>
      <c r="AO105" s="67"/>
      <c r="AP105" s="67"/>
      <c r="AQ105" s="67"/>
      <c r="AR105" s="67"/>
      <c r="AS105" s="67"/>
      <c r="AT105" s="67"/>
      <c r="AU105" s="67"/>
      <c r="AV105" s="67"/>
      <c r="AW105" s="68"/>
      <c r="AY105" s="72">
        <v>1.0</v>
      </c>
      <c r="AZ105" s="67"/>
      <c r="BA105" s="68"/>
      <c r="BB105" s="75"/>
      <c r="BC105" s="67"/>
      <c r="BD105" s="67"/>
      <c r="BE105" s="67"/>
      <c r="BF105" s="68"/>
      <c r="BG105" s="76"/>
      <c r="BH105" s="67"/>
      <c r="BI105" s="67"/>
      <c r="BJ105" s="67"/>
      <c r="BK105" s="68"/>
      <c r="BL105" s="77" t="str">
        <f>IF(AND(BT103&lt;&gt;"",BB105&lt;&gt;"",BG105&lt;&gt;""),IFERROR(BG105/(100-((BB105/BT103)*100)),""),"")</f>
        <v/>
      </c>
      <c r="BM105" s="67"/>
      <c r="BN105" s="67"/>
      <c r="BO105" s="67"/>
      <c r="BP105" s="67"/>
      <c r="BQ105" s="67"/>
      <c r="BR105" s="67"/>
      <c r="BS105" s="67"/>
      <c r="BT105" s="67"/>
      <c r="BU105" s="68"/>
      <c r="BW105" s="72">
        <v>1.0</v>
      </c>
      <c r="BX105" s="67"/>
      <c r="BY105" s="68"/>
      <c r="BZ105" s="75"/>
      <c r="CA105" s="67"/>
      <c r="CB105" s="67"/>
      <c r="CC105" s="67"/>
      <c r="CD105" s="68"/>
      <c r="CE105" s="76"/>
      <c r="CF105" s="67"/>
      <c r="CG105" s="67"/>
      <c r="CH105" s="67"/>
      <c r="CI105" s="68"/>
      <c r="CJ105" s="77" t="str">
        <f>IF(AND(CR103&lt;&gt;"",BZ105&lt;&gt;"",CE105&lt;&gt;""),IFERROR(CE105/(100-((BZ105/CR103)*100)),""),"")</f>
        <v/>
      </c>
      <c r="CK105" s="67"/>
      <c r="CL105" s="67"/>
      <c r="CM105" s="67"/>
      <c r="CN105" s="67"/>
      <c r="CO105" s="67"/>
      <c r="CP105" s="67"/>
      <c r="CQ105" s="67"/>
      <c r="CR105" s="67"/>
      <c r="CS105" s="68"/>
    </row>
    <row r="106" ht="15.75" customHeight="1">
      <c r="C106" s="72">
        <v>2.0</v>
      </c>
      <c r="D106" s="67"/>
      <c r="E106" s="68"/>
      <c r="F106" s="75"/>
      <c r="G106" s="67"/>
      <c r="H106" s="67"/>
      <c r="I106" s="67"/>
      <c r="J106" s="68"/>
      <c r="K106" s="76"/>
      <c r="L106" s="67"/>
      <c r="M106" s="67"/>
      <c r="N106" s="67"/>
      <c r="O106" s="68"/>
      <c r="P106" s="77" t="str">
        <f>IF(AND(X103&lt;&gt;"",F106&lt;&gt;"",K106&lt;&gt;""),IFERROR(K106/(100-((F106/X103)*100)),""),"")</f>
        <v/>
      </c>
      <c r="Q106" s="67"/>
      <c r="R106" s="67"/>
      <c r="S106" s="67"/>
      <c r="T106" s="67"/>
      <c r="U106" s="67"/>
      <c r="V106" s="67"/>
      <c r="W106" s="67"/>
      <c r="X106" s="67"/>
      <c r="Y106" s="68"/>
      <c r="AA106" s="72">
        <v>2.0</v>
      </c>
      <c r="AB106" s="67"/>
      <c r="AC106" s="68"/>
      <c r="AD106" s="75"/>
      <c r="AE106" s="67"/>
      <c r="AF106" s="67"/>
      <c r="AG106" s="67"/>
      <c r="AH106" s="68"/>
      <c r="AI106" s="76"/>
      <c r="AJ106" s="67"/>
      <c r="AK106" s="67"/>
      <c r="AL106" s="67"/>
      <c r="AM106" s="68"/>
      <c r="AN106" s="77" t="str">
        <f>IF(AND(AV103&lt;&gt;"",AD106&lt;&gt;"",AI106&lt;&gt;""),IFERROR(AI106/(100-((AD106/AV103)*100)),""),"")</f>
        <v/>
      </c>
      <c r="AO106" s="67"/>
      <c r="AP106" s="67"/>
      <c r="AQ106" s="67"/>
      <c r="AR106" s="67"/>
      <c r="AS106" s="67"/>
      <c r="AT106" s="67"/>
      <c r="AU106" s="67"/>
      <c r="AV106" s="67"/>
      <c r="AW106" s="68"/>
      <c r="AY106" s="72">
        <v>2.0</v>
      </c>
      <c r="AZ106" s="67"/>
      <c r="BA106" s="68"/>
      <c r="BB106" s="75"/>
      <c r="BC106" s="67"/>
      <c r="BD106" s="67"/>
      <c r="BE106" s="67"/>
      <c r="BF106" s="68"/>
      <c r="BG106" s="76"/>
      <c r="BH106" s="67"/>
      <c r="BI106" s="67"/>
      <c r="BJ106" s="67"/>
      <c r="BK106" s="68"/>
      <c r="BL106" s="77" t="str">
        <f>IF(AND(BT103&lt;&gt;"",BB106&lt;&gt;"",BG106&lt;&gt;""),IFERROR(BG106/(100-((BB106/BT103)*100)),""),"")</f>
        <v/>
      </c>
      <c r="BM106" s="67"/>
      <c r="BN106" s="67"/>
      <c r="BO106" s="67"/>
      <c r="BP106" s="67"/>
      <c r="BQ106" s="67"/>
      <c r="BR106" s="67"/>
      <c r="BS106" s="67"/>
      <c r="BT106" s="67"/>
      <c r="BU106" s="68"/>
      <c r="BW106" s="72">
        <v>2.0</v>
      </c>
      <c r="BX106" s="67"/>
      <c r="BY106" s="68"/>
      <c r="BZ106" s="75"/>
      <c r="CA106" s="67"/>
      <c r="CB106" s="67"/>
      <c r="CC106" s="67"/>
      <c r="CD106" s="68"/>
      <c r="CE106" s="76"/>
      <c r="CF106" s="67"/>
      <c r="CG106" s="67"/>
      <c r="CH106" s="67"/>
      <c r="CI106" s="68"/>
      <c r="CJ106" s="77" t="str">
        <f>IF(AND(CR103&lt;&gt;"",BZ106&lt;&gt;"",CE106&lt;&gt;""),IFERROR(CE106/(100-((BZ106/CR103)*100)),""),"")</f>
        <v/>
      </c>
      <c r="CK106" s="67"/>
      <c r="CL106" s="67"/>
      <c r="CM106" s="67"/>
      <c r="CN106" s="67"/>
      <c r="CO106" s="67"/>
      <c r="CP106" s="67"/>
      <c r="CQ106" s="67"/>
      <c r="CR106" s="67"/>
      <c r="CS106" s="68"/>
    </row>
    <row r="107" ht="15.75" customHeight="1">
      <c r="C107" s="72">
        <v>3.0</v>
      </c>
      <c r="D107" s="67"/>
      <c r="E107" s="68"/>
      <c r="F107" s="75"/>
      <c r="G107" s="67"/>
      <c r="H107" s="67"/>
      <c r="I107" s="67"/>
      <c r="J107" s="68"/>
      <c r="K107" s="76"/>
      <c r="L107" s="67"/>
      <c r="M107" s="67"/>
      <c r="N107" s="67"/>
      <c r="O107" s="68"/>
      <c r="P107" s="77" t="str">
        <f>IF(AND(X103&lt;&gt;"",F107&lt;&gt;"",K107&lt;&gt;""),IFERROR(K107/(100-((F107/X103)*100)),""),"")</f>
        <v/>
      </c>
      <c r="Q107" s="67"/>
      <c r="R107" s="67"/>
      <c r="S107" s="67"/>
      <c r="T107" s="67"/>
      <c r="U107" s="67"/>
      <c r="V107" s="67"/>
      <c r="W107" s="67"/>
      <c r="X107" s="67"/>
      <c r="Y107" s="68"/>
      <c r="AA107" s="72">
        <v>3.0</v>
      </c>
      <c r="AB107" s="67"/>
      <c r="AC107" s="68"/>
      <c r="AD107" s="75"/>
      <c r="AE107" s="67"/>
      <c r="AF107" s="67"/>
      <c r="AG107" s="67"/>
      <c r="AH107" s="68"/>
      <c r="AI107" s="76"/>
      <c r="AJ107" s="67"/>
      <c r="AK107" s="67"/>
      <c r="AL107" s="67"/>
      <c r="AM107" s="68"/>
      <c r="AN107" s="77" t="str">
        <f>IF(AND(AV103&lt;&gt;"",AD107&lt;&gt;"",AI107&lt;&gt;""),IFERROR(AI107/(100-((AD107/AV103)*100)),""),"")</f>
        <v/>
      </c>
      <c r="AO107" s="67"/>
      <c r="AP107" s="67"/>
      <c r="AQ107" s="67"/>
      <c r="AR107" s="67"/>
      <c r="AS107" s="67"/>
      <c r="AT107" s="67"/>
      <c r="AU107" s="67"/>
      <c r="AV107" s="67"/>
      <c r="AW107" s="68"/>
      <c r="AY107" s="72">
        <v>3.0</v>
      </c>
      <c r="AZ107" s="67"/>
      <c r="BA107" s="68"/>
      <c r="BB107" s="75"/>
      <c r="BC107" s="67"/>
      <c r="BD107" s="67"/>
      <c r="BE107" s="67"/>
      <c r="BF107" s="68"/>
      <c r="BG107" s="76"/>
      <c r="BH107" s="67"/>
      <c r="BI107" s="67"/>
      <c r="BJ107" s="67"/>
      <c r="BK107" s="68"/>
      <c r="BL107" s="77" t="str">
        <f>IF(AND(BT103&lt;&gt;"",BB107&lt;&gt;"",BG107&lt;&gt;""),IFERROR(BG107/(100-((BB107/BT103)*100)),""),"")</f>
        <v/>
      </c>
      <c r="BM107" s="67"/>
      <c r="BN107" s="67"/>
      <c r="BO107" s="67"/>
      <c r="BP107" s="67"/>
      <c r="BQ107" s="67"/>
      <c r="BR107" s="67"/>
      <c r="BS107" s="67"/>
      <c r="BT107" s="67"/>
      <c r="BU107" s="68"/>
      <c r="BW107" s="72">
        <v>3.0</v>
      </c>
      <c r="BX107" s="67"/>
      <c r="BY107" s="68"/>
      <c r="BZ107" s="75"/>
      <c r="CA107" s="67"/>
      <c r="CB107" s="67"/>
      <c r="CC107" s="67"/>
      <c r="CD107" s="68"/>
      <c r="CE107" s="76"/>
      <c r="CF107" s="67"/>
      <c r="CG107" s="67"/>
      <c r="CH107" s="67"/>
      <c r="CI107" s="68"/>
      <c r="CJ107" s="77" t="str">
        <f>IF(AND(CR103&lt;&gt;"",BZ107&lt;&gt;"",CE107&lt;&gt;""),IFERROR(CE107/(100-((BZ107/CR103)*100)),""),"")</f>
        <v/>
      </c>
      <c r="CK107" s="67"/>
      <c r="CL107" s="67"/>
      <c r="CM107" s="67"/>
      <c r="CN107" s="67"/>
      <c r="CO107" s="67"/>
      <c r="CP107" s="67"/>
      <c r="CQ107" s="67"/>
      <c r="CR107" s="67"/>
      <c r="CS107" s="68"/>
    </row>
    <row r="108" ht="15.75" customHeight="1">
      <c r="C108" s="72">
        <v>4.0</v>
      </c>
      <c r="D108" s="67"/>
      <c r="E108" s="68"/>
      <c r="F108" s="75"/>
      <c r="G108" s="67"/>
      <c r="H108" s="67"/>
      <c r="I108" s="67"/>
      <c r="J108" s="68"/>
      <c r="K108" s="76"/>
      <c r="L108" s="67"/>
      <c r="M108" s="67"/>
      <c r="N108" s="67"/>
      <c r="O108" s="68"/>
      <c r="P108" s="77" t="str">
        <f>IF(AND(X103&lt;&gt;"",F108&lt;&gt;"",K108&lt;&gt;""),IFERROR(K108/(100-((F108/X103)*100)),""),"")</f>
        <v/>
      </c>
      <c r="Q108" s="67"/>
      <c r="R108" s="67"/>
      <c r="S108" s="67"/>
      <c r="T108" s="67"/>
      <c r="U108" s="67"/>
      <c r="V108" s="67"/>
      <c r="W108" s="67"/>
      <c r="X108" s="67"/>
      <c r="Y108" s="68"/>
      <c r="AA108" s="72">
        <v>4.0</v>
      </c>
      <c r="AB108" s="67"/>
      <c r="AC108" s="68"/>
      <c r="AD108" s="75"/>
      <c r="AE108" s="67"/>
      <c r="AF108" s="67"/>
      <c r="AG108" s="67"/>
      <c r="AH108" s="68"/>
      <c r="AI108" s="76"/>
      <c r="AJ108" s="67"/>
      <c r="AK108" s="67"/>
      <c r="AL108" s="67"/>
      <c r="AM108" s="68"/>
      <c r="AN108" s="77" t="str">
        <f>IF(AND(AV103&lt;&gt;"",AD108&lt;&gt;"",AI108&lt;&gt;""),IFERROR(AI108/(100-((AD108/AV103)*100)),""),"")</f>
        <v/>
      </c>
      <c r="AO108" s="67"/>
      <c r="AP108" s="67"/>
      <c r="AQ108" s="67"/>
      <c r="AR108" s="67"/>
      <c r="AS108" s="67"/>
      <c r="AT108" s="67"/>
      <c r="AU108" s="67"/>
      <c r="AV108" s="67"/>
      <c r="AW108" s="68"/>
      <c r="AY108" s="72">
        <v>4.0</v>
      </c>
      <c r="AZ108" s="67"/>
      <c r="BA108" s="68"/>
      <c r="BB108" s="75"/>
      <c r="BC108" s="67"/>
      <c r="BD108" s="67"/>
      <c r="BE108" s="67"/>
      <c r="BF108" s="68"/>
      <c r="BG108" s="76"/>
      <c r="BH108" s="67"/>
      <c r="BI108" s="67"/>
      <c r="BJ108" s="67"/>
      <c r="BK108" s="68"/>
      <c r="BL108" s="77" t="str">
        <f>IF(AND(BT103&lt;&gt;"",BB108&lt;&gt;"",BG108&lt;&gt;""),IFERROR(BG108/(100-((BB108/BT103)*100)),""),"")</f>
        <v/>
      </c>
      <c r="BM108" s="67"/>
      <c r="BN108" s="67"/>
      <c r="BO108" s="67"/>
      <c r="BP108" s="67"/>
      <c r="BQ108" s="67"/>
      <c r="BR108" s="67"/>
      <c r="BS108" s="67"/>
      <c r="BT108" s="67"/>
      <c r="BU108" s="68"/>
      <c r="BW108" s="72">
        <v>4.0</v>
      </c>
      <c r="BX108" s="67"/>
      <c r="BY108" s="68"/>
      <c r="BZ108" s="75"/>
      <c r="CA108" s="67"/>
      <c r="CB108" s="67"/>
      <c r="CC108" s="67"/>
      <c r="CD108" s="68"/>
      <c r="CE108" s="76"/>
      <c r="CF108" s="67"/>
      <c r="CG108" s="67"/>
      <c r="CH108" s="67"/>
      <c r="CI108" s="68"/>
      <c r="CJ108" s="77" t="str">
        <f>IF(AND(CR103&lt;&gt;"",BZ108&lt;&gt;"",CE108&lt;&gt;""),IFERROR(CE108/(100-((BZ108/CR103)*100)),""),"")</f>
        <v/>
      </c>
      <c r="CK108" s="67"/>
      <c r="CL108" s="67"/>
      <c r="CM108" s="67"/>
      <c r="CN108" s="67"/>
      <c r="CO108" s="67"/>
      <c r="CP108" s="67"/>
      <c r="CQ108" s="67"/>
      <c r="CR108" s="67"/>
      <c r="CS108" s="68"/>
    </row>
    <row r="109" ht="15.75" customHeight="1">
      <c r="C109" s="72">
        <v>5.0</v>
      </c>
      <c r="D109" s="67"/>
      <c r="E109" s="68"/>
      <c r="F109" s="75"/>
      <c r="G109" s="67"/>
      <c r="H109" s="67"/>
      <c r="I109" s="67"/>
      <c r="J109" s="68"/>
      <c r="K109" s="76"/>
      <c r="L109" s="67"/>
      <c r="M109" s="67"/>
      <c r="N109" s="67"/>
      <c r="O109" s="68"/>
      <c r="P109" s="77" t="str">
        <f>IF(AND(X103&lt;&gt;"",F109&lt;&gt;"",K109&lt;&gt;""),IFERROR(K109/(100-((F109/X103)*100)),""),"")</f>
        <v/>
      </c>
      <c r="Q109" s="67"/>
      <c r="R109" s="67"/>
      <c r="S109" s="67"/>
      <c r="T109" s="67"/>
      <c r="U109" s="67"/>
      <c r="V109" s="67"/>
      <c r="W109" s="67"/>
      <c r="X109" s="67"/>
      <c r="Y109" s="68"/>
      <c r="AA109" s="72">
        <v>5.0</v>
      </c>
      <c r="AB109" s="67"/>
      <c r="AC109" s="68"/>
      <c r="AD109" s="75"/>
      <c r="AE109" s="67"/>
      <c r="AF109" s="67"/>
      <c r="AG109" s="67"/>
      <c r="AH109" s="68"/>
      <c r="AI109" s="76"/>
      <c r="AJ109" s="67"/>
      <c r="AK109" s="67"/>
      <c r="AL109" s="67"/>
      <c r="AM109" s="68"/>
      <c r="AN109" s="77" t="str">
        <f>IF(AND(AV103&lt;&gt;"",AD109&lt;&gt;"",AI109&lt;&gt;""),IFERROR(AI109/(100-((AD109/AV103)*100)),""),"")</f>
        <v/>
      </c>
      <c r="AO109" s="67"/>
      <c r="AP109" s="67"/>
      <c r="AQ109" s="67"/>
      <c r="AR109" s="67"/>
      <c r="AS109" s="67"/>
      <c r="AT109" s="67"/>
      <c r="AU109" s="67"/>
      <c r="AV109" s="67"/>
      <c r="AW109" s="68"/>
      <c r="AY109" s="72">
        <v>5.0</v>
      </c>
      <c r="AZ109" s="67"/>
      <c r="BA109" s="68"/>
      <c r="BB109" s="75"/>
      <c r="BC109" s="67"/>
      <c r="BD109" s="67"/>
      <c r="BE109" s="67"/>
      <c r="BF109" s="68"/>
      <c r="BG109" s="76"/>
      <c r="BH109" s="67"/>
      <c r="BI109" s="67"/>
      <c r="BJ109" s="67"/>
      <c r="BK109" s="68"/>
      <c r="BL109" s="77" t="str">
        <f>IF(AND(BT103&lt;&gt;"",BB109&lt;&gt;"",BG109&lt;&gt;""),IFERROR(BG109/(100-((BB109/BT103)*100)),""),"")</f>
        <v/>
      </c>
      <c r="BM109" s="67"/>
      <c r="BN109" s="67"/>
      <c r="BO109" s="67"/>
      <c r="BP109" s="67"/>
      <c r="BQ109" s="67"/>
      <c r="BR109" s="67"/>
      <c r="BS109" s="67"/>
      <c r="BT109" s="67"/>
      <c r="BU109" s="68"/>
      <c r="BW109" s="72">
        <v>5.0</v>
      </c>
      <c r="BX109" s="67"/>
      <c r="BY109" s="68"/>
      <c r="BZ109" s="75"/>
      <c r="CA109" s="67"/>
      <c r="CB109" s="67"/>
      <c r="CC109" s="67"/>
      <c r="CD109" s="68"/>
      <c r="CE109" s="76"/>
      <c r="CF109" s="67"/>
      <c r="CG109" s="67"/>
      <c r="CH109" s="67"/>
      <c r="CI109" s="68"/>
      <c r="CJ109" s="77" t="str">
        <f>IF(AND(CR103&lt;&gt;"",BZ109&lt;&gt;"",CE109&lt;&gt;""),IFERROR(CE109/(100-((BZ109/CR103)*100)),""),"")</f>
        <v/>
      </c>
      <c r="CK109" s="67"/>
      <c r="CL109" s="67"/>
      <c r="CM109" s="67"/>
      <c r="CN109" s="67"/>
      <c r="CO109" s="67"/>
      <c r="CP109" s="67"/>
      <c r="CQ109" s="67"/>
      <c r="CR109" s="67"/>
      <c r="CS109" s="68"/>
    </row>
    <row r="110" ht="15.75" customHeight="1">
      <c r="C110" s="72">
        <v>6.0</v>
      </c>
      <c r="D110" s="67"/>
      <c r="E110" s="68"/>
      <c r="F110" s="75"/>
      <c r="G110" s="67"/>
      <c r="H110" s="67"/>
      <c r="I110" s="67"/>
      <c r="J110" s="68"/>
      <c r="K110" s="76"/>
      <c r="L110" s="67"/>
      <c r="M110" s="67"/>
      <c r="N110" s="67"/>
      <c r="O110" s="68"/>
      <c r="P110" s="77" t="str">
        <f>IF(AND(X103&lt;&gt;"",F110&lt;&gt;"",K110&lt;&gt;""),IFERROR(K110/(100-((F110/X103)*100)),""),"")</f>
        <v/>
      </c>
      <c r="Q110" s="67"/>
      <c r="R110" s="67"/>
      <c r="S110" s="67"/>
      <c r="T110" s="67"/>
      <c r="U110" s="67"/>
      <c r="V110" s="67"/>
      <c r="W110" s="67"/>
      <c r="X110" s="67"/>
      <c r="Y110" s="68"/>
      <c r="AA110" s="78"/>
      <c r="AB110" s="79">
        <v>6.0</v>
      </c>
      <c r="AC110" s="80"/>
      <c r="AD110" s="75"/>
      <c r="AE110" s="67"/>
      <c r="AF110" s="67"/>
      <c r="AG110" s="67"/>
      <c r="AH110" s="68"/>
      <c r="AI110" s="76"/>
      <c r="AJ110" s="67"/>
      <c r="AK110" s="67"/>
      <c r="AL110" s="67"/>
      <c r="AM110" s="68"/>
      <c r="AN110" s="77" t="str">
        <f>IF(AND(AV103&lt;&gt;"",AD110&lt;&gt;"",AI110&lt;&gt;""),IFERROR(AI110/(100-((AD110/AV103)*100)),""),"")</f>
        <v/>
      </c>
      <c r="AO110" s="67"/>
      <c r="AP110" s="67"/>
      <c r="AQ110" s="67"/>
      <c r="AR110" s="67"/>
      <c r="AS110" s="67"/>
      <c r="AT110" s="67"/>
      <c r="AU110" s="67"/>
      <c r="AV110" s="67"/>
      <c r="AW110" s="68"/>
      <c r="AY110" s="78"/>
      <c r="AZ110" s="79">
        <v>6.0</v>
      </c>
      <c r="BA110" s="80"/>
      <c r="BB110" s="75"/>
      <c r="BC110" s="67"/>
      <c r="BD110" s="67"/>
      <c r="BE110" s="67"/>
      <c r="BF110" s="68"/>
      <c r="BG110" s="76"/>
      <c r="BH110" s="67"/>
      <c r="BI110" s="67"/>
      <c r="BJ110" s="67"/>
      <c r="BK110" s="68"/>
      <c r="BL110" s="77" t="str">
        <f>IF(AND(BT103&lt;&gt;"",BB110&lt;&gt;"",BG110&lt;&gt;""),IFERROR(BG110/(100-((BB110/BT103)*100)),""),"")</f>
        <v/>
      </c>
      <c r="BM110" s="67"/>
      <c r="BN110" s="67"/>
      <c r="BO110" s="67"/>
      <c r="BP110" s="67"/>
      <c r="BQ110" s="67"/>
      <c r="BR110" s="67"/>
      <c r="BS110" s="67"/>
      <c r="BT110" s="67"/>
      <c r="BU110" s="68"/>
      <c r="BW110" s="78"/>
      <c r="BX110" s="79">
        <v>6.0</v>
      </c>
      <c r="BY110" s="80"/>
      <c r="BZ110" s="75"/>
      <c r="CA110" s="67"/>
      <c r="CB110" s="67"/>
      <c r="CC110" s="67"/>
      <c r="CD110" s="68"/>
      <c r="CE110" s="76"/>
      <c r="CF110" s="67"/>
      <c r="CG110" s="67"/>
      <c r="CH110" s="67"/>
      <c r="CI110" s="68"/>
      <c r="CJ110" s="77" t="str">
        <f>IF(AND(CR103&lt;&gt;"",BZ110&lt;&gt;"",CE110&lt;&gt;""),IFERROR(CE110/(100-((BZ110/CR103)*100)),""),"")</f>
        <v/>
      </c>
      <c r="CK110" s="67"/>
      <c r="CL110" s="67"/>
      <c r="CM110" s="67"/>
      <c r="CN110" s="67"/>
      <c r="CO110" s="67"/>
      <c r="CP110" s="67"/>
      <c r="CQ110" s="67"/>
      <c r="CR110" s="67"/>
      <c r="CS110" s="68"/>
    </row>
    <row r="111" ht="15.75" customHeight="1">
      <c r="C111" s="72" t="s">
        <v>31</v>
      </c>
      <c r="D111" s="67"/>
      <c r="E111" s="68"/>
      <c r="F111" s="77" t="str">
        <f>IFERROR(AVERAGE(F105:J109),"")</f>
        <v/>
      </c>
      <c r="G111" s="67"/>
      <c r="H111" s="67"/>
      <c r="I111" s="67"/>
      <c r="J111" s="68"/>
      <c r="K111" s="71" t="str">
        <f>IFERROR(AVERAGE(K105:O109),"")</f>
        <v/>
      </c>
      <c r="L111" s="67"/>
      <c r="M111" s="67"/>
      <c r="N111" s="67"/>
      <c r="O111" s="68"/>
      <c r="P111" s="77" t="str">
        <f>IFERROR(AVERAGE(P105:Y109),"")</f>
        <v/>
      </c>
      <c r="Q111" s="67"/>
      <c r="R111" s="67"/>
      <c r="S111" s="67"/>
      <c r="T111" s="67"/>
      <c r="U111" s="67"/>
      <c r="V111" s="67"/>
      <c r="W111" s="67"/>
      <c r="X111" s="67"/>
      <c r="Y111" s="68"/>
      <c r="AA111" s="72" t="s">
        <v>31</v>
      </c>
      <c r="AB111" s="67"/>
      <c r="AC111" s="68"/>
      <c r="AD111" s="77" t="str">
        <f>IFERROR(AVERAGE(AD105:AH109),"")</f>
        <v/>
      </c>
      <c r="AE111" s="67"/>
      <c r="AF111" s="67"/>
      <c r="AG111" s="67"/>
      <c r="AH111" s="68"/>
      <c r="AI111" s="71" t="str">
        <f>IFERROR(AVERAGE(AI105:AM109),"")</f>
        <v/>
      </c>
      <c r="AJ111" s="67"/>
      <c r="AK111" s="67"/>
      <c r="AL111" s="67"/>
      <c r="AM111" s="68"/>
      <c r="AN111" s="77" t="str">
        <f>IFERROR(AVERAGE(AN105:AW109),"")</f>
        <v/>
      </c>
      <c r="AO111" s="67"/>
      <c r="AP111" s="67"/>
      <c r="AQ111" s="67"/>
      <c r="AR111" s="67"/>
      <c r="AS111" s="67"/>
      <c r="AT111" s="67"/>
      <c r="AU111" s="67"/>
      <c r="AV111" s="67"/>
      <c r="AW111" s="68"/>
      <c r="AY111" s="72" t="s">
        <v>31</v>
      </c>
      <c r="AZ111" s="67"/>
      <c r="BA111" s="68"/>
      <c r="BB111" s="77" t="str">
        <f>IFERROR(AVERAGE(BB105:BF109),"")</f>
        <v/>
      </c>
      <c r="BC111" s="67"/>
      <c r="BD111" s="67"/>
      <c r="BE111" s="67"/>
      <c r="BF111" s="68"/>
      <c r="BG111" s="71" t="str">
        <f>IFERROR(AVERAGE(BG105:BK109),"")</f>
        <v/>
      </c>
      <c r="BH111" s="67"/>
      <c r="BI111" s="67"/>
      <c r="BJ111" s="67"/>
      <c r="BK111" s="68"/>
      <c r="BL111" s="77" t="str">
        <f>IFERROR(AVERAGE(BL105:BU109),"")</f>
        <v/>
      </c>
      <c r="BM111" s="67"/>
      <c r="BN111" s="67"/>
      <c r="BO111" s="67"/>
      <c r="BP111" s="67"/>
      <c r="BQ111" s="67"/>
      <c r="BR111" s="67"/>
      <c r="BS111" s="67"/>
      <c r="BT111" s="67"/>
      <c r="BU111" s="68"/>
      <c r="BW111" s="72" t="s">
        <v>31</v>
      </c>
      <c r="BX111" s="67"/>
      <c r="BY111" s="68"/>
      <c r="BZ111" s="77" t="str">
        <f>IFERROR(AVERAGE(BZ105:CD109),"")</f>
        <v/>
      </c>
      <c r="CA111" s="67"/>
      <c r="CB111" s="67"/>
      <c r="CC111" s="67"/>
      <c r="CD111" s="68"/>
      <c r="CE111" s="71" t="str">
        <f>IFERROR(AVERAGE(CE105:CI109),"")</f>
        <v/>
      </c>
      <c r="CF111" s="67"/>
      <c r="CG111" s="67"/>
      <c r="CH111" s="67"/>
      <c r="CI111" s="68"/>
      <c r="CJ111" s="77" t="str">
        <f>IFERROR(AVERAGE(CJ105:CS109),"")</f>
        <v/>
      </c>
      <c r="CK111" s="67"/>
      <c r="CL111" s="67"/>
      <c r="CM111" s="67"/>
      <c r="CN111" s="67"/>
      <c r="CO111" s="67"/>
      <c r="CP111" s="67"/>
      <c r="CQ111" s="67"/>
      <c r="CR111" s="67"/>
      <c r="CS111" s="68"/>
    </row>
    <row r="112" ht="30.0" customHeight="1">
      <c r="C112" s="81" t="s">
        <v>42</v>
      </c>
      <c r="D112" s="67"/>
      <c r="E112" s="68"/>
      <c r="F112" s="77">
        <f>IFERROR(SUM(F105:J109),"")</f>
        <v>0</v>
      </c>
      <c r="G112" s="67"/>
      <c r="H112" s="67"/>
      <c r="I112" s="67"/>
      <c r="J112" s="68"/>
      <c r="K112" s="71">
        <f>IFERROR(SUM(K105:O109),"")</f>
        <v>0</v>
      </c>
      <c r="L112" s="67"/>
      <c r="M112" s="67"/>
      <c r="N112" s="67"/>
      <c r="O112" s="68"/>
      <c r="P112" s="82">
        <f>IFERROR(SUM(P105:Y110),"")</f>
        <v>0</v>
      </c>
      <c r="Q112" s="67"/>
      <c r="R112" s="67"/>
      <c r="S112" s="67"/>
      <c r="T112" s="67"/>
      <c r="U112" s="67"/>
      <c r="V112" s="67"/>
      <c r="W112" s="67"/>
      <c r="X112" s="67"/>
      <c r="Y112" s="68"/>
      <c r="AA112" s="81" t="s">
        <v>42</v>
      </c>
      <c r="AB112" s="67"/>
      <c r="AC112" s="68"/>
      <c r="AD112" s="77">
        <f>IFERROR(SUM(AD105:AH109),"")</f>
        <v>0</v>
      </c>
      <c r="AE112" s="67"/>
      <c r="AF112" s="67"/>
      <c r="AG112" s="67"/>
      <c r="AH112" s="68"/>
      <c r="AI112" s="71">
        <f>IFERROR(SUM(AI105:AM109),"")</f>
        <v>0</v>
      </c>
      <c r="AJ112" s="67"/>
      <c r="AK112" s="67"/>
      <c r="AL112" s="67"/>
      <c r="AM112" s="68"/>
      <c r="AN112" s="82">
        <f>IFERROR(SUM(AN105:AW110),"")</f>
        <v>0</v>
      </c>
      <c r="AO112" s="67"/>
      <c r="AP112" s="67"/>
      <c r="AQ112" s="67"/>
      <c r="AR112" s="67"/>
      <c r="AS112" s="67"/>
      <c r="AT112" s="67"/>
      <c r="AU112" s="67"/>
      <c r="AV112" s="67"/>
      <c r="AW112" s="68"/>
      <c r="AY112" s="81" t="s">
        <v>42</v>
      </c>
      <c r="AZ112" s="67"/>
      <c r="BA112" s="68"/>
      <c r="BB112" s="77">
        <f>IFERROR(SUM(BB105:BF109),"")</f>
        <v>0</v>
      </c>
      <c r="BC112" s="67"/>
      <c r="BD112" s="67"/>
      <c r="BE112" s="67"/>
      <c r="BF112" s="68"/>
      <c r="BG112" s="71">
        <f>IFERROR(SUM(BG105:BK109),"")</f>
        <v>0</v>
      </c>
      <c r="BH112" s="67"/>
      <c r="BI112" s="67"/>
      <c r="BJ112" s="67"/>
      <c r="BK112" s="68"/>
      <c r="BL112" s="82">
        <f>IFERROR(SUM(BL105:BU110),"")</f>
        <v>0</v>
      </c>
      <c r="BM112" s="67"/>
      <c r="BN112" s="67"/>
      <c r="BO112" s="67"/>
      <c r="BP112" s="67"/>
      <c r="BQ112" s="67"/>
      <c r="BR112" s="67"/>
      <c r="BS112" s="67"/>
      <c r="BT112" s="67"/>
      <c r="BU112" s="68"/>
      <c r="BW112" s="81" t="s">
        <v>42</v>
      </c>
      <c r="BX112" s="67"/>
      <c r="BY112" s="68"/>
      <c r="BZ112" s="77">
        <f>IFERROR(SUM(BZ105:CD109),"")</f>
        <v>0</v>
      </c>
      <c r="CA112" s="67"/>
      <c r="CB112" s="67"/>
      <c r="CC112" s="67"/>
      <c r="CD112" s="68"/>
      <c r="CE112" s="71">
        <f>IFERROR(SUM(CE105:CI109),"")</f>
        <v>0</v>
      </c>
      <c r="CF112" s="67"/>
      <c r="CG112" s="67"/>
      <c r="CH112" s="67"/>
      <c r="CI112" s="68"/>
      <c r="CJ112" s="82">
        <f>IFERROR(SUM(CJ105:CS110),"")</f>
        <v>0</v>
      </c>
      <c r="CK112" s="67"/>
      <c r="CL112" s="67"/>
      <c r="CM112" s="67"/>
      <c r="CN112" s="67"/>
      <c r="CO112" s="67"/>
      <c r="CP112" s="67"/>
      <c r="CQ112" s="67"/>
      <c r="CR112" s="67"/>
      <c r="CS112" s="68"/>
    </row>
    <row r="113" ht="15.75" customHeight="1">
      <c r="C113" s="69" t="s">
        <v>7</v>
      </c>
      <c r="D113" s="67"/>
      <c r="E113" s="67"/>
      <c r="F113" s="67"/>
      <c r="G113" s="68"/>
      <c r="H113" s="70"/>
      <c r="I113" s="67"/>
      <c r="J113" s="67"/>
      <c r="K113" s="67"/>
      <c r="L113" s="68"/>
      <c r="M113" s="71"/>
      <c r="N113" s="67"/>
      <c r="O113" s="67"/>
      <c r="P113" s="67"/>
      <c r="Q113" s="68"/>
      <c r="R113" s="72" t="s">
        <v>9</v>
      </c>
      <c r="S113" s="67"/>
      <c r="T113" s="67"/>
      <c r="U113" s="67"/>
      <c r="V113" s="67"/>
      <c r="W113" s="68"/>
      <c r="X113" s="73"/>
      <c r="Y113" s="68"/>
      <c r="AA113" s="69" t="s">
        <v>7</v>
      </c>
      <c r="AB113" s="67"/>
      <c r="AC113" s="67"/>
      <c r="AD113" s="67"/>
      <c r="AE113" s="68"/>
      <c r="AF113" s="70"/>
      <c r="AG113" s="67"/>
      <c r="AH113" s="67"/>
      <c r="AI113" s="67"/>
      <c r="AJ113" s="68"/>
      <c r="AK113" s="71"/>
      <c r="AL113" s="67"/>
      <c r="AM113" s="67"/>
      <c r="AN113" s="67"/>
      <c r="AO113" s="68"/>
      <c r="AP113" s="72" t="s">
        <v>9</v>
      </c>
      <c r="AQ113" s="67"/>
      <c r="AR113" s="67"/>
      <c r="AS113" s="67"/>
      <c r="AT113" s="67"/>
      <c r="AU113" s="68"/>
      <c r="AV113" s="73"/>
      <c r="AW113" s="68"/>
      <c r="AY113" s="69" t="s">
        <v>7</v>
      </c>
      <c r="AZ113" s="67"/>
      <c r="BA113" s="67"/>
      <c r="BB113" s="67"/>
      <c r="BC113" s="68"/>
      <c r="BD113" s="70"/>
      <c r="BE113" s="67"/>
      <c r="BF113" s="67"/>
      <c r="BG113" s="67"/>
      <c r="BH113" s="68"/>
      <c r="BI113" s="71"/>
      <c r="BJ113" s="67"/>
      <c r="BK113" s="67"/>
      <c r="BL113" s="67"/>
      <c r="BM113" s="68"/>
      <c r="BN113" s="72" t="s">
        <v>9</v>
      </c>
      <c r="BO113" s="67"/>
      <c r="BP113" s="67"/>
      <c r="BQ113" s="67"/>
      <c r="BR113" s="67"/>
      <c r="BS113" s="68"/>
      <c r="BT113" s="73"/>
      <c r="BU113" s="68"/>
      <c r="BW113" s="69" t="s">
        <v>7</v>
      </c>
      <c r="BX113" s="67"/>
      <c r="BY113" s="67"/>
      <c r="BZ113" s="67"/>
      <c r="CA113" s="68"/>
      <c r="CB113" s="70"/>
      <c r="CC113" s="67"/>
      <c r="CD113" s="67"/>
      <c r="CE113" s="67"/>
      <c r="CF113" s="68"/>
      <c r="CG113" s="71"/>
      <c r="CH113" s="67"/>
      <c r="CI113" s="67"/>
      <c r="CJ113" s="67"/>
      <c r="CK113" s="68"/>
      <c r="CL113" s="72" t="s">
        <v>9</v>
      </c>
      <c r="CM113" s="67"/>
      <c r="CN113" s="67"/>
      <c r="CO113" s="67"/>
      <c r="CP113" s="67"/>
      <c r="CQ113" s="68"/>
      <c r="CR113" s="73"/>
      <c r="CS113" s="68"/>
    </row>
    <row r="114" ht="15.75" customHeight="1">
      <c r="C114" s="74" t="s">
        <v>23</v>
      </c>
      <c r="D114" s="67"/>
      <c r="E114" s="68"/>
      <c r="F114" s="74" t="s">
        <v>24</v>
      </c>
      <c r="G114" s="67"/>
      <c r="H114" s="67"/>
      <c r="I114" s="67"/>
      <c r="J114" s="68"/>
      <c r="K114" s="74" t="s">
        <v>25</v>
      </c>
      <c r="L114" s="67"/>
      <c r="M114" s="67"/>
      <c r="N114" s="67"/>
      <c r="O114" s="68"/>
      <c r="P114" s="74" t="s">
        <v>26</v>
      </c>
      <c r="Q114" s="67"/>
      <c r="R114" s="67"/>
      <c r="S114" s="67"/>
      <c r="T114" s="67"/>
      <c r="U114" s="67"/>
      <c r="V114" s="67"/>
      <c r="W114" s="67"/>
      <c r="X114" s="67"/>
      <c r="Y114" s="68"/>
      <c r="AA114" s="74" t="s">
        <v>23</v>
      </c>
      <c r="AB114" s="67"/>
      <c r="AC114" s="68"/>
      <c r="AD114" s="74" t="s">
        <v>24</v>
      </c>
      <c r="AE114" s="67"/>
      <c r="AF114" s="67"/>
      <c r="AG114" s="67"/>
      <c r="AH114" s="68"/>
      <c r="AI114" s="74" t="s">
        <v>25</v>
      </c>
      <c r="AJ114" s="67"/>
      <c r="AK114" s="67"/>
      <c r="AL114" s="67"/>
      <c r="AM114" s="68"/>
      <c r="AN114" s="74" t="s">
        <v>26</v>
      </c>
      <c r="AO114" s="67"/>
      <c r="AP114" s="67"/>
      <c r="AQ114" s="67"/>
      <c r="AR114" s="67"/>
      <c r="AS114" s="67"/>
      <c r="AT114" s="67"/>
      <c r="AU114" s="67"/>
      <c r="AV114" s="67"/>
      <c r="AW114" s="68"/>
      <c r="AY114" s="74" t="s">
        <v>23</v>
      </c>
      <c r="AZ114" s="67"/>
      <c r="BA114" s="68"/>
      <c r="BB114" s="74" t="s">
        <v>24</v>
      </c>
      <c r="BC114" s="67"/>
      <c r="BD114" s="67"/>
      <c r="BE114" s="67"/>
      <c r="BF114" s="68"/>
      <c r="BG114" s="74" t="s">
        <v>25</v>
      </c>
      <c r="BH114" s="67"/>
      <c r="BI114" s="67"/>
      <c r="BJ114" s="67"/>
      <c r="BK114" s="68"/>
      <c r="BL114" s="74" t="s">
        <v>26</v>
      </c>
      <c r="BM114" s="67"/>
      <c r="BN114" s="67"/>
      <c r="BO114" s="67"/>
      <c r="BP114" s="67"/>
      <c r="BQ114" s="67"/>
      <c r="BR114" s="67"/>
      <c r="BS114" s="67"/>
      <c r="BT114" s="67"/>
      <c r="BU114" s="68"/>
      <c r="BW114" s="74" t="s">
        <v>23</v>
      </c>
      <c r="BX114" s="67"/>
      <c r="BY114" s="68"/>
      <c r="BZ114" s="74" t="s">
        <v>24</v>
      </c>
      <c r="CA114" s="67"/>
      <c r="CB114" s="67"/>
      <c r="CC114" s="67"/>
      <c r="CD114" s="68"/>
      <c r="CE114" s="74" t="s">
        <v>25</v>
      </c>
      <c r="CF114" s="67"/>
      <c r="CG114" s="67"/>
      <c r="CH114" s="67"/>
      <c r="CI114" s="68"/>
      <c r="CJ114" s="74" t="s">
        <v>26</v>
      </c>
      <c r="CK114" s="67"/>
      <c r="CL114" s="67"/>
      <c r="CM114" s="67"/>
      <c r="CN114" s="67"/>
      <c r="CO114" s="67"/>
      <c r="CP114" s="67"/>
      <c r="CQ114" s="67"/>
      <c r="CR114" s="67"/>
      <c r="CS114" s="68"/>
    </row>
    <row r="115" ht="15.75" customHeight="1">
      <c r="C115" s="72">
        <v>1.0</v>
      </c>
      <c r="D115" s="67"/>
      <c r="E115" s="68"/>
      <c r="F115" s="75"/>
      <c r="G115" s="67"/>
      <c r="H115" s="67"/>
      <c r="I115" s="67"/>
      <c r="J115" s="68"/>
      <c r="K115" s="76"/>
      <c r="L115" s="67"/>
      <c r="M115" s="67"/>
      <c r="N115" s="67"/>
      <c r="O115" s="68"/>
      <c r="P115" s="77" t="str">
        <f>IF(AND(X113&lt;&gt;"",F115&lt;&gt;"",K115&lt;&gt;""),IFERROR(K115/(100-((F115/X113)*100)),""),"")</f>
        <v/>
      </c>
      <c r="Q115" s="67"/>
      <c r="R115" s="67"/>
      <c r="S115" s="67"/>
      <c r="T115" s="67"/>
      <c r="U115" s="67"/>
      <c r="V115" s="67"/>
      <c r="W115" s="67"/>
      <c r="X115" s="67"/>
      <c r="Y115" s="68"/>
      <c r="AA115" s="72">
        <v>1.0</v>
      </c>
      <c r="AB115" s="67"/>
      <c r="AC115" s="68"/>
      <c r="AD115" s="75"/>
      <c r="AE115" s="67"/>
      <c r="AF115" s="67"/>
      <c r="AG115" s="67"/>
      <c r="AH115" s="68"/>
      <c r="AI115" s="76"/>
      <c r="AJ115" s="67"/>
      <c r="AK115" s="67"/>
      <c r="AL115" s="67"/>
      <c r="AM115" s="68"/>
      <c r="AN115" s="77" t="str">
        <f>IF(AND(AV113&lt;&gt;"",AD115&lt;&gt;"",AI115&lt;&gt;""),IFERROR(AI115/(100-((AD115/AV113)*100)),""),"")</f>
        <v/>
      </c>
      <c r="AO115" s="67"/>
      <c r="AP115" s="67"/>
      <c r="AQ115" s="67"/>
      <c r="AR115" s="67"/>
      <c r="AS115" s="67"/>
      <c r="AT115" s="67"/>
      <c r="AU115" s="67"/>
      <c r="AV115" s="67"/>
      <c r="AW115" s="68"/>
      <c r="AY115" s="72">
        <v>1.0</v>
      </c>
      <c r="AZ115" s="67"/>
      <c r="BA115" s="68"/>
      <c r="BB115" s="75"/>
      <c r="BC115" s="67"/>
      <c r="BD115" s="67"/>
      <c r="BE115" s="67"/>
      <c r="BF115" s="68"/>
      <c r="BG115" s="76"/>
      <c r="BH115" s="67"/>
      <c r="BI115" s="67"/>
      <c r="BJ115" s="67"/>
      <c r="BK115" s="68"/>
      <c r="BL115" s="77" t="str">
        <f>IF(AND(BT113&lt;&gt;"",BB115&lt;&gt;"",BG115&lt;&gt;""),IFERROR(BG115/(100-((BB115/BT113)*100)),""),"")</f>
        <v/>
      </c>
      <c r="BM115" s="67"/>
      <c r="BN115" s="67"/>
      <c r="BO115" s="67"/>
      <c r="BP115" s="67"/>
      <c r="BQ115" s="67"/>
      <c r="BR115" s="67"/>
      <c r="BS115" s="67"/>
      <c r="BT115" s="67"/>
      <c r="BU115" s="68"/>
      <c r="BW115" s="72">
        <v>1.0</v>
      </c>
      <c r="BX115" s="67"/>
      <c r="BY115" s="68"/>
      <c r="BZ115" s="75"/>
      <c r="CA115" s="67"/>
      <c r="CB115" s="67"/>
      <c r="CC115" s="67"/>
      <c r="CD115" s="68"/>
      <c r="CE115" s="76"/>
      <c r="CF115" s="67"/>
      <c r="CG115" s="67"/>
      <c r="CH115" s="67"/>
      <c r="CI115" s="68"/>
      <c r="CJ115" s="77" t="str">
        <f>IF(AND(CR113&lt;&gt;"",BZ115&lt;&gt;"",CE115&lt;&gt;""),IFERROR(CE115/(100-((BZ115/CR113)*100)),""),"")</f>
        <v/>
      </c>
      <c r="CK115" s="67"/>
      <c r="CL115" s="67"/>
      <c r="CM115" s="67"/>
      <c r="CN115" s="67"/>
      <c r="CO115" s="67"/>
      <c r="CP115" s="67"/>
      <c r="CQ115" s="67"/>
      <c r="CR115" s="67"/>
      <c r="CS115" s="68"/>
    </row>
    <row r="116" ht="15.75" customHeight="1">
      <c r="C116" s="72">
        <v>2.0</v>
      </c>
      <c r="D116" s="67"/>
      <c r="E116" s="68"/>
      <c r="F116" s="75"/>
      <c r="G116" s="67"/>
      <c r="H116" s="67"/>
      <c r="I116" s="67"/>
      <c r="J116" s="68"/>
      <c r="K116" s="76"/>
      <c r="L116" s="67"/>
      <c r="M116" s="67"/>
      <c r="N116" s="67"/>
      <c r="O116" s="68"/>
      <c r="P116" s="77" t="str">
        <f>IF(AND(X113&lt;&gt;"",F116&lt;&gt;"",K116&lt;&gt;""),IFERROR(K116/(100-((F116/X113)*100)),""),"")</f>
        <v/>
      </c>
      <c r="Q116" s="67"/>
      <c r="R116" s="67"/>
      <c r="S116" s="67"/>
      <c r="T116" s="67"/>
      <c r="U116" s="67"/>
      <c r="V116" s="67"/>
      <c r="W116" s="67"/>
      <c r="X116" s="67"/>
      <c r="Y116" s="68"/>
      <c r="AA116" s="72">
        <v>2.0</v>
      </c>
      <c r="AB116" s="67"/>
      <c r="AC116" s="68"/>
      <c r="AD116" s="75"/>
      <c r="AE116" s="67"/>
      <c r="AF116" s="67"/>
      <c r="AG116" s="67"/>
      <c r="AH116" s="68"/>
      <c r="AI116" s="76"/>
      <c r="AJ116" s="67"/>
      <c r="AK116" s="67"/>
      <c r="AL116" s="67"/>
      <c r="AM116" s="68"/>
      <c r="AN116" s="77" t="str">
        <f>IF(AND(AV113&lt;&gt;"",AD116&lt;&gt;"",AI116&lt;&gt;""),IFERROR(AI116/(100-((AD116/AV113)*100)),""),"")</f>
        <v/>
      </c>
      <c r="AO116" s="67"/>
      <c r="AP116" s="67"/>
      <c r="AQ116" s="67"/>
      <c r="AR116" s="67"/>
      <c r="AS116" s="67"/>
      <c r="AT116" s="67"/>
      <c r="AU116" s="67"/>
      <c r="AV116" s="67"/>
      <c r="AW116" s="68"/>
      <c r="AY116" s="72">
        <v>2.0</v>
      </c>
      <c r="AZ116" s="67"/>
      <c r="BA116" s="68"/>
      <c r="BB116" s="75"/>
      <c r="BC116" s="67"/>
      <c r="BD116" s="67"/>
      <c r="BE116" s="67"/>
      <c r="BF116" s="68"/>
      <c r="BG116" s="76"/>
      <c r="BH116" s="67"/>
      <c r="BI116" s="67"/>
      <c r="BJ116" s="67"/>
      <c r="BK116" s="68"/>
      <c r="BL116" s="77" t="str">
        <f>IF(AND(BT113&lt;&gt;"",BB116&lt;&gt;"",BG116&lt;&gt;""),IFERROR(BG116/(100-((BB116/BT113)*100)),""),"")</f>
        <v/>
      </c>
      <c r="BM116" s="67"/>
      <c r="BN116" s="67"/>
      <c r="BO116" s="67"/>
      <c r="BP116" s="67"/>
      <c r="BQ116" s="67"/>
      <c r="BR116" s="67"/>
      <c r="BS116" s="67"/>
      <c r="BT116" s="67"/>
      <c r="BU116" s="68"/>
      <c r="BW116" s="72">
        <v>2.0</v>
      </c>
      <c r="BX116" s="67"/>
      <c r="BY116" s="68"/>
      <c r="BZ116" s="75"/>
      <c r="CA116" s="67"/>
      <c r="CB116" s="67"/>
      <c r="CC116" s="67"/>
      <c r="CD116" s="68"/>
      <c r="CE116" s="76"/>
      <c r="CF116" s="67"/>
      <c r="CG116" s="67"/>
      <c r="CH116" s="67"/>
      <c r="CI116" s="68"/>
      <c r="CJ116" s="77" t="str">
        <f>IF(AND(CR113&lt;&gt;"",BZ116&lt;&gt;"",CE116&lt;&gt;""),IFERROR(CE116/(100-((BZ116/CR113)*100)),""),"")</f>
        <v/>
      </c>
      <c r="CK116" s="67"/>
      <c r="CL116" s="67"/>
      <c r="CM116" s="67"/>
      <c r="CN116" s="67"/>
      <c r="CO116" s="67"/>
      <c r="CP116" s="67"/>
      <c r="CQ116" s="67"/>
      <c r="CR116" s="67"/>
      <c r="CS116" s="68"/>
    </row>
    <row r="117" ht="15.75" customHeight="1">
      <c r="C117" s="72">
        <v>3.0</v>
      </c>
      <c r="D117" s="67"/>
      <c r="E117" s="68"/>
      <c r="F117" s="75"/>
      <c r="G117" s="67"/>
      <c r="H117" s="67"/>
      <c r="I117" s="67"/>
      <c r="J117" s="68"/>
      <c r="K117" s="76"/>
      <c r="L117" s="67"/>
      <c r="M117" s="67"/>
      <c r="N117" s="67"/>
      <c r="O117" s="68"/>
      <c r="P117" s="77" t="str">
        <f>IF(AND(X113&lt;&gt;"",F117&lt;&gt;"",K117&lt;&gt;""),IFERROR(K117/(100-((F117/X113)*100)),""),"")</f>
        <v/>
      </c>
      <c r="Q117" s="67"/>
      <c r="R117" s="67"/>
      <c r="S117" s="67"/>
      <c r="T117" s="67"/>
      <c r="U117" s="67"/>
      <c r="V117" s="67"/>
      <c r="W117" s="67"/>
      <c r="X117" s="67"/>
      <c r="Y117" s="68"/>
      <c r="AA117" s="72">
        <v>3.0</v>
      </c>
      <c r="AB117" s="67"/>
      <c r="AC117" s="68"/>
      <c r="AD117" s="75"/>
      <c r="AE117" s="67"/>
      <c r="AF117" s="67"/>
      <c r="AG117" s="67"/>
      <c r="AH117" s="68"/>
      <c r="AI117" s="76"/>
      <c r="AJ117" s="67"/>
      <c r="AK117" s="67"/>
      <c r="AL117" s="67"/>
      <c r="AM117" s="68"/>
      <c r="AN117" s="77" t="str">
        <f>IF(AND(AV113&lt;&gt;"",AD117&lt;&gt;"",AI117&lt;&gt;""),IFERROR(AI117/(100-((AD117/AV113)*100)),""),"")</f>
        <v/>
      </c>
      <c r="AO117" s="67"/>
      <c r="AP117" s="67"/>
      <c r="AQ117" s="67"/>
      <c r="AR117" s="67"/>
      <c r="AS117" s="67"/>
      <c r="AT117" s="67"/>
      <c r="AU117" s="67"/>
      <c r="AV117" s="67"/>
      <c r="AW117" s="68"/>
      <c r="AY117" s="72">
        <v>3.0</v>
      </c>
      <c r="AZ117" s="67"/>
      <c r="BA117" s="68"/>
      <c r="BB117" s="75"/>
      <c r="BC117" s="67"/>
      <c r="BD117" s="67"/>
      <c r="BE117" s="67"/>
      <c r="BF117" s="68"/>
      <c r="BG117" s="76"/>
      <c r="BH117" s="67"/>
      <c r="BI117" s="67"/>
      <c r="BJ117" s="67"/>
      <c r="BK117" s="68"/>
      <c r="BL117" s="77" t="str">
        <f>IF(AND(BT113&lt;&gt;"",BB117&lt;&gt;"",BG117&lt;&gt;""),IFERROR(BG117/(100-((BB117/BT113)*100)),""),"")</f>
        <v/>
      </c>
      <c r="BM117" s="67"/>
      <c r="BN117" s="67"/>
      <c r="BO117" s="67"/>
      <c r="BP117" s="67"/>
      <c r="BQ117" s="67"/>
      <c r="BR117" s="67"/>
      <c r="BS117" s="67"/>
      <c r="BT117" s="67"/>
      <c r="BU117" s="68"/>
      <c r="BW117" s="72">
        <v>3.0</v>
      </c>
      <c r="BX117" s="67"/>
      <c r="BY117" s="68"/>
      <c r="BZ117" s="75"/>
      <c r="CA117" s="67"/>
      <c r="CB117" s="67"/>
      <c r="CC117" s="67"/>
      <c r="CD117" s="68"/>
      <c r="CE117" s="76"/>
      <c r="CF117" s="67"/>
      <c r="CG117" s="67"/>
      <c r="CH117" s="67"/>
      <c r="CI117" s="68"/>
      <c r="CJ117" s="77" t="str">
        <f>IF(AND(CR113&lt;&gt;"",BZ117&lt;&gt;"",CE117&lt;&gt;""),IFERROR(CE117/(100-((BZ117/CR113)*100)),""),"")</f>
        <v/>
      </c>
      <c r="CK117" s="67"/>
      <c r="CL117" s="67"/>
      <c r="CM117" s="67"/>
      <c r="CN117" s="67"/>
      <c r="CO117" s="67"/>
      <c r="CP117" s="67"/>
      <c r="CQ117" s="67"/>
      <c r="CR117" s="67"/>
      <c r="CS117" s="68"/>
    </row>
    <row r="118" ht="15.75" customHeight="1">
      <c r="C118" s="72">
        <v>4.0</v>
      </c>
      <c r="D118" s="67"/>
      <c r="E118" s="68"/>
      <c r="F118" s="75"/>
      <c r="G118" s="67"/>
      <c r="H118" s="67"/>
      <c r="I118" s="67"/>
      <c r="J118" s="68"/>
      <c r="K118" s="76"/>
      <c r="L118" s="67"/>
      <c r="M118" s="67"/>
      <c r="N118" s="67"/>
      <c r="O118" s="68"/>
      <c r="P118" s="77" t="str">
        <f>IF(AND(X113&lt;&gt;"",F118&lt;&gt;"",K118&lt;&gt;""),IFERROR(K118/(100-((F118/X113)*100)),""),"")</f>
        <v/>
      </c>
      <c r="Q118" s="67"/>
      <c r="R118" s="67"/>
      <c r="S118" s="67"/>
      <c r="T118" s="67"/>
      <c r="U118" s="67"/>
      <c r="V118" s="67"/>
      <c r="W118" s="67"/>
      <c r="X118" s="67"/>
      <c r="Y118" s="68"/>
      <c r="AA118" s="72">
        <v>4.0</v>
      </c>
      <c r="AB118" s="67"/>
      <c r="AC118" s="68"/>
      <c r="AD118" s="75"/>
      <c r="AE118" s="67"/>
      <c r="AF118" s="67"/>
      <c r="AG118" s="67"/>
      <c r="AH118" s="68"/>
      <c r="AI118" s="76"/>
      <c r="AJ118" s="67"/>
      <c r="AK118" s="67"/>
      <c r="AL118" s="67"/>
      <c r="AM118" s="68"/>
      <c r="AN118" s="77" t="str">
        <f>IF(AND(AV113&lt;&gt;"",AD118&lt;&gt;"",AI118&lt;&gt;""),IFERROR(AI118/(100-((AD118/AV113)*100)),""),"")</f>
        <v/>
      </c>
      <c r="AO118" s="67"/>
      <c r="AP118" s="67"/>
      <c r="AQ118" s="67"/>
      <c r="AR118" s="67"/>
      <c r="AS118" s="67"/>
      <c r="AT118" s="67"/>
      <c r="AU118" s="67"/>
      <c r="AV118" s="67"/>
      <c r="AW118" s="68"/>
      <c r="AY118" s="72">
        <v>4.0</v>
      </c>
      <c r="AZ118" s="67"/>
      <c r="BA118" s="68"/>
      <c r="BB118" s="75"/>
      <c r="BC118" s="67"/>
      <c r="BD118" s="67"/>
      <c r="BE118" s="67"/>
      <c r="BF118" s="68"/>
      <c r="BG118" s="76"/>
      <c r="BH118" s="67"/>
      <c r="BI118" s="67"/>
      <c r="BJ118" s="67"/>
      <c r="BK118" s="68"/>
      <c r="BL118" s="77" t="str">
        <f>IF(AND(BT113&lt;&gt;"",BB118&lt;&gt;"",BG118&lt;&gt;""),IFERROR(BG118/(100-((BB118/BT113)*100)),""),"")</f>
        <v/>
      </c>
      <c r="BM118" s="67"/>
      <c r="BN118" s="67"/>
      <c r="BO118" s="67"/>
      <c r="BP118" s="67"/>
      <c r="BQ118" s="67"/>
      <c r="BR118" s="67"/>
      <c r="BS118" s="67"/>
      <c r="BT118" s="67"/>
      <c r="BU118" s="68"/>
      <c r="BW118" s="72">
        <v>4.0</v>
      </c>
      <c r="BX118" s="67"/>
      <c r="BY118" s="68"/>
      <c r="BZ118" s="75"/>
      <c r="CA118" s="67"/>
      <c r="CB118" s="67"/>
      <c r="CC118" s="67"/>
      <c r="CD118" s="68"/>
      <c r="CE118" s="76"/>
      <c r="CF118" s="67"/>
      <c r="CG118" s="67"/>
      <c r="CH118" s="67"/>
      <c r="CI118" s="68"/>
      <c r="CJ118" s="77" t="str">
        <f>IF(AND(CR113&lt;&gt;"",BZ118&lt;&gt;"",CE118&lt;&gt;""),IFERROR(CE118/(100-((BZ118/CR113)*100)),""),"")</f>
        <v/>
      </c>
      <c r="CK118" s="67"/>
      <c r="CL118" s="67"/>
      <c r="CM118" s="67"/>
      <c r="CN118" s="67"/>
      <c r="CO118" s="67"/>
      <c r="CP118" s="67"/>
      <c r="CQ118" s="67"/>
      <c r="CR118" s="67"/>
      <c r="CS118" s="68"/>
    </row>
    <row r="119" ht="15.75" customHeight="1">
      <c r="C119" s="72">
        <v>5.0</v>
      </c>
      <c r="D119" s="67"/>
      <c r="E119" s="68"/>
      <c r="F119" s="75"/>
      <c r="G119" s="67"/>
      <c r="H119" s="67"/>
      <c r="I119" s="67"/>
      <c r="J119" s="68"/>
      <c r="K119" s="76"/>
      <c r="L119" s="67"/>
      <c r="M119" s="67"/>
      <c r="N119" s="67"/>
      <c r="O119" s="68"/>
      <c r="P119" s="77" t="str">
        <f>IF(AND(X113&lt;&gt;"",F119&lt;&gt;"",K119&lt;&gt;""),IFERROR(K119/(100-((F119/X113)*100)),""),"")</f>
        <v/>
      </c>
      <c r="Q119" s="67"/>
      <c r="R119" s="67"/>
      <c r="S119" s="67"/>
      <c r="T119" s="67"/>
      <c r="U119" s="67"/>
      <c r="V119" s="67"/>
      <c r="W119" s="67"/>
      <c r="X119" s="67"/>
      <c r="Y119" s="68"/>
      <c r="AA119" s="72">
        <v>5.0</v>
      </c>
      <c r="AB119" s="67"/>
      <c r="AC119" s="68"/>
      <c r="AD119" s="75"/>
      <c r="AE119" s="67"/>
      <c r="AF119" s="67"/>
      <c r="AG119" s="67"/>
      <c r="AH119" s="68"/>
      <c r="AI119" s="76"/>
      <c r="AJ119" s="67"/>
      <c r="AK119" s="67"/>
      <c r="AL119" s="67"/>
      <c r="AM119" s="68"/>
      <c r="AN119" s="77" t="str">
        <f>IF(AND(AV113&lt;&gt;"",AD119&lt;&gt;"",AI119&lt;&gt;""),IFERROR(AI119/(100-((AD119/AV113)*100)),""),"")</f>
        <v/>
      </c>
      <c r="AO119" s="67"/>
      <c r="AP119" s="67"/>
      <c r="AQ119" s="67"/>
      <c r="AR119" s="67"/>
      <c r="AS119" s="67"/>
      <c r="AT119" s="67"/>
      <c r="AU119" s="67"/>
      <c r="AV119" s="67"/>
      <c r="AW119" s="68"/>
      <c r="AY119" s="72">
        <v>5.0</v>
      </c>
      <c r="AZ119" s="67"/>
      <c r="BA119" s="68"/>
      <c r="BB119" s="75"/>
      <c r="BC119" s="67"/>
      <c r="BD119" s="67"/>
      <c r="BE119" s="67"/>
      <c r="BF119" s="68"/>
      <c r="BG119" s="76"/>
      <c r="BH119" s="67"/>
      <c r="BI119" s="67"/>
      <c r="BJ119" s="67"/>
      <c r="BK119" s="68"/>
      <c r="BL119" s="77" t="str">
        <f>IF(AND(BT113&lt;&gt;"",BB119&lt;&gt;"",BG119&lt;&gt;""),IFERROR(BG119/(100-((BB119/BT113)*100)),""),"")</f>
        <v/>
      </c>
      <c r="BM119" s="67"/>
      <c r="BN119" s="67"/>
      <c r="BO119" s="67"/>
      <c r="BP119" s="67"/>
      <c r="BQ119" s="67"/>
      <c r="BR119" s="67"/>
      <c r="BS119" s="67"/>
      <c r="BT119" s="67"/>
      <c r="BU119" s="68"/>
      <c r="BW119" s="72">
        <v>5.0</v>
      </c>
      <c r="BX119" s="67"/>
      <c r="BY119" s="68"/>
      <c r="BZ119" s="75"/>
      <c r="CA119" s="67"/>
      <c r="CB119" s="67"/>
      <c r="CC119" s="67"/>
      <c r="CD119" s="68"/>
      <c r="CE119" s="76"/>
      <c r="CF119" s="67"/>
      <c r="CG119" s="67"/>
      <c r="CH119" s="67"/>
      <c r="CI119" s="68"/>
      <c r="CJ119" s="77" t="str">
        <f>IF(AND(CR113&lt;&gt;"",BZ119&lt;&gt;"",CE119&lt;&gt;""),IFERROR(CE119/(100-((BZ119/CR113)*100)),""),"")</f>
        <v/>
      </c>
      <c r="CK119" s="67"/>
      <c r="CL119" s="67"/>
      <c r="CM119" s="67"/>
      <c r="CN119" s="67"/>
      <c r="CO119" s="67"/>
      <c r="CP119" s="67"/>
      <c r="CQ119" s="67"/>
      <c r="CR119" s="67"/>
      <c r="CS119" s="68"/>
    </row>
    <row r="120" ht="15.75" customHeight="1">
      <c r="C120" s="72">
        <v>6.0</v>
      </c>
      <c r="D120" s="67"/>
      <c r="E120" s="68"/>
      <c r="F120" s="75"/>
      <c r="G120" s="67"/>
      <c r="H120" s="67"/>
      <c r="I120" s="67"/>
      <c r="J120" s="68"/>
      <c r="K120" s="76"/>
      <c r="L120" s="67"/>
      <c r="M120" s="67"/>
      <c r="N120" s="67"/>
      <c r="O120" s="68"/>
      <c r="P120" s="77" t="str">
        <f>IF(AND(X113&lt;&gt;"",F120&lt;&gt;"",K120&lt;&gt;""),IFERROR(K120/(100-((F120/X113)*100)),""),"")</f>
        <v/>
      </c>
      <c r="Q120" s="67"/>
      <c r="R120" s="67"/>
      <c r="S120" s="67"/>
      <c r="T120" s="67"/>
      <c r="U120" s="67"/>
      <c r="V120" s="67"/>
      <c r="W120" s="67"/>
      <c r="X120" s="67"/>
      <c r="Y120" s="68"/>
      <c r="AA120" s="78"/>
      <c r="AB120" s="79">
        <v>6.0</v>
      </c>
      <c r="AC120" s="80"/>
      <c r="AD120" s="75"/>
      <c r="AE120" s="67"/>
      <c r="AF120" s="67"/>
      <c r="AG120" s="67"/>
      <c r="AH120" s="68"/>
      <c r="AI120" s="76"/>
      <c r="AJ120" s="67"/>
      <c r="AK120" s="67"/>
      <c r="AL120" s="67"/>
      <c r="AM120" s="68"/>
      <c r="AN120" s="77" t="str">
        <f>IF(AND(AV113&lt;&gt;"",AD120&lt;&gt;"",AI120&lt;&gt;""),IFERROR(AI120/(100-((AD120/AV113)*100)),""),"")</f>
        <v/>
      </c>
      <c r="AO120" s="67"/>
      <c r="AP120" s="67"/>
      <c r="AQ120" s="67"/>
      <c r="AR120" s="67"/>
      <c r="AS120" s="67"/>
      <c r="AT120" s="67"/>
      <c r="AU120" s="67"/>
      <c r="AV120" s="67"/>
      <c r="AW120" s="68"/>
      <c r="AY120" s="78"/>
      <c r="AZ120" s="79">
        <v>6.0</v>
      </c>
      <c r="BA120" s="80"/>
      <c r="BB120" s="75"/>
      <c r="BC120" s="67"/>
      <c r="BD120" s="67"/>
      <c r="BE120" s="67"/>
      <c r="BF120" s="68"/>
      <c r="BG120" s="76"/>
      <c r="BH120" s="67"/>
      <c r="BI120" s="67"/>
      <c r="BJ120" s="67"/>
      <c r="BK120" s="68"/>
      <c r="BL120" s="77" t="str">
        <f>IF(AND(BT113&lt;&gt;"",BB120&lt;&gt;"",BG120&lt;&gt;""),IFERROR(BG120/(100-((BB120/BT113)*100)),""),"")</f>
        <v/>
      </c>
      <c r="BM120" s="67"/>
      <c r="BN120" s="67"/>
      <c r="BO120" s="67"/>
      <c r="BP120" s="67"/>
      <c r="BQ120" s="67"/>
      <c r="BR120" s="67"/>
      <c r="BS120" s="67"/>
      <c r="BT120" s="67"/>
      <c r="BU120" s="68"/>
      <c r="BW120" s="78"/>
      <c r="BX120" s="79">
        <v>6.0</v>
      </c>
      <c r="BY120" s="80"/>
      <c r="BZ120" s="75"/>
      <c r="CA120" s="67"/>
      <c r="CB120" s="67"/>
      <c r="CC120" s="67"/>
      <c r="CD120" s="68"/>
      <c r="CE120" s="76"/>
      <c r="CF120" s="67"/>
      <c r="CG120" s="67"/>
      <c r="CH120" s="67"/>
      <c r="CI120" s="68"/>
      <c r="CJ120" s="77" t="str">
        <f>IF(AND(CR113&lt;&gt;"",BZ120&lt;&gt;"",CE120&lt;&gt;""),IFERROR(CE120/(100-((BZ120/CR113)*100)),""),"")</f>
        <v/>
      </c>
      <c r="CK120" s="67"/>
      <c r="CL120" s="67"/>
      <c r="CM120" s="67"/>
      <c r="CN120" s="67"/>
      <c r="CO120" s="67"/>
      <c r="CP120" s="67"/>
      <c r="CQ120" s="67"/>
      <c r="CR120" s="67"/>
      <c r="CS120" s="68"/>
    </row>
    <row r="121" ht="15.75" customHeight="1">
      <c r="C121" s="72" t="s">
        <v>31</v>
      </c>
      <c r="D121" s="67"/>
      <c r="E121" s="68"/>
      <c r="F121" s="77" t="str">
        <f>IFERROR(AVERAGE(F115:J119),"")</f>
        <v/>
      </c>
      <c r="G121" s="67"/>
      <c r="H121" s="67"/>
      <c r="I121" s="67"/>
      <c r="J121" s="68"/>
      <c r="K121" s="71" t="str">
        <f>IFERROR(AVERAGE(K115:O119),"")</f>
        <v/>
      </c>
      <c r="L121" s="67"/>
      <c r="M121" s="67"/>
      <c r="N121" s="67"/>
      <c r="O121" s="68"/>
      <c r="P121" s="77" t="str">
        <f>IFERROR(AVERAGE(P115:Y119),"")</f>
        <v/>
      </c>
      <c r="Q121" s="67"/>
      <c r="R121" s="67"/>
      <c r="S121" s="67"/>
      <c r="T121" s="67"/>
      <c r="U121" s="67"/>
      <c r="V121" s="67"/>
      <c r="W121" s="67"/>
      <c r="X121" s="67"/>
      <c r="Y121" s="68"/>
      <c r="AA121" s="72" t="s">
        <v>31</v>
      </c>
      <c r="AB121" s="67"/>
      <c r="AC121" s="68"/>
      <c r="AD121" s="77" t="str">
        <f>IFERROR(AVERAGE(AD115:AH119),"")</f>
        <v/>
      </c>
      <c r="AE121" s="67"/>
      <c r="AF121" s="67"/>
      <c r="AG121" s="67"/>
      <c r="AH121" s="68"/>
      <c r="AI121" s="71" t="str">
        <f>IFERROR(AVERAGE(AI115:AM119),"")</f>
        <v/>
      </c>
      <c r="AJ121" s="67"/>
      <c r="AK121" s="67"/>
      <c r="AL121" s="67"/>
      <c r="AM121" s="68"/>
      <c r="AN121" s="77" t="str">
        <f>IFERROR(AVERAGE(AN115:AW119),"")</f>
        <v/>
      </c>
      <c r="AO121" s="67"/>
      <c r="AP121" s="67"/>
      <c r="AQ121" s="67"/>
      <c r="AR121" s="67"/>
      <c r="AS121" s="67"/>
      <c r="AT121" s="67"/>
      <c r="AU121" s="67"/>
      <c r="AV121" s="67"/>
      <c r="AW121" s="68"/>
      <c r="AY121" s="72" t="s">
        <v>31</v>
      </c>
      <c r="AZ121" s="67"/>
      <c r="BA121" s="68"/>
      <c r="BB121" s="77" t="str">
        <f>IFERROR(AVERAGE(BB115:BF119),"")</f>
        <v/>
      </c>
      <c r="BC121" s="67"/>
      <c r="BD121" s="67"/>
      <c r="BE121" s="67"/>
      <c r="BF121" s="68"/>
      <c r="BG121" s="71" t="str">
        <f>IFERROR(AVERAGE(BG115:BK119),"")</f>
        <v/>
      </c>
      <c r="BH121" s="67"/>
      <c r="BI121" s="67"/>
      <c r="BJ121" s="67"/>
      <c r="BK121" s="68"/>
      <c r="BL121" s="77" t="str">
        <f>IFERROR(AVERAGE(BL115:BU119),"")</f>
        <v/>
      </c>
      <c r="BM121" s="67"/>
      <c r="BN121" s="67"/>
      <c r="BO121" s="67"/>
      <c r="BP121" s="67"/>
      <c r="BQ121" s="67"/>
      <c r="BR121" s="67"/>
      <c r="BS121" s="67"/>
      <c r="BT121" s="67"/>
      <c r="BU121" s="68"/>
      <c r="BW121" s="72" t="s">
        <v>31</v>
      </c>
      <c r="BX121" s="67"/>
      <c r="BY121" s="68"/>
      <c r="BZ121" s="77" t="str">
        <f>IFERROR(AVERAGE(BZ115:CD119),"")</f>
        <v/>
      </c>
      <c r="CA121" s="67"/>
      <c r="CB121" s="67"/>
      <c r="CC121" s="67"/>
      <c r="CD121" s="68"/>
      <c r="CE121" s="71" t="str">
        <f>IFERROR(AVERAGE(CE115:CI119),"")</f>
        <v/>
      </c>
      <c r="CF121" s="67"/>
      <c r="CG121" s="67"/>
      <c r="CH121" s="67"/>
      <c r="CI121" s="68"/>
      <c r="CJ121" s="77" t="str">
        <f>IFERROR(AVERAGE(CJ115:CS119),"")</f>
        <v/>
      </c>
      <c r="CK121" s="67"/>
      <c r="CL121" s="67"/>
      <c r="CM121" s="67"/>
      <c r="CN121" s="67"/>
      <c r="CO121" s="67"/>
      <c r="CP121" s="67"/>
      <c r="CQ121" s="67"/>
      <c r="CR121" s="67"/>
      <c r="CS121" s="68"/>
    </row>
    <row r="122" ht="30.0" customHeight="1">
      <c r="C122" s="83" t="s">
        <v>42</v>
      </c>
      <c r="D122" s="84"/>
      <c r="E122" s="85"/>
      <c r="F122" s="86">
        <f>IFERROR(SUM(F115:J119),"")</f>
        <v>0</v>
      </c>
      <c r="G122" s="84"/>
      <c r="H122" s="84"/>
      <c r="I122" s="84"/>
      <c r="J122" s="85"/>
      <c r="K122" s="87">
        <f>IFERROR(SUM(K115:O119),"")</f>
        <v>0</v>
      </c>
      <c r="L122" s="84"/>
      <c r="M122" s="84"/>
      <c r="N122" s="84"/>
      <c r="O122" s="85"/>
      <c r="P122" s="88">
        <f>IFERROR(SUM(P115:Y120),"")</f>
        <v>0</v>
      </c>
      <c r="Q122" s="84"/>
      <c r="R122" s="84"/>
      <c r="S122" s="84"/>
      <c r="T122" s="84"/>
      <c r="U122" s="84"/>
      <c r="V122" s="84"/>
      <c r="W122" s="84"/>
      <c r="X122" s="84"/>
      <c r="Y122" s="85"/>
      <c r="AA122" s="81" t="s">
        <v>42</v>
      </c>
      <c r="AB122" s="67"/>
      <c r="AC122" s="68"/>
      <c r="AD122" s="77">
        <f>IFERROR(SUM(AD115:AH119),"")</f>
        <v>0</v>
      </c>
      <c r="AE122" s="67"/>
      <c r="AF122" s="67"/>
      <c r="AG122" s="67"/>
      <c r="AH122" s="68"/>
      <c r="AI122" s="71">
        <f>IFERROR(SUM(AI115:AM119),"")</f>
        <v>0</v>
      </c>
      <c r="AJ122" s="67"/>
      <c r="AK122" s="67"/>
      <c r="AL122" s="67"/>
      <c r="AM122" s="68"/>
      <c r="AN122" s="82">
        <f>IFERROR(SUM(AN115:AW120),"")</f>
        <v>0</v>
      </c>
      <c r="AO122" s="67"/>
      <c r="AP122" s="67"/>
      <c r="AQ122" s="67"/>
      <c r="AR122" s="67"/>
      <c r="AS122" s="67"/>
      <c r="AT122" s="67"/>
      <c r="AU122" s="67"/>
      <c r="AV122" s="67"/>
      <c r="AW122" s="68"/>
      <c r="AY122" s="81" t="s">
        <v>42</v>
      </c>
      <c r="AZ122" s="67"/>
      <c r="BA122" s="68"/>
      <c r="BB122" s="77">
        <f>IFERROR(SUM(BB115:BF119),"")</f>
        <v>0</v>
      </c>
      <c r="BC122" s="67"/>
      <c r="BD122" s="67"/>
      <c r="BE122" s="67"/>
      <c r="BF122" s="68"/>
      <c r="BG122" s="71">
        <f>IFERROR(SUM(BG115:BK119),"")</f>
        <v>0</v>
      </c>
      <c r="BH122" s="67"/>
      <c r="BI122" s="67"/>
      <c r="BJ122" s="67"/>
      <c r="BK122" s="68"/>
      <c r="BL122" s="82">
        <f>IFERROR(SUM(BL115:BU120),"")</f>
        <v>0</v>
      </c>
      <c r="BM122" s="67"/>
      <c r="BN122" s="67"/>
      <c r="BO122" s="67"/>
      <c r="BP122" s="67"/>
      <c r="BQ122" s="67"/>
      <c r="BR122" s="67"/>
      <c r="BS122" s="67"/>
      <c r="BT122" s="67"/>
      <c r="BU122" s="68"/>
      <c r="BW122" s="81" t="s">
        <v>42</v>
      </c>
      <c r="BX122" s="67"/>
      <c r="BY122" s="68"/>
      <c r="BZ122" s="77">
        <f>IFERROR(SUM(BZ115:CD119),"")</f>
        <v>0</v>
      </c>
      <c r="CA122" s="67"/>
      <c r="CB122" s="67"/>
      <c r="CC122" s="67"/>
      <c r="CD122" s="68"/>
      <c r="CE122" s="71">
        <f>IFERROR(SUM(CE115:CI119),"")</f>
        <v>0</v>
      </c>
      <c r="CF122" s="67"/>
      <c r="CG122" s="67"/>
      <c r="CH122" s="67"/>
      <c r="CI122" s="68"/>
      <c r="CJ122" s="82">
        <f>IFERROR(SUM(CJ115:CS120),"")</f>
        <v>0</v>
      </c>
      <c r="CK122" s="67"/>
      <c r="CL122" s="67"/>
      <c r="CM122" s="67"/>
      <c r="CN122" s="67"/>
      <c r="CO122" s="67"/>
      <c r="CP122" s="67"/>
      <c r="CQ122" s="67"/>
      <c r="CR122" s="67"/>
      <c r="CS122" s="68"/>
    </row>
    <row r="123" ht="15.75" customHeight="1">
      <c r="A123" s="89"/>
      <c r="B123" s="89"/>
      <c r="C123" s="90" t="s">
        <v>42</v>
      </c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2"/>
      <c r="Z123" s="89"/>
      <c r="AA123" s="90" t="s">
        <v>42</v>
      </c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2"/>
      <c r="AX123" s="89"/>
      <c r="AY123" s="90" t="s">
        <v>42</v>
      </c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2"/>
      <c r="BV123" s="89"/>
      <c r="BW123" s="90" t="s">
        <v>42</v>
      </c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2"/>
      <c r="CT123" s="89"/>
    </row>
    <row r="124" ht="15.75" customHeight="1">
      <c r="A124" s="89"/>
      <c r="B124" s="89"/>
      <c r="C124" s="93" t="s">
        <v>55</v>
      </c>
      <c r="D124" s="91"/>
      <c r="E124" s="92"/>
      <c r="F124" s="94" t="s">
        <v>56</v>
      </c>
      <c r="G124" s="91"/>
      <c r="H124" s="91"/>
      <c r="I124" s="92"/>
      <c r="J124" s="94" t="s">
        <v>57</v>
      </c>
      <c r="K124" s="91"/>
      <c r="L124" s="91"/>
      <c r="M124" s="92"/>
      <c r="N124" s="94" t="s">
        <v>58</v>
      </c>
      <c r="O124" s="91"/>
      <c r="P124" s="91"/>
      <c r="Q124" s="92"/>
      <c r="R124" s="94" t="s">
        <v>59</v>
      </c>
      <c r="S124" s="91"/>
      <c r="T124" s="91"/>
      <c r="U124" s="92"/>
      <c r="V124" s="94" t="s">
        <v>60</v>
      </c>
      <c r="W124" s="91"/>
      <c r="X124" s="91"/>
      <c r="Y124" s="92"/>
      <c r="Z124" s="89"/>
      <c r="AA124" s="94" t="s">
        <v>55</v>
      </c>
      <c r="AB124" s="91"/>
      <c r="AC124" s="92"/>
      <c r="AD124" s="94" t="s">
        <v>56</v>
      </c>
      <c r="AE124" s="91"/>
      <c r="AF124" s="91"/>
      <c r="AG124" s="92"/>
      <c r="AH124" s="94" t="s">
        <v>57</v>
      </c>
      <c r="AI124" s="91"/>
      <c r="AJ124" s="91"/>
      <c r="AK124" s="92"/>
      <c r="AL124" s="94" t="s">
        <v>58</v>
      </c>
      <c r="AM124" s="91"/>
      <c r="AN124" s="91"/>
      <c r="AO124" s="92"/>
      <c r="AP124" s="94" t="s">
        <v>59</v>
      </c>
      <c r="AQ124" s="91"/>
      <c r="AR124" s="91"/>
      <c r="AS124" s="92"/>
      <c r="AT124" s="94" t="s">
        <v>60</v>
      </c>
      <c r="AU124" s="91"/>
      <c r="AV124" s="91"/>
      <c r="AW124" s="92"/>
      <c r="AX124" s="89"/>
      <c r="AY124" s="94" t="s">
        <v>55</v>
      </c>
      <c r="AZ124" s="91"/>
      <c r="BA124" s="92"/>
      <c r="BB124" s="94" t="s">
        <v>56</v>
      </c>
      <c r="BC124" s="91"/>
      <c r="BD124" s="91"/>
      <c r="BE124" s="92"/>
      <c r="BF124" s="94" t="s">
        <v>57</v>
      </c>
      <c r="BG124" s="91"/>
      <c r="BH124" s="91"/>
      <c r="BI124" s="92"/>
      <c r="BJ124" s="94" t="s">
        <v>58</v>
      </c>
      <c r="BK124" s="91"/>
      <c r="BL124" s="91"/>
      <c r="BM124" s="92"/>
      <c r="BN124" s="94" t="s">
        <v>59</v>
      </c>
      <c r="BO124" s="91"/>
      <c r="BP124" s="91"/>
      <c r="BQ124" s="92"/>
      <c r="BR124" s="94" t="s">
        <v>60</v>
      </c>
      <c r="BS124" s="91"/>
      <c r="BT124" s="91"/>
      <c r="BU124" s="92"/>
      <c r="BV124" s="89"/>
      <c r="BW124" s="94" t="s">
        <v>55</v>
      </c>
      <c r="BX124" s="91"/>
      <c r="BY124" s="92"/>
      <c r="BZ124" s="94" t="s">
        <v>56</v>
      </c>
      <c r="CA124" s="91"/>
      <c r="CB124" s="91"/>
      <c r="CC124" s="92"/>
      <c r="CD124" s="94" t="s">
        <v>57</v>
      </c>
      <c r="CE124" s="91"/>
      <c r="CF124" s="91"/>
      <c r="CG124" s="92"/>
      <c r="CH124" s="94" t="s">
        <v>58</v>
      </c>
      <c r="CI124" s="91"/>
      <c r="CJ124" s="91"/>
      <c r="CK124" s="92"/>
      <c r="CL124" s="94" t="s">
        <v>59</v>
      </c>
      <c r="CM124" s="91"/>
      <c r="CN124" s="91"/>
      <c r="CO124" s="92"/>
      <c r="CP124" s="94" t="s">
        <v>60</v>
      </c>
      <c r="CQ124" s="91"/>
      <c r="CR124" s="91"/>
      <c r="CS124" s="92"/>
      <c r="CT124" s="89"/>
    </row>
    <row r="125" ht="30.0" customHeight="1">
      <c r="A125" s="95"/>
      <c r="B125" s="95"/>
      <c r="C125" s="96" t="str">
        <f>H3</f>
        <v>Jalón al pecho</v>
      </c>
      <c r="D125" s="91"/>
      <c r="E125" s="92"/>
      <c r="F125" s="97">
        <f>F11</f>
        <v>85</v>
      </c>
      <c r="G125" s="91"/>
      <c r="H125" s="91"/>
      <c r="I125" s="92"/>
      <c r="J125" s="98">
        <f>K11</f>
        <v>9.166666667</v>
      </c>
      <c r="K125" s="91"/>
      <c r="L125" s="91"/>
      <c r="M125" s="92"/>
      <c r="N125" s="97">
        <f>F12</f>
        <v>510</v>
      </c>
      <c r="O125" s="91"/>
      <c r="P125" s="91"/>
      <c r="Q125" s="92"/>
      <c r="R125" s="98">
        <f>K12</f>
        <v>55</v>
      </c>
      <c r="S125" s="91"/>
      <c r="T125" s="91"/>
      <c r="U125" s="92"/>
      <c r="V125" s="99">
        <f>P12</f>
        <v>2.219642857</v>
      </c>
      <c r="W125" s="91"/>
      <c r="X125" s="91"/>
      <c r="Y125" s="92"/>
      <c r="Z125" s="95"/>
      <c r="AA125" s="96" t="str">
        <f>AF3</f>
        <v>Sentadilla trasera con barra</v>
      </c>
      <c r="AB125" s="91"/>
      <c r="AC125" s="92"/>
      <c r="AD125" s="97">
        <f>AD11</f>
        <v>110</v>
      </c>
      <c r="AE125" s="91"/>
      <c r="AF125" s="91"/>
      <c r="AG125" s="92"/>
      <c r="AH125" s="98">
        <f>AI11</f>
        <v>8.75</v>
      </c>
      <c r="AI125" s="91"/>
      <c r="AJ125" s="91"/>
      <c r="AK125" s="92"/>
      <c r="AL125" s="97">
        <f>AD12</f>
        <v>440</v>
      </c>
      <c r="AM125" s="91"/>
      <c r="AN125" s="91"/>
      <c r="AO125" s="92"/>
      <c r="AP125" s="98">
        <f>AI12</f>
        <v>35</v>
      </c>
      <c r="AQ125" s="91"/>
      <c r="AR125" s="91"/>
      <c r="AS125" s="92"/>
      <c r="AT125" s="99">
        <f>AN12</f>
        <v>1.3125</v>
      </c>
      <c r="AU125" s="91"/>
      <c r="AV125" s="91"/>
      <c r="AW125" s="92"/>
      <c r="AX125" s="95"/>
      <c r="AY125" s="96" t="str">
        <f>BD3</f>
        <v>Remo gironda</v>
      </c>
      <c r="AZ125" s="91"/>
      <c r="BA125" s="92"/>
      <c r="BB125" s="97">
        <f>BB11</f>
        <v>100</v>
      </c>
      <c r="BC125" s="91"/>
      <c r="BD125" s="91"/>
      <c r="BE125" s="92"/>
      <c r="BF125" s="98">
        <f>BG11</f>
        <v>8.5</v>
      </c>
      <c r="BG125" s="91"/>
      <c r="BH125" s="91"/>
      <c r="BI125" s="92"/>
      <c r="BJ125" s="97">
        <f>BB12</f>
        <v>400</v>
      </c>
      <c r="BK125" s="91"/>
      <c r="BL125" s="91"/>
      <c r="BM125" s="92"/>
      <c r="BN125" s="98">
        <f>BG12</f>
        <v>34</v>
      </c>
      <c r="BO125" s="91"/>
      <c r="BP125" s="91"/>
      <c r="BQ125" s="92"/>
      <c r="BR125" s="99">
        <f>BL12</f>
        <v>1.37030303</v>
      </c>
      <c r="BS125" s="91"/>
      <c r="BT125" s="91"/>
      <c r="BU125" s="92"/>
      <c r="BV125" s="95"/>
      <c r="BW125" s="96" t="str">
        <f>CB3</f>
        <v>Dominadas</v>
      </c>
      <c r="BX125" s="91"/>
      <c r="BY125" s="92"/>
      <c r="BZ125" s="97">
        <f>BZ11</f>
        <v>100</v>
      </c>
      <c r="CA125" s="91"/>
      <c r="CB125" s="91"/>
      <c r="CC125" s="92"/>
      <c r="CD125" s="98">
        <f>CE11</f>
        <v>8.5</v>
      </c>
      <c r="CE125" s="91"/>
      <c r="CF125" s="91"/>
      <c r="CG125" s="92"/>
      <c r="CH125" s="97">
        <f>BZ12</f>
        <v>400</v>
      </c>
      <c r="CI125" s="91"/>
      <c r="CJ125" s="91"/>
      <c r="CK125" s="92"/>
      <c r="CL125" s="98">
        <f>CE12</f>
        <v>34</v>
      </c>
      <c r="CM125" s="91"/>
      <c r="CN125" s="91"/>
      <c r="CO125" s="92"/>
      <c r="CP125" s="99">
        <f>CJ12</f>
        <v>1.37030303</v>
      </c>
      <c r="CQ125" s="91"/>
      <c r="CR125" s="91"/>
      <c r="CS125" s="92"/>
      <c r="CT125" s="95"/>
    </row>
    <row r="126" ht="30.0" customHeight="1">
      <c r="A126" s="95"/>
      <c r="B126" s="95"/>
      <c r="C126" s="96" t="str">
        <f>H13</f>
        <v>Press de banca</v>
      </c>
      <c r="D126" s="91"/>
      <c r="E126" s="92"/>
      <c r="F126" s="97">
        <f>F21</f>
        <v>89</v>
      </c>
      <c r="G126" s="91"/>
      <c r="H126" s="91"/>
      <c r="I126" s="92"/>
      <c r="J126" s="98">
        <f>K21</f>
        <v>5.2</v>
      </c>
      <c r="K126" s="91"/>
      <c r="L126" s="91"/>
      <c r="M126" s="92"/>
      <c r="N126" s="97">
        <f>F22</f>
        <v>445</v>
      </c>
      <c r="O126" s="91"/>
      <c r="P126" s="91"/>
      <c r="Q126" s="92"/>
      <c r="R126" s="98">
        <f>K22</f>
        <v>26</v>
      </c>
      <c r="S126" s="91"/>
      <c r="T126" s="91"/>
      <c r="U126" s="92"/>
      <c r="V126" s="99">
        <f>P22</f>
        <v>1.796666667</v>
      </c>
      <c r="W126" s="91"/>
      <c r="X126" s="91"/>
      <c r="Y126" s="92"/>
      <c r="Z126" s="95"/>
      <c r="AA126" s="96" t="str">
        <f>AF13</f>
        <v>Peso muerto</v>
      </c>
      <c r="AB126" s="91"/>
      <c r="AC126" s="92"/>
      <c r="AD126" s="97">
        <f>AD21</f>
        <v>160</v>
      </c>
      <c r="AE126" s="91"/>
      <c r="AF126" s="91"/>
      <c r="AG126" s="92"/>
      <c r="AH126" s="98">
        <f>AI21</f>
        <v>5.333333333</v>
      </c>
      <c r="AI126" s="91"/>
      <c r="AJ126" s="91"/>
      <c r="AK126" s="92"/>
      <c r="AL126" s="97">
        <f>AD22</f>
        <v>480</v>
      </c>
      <c r="AM126" s="91"/>
      <c r="AN126" s="91"/>
      <c r="AO126" s="92"/>
      <c r="AP126" s="98">
        <f>AI22</f>
        <v>16</v>
      </c>
      <c r="AQ126" s="91"/>
      <c r="AR126" s="91"/>
      <c r="AS126" s="92"/>
      <c r="AT126" s="99">
        <f>AN22</f>
        <v>1.184</v>
      </c>
      <c r="AU126" s="91"/>
      <c r="AV126" s="91"/>
      <c r="AW126" s="92"/>
      <c r="AX126" s="95"/>
      <c r="AY126" s="96" t="str">
        <f>BD13</f>
        <v>Press de banca inclinado</v>
      </c>
      <c r="AZ126" s="91"/>
      <c r="BA126" s="92"/>
      <c r="BB126" s="97">
        <f>BB21</f>
        <v>60</v>
      </c>
      <c r="BC126" s="91"/>
      <c r="BD126" s="91"/>
      <c r="BE126" s="92"/>
      <c r="BF126" s="98">
        <f>BG21</f>
        <v>6.666666667</v>
      </c>
      <c r="BG126" s="91"/>
      <c r="BH126" s="91"/>
      <c r="BI126" s="92"/>
      <c r="BJ126" s="97">
        <f>BB22</f>
        <v>180</v>
      </c>
      <c r="BK126" s="91"/>
      <c r="BL126" s="91"/>
      <c r="BM126" s="92"/>
      <c r="BN126" s="98">
        <f>BG22</f>
        <v>20</v>
      </c>
      <c r="BO126" s="91"/>
      <c r="BP126" s="91"/>
      <c r="BQ126" s="92"/>
      <c r="BR126" s="99">
        <f>BL22</f>
        <v>1.057142857</v>
      </c>
      <c r="BS126" s="91"/>
      <c r="BT126" s="91"/>
      <c r="BU126" s="92"/>
      <c r="BV126" s="95"/>
      <c r="BW126" s="96" t="str">
        <f>CB13</f>
        <v>Press de banca inclinado</v>
      </c>
      <c r="BX126" s="91"/>
      <c r="BY126" s="92"/>
      <c r="BZ126" s="97">
        <f>BZ21</f>
        <v>60</v>
      </c>
      <c r="CA126" s="91"/>
      <c r="CB126" s="91"/>
      <c r="CC126" s="92"/>
      <c r="CD126" s="98">
        <f>CE21</f>
        <v>6.666666667</v>
      </c>
      <c r="CE126" s="91"/>
      <c r="CF126" s="91"/>
      <c r="CG126" s="92"/>
      <c r="CH126" s="97">
        <f>BZ22</f>
        <v>180</v>
      </c>
      <c r="CI126" s="91"/>
      <c r="CJ126" s="91"/>
      <c r="CK126" s="92"/>
      <c r="CL126" s="98">
        <f>CE22</f>
        <v>20</v>
      </c>
      <c r="CM126" s="91"/>
      <c r="CN126" s="91"/>
      <c r="CO126" s="92"/>
      <c r="CP126" s="99">
        <f>CJ22</f>
        <v>1.057142857</v>
      </c>
      <c r="CQ126" s="91"/>
      <c r="CR126" s="91"/>
      <c r="CS126" s="92"/>
      <c r="CT126" s="95"/>
    </row>
    <row r="127" ht="30.0" customHeight="1">
      <c r="A127" s="95"/>
      <c r="B127" s="95"/>
      <c r="C127" s="96" t="str">
        <f>H23</f>
        <v>Remo con barra</v>
      </c>
      <c r="D127" s="91"/>
      <c r="E127" s="92"/>
      <c r="F127" s="97">
        <f>F31</f>
        <v>65</v>
      </c>
      <c r="G127" s="91"/>
      <c r="H127" s="91"/>
      <c r="I127" s="92"/>
      <c r="J127" s="98">
        <f>K31</f>
        <v>11.33333333</v>
      </c>
      <c r="K127" s="91"/>
      <c r="L127" s="91"/>
      <c r="M127" s="92"/>
      <c r="N127" s="97">
        <f>F32</f>
        <v>195</v>
      </c>
      <c r="O127" s="91"/>
      <c r="P127" s="91"/>
      <c r="Q127" s="92"/>
      <c r="R127" s="98">
        <f>K32</f>
        <v>34</v>
      </c>
      <c r="S127" s="91"/>
      <c r="T127" s="91"/>
      <c r="U127" s="92"/>
      <c r="V127" s="99">
        <f>P32</f>
        <v>1.129285714</v>
      </c>
      <c r="W127" s="91"/>
      <c r="X127" s="91"/>
      <c r="Y127" s="92"/>
      <c r="Z127" s="95"/>
      <c r="AA127" s="96" t="str">
        <f>AF23</f>
        <v>Extensión de cuádriceps en máquina</v>
      </c>
      <c r="AB127" s="91"/>
      <c r="AC127" s="92"/>
      <c r="AD127" s="97">
        <f>AD31</f>
        <v>60</v>
      </c>
      <c r="AE127" s="91"/>
      <c r="AF127" s="91"/>
      <c r="AG127" s="92"/>
      <c r="AH127" s="98">
        <f>AI31</f>
        <v>11.33333333</v>
      </c>
      <c r="AI127" s="91"/>
      <c r="AJ127" s="91"/>
      <c r="AK127" s="92"/>
      <c r="AL127" s="97">
        <f>AD32</f>
        <v>180</v>
      </c>
      <c r="AM127" s="91"/>
      <c r="AN127" s="91"/>
      <c r="AO127" s="92"/>
      <c r="AP127" s="98">
        <f>AI32</f>
        <v>34</v>
      </c>
      <c r="AQ127" s="91"/>
      <c r="AR127" s="91"/>
      <c r="AS127" s="92"/>
      <c r="AT127" s="99">
        <f>AN32</f>
        <v>1.124615385</v>
      </c>
      <c r="AU127" s="91"/>
      <c r="AV127" s="91"/>
      <c r="AW127" s="92"/>
      <c r="AX127" s="95"/>
      <c r="AY127" s="96" t="str">
        <f>BD23</f>
        <v>Remo unilateral</v>
      </c>
      <c r="AZ127" s="91"/>
      <c r="BA127" s="92"/>
      <c r="BB127" s="97">
        <f>BB31</f>
        <v>50</v>
      </c>
      <c r="BC127" s="91"/>
      <c r="BD127" s="91"/>
      <c r="BE127" s="92"/>
      <c r="BF127" s="98">
        <f>BG31</f>
        <v>16</v>
      </c>
      <c r="BG127" s="91"/>
      <c r="BH127" s="91"/>
      <c r="BI127" s="92"/>
      <c r="BJ127" s="97">
        <f>BB32</f>
        <v>150</v>
      </c>
      <c r="BK127" s="91"/>
      <c r="BL127" s="91"/>
      <c r="BM127" s="92"/>
      <c r="BN127" s="98">
        <f>BG32</f>
        <v>48</v>
      </c>
      <c r="BO127" s="91"/>
      <c r="BP127" s="91"/>
      <c r="BQ127" s="92"/>
      <c r="BR127" s="99">
        <f>BL32</f>
        <v>1.165714286</v>
      </c>
      <c r="BS127" s="91"/>
      <c r="BT127" s="91"/>
      <c r="BU127" s="92"/>
      <c r="BV127" s="95"/>
      <c r="BW127" s="96" t="str">
        <f>CB23</f>
        <v>Remo unilateral</v>
      </c>
      <c r="BX127" s="91"/>
      <c r="BY127" s="92"/>
      <c r="BZ127" s="97">
        <f>BZ31</f>
        <v>50</v>
      </c>
      <c r="CA127" s="91"/>
      <c r="CB127" s="91"/>
      <c r="CC127" s="92"/>
      <c r="CD127" s="98">
        <f>CE31</f>
        <v>16</v>
      </c>
      <c r="CE127" s="91"/>
      <c r="CF127" s="91"/>
      <c r="CG127" s="92"/>
      <c r="CH127" s="97">
        <f>BZ32</f>
        <v>150</v>
      </c>
      <c r="CI127" s="91"/>
      <c r="CJ127" s="91"/>
      <c r="CK127" s="92"/>
      <c r="CL127" s="98">
        <f>CE32</f>
        <v>48</v>
      </c>
      <c r="CM127" s="91"/>
      <c r="CN127" s="91"/>
      <c r="CO127" s="92"/>
      <c r="CP127" s="99">
        <f>CJ32</f>
        <v>1.165714286</v>
      </c>
      <c r="CQ127" s="91"/>
      <c r="CR127" s="91"/>
      <c r="CS127" s="92"/>
      <c r="CT127" s="95"/>
    </row>
    <row r="128" ht="30.0" customHeight="1">
      <c r="A128" s="95"/>
      <c r="B128" s="95"/>
      <c r="C128" s="96" t="str">
        <f>H33</f>
        <v>Press militar en multipower</v>
      </c>
      <c r="D128" s="91"/>
      <c r="E128" s="92"/>
      <c r="F128" s="97">
        <f>F41</f>
        <v>30</v>
      </c>
      <c r="G128" s="91"/>
      <c r="H128" s="91"/>
      <c r="I128" s="92"/>
      <c r="J128" s="98">
        <f>K41</f>
        <v>10</v>
      </c>
      <c r="K128" s="91"/>
      <c r="L128" s="91"/>
      <c r="M128" s="92"/>
      <c r="N128" s="97">
        <f>F42</f>
        <v>90</v>
      </c>
      <c r="O128" s="91"/>
      <c r="P128" s="91"/>
      <c r="Q128" s="92"/>
      <c r="R128" s="98">
        <f>K42</f>
        <v>30</v>
      </c>
      <c r="S128" s="91"/>
      <c r="T128" s="91"/>
      <c r="U128" s="92"/>
      <c r="V128" s="99">
        <f>P42</f>
        <v>0.9923076923</v>
      </c>
      <c r="W128" s="91"/>
      <c r="X128" s="91"/>
      <c r="Y128" s="92"/>
      <c r="Z128" s="95"/>
      <c r="AA128" s="96" t="str">
        <f>AF33</f>
        <v>Hip-thrust</v>
      </c>
      <c r="AB128" s="91"/>
      <c r="AC128" s="92"/>
      <c r="AD128" s="97">
        <f>AD41</f>
        <v>180</v>
      </c>
      <c r="AE128" s="91"/>
      <c r="AF128" s="91"/>
      <c r="AG128" s="92"/>
      <c r="AH128" s="98">
        <f>AI41</f>
        <v>10.66666667</v>
      </c>
      <c r="AI128" s="91"/>
      <c r="AJ128" s="91"/>
      <c r="AK128" s="92"/>
      <c r="AL128" s="97">
        <f>AD42</f>
        <v>540</v>
      </c>
      <c r="AM128" s="91"/>
      <c r="AN128" s="91"/>
      <c r="AO128" s="92"/>
      <c r="AP128" s="98">
        <f>AI42</f>
        <v>32</v>
      </c>
      <c r="AQ128" s="91"/>
      <c r="AR128" s="91"/>
      <c r="AS128" s="92"/>
      <c r="AT128" s="99">
        <f>AN42</f>
        <v>1.049113924</v>
      </c>
      <c r="AU128" s="91"/>
      <c r="AV128" s="91"/>
      <c r="AW128" s="92"/>
      <c r="AX128" s="95"/>
      <c r="AY128" s="96" t="str">
        <f>BD33</f>
        <v>Cruces en polea alta</v>
      </c>
      <c r="AZ128" s="91"/>
      <c r="BA128" s="92"/>
      <c r="BB128" s="97">
        <f>BB41</f>
        <v>20</v>
      </c>
      <c r="BC128" s="91"/>
      <c r="BD128" s="91"/>
      <c r="BE128" s="92"/>
      <c r="BF128" s="98">
        <f>BG41</f>
        <v>13</v>
      </c>
      <c r="BG128" s="91"/>
      <c r="BH128" s="91"/>
      <c r="BI128" s="92"/>
      <c r="BJ128" s="97">
        <f>BB42</f>
        <v>60</v>
      </c>
      <c r="BK128" s="91"/>
      <c r="BL128" s="91"/>
      <c r="BM128" s="92"/>
      <c r="BN128" s="98">
        <f>BG42</f>
        <v>39</v>
      </c>
      <c r="BO128" s="91"/>
      <c r="BP128" s="91"/>
      <c r="BQ128" s="92"/>
      <c r="BR128" s="99">
        <f>BL42</f>
        <v>0.8775</v>
      </c>
      <c r="BS128" s="91"/>
      <c r="BT128" s="91"/>
      <c r="BU128" s="92"/>
      <c r="BV128" s="95"/>
      <c r="BW128" s="96" t="str">
        <f>CB33</f>
        <v>Cruces en polea alta</v>
      </c>
      <c r="BX128" s="91"/>
      <c r="BY128" s="92"/>
      <c r="BZ128" s="97">
        <f>BZ41</f>
        <v>20</v>
      </c>
      <c r="CA128" s="91"/>
      <c r="CB128" s="91"/>
      <c r="CC128" s="92"/>
      <c r="CD128" s="98">
        <f>CE41</f>
        <v>13</v>
      </c>
      <c r="CE128" s="91"/>
      <c r="CF128" s="91"/>
      <c r="CG128" s="92"/>
      <c r="CH128" s="97">
        <f>BZ42</f>
        <v>60</v>
      </c>
      <c r="CI128" s="91"/>
      <c r="CJ128" s="91"/>
      <c r="CK128" s="92"/>
      <c r="CL128" s="98">
        <f>CE42</f>
        <v>39</v>
      </c>
      <c r="CM128" s="91"/>
      <c r="CN128" s="91"/>
      <c r="CO128" s="92"/>
      <c r="CP128" s="99">
        <f>CJ42</f>
        <v>0.8775</v>
      </c>
      <c r="CQ128" s="91"/>
      <c r="CR128" s="91"/>
      <c r="CS128" s="92"/>
      <c r="CT128" s="95"/>
    </row>
    <row r="129" ht="30.0" customHeight="1">
      <c r="A129" s="95"/>
      <c r="B129" s="95"/>
      <c r="C129" s="96" t="str">
        <f>H43</f>
        <v/>
      </c>
      <c r="D129" s="91"/>
      <c r="E129" s="92"/>
      <c r="F129" s="97" t="str">
        <f>F51</f>
        <v/>
      </c>
      <c r="G129" s="91"/>
      <c r="H129" s="91"/>
      <c r="I129" s="92"/>
      <c r="J129" s="98" t="str">
        <f>K51</f>
        <v/>
      </c>
      <c r="K129" s="91"/>
      <c r="L129" s="91"/>
      <c r="M129" s="92"/>
      <c r="N129" s="97">
        <f>F52</f>
        <v>0</v>
      </c>
      <c r="O129" s="91"/>
      <c r="P129" s="91"/>
      <c r="Q129" s="92"/>
      <c r="R129" s="98">
        <f>K52</f>
        <v>0</v>
      </c>
      <c r="S129" s="91"/>
      <c r="T129" s="91"/>
      <c r="U129" s="92"/>
      <c r="V129" s="99">
        <f>P52</f>
        <v>0</v>
      </c>
      <c r="W129" s="91"/>
      <c r="X129" s="91"/>
      <c r="Y129" s="92"/>
      <c r="Z129" s="95"/>
      <c r="AA129" s="96" t="str">
        <f>AF43</f>
        <v/>
      </c>
      <c r="AB129" s="91"/>
      <c r="AC129" s="92"/>
      <c r="AD129" s="97" t="str">
        <f>AD51</f>
        <v/>
      </c>
      <c r="AE129" s="91"/>
      <c r="AF129" s="91"/>
      <c r="AG129" s="92"/>
      <c r="AH129" s="98" t="str">
        <f>AI51</f>
        <v/>
      </c>
      <c r="AI129" s="91"/>
      <c r="AJ129" s="91"/>
      <c r="AK129" s="92"/>
      <c r="AL129" s="97">
        <f>AD52</f>
        <v>0</v>
      </c>
      <c r="AM129" s="91"/>
      <c r="AN129" s="91"/>
      <c r="AO129" s="92"/>
      <c r="AP129" s="98">
        <f>AI52</f>
        <v>0</v>
      </c>
      <c r="AQ129" s="91"/>
      <c r="AR129" s="91"/>
      <c r="AS129" s="92"/>
      <c r="AT129" s="99">
        <f>AN52</f>
        <v>0</v>
      </c>
      <c r="AU129" s="91"/>
      <c r="AV129" s="91"/>
      <c r="AW129" s="92"/>
      <c r="AX129" s="95"/>
      <c r="AY129" s="96" t="str">
        <f>BD43</f>
        <v/>
      </c>
      <c r="AZ129" s="91"/>
      <c r="BA129" s="92"/>
      <c r="BB129" s="97" t="str">
        <f>BB51</f>
        <v/>
      </c>
      <c r="BC129" s="91"/>
      <c r="BD129" s="91"/>
      <c r="BE129" s="92"/>
      <c r="BF129" s="98" t="str">
        <f>BG51</f>
        <v/>
      </c>
      <c r="BG129" s="91"/>
      <c r="BH129" s="91"/>
      <c r="BI129" s="92"/>
      <c r="BJ129" s="97">
        <f>BB52</f>
        <v>0</v>
      </c>
      <c r="BK129" s="91"/>
      <c r="BL129" s="91"/>
      <c r="BM129" s="92"/>
      <c r="BN129" s="98">
        <f>BG52</f>
        <v>0</v>
      </c>
      <c r="BO129" s="91"/>
      <c r="BP129" s="91"/>
      <c r="BQ129" s="92"/>
      <c r="BR129" s="99">
        <f>BL52</f>
        <v>0</v>
      </c>
      <c r="BS129" s="91"/>
      <c r="BT129" s="91"/>
      <c r="BU129" s="92"/>
      <c r="BV129" s="95"/>
      <c r="BW129" s="96" t="str">
        <f>CB43</f>
        <v/>
      </c>
      <c r="BX129" s="91"/>
      <c r="BY129" s="92"/>
      <c r="BZ129" s="97" t="str">
        <f>BZ51</f>
        <v/>
      </c>
      <c r="CA129" s="91"/>
      <c r="CB129" s="91"/>
      <c r="CC129" s="92"/>
      <c r="CD129" s="98" t="str">
        <f>CE51</f>
        <v/>
      </c>
      <c r="CE129" s="91"/>
      <c r="CF129" s="91"/>
      <c r="CG129" s="92"/>
      <c r="CH129" s="97">
        <f>BZ52</f>
        <v>0</v>
      </c>
      <c r="CI129" s="91"/>
      <c r="CJ129" s="91"/>
      <c r="CK129" s="92"/>
      <c r="CL129" s="98">
        <f>CE52</f>
        <v>0</v>
      </c>
      <c r="CM129" s="91"/>
      <c r="CN129" s="91"/>
      <c r="CO129" s="92"/>
      <c r="CP129" s="99">
        <f>CJ52</f>
        <v>0</v>
      </c>
      <c r="CQ129" s="91"/>
      <c r="CR129" s="91"/>
      <c r="CS129" s="92"/>
      <c r="CT129" s="95"/>
    </row>
    <row r="130" ht="30.0" customHeight="1">
      <c r="A130" s="95"/>
      <c r="B130" s="95"/>
      <c r="C130" s="96" t="str">
        <f>H53</f>
        <v/>
      </c>
      <c r="D130" s="91"/>
      <c r="E130" s="92"/>
      <c r="F130" s="97" t="str">
        <f>F61</f>
        <v/>
      </c>
      <c r="G130" s="91"/>
      <c r="H130" s="91"/>
      <c r="I130" s="92"/>
      <c r="J130" s="98" t="str">
        <f>K61</f>
        <v/>
      </c>
      <c r="K130" s="91"/>
      <c r="L130" s="91"/>
      <c r="M130" s="92"/>
      <c r="N130" s="97">
        <f>F62</f>
        <v>0</v>
      </c>
      <c r="O130" s="91"/>
      <c r="P130" s="91"/>
      <c r="Q130" s="92"/>
      <c r="R130" s="98">
        <f>K62</f>
        <v>0</v>
      </c>
      <c r="S130" s="91"/>
      <c r="T130" s="91"/>
      <c r="U130" s="92"/>
      <c r="V130" s="99">
        <f>P62</f>
        <v>0</v>
      </c>
      <c r="W130" s="91"/>
      <c r="X130" s="91"/>
      <c r="Y130" s="92"/>
      <c r="Z130" s="95"/>
      <c r="AA130" s="96" t="str">
        <f>AF53</f>
        <v/>
      </c>
      <c r="AB130" s="91"/>
      <c r="AC130" s="92"/>
      <c r="AD130" s="97" t="str">
        <f>AD61</f>
        <v/>
      </c>
      <c r="AE130" s="91"/>
      <c r="AF130" s="91"/>
      <c r="AG130" s="92"/>
      <c r="AH130" s="98" t="str">
        <f>AI61</f>
        <v/>
      </c>
      <c r="AI130" s="91"/>
      <c r="AJ130" s="91"/>
      <c r="AK130" s="92"/>
      <c r="AL130" s="97">
        <f>AD62</f>
        <v>0</v>
      </c>
      <c r="AM130" s="91"/>
      <c r="AN130" s="91"/>
      <c r="AO130" s="92"/>
      <c r="AP130" s="98">
        <f>AI62</f>
        <v>0</v>
      </c>
      <c r="AQ130" s="91"/>
      <c r="AR130" s="91"/>
      <c r="AS130" s="92"/>
      <c r="AT130" s="99">
        <f>AN62</f>
        <v>0</v>
      </c>
      <c r="AU130" s="91"/>
      <c r="AV130" s="91"/>
      <c r="AW130" s="92"/>
      <c r="AX130" s="95"/>
      <c r="AY130" s="96" t="str">
        <f>BD53</f>
        <v/>
      </c>
      <c r="AZ130" s="91"/>
      <c r="BA130" s="92"/>
      <c r="BB130" s="97" t="str">
        <f>BB61</f>
        <v/>
      </c>
      <c r="BC130" s="91"/>
      <c r="BD130" s="91"/>
      <c r="BE130" s="92"/>
      <c r="BF130" s="98" t="str">
        <f>BG61</f>
        <v/>
      </c>
      <c r="BG130" s="91"/>
      <c r="BH130" s="91"/>
      <c r="BI130" s="92"/>
      <c r="BJ130" s="97">
        <f>BB62</f>
        <v>0</v>
      </c>
      <c r="BK130" s="91"/>
      <c r="BL130" s="91"/>
      <c r="BM130" s="92"/>
      <c r="BN130" s="98">
        <f>BG62</f>
        <v>0</v>
      </c>
      <c r="BO130" s="91"/>
      <c r="BP130" s="91"/>
      <c r="BQ130" s="92"/>
      <c r="BR130" s="99">
        <f>BL62</f>
        <v>0</v>
      </c>
      <c r="BS130" s="91"/>
      <c r="BT130" s="91"/>
      <c r="BU130" s="92"/>
      <c r="BV130" s="95"/>
      <c r="BW130" s="96" t="str">
        <f>CB53</f>
        <v/>
      </c>
      <c r="BX130" s="91"/>
      <c r="BY130" s="92"/>
      <c r="BZ130" s="97" t="str">
        <f>BZ61</f>
        <v/>
      </c>
      <c r="CA130" s="91"/>
      <c r="CB130" s="91"/>
      <c r="CC130" s="92"/>
      <c r="CD130" s="98" t="str">
        <f>CE61</f>
        <v/>
      </c>
      <c r="CE130" s="91"/>
      <c r="CF130" s="91"/>
      <c r="CG130" s="92"/>
      <c r="CH130" s="97">
        <f>BZ62</f>
        <v>0</v>
      </c>
      <c r="CI130" s="91"/>
      <c r="CJ130" s="91"/>
      <c r="CK130" s="92"/>
      <c r="CL130" s="98">
        <f>CE62</f>
        <v>0</v>
      </c>
      <c r="CM130" s="91"/>
      <c r="CN130" s="91"/>
      <c r="CO130" s="92"/>
      <c r="CP130" s="99">
        <f>CJ62</f>
        <v>0</v>
      </c>
      <c r="CQ130" s="91"/>
      <c r="CR130" s="91"/>
      <c r="CS130" s="92"/>
      <c r="CT130" s="95"/>
    </row>
    <row r="131" ht="30.0" customHeight="1">
      <c r="A131" s="95"/>
      <c r="B131" s="95"/>
      <c r="C131" s="96" t="str">
        <f>H63</f>
        <v>Prensa de piernas unilateral</v>
      </c>
      <c r="D131" s="91"/>
      <c r="E131" s="92"/>
      <c r="F131" s="97">
        <f>F71</f>
        <v>50</v>
      </c>
      <c r="G131" s="91"/>
      <c r="H131" s="91"/>
      <c r="I131" s="92"/>
      <c r="J131" s="98">
        <f>K71</f>
        <v>20</v>
      </c>
      <c r="K131" s="91"/>
      <c r="L131" s="91"/>
      <c r="M131" s="92"/>
      <c r="N131" s="97">
        <f>F72</f>
        <v>150</v>
      </c>
      <c r="O131" s="91"/>
      <c r="P131" s="91"/>
      <c r="Q131" s="92"/>
      <c r="R131" s="98">
        <f>K72</f>
        <v>60</v>
      </c>
      <c r="S131" s="91"/>
      <c r="T131" s="91"/>
      <c r="U131" s="92"/>
      <c r="V131" s="99">
        <f>P72</f>
        <v>1.145454545</v>
      </c>
      <c r="W131" s="91"/>
      <c r="X131" s="91"/>
      <c r="Y131" s="92"/>
      <c r="Z131" s="95"/>
      <c r="AA131" s="96" t="str">
        <f>AF63</f>
        <v>Jalón al pecho</v>
      </c>
      <c r="AB131" s="91"/>
      <c r="AC131" s="92"/>
      <c r="AD131" s="97" t="str">
        <f>AD71</f>
        <v/>
      </c>
      <c r="AE131" s="91"/>
      <c r="AF131" s="91"/>
      <c r="AG131" s="92"/>
      <c r="AH131" s="98" t="str">
        <f>AI71</f>
        <v/>
      </c>
      <c r="AI131" s="91"/>
      <c r="AJ131" s="91"/>
      <c r="AK131" s="92"/>
      <c r="AL131" s="97">
        <f>AD72</f>
        <v>0</v>
      </c>
      <c r="AM131" s="91"/>
      <c r="AN131" s="91"/>
      <c r="AO131" s="92"/>
      <c r="AP131" s="98">
        <f>AI72</f>
        <v>0</v>
      </c>
      <c r="AQ131" s="91"/>
      <c r="AR131" s="91"/>
      <c r="AS131" s="92"/>
      <c r="AT131" s="99">
        <f>AN72</f>
        <v>0</v>
      </c>
      <c r="AU131" s="91"/>
      <c r="AV131" s="91"/>
      <c r="AW131" s="92"/>
      <c r="AX131" s="95"/>
      <c r="AY131" s="96" t="str">
        <f>BD63</f>
        <v>Jalón al pecho</v>
      </c>
      <c r="AZ131" s="91"/>
      <c r="BA131" s="92"/>
      <c r="BB131" s="97" t="str">
        <f>BB71</f>
        <v/>
      </c>
      <c r="BC131" s="91"/>
      <c r="BD131" s="91"/>
      <c r="BE131" s="92"/>
      <c r="BF131" s="98" t="str">
        <f>BG71</f>
        <v/>
      </c>
      <c r="BG131" s="91"/>
      <c r="BH131" s="91"/>
      <c r="BI131" s="92"/>
      <c r="BJ131" s="97">
        <f>BB72</f>
        <v>0</v>
      </c>
      <c r="BK131" s="91"/>
      <c r="BL131" s="91"/>
      <c r="BM131" s="92"/>
      <c r="BN131" s="98">
        <f>BG72</f>
        <v>0</v>
      </c>
      <c r="BO131" s="91"/>
      <c r="BP131" s="91"/>
      <c r="BQ131" s="92"/>
      <c r="BR131" s="99">
        <f>BL72</f>
        <v>0</v>
      </c>
      <c r="BS131" s="91"/>
      <c r="BT131" s="91"/>
      <c r="BU131" s="92"/>
      <c r="BV131" s="95"/>
      <c r="BW131" s="96" t="str">
        <f>CB63</f>
        <v>Jalón al pecho</v>
      </c>
      <c r="BX131" s="91"/>
      <c r="BY131" s="92"/>
      <c r="BZ131" s="97" t="str">
        <f>BZ71</f>
        <v/>
      </c>
      <c r="CA131" s="91"/>
      <c r="CB131" s="91"/>
      <c r="CC131" s="92"/>
      <c r="CD131" s="98" t="str">
        <f>CE71</f>
        <v/>
      </c>
      <c r="CE131" s="91"/>
      <c r="CF131" s="91"/>
      <c r="CG131" s="92"/>
      <c r="CH131" s="97">
        <f>BZ72</f>
        <v>0</v>
      </c>
      <c r="CI131" s="91"/>
      <c r="CJ131" s="91"/>
      <c r="CK131" s="92"/>
      <c r="CL131" s="98">
        <f>CE72</f>
        <v>0</v>
      </c>
      <c r="CM131" s="91"/>
      <c r="CN131" s="91"/>
      <c r="CO131" s="92"/>
      <c r="CP131" s="99">
        <f>CJ72</f>
        <v>0</v>
      </c>
      <c r="CQ131" s="91"/>
      <c r="CR131" s="91"/>
      <c r="CS131" s="92"/>
      <c r="CT131" s="95"/>
    </row>
    <row r="132" ht="30.0" customHeight="1">
      <c r="A132" s="95"/>
      <c r="B132" s="95"/>
      <c r="C132" s="96" t="str">
        <f>H73</f>
        <v>Curl femoral en maquinas</v>
      </c>
      <c r="D132" s="91"/>
      <c r="E132" s="92"/>
      <c r="F132" s="97">
        <f>F81</f>
        <v>100</v>
      </c>
      <c r="G132" s="91"/>
      <c r="H132" s="91"/>
      <c r="I132" s="92"/>
      <c r="J132" s="98">
        <f>K81</f>
        <v>14.66666667</v>
      </c>
      <c r="K132" s="91"/>
      <c r="L132" s="91"/>
      <c r="M132" s="92"/>
      <c r="N132" s="97">
        <f>F82</f>
        <v>300</v>
      </c>
      <c r="O132" s="91"/>
      <c r="P132" s="91"/>
      <c r="Q132" s="92"/>
      <c r="R132" s="98">
        <f>K82</f>
        <v>44</v>
      </c>
      <c r="S132" s="91"/>
      <c r="T132" s="91"/>
      <c r="U132" s="92"/>
      <c r="V132" s="99">
        <f>P82</f>
        <v>1.068571429</v>
      </c>
      <c r="W132" s="91"/>
      <c r="X132" s="91"/>
      <c r="Y132" s="92"/>
      <c r="Z132" s="95"/>
      <c r="AA132" s="96" t="str">
        <f>AF73</f>
        <v>Press de banca</v>
      </c>
      <c r="AB132" s="91"/>
      <c r="AC132" s="92"/>
      <c r="AD132" s="97" t="str">
        <f>AD81</f>
        <v/>
      </c>
      <c r="AE132" s="91"/>
      <c r="AF132" s="91"/>
      <c r="AG132" s="92"/>
      <c r="AH132" s="98" t="str">
        <f>AI81</f>
        <v/>
      </c>
      <c r="AI132" s="91"/>
      <c r="AJ132" s="91"/>
      <c r="AK132" s="92"/>
      <c r="AL132" s="97">
        <f>AD82</f>
        <v>0</v>
      </c>
      <c r="AM132" s="91"/>
      <c r="AN132" s="91"/>
      <c r="AO132" s="92"/>
      <c r="AP132" s="98">
        <f>AI82</f>
        <v>0</v>
      </c>
      <c r="AQ132" s="91"/>
      <c r="AR132" s="91"/>
      <c r="AS132" s="92"/>
      <c r="AT132" s="99">
        <f>AN82</f>
        <v>0</v>
      </c>
      <c r="AU132" s="91"/>
      <c r="AV132" s="91"/>
      <c r="AW132" s="92"/>
      <c r="AX132" s="95"/>
      <c r="AY132" s="96" t="str">
        <f>BD73</f>
        <v>Press de banca</v>
      </c>
      <c r="AZ132" s="91"/>
      <c r="BA132" s="92"/>
      <c r="BB132" s="97" t="str">
        <f>BB81</f>
        <v/>
      </c>
      <c r="BC132" s="91"/>
      <c r="BD132" s="91"/>
      <c r="BE132" s="92"/>
      <c r="BF132" s="98" t="str">
        <f>BG81</f>
        <v/>
      </c>
      <c r="BG132" s="91"/>
      <c r="BH132" s="91"/>
      <c r="BI132" s="92"/>
      <c r="BJ132" s="97">
        <f>BB82</f>
        <v>0</v>
      </c>
      <c r="BK132" s="91"/>
      <c r="BL132" s="91"/>
      <c r="BM132" s="92"/>
      <c r="BN132" s="98">
        <f>BG82</f>
        <v>0</v>
      </c>
      <c r="BO132" s="91"/>
      <c r="BP132" s="91"/>
      <c r="BQ132" s="92"/>
      <c r="BR132" s="99">
        <f>BL82</f>
        <v>0</v>
      </c>
      <c r="BS132" s="91"/>
      <c r="BT132" s="91"/>
      <c r="BU132" s="92"/>
      <c r="BV132" s="95"/>
      <c r="BW132" s="96" t="str">
        <f>CB73</f>
        <v>Press de banca</v>
      </c>
      <c r="BX132" s="91"/>
      <c r="BY132" s="92"/>
      <c r="BZ132" s="97" t="str">
        <f>BZ81</f>
        <v/>
      </c>
      <c r="CA132" s="91"/>
      <c r="CB132" s="91"/>
      <c r="CC132" s="92"/>
      <c r="CD132" s="98" t="str">
        <f>CE81</f>
        <v/>
      </c>
      <c r="CE132" s="91"/>
      <c r="CF132" s="91"/>
      <c r="CG132" s="92"/>
      <c r="CH132" s="97">
        <f>BZ82</f>
        <v>0</v>
      </c>
      <c r="CI132" s="91"/>
      <c r="CJ132" s="91"/>
      <c r="CK132" s="92"/>
      <c r="CL132" s="98">
        <f>CE82</f>
        <v>0</v>
      </c>
      <c r="CM132" s="91"/>
      <c r="CN132" s="91"/>
      <c r="CO132" s="92"/>
      <c r="CP132" s="99">
        <f>CJ82</f>
        <v>0</v>
      </c>
      <c r="CQ132" s="91"/>
      <c r="CR132" s="91"/>
      <c r="CS132" s="92"/>
      <c r="CT132" s="95"/>
    </row>
    <row r="133" ht="30.0" customHeight="1">
      <c r="A133" s="95"/>
      <c r="B133" s="95"/>
      <c r="C133" s="96" t="str">
        <f>H83</f>
        <v>Sentadilla búlgara en multipower</v>
      </c>
      <c r="D133" s="91"/>
      <c r="E133" s="92"/>
      <c r="F133" s="97">
        <f>F91</f>
        <v>70</v>
      </c>
      <c r="G133" s="91"/>
      <c r="H133" s="91"/>
      <c r="I133" s="92"/>
      <c r="J133" s="98">
        <f>K91</f>
        <v>10</v>
      </c>
      <c r="K133" s="91"/>
      <c r="L133" s="91"/>
      <c r="M133" s="92"/>
      <c r="N133" s="97">
        <f>F92</f>
        <v>210</v>
      </c>
      <c r="O133" s="91"/>
      <c r="P133" s="91"/>
      <c r="Q133" s="92"/>
      <c r="R133" s="98">
        <f>K92</f>
        <v>30</v>
      </c>
      <c r="S133" s="91"/>
      <c r="T133" s="91"/>
      <c r="U133" s="92"/>
      <c r="V133" s="99">
        <f>P92</f>
        <v>1.285714286</v>
      </c>
      <c r="W133" s="91"/>
      <c r="X133" s="91"/>
      <c r="Y133" s="92"/>
      <c r="Z133" s="95"/>
      <c r="AA133" s="96" t="str">
        <f>AF83</f>
        <v>Remo con barra</v>
      </c>
      <c r="AB133" s="91"/>
      <c r="AC133" s="92"/>
      <c r="AD133" s="97" t="str">
        <f>AD91</f>
        <v/>
      </c>
      <c r="AE133" s="91"/>
      <c r="AF133" s="91"/>
      <c r="AG133" s="92"/>
      <c r="AH133" s="98" t="str">
        <f>AI91</f>
        <v/>
      </c>
      <c r="AI133" s="91"/>
      <c r="AJ133" s="91"/>
      <c r="AK133" s="92"/>
      <c r="AL133" s="97">
        <f>AD92</f>
        <v>0</v>
      </c>
      <c r="AM133" s="91"/>
      <c r="AN133" s="91"/>
      <c r="AO133" s="92"/>
      <c r="AP133" s="98">
        <f>AI92</f>
        <v>0</v>
      </c>
      <c r="AQ133" s="91"/>
      <c r="AR133" s="91"/>
      <c r="AS133" s="92"/>
      <c r="AT133" s="99">
        <f>AN92</f>
        <v>0</v>
      </c>
      <c r="AU133" s="91"/>
      <c r="AV133" s="91"/>
      <c r="AW133" s="92"/>
      <c r="AX133" s="95"/>
      <c r="AY133" s="96" t="str">
        <f>BD83</f>
        <v>Remo con barra</v>
      </c>
      <c r="AZ133" s="91"/>
      <c r="BA133" s="92"/>
      <c r="BB133" s="97" t="str">
        <f>BB91</f>
        <v/>
      </c>
      <c r="BC133" s="91"/>
      <c r="BD133" s="91"/>
      <c r="BE133" s="92"/>
      <c r="BF133" s="98" t="str">
        <f>BG91</f>
        <v/>
      </c>
      <c r="BG133" s="91"/>
      <c r="BH133" s="91"/>
      <c r="BI133" s="92"/>
      <c r="BJ133" s="97">
        <f>BB92</f>
        <v>0</v>
      </c>
      <c r="BK133" s="91"/>
      <c r="BL133" s="91"/>
      <c r="BM133" s="92"/>
      <c r="BN133" s="98">
        <f>BG92</f>
        <v>0</v>
      </c>
      <c r="BO133" s="91"/>
      <c r="BP133" s="91"/>
      <c r="BQ133" s="92"/>
      <c r="BR133" s="99">
        <f>BL92</f>
        <v>0</v>
      </c>
      <c r="BS133" s="91"/>
      <c r="BT133" s="91"/>
      <c r="BU133" s="92"/>
      <c r="BV133" s="95"/>
      <c r="BW133" s="96" t="str">
        <f>CB83</f>
        <v>Remo con barra</v>
      </c>
      <c r="BX133" s="91"/>
      <c r="BY133" s="92"/>
      <c r="BZ133" s="97" t="str">
        <f>BZ91</f>
        <v/>
      </c>
      <c r="CA133" s="91"/>
      <c r="CB133" s="91"/>
      <c r="CC133" s="92"/>
      <c r="CD133" s="98" t="str">
        <f>CE91</f>
        <v/>
      </c>
      <c r="CE133" s="91"/>
      <c r="CF133" s="91"/>
      <c r="CG133" s="92"/>
      <c r="CH133" s="97">
        <f>BZ92</f>
        <v>0</v>
      </c>
      <c r="CI133" s="91"/>
      <c r="CJ133" s="91"/>
      <c r="CK133" s="92"/>
      <c r="CL133" s="98">
        <f>CE92</f>
        <v>0</v>
      </c>
      <c r="CM133" s="91"/>
      <c r="CN133" s="91"/>
      <c r="CO133" s="92"/>
      <c r="CP133" s="99">
        <f>CJ92</f>
        <v>0</v>
      </c>
      <c r="CQ133" s="91"/>
      <c r="CR133" s="91"/>
      <c r="CS133" s="92"/>
      <c r="CT133" s="95"/>
    </row>
    <row r="134" ht="30.0" customHeight="1">
      <c r="A134" s="95"/>
      <c r="B134" s="95"/>
      <c r="C134" s="96" t="str">
        <f>H93</f>
        <v>Extensión de cuadriceps en máquina</v>
      </c>
      <c r="D134" s="91"/>
      <c r="E134" s="92"/>
      <c r="F134" s="97">
        <f>F101</f>
        <v>60</v>
      </c>
      <c r="G134" s="91"/>
      <c r="H134" s="91"/>
      <c r="I134" s="92"/>
      <c r="J134" s="98">
        <f>K101</f>
        <v>11.33333333</v>
      </c>
      <c r="K134" s="91"/>
      <c r="L134" s="91"/>
      <c r="M134" s="92"/>
      <c r="N134" s="97">
        <f>F102</f>
        <v>180</v>
      </c>
      <c r="O134" s="91"/>
      <c r="P134" s="91"/>
      <c r="Q134" s="92"/>
      <c r="R134" s="98">
        <f>K102</f>
        <v>34</v>
      </c>
      <c r="S134" s="91"/>
      <c r="T134" s="91"/>
      <c r="U134" s="92"/>
      <c r="V134" s="99">
        <f>P102</f>
        <v>1.124615385</v>
      </c>
      <c r="W134" s="91"/>
      <c r="X134" s="91"/>
      <c r="Y134" s="92"/>
      <c r="Z134" s="95"/>
      <c r="AA134" s="96" t="str">
        <f>AF93</f>
        <v>Press militar en multipower</v>
      </c>
      <c r="AB134" s="91"/>
      <c r="AC134" s="92"/>
      <c r="AD134" s="97" t="str">
        <f>AD101</f>
        <v/>
      </c>
      <c r="AE134" s="91"/>
      <c r="AF134" s="91"/>
      <c r="AG134" s="92"/>
      <c r="AH134" s="98" t="str">
        <f>AI101</f>
        <v/>
      </c>
      <c r="AI134" s="91"/>
      <c r="AJ134" s="91"/>
      <c r="AK134" s="92"/>
      <c r="AL134" s="97">
        <f>AD102</f>
        <v>0</v>
      </c>
      <c r="AM134" s="91"/>
      <c r="AN134" s="91"/>
      <c r="AO134" s="92"/>
      <c r="AP134" s="98">
        <f>AI102</f>
        <v>0</v>
      </c>
      <c r="AQ134" s="91"/>
      <c r="AR134" s="91"/>
      <c r="AS134" s="92"/>
      <c r="AT134" s="99">
        <f>AN102</f>
        <v>0</v>
      </c>
      <c r="AU134" s="91"/>
      <c r="AV134" s="91"/>
      <c r="AW134" s="92"/>
      <c r="AX134" s="95"/>
      <c r="AY134" s="96" t="str">
        <f>BD93</f>
        <v>Press militar en multipower</v>
      </c>
      <c r="AZ134" s="91"/>
      <c r="BA134" s="92"/>
      <c r="BB134" s="97" t="str">
        <f>BB101</f>
        <v/>
      </c>
      <c r="BC134" s="91"/>
      <c r="BD134" s="91"/>
      <c r="BE134" s="92"/>
      <c r="BF134" s="98" t="str">
        <f>BG101</f>
        <v/>
      </c>
      <c r="BG134" s="91"/>
      <c r="BH134" s="91"/>
      <c r="BI134" s="92"/>
      <c r="BJ134" s="97">
        <f>BB102</f>
        <v>0</v>
      </c>
      <c r="BK134" s="91"/>
      <c r="BL134" s="91"/>
      <c r="BM134" s="92"/>
      <c r="BN134" s="98">
        <f>BG102</f>
        <v>0</v>
      </c>
      <c r="BO134" s="91"/>
      <c r="BP134" s="91"/>
      <c r="BQ134" s="92"/>
      <c r="BR134" s="99">
        <f>BL102</f>
        <v>0</v>
      </c>
      <c r="BS134" s="91"/>
      <c r="BT134" s="91"/>
      <c r="BU134" s="92"/>
      <c r="BV134" s="95"/>
      <c r="BW134" s="96" t="str">
        <f>CB93</f>
        <v>Press militar en multipower</v>
      </c>
      <c r="BX134" s="91"/>
      <c r="BY134" s="92"/>
      <c r="BZ134" s="97" t="str">
        <f>BZ101</f>
        <v/>
      </c>
      <c r="CA134" s="91"/>
      <c r="CB134" s="91"/>
      <c r="CC134" s="92"/>
      <c r="CD134" s="98" t="str">
        <f>CE101</f>
        <v/>
      </c>
      <c r="CE134" s="91"/>
      <c r="CF134" s="91"/>
      <c r="CG134" s="92"/>
      <c r="CH134" s="97">
        <f>BZ102</f>
        <v>0</v>
      </c>
      <c r="CI134" s="91"/>
      <c r="CJ134" s="91"/>
      <c r="CK134" s="92"/>
      <c r="CL134" s="98">
        <f>CE102</f>
        <v>0</v>
      </c>
      <c r="CM134" s="91"/>
      <c r="CN134" s="91"/>
      <c r="CO134" s="92"/>
      <c r="CP134" s="99">
        <f>CJ102</f>
        <v>0</v>
      </c>
      <c r="CQ134" s="91"/>
      <c r="CR134" s="91"/>
      <c r="CS134" s="92"/>
      <c r="CT134" s="95"/>
    </row>
    <row r="135" ht="30.0" customHeight="1">
      <c r="A135" s="95"/>
      <c r="B135" s="95"/>
      <c r="C135" s="96" t="str">
        <f>H103</f>
        <v/>
      </c>
      <c r="D135" s="91"/>
      <c r="E135" s="92"/>
      <c r="F135" s="97" t="str">
        <f>F111</f>
        <v/>
      </c>
      <c r="G135" s="91"/>
      <c r="H135" s="91"/>
      <c r="I135" s="92"/>
      <c r="J135" s="98" t="str">
        <f>K111</f>
        <v/>
      </c>
      <c r="K135" s="91"/>
      <c r="L135" s="91"/>
      <c r="M135" s="92"/>
      <c r="N135" s="97">
        <f>F112</f>
        <v>0</v>
      </c>
      <c r="O135" s="91"/>
      <c r="P135" s="91"/>
      <c r="Q135" s="92"/>
      <c r="R135" s="98">
        <f>K112</f>
        <v>0</v>
      </c>
      <c r="S135" s="91"/>
      <c r="T135" s="91"/>
      <c r="U135" s="92"/>
      <c r="V135" s="99">
        <f>P112</f>
        <v>0</v>
      </c>
      <c r="W135" s="91"/>
      <c r="X135" s="91"/>
      <c r="Y135" s="92"/>
      <c r="Z135" s="95"/>
      <c r="AA135" s="96" t="str">
        <f>AF103</f>
        <v/>
      </c>
      <c r="AB135" s="91"/>
      <c r="AC135" s="92"/>
      <c r="AD135" s="97" t="str">
        <f>AD111</f>
        <v/>
      </c>
      <c r="AE135" s="91"/>
      <c r="AF135" s="91"/>
      <c r="AG135" s="92"/>
      <c r="AH135" s="98" t="str">
        <f>AI111</f>
        <v/>
      </c>
      <c r="AI135" s="91"/>
      <c r="AJ135" s="91"/>
      <c r="AK135" s="92"/>
      <c r="AL135" s="97">
        <f>AD112</f>
        <v>0</v>
      </c>
      <c r="AM135" s="91"/>
      <c r="AN135" s="91"/>
      <c r="AO135" s="92"/>
      <c r="AP135" s="98">
        <f>AI112</f>
        <v>0</v>
      </c>
      <c r="AQ135" s="91"/>
      <c r="AR135" s="91"/>
      <c r="AS135" s="92"/>
      <c r="AT135" s="99">
        <f>AN112</f>
        <v>0</v>
      </c>
      <c r="AU135" s="91"/>
      <c r="AV135" s="91"/>
      <c r="AW135" s="92"/>
      <c r="AX135" s="95"/>
      <c r="AY135" s="96" t="str">
        <f>BD103</f>
        <v/>
      </c>
      <c r="AZ135" s="91"/>
      <c r="BA135" s="92"/>
      <c r="BB135" s="97" t="str">
        <f>BB111</f>
        <v/>
      </c>
      <c r="BC135" s="91"/>
      <c r="BD135" s="91"/>
      <c r="BE135" s="92"/>
      <c r="BF135" s="98" t="str">
        <f>BG111</f>
        <v/>
      </c>
      <c r="BG135" s="91"/>
      <c r="BH135" s="91"/>
      <c r="BI135" s="92"/>
      <c r="BJ135" s="97">
        <f>BB112</f>
        <v>0</v>
      </c>
      <c r="BK135" s="91"/>
      <c r="BL135" s="91"/>
      <c r="BM135" s="92"/>
      <c r="BN135" s="98">
        <f>BG112</f>
        <v>0</v>
      </c>
      <c r="BO135" s="91"/>
      <c r="BP135" s="91"/>
      <c r="BQ135" s="92"/>
      <c r="BR135" s="99">
        <f>BL112</f>
        <v>0</v>
      </c>
      <c r="BS135" s="91"/>
      <c r="BT135" s="91"/>
      <c r="BU135" s="92"/>
      <c r="BV135" s="95"/>
      <c r="BW135" s="96" t="str">
        <f>CB103</f>
        <v/>
      </c>
      <c r="BX135" s="91"/>
      <c r="BY135" s="92"/>
      <c r="BZ135" s="97" t="str">
        <f>BZ111</f>
        <v/>
      </c>
      <c r="CA135" s="91"/>
      <c r="CB135" s="91"/>
      <c r="CC135" s="92"/>
      <c r="CD135" s="98" t="str">
        <f>CE111</f>
        <v/>
      </c>
      <c r="CE135" s="91"/>
      <c r="CF135" s="91"/>
      <c r="CG135" s="92"/>
      <c r="CH135" s="97">
        <f>BZ112</f>
        <v>0</v>
      </c>
      <c r="CI135" s="91"/>
      <c r="CJ135" s="91"/>
      <c r="CK135" s="92"/>
      <c r="CL135" s="98">
        <f>CE112</f>
        <v>0</v>
      </c>
      <c r="CM135" s="91"/>
      <c r="CN135" s="91"/>
      <c r="CO135" s="92"/>
      <c r="CP135" s="99">
        <f>CJ112</f>
        <v>0</v>
      </c>
      <c r="CQ135" s="91"/>
      <c r="CR135" s="91"/>
      <c r="CS135" s="92"/>
      <c r="CT135" s="95"/>
    </row>
    <row r="136" ht="30.0" customHeight="1">
      <c r="A136" s="95"/>
      <c r="B136" s="95"/>
      <c r="C136" s="96" t="str">
        <f>H113</f>
        <v/>
      </c>
      <c r="D136" s="91"/>
      <c r="E136" s="92"/>
      <c r="F136" s="97" t="str">
        <f>F121</f>
        <v/>
      </c>
      <c r="G136" s="91"/>
      <c r="H136" s="91"/>
      <c r="I136" s="92"/>
      <c r="J136" s="98" t="str">
        <f>K121</f>
        <v/>
      </c>
      <c r="K136" s="91"/>
      <c r="L136" s="91"/>
      <c r="M136" s="92"/>
      <c r="N136" s="97">
        <f>F122</f>
        <v>0</v>
      </c>
      <c r="O136" s="91"/>
      <c r="P136" s="91"/>
      <c r="Q136" s="92"/>
      <c r="R136" s="98">
        <f>K122</f>
        <v>0</v>
      </c>
      <c r="S136" s="91"/>
      <c r="T136" s="91"/>
      <c r="U136" s="92"/>
      <c r="V136" s="99">
        <f>P122</f>
        <v>0</v>
      </c>
      <c r="W136" s="91"/>
      <c r="X136" s="91"/>
      <c r="Y136" s="92"/>
      <c r="Z136" s="95"/>
      <c r="AA136" s="96" t="str">
        <f>AF113</f>
        <v/>
      </c>
      <c r="AB136" s="91"/>
      <c r="AC136" s="92"/>
      <c r="AD136" s="97" t="str">
        <f>AD121</f>
        <v/>
      </c>
      <c r="AE136" s="91"/>
      <c r="AF136" s="91"/>
      <c r="AG136" s="92"/>
      <c r="AH136" s="98" t="str">
        <f>AI121</f>
        <v/>
      </c>
      <c r="AI136" s="91"/>
      <c r="AJ136" s="91"/>
      <c r="AK136" s="92"/>
      <c r="AL136" s="97">
        <f>AD122</f>
        <v>0</v>
      </c>
      <c r="AM136" s="91"/>
      <c r="AN136" s="91"/>
      <c r="AO136" s="92"/>
      <c r="AP136" s="98">
        <f>AI122</f>
        <v>0</v>
      </c>
      <c r="AQ136" s="91"/>
      <c r="AR136" s="91"/>
      <c r="AS136" s="92"/>
      <c r="AT136" s="99">
        <f>AN122</f>
        <v>0</v>
      </c>
      <c r="AU136" s="91"/>
      <c r="AV136" s="91"/>
      <c r="AW136" s="92"/>
      <c r="AX136" s="95"/>
      <c r="AY136" s="96" t="str">
        <f>BD113</f>
        <v/>
      </c>
      <c r="AZ136" s="91"/>
      <c r="BA136" s="92"/>
      <c r="BB136" s="97" t="str">
        <f>BB121</f>
        <v/>
      </c>
      <c r="BC136" s="91"/>
      <c r="BD136" s="91"/>
      <c r="BE136" s="92"/>
      <c r="BF136" s="98" t="str">
        <f>BG121</f>
        <v/>
      </c>
      <c r="BG136" s="91"/>
      <c r="BH136" s="91"/>
      <c r="BI136" s="92"/>
      <c r="BJ136" s="97">
        <f>BB122</f>
        <v>0</v>
      </c>
      <c r="BK136" s="91"/>
      <c r="BL136" s="91"/>
      <c r="BM136" s="92"/>
      <c r="BN136" s="98">
        <f>BG122</f>
        <v>0</v>
      </c>
      <c r="BO136" s="91"/>
      <c r="BP136" s="91"/>
      <c r="BQ136" s="92"/>
      <c r="BR136" s="99">
        <f>BL122</f>
        <v>0</v>
      </c>
      <c r="BS136" s="91"/>
      <c r="BT136" s="91"/>
      <c r="BU136" s="92"/>
      <c r="BV136" s="95"/>
      <c r="BW136" s="96" t="str">
        <f>CB113</f>
        <v/>
      </c>
      <c r="BX136" s="91"/>
      <c r="BY136" s="92"/>
      <c r="BZ136" s="97" t="str">
        <f>BZ121</f>
        <v/>
      </c>
      <c r="CA136" s="91"/>
      <c r="CB136" s="91"/>
      <c r="CC136" s="92"/>
      <c r="CD136" s="98" t="str">
        <f>CE121</f>
        <v/>
      </c>
      <c r="CE136" s="91"/>
      <c r="CF136" s="91"/>
      <c r="CG136" s="92"/>
      <c r="CH136" s="97">
        <f>BZ122</f>
        <v>0</v>
      </c>
      <c r="CI136" s="91"/>
      <c r="CJ136" s="91"/>
      <c r="CK136" s="92"/>
      <c r="CL136" s="98">
        <f>CE122</f>
        <v>0</v>
      </c>
      <c r="CM136" s="91"/>
      <c r="CN136" s="91"/>
      <c r="CO136" s="92"/>
      <c r="CP136" s="99">
        <f>CJ122</f>
        <v>0</v>
      </c>
      <c r="CQ136" s="91"/>
      <c r="CR136" s="91"/>
      <c r="CS136" s="92"/>
      <c r="CT136" s="95"/>
    </row>
    <row r="137" ht="15.75" customHeight="1">
      <c r="C137" s="100"/>
    </row>
    <row r="138" ht="15.75" customHeight="1">
      <c r="C138" s="100"/>
    </row>
    <row r="139" ht="15.75" customHeight="1">
      <c r="C139" s="17" t="s">
        <v>3</v>
      </c>
      <c r="D139" s="18"/>
      <c r="E139" s="18"/>
      <c r="F139" s="18"/>
      <c r="G139" s="18"/>
      <c r="H139" s="18"/>
      <c r="I139" s="19"/>
      <c r="J139" s="8"/>
      <c r="K139" s="17" t="s">
        <v>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9"/>
    </row>
    <row r="140" ht="15.75" customHeight="1">
      <c r="C140" s="21" t="s">
        <v>5</v>
      </c>
      <c r="D140" s="19"/>
      <c r="E140" s="21" t="s">
        <v>6</v>
      </c>
      <c r="F140" s="18"/>
      <c r="G140" s="18"/>
      <c r="H140" s="18"/>
      <c r="I140" s="19"/>
      <c r="J140" s="7"/>
      <c r="K140" s="22" t="s">
        <v>5</v>
      </c>
      <c r="L140" s="18"/>
      <c r="M140" s="19"/>
      <c r="N140" s="22" t="s">
        <v>6</v>
      </c>
      <c r="O140" s="18"/>
      <c r="P140" s="18"/>
      <c r="Q140" s="18"/>
      <c r="R140" s="18"/>
      <c r="S140" s="18"/>
      <c r="T140" s="18"/>
      <c r="U140" s="19"/>
    </row>
    <row r="141" ht="15.75" customHeight="1">
      <c r="C141" s="31" t="s">
        <v>10</v>
      </c>
      <c r="D141" s="19"/>
      <c r="E141" s="31" t="s">
        <v>11</v>
      </c>
      <c r="F141" s="18"/>
      <c r="G141" s="18"/>
      <c r="H141" s="18"/>
      <c r="I141" s="19"/>
      <c r="J141" s="7"/>
      <c r="K141" s="32" t="s">
        <v>12</v>
      </c>
      <c r="L141" s="18"/>
      <c r="M141" s="19"/>
      <c r="N141" s="32" t="s">
        <v>13</v>
      </c>
      <c r="O141" s="18"/>
      <c r="P141" s="18"/>
      <c r="Q141" s="18"/>
      <c r="R141" s="18"/>
      <c r="S141" s="18"/>
      <c r="T141" s="18"/>
      <c r="U141" s="19"/>
    </row>
    <row r="142" ht="15.75" customHeight="1">
      <c r="C142" s="31" t="s">
        <v>14</v>
      </c>
      <c r="D142" s="19"/>
      <c r="E142" s="31" t="s">
        <v>15</v>
      </c>
      <c r="F142" s="18"/>
      <c r="G142" s="18"/>
      <c r="H142" s="18"/>
      <c r="I142" s="19"/>
      <c r="J142" s="7"/>
      <c r="K142" s="32" t="s">
        <v>16</v>
      </c>
      <c r="L142" s="18"/>
      <c r="M142" s="19"/>
      <c r="N142" s="32" t="s">
        <v>17</v>
      </c>
      <c r="O142" s="18"/>
      <c r="P142" s="18"/>
      <c r="Q142" s="18"/>
      <c r="R142" s="18"/>
      <c r="S142" s="18"/>
      <c r="T142" s="18"/>
      <c r="U142" s="19"/>
    </row>
    <row r="143" ht="15.75" customHeight="1">
      <c r="C143" s="31" t="s">
        <v>19</v>
      </c>
      <c r="D143" s="19"/>
      <c r="E143" s="31" t="s">
        <v>20</v>
      </c>
      <c r="F143" s="18"/>
      <c r="G143" s="18"/>
      <c r="H143" s="18"/>
      <c r="I143" s="19"/>
      <c r="J143" s="7"/>
      <c r="K143" s="32" t="s">
        <v>21</v>
      </c>
      <c r="L143" s="18"/>
      <c r="M143" s="19"/>
      <c r="N143" s="32" t="s">
        <v>22</v>
      </c>
      <c r="O143" s="18"/>
      <c r="P143" s="18"/>
      <c r="Q143" s="18"/>
      <c r="R143" s="18"/>
      <c r="S143" s="18"/>
      <c r="T143" s="18"/>
      <c r="U143" s="19"/>
    </row>
    <row r="144" ht="15.75" customHeight="1">
      <c r="C144" s="31" t="s">
        <v>27</v>
      </c>
      <c r="D144" s="19"/>
      <c r="E144" s="31" t="s">
        <v>28</v>
      </c>
      <c r="F144" s="18"/>
      <c r="G144" s="18"/>
      <c r="H144" s="18"/>
      <c r="I144" s="19"/>
      <c r="J144" s="7"/>
      <c r="K144" s="32" t="s">
        <v>29</v>
      </c>
      <c r="L144" s="18"/>
      <c r="M144" s="19"/>
      <c r="N144" s="32" t="s">
        <v>30</v>
      </c>
      <c r="O144" s="18"/>
      <c r="P144" s="18"/>
      <c r="Q144" s="18"/>
      <c r="R144" s="18"/>
      <c r="S144" s="18"/>
      <c r="T144" s="18"/>
      <c r="U144" s="19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76">
    <mergeCell ref="R3:W3"/>
    <mergeCell ref="X3:Y3"/>
    <mergeCell ref="AA3:AE3"/>
    <mergeCell ref="AF3:AJ3"/>
    <mergeCell ref="AK3:AO3"/>
    <mergeCell ref="AP3:AU3"/>
    <mergeCell ref="AV3:AW3"/>
    <mergeCell ref="AY3:BC3"/>
    <mergeCell ref="BD3:BH3"/>
    <mergeCell ref="BI3:BM3"/>
    <mergeCell ref="BN3:BS3"/>
    <mergeCell ref="BT3:BU3"/>
    <mergeCell ref="BW3:CA3"/>
    <mergeCell ref="CB3:CF3"/>
    <mergeCell ref="AN5:AW5"/>
    <mergeCell ref="AY5:BA5"/>
    <mergeCell ref="BB5:BF5"/>
    <mergeCell ref="BG5:BK5"/>
    <mergeCell ref="BL5:BU5"/>
    <mergeCell ref="BW5:BY5"/>
    <mergeCell ref="BZ5:CD5"/>
    <mergeCell ref="C5:E5"/>
    <mergeCell ref="F5:J5"/>
    <mergeCell ref="K5:O5"/>
    <mergeCell ref="P5:Y5"/>
    <mergeCell ref="AA5:AC5"/>
    <mergeCell ref="AD5:AH5"/>
    <mergeCell ref="AI5:AM5"/>
    <mergeCell ref="CE6:CI6"/>
    <mergeCell ref="CJ6:CS6"/>
    <mergeCell ref="AN6:AW6"/>
    <mergeCell ref="AY6:BA6"/>
    <mergeCell ref="BB6:BF6"/>
    <mergeCell ref="BG6:BK6"/>
    <mergeCell ref="BL6:BU6"/>
    <mergeCell ref="BW6:BY6"/>
    <mergeCell ref="BZ6:CD6"/>
    <mergeCell ref="CG3:CK3"/>
    <mergeCell ref="CL3:CQ3"/>
    <mergeCell ref="C2:Y2"/>
    <mergeCell ref="AA2:AW2"/>
    <mergeCell ref="AY2:BU2"/>
    <mergeCell ref="BW2:CS2"/>
    <mergeCell ref="H3:L3"/>
    <mergeCell ref="M3:Q3"/>
    <mergeCell ref="CR3:CS3"/>
    <mergeCell ref="BZ4:CD4"/>
    <mergeCell ref="CE4:CI4"/>
    <mergeCell ref="CJ4:CS4"/>
    <mergeCell ref="AI4:AM4"/>
    <mergeCell ref="AN4:AW4"/>
    <mergeCell ref="AY4:BA4"/>
    <mergeCell ref="BB4:BF4"/>
    <mergeCell ref="BG4:BK4"/>
    <mergeCell ref="BL4:BU4"/>
    <mergeCell ref="BW4:BY4"/>
    <mergeCell ref="C3:G3"/>
    <mergeCell ref="C4:E4"/>
    <mergeCell ref="F4:J4"/>
    <mergeCell ref="K4:O4"/>
    <mergeCell ref="P4:Y4"/>
    <mergeCell ref="AA4:AC4"/>
    <mergeCell ref="AD4:AH4"/>
    <mergeCell ref="CE5:CI5"/>
    <mergeCell ref="CJ5:CS5"/>
    <mergeCell ref="C6:E6"/>
    <mergeCell ref="F6:J6"/>
    <mergeCell ref="K6:O6"/>
    <mergeCell ref="P6:Y6"/>
    <mergeCell ref="AA6:AC6"/>
    <mergeCell ref="AD6:AH6"/>
    <mergeCell ref="AI6:AM6"/>
    <mergeCell ref="AN9:AW9"/>
    <mergeCell ref="AY9:BA9"/>
    <mergeCell ref="BB9:BF9"/>
    <mergeCell ref="BG9:BK9"/>
    <mergeCell ref="BL9:BU9"/>
    <mergeCell ref="BW9:BY9"/>
    <mergeCell ref="BZ9:CD9"/>
    <mergeCell ref="C9:E9"/>
    <mergeCell ref="F9:J9"/>
    <mergeCell ref="K9:O9"/>
    <mergeCell ref="P9:Y9"/>
    <mergeCell ref="AA9:AC9"/>
    <mergeCell ref="AD9:AH9"/>
    <mergeCell ref="AI9:AM9"/>
    <mergeCell ref="CE10:CI10"/>
    <mergeCell ref="CJ10:CS10"/>
    <mergeCell ref="AN10:AW10"/>
    <mergeCell ref="AY10:BA10"/>
    <mergeCell ref="BB10:BF10"/>
    <mergeCell ref="BG10:BK10"/>
    <mergeCell ref="BL10:BU10"/>
    <mergeCell ref="BW10:BY10"/>
    <mergeCell ref="BZ10:CD10"/>
    <mergeCell ref="CE7:CI7"/>
    <mergeCell ref="CJ7:CS7"/>
    <mergeCell ref="AN7:AW7"/>
    <mergeCell ref="AY7:BA7"/>
    <mergeCell ref="BB7:BF7"/>
    <mergeCell ref="BG7:BK7"/>
    <mergeCell ref="BL7:BU7"/>
    <mergeCell ref="BW7:BY7"/>
    <mergeCell ref="BZ7:CD7"/>
    <mergeCell ref="C7:E7"/>
    <mergeCell ref="F7:J7"/>
    <mergeCell ref="K7:O7"/>
    <mergeCell ref="P7:Y7"/>
    <mergeCell ref="AA7:AC7"/>
    <mergeCell ref="AD7:AH7"/>
    <mergeCell ref="AI7:AM7"/>
    <mergeCell ref="BB8:BF8"/>
    <mergeCell ref="BG8:BK8"/>
    <mergeCell ref="BL8:BU8"/>
    <mergeCell ref="BZ8:CD8"/>
    <mergeCell ref="CE8:CI8"/>
    <mergeCell ref="CJ8:CS8"/>
    <mergeCell ref="C8:E8"/>
    <mergeCell ref="F8:J8"/>
    <mergeCell ref="K8:O8"/>
    <mergeCell ref="P8:Y8"/>
    <mergeCell ref="AD8:AH8"/>
    <mergeCell ref="AI8:AM8"/>
    <mergeCell ref="AN8:AW8"/>
    <mergeCell ref="CE9:CI9"/>
    <mergeCell ref="CJ9:CS9"/>
    <mergeCell ref="C10:E10"/>
    <mergeCell ref="F10:J10"/>
    <mergeCell ref="K10:O10"/>
    <mergeCell ref="P10:Y10"/>
    <mergeCell ref="AA10:AC10"/>
    <mergeCell ref="AD10:AH10"/>
    <mergeCell ref="AI10:AM10"/>
    <mergeCell ref="AN22:AW22"/>
    <mergeCell ref="AY22:BA22"/>
    <mergeCell ref="BB22:BF22"/>
    <mergeCell ref="BG22:BK22"/>
    <mergeCell ref="BL22:BU22"/>
    <mergeCell ref="BW22:BY22"/>
    <mergeCell ref="BZ22:CD22"/>
    <mergeCell ref="C22:E22"/>
    <mergeCell ref="F22:J22"/>
    <mergeCell ref="K22:O22"/>
    <mergeCell ref="P22:Y22"/>
    <mergeCell ref="AA22:AC22"/>
    <mergeCell ref="AD22:AH22"/>
    <mergeCell ref="AI22:AM22"/>
    <mergeCell ref="BB20:BF20"/>
    <mergeCell ref="BG20:BK20"/>
    <mergeCell ref="BL20:BU20"/>
    <mergeCell ref="BZ20:CD20"/>
    <mergeCell ref="CE20:CI20"/>
    <mergeCell ref="CJ20:CS20"/>
    <mergeCell ref="C20:E20"/>
    <mergeCell ref="F20:J20"/>
    <mergeCell ref="K20:O20"/>
    <mergeCell ref="P20:Y20"/>
    <mergeCell ref="AD20:AH20"/>
    <mergeCell ref="AI20:AM20"/>
    <mergeCell ref="AN20:AW20"/>
    <mergeCell ref="CE21:CI21"/>
    <mergeCell ref="CJ21:CS21"/>
    <mergeCell ref="AN21:AW21"/>
    <mergeCell ref="AY21:BA21"/>
    <mergeCell ref="BB21:BF21"/>
    <mergeCell ref="BG21:BK21"/>
    <mergeCell ref="BL21:BU21"/>
    <mergeCell ref="BW21:BY21"/>
    <mergeCell ref="BZ21:CD21"/>
    <mergeCell ref="C21:E21"/>
    <mergeCell ref="F21:J21"/>
    <mergeCell ref="K21:O21"/>
    <mergeCell ref="P21:Y21"/>
    <mergeCell ref="AA21:AC21"/>
    <mergeCell ref="AD21:AH21"/>
    <mergeCell ref="AI21:AM21"/>
    <mergeCell ref="CE22:CI22"/>
    <mergeCell ref="CJ22:CS22"/>
    <mergeCell ref="CB23:CF23"/>
    <mergeCell ref="CG23:CK23"/>
    <mergeCell ref="CL23:CQ23"/>
    <mergeCell ref="CR23:CS23"/>
    <mergeCell ref="C23:G23"/>
    <mergeCell ref="H23:L23"/>
    <mergeCell ref="M23:Q23"/>
    <mergeCell ref="R23:W23"/>
    <mergeCell ref="X23:Y23"/>
    <mergeCell ref="AA23:AE23"/>
    <mergeCell ref="AF23:AJ23"/>
    <mergeCell ref="AN25:AW25"/>
    <mergeCell ref="AY25:BA25"/>
    <mergeCell ref="BB25:BF25"/>
    <mergeCell ref="BG25:BK25"/>
    <mergeCell ref="BL25:BU25"/>
    <mergeCell ref="BW25:BY25"/>
    <mergeCell ref="BZ25:CD25"/>
    <mergeCell ref="C25:E25"/>
    <mergeCell ref="F25:J25"/>
    <mergeCell ref="K25:O25"/>
    <mergeCell ref="P25:Y25"/>
    <mergeCell ref="AA25:AC25"/>
    <mergeCell ref="AD25:AH25"/>
    <mergeCell ref="AI25:AM25"/>
    <mergeCell ref="BT23:BU23"/>
    <mergeCell ref="BW23:CA23"/>
    <mergeCell ref="AK23:AO23"/>
    <mergeCell ref="AP23:AU23"/>
    <mergeCell ref="AV23:AW23"/>
    <mergeCell ref="AY23:BC23"/>
    <mergeCell ref="BD23:BH23"/>
    <mergeCell ref="BI23:BM23"/>
    <mergeCell ref="BN23:BS23"/>
    <mergeCell ref="CE24:CI24"/>
    <mergeCell ref="CJ24:CS24"/>
    <mergeCell ref="AN24:AW24"/>
    <mergeCell ref="AY24:BA24"/>
    <mergeCell ref="BB24:BF24"/>
    <mergeCell ref="BG24:BK24"/>
    <mergeCell ref="BL24:BU24"/>
    <mergeCell ref="BW24:BY24"/>
    <mergeCell ref="BZ24:CD24"/>
    <mergeCell ref="C24:E24"/>
    <mergeCell ref="F24:J24"/>
    <mergeCell ref="K24:O24"/>
    <mergeCell ref="P24:Y24"/>
    <mergeCell ref="AA24:AC24"/>
    <mergeCell ref="AD24:AH24"/>
    <mergeCell ref="AI24:AM24"/>
    <mergeCell ref="CE25:CI25"/>
    <mergeCell ref="CJ25:CS25"/>
    <mergeCell ref="C26:E26"/>
    <mergeCell ref="F26:J26"/>
    <mergeCell ref="K26:O26"/>
    <mergeCell ref="P26:Y26"/>
    <mergeCell ref="AA26:AC26"/>
    <mergeCell ref="AD26:AH26"/>
    <mergeCell ref="AI26:AM26"/>
    <mergeCell ref="AN28:AW28"/>
    <mergeCell ref="AY28:BA28"/>
    <mergeCell ref="BB28:BF28"/>
    <mergeCell ref="BG28:BK28"/>
    <mergeCell ref="BL28:BU28"/>
    <mergeCell ref="BW28:BY28"/>
    <mergeCell ref="BZ28:CD28"/>
    <mergeCell ref="C28:E28"/>
    <mergeCell ref="F28:J28"/>
    <mergeCell ref="K28:O28"/>
    <mergeCell ref="P28:Y28"/>
    <mergeCell ref="AA28:AC28"/>
    <mergeCell ref="AD28:AH28"/>
    <mergeCell ref="AI28:AM28"/>
    <mergeCell ref="CE26:CI26"/>
    <mergeCell ref="CJ26:CS26"/>
    <mergeCell ref="AN26:AW26"/>
    <mergeCell ref="AY26:BA26"/>
    <mergeCell ref="BB26:BF26"/>
    <mergeCell ref="BG26:BK26"/>
    <mergeCell ref="BL26:BU26"/>
    <mergeCell ref="BW26:BY26"/>
    <mergeCell ref="BZ26:CD26"/>
    <mergeCell ref="CE27:CI27"/>
    <mergeCell ref="CJ27:CS27"/>
    <mergeCell ref="AN27:AW27"/>
    <mergeCell ref="AY27:BA27"/>
    <mergeCell ref="BB27:BF27"/>
    <mergeCell ref="BG27:BK27"/>
    <mergeCell ref="BL27:BU27"/>
    <mergeCell ref="BW27:BY27"/>
    <mergeCell ref="BZ27:CD27"/>
    <mergeCell ref="C27:E27"/>
    <mergeCell ref="F27:J27"/>
    <mergeCell ref="K27:O27"/>
    <mergeCell ref="P27:Y27"/>
    <mergeCell ref="AA27:AC27"/>
    <mergeCell ref="AD27:AH27"/>
    <mergeCell ref="AI27:AM27"/>
    <mergeCell ref="CE28:CI28"/>
    <mergeCell ref="CJ28:CS28"/>
    <mergeCell ref="C29:E29"/>
    <mergeCell ref="F29:J29"/>
    <mergeCell ref="K29:O29"/>
    <mergeCell ref="P29:Y29"/>
    <mergeCell ref="AA29:AC29"/>
    <mergeCell ref="AD29:AH29"/>
    <mergeCell ref="AI29:AM29"/>
    <mergeCell ref="BT13:BU13"/>
    <mergeCell ref="BW13:CA13"/>
    <mergeCell ref="AK13:AO13"/>
    <mergeCell ref="AP13:AU13"/>
    <mergeCell ref="AV13:AW13"/>
    <mergeCell ref="AY13:BC13"/>
    <mergeCell ref="BD13:BH13"/>
    <mergeCell ref="BI13:BM13"/>
    <mergeCell ref="BN13:BS13"/>
    <mergeCell ref="CE11:CI11"/>
    <mergeCell ref="CJ11:CS11"/>
    <mergeCell ref="AN11:AW11"/>
    <mergeCell ref="AY11:BA11"/>
    <mergeCell ref="BB11:BF11"/>
    <mergeCell ref="BG11:BK11"/>
    <mergeCell ref="BL11:BU11"/>
    <mergeCell ref="BW11:BY11"/>
    <mergeCell ref="BZ11:CD11"/>
    <mergeCell ref="C11:E11"/>
    <mergeCell ref="F11:J11"/>
    <mergeCell ref="K11:O11"/>
    <mergeCell ref="P11:Y11"/>
    <mergeCell ref="AA11:AC11"/>
    <mergeCell ref="AD11:AH11"/>
    <mergeCell ref="AI11:AM11"/>
    <mergeCell ref="CE12:CI12"/>
    <mergeCell ref="CJ12:CS12"/>
    <mergeCell ref="CB13:CF13"/>
    <mergeCell ref="CG13:CK13"/>
    <mergeCell ref="CL13:CQ13"/>
    <mergeCell ref="CR13:CS13"/>
    <mergeCell ref="AN12:AW12"/>
    <mergeCell ref="AY12:BA12"/>
    <mergeCell ref="BB12:BF12"/>
    <mergeCell ref="BG12:BK12"/>
    <mergeCell ref="BL12:BU12"/>
    <mergeCell ref="BW12:BY12"/>
    <mergeCell ref="BZ12:CD12"/>
    <mergeCell ref="C12:E12"/>
    <mergeCell ref="F12:J12"/>
    <mergeCell ref="K12:O12"/>
    <mergeCell ref="P12:Y12"/>
    <mergeCell ref="AA12:AC12"/>
    <mergeCell ref="AD12:AH12"/>
    <mergeCell ref="AI12:AM12"/>
    <mergeCell ref="C13:G13"/>
    <mergeCell ref="H13:L13"/>
    <mergeCell ref="M13:Q13"/>
    <mergeCell ref="R13:W13"/>
    <mergeCell ref="X13:Y13"/>
    <mergeCell ref="AA13:AE13"/>
    <mergeCell ref="AF13:AJ13"/>
    <mergeCell ref="CE16:CI16"/>
    <mergeCell ref="CJ16:CS16"/>
    <mergeCell ref="AN16:AW16"/>
    <mergeCell ref="AY16:BA16"/>
    <mergeCell ref="BB16:BF16"/>
    <mergeCell ref="BG16:BK16"/>
    <mergeCell ref="BL16:BU16"/>
    <mergeCell ref="BW16:BY16"/>
    <mergeCell ref="BZ16:CD16"/>
    <mergeCell ref="CE14:CI14"/>
    <mergeCell ref="CJ14:CS14"/>
    <mergeCell ref="AN14:AW14"/>
    <mergeCell ref="AY14:BA14"/>
    <mergeCell ref="BB14:BF14"/>
    <mergeCell ref="BG14:BK14"/>
    <mergeCell ref="BL14:BU14"/>
    <mergeCell ref="BW14:BY14"/>
    <mergeCell ref="BZ14:CD14"/>
    <mergeCell ref="C14:E14"/>
    <mergeCell ref="F14:J14"/>
    <mergeCell ref="K14:O14"/>
    <mergeCell ref="P14:Y14"/>
    <mergeCell ref="AA14:AC14"/>
    <mergeCell ref="AD14:AH14"/>
    <mergeCell ref="AI14:AM14"/>
    <mergeCell ref="CE15:CI15"/>
    <mergeCell ref="CJ15:CS15"/>
    <mergeCell ref="AN15:AW15"/>
    <mergeCell ref="AY15:BA15"/>
    <mergeCell ref="BB15:BF15"/>
    <mergeCell ref="BG15:BK15"/>
    <mergeCell ref="BL15:BU15"/>
    <mergeCell ref="BW15:BY15"/>
    <mergeCell ref="BZ15:CD15"/>
    <mergeCell ref="C15:E15"/>
    <mergeCell ref="F15:J15"/>
    <mergeCell ref="K15:O15"/>
    <mergeCell ref="P15:Y15"/>
    <mergeCell ref="AA15:AC15"/>
    <mergeCell ref="AD15:AH15"/>
    <mergeCell ref="AI15:AM15"/>
    <mergeCell ref="C16:E16"/>
    <mergeCell ref="F16:J16"/>
    <mergeCell ref="K16:O16"/>
    <mergeCell ref="P16:Y16"/>
    <mergeCell ref="AA16:AC16"/>
    <mergeCell ref="AD16:AH16"/>
    <mergeCell ref="AI16:AM16"/>
    <mergeCell ref="CE19:CI19"/>
    <mergeCell ref="CJ19:CS19"/>
    <mergeCell ref="AN19:AW19"/>
    <mergeCell ref="AY19:BA19"/>
    <mergeCell ref="BB19:BF19"/>
    <mergeCell ref="BG19:BK19"/>
    <mergeCell ref="BL19:BU19"/>
    <mergeCell ref="BW19:BY19"/>
    <mergeCell ref="BZ19:CD19"/>
    <mergeCell ref="CE17:CI17"/>
    <mergeCell ref="CJ17:CS17"/>
    <mergeCell ref="AN17:AW17"/>
    <mergeCell ref="AY17:BA17"/>
    <mergeCell ref="BB17:BF17"/>
    <mergeCell ref="BG17:BK17"/>
    <mergeCell ref="BL17:BU17"/>
    <mergeCell ref="BW17:BY17"/>
    <mergeCell ref="BZ17:CD17"/>
    <mergeCell ref="C17:E17"/>
    <mergeCell ref="F17:J17"/>
    <mergeCell ref="K17:O17"/>
    <mergeCell ref="P17:Y17"/>
    <mergeCell ref="AA17:AC17"/>
    <mergeCell ref="AD17:AH17"/>
    <mergeCell ref="AI17:AM17"/>
    <mergeCell ref="CE18:CI18"/>
    <mergeCell ref="CJ18:CS18"/>
    <mergeCell ref="AN18:AW18"/>
    <mergeCell ref="AY18:BA18"/>
    <mergeCell ref="BB18:BF18"/>
    <mergeCell ref="BG18:BK18"/>
    <mergeCell ref="BL18:BU18"/>
    <mergeCell ref="BW18:BY18"/>
    <mergeCell ref="BZ18:CD18"/>
    <mergeCell ref="C18:E18"/>
    <mergeCell ref="F18:J18"/>
    <mergeCell ref="K18:O18"/>
    <mergeCell ref="P18:Y18"/>
    <mergeCell ref="AA18:AC18"/>
    <mergeCell ref="AD18:AH18"/>
    <mergeCell ref="AI18:AM18"/>
    <mergeCell ref="C19:E19"/>
    <mergeCell ref="F19:J19"/>
    <mergeCell ref="K19:O19"/>
    <mergeCell ref="P19:Y19"/>
    <mergeCell ref="AA19:AC19"/>
    <mergeCell ref="AD19:AH19"/>
    <mergeCell ref="AI19:AM19"/>
    <mergeCell ref="CE29:CI29"/>
    <mergeCell ref="CJ29:CS29"/>
    <mergeCell ref="AN29:AW29"/>
    <mergeCell ref="AY29:BA29"/>
    <mergeCell ref="BB29:BF29"/>
    <mergeCell ref="BG29:BK29"/>
    <mergeCell ref="BL29:BU29"/>
    <mergeCell ref="BW29:BY29"/>
    <mergeCell ref="BZ29:CD29"/>
    <mergeCell ref="BB30:BF30"/>
    <mergeCell ref="BG30:BK30"/>
    <mergeCell ref="BL30:BU30"/>
    <mergeCell ref="BZ30:CD30"/>
    <mergeCell ref="CE30:CI30"/>
    <mergeCell ref="CJ30:CS30"/>
    <mergeCell ref="C30:E30"/>
    <mergeCell ref="F30:J30"/>
    <mergeCell ref="K30:O30"/>
    <mergeCell ref="P30:Y30"/>
    <mergeCell ref="AD30:AH30"/>
    <mergeCell ref="AI30:AM30"/>
    <mergeCell ref="AN30:AW30"/>
    <mergeCell ref="CE31:CI31"/>
    <mergeCell ref="CJ31:CS31"/>
    <mergeCell ref="AN31:AW31"/>
    <mergeCell ref="AY31:BA31"/>
    <mergeCell ref="BB31:BF31"/>
    <mergeCell ref="BG31:BK31"/>
    <mergeCell ref="BL31:BU31"/>
    <mergeCell ref="BW31:BY31"/>
    <mergeCell ref="BZ31:CD31"/>
    <mergeCell ref="C31:E31"/>
    <mergeCell ref="F31:J31"/>
    <mergeCell ref="K31:O31"/>
    <mergeCell ref="P31:Y31"/>
    <mergeCell ref="AA31:AC31"/>
    <mergeCell ref="AD31:AH31"/>
    <mergeCell ref="AI31:AM31"/>
    <mergeCell ref="CE34:CI34"/>
    <mergeCell ref="CJ34:CS34"/>
    <mergeCell ref="AN34:AW34"/>
    <mergeCell ref="AY34:BA34"/>
    <mergeCell ref="BB34:BF34"/>
    <mergeCell ref="BG34:BK34"/>
    <mergeCell ref="BL34:BU34"/>
    <mergeCell ref="BW34:BY34"/>
    <mergeCell ref="BZ34:CD34"/>
    <mergeCell ref="CE32:CI32"/>
    <mergeCell ref="CJ32:CS32"/>
    <mergeCell ref="AN32:AW32"/>
    <mergeCell ref="AY32:BA32"/>
    <mergeCell ref="BB32:BF32"/>
    <mergeCell ref="BG32:BK32"/>
    <mergeCell ref="BL32:BU32"/>
    <mergeCell ref="BW32:BY32"/>
    <mergeCell ref="BZ32:CD32"/>
    <mergeCell ref="C32:E32"/>
    <mergeCell ref="F32:J32"/>
    <mergeCell ref="K32:O32"/>
    <mergeCell ref="P32:Y32"/>
    <mergeCell ref="AA32:AC32"/>
    <mergeCell ref="AD32:AH32"/>
    <mergeCell ref="AI32:AM32"/>
    <mergeCell ref="BT33:BU33"/>
    <mergeCell ref="BW33:CA33"/>
    <mergeCell ref="CB33:CF33"/>
    <mergeCell ref="CG33:CK33"/>
    <mergeCell ref="CL33:CQ33"/>
    <mergeCell ref="CR33:CS33"/>
    <mergeCell ref="AK33:AO33"/>
    <mergeCell ref="AP33:AU33"/>
    <mergeCell ref="AV33:AW33"/>
    <mergeCell ref="AY33:BC33"/>
    <mergeCell ref="BD33:BH33"/>
    <mergeCell ref="BI33:BM33"/>
    <mergeCell ref="BN33:BS33"/>
    <mergeCell ref="C33:G33"/>
    <mergeCell ref="H33:L33"/>
    <mergeCell ref="M33:Q33"/>
    <mergeCell ref="R33:W33"/>
    <mergeCell ref="X33:Y33"/>
    <mergeCell ref="AA33:AE33"/>
    <mergeCell ref="AF33:AJ33"/>
    <mergeCell ref="C34:E34"/>
    <mergeCell ref="F34:J34"/>
    <mergeCell ref="K34:O34"/>
    <mergeCell ref="P34:Y34"/>
    <mergeCell ref="AA34:AC34"/>
    <mergeCell ref="AD34:AH34"/>
    <mergeCell ref="AI34:AM34"/>
    <mergeCell ref="CE37:CI37"/>
    <mergeCell ref="CJ37:CS37"/>
    <mergeCell ref="AN37:AW37"/>
    <mergeCell ref="AY37:BA37"/>
    <mergeCell ref="BB37:BF37"/>
    <mergeCell ref="BG37:BK37"/>
    <mergeCell ref="BL37:BU37"/>
    <mergeCell ref="BW37:BY37"/>
    <mergeCell ref="BZ37:CD37"/>
    <mergeCell ref="CE35:CI35"/>
    <mergeCell ref="CJ35:CS35"/>
    <mergeCell ref="AN35:AW35"/>
    <mergeCell ref="AY35:BA35"/>
    <mergeCell ref="BB35:BF35"/>
    <mergeCell ref="BG35:BK35"/>
    <mergeCell ref="BL35:BU35"/>
    <mergeCell ref="BW35:BY35"/>
    <mergeCell ref="BZ35:CD35"/>
    <mergeCell ref="C35:E35"/>
    <mergeCell ref="F35:J35"/>
    <mergeCell ref="K35:O35"/>
    <mergeCell ref="P35:Y35"/>
    <mergeCell ref="AA35:AC35"/>
    <mergeCell ref="AD35:AH35"/>
    <mergeCell ref="AI35:AM35"/>
    <mergeCell ref="CE36:CI36"/>
    <mergeCell ref="CJ36:CS36"/>
    <mergeCell ref="AN36:AW36"/>
    <mergeCell ref="AY36:BA36"/>
    <mergeCell ref="BB36:BF36"/>
    <mergeCell ref="BG36:BK36"/>
    <mergeCell ref="BL36:BU36"/>
    <mergeCell ref="BW36:BY36"/>
    <mergeCell ref="BZ36:CD36"/>
    <mergeCell ref="C36:E36"/>
    <mergeCell ref="F36:J36"/>
    <mergeCell ref="K36:O36"/>
    <mergeCell ref="P36:Y36"/>
    <mergeCell ref="AA36:AC36"/>
    <mergeCell ref="AD36:AH36"/>
    <mergeCell ref="AI36:AM36"/>
    <mergeCell ref="C37:E37"/>
    <mergeCell ref="F37:J37"/>
    <mergeCell ref="K37:O37"/>
    <mergeCell ref="P37:Y37"/>
    <mergeCell ref="AA37:AC37"/>
    <mergeCell ref="AD37:AH37"/>
    <mergeCell ref="AI37:AM37"/>
    <mergeCell ref="BB40:BF40"/>
    <mergeCell ref="BG40:BK40"/>
    <mergeCell ref="BL40:BU40"/>
    <mergeCell ref="BZ40:CD40"/>
    <mergeCell ref="CE40:CI40"/>
    <mergeCell ref="CJ40:CS40"/>
    <mergeCell ref="C40:E40"/>
    <mergeCell ref="F40:J40"/>
    <mergeCell ref="K40:O40"/>
    <mergeCell ref="P40:Y40"/>
    <mergeCell ref="AD40:AH40"/>
    <mergeCell ref="AI40:AM40"/>
    <mergeCell ref="AN40:AW40"/>
    <mergeCell ref="CE41:CI41"/>
    <mergeCell ref="CJ41:CS41"/>
    <mergeCell ref="AN41:AW41"/>
    <mergeCell ref="AY41:BA41"/>
    <mergeCell ref="BB41:BF41"/>
    <mergeCell ref="BG41:BK41"/>
    <mergeCell ref="BL41:BU41"/>
    <mergeCell ref="BW41:BY41"/>
    <mergeCell ref="BZ41:CD41"/>
    <mergeCell ref="CE38:CI38"/>
    <mergeCell ref="CJ38:CS38"/>
    <mergeCell ref="AN38:AW38"/>
    <mergeCell ref="AY38:BA38"/>
    <mergeCell ref="BB38:BF38"/>
    <mergeCell ref="BG38:BK38"/>
    <mergeCell ref="BL38:BU38"/>
    <mergeCell ref="BW38:BY38"/>
    <mergeCell ref="BZ38:CD38"/>
    <mergeCell ref="C38:E38"/>
    <mergeCell ref="F38:J38"/>
    <mergeCell ref="K38:O38"/>
    <mergeCell ref="P38:Y38"/>
    <mergeCell ref="AA38:AC38"/>
    <mergeCell ref="AD38:AH38"/>
    <mergeCell ref="AI38:AM38"/>
    <mergeCell ref="CE39:CI39"/>
    <mergeCell ref="CJ39:CS39"/>
    <mergeCell ref="AN39:AW39"/>
    <mergeCell ref="AY39:BA39"/>
    <mergeCell ref="BB39:BF39"/>
    <mergeCell ref="BG39:BK39"/>
    <mergeCell ref="BL39:BU39"/>
    <mergeCell ref="BW39:BY39"/>
    <mergeCell ref="BZ39:CD39"/>
    <mergeCell ref="C39:E39"/>
    <mergeCell ref="F39:J39"/>
    <mergeCell ref="K39:O39"/>
    <mergeCell ref="P39:Y39"/>
    <mergeCell ref="AA39:AC39"/>
    <mergeCell ref="AD39:AH39"/>
    <mergeCell ref="AI39:AM39"/>
    <mergeCell ref="C41:E41"/>
    <mergeCell ref="F41:J41"/>
    <mergeCell ref="K41:O41"/>
    <mergeCell ref="P41:Y41"/>
    <mergeCell ref="AA41:AC41"/>
    <mergeCell ref="AD41:AH41"/>
    <mergeCell ref="AI41:AM41"/>
    <mergeCell ref="CE44:CI44"/>
    <mergeCell ref="CJ44:CS44"/>
    <mergeCell ref="AN44:AW44"/>
    <mergeCell ref="AY44:BA44"/>
    <mergeCell ref="BB44:BF44"/>
    <mergeCell ref="BG44:BK44"/>
    <mergeCell ref="BL44:BU44"/>
    <mergeCell ref="BW44:BY44"/>
    <mergeCell ref="BZ44:CD44"/>
    <mergeCell ref="CE42:CI42"/>
    <mergeCell ref="CJ42:CS42"/>
    <mergeCell ref="AN42:AW42"/>
    <mergeCell ref="AY42:BA42"/>
    <mergeCell ref="BB42:BF42"/>
    <mergeCell ref="BG42:BK42"/>
    <mergeCell ref="BL42:BU42"/>
    <mergeCell ref="BW42:BY42"/>
    <mergeCell ref="BZ42:CD42"/>
    <mergeCell ref="C42:E42"/>
    <mergeCell ref="F42:J42"/>
    <mergeCell ref="K42:O42"/>
    <mergeCell ref="P42:Y42"/>
    <mergeCell ref="AA42:AC42"/>
    <mergeCell ref="AD42:AH42"/>
    <mergeCell ref="AI42:AM42"/>
    <mergeCell ref="BT43:BU43"/>
    <mergeCell ref="BW43:CA43"/>
    <mergeCell ref="CB43:CF43"/>
    <mergeCell ref="CG43:CK43"/>
    <mergeCell ref="CL43:CQ43"/>
    <mergeCell ref="CR43:CS43"/>
    <mergeCell ref="AK43:AO43"/>
    <mergeCell ref="AP43:AU43"/>
    <mergeCell ref="AV43:AW43"/>
    <mergeCell ref="AY43:BC43"/>
    <mergeCell ref="BD43:BH43"/>
    <mergeCell ref="BI43:BM43"/>
    <mergeCell ref="BN43:BS43"/>
    <mergeCell ref="C43:G43"/>
    <mergeCell ref="H43:L43"/>
    <mergeCell ref="M43:Q43"/>
    <mergeCell ref="R43:W43"/>
    <mergeCell ref="X43:Y43"/>
    <mergeCell ref="AA43:AE43"/>
    <mergeCell ref="AF43:AJ43"/>
    <mergeCell ref="C44:E44"/>
    <mergeCell ref="F44:J44"/>
    <mergeCell ref="K44:O44"/>
    <mergeCell ref="P44:Y44"/>
    <mergeCell ref="AA44:AC44"/>
    <mergeCell ref="AD44:AH44"/>
    <mergeCell ref="AI44:AM44"/>
    <mergeCell ref="CE47:CI47"/>
    <mergeCell ref="CJ47:CS47"/>
    <mergeCell ref="AN47:AW47"/>
    <mergeCell ref="AY47:BA47"/>
    <mergeCell ref="BB47:BF47"/>
    <mergeCell ref="BG47:BK47"/>
    <mergeCell ref="BL47:BU47"/>
    <mergeCell ref="BW47:BY47"/>
    <mergeCell ref="BZ47:CD47"/>
    <mergeCell ref="CE45:CI45"/>
    <mergeCell ref="CJ45:CS45"/>
    <mergeCell ref="AN45:AW45"/>
    <mergeCell ref="AY45:BA45"/>
    <mergeCell ref="BB45:BF45"/>
    <mergeCell ref="BG45:BK45"/>
    <mergeCell ref="BL45:BU45"/>
    <mergeCell ref="BW45:BY45"/>
    <mergeCell ref="BZ45:CD45"/>
    <mergeCell ref="C45:E45"/>
    <mergeCell ref="F45:J45"/>
    <mergeCell ref="K45:O45"/>
    <mergeCell ref="P45:Y45"/>
    <mergeCell ref="AA45:AC45"/>
    <mergeCell ref="AD45:AH45"/>
    <mergeCell ref="AI45:AM45"/>
    <mergeCell ref="CE46:CI46"/>
    <mergeCell ref="CJ46:CS46"/>
    <mergeCell ref="AN46:AW46"/>
    <mergeCell ref="AY46:BA46"/>
    <mergeCell ref="BB46:BF46"/>
    <mergeCell ref="BG46:BK46"/>
    <mergeCell ref="BL46:BU46"/>
    <mergeCell ref="BW46:BY46"/>
    <mergeCell ref="BZ46:CD46"/>
    <mergeCell ref="C46:E46"/>
    <mergeCell ref="F46:J46"/>
    <mergeCell ref="K46:O46"/>
    <mergeCell ref="P46:Y46"/>
    <mergeCell ref="AA46:AC46"/>
    <mergeCell ref="AD46:AH46"/>
    <mergeCell ref="AI46:AM46"/>
    <mergeCell ref="C47:E47"/>
    <mergeCell ref="F47:J47"/>
    <mergeCell ref="K47:O47"/>
    <mergeCell ref="P47:Y47"/>
    <mergeCell ref="AA47:AC47"/>
    <mergeCell ref="AD47:AH47"/>
    <mergeCell ref="AI47:AM47"/>
    <mergeCell ref="BB50:BF50"/>
    <mergeCell ref="BG50:BK50"/>
    <mergeCell ref="BL50:BU50"/>
    <mergeCell ref="BZ50:CD50"/>
    <mergeCell ref="CE50:CI50"/>
    <mergeCell ref="CJ50:CS50"/>
    <mergeCell ref="C50:E50"/>
    <mergeCell ref="F50:J50"/>
    <mergeCell ref="K50:O50"/>
    <mergeCell ref="P50:Y50"/>
    <mergeCell ref="AD50:AH50"/>
    <mergeCell ref="AI50:AM50"/>
    <mergeCell ref="AN50:AW50"/>
    <mergeCell ref="CE51:CI51"/>
    <mergeCell ref="CJ51:CS51"/>
    <mergeCell ref="AN51:AW51"/>
    <mergeCell ref="AY51:BA51"/>
    <mergeCell ref="BB51:BF51"/>
    <mergeCell ref="BG51:BK51"/>
    <mergeCell ref="BL51:BU51"/>
    <mergeCell ref="BW51:BY51"/>
    <mergeCell ref="BZ51:CD51"/>
    <mergeCell ref="CE48:CI48"/>
    <mergeCell ref="CJ48:CS48"/>
    <mergeCell ref="AN48:AW48"/>
    <mergeCell ref="AY48:BA48"/>
    <mergeCell ref="BB48:BF48"/>
    <mergeCell ref="BG48:BK48"/>
    <mergeCell ref="BL48:BU48"/>
    <mergeCell ref="BW48:BY48"/>
    <mergeCell ref="BZ48:CD48"/>
    <mergeCell ref="C48:E48"/>
    <mergeCell ref="F48:J48"/>
    <mergeCell ref="K48:O48"/>
    <mergeCell ref="P48:Y48"/>
    <mergeCell ref="AA48:AC48"/>
    <mergeCell ref="AD48:AH48"/>
    <mergeCell ref="AI48:AM48"/>
    <mergeCell ref="CE49:CI49"/>
    <mergeCell ref="CJ49:CS49"/>
    <mergeCell ref="AN49:AW49"/>
    <mergeCell ref="AY49:BA49"/>
    <mergeCell ref="BB49:BF49"/>
    <mergeCell ref="BG49:BK49"/>
    <mergeCell ref="BL49:BU49"/>
    <mergeCell ref="BW49:BY49"/>
    <mergeCell ref="BZ49:CD49"/>
    <mergeCell ref="C49:E49"/>
    <mergeCell ref="F49:J49"/>
    <mergeCell ref="K49:O49"/>
    <mergeCell ref="P49:Y49"/>
    <mergeCell ref="AA49:AC49"/>
    <mergeCell ref="AD49:AH49"/>
    <mergeCell ref="AI49:AM49"/>
    <mergeCell ref="C51:E51"/>
    <mergeCell ref="F51:J51"/>
    <mergeCell ref="K51:O51"/>
    <mergeCell ref="P51:Y51"/>
    <mergeCell ref="AA51:AC51"/>
    <mergeCell ref="AD51:AH51"/>
    <mergeCell ref="AI51:AM51"/>
    <mergeCell ref="C137:E137"/>
    <mergeCell ref="C138:E138"/>
    <mergeCell ref="C139:I139"/>
    <mergeCell ref="K139:U139"/>
    <mergeCell ref="E140:I140"/>
    <mergeCell ref="K140:M140"/>
    <mergeCell ref="N140:U140"/>
    <mergeCell ref="C143:D143"/>
    <mergeCell ref="E143:I143"/>
    <mergeCell ref="K143:M143"/>
    <mergeCell ref="N143:U143"/>
    <mergeCell ref="C144:D144"/>
    <mergeCell ref="E144:I144"/>
    <mergeCell ref="K144:M144"/>
    <mergeCell ref="N144:U144"/>
    <mergeCell ref="C140:D140"/>
    <mergeCell ref="C141:D141"/>
    <mergeCell ref="E141:I141"/>
    <mergeCell ref="K141:M141"/>
    <mergeCell ref="N141:U141"/>
    <mergeCell ref="C142:D142"/>
    <mergeCell ref="E142:I142"/>
    <mergeCell ref="BF135:BI135"/>
    <mergeCell ref="BJ135:BM135"/>
    <mergeCell ref="AD135:AG135"/>
    <mergeCell ref="AH135:AK135"/>
    <mergeCell ref="AL135:AO135"/>
    <mergeCell ref="AP135:AS135"/>
    <mergeCell ref="AT135:AW135"/>
    <mergeCell ref="AY135:BA135"/>
    <mergeCell ref="BB135:BE135"/>
    <mergeCell ref="AD136:AG136"/>
    <mergeCell ref="AH136:AK136"/>
    <mergeCell ref="AL136:AO136"/>
    <mergeCell ref="AP136:AS136"/>
    <mergeCell ref="AT136:AW136"/>
    <mergeCell ref="AY136:BA136"/>
    <mergeCell ref="BB136:BE136"/>
    <mergeCell ref="CH136:CK136"/>
    <mergeCell ref="CL136:CO136"/>
    <mergeCell ref="CP136:CS136"/>
    <mergeCell ref="BF136:BI136"/>
    <mergeCell ref="BJ136:BM136"/>
    <mergeCell ref="BN136:BQ136"/>
    <mergeCell ref="BR136:BU136"/>
    <mergeCell ref="BW136:BY136"/>
    <mergeCell ref="BZ136:CC136"/>
    <mergeCell ref="CD136:CG136"/>
    <mergeCell ref="C136:E136"/>
    <mergeCell ref="F136:I136"/>
    <mergeCell ref="J136:M136"/>
    <mergeCell ref="N136:Q136"/>
    <mergeCell ref="R136:U136"/>
    <mergeCell ref="V136:Y136"/>
    <mergeCell ref="AA136:AC136"/>
    <mergeCell ref="K142:M142"/>
    <mergeCell ref="N142:U142"/>
    <mergeCell ref="AD124:AG124"/>
    <mergeCell ref="AH124:AK124"/>
    <mergeCell ref="AL124:AO124"/>
    <mergeCell ref="AP124:AS124"/>
    <mergeCell ref="AT124:AW124"/>
    <mergeCell ref="AY124:BA124"/>
    <mergeCell ref="BB124:BE124"/>
    <mergeCell ref="C124:E124"/>
    <mergeCell ref="F124:I124"/>
    <mergeCell ref="J124:M124"/>
    <mergeCell ref="N124:Q124"/>
    <mergeCell ref="R124:U124"/>
    <mergeCell ref="V124:Y124"/>
    <mergeCell ref="AA124:AC124"/>
    <mergeCell ref="CE122:CI122"/>
    <mergeCell ref="CJ122:CS122"/>
    <mergeCell ref="AN122:AW122"/>
    <mergeCell ref="AY122:BA122"/>
    <mergeCell ref="BB122:BF122"/>
    <mergeCell ref="BG122:BK122"/>
    <mergeCell ref="BL122:BU122"/>
    <mergeCell ref="BW122:BY122"/>
    <mergeCell ref="BZ122:CD122"/>
    <mergeCell ref="C123:Y123"/>
    <mergeCell ref="AA123:AW123"/>
    <mergeCell ref="AY123:BU123"/>
    <mergeCell ref="BW123:CS123"/>
    <mergeCell ref="C122:E122"/>
    <mergeCell ref="F122:J122"/>
    <mergeCell ref="K122:O122"/>
    <mergeCell ref="P122:Y122"/>
    <mergeCell ref="AA122:AC122"/>
    <mergeCell ref="AD122:AH122"/>
    <mergeCell ref="AI122:AM122"/>
    <mergeCell ref="CH124:CK124"/>
    <mergeCell ref="CL124:CO124"/>
    <mergeCell ref="CP124:CS124"/>
    <mergeCell ref="C125:E125"/>
    <mergeCell ref="F125:I125"/>
    <mergeCell ref="J125:M125"/>
    <mergeCell ref="N125:Q125"/>
    <mergeCell ref="R125:U125"/>
    <mergeCell ref="V125:Y125"/>
    <mergeCell ref="AA125:AC125"/>
    <mergeCell ref="BN125:BQ125"/>
    <mergeCell ref="BR125:BU125"/>
    <mergeCell ref="BW125:BY125"/>
    <mergeCell ref="BZ125:CC125"/>
    <mergeCell ref="CD125:CG125"/>
    <mergeCell ref="CH125:CK125"/>
    <mergeCell ref="CL125:CO125"/>
    <mergeCell ref="CP125:CS125"/>
    <mergeCell ref="BF124:BI124"/>
    <mergeCell ref="BJ124:BM124"/>
    <mergeCell ref="BN124:BQ124"/>
    <mergeCell ref="BR124:BU124"/>
    <mergeCell ref="BW124:BY124"/>
    <mergeCell ref="BZ124:CC124"/>
    <mergeCell ref="CD124:CG124"/>
    <mergeCell ref="BF125:BI125"/>
    <mergeCell ref="BJ125:BM125"/>
    <mergeCell ref="AD125:AG125"/>
    <mergeCell ref="AH125:AK125"/>
    <mergeCell ref="AL125:AO125"/>
    <mergeCell ref="AP125:AS125"/>
    <mergeCell ref="AT125:AW125"/>
    <mergeCell ref="AY125:BA125"/>
    <mergeCell ref="BB125:BE125"/>
    <mergeCell ref="AD126:AG126"/>
    <mergeCell ref="AH126:AK126"/>
    <mergeCell ref="AL126:AO126"/>
    <mergeCell ref="AP126:AS126"/>
    <mergeCell ref="AT126:AW126"/>
    <mergeCell ref="AY126:BA126"/>
    <mergeCell ref="BB126:BE126"/>
    <mergeCell ref="CH126:CK126"/>
    <mergeCell ref="CL126:CO126"/>
    <mergeCell ref="CP126:CS126"/>
    <mergeCell ref="C126:E126"/>
    <mergeCell ref="F126:I126"/>
    <mergeCell ref="J126:M126"/>
    <mergeCell ref="N126:Q126"/>
    <mergeCell ref="R126:U126"/>
    <mergeCell ref="V126:Y126"/>
    <mergeCell ref="AA126:AC126"/>
    <mergeCell ref="C127:E127"/>
    <mergeCell ref="F127:I127"/>
    <mergeCell ref="J127:M127"/>
    <mergeCell ref="N127:Q127"/>
    <mergeCell ref="R127:U127"/>
    <mergeCell ref="V127:Y127"/>
    <mergeCell ref="AA127:AC127"/>
    <mergeCell ref="BN127:BQ127"/>
    <mergeCell ref="BR127:BU127"/>
    <mergeCell ref="BW127:BY127"/>
    <mergeCell ref="BZ127:CC127"/>
    <mergeCell ref="CD127:CG127"/>
    <mergeCell ref="CH127:CK127"/>
    <mergeCell ref="CL127:CO127"/>
    <mergeCell ref="CP127:CS127"/>
    <mergeCell ref="BF126:BI126"/>
    <mergeCell ref="BJ126:BM126"/>
    <mergeCell ref="BN126:BQ126"/>
    <mergeCell ref="BR126:BU126"/>
    <mergeCell ref="BW126:BY126"/>
    <mergeCell ref="BZ126:CC126"/>
    <mergeCell ref="CD126:CG126"/>
    <mergeCell ref="BF127:BI127"/>
    <mergeCell ref="BJ127:BM127"/>
    <mergeCell ref="AD127:AG127"/>
    <mergeCell ref="AH127:AK127"/>
    <mergeCell ref="AL127:AO127"/>
    <mergeCell ref="AP127:AS127"/>
    <mergeCell ref="AT127:AW127"/>
    <mergeCell ref="AY127:BA127"/>
    <mergeCell ref="BB127:BE127"/>
    <mergeCell ref="AD128:AG128"/>
    <mergeCell ref="AH128:AK128"/>
    <mergeCell ref="AL128:AO128"/>
    <mergeCell ref="AP128:AS128"/>
    <mergeCell ref="AT128:AW128"/>
    <mergeCell ref="AY128:BA128"/>
    <mergeCell ref="BB128:BE128"/>
    <mergeCell ref="CH128:CK128"/>
    <mergeCell ref="CL128:CO128"/>
    <mergeCell ref="CP128:CS128"/>
    <mergeCell ref="C128:E128"/>
    <mergeCell ref="F128:I128"/>
    <mergeCell ref="J128:M128"/>
    <mergeCell ref="N128:Q128"/>
    <mergeCell ref="R128:U128"/>
    <mergeCell ref="V128:Y128"/>
    <mergeCell ref="AA128:AC128"/>
    <mergeCell ref="C129:E129"/>
    <mergeCell ref="F129:I129"/>
    <mergeCell ref="J129:M129"/>
    <mergeCell ref="N129:Q129"/>
    <mergeCell ref="R129:U129"/>
    <mergeCell ref="V129:Y129"/>
    <mergeCell ref="AA129:AC129"/>
    <mergeCell ref="BN129:BQ129"/>
    <mergeCell ref="BR129:BU129"/>
    <mergeCell ref="BW129:BY129"/>
    <mergeCell ref="BZ129:CC129"/>
    <mergeCell ref="CD129:CG129"/>
    <mergeCell ref="CH129:CK129"/>
    <mergeCell ref="CL129:CO129"/>
    <mergeCell ref="CP129:CS129"/>
    <mergeCell ref="BF128:BI128"/>
    <mergeCell ref="BJ128:BM128"/>
    <mergeCell ref="BN128:BQ128"/>
    <mergeCell ref="BR128:BU128"/>
    <mergeCell ref="BW128:BY128"/>
    <mergeCell ref="BZ128:CC128"/>
    <mergeCell ref="CD128:CG128"/>
    <mergeCell ref="BF129:BI129"/>
    <mergeCell ref="BJ129:BM129"/>
    <mergeCell ref="AD129:AG129"/>
    <mergeCell ref="AH129:AK129"/>
    <mergeCell ref="AL129:AO129"/>
    <mergeCell ref="AP129:AS129"/>
    <mergeCell ref="AT129:AW129"/>
    <mergeCell ref="AY129:BA129"/>
    <mergeCell ref="BB129:BE129"/>
    <mergeCell ref="AD130:AG130"/>
    <mergeCell ref="AH130:AK130"/>
    <mergeCell ref="AL130:AO130"/>
    <mergeCell ref="AP130:AS130"/>
    <mergeCell ref="AT130:AW130"/>
    <mergeCell ref="AY130:BA130"/>
    <mergeCell ref="BB130:BE130"/>
    <mergeCell ref="CH130:CK130"/>
    <mergeCell ref="CL130:CO130"/>
    <mergeCell ref="CP130:CS130"/>
    <mergeCell ref="C130:E130"/>
    <mergeCell ref="F130:I130"/>
    <mergeCell ref="J130:M130"/>
    <mergeCell ref="N130:Q130"/>
    <mergeCell ref="R130:U130"/>
    <mergeCell ref="V130:Y130"/>
    <mergeCell ref="AA130:AC130"/>
    <mergeCell ref="C131:E131"/>
    <mergeCell ref="F131:I131"/>
    <mergeCell ref="J131:M131"/>
    <mergeCell ref="N131:Q131"/>
    <mergeCell ref="R131:U131"/>
    <mergeCell ref="V131:Y131"/>
    <mergeCell ref="AA131:AC131"/>
    <mergeCell ref="BN131:BQ131"/>
    <mergeCell ref="BR131:BU131"/>
    <mergeCell ref="BW131:BY131"/>
    <mergeCell ref="BZ131:CC131"/>
    <mergeCell ref="CD131:CG131"/>
    <mergeCell ref="CH131:CK131"/>
    <mergeCell ref="CL131:CO131"/>
    <mergeCell ref="CP131:CS131"/>
    <mergeCell ref="BF130:BI130"/>
    <mergeCell ref="BJ130:BM130"/>
    <mergeCell ref="BN130:BQ130"/>
    <mergeCell ref="BR130:BU130"/>
    <mergeCell ref="BW130:BY130"/>
    <mergeCell ref="BZ130:CC130"/>
    <mergeCell ref="CD130:CG130"/>
    <mergeCell ref="BF131:BI131"/>
    <mergeCell ref="BJ131:BM131"/>
    <mergeCell ref="AD131:AG131"/>
    <mergeCell ref="AH131:AK131"/>
    <mergeCell ref="AL131:AO131"/>
    <mergeCell ref="AP131:AS131"/>
    <mergeCell ref="AT131:AW131"/>
    <mergeCell ref="AY131:BA131"/>
    <mergeCell ref="BB131:BE131"/>
    <mergeCell ref="AD132:AG132"/>
    <mergeCell ref="AH132:AK132"/>
    <mergeCell ref="AL132:AO132"/>
    <mergeCell ref="AP132:AS132"/>
    <mergeCell ref="AT132:AW132"/>
    <mergeCell ref="AY132:BA132"/>
    <mergeCell ref="BB132:BE132"/>
    <mergeCell ref="CH132:CK132"/>
    <mergeCell ref="CL132:CO132"/>
    <mergeCell ref="CP132:CS132"/>
    <mergeCell ref="C132:E132"/>
    <mergeCell ref="F132:I132"/>
    <mergeCell ref="J132:M132"/>
    <mergeCell ref="N132:Q132"/>
    <mergeCell ref="R132:U132"/>
    <mergeCell ref="V132:Y132"/>
    <mergeCell ref="AA132:AC132"/>
    <mergeCell ref="C133:E133"/>
    <mergeCell ref="F133:I133"/>
    <mergeCell ref="J133:M133"/>
    <mergeCell ref="N133:Q133"/>
    <mergeCell ref="R133:U133"/>
    <mergeCell ref="V133:Y133"/>
    <mergeCell ref="AA133:AC133"/>
    <mergeCell ref="BN133:BQ133"/>
    <mergeCell ref="BR133:BU133"/>
    <mergeCell ref="BW133:BY133"/>
    <mergeCell ref="BZ133:CC133"/>
    <mergeCell ref="CD133:CG133"/>
    <mergeCell ref="CH133:CK133"/>
    <mergeCell ref="CL133:CO133"/>
    <mergeCell ref="CP133:CS133"/>
    <mergeCell ref="BF132:BI132"/>
    <mergeCell ref="BJ132:BM132"/>
    <mergeCell ref="BN132:BQ132"/>
    <mergeCell ref="BR132:BU132"/>
    <mergeCell ref="BW132:BY132"/>
    <mergeCell ref="BZ132:CC132"/>
    <mergeCell ref="CD132:CG132"/>
    <mergeCell ref="BF133:BI133"/>
    <mergeCell ref="BJ133:BM133"/>
    <mergeCell ref="AD133:AG133"/>
    <mergeCell ref="AH133:AK133"/>
    <mergeCell ref="AL133:AO133"/>
    <mergeCell ref="AP133:AS133"/>
    <mergeCell ref="AT133:AW133"/>
    <mergeCell ref="AY133:BA133"/>
    <mergeCell ref="BB133:BE133"/>
    <mergeCell ref="AD134:AG134"/>
    <mergeCell ref="AH134:AK134"/>
    <mergeCell ref="AL134:AO134"/>
    <mergeCell ref="AP134:AS134"/>
    <mergeCell ref="AT134:AW134"/>
    <mergeCell ref="AY134:BA134"/>
    <mergeCell ref="BB134:BE134"/>
    <mergeCell ref="CH134:CK134"/>
    <mergeCell ref="CL134:CO134"/>
    <mergeCell ref="CP134:CS134"/>
    <mergeCell ref="C134:E134"/>
    <mergeCell ref="F134:I134"/>
    <mergeCell ref="J134:M134"/>
    <mergeCell ref="N134:Q134"/>
    <mergeCell ref="R134:U134"/>
    <mergeCell ref="V134:Y134"/>
    <mergeCell ref="AA134:AC134"/>
    <mergeCell ref="C135:E135"/>
    <mergeCell ref="F135:I135"/>
    <mergeCell ref="J135:M135"/>
    <mergeCell ref="N135:Q135"/>
    <mergeCell ref="R135:U135"/>
    <mergeCell ref="V135:Y135"/>
    <mergeCell ref="AA135:AC135"/>
    <mergeCell ref="BN135:BQ135"/>
    <mergeCell ref="BR135:BU135"/>
    <mergeCell ref="BW135:BY135"/>
    <mergeCell ref="BZ135:CC135"/>
    <mergeCell ref="CD135:CG135"/>
    <mergeCell ref="CH135:CK135"/>
    <mergeCell ref="CL135:CO135"/>
    <mergeCell ref="CP135:CS135"/>
    <mergeCell ref="BF134:BI134"/>
    <mergeCell ref="BJ134:BM134"/>
    <mergeCell ref="BN134:BQ134"/>
    <mergeCell ref="BR134:BU134"/>
    <mergeCell ref="BW134:BY134"/>
    <mergeCell ref="BZ134:CC134"/>
    <mergeCell ref="CD134:CG134"/>
    <mergeCell ref="CE54:CI54"/>
    <mergeCell ref="CJ54:CS54"/>
    <mergeCell ref="AN54:AW54"/>
    <mergeCell ref="AY54:BA54"/>
    <mergeCell ref="BB54:BF54"/>
    <mergeCell ref="BG54:BK54"/>
    <mergeCell ref="BL54:BU54"/>
    <mergeCell ref="BW54:BY54"/>
    <mergeCell ref="BZ54:CD54"/>
    <mergeCell ref="CE52:CI52"/>
    <mergeCell ref="CJ52:CS52"/>
    <mergeCell ref="AN52:AW52"/>
    <mergeCell ref="AY52:BA52"/>
    <mergeCell ref="BB52:BF52"/>
    <mergeCell ref="BG52:BK52"/>
    <mergeCell ref="BL52:BU52"/>
    <mergeCell ref="BW52:BY52"/>
    <mergeCell ref="BZ52:CD52"/>
    <mergeCell ref="C52:E52"/>
    <mergeCell ref="F52:J52"/>
    <mergeCell ref="K52:O52"/>
    <mergeCell ref="P52:Y52"/>
    <mergeCell ref="AA52:AC52"/>
    <mergeCell ref="AD52:AH52"/>
    <mergeCell ref="AI52:AM52"/>
    <mergeCell ref="BT53:BU53"/>
    <mergeCell ref="BW53:CA53"/>
    <mergeCell ref="CB53:CF53"/>
    <mergeCell ref="CG53:CK53"/>
    <mergeCell ref="CL53:CQ53"/>
    <mergeCell ref="CR53:CS53"/>
    <mergeCell ref="AK53:AO53"/>
    <mergeCell ref="AP53:AU53"/>
    <mergeCell ref="AV53:AW53"/>
    <mergeCell ref="AY53:BC53"/>
    <mergeCell ref="BD53:BH53"/>
    <mergeCell ref="BI53:BM53"/>
    <mergeCell ref="BN53:BS53"/>
    <mergeCell ref="C53:G53"/>
    <mergeCell ref="H53:L53"/>
    <mergeCell ref="M53:Q53"/>
    <mergeCell ref="R53:W53"/>
    <mergeCell ref="X53:Y53"/>
    <mergeCell ref="AA53:AE53"/>
    <mergeCell ref="AF53:AJ53"/>
    <mergeCell ref="C54:E54"/>
    <mergeCell ref="F54:J54"/>
    <mergeCell ref="K54:O54"/>
    <mergeCell ref="P54:Y54"/>
    <mergeCell ref="AA54:AC54"/>
    <mergeCell ref="AD54:AH54"/>
    <mergeCell ref="AI54:AM54"/>
    <mergeCell ref="CE57:CI57"/>
    <mergeCell ref="CJ57:CS57"/>
    <mergeCell ref="AN57:AW57"/>
    <mergeCell ref="AY57:BA57"/>
    <mergeCell ref="BB57:BF57"/>
    <mergeCell ref="BG57:BK57"/>
    <mergeCell ref="BL57:BU57"/>
    <mergeCell ref="BW57:BY57"/>
    <mergeCell ref="BZ57:CD57"/>
    <mergeCell ref="CE55:CI55"/>
    <mergeCell ref="CJ55:CS55"/>
    <mergeCell ref="AN55:AW55"/>
    <mergeCell ref="AY55:BA55"/>
    <mergeCell ref="BB55:BF55"/>
    <mergeCell ref="BG55:BK55"/>
    <mergeCell ref="BL55:BU55"/>
    <mergeCell ref="BW55:BY55"/>
    <mergeCell ref="BZ55:CD55"/>
    <mergeCell ref="C55:E55"/>
    <mergeCell ref="F55:J55"/>
    <mergeCell ref="K55:O55"/>
    <mergeCell ref="P55:Y55"/>
    <mergeCell ref="AA55:AC55"/>
    <mergeCell ref="AD55:AH55"/>
    <mergeCell ref="AI55:AM55"/>
    <mergeCell ref="CE56:CI56"/>
    <mergeCell ref="CJ56:CS56"/>
    <mergeCell ref="AN56:AW56"/>
    <mergeCell ref="AY56:BA56"/>
    <mergeCell ref="BB56:BF56"/>
    <mergeCell ref="BG56:BK56"/>
    <mergeCell ref="BL56:BU56"/>
    <mergeCell ref="BW56:BY56"/>
    <mergeCell ref="BZ56:CD56"/>
    <mergeCell ref="C56:E56"/>
    <mergeCell ref="F56:J56"/>
    <mergeCell ref="K56:O56"/>
    <mergeCell ref="P56:Y56"/>
    <mergeCell ref="AA56:AC56"/>
    <mergeCell ref="AD56:AH56"/>
    <mergeCell ref="AI56:AM56"/>
    <mergeCell ref="C57:E57"/>
    <mergeCell ref="F57:J57"/>
    <mergeCell ref="K57:O57"/>
    <mergeCell ref="P57:Y57"/>
    <mergeCell ref="AA57:AC57"/>
    <mergeCell ref="AD57:AH57"/>
    <mergeCell ref="AI57:AM57"/>
    <mergeCell ref="BB60:BF60"/>
    <mergeCell ref="BG60:BK60"/>
    <mergeCell ref="BL60:BU60"/>
    <mergeCell ref="BZ60:CD60"/>
    <mergeCell ref="CE60:CI60"/>
    <mergeCell ref="CJ60:CS60"/>
    <mergeCell ref="C60:E60"/>
    <mergeCell ref="F60:J60"/>
    <mergeCell ref="K60:O60"/>
    <mergeCell ref="P60:Y60"/>
    <mergeCell ref="AD60:AH60"/>
    <mergeCell ref="AI60:AM60"/>
    <mergeCell ref="AN60:AW60"/>
    <mergeCell ref="CE61:CI61"/>
    <mergeCell ref="CJ61:CS61"/>
    <mergeCell ref="AN61:AW61"/>
    <mergeCell ref="AY61:BA61"/>
    <mergeCell ref="BB61:BF61"/>
    <mergeCell ref="BG61:BK61"/>
    <mergeCell ref="BL61:BU61"/>
    <mergeCell ref="BW61:BY61"/>
    <mergeCell ref="BZ61:CD61"/>
    <mergeCell ref="CE58:CI58"/>
    <mergeCell ref="CJ58:CS58"/>
    <mergeCell ref="AN58:AW58"/>
    <mergeCell ref="AY58:BA58"/>
    <mergeCell ref="BB58:BF58"/>
    <mergeCell ref="BG58:BK58"/>
    <mergeCell ref="BL58:BU58"/>
    <mergeCell ref="BW58:BY58"/>
    <mergeCell ref="BZ58:CD58"/>
    <mergeCell ref="C58:E58"/>
    <mergeCell ref="F58:J58"/>
    <mergeCell ref="K58:O58"/>
    <mergeCell ref="P58:Y58"/>
    <mergeCell ref="AA58:AC58"/>
    <mergeCell ref="AD58:AH58"/>
    <mergeCell ref="AI58:AM58"/>
    <mergeCell ref="CE59:CI59"/>
    <mergeCell ref="CJ59:CS59"/>
    <mergeCell ref="AN59:AW59"/>
    <mergeCell ref="AY59:BA59"/>
    <mergeCell ref="BB59:BF59"/>
    <mergeCell ref="BG59:BK59"/>
    <mergeCell ref="BL59:BU59"/>
    <mergeCell ref="BW59:BY59"/>
    <mergeCell ref="BZ59:CD59"/>
    <mergeCell ref="C59:E59"/>
    <mergeCell ref="F59:J59"/>
    <mergeCell ref="K59:O59"/>
    <mergeCell ref="P59:Y59"/>
    <mergeCell ref="AA59:AC59"/>
    <mergeCell ref="AD59:AH59"/>
    <mergeCell ref="AI59:AM59"/>
    <mergeCell ref="C61:E61"/>
    <mergeCell ref="F61:J61"/>
    <mergeCell ref="K61:O61"/>
    <mergeCell ref="P61:Y61"/>
    <mergeCell ref="AA61:AC61"/>
    <mergeCell ref="AD61:AH61"/>
    <mergeCell ref="AI61:AM61"/>
    <mergeCell ref="CE64:CI64"/>
    <mergeCell ref="CJ64:CS64"/>
    <mergeCell ref="AN64:AW64"/>
    <mergeCell ref="AY64:BA64"/>
    <mergeCell ref="BB64:BF64"/>
    <mergeCell ref="BG64:BK64"/>
    <mergeCell ref="BL64:BU64"/>
    <mergeCell ref="BW64:BY64"/>
    <mergeCell ref="BZ64:CD64"/>
    <mergeCell ref="CE62:CI62"/>
    <mergeCell ref="CJ62:CS62"/>
    <mergeCell ref="AN62:AW62"/>
    <mergeCell ref="AY62:BA62"/>
    <mergeCell ref="BB62:BF62"/>
    <mergeCell ref="BG62:BK62"/>
    <mergeCell ref="BL62:BU62"/>
    <mergeCell ref="BW62:BY62"/>
    <mergeCell ref="BZ62:CD62"/>
    <mergeCell ref="C62:E62"/>
    <mergeCell ref="F62:J62"/>
    <mergeCell ref="K62:O62"/>
    <mergeCell ref="P62:Y62"/>
    <mergeCell ref="AA62:AC62"/>
    <mergeCell ref="AD62:AH62"/>
    <mergeCell ref="AI62:AM62"/>
    <mergeCell ref="BT63:BU63"/>
    <mergeCell ref="BW63:CA63"/>
    <mergeCell ref="CB63:CF63"/>
    <mergeCell ref="CG63:CK63"/>
    <mergeCell ref="CL63:CQ63"/>
    <mergeCell ref="CR63:CS63"/>
    <mergeCell ref="AK63:AO63"/>
    <mergeCell ref="AP63:AU63"/>
    <mergeCell ref="AV63:AW63"/>
    <mergeCell ref="AY63:BC63"/>
    <mergeCell ref="BD63:BH63"/>
    <mergeCell ref="BI63:BM63"/>
    <mergeCell ref="BN63:BS63"/>
    <mergeCell ref="C63:G63"/>
    <mergeCell ref="H63:L63"/>
    <mergeCell ref="M63:Q63"/>
    <mergeCell ref="R63:W63"/>
    <mergeCell ref="X63:Y63"/>
    <mergeCell ref="AA63:AE63"/>
    <mergeCell ref="AF63:AJ63"/>
    <mergeCell ref="C64:E64"/>
    <mergeCell ref="F64:J64"/>
    <mergeCell ref="K64:O64"/>
    <mergeCell ref="P64:Y64"/>
    <mergeCell ref="AA64:AC64"/>
    <mergeCell ref="AD64:AH64"/>
    <mergeCell ref="AI64:AM64"/>
    <mergeCell ref="CE67:CI67"/>
    <mergeCell ref="CJ67:CS67"/>
    <mergeCell ref="AN67:AW67"/>
    <mergeCell ref="AY67:BA67"/>
    <mergeCell ref="BB67:BF67"/>
    <mergeCell ref="BG67:BK67"/>
    <mergeCell ref="BL67:BU67"/>
    <mergeCell ref="BW67:BY67"/>
    <mergeCell ref="BZ67:CD67"/>
    <mergeCell ref="CE65:CI65"/>
    <mergeCell ref="CJ65:CS65"/>
    <mergeCell ref="AN65:AW65"/>
    <mergeCell ref="AY65:BA65"/>
    <mergeCell ref="BB65:BF65"/>
    <mergeCell ref="BG65:BK65"/>
    <mergeCell ref="BL65:BU65"/>
    <mergeCell ref="BW65:BY65"/>
    <mergeCell ref="BZ65:CD65"/>
    <mergeCell ref="C65:E65"/>
    <mergeCell ref="F65:J65"/>
    <mergeCell ref="K65:O65"/>
    <mergeCell ref="P65:Y65"/>
    <mergeCell ref="AA65:AC65"/>
    <mergeCell ref="AD65:AH65"/>
    <mergeCell ref="AI65:AM65"/>
    <mergeCell ref="CE66:CI66"/>
    <mergeCell ref="CJ66:CS66"/>
    <mergeCell ref="AN66:AW66"/>
    <mergeCell ref="AY66:BA66"/>
    <mergeCell ref="BB66:BF66"/>
    <mergeCell ref="BG66:BK66"/>
    <mergeCell ref="BL66:BU66"/>
    <mergeCell ref="BW66:BY66"/>
    <mergeCell ref="BZ66:CD66"/>
    <mergeCell ref="C66:E66"/>
    <mergeCell ref="F66:J66"/>
    <mergeCell ref="K66:O66"/>
    <mergeCell ref="P66:Y66"/>
    <mergeCell ref="AA66:AC66"/>
    <mergeCell ref="AD66:AH66"/>
    <mergeCell ref="AI66:AM66"/>
    <mergeCell ref="C67:E67"/>
    <mergeCell ref="F67:J67"/>
    <mergeCell ref="K67:O67"/>
    <mergeCell ref="P67:Y67"/>
    <mergeCell ref="AA67:AC67"/>
    <mergeCell ref="AD67:AH67"/>
    <mergeCell ref="AI67:AM67"/>
    <mergeCell ref="BB70:BF70"/>
    <mergeCell ref="BG70:BK70"/>
    <mergeCell ref="BL70:BU70"/>
    <mergeCell ref="BZ70:CD70"/>
    <mergeCell ref="CE70:CI70"/>
    <mergeCell ref="CJ70:CS70"/>
    <mergeCell ref="C70:E70"/>
    <mergeCell ref="F70:J70"/>
    <mergeCell ref="K70:O70"/>
    <mergeCell ref="P70:Y70"/>
    <mergeCell ref="AD70:AH70"/>
    <mergeCell ref="AI70:AM70"/>
    <mergeCell ref="AN70:AW70"/>
    <mergeCell ref="CE71:CI71"/>
    <mergeCell ref="CJ71:CS71"/>
    <mergeCell ref="AN71:AW71"/>
    <mergeCell ref="AY71:BA71"/>
    <mergeCell ref="BB71:BF71"/>
    <mergeCell ref="BG71:BK71"/>
    <mergeCell ref="BL71:BU71"/>
    <mergeCell ref="BW71:BY71"/>
    <mergeCell ref="BZ71:CD71"/>
    <mergeCell ref="CE68:CI68"/>
    <mergeCell ref="CJ68:CS68"/>
    <mergeCell ref="AN68:AW68"/>
    <mergeCell ref="AY68:BA68"/>
    <mergeCell ref="BB68:BF68"/>
    <mergeCell ref="BG68:BK68"/>
    <mergeCell ref="BL68:BU68"/>
    <mergeCell ref="BW68:BY68"/>
    <mergeCell ref="BZ68:CD68"/>
    <mergeCell ref="C68:E68"/>
    <mergeCell ref="F68:J68"/>
    <mergeCell ref="K68:O68"/>
    <mergeCell ref="P68:Y68"/>
    <mergeCell ref="AA68:AC68"/>
    <mergeCell ref="AD68:AH68"/>
    <mergeCell ref="AI68:AM68"/>
    <mergeCell ref="CE69:CI69"/>
    <mergeCell ref="CJ69:CS69"/>
    <mergeCell ref="AN69:AW69"/>
    <mergeCell ref="AY69:BA69"/>
    <mergeCell ref="BB69:BF69"/>
    <mergeCell ref="BG69:BK69"/>
    <mergeCell ref="BL69:BU69"/>
    <mergeCell ref="BW69:BY69"/>
    <mergeCell ref="BZ69:CD69"/>
    <mergeCell ref="C69:E69"/>
    <mergeCell ref="F69:J69"/>
    <mergeCell ref="K69:O69"/>
    <mergeCell ref="P69:Y69"/>
    <mergeCell ref="AA69:AC69"/>
    <mergeCell ref="AD69:AH69"/>
    <mergeCell ref="AI69:AM69"/>
    <mergeCell ref="C71:E71"/>
    <mergeCell ref="F71:J71"/>
    <mergeCell ref="K71:O71"/>
    <mergeCell ref="P71:Y71"/>
    <mergeCell ref="AA71:AC71"/>
    <mergeCell ref="AD71:AH71"/>
    <mergeCell ref="AI71:AM71"/>
    <mergeCell ref="CE74:CI74"/>
    <mergeCell ref="CJ74:CS74"/>
    <mergeCell ref="AN74:AW74"/>
    <mergeCell ref="AY74:BA74"/>
    <mergeCell ref="BB74:BF74"/>
    <mergeCell ref="BG74:BK74"/>
    <mergeCell ref="BL74:BU74"/>
    <mergeCell ref="BW74:BY74"/>
    <mergeCell ref="BZ74:CD74"/>
    <mergeCell ref="CE72:CI72"/>
    <mergeCell ref="CJ72:CS72"/>
    <mergeCell ref="AN72:AW72"/>
    <mergeCell ref="AY72:BA72"/>
    <mergeCell ref="BB72:BF72"/>
    <mergeCell ref="BG72:BK72"/>
    <mergeCell ref="BL72:BU72"/>
    <mergeCell ref="BW72:BY72"/>
    <mergeCell ref="BZ72:CD72"/>
    <mergeCell ref="C72:E72"/>
    <mergeCell ref="F72:J72"/>
    <mergeCell ref="K72:O72"/>
    <mergeCell ref="P72:Y72"/>
    <mergeCell ref="AA72:AC72"/>
    <mergeCell ref="AD72:AH72"/>
    <mergeCell ref="AI72:AM72"/>
    <mergeCell ref="BT73:BU73"/>
    <mergeCell ref="BW73:CA73"/>
    <mergeCell ref="CB73:CF73"/>
    <mergeCell ref="CG73:CK73"/>
    <mergeCell ref="CL73:CQ73"/>
    <mergeCell ref="CR73:CS73"/>
    <mergeCell ref="AK73:AO73"/>
    <mergeCell ref="AP73:AU73"/>
    <mergeCell ref="AV73:AW73"/>
    <mergeCell ref="AY73:BC73"/>
    <mergeCell ref="BD73:BH73"/>
    <mergeCell ref="BI73:BM73"/>
    <mergeCell ref="BN73:BS73"/>
    <mergeCell ref="C73:G73"/>
    <mergeCell ref="H73:L73"/>
    <mergeCell ref="M73:Q73"/>
    <mergeCell ref="R73:W73"/>
    <mergeCell ref="X73:Y73"/>
    <mergeCell ref="AA73:AE73"/>
    <mergeCell ref="AF73:AJ73"/>
    <mergeCell ref="C74:E74"/>
    <mergeCell ref="F74:J74"/>
    <mergeCell ref="K74:O74"/>
    <mergeCell ref="P74:Y74"/>
    <mergeCell ref="AA74:AC74"/>
    <mergeCell ref="AD74:AH74"/>
    <mergeCell ref="AI74:AM74"/>
    <mergeCell ref="CE77:CI77"/>
    <mergeCell ref="CJ77:CS77"/>
    <mergeCell ref="AN77:AW77"/>
    <mergeCell ref="AY77:BA77"/>
    <mergeCell ref="BB77:BF77"/>
    <mergeCell ref="BG77:BK77"/>
    <mergeCell ref="BL77:BU77"/>
    <mergeCell ref="BW77:BY77"/>
    <mergeCell ref="BZ77:CD77"/>
    <mergeCell ref="CE75:CI75"/>
    <mergeCell ref="CJ75:CS75"/>
    <mergeCell ref="AN75:AW75"/>
    <mergeCell ref="AY75:BA75"/>
    <mergeCell ref="BB75:BF75"/>
    <mergeCell ref="BG75:BK75"/>
    <mergeCell ref="BL75:BU75"/>
    <mergeCell ref="BW75:BY75"/>
    <mergeCell ref="BZ75:CD75"/>
    <mergeCell ref="C75:E75"/>
    <mergeCell ref="F75:J75"/>
    <mergeCell ref="K75:O75"/>
    <mergeCell ref="P75:Y75"/>
    <mergeCell ref="AA75:AC75"/>
    <mergeCell ref="AD75:AH75"/>
    <mergeCell ref="AI75:AM75"/>
    <mergeCell ref="CE76:CI76"/>
    <mergeCell ref="CJ76:CS76"/>
    <mergeCell ref="AN76:AW76"/>
    <mergeCell ref="AY76:BA76"/>
    <mergeCell ref="BB76:BF76"/>
    <mergeCell ref="BG76:BK76"/>
    <mergeCell ref="BL76:BU76"/>
    <mergeCell ref="BW76:BY76"/>
    <mergeCell ref="BZ76:CD76"/>
    <mergeCell ref="C76:E76"/>
    <mergeCell ref="F76:J76"/>
    <mergeCell ref="K76:O76"/>
    <mergeCell ref="P76:Y76"/>
    <mergeCell ref="AA76:AC76"/>
    <mergeCell ref="AD76:AH76"/>
    <mergeCell ref="AI76:AM76"/>
    <mergeCell ref="C77:E77"/>
    <mergeCell ref="F77:J77"/>
    <mergeCell ref="K77:O77"/>
    <mergeCell ref="P77:Y77"/>
    <mergeCell ref="AA77:AC77"/>
    <mergeCell ref="AD77:AH77"/>
    <mergeCell ref="AI77:AM77"/>
    <mergeCell ref="BB80:BF80"/>
    <mergeCell ref="BG80:BK80"/>
    <mergeCell ref="BL80:BU80"/>
    <mergeCell ref="BZ80:CD80"/>
    <mergeCell ref="CE80:CI80"/>
    <mergeCell ref="CJ80:CS80"/>
    <mergeCell ref="C80:E80"/>
    <mergeCell ref="F80:J80"/>
    <mergeCell ref="K80:O80"/>
    <mergeCell ref="P80:Y80"/>
    <mergeCell ref="AD80:AH80"/>
    <mergeCell ref="AI80:AM80"/>
    <mergeCell ref="AN80:AW80"/>
    <mergeCell ref="CE81:CI81"/>
    <mergeCell ref="CJ81:CS81"/>
    <mergeCell ref="AN81:AW81"/>
    <mergeCell ref="AY81:BA81"/>
    <mergeCell ref="BB81:BF81"/>
    <mergeCell ref="BG81:BK81"/>
    <mergeCell ref="BL81:BU81"/>
    <mergeCell ref="BW81:BY81"/>
    <mergeCell ref="BZ81:CD81"/>
    <mergeCell ref="CE78:CI78"/>
    <mergeCell ref="CJ78:CS78"/>
    <mergeCell ref="AN78:AW78"/>
    <mergeCell ref="AY78:BA78"/>
    <mergeCell ref="BB78:BF78"/>
    <mergeCell ref="BG78:BK78"/>
    <mergeCell ref="BL78:BU78"/>
    <mergeCell ref="BW78:BY78"/>
    <mergeCell ref="BZ78:CD78"/>
    <mergeCell ref="C78:E78"/>
    <mergeCell ref="F78:J78"/>
    <mergeCell ref="K78:O78"/>
    <mergeCell ref="P78:Y78"/>
    <mergeCell ref="AA78:AC78"/>
    <mergeCell ref="AD78:AH78"/>
    <mergeCell ref="AI78:AM78"/>
    <mergeCell ref="CE79:CI79"/>
    <mergeCell ref="CJ79:CS79"/>
    <mergeCell ref="AN79:AW79"/>
    <mergeCell ref="AY79:BA79"/>
    <mergeCell ref="BB79:BF79"/>
    <mergeCell ref="BG79:BK79"/>
    <mergeCell ref="BL79:BU79"/>
    <mergeCell ref="BW79:BY79"/>
    <mergeCell ref="BZ79:CD79"/>
    <mergeCell ref="C79:E79"/>
    <mergeCell ref="F79:J79"/>
    <mergeCell ref="K79:O79"/>
    <mergeCell ref="P79:Y79"/>
    <mergeCell ref="AA79:AC79"/>
    <mergeCell ref="AD79:AH79"/>
    <mergeCell ref="AI79:AM79"/>
    <mergeCell ref="C81:E81"/>
    <mergeCell ref="F81:J81"/>
    <mergeCell ref="K81:O81"/>
    <mergeCell ref="P81:Y81"/>
    <mergeCell ref="AA81:AC81"/>
    <mergeCell ref="AD81:AH81"/>
    <mergeCell ref="AI81:AM81"/>
    <mergeCell ref="CE84:CI84"/>
    <mergeCell ref="CJ84:CS84"/>
    <mergeCell ref="AN84:AW84"/>
    <mergeCell ref="AY84:BA84"/>
    <mergeCell ref="BB84:BF84"/>
    <mergeCell ref="BG84:BK84"/>
    <mergeCell ref="BL84:BU84"/>
    <mergeCell ref="BW84:BY84"/>
    <mergeCell ref="BZ84:CD84"/>
    <mergeCell ref="CE82:CI82"/>
    <mergeCell ref="CJ82:CS82"/>
    <mergeCell ref="AN82:AW82"/>
    <mergeCell ref="AY82:BA82"/>
    <mergeCell ref="BB82:BF82"/>
    <mergeCell ref="BG82:BK82"/>
    <mergeCell ref="BL82:BU82"/>
    <mergeCell ref="BW82:BY82"/>
    <mergeCell ref="BZ82:CD82"/>
    <mergeCell ref="C82:E82"/>
    <mergeCell ref="F82:J82"/>
    <mergeCell ref="K82:O82"/>
    <mergeCell ref="P82:Y82"/>
    <mergeCell ref="AA82:AC82"/>
    <mergeCell ref="AD82:AH82"/>
    <mergeCell ref="AI82:AM82"/>
    <mergeCell ref="BT83:BU83"/>
    <mergeCell ref="BW83:CA83"/>
    <mergeCell ref="CB83:CF83"/>
    <mergeCell ref="CG83:CK83"/>
    <mergeCell ref="CL83:CQ83"/>
    <mergeCell ref="CR83:CS83"/>
    <mergeCell ref="AK83:AO83"/>
    <mergeCell ref="AP83:AU83"/>
    <mergeCell ref="AV83:AW83"/>
    <mergeCell ref="AY83:BC83"/>
    <mergeCell ref="BD83:BH83"/>
    <mergeCell ref="BI83:BM83"/>
    <mergeCell ref="BN83:BS83"/>
    <mergeCell ref="C83:G83"/>
    <mergeCell ref="H83:L83"/>
    <mergeCell ref="M83:Q83"/>
    <mergeCell ref="R83:W83"/>
    <mergeCell ref="X83:Y83"/>
    <mergeCell ref="AA83:AE83"/>
    <mergeCell ref="AF83:AJ83"/>
    <mergeCell ref="C84:E84"/>
    <mergeCell ref="F84:J84"/>
    <mergeCell ref="K84:O84"/>
    <mergeCell ref="P84:Y84"/>
    <mergeCell ref="AA84:AC84"/>
    <mergeCell ref="AD84:AH84"/>
    <mergeCell ref="AI84:AM84"/>
    <mergeCell ref="CE87:CI87"/>
    <mergeCell ref="CJ87:CS87"/>
    <mergeCell ref="AN87:AW87"/>
    <mergeCell ref="AY87:BA87"/>
    <mergeCell ref="BB87:BF87"/>
    <mergeCell ref="BG87:BK87"/>
    <mergeCell ref="BL87:BU87"/>
    <mergeCell ref="BW87:BY87"/>
    <mergeCell ref="BZ87:CD87"/>
    <mergeCell ref="CE85:CI85"/>
    <mergeCell ref="CJ85:CS85"/>
    <mergeCell ref="AN85:AW85"/>
    <mergeCell ref="AY85:BA85"/>
    <mergeCell ref="BB85:BF85"/>
    <mergeCell ref="BG85:BK85"/>
    <mergeCell ref="BL85:BU85"/>
    <mergeCell ref="BW85:BY85"/>
    <mergeCell ref="BZ85:CD85"/>
    <mergeCell ref="C85:E85"/>
    <mergeCell ref="F85:J85"/>
    <mergeCell ref="K85:O85"/>
    <mergeCell ref="P85:Y85"/>
    <mergeCell ref="AA85:AC85"/>
    <mergeCell ref="AD85:AH85"/>
    <mergeCell ref="AI85:AM85"/>
    <mergeCell ref="CE86:CI86"/>
    <mergeCell ref="CJ86:CS86"/>
    <mergeCell ref="AN86:AW86"/>
    <mergeCell ref="AY86:BA86"/>
    <mergeCell ref="BB86:BF86"/>
    <mergeCell ref="BG86:BK86"/>
    <mergeCell ref="BL86:BU86"/>
    <mergeCell ref="BW86:BY86"/>
    <mergeCell ref="BZ86:CD86"/>
    <mergeCell ref="C86:E86"/>
    <mergeCell ref="F86:J86"/>
    <mergeCell ref="K86:O86"/>
    <mergeCell ref="P86:Y86"/>
    <mergeCell ref="AA86:AC86"/>
    <mergeCell ref="AD86:AH86"/>
    <mergeCell ref="AI86:AM86"/>
    <mergeCell ref="C87:E87"/>
    <mergeCell ref="F87:J87"/>
    <mergeCell ref="K87:O87"/>
    <mergeCell ref="P87:Y87"/>
    <mergeCell ref="AA87:AC87"/>
    <mergeCell ref="AD87:AH87"/>
    <mergeCell ref="AI87:AM87"/>
    <mergeCell ref="BB90:BF90"/>
    <mergeCell ref="BG90:BK90"/>
    <mergeCell ref="BL90:BU90"/>
    <mergeCell ref="BZ90:CD90"/>
    <mergeCell ref="CE90:CI90"/>
    <mergeCell ref="CJ90:CS90"/>
    <mergeCell ref="C90:E90"/>
    <mergeCell ref="F90:J90"/>
    <mergeCell ref="K90:O90"/>
    <mergeCell ref="P90:Y90"/>
    <mergeCell ref="AD90:AH90"/>
    <mergeCell ref="AI90:AM90"/>
    <mergeCell ref="AN90:AW90"/>
    <mergeCell ref="CE91:CI91"/>
    <mergeCell ref="CJ91:CS91"/>
    <mergeCell ref="AN91:AW91"/>
    <mergeCell ref="AY91:BA91"/>
    <mergeCell ref="BB91:BF91"/>
    <mergeCell ref="BG91:BK91"/>
    <mergeCell ref="BL91:BU91"/>
    <mergeCell ref="BW91:BY91"/>
    <mergeCell ref="BZ91:CD91"/>
    <mergeCell ref="CE88:CI88"/>
    <mergeCell ref="CJ88:CS88"/>
    <mergeCell ref="AN88:AW88"/>
    <mergeCell ref="AY88:BA88"/>
    <mergeCell ref="BB88:BF88"/>
    <mergeCell ref="BG88:BK88"/>
    <mergeCell ref="BL88:BU88"/>
    <mergeCell ref="BW88:BY88"/>
    <mergeCell ref="BZ88:CD88"/>
    <mergeCell ref="C88:E88"/>
    <mergeCell ref="F88:J88"/>
    <mergeCell ref="K88:O88"/>
    <mergeCell ref="P88:Y88"/>
    <mergeCell ref="AA88:AC88"/>
    <mergeCell ref="AD88:AH88"/>
    <mergeCell ref="AI88:AM88"/>
    <mergeCell ref="CE89:CI89"/>
    <mergeCell ref="CJ89:CS89"/>
    <mergeCell ref="AN89:AW89"/>
    <mergeCell ref="AY89:BA89"/>
    <mergeCell ref="BB89:BF89"/>
    <mergeCell ref="BG89:BK89"/>
    <mergeCell ref="BL89:BU89"/>
    <mergeCell ref="BW89:BY89"/>
    <mergeCell ref="BZ89:CD89"/>
    <mergeCell ref="C89:E89"/>
    <mergeCell ref="F89:J89"/>
    <mergeCell ref="K89:O89"/>
    <mergeCell ref="P89:Y89"/>
    <mergeCell ref="AA89:AC89"/>
    <mergeCell ref="AD89:AH89"/>
    <mergeCell ref="AI89:AM89"/>
    <mergeCell ref="C91:E91"/>
    <mergeCell ref="F91:J91"/>
    <mergeCell ref="K91:O91"/>
    <mergeCell ref="P91:Y91"/>
    <mergeCell ref="AA91:AC91"/>
    <mergeCell ref="AD91:AH91"/>
    <mergeCell ref="AI91:AM91"/>
    <mergeCell ref="CE94:CI94"/>
    <mergeCell ref="CJ94:CS94"/>
    <mergeCell ref="AN94:AW94"/>
    <mergeCell ref="AY94:BA94"/>
    <mergeCell ref="BB94:BF94"/>
    <mergeCell ref="BG94:BK94"/>
    <mergeCell ref="BL94:BU94"/>
    <mergeCell ref="BW94:BY94"/>
    <mergeCell ref="BZ94:CD94"/>
    <mergeCell ref="CE92:CI92"/>
    <mergeCell ref="CJ92:CS92"/>
    <mergeCell ref="AN92:AW92"/>
    <mergeCell ref="AY92:BA92"/>
    <mergeCell ref="BB92:BF92"/>
    <mergeCell ref="BG92:BK92"/>
    <mergeCell ref="BL92:BU92"/>
    <mergeCell ref="BW92:BY92"/>
    <mergeCell ref="BZ92:CD92"/>
    <mergeCell ref="C92:E92"/>
    <mergeCell ref="F92:J92"/>
    <mergeCell ref="K92:O92"/>
    <mergeCell ref="P92:Y92"/>
    <mergeCell ref="AA92:AC92"/>
    <mergeCell ref="AD92:AH92"/>
    <mergeCell ref="AI92:AM92"/>
    <mergeCell ref="BT93:BU93"/>
    <mergeCell ref="BW93:CA93"/>
    <mergeCell ref="CB93:CF93"/>
    <mergeCell ref="CG93:CK93"/>
    <mergeCell ref="CL93:CQ93"/>
    <mergeCell ref="CR93:CS93"/>
    <mergeCell ref="AK93:AO93"/>
    <mergeCell ref="AP93:AU93"/>
    <mergeCell ref="AV93:AW93"/>
    <mergeCell ref="AY93:BC93"/>
    <mergeCell ref="BD93:BH93"/>
    <mergeCell ref="BI93:BM93"/>
    <mergeCell ref="BN93:BS93"/>
    <mergeCell ref="C93:G93"/>
    <mergeCell ref="H93:L93"/>
    <mergeCell ref="M93:Q93"/>
    <mergeCell ref="R93:W93"/>
    <mergeCell ref="X93:Y93"/>
    <mergeCell ref="AA93:AE93"/>
    <mergeCell ref="AF93:AJ93"/>
    <mergeCell ref="C94:E94"/>
    <mergeCell ref="F94:J94"/>
    <mergeCell ref="K94:O94"/>
    <mergeCell ref="P94:Y94"/>
    <mergeCell ref="AA94:AC94"/>
    <mergeCell ref="AD94:AH94"/>
    <mergeCell ref="AI94:AM94"/>
    <mergeCell ref="CE97:CI97"/>
    <mergeCell ref="CJ97:CS97"/>
    <mergeCell ref="AN97:AW97"/>
    <mergeCell ref="AY97:BA97"/>
    <mergeCell ref="BB97:BF97"/>
    <mergeCell ref="BG97:BK97"/>
    <mergeCell ref="BL97:BU97"/>
    <mergeCell ref="BW97:BY97"/>
    <mergeCell ref="BZ97:CD97"/>
    <mergeCell ref="CE95:CI95"/>
    <mergeCell ref="CJ95:CS95"/>
    <mergeCell ref="AN95:AW95"/>
    <mergeCell ref="AY95:BA95"/>
    <mergeCell ref="BB95:BF95"/>
    <mergeCell ref="BG95:BK95"/>
    <mergeCell ref="BL95:BU95"/>
    <mergeCell ref="BW95:BY95"/>
    <mergeCell ref="BZ95:CD95"/>
    <mergeCell ref="C95:E95"/>
    <mergeCell ref="F95:J95"/>
    <mergeCell ref="K95:O95"/>
    <mergeCell ref="P95:Y95"/>
    <mergeCell ref="AA95:AC95"/>
    <mergeCell ref="AD95:AH95"/>
    <mergeCell ref="AI95:AM95"/>
    <mergeCell ref="CE96:CI96"/>
    <mergeCell ref="CJ96:CS96"/>
    <mergeCell ref="AN96:AW96"/>
    <mergeCell ref="AY96:BA96"/>
    <mergeCell ref="BB96:BF96"/>
    <mergeCell ref="BG96:BK96"/>
    <mergeCell ref="BL96:BU96"/>
    <mergeCell ref="BW96:BY96"/>
    <mergeCell ref="BZ96:CD96"/>
    <mergeCell ref="C96:E96"/>
    <mergeCell ref="F96:J96"/>
    <mergeCell ref="K96:O96"/>
    <mergeCell ref="P96:Y96"/>
    <mergeCell ref="AA96:AC96"/>
    <mergeCell ref="AD96:AH96"/>
    <mergeCell ref="AI96:AM96"/>
    <mergeCell ref="C97:E97"/>
    <mergeCell ref="F97:J97"/>
    <mergeCell ref="K97:O97"/>
    <mergeCell ref="P97:Y97"/>
    <mergeCell ref="AA97:AC97"/>
    <mergeCell ref="AD97:AH97"/>
    <mergeCell ref="AI97:AM97"/>
    <mergeCell ref="BB100:BF100"/>
    <mergeCell ref="BG100:BK100"/>
    <mergeCell ref="BL100:BU100"/>
    <mergeCell ref="BZ100:CD100"/>
    <mergeCell ref="CE100:CI100"/>
    <mergeCell ref="CJ100:CS100"/>
    <mergeCell ref="C100:E100"/>
    <mergeCell ref="F100:J100"/>
    <mergeCell ref="K100:O100"/>
    <mergeCell ref="P100:Y100"/>
    <mergeCell ref="AD100:AH100"/>
    <mergeCell ref="AI100:AM100"/>
    <mergeCell ref="AN100:AW100"/>
    <mergeCell ref="CE101:CI101"/>
    <mergeCell ref="CJ101:CS101"/>
    <mergeCell ref="AN101:AW101"/>
    <mergeCell ref="AY101:BA101"/>
    <mergeCell ref="BB101:BF101"/>
    <mergeCell ref="BG101:BK101"/>
    <mergeCell ref="BL101:BU101"/>
    <mergeCell ref="BW101:BY101"/>
    <mergeCell ref="BZ101:CD101"/>
    <mergeCell ref="CE98:CI98"/>
    <mergeCell ref="CJ98:CS98"/>
    <mergeCell ref="AN98:AW98"/>
    <mergeCell ref="AY98:BA98"/>
    <mergeCell ref="BB98:BF98"/>
    <mergeCell ref="BG98:BK98"/>
    <mergeCell ref="BL98:BU98"/>
    <mergeCell ref="BW98:BY98"/>
    <mergeCell ref="BZ98:CD98"/>
    <mergeCell ref="C98:E98"/>
    <mergeCell ref="F98:J98"/>
    <mergeCell ref="K98:O98"/>
    <mergeCell ref="P98:Y98"/>
    <mergeCell ref="AA98:AC98"/>
    <mergeCell ref="AD98:AH98"/>
    <mergeCell ref="AI98:AM98"/>
    <mergeCell ref="CE99:CI99"/>
    <mergeCell ref="CJ99:CS99"/>
    <mergeCell ref="AN99:AW99"/>
    <mergeCell ref="AY99:BA99"/>
    <mergeCell ref="BB99:BF99"/>
    <mergeCell ref="BG99:BK99"/>
    <mergeCell ref="BL99:BU99"/>
    <mergeCell ref="BW99:BY99"/>
    <mergeCell ref="BZ99:CD99"/>
    <mergeCell ref="C99:E99"/>
    <mergeCell ref="F99:J99"/>
    <mergeCell ref="K99:O99"/>
    <mergeCell ref="P99:Y99"/>
    <mergeCell ref="AA99:AC99"/>
    <mergeCell ref="AD99:AH99"/>
    <mergeCell ref="AI99:AM99"/>
    <mergeCell ref="C101:E101"/>
    <mergeCell ref="F101:J101"/>
    <mergeCell ref="K101:O101"/>
    <mergeCell ref="P101:Y101"/>
    <mergeCell ref="AA101:AC101"/>
    <mergeCell ref="AD101:AH101"/>
    <mergeCell ref="AI101:AM101"/>
    <mergeCell ref="CE104:CI104"/>
    <mergeCell ref="CJ104:CS104"/>
    <mergeCell ref="AN104:AW104"/>
    <mergeCell ref="AY104:BA104"/>
    <mergeCell ref="BB104:BF104"/>
    <mergeCell ref="BG104:BK104"/>
    <mergeCell ref="BL104:BU104"/>
    <mergeCell ref="BW104:BY104"/>
    <mergeCell ref="BZ104:CD104"/>
    <mergeCell ref="CE102:CI102"/>
    <mergeCell ref="CJ102:CS102"/>
    <mergeCell ref="AN102:AW102"/>
    <mergeCell ref="AY102:BA102"/>
    <mergeCell ref="BB102:BF102"/>
    <mergeCell ref="BG102:BK102"/>
    <mergeCell ref="BL102:BU102"/>
    <mergeCell ref="BW102:BY102"/>
    <mergeCell ref="BZ102:CD102"/>
    <mergeCell ref="C102:E102"/>
    <mergeCell ref="F102:J102"/>
    <mergeCell ref="K102:O102"/>
    <mergeCell ref="P102:Y102"/>
    <mergeCell ref="AA102:AC102"/>
    <mergeCell ref="AD102:AH102"/>
    <mergeCell ref="AI102:AM102"/>
    <mergeCell ref="BT103:BU103"/>
    <mergeCell ref="BW103:CA103"/>
    <mergeCell ref="CB103:CF103"/>
    <mergeCell ref="CG103:CK103"/>
    <mergeCell ref="CL103:CQ103"/>
    <mergeCell ref="CR103:CS103"/>
    <mergeCell ref="AK103:AO103"/>
    <mergeCell ref="AP103:AU103"/>
    <mergeCell ref="AV103:AW103"/>
    <mergeCell ref="AY103:BC103"/>
    <mergeCell ref="BD103:BH103"/>
    <mergeCell ref="BI103:BM103"/>
    <mergeCell ref="BN103:BS103"/>
    <mergeCell ref="C103:G103"/>
    <mergeCell ref="H103:L103"/>
    <mergeCell ref="M103:Q103"/>
    <mergeCell ref="R103:W103"/>
    <mergeCell ref="X103:Y103"/>
    <mergeCell ref="AA103:AE103"/>
    <mergeCell ref="AF103:AJ103"/>
    <mergeCell ref="C104:E104"/>
    <mergeCell ref="F104:J104"/>
    <mergeCell ref="K104:O104"/>
    <mergeCell ref="P104:Y104"/>
    <mergeCell ref="AA104:AC104"/>
    <mergeCell ref="AD104:AH104"/>
    <mergeCell ref="AI104:AM104"/>
    <mergeCell ref="CE107:CI107"/>
    <mergeCell ref="CJ107:CS107"/>
    <mergeCell ref="AN107:AW107"/>
    <mergeCell ref="AY107:BA107"/>
    <mergeCell ref="BB107:BF107"/>
    <mergeCell ref="BG107:BK107"/>
    <mergeCell ref="BL107:BU107"/>
    <mergeCell ref="BW107:BY107"/>
    <mergeCell ref="BZ107:CD107"/>
    <mergeCell ref="CE105:CI105"/>
    <mergeCell ref="CJ105:CS105"/>
    <mergeCell ref="AN105:AW105"/>
    <mergeCell ref="AY105:BA105"/>
    <mergeCell ref="BB105:BF105"/>
    <mergeCell ref="BG105:BK105"/>
    <mergeCell ref="BL105:BU105"/>
    <mergeCell ref="BW105:BY105"/>
    <mergeCell ref="BZ105:CD105"/>
    <mergeCell ref="C105:E105"/>
    <mergeCell ref="F105:J105"/>
    <mergeCell ref="K105:O105"/>
    <mergeCell ref="P105:Y105"/>
    <mergeCell ref="AA105:AC105"/>
    <mergeCell ref="AD105:AH105"/>
    <mergeCell ref="AI105:AM105"/>
    <mergeCell ref="CE106:CI106"/>
    <mergeCell ref="CJ106:CS106"/>
    <mergeCell ref="AN106:AW106"/>
    <mergeCell ref="AY106:BA106"/>
    <mergeCell ref="BB106:BF106"/>
    <mergeCell ref="BG106:BK106"/>
    <mergeCell ref="BL106:BU106"/>
    <mergeCell ref="BW106:BY106"/>
    <mergeCell ref="BZ106:CD106"/>
    <mergeCell ref="C106:E106"/>
    <mergeCell ref="F106:J106"/>
    <mergeCell ref="K106:O106"/>
    <mergeCell ref="P106:Y106"/>
    <mergeCell ref="AA106:AC106"/>
    <mergeCell ref="AD106:AH106"/>
    <mergeCell ref="AI106:AM106"/>
    <mergeCell ref="C107:E107"/>
    <mergeCell ref="F107:J107"/>
    <mergeCell ref="K107:O107"/>
    <mergeCell ref="P107:Y107"/>
    <mergeCell ref="AA107:AC107"/>
    <mergeCell ref="AD107:AH107"/>
    <mergeCell ref="AI107:AM107"/>
    <mergeCell ref="BB110:BF110"/>
    <mergeCell ref="BG110:BK110"/>
    <mergeCell ref="BL110:BU110"/>
    <mergeCell ref="BZ110:CD110"/>
    <mergeCell ref="CE110:CI110"/>
    <mergeCell ref="CJ110:CS110"/>
    <mergeCell ref="C110:E110"/>
    <mergeCell ref="F110:J110"/>
    <mergeCell ref="K110:O110"/>
    <mergeCell ref="P110:Y110"/>
    <mergeCell ref="AD110:AH110"/>
    <mergeCell ref="AI110:AM110"/>
    <mergeCell ref="AN110:AW110"/>
    <mergeCell ref="CE111:CI111"/>
    <mergeCell ref="CJ111:CS111"/>
    <mergeCell ref="AN111:AW111"/>
    <mergeCell ref="AY111:BA111"/>
    <mergeCell ref="BB111:BF111"/>
    <mergeCell ref="BG111:BK111"/>
    <mergeCell ref="BL111:BU111"/>
    <mergeCell ref="BW111:BY111"/>
    <mergeCell ref="BZ111:CD111"/>
    <mergeCell ref="CE108:CI108"/>
    <mergeCell ref="CJ108:CS108"/>
    <mergeCell ref="AN108:AW108"/>
    <mergeCell ref="AY108:BA108"/>
    <mergeCell ref="BB108:BF108"/>
    <mergeCell ref="BG108:BK108"/>
    <mergeCell ref="BL108:BU108"/>
    <mergeCell ref="BW108:BY108"/>
    <mergeCell ref="BZ108:CD108"/>
    <mergeCell ref="C108:E108"/>
    <mergeCell ref="F108:J108"/>
    <mergeCell ref="K108:O108"/>
    <mergeCell ref="P108:Y108"/>
    <mergeCell ref="AA108:AC108"/>
    <mergeCell ref="AD108:AH108"/>
    <mergeCell ref="AI108:AM108"/>
    <mergeCell ref="CE109:CI109"/>
    <mergeCell ref="CJ109:CS109"/>
    <mergeCell ref="AN109:AW109"/>
    <mergeCell ref="AY109:BA109"/>
    <mergeCell ref="BB109:BF109"/>
    <mergeCell ref="BG109:BK109"/>
    <mergeCell ref="BL109:BU109"/>
    <mergeCell ref="BW109:BY109"/>
    <mergeCell ref="BZ109:CD109"/>
    <mergeCell ref="C109:E109"/>
    <mergeCell ref="F109:J109"/>
    <mergeCell ref="K109:O109"/>
    <mergeCell ref="P109:Y109"/>
    <mergeCell ref="AA109:AC109"/>
    <mergeCell ref="AD109:AH109"/>
    <mergeCell ref="AI109:AM109"/>
    <mergeCell ref="C111:E111"/>
    <mergeCell ref="F111:J111"/>
    <mergeCell ref="K111:O111"/>
    <mergeCell ref="P111:Y111"/>
    <mergeCell ref="AA111:AC111"/>
    <mergeCell ref="AD111:AH111"/>
    <mergeCell ref="AI111:AM111"/>
    <mergeCell ref="CE114:CI114"/>
    <mergeCell ref="CJ114:CS114"/>
    <mergeCell ref="AN114:AW114"/>
    <mergeCell ref="AY114:BA114"/>
    <mergeCell ref="BB114:BF114"/>
    <mergeCell ref="BG114:BK114"/>
    <mergeCell ref="BL114:BU114"/>
    <mergeCell ref="BW114:BY114"/>
    <mergeCell ref="BZ114:CD114"/>
    <mergeCell ref="CE112:CI112"/>
    <mergeCell ref="CJ112:CS112"/>
    <mergeCell ref="AN112:AW112"/>
    <mergeCell ref="AY112:BA112"/>
    <mergeCell ref="BB112:BF112"/>
    <mergeCell ref="BG112:BK112"/>
    <mergeCell ref="BL112:BU112"/>
    <mergeCell ref="BW112:BY112"/>
    <mergeCell ref="BZ112:CD112"/>
    <mergeCell ref="C112:E112"/>
    <mergeCell ref="F112:J112"/>
    <mergeCell ref="K112:O112"/>
    <mergeCell ref="P112:Y112"/>
    <mergeCell ref="AA112:AC112"/>
    <mergeCell ref="AD112:AH112"/>
    <mergeCell ref="AI112:AM112"/>
    <mergeCell ref="BT113:BU113"/>
    <mergeCell ref="BW113:CA113"/>
    <mergeCell ref="CB113:CF113"/>
    <mergeCell ref="CG113:CK113"/>
    <mergeCell ref="CL113:CQ113"/>
    <mergeCell ref="CR113:CS113"/>
    <mergeCell ref="AK113:AO113"/>
    <mergeCell ref="AP113:AU113"/>
    <mergeCell ref="AV113:AW113"/>
    <mergeCell ref="AY113:BC113"/>
    <mergeCell ref="BD113:BH113"/>
    <mergeCell ref="BI113:BM113"/>
    <mergeCell ref="BN113:BS113"/>
    <mergeCell ref="C113:G113"/>
    <mergeCell ref="H113:L113"/>
    <mergeCell ref="M113:Q113"/>
    <mergeCell ref="R113:W113"/>
    <mergeCell ref="X113:Y113"/>
    <mergeCell ref="AA113:AE113"/>
    <mergeCell ref="AF113:AJ113"/>
    <mergeCell ref="C114:E114"/>
    <mergeCell ref="F114:J114"/>
    <mergeCell ref="K114:O114"/>
    <mergeCell ref="P114:Y114"/>
    <mergeCell ref="AA114:AC114"/>
    <mergeCell ref="AD114:AH114"/>
    <mergeCell ref="AI114:AM114"/>
    <mergeCell ref="CE117:CI117"/>
    <mergeCell ref="CJ117:CS117"/>
    <mergeCell ref="AN117:AW117"/>
    <mergeCell ref="AY117:BA117"/>
    <mergeCell ref="BB117:BF117"/>
    <mergeCell ref="BG117:BK117"/>
    <mergeCell ref="BL117:BU117"/>
    <mergeCell ref="BW117:BY117"/>
    <mergeCell ref="BZ117:CD117"/>
    <mergeCell ref="CE115:CI115"/>
    <mergeCell ref="CJ115:CS115"/>
    <mergeCell ref="AN115:AW115"/>
    <mergeCell ref="AY115:BA115"/>
    <mergeCell ref="BB115:BF115"/>
    <mergeCell ref="BG115:BK115"/>
    <mergeCell ref="BL115:BU115"/>
    <mergeCell ref="BW115:BY115"/>
    <mergeCell ref="BZ115:CD115"/>
    <mergeCell ref="C115:E115"/>
    <mergeCell ref="F115:J115"/>
    <mergeCell ref="K115:O115"/>
    <mergeCell ref="P115:Y115"/>
    <mergeCell ref="AA115:AC115"/>
    <mergeCell ref="AD115:AH115"/>
    <mergeCell ref="AI115:AM115"/>
    <mergeCell ref="CE116:CI116"/>
    <mergeCell ref="CJ116:CS116"/>
    <mergeCell ref="AN116:AW116"/>
    <mergeCell ref="AY116:BA116"/>
    <mergeCell ref="BB116:BF116"/>
    <mergeCell ref="BG116:BK116"/>
    <mergeCell ref="BL116:BU116"/>
    <mergeCell ref="BW116:BY116"/>
    <mergeCell ref="BZ116:CD116"/>
    <mergeCell ref="C116:E116"/>
    <mergeCell ref="F116:J116"/>
    <mergeCell ref="K116:O116"/>
    <mergeCell ref="P116:Y116"/>
    <mergeCell ref="AA116:AC116"/>
    <mergeCell ref="AD116:AH116"/>
    <mergeCell ref="AI116:AM116"/>
    <mergeCell ref="C117:E117"/>
    <mergeCell ref="F117:J117"/>
    <mergeCell ref="K117:O117"/>
    <mergeCell ref="P117:Y117"/>
    <mergeCell ref="AA117:AC117"/>
    <mergeCell ref="AD117:AH117"/>
    <mergeCell ref="AI117:AM117"/>
    <mergeCell ref="BB120:BF120"/>
    <mergeCell ref="BG120:BK120"/>
    <mergeCell ref="BL120:BU120"/>
    <mergeCell ref="BZ120:CD120"/>
    <mergeCell ref="CE120:CI120"/>
    <mergeCell ref="CJ120:CS120"/>
    <mergeCell ref="C120:E120"/>
    <mergeCell ref="F120:J120"/>
    <mergeCell ref="K120:O120"/>
    <mergeCell ref="P120:Y120"/>
    <mergeCell ref="AD120:AH120"/>
    <mergeCell ref="AI120:AM120"/>
    <mergeCell ref="AN120:AW120"/>
    <mergeCell ref="CE121:CI121"/>
    <mergeCell ref="CJ121:CS121"/>
    <mergeCell ref="AN121:AW121"/>
    <mergeCell ref="AY121:BA121"/>
    <mergeCell ref="BB121:BF121"/>
    <mergeCell ref="BG121:BK121"/>
    <mergeCell ref="BL121:BU121"/>
    <mergeCell ref="BW121:BY121"/>
    <mergeCell ref="BZ121:CD121"/>
    <mergeCell ref="CE118:CI118"/>
    <mergeCell ref="CJ118:CS118"/>
    <mergeCell ref="AN118:AW118"/>
    <mergeCell ref="AY118:BA118"/>
    <mergeCell ref="BB118:BF118"/>
    <mergeCell ref="BG118:BK118"/>
    <mergeCell ref="BL118:BU118"/>
    <mergeCell ref="BW118:BY118"/>
    <mergeCell ref="BZ118:CD118"/>
    <mergeCell ref="C118:E118"/>
    <mergeCell ref="F118:J118"/>
    <mergeCell ref="K118:O118"/>
    <mergeCell ref="P118:Y118"/>
    <mergeCell ref="AA118:AC118"/>
    <mergeCell ref="AD118:AH118"/>
    <mergeCell ref="AI118:AM118"/>
    <mergeCell ref="CE119:CI119"/>
    <mergeCell ref="CJ119:CS119"/>
    <mergeCell ref="AN119:AW119"/>
    <mergeCell ref="AY119:BA119"/>
    <mergeCell ref="BB119:BF119"/>
    <mergeCell ref="BG119:BK119"/>
    <mergeCell ref="BL119:BU119"/>
    <mergeCell ref="BW119:BY119"/>
    <mergeCell ref="BZ119:CD119"/>
    <mergeCell ref="C119:E119"/>
    <mergeCell ref="F119:J119"/>
    <mergeCell ref="K119:O119"/>
    <mergeCell ref="P119:Y119"/>
    <mergeCell ref="AA119:AC119"/>
    <mergeCell ref="AD119:AH119"/>
    <mergeCell ref="AI119:AM119"/>
    <mergeCell ref="C121:E121"/>
    <mergeCell ref="F121:J121"/>
    <mergeCell ref="K121:O121"/>
    <mergeCell ref="P121:Y121"/>
    <mergeCell ref="AA121:AC121"/>
    <mergeCell ref="AD121:AH121"/>
    <mergeCell ref="AI121:AM121"/>
  </mergeCells>
  <printOptions/>
  <pageMargins bottom="0.75" footer="0.0" header="0.0" left="0.7" right="0.7" top="0.75"/>
  <pageSetup orientation="landscape"/>
  <drawing r:id="rId1"/>
</worksheet>
</file>